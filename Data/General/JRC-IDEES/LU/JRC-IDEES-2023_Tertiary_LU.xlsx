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U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27" i="6"/>
  <c r="Y119" i="6"/>
  <c r="Y173" i="6" s="1"/>
  <c r="X119" i="6"/>
  <c r="X173" i="6" s="1"/>
  <c r="Y16" i="7"/>
  <c r="Y14" i="13"/>
  <c r="X13" i="12"/>
  <c r="X21" i="12"/>
  <c r="X20" i="12"/>
  <c r="X16" i="8"/>
  <c r="Y14" i="12"/>
  <c r="Y6" i="12"/>
  <c r="Y33" i="10"/>
  <c r="Y22" i="13"/>
  <c r="X22" i="13"/>
  <c r="Y21" i="13"/>
  <c r="X21" i="13"/>
  <c r="Y20" i="13"/>
  <c r="Y18" i="13"/>
  <c r="Y17" i="13"/>
  <c r="X17" i="10"/>
  <c r="Y6" i="13"/>
  <c r="X18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6" i="12"/>
  <c r="X24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4" i="25"/>
  <c r="Y24" i="28" s="1"/>
  <c r="Y14" i="24"/>
  <c r="X13" i="23"/>
  <c r="Y10" i="24"/>
  <c r="X9" i="23"/>
  <c r="X24" i="23"/>
  <c r="Y23" i="23"/>
  <c r="X33" i="21"/>
  <c r="Y22" i="24"/>
  <c r="X21" i="21"/>
  <c r="X18" i="24"/>
  <c r="Y17" i="24"/>
  <c r="X15" i="21"/>
  <c r="Y20" i="21"/>
  <c r="X20" i="21"/>
  <c r="Y18" i="21"/>
  <c r="X5" i="21"/>
  <c r="Y33" i="25"/>
  <c r="Y33" i="28" s="1"/>
  <c r="X33" i="25"/>
  <c r="X33" i="28" s="1"/>
  <c r="Y26" i="25"/>
  <c r="Y26" i="28" s="1"/>
  <c r="X25" i="25"/>
  <c r="X25" i="28" s="1"/>
  <c r="X24" i="25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6" i="23"/>
  <c r="X23" i="23"/>
  <c r="Y22" i="23"/>
  <c r="Y20" i="23"/>
  <c r="Y20" i="26" s="1"/>
  <c r="Y8" i="23"/>
  <c r="Y33" i="24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Y15" i="25"/>
  <c r="Y15" i="28" s="1"/>
  <c r="X15" i="25"/>
  <c r="X15" i="28" s="1"/>
  <c r="X11" i="25"/>
  <c r="X11" i="28" s="1"/>
  <c r="Y7" i="25"/>
  <c r="Y7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Y10" i="30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33" i="27" l="1"/>
  <c r="Y17" i="10"/>
  <c r="Y18" i="10"/>
  <c r="X7" i="12"/>
  <c r="X5" i="10"/>
  <c r="X8" i="12"/>
  <c r="Y24" i="23"/>
  <c r="Y24" i="26" s="1"/>
  <c r="Y5" i="10"/>
  <c r="X25" i="23"/>
  <c r="Y24" i="12"/>
  <c r="X25" i="12"/>
  <c r="Y23" i="10"/>
  <c r="Y10" i="12"/>
  <c r="X8" i="13"/>
  <c r="X11" i="12"/>
  <c r="Y8" i="13"/>
  <c r="Y8" i="24"/>
  <c r="X9" i="21"/>
  <c r="X25" i="24"/>
  <c r="X17" i="24"/>
  <c r="X25" i="13"/>
  <c r="X12" i="12"/>
  <c r="X14" i="30"/>
  <c r="Y23" i="28"/>
  <c r="X7" i="14"/>
  <c r="Y25" i="13"/>
  <c r="X16" i="7"/>
  <c r="X31" i="23"/>
  <c r="X26" i="13"/>
  <c r="Y26" i="24"/>
  <c r="Y26" i="27" s="1"/>
  <c r="Y31" i="23"/>
  <c r="Y31" i="26" s="1"/>
  <c r="Y10" i="13"/>
  <c r="Y26" i="13"/>
  <c r="X27" i="21"/>
  <c r="X32" i="23"/>
  <c r="X11" i="13"/>
  <c r="Y11" i="24"/>
  <c r="Y11" i="27" s="1"/>
  <c r="Y19" i="22"/>
  <c r="X13" i="29"/>
  <c r="X5" i="31" s="1"/>
  <c r="X12" i="24"/>
  <c r="X12" i="13"/>
  <c r="X30" i="13"/>
  <c r="Y8" i="25"/>
  <c r="Y8" i="28" s="1"/>
  <c r="Y13" i="29"/>
  <c r="Y5" i="29" s="1"/>
  <c r="Y9" i="25"/>
  <c r="Y9" i="28" s="1"/>
  <c r="Y12" i="24"/>
  <c r="Y21" i="25"/>
  <c r="Y21" i="28" s="1"/>
  <c r="X10" i="14"/>
  <c r="X30" i="14"/>
  <c r="Y12" i="13"/>
  <c r="X7" i="21"/>
  <c r="Y7" i="24"/>
  <c r="Y7" i="27" s="1"/>
  <c r="Y52" i="38"/>
  <c r="X14" i="29"/>
  <c r="X10" i="25"/>
  <c r="X10" i="28" s="1"/>
  <c r="X13" i="21"/>
  <c r="X31" i="24"/>
  <c r="X17" i="23"/>
  <c r="X22" i="24"/>
  <c r="X22" i="27" s="1"/>
  <c r="Y10" i="14"/>
  <c r="X31" i="13"/>
  <c r="Y33" i="12"/>
  <c r="X23" i="21"/>
  <c r="Y17" i="23"/>
  <c r="X31" i="14"/>
  <c r="Y31" i="13"/>
  <c r="X8" i="24"/>
  <c r="X8" i="27" s="1"/>
  <c r="X8" i="25"/>
  <c r="X8" i="28" s="1"/>
  <c r="X9" i="36"/>
  <c r="Y53" i="38"/>
  <c r="Y31" i="14"/>
  <c r="X32" i="10"/>
  <c r="Y14" i="21"/>
  <c r="Y32" i="21"/>
  <c r="X17" i="13"/>
  <c r="Y45" i="37"/>
  <c r="X33" i="10"/>
  <c r="Y33" i="21"/>
  <c r="Y12" i="23"/>
  <c r="X6" i="14"/>
  <c r="X10" i="12"/>
  <c r="X14" i="13"/>
  <c r="X13" i="24"/>
  <c r="X32" i="25"/>
  <c r="X11" i="24"/>
  <c r="X29" i="19"/>
  <c r="X71" i="6"/>
  <c r="X7" i="25"/>
  <c r="X17" i="25"/>
  <c r="Y31" i="21"/>
  <c r="Y6" i="23"/>
  <c r="Y6" i="26" s="1"/>
  <c r="Y10" i="23"/>
  <c r="Y10" i="26" s="1"/>
  <c r="Y14" i="23"/>
  <c r="Y14" i="26" s="1"/>
  <c r="Y19" i="19"/>
  <c r="Y5" i="23"/>
  <c r="Y5" i="26" s="1"/>
  <c r="X14" i="36"/>
  <c r="X22" i="25"/>
  <c r="X22" i="28" s="1"/>
  <c r="X17" i="21"/>
  <c r="X32" i="21"/>
  <c r="X7" i="23"/>
  <c r="X11" i="23"/>
  <c r="X11" i="26" s="1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31" i="26" s="1"/>
  <c r="Y8" i="14"/>
  <c r="Y12" i="12"/>
  <c r="Y18" i="12"/>
  <c r="Y28" i="12"/>
  <c r="X82" i="6"/>
  <c r="X81" i="6" s="1"/>
  <c r="X93" i="6" s="1"/>
  <c r="X107" i="6"/>
  <c r="X24" i="28"/>
  <c r="X9" i="25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24" i="15" s="1"/>
  <c r="Y68" i="29"/>
  <c r="Y6" i="30" s="1"/>
  <c r="X101" i="6"/>
  <c r="X118" i="6"/>
  <c r="Y73" i="29"/>
  <c r="Y6" i="35" s="1"/>
  <c r="Y118" i="6"/>
  <c r="X48" i="6"/>
  <c r="X47" i="6" s="1"/>
  <c r="X60" i="6" s="1"/>
  <c r="X37" i="6"/>
  <c r="X31" i="6" s="1"/>
  <c r="Y12" i="27"/>
  <c r="X21" i="27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3"/>
  <c r="X30" i="23"/>
  <c r="X18" i="13"/>
  <c r="X20" i="10"/>
  <c r="X10" i="13"/>
  <c r="X14" i="10"/>
  <c r="X19" i="9"/>
  <c r="X19" i="10" s="1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X17" i="28"/>
  <c r="Y29" i="22"/>
  <c r="Y29" i="25" s="1"/>
  <c r="Y29" i="28" s="1"/>
  <c r="Y5" i="21"/>
  <c r="Y23" i="24"/>
  <c r="Y23" i="27" s="1"/>
  <c r="Y28" i="24"/>
  <c r="Y28" i="27" s="1"/>
  <c r="Y17" i="26"/>
  <c r="Y16" i="18"/>
  <c r="Y32" i="25"/>
  <c r="Y32" i="28" s="1"/>
  <c r="Y5" i="13"/>
  <c r="X5" i="14"/>
  <c r="X19" i="11"/>
  <c r="X4" i="9"/>
  <c r="X4" i="13" s="1"/>
  <c r="X15" i="10"/>
  <c r="Y13" i="12"/>
  <c r="X27" i="10"/>
  <c r="Y11" i="12"/>
  <c r="Y21" i="27"/>
  <c r="X5" i="25"/>
  <c r="X5" i="28" s="1"/>
  <c r="X28" i="13"/>
  <c r="Y9" i="13"/>
  <c r="Y16" i="9"/>
  <c r="Y16" i="13" s="1"/>
  <c r="Y9" i="39"/>
  <c r="Y17" i="38"/>
  <c r="Y46" i="37"/>
  <c r="Y17" i="27"/>
  <c r="X6" i="25"/>
  <c r="X6" i="28" s="1"/>
  <c r="Y8" i="27"/>
  <c r="Y15" i="21"/>
  <c r="X51" i="39"/>
  <c r="Y32" i="24"/>
  <c r="Y32" i="27" s="1"/>
  <c r="Y16" i="22"/>
  <c r="X6" i="24"/>
  <c r="X24" i="24"/>
  <c r="X30" i="24"/>
  <c r="X6" i="13"/>
  <c r="Y11" i="10"/>
  <c r="Y15" i="10"/>
  <c r="X8" i="14"/>
  <c r="Y22" i="26"/>
  <c r="X13" i="13"/>
  <c r="X9" i="39"/>
  <c r="X46" i="37"/>
  <c r="X25" i="26"/>
  <c r="X21" i="23"/>
  <c r="X21" i="26" s="1"/>
  <c r="Y13" i="13"/>
  <c r="X19" i="7"/>
  <c r="X27" i="12" s="1"/>
  <c r="X29" i="7"/>
  <c r="Y19" i="18"/>
  <c r="Y31" i="25"/>
  <c r="Y31" i="28" s="1"/>
  <c r="Y9" i="38"/>
  <c r="Y52" i="37"/>
  <c r="X32" i="24"/>
  <c r="Y51" i="39"/>
  <c r="Y6" i="24"/>
  <c r="Y24" i="24"/>
  <c r="Y24" i="27" s="1"/>
  <c r="Y18" i="23"/>
  <c r="Y18" i="26" s="1"/>
  <c r="X16" i="9"/>
  <c r="X19" i="8"/>
  <c r="Y33" i="6"/>
  <c r="Y31" i="6" s="1"/>
  <c r="X16" i="10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14" i="26" s="1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X28" i="26"/>
  <c r="Y16" i="11"/>
  <c r="Y16" i="14" s="1"/>
  <c r="Y6" i="10"/>
  <c r="X25" i="10"/>
  <c r="X16" i="19"/>
  <c r="X7" i="10"/>
  <c r="Y25" i="10"/>
  <c r="Y19" i="9"/>
  <c r="X12" i="23"/>
  <c r="Y22" i="21"/>
  <c r="Y13" i="21"/>
  <c r="Y16" i="19"/>
  <c r="X8" i="10"/>
  <c r="X26" i="10"/>
  <c r="X30" i="25"/>
  <c r="Y23" i="21"/>
  <c r="X14" i="21"/>
  <c r="X33" i="23"/>
  <c r="X4" i="11"/>
  <c r="X4" i="14" s="1"/>
  <c r="Y8" i="10"/>
  <c r="Y26" i="10"/>
  <c r="X15" i="7"/>
  <c r="X15" i="13" s="1"/>
  <c r="Y19" i="7"/>
  <c r="Y27" i="12" s="1"/>
  <c r="Y17" i="37"/>
  <c r="Y5" i="37" s="1"/>
  <c r="X31" i="25"/>
  <c r="Y24" i="21"/>
  <c r="X7" i="13"/>
  <c r="X9" i="10"/>
  <c r="X115" i="6"/>
  <c r="X23" i="24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32" i="27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8" i="27" s="1"/>
  <c r="X4" i="19"/>
  <c r="X26" i="23"/>
  <c r="Y9" i="14"/>
  <c r="Y25" i="6"/>
  <c r="Y49" i="37"/>
  <c r="X16" i="29"/>
  <c r="Y9" i="23"/>
  <c r="Y9" i="26" s="1"/>
  <c r="X26" i="6"/>
  <c r="X33" i="39"/>
  <c r="Y51" i="38"/>
  <c r="X9" i="38"/>
  <c r="X52" i="38"/>
  <c r="X68" i="29"/>
  <c r="X6" i="30" s="1"/>
  <c r="X10" i="23"/>
  <c r="X6" i="29"/>
  <c r="X5" i="32"/>
  <c r="X5" i="29"/>
  <c r="Y12" i="29"/>
  <c r="Y16" i="29"/>
  <c r="X8" i="23"/>
  <c r="X8" i="26" s="1"/>
  <c r="Y30" i="23"/>
  <c r="Y30" i="26" s="1"/>
  <c r="X24" i="21"/>
  <c r="X29" i="20"/>
  <c r="X31" i="21"/>
  <c r="X4" i="18"/>
  <c r="X3" i="18" s="1"/>
  <c r="X15" i="18"/>
  <c r="X6" i="23"/>
  <c r="X6" i="26" s="1"/>
  <c r="Y32" i="14"/>
  <c r="Y29" i="11"/>
  <c r="Y29" i="14" s="1"/>
  <c r="Y29" i="8"/>
  <c r="Y29" i="12" s="1"/>
  <c r="Y30" i="12"/>
  <c r="X69" i="29"/>
  <c r="X6" i="31" s="1"/>
  <c r="Y22" i="28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28" i="16" s="1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Y12" i="26"/>
  <c r="X14" i="24"/>
  <c r="X14" i="27" s="1"/>
  <c r="Y6" i="27"/>
  <c r="Y10" i="27"/>
  <c r="Y14" i="27"/>
  <c r="Y18" i="27"/>
  <c r="Y22" i="27"/>
  <c r="Y33" i="26"/>
  <c r="X16" i="22"/>
  <c r="Y7" i="21"/>
  <c r="X16" i="20"/>
  <c r="X18" i="21"/>
  <c r="Y28" i="23"/>
  <c r="Y28" i="26" s="1"/>
  <c r="X16" i="18"/>
  <c r="X18" i="23"/>
  <c r="Y7" i="13"/>
  <c r="Y11" i="13"/>
  <c r="Y23" i="13"/>
  <c r="X163" i="6"/>
  <c r="X149" i="6"/>
  <c r="X122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Y5" i="31" l="1"/>
  <c r="X29" i="23"/>
  <c r="Y19" i="23"/>
  <c r="Y19" i="26" s="1"/>
  <c r="X17" i="27"/>
  <c r="X29" i="26"/>
  <c r="X23" i="28"/>
  <c r="X30" i="28"/>
  <c r="X10" i="26"/>
  <c r="X18" i="27"/>
  <c r="X15" i="12"/>
  <c r="X15" i="15" s="1"/>
  <c r="X7" i="28"/>
  <c r="X9" i="28"/>
  <c r="Y16" i="23"/>
  <c r="Y16" i="26" s="1"/>
  <c r="X94" i="6"/>
  <c r="X29" i="13"/>
  <c r="X29" i="16" s="1"/>
  <c r="X92" i="6"/>
  <c r="X22" i="15"/>
  <c r="X114" i="6"/>
  <c r="X144" i="6" s="1"/>
  <c r="X90" i="6"/>
  <c r="X91" i="6"/>
  <c r="Y5" i="39"/>
  <c r="Y37" i="39" s="1"/>
  <c r="X5" i="39"/>
  <c r="X12" i="36"/>
  <c r="X9" i="29"/>
  <c r="X3" i="35" s="1"/>
  <c r="X26" i="26"/>
  <c r="X12" i="26"/>
  <c r="X23" i="26"/>
  <c r="X18" i="26"/>
  <c r="X10" i="27"/>
  <c r="X31" i="28"/>
  <c r="X23" i="27"/>
  <c r="X7" i="26"/>
  <c r="X4" i="23"/>
  <c r="X4" i="26" s="1"/>
  <c r="X29" i="10"/>
  <c r="X3" i="8"/>
  <c r="X3" i="19"/>
  <c r="X25" i="27"/>
  <c r="Y27" i="24"/>
  <c r="Y27" i="27" s="1"/>
  <c r="X30" i="26"/>
  <c r="X16" i="13"/>
  <c r="X16" i="16" s="1"/>
  <c r="X5" i="26"/>
  <c r="X13" i="26"/>
  <c r="X5" i="27"/>
  <c r="X17" i="26"/>
  <c r="X11" i="27"/>
  <c r="X27" i="13"/>
  <c r="X33" i="27"/>
  <c r="X9" i="27"/>
  <c r="X13" i="27"/>
  <c r="X113" i="6"/>
  <c r="X143" i="6" s="1"/>
  <c r="Y10" i="16"/>
  <c r="X6" i="27"/>
  <c r="X89" i="6"/>
  <c r="Y139" i="6"/>
  <c r="X26" i="27"/>
  <c r="X21" i="28"/>
  <c r="X22" i="26"/>
  <c r="X4" i="12"/>
  <c r="X4" i="15" s="1"/>
  <c r="X7" i="27"/>
  <c r="X30" i="27"/>
  <c r="X24" i="27"/>
  <c r="Y30" i="15"/>
  <c r="Y15" i="13"/>
  <c r="Y15" i="16" s="1"/>
  <c r="X33" i="26"/>
  <c r="X32" i="26"/>
  <c r="Y16" i="25"/>
  <c r="Y16" i="28" s="1"/>
  <c r="Y10" i="17"/>
  <c r="X57" i="6"/>
  <c r="X56" i="6"/>
  <c r="X19" i="13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9" i="6" s="1"/>
  <c r="X12" i="27"/>
  <c r="X24" i="26"/>
  <c r="X58" i="6"/>
  <c r="Y50" i="39"/>
  <c r="Y48" i="38"/>
  <c r="X19" i="14"/>
  <c r="X19" i="17" s="1"/>
  <c r="X31" i="27"/>
  <c r="X16" i="23"/>
  <c r="X16" i="26" s="1"/>
  <c r="X5" i="37"/>
  <c r="X32" i="37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X168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9" i="15"/>
  <c r="Y20" i="15"/>
  <c r="X27" i="16"/>
  <c r="Y25" i="15"/>
  <c r="Y11" i="16"/>
  <c r="Y17" i="16"/>
  <c r="Y22" i="15"/>
  <c r="Y18" i="16"/>
  <c r="Y17" i="15"/>
  <c r="Y29" i="17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8" i="16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19" i="1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4" i="17"/>
  <c r="X140" i="6"/>
  <c r="X16" i="15"/>
  <c r="X20" i="17"/>
  <c r="X32" i="16"/>
  <c r="X8" i="15"/>
  <c r="X23" i="15"/>
  <c r="Y31" i="36"/>
  <c r="Y34" i="36"/>
  <c r="Y32" i="36"/>
  <c r="X8" i="36"/>
  <c r="X3" i="11"/>
  <c r="Y159" i="6"/>
  <c r="Y135" i="6"/>
  <c r="Y34" i="37"/>
  <c r="X5" i="38"/>
  <c r="X38" i="38" s="1"/>
  <c r="X44" i="37"/>
  <c r="X3" i="31"/>
  <c r="Y163" i="6"/>
  <c r="Y165" i="6"/>
  <c r="Y37" i="37"/>
  <c r="Y3" i="31"/>
  <c r="X158" i="6"/>
  <c r="X125" i="6"/>
  <c r="Y164" i="6"/>
  <c r="X3" i="32"/>
  <c r="X3" i="30"/>
  <c r="X3" i="33"/>
  <c r="Y171" i="6"/>
  <c r="Y162" i="6"/>
  <c r="Y38" i="37"/>
  <c r="Y157" i="6"/>
  <c r="Y124" i="6"/>
  <c r="Y134" i="6"/>
  <c r="Y125" i="6"/>
  <c r="X12" i="15"/>
  <c r="X13" i="16"/>
  <c r="Y169" i="6"/>
  <c r="X16" i="25"/>
  <c r="X16" i="28" s="1"/>
  <c r="X30" i="16"/>
  <c r="X9" i="17"/>
  <c r="X31" i="17"/>
  <c r="X147" i="6"/>
  <c r="X26" i="15"/>
  <c r="Y33" i="37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Y36" i="37"/>
  <c r="Y35" i="37"/>
  <c r="Y39" i="37"/>
  <c r="Y40" i="37"/>
  <c r="Y32" i="37"/>
  <c r="X34" i="37"/>
  <c r="X37" i="39" l="1"/>
  <c r="X38" i="39"/>
  <c r="X32" i="36"/>
  <c r="Y36" i="39"/>
  <c r="Y44" i="39"/>
  <c r="Y38" i="39"/>
  <c r="X3" i="29"/>
  <c r="X34" i="36"/>
  <c r="Y35" i="39"/>
  <c r="X36" i="39"/>
  <c r="X31" i="36"/>
  <c r="X35" i="39"/>
  <c r="X31" i="39" s="1"/>
  <c r="X3" i="23"/>
  <c r="X40" i="37"/>
  <c r="X3" i="12"/>
  <c r="X44" i="39"/>
  <c r="X39" i="37"/>
  <c r="X36" i="37"/>
  <c r="X33" i="37"/>
  <c r="Y39" i="38"/>
  <c r="Y44" i="38"/>
  <c r="X38" i="37"/>
  <c r="X37" i="37"/>
  <c r="X35" i="37"/>
  <c r="X31" i="37" s="1"/>
  <c r="X167" i="6"/>
  <c r="X3" i="13"/>
  <c r="X153" i="6"/>
  <c r="X3" i="10"/>
  <c r="X3" i="14"/>
  <c r="X154" i="6"/>
  <c r="X121" i="6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17"/>
  <c r="X39" i="38"/>
  <c r="X37" i="38"/>
  <c r="Y3" i="35"/>
  <c r="X32" i="38"/>
  <c r="Y3" i="14"/>
  <c r="Y3" i="34"/>
  <c r="Y3" i="2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Y31" i="37"/>
  <c r="X3" i="26" l="1"/>
  <c r="X3" i="15"/>
  <c r="X3" i="16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R7" i="29"/>
  <c r="T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U3" i="32"/>
  <c r="S8" i="32"/>
  <c r="W3" i="31"/>
  <c r="W8" i="30"/>
  <c r="N3" i="29"/>
  <c r="W8" i="35"/>
  <c r="S8" i="33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T3" i="35" l="1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T3" i="14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19" i="24" l="1"/>
  <c r="P29" i="25"/>
  <c r="P29" i="28" s="1"/>
  <c r="J29" i="23"/>
  <c r="I29" i="24"/>
  <c r="E19" i="14"/>
  <c r="J29" i="12"/>
  <c r="K29" i="13"/>
  <c r="K29" i="12"/>
  <c r="K16" i="24"/>
  <c r="N19" i="24"/>
  <c r="O4" i="24"/>
  <c r="O4" i="23"/>
  <c r="N19" i="23"/>
  <c r="F4" i="24"/>
  <c r="G16" i="12"/>
  <c r="C4" i="13"/>
  <c r="O4" i="12"/>
  <c r="C16" i="13"/>
  <c r="E4" i="23"/>
  <c r="H4" i="12"/>
  <c r="J29" i="13"/>
  <c r="C4" i="12"/>
  <c r="G19" i="24"/>
  <c r="G19" i="27" s="1"/>
  <c r="P29" i="12"/>
  <c r="P29" i="15" s="1"/>
  <c r="H29" i="23"/>
  <c r="H29" i="26" s="1"/>
  <c r="O29" i="13"/>
  <c r="O29" i="16" s="1"/>
  <c r="P19" i="24"/>
  <c r="P19" i="27" s="1"/>
  <c r="J19" i="23"/>
  <c r="J19" i="26" s="1"/>
  <c r="P29" i="13"/>
  <c r="P29" i="16" s="1"/>
  <c r="H29" i="24"/>
  <c r="H29" i="27" s="1"/>
  <c r="G19" i="23"/>
  <c r="G19" i="26" s="1"/>
  <c r="O29" i="23"/>
  <c r="O29" i="12"/>
  <c r="C17" i="16"/>
  <c r="E4" i="13"/>
  <c r="P4" i="12"/>
  <c r="O4" i="13"/>
  <c r="O4" i="16" s="1"/>
  <c r="K4" i="24"/>
  <c r="D16" i="13"/>
  <c r="O16" i="24"/>
  <c r="B16" i="13"/>
  <c r="M29" i="24"/>
  <c r="L19" i="24"/>
  <c r="N29" i="13"/>
  <c r="K19" i="12"/>
  <c r="K19" i="15" s="1"/>
  <c r="H29" i="12"/>
  <c r="D16" i="25"/>
  <c r="O29" i="24"/>
  <c r="J4" i="12"/>
  <c r="J4" i="15" s="1"/>
  <c r="H4" i="23"/>
  <c r="Q16" i="13"/>
  <c r="Q16" i="16" s="1"/>
  <c r="O16" i="12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I29" i="26" s="1"/>
  <c r="C19" i="23"/>
  <c r="F4" i="12"/>
  <c r="E19" i="24"/>
  <c r="E19" i="27" s="1"/>
  <c r="P16" i="25"/>
  <c r="G29" i="12"/>
  <c r="G29" i="13"/>
  <c r="I4" i="23"/>
  <c r="I4" i="26" s="1"/>
  <c r="G16" i="13"/>
  <c r="G16" i="16" s="1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O16" i="13"/>
  <c r="O16" i="23"/>
  <c r="O16" i="26" s="1"/>
  <c r="F19" i="12"/>
  <c r="F19" i="15" s="1"/>
  <c r="M16" i="24"/>
  <c r="M16" i="27" s="1"/>
  <c r="J4" i="23"/>
  <c r="J4" i="26" s="1"/>
  <c r="P19" i="12"/>
  <c r="P19" i="15" s="1"/>
  <c r="H4" i="24"/>
  <c r="M4" i="12"/>
  <c r="M4" i="15" s="1"/>
  <c r="O19" i="24"/>
  <c r="O19" i="27" s="1"/>
  <c r="P16" i="24"/>
  <c r="P16" i="27" s="1"/>
  <c r="L19" i="13"/>
  <c r="L19" i="16" s="1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19" i="27" s="1"/>
  <c r="D4" i="24"/>
  <c r="D4" i="27" s="1"/>
  <c r="P19" i="23"/>
  <c r="P19" i="26" s="1"/>
  <c r="N16" i="14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I4" i="12"/>
  <c r="L16" i="13"/>
  <c r="L16" i="16" s="1"/>
  <c r="B29" i="13"/>
  <c r="B29" i="16" s="1"/>
  <c r="L4" i="24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K16" i="26" s="1"/>
  <c r="E29" i="13"/>
  <c r="E29" i="16" s="1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M16" i="15" s="1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5" i="2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6"/>
  <c r="G29" i="10"/>
  <c r="F4" i="15"/>
  <c r="F3" i="8"/>
  <c r="F16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3" i="8"/>
  <c r="J16" i="15"/>
  <c r="J19" i="15"/>
  <c r="J29" i="15"/>
  <c r="D19" i="21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1"/>
  <c r="N29" i="21"/>
  <c r="D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23" i="4"/>
  <c r="B15" i="4"/>
  <c r="B7" i="4"/>
  <c r="B43" i="4"/>
  <c r="B12" i="4"/>
  <c r="B33" i="4"/>
  <c r="B26" i="4"/>
  <c r="B39" i="4"/>
  <c r="B14" i="4"/>
  <c r="B38" i="4"/>
  <c r="B9" i="4"/>
  <c r="B20" i="4"/>
  <c r="B24" i="4"/>
  <c r="B4" i="4"/>
  <c r="B37" i="4"/>
  <c r="B16" i="4"/>
  <c r="B34" i="4"/>
  <c r="B28" i="4"/>
  <c r="B44" i="4"/>
  <c r="B8" i="4"/>
  <c r="B17" i="4"/>
  <c r="B25" i="4"/>
  <c r="B22" i="4"/>
  <c r="B35" i="4"/>
  <c r="B27" i="4"/>
  <c r="B42" i="4"/>
  <c r="B10" i="4"/>
  <c r="B11" i="4"/>
  <c r="B21" i="4"/>
  <c r="B13" i="4"/>
  <c r="B29" i="4"/>
  <c r="B30" i="4"/>
  <c r="B45" i="4"/>
  <c r="B36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<sst xmlns="http://schemas.openxmlformats.org/spreadsheetml/2006/main" count="2101" uniqueCount="1057">
  <si>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</si>
  <si>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</si>
  <si>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</si>
  <si>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</si>
  <si>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</si>
  <si>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</si>
  <si>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</si>
  <si>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</si>
  <si>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</si>
  <si>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</si>
  <si>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</si>
  <si>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</si>
  <si>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</si>
  <si>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</si>
  <si>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</si>
  <si>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</si>
  <si>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</si>
  <si>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</si>
  <si>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</si>
  <si>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</si>
  <si>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</si>
  <si>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</si>
  <si>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</si>
  <si>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</si>
  <si>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</si>
  <si>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</si>
  <si>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</si>
  <si>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</si>
  <si>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</si>
  <si>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</si>
  <si>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</si>
  <si>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</si>
  <si>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</si>
  <si>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</si>
  <si>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</si>
  <si>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</si>
  <si>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</si>
  <si>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</si>
  <si>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</si>
  <si>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</si>
  <si>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</si>
  <si>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</si>
  <si>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</si>
  <si>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</si>
  <si>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</si>
  <si>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</si>
  <si>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</si>
  <si>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</si>
  <si>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</si>
  <si>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</si>
  <si>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</si>
  <si>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</si>
  <si>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</si>
  <si>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</si>
  <si>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</si>
  <si>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</si>
  <si>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</si>
  <si>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</si>
  <si>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</si>
  <si>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</si>
  <si>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</si>
  <si>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</si>
  <si>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</si>
  <si>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</si>
  <si>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</si>
  <si>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</si>
  <si>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</si>
  <si>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</si>
  <si>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</si>
  <si>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</si>
  <si>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</si>
  <si>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</si>
  <si>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</si>
  <si>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</si>
  <si>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</si>
  <si>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</si>
  <si>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</si>
  <si>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</si>
  <si>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</si>
  <si>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</si>
  <si>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</si>
  <si>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</si>
  <si>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</si>
  <si>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</si>
  <si>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</si>
  <si>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</si>
  <si>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</si>
  <si>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</si>
  <si>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</si>
  <si>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</si>
  <si>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</si>
  <si>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</si>
  <si>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</si>
  <si>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</si>
  <si>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</si>
  <si>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</si>
  <si>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</si>
  <si>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</si>
  <si>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</si>
  <si>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</si>
  <si>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</si>
  <si>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</si>
  <si>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</si>
  <si>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</si>
  <si>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</si>
  <si>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</si>
  <si>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</si>
  <si>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</si>
  <si>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</si>
  <si>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</si>
  <si>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</si>
  <si>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</si>
  <si>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</si>
  <si>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</si>
  <si>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</si>
  <si>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</si>
  <si>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</si>
  <si>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</si>
  <si>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</si>
  <si>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</si>
  <si>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</si>
  <si>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</si>
  <si>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</si>
  <si>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</si>
  <si>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</si>
  <si>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</si>
  <si>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</si>
  <si>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</si>
  <si>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</si>
  <si>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</si>
  <si>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</si>
  <si>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</si>
  <si>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</si>
  <si>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</si>
  <si>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</si>
  <si>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</si>
  <si>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</si>
  <si>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</si>
  <si>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</si>
  <si>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</si>
  <si>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</si>
  <si>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</si>
  <si>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</si>
  <si>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</si>
  <si>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</si>
  <si>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</si>
  <si>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</si>
  <si>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</si>
  <si>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</si>
  <si>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</si>
  <si>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</si>
  <si>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</si>
  <si>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</si>
  <si>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</si>
  <si>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</si>
  <si>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</si>
  <si>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</si>
  <si>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</si>
  <si>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</si>
  <si>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</si>
  <si>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</si>
  <si>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</si>
  <si>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</si>
  <si>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</si>
  <si>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</si>
  <si>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</si>
  <si>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</si>
  <si>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</si>
  <si>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</si>
  <si>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</si>
  <si>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</si>
  <si>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</si>
  <si>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</si>
  <si>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</si>
  <si>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</si>
  <si>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</si>
  <si>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</si>
  <si>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</si>
  <si>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</si>
  <si>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</si>
  <si>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</si>
  <si>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</si>
  <si>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</si>
  <si>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</si>
  <si>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</si>
  <si>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LU</t>
  </si>
  <si>
    <t>Luxembourg</t>
  </si>
  <si>
    <t>LU - Services sector summary</t>
  </si>
  <si>
    <t>Macro.number.LU.Population</t>
  </si>
  <si>
    <t>Macro.Meuro2015.LU.GDP</t>
  </si>
  <si>
    <t>Macro.Meuro2015.LU.VA</t>
  </si>
  <si>
    <t>Macro.number.LU.Employees</t>
  </si>
  <si>
    <t>NUM.number.LU.Ser.Bld</t>
  </si>
  <si>
    <t>SurfaceArea.ksqm.LU.Ser.Bld</t>
  </si>
  <si>
    <t>NUM.number.LU.Ser.BldNew</t>
  </si>
  <si>
    <t>SurfaceArea.ksqm.LU.Ser.BldNew</t>
  </si>
  <si>
    <t>HDD.Celsius.LU.Actual</t>
  </si>
  <si>
    <t>HDD.Celsius.LU.Mean</t>
  </si>
  <si>
    <t>HDD.ratio.LU.Relative</t>
  </si>
  <si>
    <t>FEC.ktoe.LU.ES.Ser</t>
  </si>
  <si>
    <t>FEC.ktoe.LU.ES.Ser.Solids</t>
  </si>
  <si>
    <t>FEC.ktoe.LU.ES.Ser.LPG</t>
  </si>
  <si>
    <t>FEC.ktoe.LU.ES.Ser.Oil</t>
  </si>
  <si>
    <t>FEC.ktoe.LU.ES.Ser.NG</t>
  </si>
  <si>
    <t>FEC.ktoe.LU.ES.Ser.Biomass_Waste</t>
  </si>
  <si>
    <t>FEC.ktoe.LU.ES.Ser.Biogas</t>
  </si>
  <si>
    <t>FEC.ktoe.LU.ES.Ser.LiqBio</t>
  </si>
  <si>
    <t>FEC.ktoe.LU.ES.Ser.Solar</t>
  </si>
  <si>
    <t>FEC.ktoe.LU.ES.Ser.Geo</t>
  </si>
  <si>
    <t>FEC.ktoe.LU.ES.Ser.Ambient</t>
  </si>
  <si>
    <t>FEC.ktoe.LU.ES.Ser.Steam_Distr</t>
  </si>
  <si>
    <t>FEC.ktoe.LU.ES.Ser.Elec</t>
  </si>
  <si>
    <t>FEC.ktoe.LU.Ser</t>
  </si>
  <si>
    <t>FEC.ktoe.LU.Ser.Bld.Thermal</t>
  </si>
  <si>
    <t>FEC.ktoe.LU.Ser.Bld.Thermal.SH</t>
  </si>
  <si>
    <t>FEC.ktoe.LU.Ser.Bld.Thermal.SC</t>
  </si>
  <si>
    <t>FEC.ktoe.LU.Ser.Bld.Thermal.HW</t>
  </si>
  <si>
    <t>FEC.ktoe.LU.Ser.Bld.Thermal.CA</t>
  </si>
  <si>
    <t>FEC.ktoe.LU.Ser.SEU</t>
  </si>
  <si>
    <t>EMI.ktCO2.LU.ES.Ser</t>
  </si>
  <si>
    <t>EMI.ktCO2.LU.ES.Ser.Solids</t>
  </si>
  <si>
    <t>EMI.ktCO2.LU.ES.Ser.LPG</t>
  </si>
  <si>
    <t>EMI.ktCO2.LU.ES.Ser.Oil</t>
  </si>
  <si>
    <t>EMI.ktCO2.LU.ES.Ser.NG</t>
  </si>
  <si>
    <t>EMI.ktCO2.LU.ES.Ser.Biomass_Waste</t>
  </si>
  <si>
    <t>EMI.ktCO2.LU.ES.Ser.Biogas</t>
  </si>
  <si>
    <t>EMI.ktCO2.LU.ES.Ser.LiqBio</t>
  </si>
  <si>
    <t>EMI.ktCO2.LU.ES.Ser.Solar</t>
  </si>
  <si>
    <t>EMI.ktCO2.LU.ES.Ser.Geo</t>
  </si>
  <si>
    <t>EMI.ktCO2.LU.ES.Ser.Ambient</t>
  </si>
  <si>
    <t>EMI.ktCO2.LU.ES.Ser.Steam_Distr</t>
  </si>
  <si>
    <t>EMI.ktCO2.LU.ES.Ser.Elec</t>
  </si>
  <si>
    <t>EMI.ktCO2.LU.Ser</t>
  </si>
  <si>
    <t>EMI.ktCO2.LU.Ser.Bld.Thermal</t>
  </si>
  <si>
    <t>EMI.ktCO2.LU.Ser.Bld.Thermal.SH</t>
  </si>
  <si>
    <t>EMI.ktCO2.LU.Ser.Bld.Thermal.SC</t>
  </si>
  <si>
    <t>EMI.ktCO2.LU.Ser.Bld.Thermal.HW</t>
  </si>
  <si>
    <t>EMI.ktCO2.LU.Ser.Bld.Thermal.CA</t>
  </si>
  <si>
    <t>EMI.ktCO2.LU.Ser.SEU</t>
  </si>
  <si>
    <t>Eff.ratio.LU.Ser.Bld.Thermal</t>
  </si>
  <si>
    <t>Eff.ratio.LU.Ser.Bld.Thermal.SH</t>
  </si>
  <si>
    <t>Eff.ratio.LU.Ser.Bld.Thermal.SC</t>
  </si>
  <si>
    <t>Eff.ratio.LU.Ser.Bld.Thermal.HW</t>
  </si>
  <si>
    <t>Eff.ratio.LU.Ser.Bld.Thermal.CA</t>
  </si>
  <si>
    <t>LU - Number of buildings</t>
  </si>
  <si>
    <t>NUM.number.LU.Ser.Bld.Thermal</t>
  </si>
  <si>
    <t>NUM.number.LU.Ser.Bld.Thermal.SH</t>
  </si>
  <si>
    <t>NUM.number.LU.Ser.Bld.Thermal.SH.Solids</t>
  </si>
  <si>
    <t>NUM.number.LU.Ser.Bld.Thermal.SH.LPG</t>
  </si>
  <si>
    <t>NUM.number.LU.Ser.Bld.Thermal.SH.Oil</t>
  </si>
  <si>
    <t>NUM.number.LU.Ser.Bld.Thermal.SH.GasHP</t>
  </si>
  <si>
    <t>NUM.number.LU.Ser.Bld.Thermal.SH.GasTH</t>
  </si>
  <si>
    <t>NUM.number.LU.Ser.Bld.Thermal.SH.Biomass</t>
  </si>
  <si>
    <t>NUM.number.LU.Ser.Bld.Thermal.SH.Geo</t>
  </si>
  <si>
    <t>NUM.number.LU.Ser.Bld.Thermal.SH.DistrHeat</t>
  </si>
  <si>
    <t>NUM.number.LU.Ser.Bld.Thermal.SH.AdvElc</t>
  </si>
  <si>
    <t>NUM.number.LU.Ser.Bld.Thermal.SH.ConvElc</t>
  </si>
  <si>
    <t>NUM.number.LU.Ser.Bld.Thermal.SC</t>
  </si>
  <si>
    <t>NUM.number.LU.Ser.Bld.Thermal.SC.GasHP</t>
  </si>
  <si>
    <t>NUM.number.LU.Ser.Bld.Thermal.SC.AC</t>
  </si>
  <si>
    <t>NUM.number.LU.Ser.Bld.Thermal.HW</t>
  </si>
  <si>
    <t>NUM.number.LU.Ser.Bld.Thermal.HW.Solids</t>
  </si>
  <si>
    <t>NUM.number.LU.Ser.Bld.Thermal.HW.LPG</t>
  </si>
  <si>
    <t>NUM.number.LU.Ser.Bld.Thermal.HW.Oil</t>
  </si>
  <si>
    <t>NUM.number.LU.Ser.Bld.Thermal.HW.Gas</t>
  </si>
  <si>
    <t>NUM.number.LU.Ser.Bld.Thermal.HW.Biomass</t>
  </si>
  <si>
    <t>NUM.number.LU.Ser.Bld.Thermal.HW.DistrHeat</t>
  </si>
  <si>
    <t>NUM.number.LU.Ser.Bld.Thermal.HW.Elc</t>
  </si>
  <si>
    <t>NUM.number.LU.Ser.Bld.Thermal.HW.Solar</t>
  </si>
  <si>
    <t>NUM.number.LU.Ser.Bld.Thermal.CA</t>
  </si>
  <si>
    <t>NUM.number.LU.Ser.Bld.Thermal.CA.LPG</t>
  </si>
  <si>
    <t>NUM.number.LU.Ser.Bld.Thermal.CA.Gas</t>
  </si>
  <si>
    <t>NUM.number.LU.Ser.Bld.Thermal.CA.Biomass</t>
  </si>
  <si>
    <t>NUM.number.LU.Ser.Bld.Thermal.CA.Elc</t>
  </si>
  <si>
    <t>LU - Final energy consumption</t>
  </si>
  <si>
    <t>FEC.ktoe.LU.Ser.Bld.Thermal.SH.Solids.Solids</t>
  </si>
  <si>
    <t>FEC.ktoe.LU.Ser.Bld.Thermal.SH.LPG.LPG</t>
  </si>
  <si>
    <t>FEC.ktoe.LU.Ser.Bld.Thermal.SH.Oil.Oil_LiqBio</t>
  </si>
  <si>
    <t>FEC.ktoe.LU.Ser.Bld.Thermal.SH.GasHP.NG_Biogas</t>
  </si>
  <si>
    <t>FEC.ktoe.LU.Ser.Bld.Thermal.SH.GasTH.NG_Biogas</t>
  </si>
  <si>
    <t>FEC.ktoe.LU.Ser.Bld.Thermal.SH.Biomass.Biomass_Waste</t>
  </si>
  <si>
    <t>FEC.ktoe.LU.Ser.Bld.Thermal.SH.Geo.Geo</t>
  </si>
  <si>
    <t>FEC.ktoe.LU.Ser.Bld.Thermal.SH.DistrHeat.Steam_Distr</t>
  </si>
  <si>
    <t>FEC.ktoe.LU.Ser.Bld.Thermal.SH.AdvElc.Elec</t>
  </si>
  <si>
    <t>FEC.ktoe.LU.Ser.Bld.Thermal.SH.ConvElc.Elec</t>
  </si>
  <si>
    <t>FEC.ktoe.LU.Ser.Bld.Thermal.SH.TotalCirculation.Elec</t>
  </si>
  <si>
    <t>FEC.ktoe.LU.Ser.Bld.Thermal.SC.GasHP.NG_Biogas</t>
  </si>
  <si>
    <t>FEC.ktoe.LU.Ser.Bld.Thermal.SC.AC.Elec</t>
  </si>
  <si>
    <t>FEC.ktoe.LU.Ser.Bld.Thermal.HW.Solids.Solids</t>
  </si>
  <si>
    <t>FEC.ktoe.LU.Ser.Bld.Thermal.HW.LPG.LPG</t>
  </si>
  <si>
    <t>FEC.ktoe.LU.Ser.Bld.Thermal.HW.Oil.Oil_LiqBio</t>
  </si>
  <si>
    <t>FEC.ktoe.LU.Ser.Bld.Thermal.HW.Gas.NG_Biogas</t>
  </si>
  <si>
    <t>FEC.ktoe.LU.Ser.Bld.Thermal.HW.Biomass.Biomass_Waste</t>
  </si>
  <si>
    <t>FEC.ktoe.LU.Ser.Bld.Thermal.HW.DistrHeat.Steam_Distr</t>
  </si>
  <si>
    <t>FEC.ktoe.LU.Ser.Bld.Thermal.HW.Elc.Elec</t>
  </si>
  <si>
    <t>FEC.ktoe.LU.Ser.Bld.Thermal.HW.TotalSolar.Solar</t>
  </si>
  <si>
    <t>FEC.ktoe.LU.Ser.Bld.Thermal.CA.LPG</t>
  </si>
  <si>
    <t>FEC.ktoe.LU.Ser.Bld.Thermal.CA.Gas.NG_Biogas</t>
  </si>
  <si>
    <t>FEC.ktoe.LU.Ser.Bld.Thermal.CA.Biomass.Biomass_Waste</t>
  </si>
  <si>
    <t>FEC.ktoe.LU.Ser.Bld.Thermal.CA.Elc.Elec</t>
  </si>
  <si>
    <t>LU - Thermal energy service</t>
  </si>
  <si>
    <t>TES.ktoe.LU.Ser.Bld.Thermal</t>
  </si>
  <si>
    <t>TES.ktoe.LU.Ser.Bld.Thermal.SH</t>
  </si>
  <si>
    <t>TES.ktoe.LU.Ser.Bld.Thermal.SH.Solids.Solids</t>
  </si>
  <si>
    <t>TES.ktoe.LU.Ser.Bld.Thermal.SH.LPG.LPG</t>
  </si>
  <si>
    <t>TES.ktoe.LU.Ser.Bld.Thermal.SH.Oil.Oil_LiqBio</t>
  </si>
  <si>
    <t>TES.ktoe.LU.Ser.Bld.Thermal.SH.GasHP.NG_Biogas</t>
  </si>
  <si>
    <t>TES.ktoe.LU.Ser.Bld.Thermal.SH.GasTH.NG_Biogas</t>
  </si>
  <si>
    <t>TES.ktoe.LU.Ser.Bld.Thermal.SH.Biomass.Biomass_Waste</t>
  </si>
  <si>
    <t>TES.ktoe.LU.Ser.Bld.Thermal.SH.Geo.Geo</t>
  </si>
  <si>
    <t>TES.ktoe.LU.Ser.Bld.Thermal.SH.DistrHeat.Steam_Distr</t>
  </si>
  <si>
    <t>TES.ktoe.LU.Ser.Bld.Thermal.SH.AdvElc.Elec</t>
  </si>
  <si>
    <t>TES.ktoe.LU.Ser.Bld.Thermal.SH.ConvElc.Elec</t>
  </si>
  <si>
    <t>TES.ktoe.LU.Ser.Bld.Thermal.SH.TotalCirculation.Elec</t>
  </si>
  <si>
    <t>TES.ktoe.LU.Ser.Bld.Thermal.SC</t>
  </si>
  <si>
    <t>TES.ktoe.LU.Ser.Bld.Thermal.SC.GasHP.NG_Biogas</t>
  </si>
  <si>
    <t>TES.ktoe.LU.Ser.Bld.Thermal.SC.AC.Elec</t>
  </si>
  <si>
    <t>TES.ktoe.LU.Ser.Bld.Thermal.HW</t>
  </si>
  <si>
    <t>TES.ktoe.LU.Ser.Bld.Thermal.HW.Solids.Solids</t>
  </si>
  <si>
    <t>TES.ktoe.LU.Ser.Bld.Thermal.HW.LPG.LPG</t>
  </si>
  <si>
    <t>TES.ktoe.LU.Ser.Bld.Thermal.HW.Oil.Oil_LiqBio</t>
  </si>
  <si>
    <t>TES.ktoe.LU.Ser.Bld.Thermal.HW.Gas.NG_Biogas</t>
  </si>
  <si>
    <t>TES.ktoe.LU.Ser.Bld.Thermal.HW.Biomass.Biomass_Waste</t>
  </si>
  <si>
    <t>TES.ktoe.LU.Ser.Bld.Thermal.HW.DistrHeat.Steam_Distr</t>
  </si>
  <si>
    <t>TES.ktoe.LU.Ser.Bld.Thermal.HW.Elc.Elec</t>
  </si>
  <si>
    <t>TES.ktoe.LU.Ser.Bld.Thermal.HW.TotalSolar.Solar</t>
  </si>
  <si>
    <t>TES.ktoe.LU.Ser.Bld.Thermal.CA</t>
  </si>
  <si>
    <t>TES.ktoe.LU.Ser.Bld.Thermal.CA.LPG</t>
  </si>
  <si>
    <t>TES.ktoe.LU.Ser.Bld.Thermal.CA.Gas.NG_Biogas</t>
  </si>
  <si>
    <t>TES.ktoe.LU.Ser.Bld.Thermal.CA.Biomass.Biomass_Waste</t>
  </si>
  <si>
    <t>TES.ktoe.LU.Ser.Bld.Thermal.CA.Elc.Elec</t>
  </si>
  <si>
    <t>LU - System efficiency indicator of total stock</t>
  </si>
  <si>
    <t>Eff.ratio.LU.Ser.Bld.Thermal.SH.Solids.Solids</t>
  </si>
  <si>
    <t>Eff.ratio.LU.Ser.Bld.Thermal.SH.LPG.LPG</t>
  </si>
  <si>
    <t>Eff.ratio.LU.Ser.Bld.Thermal.SH.Oil.Oil_LiqBio</t>
  </si>
  <si>
    <t>Eff.ratio.LU.Ser.Bld.Thermal.SH.GasHP.NG_Biogas</t>
  </si>
  <si>
    <t>Eff.ratio.LU.Ser.Bld.Thermal.SH.GasTH.NG_Biogas</t>
  </si>
  <si>
    <t>Eff.ratio.LU.Ser.Bld.Thermal.SH.Biomass.Biomass_Waste</t>
  </si>
  <si>
    <t>Eff.ratio.LU.Ser.Bld.Thermal.SH.Geo.Geo</t>
  </si>
  <si>
    <t>Eff.ratio.LU.Ser.Bld.Thermal.SH.DistrHeat.Steam_Distr</t>
  </si>
  <si>
    <t>Eff.ratio.LU.Ser.Bld.Thermal.SH.AdvElc.Elec</t>
  </si>
  <si>
    <t>Eff.ratio.LU.Ser.Bld.Thermal.SH.ConvElc.Elec</t>
  </si>
  <si>
    <t>Eff.ratio.LU.Ser.Bld.Thermal.SH.TotalCirculation.Elec</t>
  </si>
  <si>
    <t>Eff.ratio.LU.Ser.Bld.Thermal.SC.GasHP.NG_Biogas</t>
  </si>
  <si>
    <t>Eff.ratio.LU.Ser.Bld.Thermal.SC.AC.Elec</t>
  </si>
  <si>
    <t>Eff.ratio.LU.Ser.Bld.Thermal.HW.Solids.Solids</t>
  </si>
  <si>
    <t>Eff.ratio.LU.Ser.Bld.Thermal.HW.LPG.LPG</t>
  </si>
  <si>
    <t>Eff.ratio.LU.Ser.Bld.Thermal.HW.Oil.Oil_LiqBio</t>
  </si>
  <si>
    <t>Eff.ratio.LU.Ser.Bld.Thermal.HW.Gas.NG_Biogas</t>
  </si>
  <si>
    <t>Eff.ratio.LU.Ser.Bld.Thermal.HW.Biomass.Biomass_Waste</t>
  </si>
  <si>
    <t>Eff.ratio.LU.Ser.Bld.Thermal.HW.DistrHeat.Steam_Distr</t>
  </si>
  <si>
    <t>Eff.ratio.LU.Ser.Bld.Thermal.HW.Elc.Elec</t>
  </si>
  <si>
    <t>Eff.ratio.LU.Ser.Bld.Thermal.HW.TotalSolar.Solar</t>
  </si>
  <si>
    <t>Eff.ratio.LU.Ser.Bld.Thermal.CA.LPG</t>
  </si>
  <si>
    <t>Eff.ratio.LU.Ser.Bld.Thermal.CA.Gas.NG_Biogas</t>
  </si>
  <si>
    <t>Eff.ratio.LU.Ser.Bld.Thermal.CA.Biomass.Biomass_Waste</t>
  </si>
  <si>
    <t>Eff.ratio.LU.Ser.Bld.Thermal.CA.Elc.Elec</t>
  </si>
  <si>
    <t>LU - CO2 emissions</t>
  </si>
  <si>
    <t>EMI.ktCO2.LU.Ser.Bld.Thermal.SH.Solids.Solids</t>
  </si>
  <si>
    <t>EMI.ktCO2.LU.Ser.Bld.Thermal.SH.LPG.LPG</t>
  </si>
  <si>
    <t>EMI.ktCO2.LU.Ser.Bld.Thermal.SH.Oil.Oil_LiqBio</t>
  </si>
  <si>
    <t>EMI.ktCO2.LU.Ser.Bld.Thermal.SH.GasHP.NG_Biogas</t>
  </si>
  <si>
    <t>EMI.ktCO2.LU.Ser.Bld.Thermal.SH.GasTH.NG_Biogas</t>
  </si>
  <si>
    <t>EMI.ktCO2.LU.Ser.Bld.Thermal.SH.Biomass.Biomass_Waste</t>
  </si>
  <si>
    <t>EMI.ktCO2.LU.Ser.Bld.Thermal.SH.Geo.Geo</t>
  </si>
  <si>
    <t>EMI.ktCO2.LU.Ser.Bld.Thermal.SH.DistrHeat.Steam_Distr</t>
  </si>
  <si>
    <t>EMI.ktCO2.LU.Ser.Bld.Thermal.SH.AdvElc.Elec</t>
  </si>
  <si>
    <t>EMI.ktCO2.LU.Ser.Bld.Thermal.SH.ConvElc.Elec</t>
  </si>
  <si>
    <t>EMI.ktCO2.LU.Ser.Bld.Thermal.SH.TotalCirculation.Elec</t>
  </si>
  <si>
    <t>EMI.ktCO2.LU.Ser.Bld.Thermal.SC.GasHP.NG_Biogas</t>
  </si>
  <si>
    <t>EMI.ktCO2.LU.Ser.Bld.Thermal.SC.AC.Elec</t>
  </si>
  <si>
    <t>EMI.ktCO2.LU.Ser.Bld.Thermal.HW.Solids.Solids</t>
  </si>
  <si>
    <t>EMI.ktCO2.LU.Ser.Bld.Thermal.HW.LPG.LPG</t>
  </si>
  <si>
    <t>EMI.ktCO2.LU.Ser.Bld.Thermal.HW.Oil.Oil_LiqBio</t>
  </si>
  <si>
    <t>EMI.ktCO2.LU.Ser.Bld.Thermal.HW.Gas.NG_Biogas</t>
  </si>
  <si>
    <t>EMI.ktCO2.LU.Ser.Bld.Thermal.HW.Biomass.Biomass_Waste</t>
  </si>
  <si>
    <t>EMI.ktCO2.LU.Ser.Bld.Thermal.HW.DistrHeat.Steam_Distr</t>
  </si>
  <si>
    <t>EMI.ktCO2.LU.Ser.Bld.Thermal.HW.Elc.Elec</t>
  </si>
  <si>
    <t>EMI.ktCO2.LU.Ser.Bld.Thermal.HW.TotalSolar.Solar</t>
  </si>
  <si>
    <t>EMI.ktCO2.LU.Ser.Bld.Thermal.CA.LPG</t>
  </si>
  <si>
    <t>EMI.ktCO2.LU.Ser.Bld.Thermal.CA.Gas.NG_Biogas</t>
  </si>
  <si>
    <t>EMI.ktCO2.LU.Ser.Bld.Thermal.CA.Biomass.Biomass_Waste</t>
  </si>
  <si>
    <t>EMI.ktCO2.LU.Ser.Bld.Thermal.CA.Elc.Elec</t>
  </si>
  <si>
    <t>LU - Final energy consumption per building</t>
  </si>
  <si>
    <t>FEC_per_building.kWh.LU.Ser.Bld.Thermal</t>
  </si>
  <si>
    <t>FEC_per_building.kWh.LU.Ser.Bld.Thermal.SH</t>
  </si>
  <si>
    <t>FEC_per_building.kWh.LU.Ser.Bld.Thermal.SH.Solids.Solids</t>
  </si>
  <si>
    <t>FEC_per_building.kWh.LU.Ser.Bld.Thermal.SH.LPG.LPG</t>
  </si>
  <si>
    <t>FEC_per_building.kWh.LU.Ser.Bld.Thermal.SH.Oil.Oil_LiqBio</t>
  </si>
  <si>
    <t>FEC_per_building.kWh.LU.Ser.Bld.Thermal.SH.GasHP.NG_Biogas</t>
  </si>
  <si>
    <t>FEC_per_building.kWh.LU.Ser.Bld.Thermal.SH.GasTH.NG_Biogas</t>
  </si>
  <si>
    <t>FEC_per_building.kWh.LU.Ser.Bld.Thermal.SH.Biomass.Biomass_Waste</t>
  </si>
  <si>
    <t>FEC_per_building.kWh.LU.Ser.Bld.Thermal.SH.Geo.Geo</t>
  </si>
  <si>
    <t>FEC_per_building.kWh.LU.Ser.Bld.Thermal.SH.DistrHeat.Steam_Distr</t>
  </si>
  <si>
    <t>FEC_per_building.kWh.LU.Ser.Bld.Thermal.SH.AdvElc.Elec</t>
  </si>
  <si>
    <t>FEC_per_building.kWh.LU.Ser.Bld.Thermal.SH.ConvElc.Elec</t>
  </si>
  <si>
    <t>FEC_per_building.kWh.LU.Ser.Bld.Thermal.SH.TotalCirculation.Elec</t>
  </si>
  <si>
    <t>FEC_per_building.kWh.LU.Ser.Bld.Thermal.SC</t>
  </si>
  <si>
    <t>FEC_per_building.kWh.LU.Ser.Bld.Thermal.SC.GasHP.NG_Biogas</t>
  </si>
  <si>
    <t>FEC_per_building.kWh.LU.Ser.Bld.Thermal.SC.AC.Elec</t>
  </si>
  <si>
    <t>FEC_per_building.kWh.LU.Ser.Bld.Thermal.HW</t>
  </si>
  <si>
    <t>FEC_per_building.kWh.LU.Ser.Bld.Thermal.HW.Solids.Solids</t>
  </si>
  <si>
    <t>FEC_per_building.kWh.LU.Ser.Bld.Thermal.HW.LPG.LPG</t>
  </si>
  <si>
    <t>FEC_per_building.kWh.LU.Ser.Bld.Thermal.HW.Oil.Oil_LiqBio</t>
  </si>
  <si>
    <t>FEC_per_building.kWh.LU.Ser.Bld.Thermal.HW.Gas.NG_Biogas</t>
  </si>
  <si>
    <t>FEC_per_building.kWh.LU.Ser.Bld.Thermal.HW.Biomass.Biomass_Waste</t>
  </si>
  <si>
    <t>FEC_per_building.kWh.LU.Ser.Bld.Thermal.HW.DistrHeat.Steam_Distr</t>
  </si>
  <si>
    <t>FEC_per_building.kWh.LU.Ser.Bld.Thermal.HW.Elc.Elec</t>
  </si>
  <si>
    <t>FEC_per_building.kWh.LU.Ser.Bld.Thermal.HW.TotalSolar.Solar</t>
  </si>
  <si>
    <t>FEC_per_building.kWh.LU.Ser.Bld.Thermal.CA</t>
  </si>
  <si>
    <t>FEC_per_building.kWh.LU.Ser.Bld.Thermal.CA.LPG</t>
  </si>
  <si>
    <t>FEC_per_building.kWh.LU.Ser.Bld.Thermal.CA.Gas.NG_Biogas</t>
  </si>
  <si>
    <t>FEC_per_building.kWh.LU.Ser.Bld.Thermal.CA.Biomass.Biomass_Waste</t>
  </si>
  <si>
    <t>FEC_per_building.kWh.LU.Ser.Bld.Thermal.CA.Elc.Elec</t>
  </si>
  <si>
    <t>LU - Thermal energy service per building</t>
  </si>
  <si>
    <t>TES_per_building.kWh.LU.Ser.Bld.Thermal</t>
  </si>
  <si>
    <t>TES_per_building.kWh.LU.Ser.Bld.Thermal.SH</t>
  </si>
  <si>
    <t>TES_per_building.kWh.LU.Ser.Bld.Thermal.SH.Solids.Solids</t>
  </si>
  <si>
    <t>TES_per_building.kWh.LU.Ser.Bld.Thermal.SH.LPG.LPG</t>
  </si>
  <si>
    <t>TES_per_building.kWh.LU.Ser.Bld.Thermal.SH.Oil.Oil_LiqBio</t>
  </si>
  <si>
    <t>TES_per_building.kWh.LU.Ser.Bld.Thermal.SH.GasHP.NG_Biogas</t>
  </si>
  <si>
    <t>TES_per_building.kWh.LU.Ser.Bld.Thermal.SH.GasTH.NG_Biogas</t>
  </si>
  <si>
    <t>TES_per_building.kWh.LU.Ser.Bld.Thermal.SH.Biomass.Biomass_Waste</t>
  </si>
  <si>
    <t>TES_per_building.kWh.LU.Ser.Bld.Thermal.SH.Geo.Geo</t>
  </si>
  <si>
    <t>TES_per_building.kWh.LU.Ser.Bld.Thermal.SH.DistrHeat.Steam_Distr</t>
  </si>
  <si>
    <t>TES_per_building.kWh.LU.Ser.Bld.Thermal.SH.AdvElc.Elec</t>
  </si>
  <si>
    <t>TES_per_building.kWh.LU.Ser.Bld.Thermal.SH.ConvElc.Elec</t>
  </si>
  <si>
    <t>TES_per_building.kWh.LU.Ser.Bld.Thermal.SH.TotalCirculation.Elec</t>
  </si>
  <si>
    <t>TES_per_building.kWh.LU.Ser.Bld.Thermal.SC</t>
  </si>
  <si>
    <t>TES_per_building.kWh.LU.Ser.Bld.Thermal.SC.GasHP.NG_Biogas</t>
  </si>
  <si>
    <t>TES_per_building.kWh.LU.Ser.Bld.Thermal.SC.AC.Elec</t>
  </si>
  <si>
    <t>TES_per_building.kWh.LU.Ser.Bld.Thermal.HW</t>
  </si>
  <si>
    <t>TES_per_building.kWh.LU.Ser.Bld.Thermal.HW.Solids.Solids</t>
  </si>
  <si>
    <t>TES_per_building.kWh.LU.Ser.Bld.Thermal.HW.LPG.LPG</t>
  </si>
  <si>
    <t>TES_per_building.kWh.LU.Ser.Bld.Thermal.HW.Oil.Oil_LiqBio</t>
  </si>
  <si>
    <t>TES_per_building.kWh.LU.Ser.Bld.Thermal.HW.Gas.NG_Biogas</t>
  </si>
  <si>
    <t>TES_per_building.kWh.LU.Ser.Bld.Thermal.HW.Biomass.Biomass_Waste</t>
  </si>
  <si>
    <t>TES_per_building.kWh.LU.Ser.Bld.Thermal.HW.DistrHeat.Steam_Distr</t>
  </si>
  <si>
    <t>TES_per_building.kWh.LU.Ser.Bld.Thermal.HW.Elc.Elec</t>
  </si>
  <si>
    <t>TES_per_building.kWh.LU.Ser.Bld.Thermal.HW.TotalSolar.Solar</t>
  </si>
  <si>
    <t>TES_per_building.kWh.LU.Ser.Bld.Thermal.CA</t>
  </si>
  <si>
    <t>TES_per_building.kWh.LU.Ser.Bld.Thermal.CA.LPG</t>
  </si>
  <si>
    <t>TES_per_building.kWh.LU.Ser.Bld.Thermal.CA.Gas.NG_Biogas</t>
  </si>
  <si>
    <t>TES_per_building.kWh.LU.Ser.Bld.Thermal.CA.Biomass.Biomass_Waste</t>
  </si>
  <si>
    <t>TES_per_building.kWh.LU.Ser.Bld.Thermal.CA.Elc.Elec</t>
  </si>
  <si>
    <t>LU - CO2 emissions per building</t>
  </si>
  <si>
    <t>EMI_per_building.kgCO2.LU.Ser.Bld.Thermal</t>
  </si>
  <si>
    <t>EMI_per_building.kgCO2.LU.Ser.Bld.Thermal.SH</t>
  </si>
  <si>
    <t>EMI_per_building.kgCO2.LU.Ser.Bld.Thermal.SH.Solids.Solids</t>
  </si>
  <si>
    <t>EMI_per_building.kgCO2.LU.Ser.Bld.Thermal.SH.LPG.LPG</t>
  </si>
  <si>
    <t>EMI_per_building.kgCO2.LU.Ser.Bld.Thermal.SH.Oil.Oil_LiqBio</t>
  </si>
  <si>
    <t>EMI_per_building.kgCO2.LU.Ser.Bld.Thermal.SH.GasHP.NG_Biogas</t>
  </si>
  <si>
    <t>EMI_per_building.kgCO2.LU.Ser.Bld.Thermal.SH.GasTH.NG_Biogas</t>
  </si>
  <si>
    <t>EMI_per_building.kgCO2.LU.Ser.Bld.Thermal.SH.Biomass.Biomass_Waste</t>
  </si>
  <si>
    <t>EMI_per_building.kgCO2.LU.Ser.Bld.Thermal.SH.Geo.Geo</t>
  </si>
  <si>
    <t>EMI_per_building.kgCO2.LU.Ser.Bld.Thermal.SH.DistrHeat.Steam_Distr</t>
  </si>
  <si>
    <t>EMI_per_building.kgCO2.LU.Ser.Bld.Thermal.SH.AdvElc.Elec</t>
  </si>
  <si>
    <t>EMI_per_building.kgCO2.LU.Ser.Bld.Thermal.SH.ConvElc.Elec</t>
  </si>
  <si>
    <t>EMI_per_building.kgCO2.LU.Ser.Bld.Thermal.SH.TotalCirculation.Elec</t>
  </si>
  <si>
    <t>EMI_per_building.kgCO2.LU.Ser.Bld.Thermal.SC</t>
  </si>
  <si>
    <t>EMI_per_building.kgCO2.LU.Ser.Bld.Thermal.SC.GasHP.NG_Biogas</t>
  </si>
  <si>
    <t>EMI_per_building.kgCO2.LU.Ser.Bld.Thermal.SC.AC.Elec</t>
  </si>
  <si>
    <t>EMI_per_building.kgCO2.LU.Ser.Bld.Thermal.HW</t>
  </si>
  <si>
    <t>EMI_per_building.kgCO2.LU.Ser.Bld.Thermal.HW.Solids.Solids</t>
  </si>
  <si>
    <t>EMI_per_building.kgCO2.LU.Ser.Bld.Thermal.HW.LPG.LPG</t>
  </si>
  <si>
    <t>EMI_per_building.kgCO2.LU.Ser.Bld.Thermal.HW.Oil.Oil_LiqBio</t>
  </si>
  <si>
    <t>EMI_per_building.kgCO2.LU.Ser.Bld.Thermal.HW.Gas.NG_Biogas</t>
  </si>
  <si>
    <t>EMI_per_building.kgCO2.LU.Ser.Bld.Thermal.HW.Biomass.Biomass_Waste</t>
  </si>
  <si>
    <t>EMI_per_building.kgCO2.LU.Ser.Bld.Thermal.HW.DistrHeat.Steam_Distr</t>
  </si>
  <si>
    <t>EMI_per_building.kgCO2.LU.Ser.Bld.Thermal.HW.Elc.Elec</t>
  </si>
  <si>
    <t>EMI_per_building.kgCO2.LU.Ser.Bld.Thermal.HW.TotalSolar.Solar</t>
  </si>
  <si>
    <t>EMI_per_building.kgCO2.LU.Ser.Bld.Thermal.CA</t>
  </si>
  <si>
    <t>EMI_per_building.kgCO2.LU.Ser.Bld.Thermal.CA.LPG</t>
  </si>
  <si>
    <t>EMI_per_building.kgCO2.LU.Ser.Bld.Thermal.CA.Gas.NG_Biogas</t>
  </si>
  <si>
    <t>EMI_per_building.kgCO2.LU.Ser.Bld.Thermal.CA.Biomass.Biomass_Waste</t>
  </si>
  <si>
    <t>EMI_per_building.kgCO2.LU.Ser.Bld.Thermal.CA.Elc.Elec</t>
  </si>
  <si>
    <t>LU - Final energy consumption per useful surface area</t>
  </si>
  <si>
    <t>FEC_per_sqm.kWh.LU.Ser.Bld.Thermal</t>
  </si>
  <si>
    <t>FEC_per_sqm.kWh.LU.Ser.Bld.Thermal.SH</t>
  </si>
  <si>
    <t>FEC_per_sqm.kWh.LU.Ser.Bld.Thermal.SH.Solids.Solids</t>
  </si>
  <si>
    <t>FEC_per_sqm.kWh.LU.Ser.Bld.Thermal.SH.LPG.LPG</t>
  </si>
  <si>
    <t>FEC_per_sqm.kWh.LU.Ser.Bld.Thermal.SH.Oil.Oil_LiqBio</t>
  </si>
  <si>
    <t>FEC_per_sqm.kWh.LU.Ser.Bld.Thermal.SH.GasHP.NG_Biogas</t>
  </si>
  <si>
    <t>FEC_per_sqm.kWh.LU.Ser.Bld.Thermal.SH.GasTH.NG_Biogas</t>
  </si>
  <si>
    <t>FEC_per_sqm.kWh.LU.Ser.Bld.Thermal.SH.Biomass.Biomass_Waste</t>
  </si>
  <si>
    <t>FEC_per_sqm.kWh.LU.Ser.Bld.Thermal.SH.Geo.Geo</t>
  </si>
  <si>
    <t>FEC_per_sqm.kWh.LU.Ser.Bld.Thermal.SH.DistrHeat.Steam_Distr</t>
  </si>
  <si>
    <t>FEC_per_sqm.kWh.LU.Ser.Bld.Thermal.SH.AdvElc.Elec</t>
  </si>
  <si>
    <t>FEC_per_sqm.kWh.LU.Ser.Bld.Thermal.SH.ConvElc.Elec</t>
  </si>
  <si>
    <t>FEC_per_sqm.kWh.LU.Ser.Bld.Thermal.SH.TotalCirculation.Elec</t>
  </si>
  <si>
    <t>FEC_per_sqm.kWh.LU.Ser.Bld.Thermal.SC</t>
  </si>
  <si>
    <t>FEC_per_sqm.kWh.LU.Ser.Bld.Thermal.SC.GasHP.NG_Biogas</t>
  </si>
  <si>
    <t>FEC_per_sqm.kWh.LU.Ser.Bld.Thermal.SC.AC.Elec</t>
  </si>
  <si>
    <t>FEC_per_sqm.kWh.LU.Ser.Bld.Thermal.HW</t>
  </si>
  <si>
    <t>FEC_per_sqm.kWh.LU.Ser.Bld.Thermal.HW.Solids.Solids</t>
  </si>
  <si>
    <t>FEC_per_sqm.kWh.LU.Ser.Bld.Thermal.HW.LPG.LPG</t>
  </si>
  <si>
    <t>FEC_per_sqm.kWh.LU.Ser.Bld.Thermal.HW.Oil.Oil_LiqBio</t>
  </si>
  <si>
    <t>FEC_per_sqm.kWh.LU.Ser.Bld.Thermal.HW.Gas.NG_Biogas</t>
  </si>
  <si>
    <t>FEC_per_sqm.kWh.LU.Ser.Bld.Thermal.HW.Biomass.Biomass_Waste</t>
  </si>
  <si>
    <t>FEC_per_sqm.kWh.LU.Ser.Bld.Thermal.HW.DistrHeat.Steam_Distr</t>
  </si>
  <si>
    <t>FEC_per_sqm.kWh.LU.Ser.Bld.Thermal.HW.Elc.Elec</t>
  </si>
  <si>
    <t>FEC_per_sqm.kWh.LU.Ser.Bld.Thermal.HW.TotalSolar.Solar</t>
  </si>
  <si>
    <t>FEC_per_sqm.kWh.LU.Ser.Bld.Thermal.CA</t>
  </si>
  <si>
    <t>FEC_per_sqm.kWh.LU.Ser.Bld.Thermal.CA.LPG</t>
  </si>
  <si>
    <t>FEC_per_sqm.kWh.LU.Ser.Bld.Thermal.CA.Gas.NG_Biogas</t>
  </si>
  <si>
    <t>FEC_per_sqm.kWh.LU.Ser.Bld.Thermal.CA.Biomass.Biomass_Waste</t>
  </si>
  <si>
    <t>FEC_per_sqm.kWh.LU.Ser.Bld.Thermal.CA.Elc.Elec</t>
  </si>
  <si>
    <t>LU - Thermal energy service per useful surface area</t>
  </si>
  <si>
    <t>TES_per_sqm.kWh.LU.Ser.Bld.Thermal</t>
  </si>
  <si>
    <t>TES_per_sqm.kWh.LU.Ser.Bld.Thermal.SH</t>
  </si>
  <si>
    <t>TES_per_sqm.kWh.LU.Ser.Bld.Thermal.SH.Solids.Solids</t>
  </si>
  <si>
    <t>TES_per_sqm.kWh.LU.Ser.Bld.Thermal.SH.LPG.LPG</t>
  </si>
  <si>
    <t>TES_per_sqm.kWh.LU.Ser.Bld.Thermal.SH.Oil.Oil_LiqBio</t>
  </si>
  <si>
    <t>TES_per_sqm.kWh.LU.Ser.Bld.Thermal.SH.GasHP.NG_Biogas</t>
  </si>
  <si>
    <t>TES_per_sqm.kWh.LU.Ser.Bld.Thermal.SH.GasTH.NG_Biogas</t>
  </si>
  <si>
    <t>TES_per_sqm.kWh.LU.Ser.Bld.Thermal.SH.Biomass.Biomass_Waste</t>
  </si>
  <si>
    <t>TES_per_sqm.kWh.LU.Ser.Bld.Thermal.SH.Geo.Geo</t>
  </si>
  <si>
    <t>TES_per_sqm.kWh.LU.Ser.Bld.Thermal.SH.DistrHeat.Steam_Distr</t>
  </si>
  <si>
    <t>TES_per_sqm.kWh.LU.Ser.Bld.Thermal.SH.AdvElc.Elec</t>
  </si>
  <si>
    <t>TES_per_sqm.kWh.LU.Ser.Bld.Thermal.SH.ConvElc.Elec</t>
  </si>
  <si>
    <t>TES_per_sqm.kWh.LU.Ser.Bld.Thermal.SH.TotalCirculation.Elec</t>
  </si>
  <si>
    <t>TES_per_sqm.kWh.LU.Ser.Bld.Thermal.SC</t>
  </si>
  <si>
    <t>TES_per_sqm.kWh.LU.Ser.Bld.Thermal.SC.GasHP.NG_Biogas</t>
  </si>
  <si>
    <t>TES_per_sqm.kWh.LU.Ser.Bld.Thermal.SC.AC.Elec</t>
  </si>
  <si>
    <t>TES_per_sqm.kWh.LU.Ser.Bld.Thermal.HW</t>
  </si>
  <si>
    <t>TES_per_sqm.kWh.LU.Ser.Bld.Thermal.HW.Solids.Solids</t>
  </si>
  <si>
    <t>TES_per_sqm.kWh.LU.Ser.Bld.Thermal.HW.LPG.LPG</t>
  </si>
  <si>
    <t>TES_per_sqm.kWh.LU.Ser.Bld.Thermal.HW.Oil.Oil_LiqBio</t>
  </si>
  <si>
    <t>TES_per_sqm.kWh.LU.Ser.Bld.Thermal.HW.Gas.NG_Biogas</t>
  </si>
  <si>
    <t>TES_per_sqm.kWh.LU.Ser.Bld.Thermal.HW.Biomass.Biomass_Waste</t>
  </si>
  <si>
    <t>TES_per_sqm.kWh.LU.Ser.Bld.Thermal.HW.DistrHeat.Steam_Distr</t>
  </si>
  <si>
    <t>TES_per_sqm.kWh.LU.Ser.Bld.Thermal.HW.Elc.Elec</t>
  </si>
  <si>
    <t>TES_per_sqm.kWh.LU.Ser.Bld.Thermal.HW.TotalSolar.Solar</t>
  </si>
  <si>
    <t>TES_per_sqm.kWh.LU.Ser.Bld.Thermal.CA</t>
  </si>
  <si>
    <t>TES_per_sqm.kWh.LU.Ser.Bld.Thermal.CA.LPG</t>
  </si>
  <si>
    <t>TES_per_sqm.kWh.LU.Ser.Bld.Thermal.CA.Gas.NG_Biogas</t>
  </si>
  <si>
    <t>TES_per_sqm.kWh.LU.Ser.Bld.Thermal.CA.Biomass.Biomass_Waste</t>
  </si>
  <si>
    <t>TES_per_sqm.kWh.LU.Ser.Bld.Thermal.CA.Elc.Elec</t>
  </si>
  <si>
    <t>LU - CO2 emissions per useful surface area</t>
  </si>
  <si>
    <t>EMI_per_sqm.kgCO2.LU.Ser.Bld.Thermal</t>
  </si>
  <si>
    <t>EMI_per_sqm.kgCO2.LU.Ser.Bld.Thermal.SH</t>
  </si>
  <si>
    <t>EMI_per_sqm.kgCO2.LU.Ser.Bld.Thermal.SH.Solids.Solids</t>
  </si>
  <si>
    <t>EMI_per_sqm.kgCO2.LU.Ser.Bld.Thermal.SH.LPG.LPG</t>
  </si>
  <si>
    <t>EMI_per_sqm.kgCO2.LU.Ser.Bld.Thermal.SH.Oil.Oil_LiqBio</t>
  </si>
  <si>
    <t>EMI_per_sqm.kgCO2.LU.Ser.Bld.Thermal.SH.GasHP.NG_Biogas</t>
  </si>
  <si>
    <t>EMI_per_sqm.kgCO2.LU.Ser.Bld.Thermal.SH.GasTH.NG_Biogas</t>
  </si>
  <si>
    <t>EMI_per_sqm.kgCO2.LU.Ser.Bld.Thermal.SH.Biomass.Biomass_Waste</t>
  </si>
  <si>
    <t>EMI_per_sqm.kgCO2.LU.Ser.Bld.Thermal.SH.Geo.Geo</t>
  </si>
  <si>
    <t>EMI_per_sqm.kgCO2.LU.Ser.Bld.Thermal.SH.DistrHeat.Steam_Distr</t>
  </si>
  <si>
    <t>EMI_per_sqm.kgCO2.LU.Ser.Bld.Thermal.SH.AdvElc.Elec</t>
  </si>
  <si>
    <t>EMI_per_sqm.kgCO2.LU.Ser.Bld.Thermal.SH.ConvElc.Elec</t>
  </si>
  <si>
    <t>EMI_per_sqm.kgCO2.LU.Ser.Bld.Thermal.SH.TotalCirculation.Elec</t>
  </si>
  <si>
    <t>EMI_per_sqm.kgCO2.LU.Ser.Bld.Thermal.SC</t>
  </si>
  <si>
    <t>EMI_per_sqm.kgCO2.LU.Ser.Bld.Thermal.SC.GasHP.NG_Biogas</t>
  </si>
  <si>
    <t>EMI_per_sqm.kgCO2.LU.Ser.Bld.Thermal.SC.AC.Elec</t>
  </si>
  <si>
    <t>EMI_per_sqm.kgCO2.LU.Ser.Bld.Thermal.HW</t>
  </si>
  <si>
    <t>EMI_per_sqm.kgCO2.LU.Ser.Bld.Thermal.HW.Solids.Solids</t>
  </si>
  <si>
    <t>EMI_per_sqm.kgCO2.LU.Ser.Bld.Thermal.HW.LPG.LPG</t>
  </si>
  <si>
    <t>EMI_per_sqm.kgCO2.LU.Ser.Bld.Thermal.HW.Oil.Oil_LiqBio</t>
  </si>
  <si>
    <t>EMI_per_sqm.kgCO2.LU.Ser.Bld.Thermal.HW.Gas.NG_Biogas</t>
  </si>
  <si>
    <t>EMI_per_sqm.kgCO2.LU.Ser.Bld.Thermal.HW.Biomass.Biomass_Waste</t>
  </si>
  <si>
    <t>EMI_per_sqm.kgCO2.LU.Ser.Bld.Thermal.HW.DistrHeat.Steam_Distr</t>
  </si>
  <si>
    <t>EMI_per_sqm.kgCO2.LU.Ser.Bld.Thermal.HW.Elc.Elec</t>
  </si>
  <si>
    <t>EMI_per_sqm.kgCO2.LU.Ser.Bld.Thermal.HW.TotalSolar.Solar</t>
  </si>
  <si>
    <t>EMI_per_sqm.kgCO2.LU.Ser.Bld.Thermal.CA</t>
  </si>
  <si>
    <t>EMI_per_sqm.kgCO2.LU.Ser.Bld.Thermal.CA.LPG</t>
  </si>
  <si>
    <t>EMI_per_sqm.kgCO2.LU.Ser.Bld.Thermal.CA.Gas.NG_Biogas</t>
  </si>
  <si>
    <t>EMI_per_sqm.kgCO2.LU.Ser.Bld.Thermal.CA.Biomass.Biomass_Waste</t>
  </si>
  <si>
    <t>EMI_per_sqm.kgCO2.LU.Ser.Bld.Thermal.CA.Elc.Elec</t>
  </si>
  <si>
    <t>LU - Number of new and renovated buildings</t>
  </si>
  <si>
    <t>NUM.number.LU.Ser.BldNew.Thermal</t>
  </si>
  <si>
    <t>NUM.number.LU.Ser.BldNew.Thermal.SH</t>
  </si>
  <si>
    <t>NUM.number.LU.Ser.BldNew.Thermal.SH.Solids</t>
  </si>
  <si>
    <t>NUM.number.LU.Ser.BldNew.Thermal.SH.LPG</t>
  </si>
  <si>
    <t>NUM.number.LU.Ser.BldNew.Thermal.SH.Oil</t>
  </si>
  <si>
    <t>NUM.number.LU.Ser.BldNew.Thermal.SH.GasHP</t>
  </si>
  <si>
    <t>NUM.number.LU.Ser.BldNew.Thermal.SH.GasTH</t>
  </si>
  <si>
    <t>NUM.number.LU.Ser.BldNew.Thermal.SH.Biomass</t>
  </si>
  <si>
    <t>NUM.number.LU.Ser.BldNew.Thermal.SH.Geo</t>
  </si>
  <si>
    <t>NUM.number.LU.Ser.BldNew.Thermal.SH.DistrHeat</t>
  </si>
  <si>
    <t>NUM.number.LU.Ser.BldNew.Thermal.SH.AdvElc</t>
  </si>
  <si>
    <t>NUM.number.LU.Ser.BldNew.Thermal.SH.ConvElc</t>
  </si>
  <si>
    <t>NUM.number.LU.Ser.BldNew.Thermal.SC</t>
  </si>
  <si>
    <t>NUM.number.LU.Ser.BldNew.Thermal.SC.GasHP</t>
  </si>
  <si>
    <t>NUM.number.LU.Ser.BldNew.Thermal.SC.AC</t>
  </si>
  <si>
    <t>NUM.number.LU.Ser.BldNew.Thermal.HW</t>
  </si>
  <si>
    <t>NUM.number.LU.Ser.BldNew.Thermal.HW.Solids</t>
  </si>
  <si>
    <t>NUM.number.LU.Ser.BldNew.Thermal.HW.LPG</t>
  </si>
  <si>
    <t>NUM.number.LU.Ser.BldNew.Thermal.HW.Oil</t>
  </si>
  <si>
    <t>NUM.number.LU.Ser.BldNew.Thermal.HW.Gas</t>
  </si>
  <si>
    <t>NUM.number.LU.Ser.BldNew.Thermal.HW.Biomass</t>
  </si>
  <si>
    <t>NUM.number.LU.Ser.BldNew.Thermal.HW.DistrHeat</t>
  </si>
  <si>
    <t>NUM.number.LU.Ser.BldNew.Thermal.HW.Elc</t>
  </si>
  <si>
    <t>NUM.number.LU.Ser.BldNew.Thermal.HW.Solar</t>
  </si>
  <si>
    <t>NUM.number.LU.Ser.BldNew.Thermal.CA</t>
  </si>
  <si>
    <t>NUM.number.LU.Ser.BldNew.Thermal.CA.LPG</t>
  </si>
  <si>
    <t>NUM.number.LU.Ser.BldNew.Thermal.CA.Gas</t>
  </si>
  <si>
    <t>NUM.number.LU.Ser.BldNew.Thermal.CA.Biomass</t>
  </si>
  <si>
    <t>NUM.number.LU.Ser.BldNew.Thermal.CA.Elc</t>
  </si>
  <si>
    <t>LU - Final energy consumption in new and renovated buildings</t>
  </si>
  <si>
    <t>FEC.ktoe.LU.Ser.BldNew.Thermal</t>
  </si>
  <si>
    <t>FEC.ktoe.LU.Ser.BldNew.Thermal.SH</t>
  </si>
  <si>
    <t>FEC.ktoe.LU.Ser.BldNew.Thermal.SH.Solids.Solids</t>
  </si>
  <si>
    <t>FEC.ktoe.LU.Ser.BldNew.Thermal.SH.LPG.LPG</t>
  </si>
  <si>
    <t>FEC.ktoe.LU.Ser.BldNew.Thermal.SH.Oil.Oil_LiqBio</t>
  </si>
  <si>
    <t>FEC.ktoe.LU.Ser.BldNew.Thermal.SH.GasHP.NG_Biogas</t>
  </si>
  <si>
    <t>FEC.ktoe.LU.Ser.BldNew.Thermal.SH.GasTH.NG_Biogas</t>
  </si>
  <si>
    <t>FEC.ktoe.LU.Ser.BldNew.Thermal.SH.Biomass.Biomass_Waste</t>
  </si>
  <si>
    <t>FEC.ktoe.LU.Ser.BldNew.Thermal.SH.Geo.Geo</t>
  </si>
  <si>
    <t>FEC.ktoe.LU.Ser.BldNew.Thermal.SH.DistrHeat.Steam_Distr</t>
  </si>
  <si>
    <t>FEC.ktoe.LU.Ser.BldNew.Thermal.SH.AdvElc.Elec</t>
  </si>
  <si>
    <t>FEC.ktoe.LU.Ser.BldNew.Thermal.SH.ConvElc.Elec</t>
  </si>
  <si>
    <t>FEC.ktoe.LU.Ser.BldNew.Thermal.SH.TotalCirculation.Elec</t>
  </si>
  <si>
    <t>FEC.ktoe.LU.Ser.BldNew.Thermal.SC</t>
  </si>
  <si>
    <t>FEC.ktoe.LU.Ser.BldNew.Thermal.SC.GasHP.NG_Biogas</t>
  </si>
  <si>
    <t>FEC.ktoe.LU.Ser.BldNew.Thermal.SC.AC.Elec</t>
  </si>
  <si>
    <t>FEC.ktoe.LU.Ser.BldNew.Thermal.HW</t>
  </si>
  <si>
    <t>FEC.ktoe.LU.Ser.BldNew.Thermal.HW.Solids.Solids</t>
  </si>
  <si>
    <t>FEC.ktoe.LU.Ser.BldNew.Thermal.HW.LPG.LPG</t>
  </si>
  <si>
    <t>FEC.ktoe.LU.Ser.BldNew.Thermal.HW.Oil.Oil_LiqBio</t>
  </si>
  <si>
    <t>FEC.ktoe.LU.Ser.BldNew.Thermal.HW.Gas.NG_Biogas</t>
  </si>
  <si>
    <t>FEC.ktoe.LU.Ser.BldNew.Thermal.HW.Biomass.Biomass_Waste</t>
  </si>
  <si>
    <t>FEC.ktoe.LU.Ser.BldNew.Thermal.HW.DistrHeat.Steam_Distr</t>
  </si>
  <si>
    <t>FEC.ktoe.LU.Ser.BldNew.Thermal.HW.Elc.Elec</t>
  </si>
  <si>
    <t>FEC.ktoe.LU.Ser.BldNew.Thermal.HW.TotalSolar.Solar</t>
  </si>
  <si>
    <t>FEC.ktoe.LU.Ser.BldNew.Thermal.CA</t>
  </si>
  <si>
    <t>FEC.ktoe.LU.Ser.BldNew.Thermal.CA.LPG</t>
  </si>
  <si>
    <t>FEC.ktoe.LU.Ser.BldNew.Thermal.CA.Gas.NG_Biogas</t>
  </si>
  <si>
    <t>FEC.ktoe.LU.Ser.BldNew.Thermal.CA.Biomass.Biomass_Waste</t>
  </si>
  <si>
    <t>FEC.ktoe.LU.Ser.BldNew.Thermal.CA.Elc.Elec</t>
  </si>
  <si>
    <t>LU - Thermal energy service in new and renovated buildings</t>
  </si>
  <si>
    <t>TES.ktoe.LU.Ser.BldNew.Thermal</t>
  </si>
  <si>
    <t>TES.ktoe.LU.Ser.BldNew.Thermal.SH</t>
  </si>
  <si>
    <t>TES.ktoe.LU.Ser.BldNew.Thermal.SH.Solids.Solids</t>
  </si>
  <si>
    <t>TES.ktoe.LU.Ser.BldNew.Thermal.SH.LPG.LPG</t>
  </si>
  <si>
    <t>TES.ktoe.LU.Ser.BldNew.Thermal.SH.Oil.Oil_LiqBio</t>
  </si>
  <si>
    <t>TES.ktoe.LU.Ser.BldNew.Thermal.SH.GasHP.NG_Biogas</t>
  </si>
  <si>
    <t>TES.ktoe.LU.Ser.BldNew.Thermal.SH.GasTH.NG_Biogas</t>
  </si>
  <si>
    <t>TES.ktoe.LU.Ser.BldNew.Thermal.SH.Biomass.Biomass_Waste</t>
  </si>
  <si>
    <t>TES.ktoe.LU.Ser.BldNew.Thermal.SH.Geo.Geo</t>
  </si>
  <si>
    <t>TES.ktoe.LU.Ser.BldNew.Thermal.SH.DistrHeat.Steam_Distr</t>
  </si>
  <si>
    <t>TES.ktoe.LU.Ser.BldNew.Thermal.SH.AdvElc.Elec</t>
  </si>
  <si>
    <t>TES.ktoe.LU.Ser.BldNew.Thermal.SH.ConvElc.Elec</t>
  </si>
  <si>
    <t>TES.ktoe.LU.Ser.BldNew.Thermal.SH.TotalCirculation.Elec</t>
  </si>
  <si>
    <t>TES.ktoe.LU.Ser.BldNew.Thermal.SC</t>
  </si>
  <si>
    <t>TES.ktoe.LU.Ser.BldNew.Thermal.SC.GasHP.NG_Biogas</t>
  </si>
  <si>
    <t>TES.ktoe.LU.Ser.BldNew.Thermal.SC.AC.Elec</t>
  </si>
  <si>
    <t>TES.ktoe.LU.Ser.BldNew.Thermal.HW</t>
  </si>
  <si>
    <t>TES.ktoe.LU.Ser.BldNew.Thermal.HW.Solids.Solids</t>
  </si>
  <si>
    <t>TES.ktoe.LU.Ser.BldNew.Thermal.HW.LPG.LPG</t>
  </si>
  <si>
    <t>TES.ktoe.LU.Ser.BldNew.Thermal.HW.Oil.Oil_LiqBio</t>
  </si>
  <si>
    <t>TES.ktoe.LU.Ser.BldNew.Thermal.HW.Gas.NG_Biogas</t>
  </si>
  <si>
    <t>TES.ktoe.LU.Ser.BldNew.Thermal.HW.Biomass.Biomass_Waste</t>
  </si>
  <si>
    <t>TES.ktoe.LU.Ser.BldNew.Thermal.HW.DistrHeat.Steam_Distr</t>
  </si>
  <si>
    <t>TES.ktoe.LU.Ser.BldNew.Thermal.HW.Elc.Elec</t>
  </si>
  <si>
    <t>TES.ktoe.LU.Ser.BldNew.Thermal.HW.TotalSolar.Solar</t>
  </si>
  <si>
    <t>TES.ktoe.LU.Ser.BldNew.Thermal.CA</t>
  </si>
  <si>
    <t>TES.ktoe.LU.Ser.BldNew.Thermal.CA.LPG</t>
  </si>
  <si>
    <t>TES.ktoe.LU.Ser.BldNew.Thermal.CA.Gas.NG_Biogas</t>
  </si>
  <si>
    <t>TES.ktoe.LU.Ser.BldNew.Thermal.CA.Biomass.Biomass_Waste</t>
  </si>
  <si>
    <t>TES.ktoe.LU.Ser.BldNew.Thermal.CA.Elc.Elec</t>
  </si>
  <si>
    <t>LU - System efficiency indicator of new and renovated buildings</t>
  </si>
  <si>
    <t>Eff.ratio.LU.Ser.BldNew.Thermal</t>
  </si>
  <si>
    <t>Eff.ratio.LU.Ser.BldNew.Thermal.SH</t>
  </si>
  <si>
    <t>Eff.ratio.LU.Ser.BldNew.Thermal.SH.Solids.Solids</t>
  </si>
  <si>
    <t>Eff.ratio.LU.Ser.BldNew.Thermal.SH.LPG.LPG</t>
  </si>
  <si>
    <t>Eff.ratio.LU.Ser.BldNew.Thermal.SH.Oil.Oil_LiqBio</t>
  </si>
  <si>
    <t>Eff.ratio.LU.Ser.BldNew.Thermal.SH.GasHP.NG_Biogas</t>
  </si>
  <si>
    <t>Eff.ratio.LU.Ser.BldNew.Thermal.SH.GasTH.NG_Biogas</t>
  </si>
  <si>
    <t>Eff.ratio.LU.Ser.BldNew.Thermal.SH.Biomass.Biomass_Waste</t>
  </si>
  <si>
    <t>Eff.ratio.LU.Ser.BldNew.Thermal.SH.Geo.Geo</t>
  </si>
  <si>
    <t>Eff.ratio.LU.Ser.BldNew.Thermal.SH.DistrHeat.Steam_Distr</t>
  </si>
  <si>
    <t>Eff.ratio.LU.Ser.BldNew.Thermal.SH.AdvElc.Elec</t>
  </si>
  <si>
    <t>Eff.ratio.LU.Ser.BldNew.Thermal.SH.ConvElc.Elec</t>
  </si>
  <si>
    <t>Eff.ratio.LU.Ser.BldNew.Thermal.SH.TotalCirculation.Elec</t>
  </si>
  <si>
    <t>Eff.ratio.LU.Ser.BldNew.Thermal.SC</t>
  </si>
  <si>
    <t>Eff.ratio.LU.Ser.BldNew.Thermal.SC.GasHP.NG_Biogas</t>
  </si>
  <si>
    <t>Eff.ratio.LU.Ser.BldNew.Thermal.SC.AC.Elec</t>
  </si>
  <si>
    <t>Eff.ratio.LU.Ser.BldNew.Thermal.HW</t>
  </si>
  <si>
    <t>Eff.ratio.LU.Ser.BldNew.Thermal.HW.Solids.Solids</t>
  </si>
  <si>
    <t>Eff.ratio.LU.Ser.BldNew.Thermal.HW.LPG.LPG</t>
  </si>
  <si>
    <t>Eff.ratio.LU.Ser.BldNew.Thermal.HW.Oil.Oil_LiqBio</t>
  </si>
  <si>
    <t>Eff.ratio.LU.Ser.BldNew.Thermal.HW.Gas.NG_Biogas</t>
  </si>
  <si>
    <t>Eff.ratio.LU.Ser.BldNew.Thermal.HW.Biomass.Biomass_Waste</t>
  </si>
  <si>
    <t>Eff.ratio.LU.Ser.BldNew.Thermal.HW.DistrHeat.Steam_Distr</t>
  </si>
  <si>
    <t>Eff.ratio.LU.Ser.BldNew.Thermal.HW.Elc.Elec</t>
  </si>
  <si>
    <t>Eff.ratio.LU.Ser.BldNew.Thermal.HW.TotalSolar.Solar</t>
  </si>
  <si>
    <t>Eff.ratio.LU.Ser.BldNew.Thermal.CA</t>
  </si>
  <si>
    <t>Eff.ratio.LU.Ser.BldNew.Thermal.CA.LPG</t>
  </si>
  <si>
    <t>Eff.ratio.LU.Ser.BldNew.Thermal.CA.Gas.NG_Biogas</t>
  </si>
  <si>
    <t>Eff.ratio.LU.Ser.BldNew.Thermal.CA.Biomass.Biomass_Waste</t>
  </si>
  <si>
    <t>Eff.ratio.LU.Ser.BldNew.Thermal.CA.Elc.Elec</t>
  </si>
  <si>
    <t>LU - CO2 emissions in new and renovated buildings</t>
  </si>
  <si>
    <t>EMI.ktCO2.LU.Ser.BldNew.Thermal</t>
  </si>
  <si>
    <t>EMI.ktCO2.LU.Ser.BldNew.Thermal.SH</t>
  </si>
  <si>
    <t>EMI.ktCO2.LU.Ser.BldNew.Thermal.SH.Solids.Solids</t>
  </si>
  <si>
    <t>EMI.ktCO2.LU.Ser.BldNew.Thermal.SH.LPG.LPG</t>
  </si>
  <si>
    <t>EMI.ktCO2.LU.Ser.BldNew.Thermal.SH.Oil.Oil_LiqBio</t>
  </si>
  <si>
    <t>EMI.ktCO2.LU.Ser.BldNew.Thermal.SH.GasHP.NG_Biogas</t>
  </si>
  <si>
    <t>EMI.ktCO2.LU.Ser.BldNew.Thermal.SH.GasTH.NG_Biogas</t>
  </si>
  <si>
    <t>EMI.ktCO2.LU.Ser.BldNew.Thermal.SH.Biomass.Biomass_Waste</t>
  </si>
  <si>
    <t>EMI.ktCO2.LU.Ser.BldNew.Thermal.SH.Geo.Geo</t>
  </si>
  <si>
    <t>EMI.ktCO2.LU.Ser.BldNew.Thermal.SH.DistrHeat.Steam_Distr</t>
  </si>
  <si>
    <t>EMI.ktCO2.LU.Ser.BldNew.Thermal.SH.AdvElc.Elec</t>
  </si>
  <si>
    <t>EMI.ktCO2.LU.Ser.BldNew.Thermal.SH.ConvElc.Elec</t>
  </si>
  <si>
    <t>EMI.ktCO2.LU.Ser.BldNew.Thermal.SH.TotalCirculation.Elec</t>
  </si>
  <si>
    <t>EMI.ktCO2.LU.Ser.BldNew.Thermal.SC</t>
  </si>
  <si>
    <t>EMI.ktCO2.LU.Ser.BldNew.Thermal.SC.GasHP.NG_Biogas</t>
  </si>
  <si>
    <t>EMI.ktCO2.LU.Ser.BldNew.Thermal.SC.AC.Elec</t>
  </si>
  <si>
    <t>EMI.ktCO2.LU.Ser.BldNew.Thermal.HW</t>
  </si>
  <si>
    <t>EMI.ktCO2.LU.Ser.BldNew.Thermal.HW.Solids.Solids</t>
  </si>
  <si>
    <t>EMI.ktCO2.LU.Ser.BldNew.Thermal.HW.LPG.LPG</t>
  </si>
  <si>
    <t>EMI.ktCO2.LU.Ser.BldNew.Thermal.HW.Oil.Oil_LiqBio</t>
  </si>
  <si>
    <t>EMI.ktCO2.LU.Ser.BldNew.Thermal.HW.Gas.NG_Biogas</t>
  </si>
  <si>
    <t>EMI.ktCO2.LU.Ser.BldNew.Thermal.HW.Biomass.Biomass_Waste</t>
  </si>
  <si>
    <t>EMI.ktCO2.LU.Ser.BldNew.Thermal.HW.DistrHeat.Steam_Distr</t>
  </si>
  <si>
    <t>EMI.ktCO2.LU.Ser.BldNew.Thermal.HW.Elc.Elec</t>
  </si>
  <si>
    <t>EMI.ktCO2.LU.Ser.BldNew.Thermal.HW.TotalSolar.Solar</t>
  </si>
  <si>
    <t>EMI.ktCO2.LU.Ser.BldNew.Thermal.CA</t>
  </si>
  <si>
    <t>EMI.ktCO2.LU.Ser.BldNew.Thermal.CA.LPG</t>
  </si>
  <si>
    <t>EMI.ktCO2.LU.Ser.BldNew.Thermal.CA.Gas.NG_Biogas</t>
  </si>
  <si>
    <t>EMI.ktCO2.LU.Ser.BldNew.Thermal.CA.Biomass.Biomass_Waste</t>
  </si>
  <si>
    <t>EMI.ktCO2.LU.Ser.BldNew.Thermal.CA.Elc.Elec</t>
  </si>
  <si>
    <t>LU - Final energy consumption of new and renovated buildings (per building)</t>
  </si>
  <si>
    <t>FEC_per_building.kWh.LU.Ser.BldNew.Thermal</t>
  </si>
  <si>
    <t>FEC_per_building.kWh.LU.Ser.BldNew.Thermal.SH</t>
  </si>
  <si>
    <t>FEC_per_building.kWh.LU.Ser.BldNew.Thermal.SH.Solids.Solids</t>
  </si>
  <si>
    <t>FEC_per_building.kWh.LU.Ser.BldNew.Thermal.SH.LPG.LPG</t>
  </si>
  <si>
    <t>FEC_per_building.kWh.LU.Ser.BldNew.Thermal.SH.Oil.Oil_LiqBio</t>
  </si>
  <si>
    <t>FEC_per_building.kWh.LU.Ser.BldNew.Thermal.SH.GasHP.NG_Biogas</t>
  </si>
  <si>
    <t>FEC_per_building.kWh.LU.Ser.BldNew.Thermal.SH.GasTH.NG_Biogas</t>
  </si>
  <si>
    <t>FEC_per_building.kWh.LU.Ser.BldNew.Thermal.SH.Biomass.Biomass_Waste</t>
  </si>
  <si>
    <t>FEC_per_building.kWh.LU.Ser.BldNew.Thermal.SH.Geo.Geo</t>
  </si>
  <si>
    <t>FEC_per_building.kWh.LU.Ser.BldNew.Thermal.SH.DistrHeat.Steam_Distr</t>
  </si>
  <si>
    <t>FEC_per_building.kWh.LU.Ser.BldNew.Thermal.SH.AdvElc.Elec</t>
  </si>
  <si>
    <t>FEC_per_building.kWh.LU.Ser.BldNew.Thermal.SH.ConvElc.Elec</t>
  </si>
  <si>
    <t>FEC_per_building.kWh.LU.Ser.BldNew.Thermal.SH.TotalCirculation.Elec</t>
  </si>
  <si>
    <t>FEC_per_building.kWh.LU.Ser.BldNew.Thermal.SC</t>
  </si>
  <si>
    <t>FEC_per_building.kWh.LU.Ser.BldNew.Thermal.SC.GasHP.NG_Biogas</t>
  </si>
  <si>
    <t>FEC_per_building.kWh.LU.Ser.BldNew.Thermal.SC.AC.Elec</t>
  </si>
  <si>
    <t>FEC_per_building.kWh.LU.Ser.BldNew.Thermal.HW</t>
  </si>
  <si>
    <t>FEC_per_building.kWh.LU.Ser.BldNew.Thermal.HW.Solids.Solids</t>
  </si>
  <si>
    <t>FEC_per_building.kWh.LU.Ser.BldNew.Thermal.HW.LPG.LPG</t>
  </si>
  <si>
    <t>FEC_per_building.kWh.LU.Ser.BldNew.Thermal.HW.Oil.Oil_LiqBio</t>
  </si>
  <si>
    <t>FEC_per_building.kWh.LU.Ser.BldNew.Thermal.HW.Gas.NG_Biogas</t>
  </si>
  <si>
    <t>FEC_per_building.kWh.LU.Ser.BldNew.Thermal.HW.Biomass.Biomass_Waste</t>
  </si>
  <si>
    <t>FEC_per_building.kWh.LU.Ser.BldNew.Thermal.HW.DistrHeat.Steam_Distr</t>
  </si>
  <si>
    <t>FEC_per_building.kWh.LU.Ser.BldNew.Thermal.HW.Elc.Elec</t>
  </si>
  <si>
    <t>FEC_per_building.kWh.LU.Ser.BldNew.Thermal.HW.TotalSolar.Solar</t>
  </si>
  <si>
    <t>FEC_per_building.kWh.LU.Ser.BldNew.Thermal.CA</t>
  </si>
  <si>
    <t>FEC_per_building.kWh.LU.Ser.BldNew.Thermal.CA.LPG</t>
  </si>
  <si>
    <t>FEC_per_building.kWh.LU.Ser.BldNew.Thermal.CA.Gas.NG_Biogas</t>
  </si>
  <si>
    <t>FEC_per_building.kWh.LU.Ser.BldNew.Thermal.CA.Biomass.Biomass_Waste</t>
  </si>
  <si>
    <t>FEC_per_building.kWh.LU.Ser.BldNew.Thermal.CA.Elc.Elec</t>
  </si>
  <si>
    <t>LU - Thermal energy service of new and renovated buildings (per building)</t>
  </si>
  <si>
    <t>TES_per_building.kWh.LU.Ser.BldNew.Thermal</t>
  </si>
  <si>
    <t>TES_per_building.kWh.LU.Ser.BldNew.Thermal.SH</t>
  </si>
  <si>
    <t>TES_per_building.kWh.LU.Ser.BldNew.Thermal.SH.Solids.Solids</t>
  </si>
  <si>
    <t>TES_per_building.kWh.LU.Ser.BldNew.Thermal.SH.LPG.LPG</t>
  </si>
  <si>
    <t>TES_per_building.kWh.LU.Ser.BldNew.Thermal.SH.Oil.Oil_LiqBio</t>
  </si>
  <si>
    <t>TES_per_building.kWh.LU.Ser.BldNew.Thermal.SH.GasHP.NG_Biogas</t>
  </si>
  <si>
    <t>TES_per_building.kWh.LU.Ser.BldNew.Thermal.SH.GasTH.NG_Biogas</t>
  </si>
  <si>
    <t>TES_per_building.kWh.LU.Ser.BldNew.Thermal.SH.Biomass.Biomass_Waste</t>
  </si>
  <si>
    <t>TES_per_building.kWh.LU.Ser.BldNew.Thermal.SH.Geo.Geo</t>
  </si>
  <si>
    <t>TES_per_building.kWh.LU.Ser.BldNew.Thermal.SH.DistrHeat.Steam_Distr</t>
  </si>
  <si>
    <t>TES_per_building.kWh.LU.Ser.BldNew.Thermal.SH.AdvElc.Elec</t>
  </si>
  <si>
    <t>TES_per_building.kWh.LU.Ser.BldNew.Thermal.SH.ConvElc.Elec</t>
  </si>
  <si>
    <t>TES_per_building.kWh.LU.Ser.BldNew.Thermal.SH.TotalCirculation.Elec</t>
  </si>
  <si>
    <t>TES_per_building.kWh.LU.Ser.BldNew.Thermal.SC</t>
  </si>
  <si>
    <t>TES_per_building.kWh.LU.Ser.BldNew.Thermal.SC.GasHP.NG_Biogas</t>
  </si>
  <si>
    <t>TES_per_building.kWh.LU.Ser.BldNew.Thermal.SC.AC.Elec</t>
  </si>
  <si>
    <t>TES_per_building.kWh.LU.Ser.BldNew.Thermal.HW</t>
  </si>
  <si>
    <t>TES_per_building.kWh.LU.Ser.BldNew.Thermal.HW.Solids.Solids</t>
  </si>
  <si>
    <t>TES_per_building.kWh.LU.Ser.BldNew.Thermal.HW.LPG.LPG</t>
  </si>
  <si>
    <t>TES_per_building.kWh.LU.Ser.BldNew.Thermal.HW.Oil.Oil_LiqBio</t>
  </si>
  <si>
    <t>TES_per_building.kWh.LU.Ser.BldNew.Thermal.HW.Gas.NG_Biogas</t>
  </si>
  <si>
    <t>TES_per_building.kWh.LU.Ser.BldNew.Thermal.HW.Biomass.Biomass_Waste</t>
  </si>
  <si>
    <t>TES_per_building.kWh.LU.Ser.BldNew.Thermal.HW.DistrHeat.Steam_Distr</t>
  </si>
  <si>
    <t>TES_per_building.kWh.LU.Ser.BldNew.Thermal.HW.Elc.Elec</t>
  </si>
  <si>
    <t>TES_per_building.kWh.LU.Ser.BldNew.Thermal.HW.TotalSolar.Solar</t>
  </si>
  <si>
    <t>TES_per_building.kWh.LU.Ser.BldNew.Thermal.CA</t>
  </si>
  <si>
    <t>TES_per_building.kWh.LU.Ser.BldNew.Thermal.CA.LPG</t>
  </si>
  <si>
    <t>TES_per_building.kWh.LU.Ser.BldNew.Thermal.CA.Gas.NG_Biogas</t>
  </si>
  <si>
    <t>TES_per_building.kWh.LU.Ser.BldNew.Thermal.CA.Biomass.Biomass_Waste</t>
  </si>
  <si>
    <t>TES_per_building.kWh.LU.Ser.BldNew.Thermal.CA.Elc.Elec</t>
  </si>
  <si>
    <t>LU - CO2 emissions in new and renovated buildings (per building)</t>
  </si>
  <si>
    <t>EMI_per_building.kgCO2.LU.Ser.BldNew.Thermal</t>
  </si>
  <si>
    <t>EMI_per_building.kgCO2.LU.Ser.BldNew.Thermal.SH</t>
  </si>
  <si>
    <t>EMI_per_building.kgCO2.LU.Ser.BldNew.Thermal.SH.Solids.Solids</t>
  </si>
  <si>
    <t>EMI_per_building.kgCO2.LU.Ser.BldNew.Thermal.SH.LPG.LPG</t>
  </si>
  <si>
    <t>EMI_per_building.kgCO2.LU.Ser.BldNew.Thermal.SH.Oil.Oil_LiqBio</t>
  </si>
  <si>
    <t>EMI_per_building.kgCO2.LU.Ser.BldNew.Thermal.SH.GasHP.NG_Biogas</t>
  </si>
  <si>
    <t>EMI_per_building.kgCO2.LU.Ser.BldNew.Thermal.SH.GasTH.NG_Biogas</t>
  </si>
  <si>
    <t>EMI_per_building.kgCO2.LU.Ser.BldNew.Thermal.SH.Biomass.Biomass_Waste</t>
  </si>
  <si>
    <t>EMI_per_building.kgCO2.LU.Ser.BldNew.Thermal.SH.Geo.Geo</t>
  </si>
  <si>
    <t>EMI_per_building.kgCO2.LU.Ser.BldNew.Thermal.SH.DistrHeat.Steam_Distr</t>
  </si>
  <si>
    <t>EMI_per_building.kgCO2.LU.Ser.BldNew.Thermal.SH.AdvElc.Elec</t>
  </si>
  <si>
    <t>EMI_per_building.kgCO2.LU.Ser.BldNew.Thermal.SH.ConvElc.Elec</t>
  </si>
  <si>
    <t>EMI_per_building.kgCO2.LU.Ser.BldNew.Thermal.SH.TotalCirculation.Elec</t>
  </si>
  <si>
    <t>EMI_per_building.kgCO2.LU.Ser.BldNew.Thermal.SC</t>
  </si>
  <si>
    <t>EMI_per_building.kgCO2.LU.Ser.BldNew.Thermal.SC.GasHP.NG_Biogas</t>
  </si>
  <si>
    <t>EMI_per_building.kgCO2.LU.Ser.BldNew.Thermal.SC.AC.Elec</t>
  </si>
  <si>
    <t>EMI_per_building.kgCO2.LU.Ser.BldNew.Thermal.HW</t>
  </si>
  <si>
    <t>EMI_per_building.kgCO2.LU.Ser.BldNew.Thermal.HW.Solids.Solids</t>
  </si>
  <si>
    <t>EMI_per_building.kgCO2.LU.Ser.BldNew.Thermal.HW.LPG.LPG</t>
  </si>
  <si>
    <t>EMI_per_building.kgCO2.LU.Ser.BldNew.Thermal.HW.Oil.Oil_LiqBio</t>
  </si>
  <si>
    <t>EMI_per_building.kgCO2.LU.Ser.BldNew.Thermal.HW.Gas.NG_Biogas</t>
  </si>
  <si>
    <t>EMI_per_building.kgCO2.LU.Ser.BldNew.Thermal.HW.Biomass.Biomass_Waste</t>
  </si>
  <si>
    <t>EMI_per_building.kgCO2.LU.Ser.BldNew.Thermal.HW.DistrHeat.Steam_Distr</t>
  </si>
  <si>
    <t>EMI_per_building.kgCO2.LU.Ser.BldNew.Thermal.HW.Elc.Elec</t>
  </si>
  <si>
    <t>EMI_per_building.kgCO2.LU.Ser.BldNew.Thermal.HW.TotalSolar.Solar</t>
  </si>
  <si>
    <t>EMI_per_building.kgCO2.LU.Ser.BldNew.Thermal.CA</t>
  </si>
  <si>
    <t>EMI_per_building.kgCO2.LU.Ser.BldNew.Thermal.CA.LPG</t>
  </si>
  <si>
    <t>EMI_per_building.kgCO2.LU.Ser.BldNew.Thermal.CA.Gas.NG_Biogas</t>
  </si>
  <si>
    <t>EMI_per_building.kgCO2.LU.Ser.BldNew.Thermal.CA.Biomass.Biomass_Waste</t>
  </si>
  <si>
    <t>EMI_per_building.kgCO2.LU.Ser.BldNew.Thermal.CA.Elc.Elec</t>
  </si>
  <si>
    <t>LU - Final energy consumption in new and renovated buildings per surface area</t>
  </si>
  <si>
    <t>FEC_per_sqm.kWh.LU.Ser.BldNew.Thermal</t>
  </si>
  <si>
    <t>FEC_per_sqm.kWh.LU.Ser.BldNew.Thermal.SH</t>
  </si>
  <si>
    <t>FEC_per_sqm.kWh.LU.Ser.BldNew.Thermal.SH.Solids.Solids</t>
  </si>
  <si>
    <t>FEC_per_sqm.kWh.LU.Ser.BldNew.Thermal.SH.LPG.LPG</t>
  </si>
  <si>
    <t>FEC_per_sqm.kWh.LU.Ser.BldNew.Thermal.SH.Oil.Oil_LiqBio</t>
  </si>
  <si>
    <t>FEC_per_sqm.kWh.LU.Ser.BldNew.Thermal.SH.GasHP.NG_Biogas</t>
  </si>
  <si>
    <t>FEC_per_sqm.kWh.LU.Ser.BldNew.Thermal.SH.GasTH.NG_Biogas</t>
  </si>
  <si>
    <t>FEC_per_sqm.kWh.LU.Ser.BldNew.Thermal.SH.Biomass.Biomass_Waste</t>
  </si>
  <si>
    <t>FEC_per_sqm.kWh.LU.Ser.BldNew.Thermal.SH.Geo.Geo</t>
  </si>
  <si>
    <t>FEC_per_sqm.kWh.LU.Ser.BldNew.Thermal.SH.DistrHeat.Steam_Distr</t>
  </si>
  <si>
    <t>FEC_per_sqm.kWh.LU.Ser.BldNew.Thermal.SH.AdvElc.Elec</t>
  </si>
  <si>
    <t>FEC_per_sqm.kWh.LU.Ser.BldNew.Thermal.SH.ConvElc.Elec</t>
  </si>
  <si>
    <t>FEC_per_sqm.kWh.LU.Ser.BldNew.Thermal.SH.TotalCirculation.Elec</t>
  </si>
  <si>
    <t>FEC_per_sqm.kWh.LU.Ser.BldNew.Thermal.SC</t>
  </si>
  <si>
    <t>FEC_per_sqm.kWh.LU.Ser.BldNew.Thermal.SC.GasHP.NG_Biogas</t>
  </si>
  <si>
    <t>FEC_per_sqm.kWh.LU.Ser.BldNew.Thermal.SC.AC.Elec</t>
  </si>
  <si>
    <t>FEC_per_sqm.kWh.LU.Ser.BldNew.Thermal.HW</t>
  </si>
  <si>
    <t>FEC_per_sqm.kWh.LU.Ser.BldNew.Thermal.HW.Solids.Solids</t>
  </si>
  <si>
    <t>FEC_per_sqm.kWh.LU.Ser.BldNew.Thermal.HW.LPG.LPG</t>
  </si>
  <si>
    <t>FEC_per_sqm.kWh.LU.Ser.BldNew.Thermal.HW.Oil.Oil_LiqBio</t>
  </si>
  <si>
    <t>FEC_per_sqm.kWh.LU.Ser.BldNew.Thermal.HW.Gas.NG_Biogas</t>
  </si>
  <si>
    <t>FEC_per_sqm.kWh.LU.Ser.BldNew.Thermal.HW.Biomass.Biomass_Waste</t>
  </si>
  <si>
    <t>FEC_per_sqm.kWh.LU.Ser.BldNew.Thermal.HW.DistrHeat.Steam_Distr</t>
  </si>
  <si>
    <t>FEC_per_sqm.kWh.LU.Ser.BldNew.Thermal.HW.Elc.Elec</t>
  </si>
  <si>
    <t>FEC_per_sqm.kWh.LU.Ser.BldNew.Thermal.HW.TotalSolar.Solar</t>
  </si>
  <si>
    <t>FEC_per_sqm.kWh.LU.Ser.BldNew.Thermal.CA</t>
  </si>
  <si>
    <t>FEC_per_sqm.kWh.LU.Ser.BldNew.Thermal.CA.LPG</t>
  </si>
  <si>
    <t>FEC_per_sqm.kWh.LU.Ser.BldNew.Thermal.CA.Gas.NG_Biogas</t>
  </si>
  <si>
    <t>FEC_per_sqm.kWh.LU.Ser.BldNew.Thermal.CA.Biomass.Biomass_Waste</t>
  </si>
  <si>
    <t>FEC_per_sqm.kWh.LU.Ser.BldNew.Thermal.CA.Elc.Elec</t>
  </si>
  <si>
    <t>LU - Thermal energy service in new and renovated buildings per surface area</t>
  </si>
  <si>
    <t>TES_per_sqm.kWh.LU.Ser.BldNew.Thermal</t>
  </si>
  <si>
    <t>TES_per_sqm.kWh.LU.Ser.BldNew.Thermal.SH</t>
  </si>
  <si>
    <t>TES_per_sqm.kWh.LU.Ser.BldNew.Thermal.SH.Solids.Solids</t>
  </si>
  <si>
    <t>TES_per_sqm.kWh.LU.Ser.BldNew.Thermal.SH.LPG.LPG</t>
  </si>
  <si>
    <t>TES_per_sqm.kWh.LU.Ser.BldNew.Thermal.SH.Oil.Oil_LiqBio</t>
  </si>
  <si>
    <t>TES_per_sqm.kWh.LU.Ser.BldNew.Thermal.SH.GasHP.NG_Biogas</t>
  </si>
  <si>
    <t>TES_per_sqm.kWh.LU.Ser.BldNew.Thermal.SH.GasTH.NG_Biogas</t>
  </si>
  <si>
    <t>TES_per_sqm.kWh.LU.Ser.BldNew.Thermal.SH.Biomass.Biomass_Waste</t>
  </si>
  <si>
    <t>TES_per_sqm.kWh.LU.Ser.BldNew.Thermal.SH.Geo.Geo</t>
  </si>
  <si>
    <t>TES_per_sqm.kWh.LU.Ser.BldNew.Thermal.SH.DistrHeat.Steam_Distr</t>
  </si>
  <si>
    <t>TES_per_sqm.kWh.LU.Ser.BldNew.Thermal.SH.AdvElc.Elec</t>
  </si>
  <si>
    <t>TES_per_sqm.kWh.LU.Ser.BldNew.Thermal.SH.ConvElc.Elec</t>
  </si>
  <si>
    <t>TES_per_sqm.kWh.LU.Ser.BldNew.Thermal.SH.TotalCirculation.Elec</t>
  </si>
  <si>
    <t>TES_per_sqm.kWh.LU.Ser.BldNew.Thermal.SC</t>
  </si>
  <si>
    <t>TES_per_sqm.kWh.LU.Ser.BldNew.Thermal.SC.GasHP.NG_Biogas</t>
  </si>
  <si>
    <t>TES_per_sqm.kWh.LU.Ser.BldNew.Thermal.SC.AC.Elec</t>
  </si>
  <si>
    <t>TES_per_sqm.kWh.LU.Ser.BldNew.Thermal.HW</t>
  </si>
  <si>
    <t>TES_per_sqm.kWh.LU.Ser.BldNew.Thermal.HW.Solids.Solids</t>
  </si>
  <si>
    <t>TES_per_sqm.kWh.LU.Ser.BldNew.Thermal.HW.LPG.LPG</t>
  </si>
  <si>
    <t>TES_per_sqm.kWh.LU.Ser.BldNew.Thermal.HW.Oil.Oil_LiqBio</t>
  </si>
  <si>
    <t>TES_per_sqm.kWh.LU.Ser.BldNew.Thermal.HW.Gas.NG_Biogas</t>
  </si>
  <si>
    <t>TES_per_sqm.kWh.LU.Ser.BldNew.Thermal.HW.Biomass.Biomass_Waste</t>
  </si>
  <si>
    <t>TES_per_sqm.kWh.LU.Ser.BldNew.Thermal.HW.DistrHeat.Steam_Distr</t>
  </si>
  <si>
    <t>TES_per_sqm.kWh.LU.Ser.BldNew.Thermal.HW.Elc.Elec</t>
  </si>
  <si>
    <t>TES_per_sqm.kWh.LU.Ser.BldNew.Thermal.HW.TotalSolar.Solar</t>
  </si>
  <si>
    <t>TES_per_sqm.kWh.LU.Ser.BldNew.Thermal.CA</t>
  </si>
  <si>
    <t>TES_per_sqm.kWh.LU.Ser.BldNew.Thermal.CA.LPG</t>
  </si>
  <si>
    <t>TES_per_sqm.kWh.LU.Ser.BldNew.Thermal.CA.Gas.NG_Biogas</t>
  </si>
  <si>
    <t>TES_per_sqm.kWh.LU.Ser.BldNew.Thermal.CA.Biomass.Biomass_Waste</t>
  </si>
  <si>
    <t>TES_per_sqm.kWh.LU.Ser.BldNew.Thermal.CA.Elc.Elec</t>
  </si>
  <si>
    <t>LU - CO2 emissions in new and renovated buildings per surface area</t>
  </si>
  <si>
    <t>EMI_per_sqm.kgCO2.LU.Ser.BldNew.Thermal</t>
  </si>
  <si>
    <t>EMI_per_sqm.kgCO2.LU.Ser.BldNew.Thermal.SH</t>
  </si>
  <si>
    <t>EMI_per_sqm.kgCO2.LU.Ser.BldNew.Thermal.SH.Solids.Solids</t>
  </si>
  <si>
    <t>EMI_per_sqm.kgCO2.LU.Ser.BldNew.Thermal.SH.LPG.LPG</t>
  </si>
  <si>
    <t>EMI_per_sqm.kgCO2.LU.Ser.BldNew.Thermal.SH.Oil.Oil_LiqBio</t>
  </si>
  <si>
    <t>EMI_per_sqm.kgCO2.LU.Ser.BldNew.Thermal.SH.GasHP.NG_Biogas</t>
  </si>
  <si>
    <t>EMI_per_sqm.kgCO2.LU.Ser.BldNew.Thermal.SH.GasTH.NG_Biogas</t>
  </si>
  <si>
    <t>EMI_per_sqm.kgCO2.LU.Ser.BldNew.Thermal.SH.Biomass.Biomass_Waste</t>
  </si>
  <si>
    <t>EMI_per_sqm.kgCO2.LU.Ser.BldNew.Thermal.SH.Geo.Geo</t>
  </si>
  <si>
    <t>EMI_per_sqm.kgCO2.LU.Ser.BldNew.Thermal.SH.DistrHeat.Steam_Distr</t>
  </si>
  <si>
    <t>EMI_per_sqm.kgCO2.LU.Ser.BldNew.Thermal.SH.AdvElc.Elec</t>
  </si>
  <si>
    <t>EMI_per_sqm.kgCO2.LU.Ser.BldNew.Thermal.SH.ConvElc.Elec</t>
  </si>
  <si>
    <t>EMI_per_sqm.kgCO2.LU.Ser.BldNew.Thermal.SH.TotalCirculation.Elec</t>
  </si>
  <si>
    <t>EMI_per_sqm.kgCO2.LU.Ser.BldNew.Thermal.SC</t>
  </si>
  <si>
    <t>EMI_per_sqm.kgCO2.LU.Ser.BldNew.Thermal.SC.GasHP.NG_Biogas</t>
  </si>
  <si>
    <t>EMI_per_sqm.kgCO2.LU.Ser.BldNew.Thermal.SC.AC.Elec</t>
  </si>
  <si>
    <t>EMI_per_sqm.kgCO2.LU.Ser.BldNew.Thermal.HW</t>
  </si>
  <si>
    <t>EMI_per_sqm.kgCO2.LU.Ser.BldNew.Thermal.HW.Solids.Solids</t>
  </si>
  <si>
    <t>EMI_per_sqm.kgCO2.LU.Ser.BldNew.Thermal.HW.LPG.LPG</t>
  </si>
  <si>
    <t>EMI_per_sqm.kgCO2.LU.Ser.BldNew.Thermal.HW.Oil.Oil_LiqBio</t>
  </si>
  <si>
    <t>EMI_per_sqm.kgCO2.LU.Ser.BldNew.Thermal.HW.Gas.NG_Biogas</t>
  </si>
  <si>
    <t>EMI_per_sqm.kgCO2.LU.Ser.BldNew.Thermal.HW.Biomass.Biomass_Waste</t>
  </si>
  <si>
    <t>EMI_per_sqm.kgCO2.LU.Ser.BldNew.Thermal.HW.DistrHeat.Steam_Distr</t>
  </si>
  <si>
    <t>EMI_per_sqm.kgCO2.LU.Ser.BldNew.Thermal.HW.Elc.Elec</t>
  </si>
  <si>
    <t>EMI_per_sqm.kgCO2.LU.Ser.BldNew.Thermal.HW.TotalSolar.Solar</t>
  </si>
  <si>
    <t>EMI_per_sqm.kgCO2.LU.Ser.BldNew.Thermal.CA</t>
  </si>
  <si>
    <t>EMI_per_sqm.kgCO2.LU.Ser.BldNew.Thermal.CA.LPG</t>
  </si>
  <si>
    <t>EMI_per_sqm.kgCO2.LU.Ser.BldNew.Thermal.CA.Gas.NG_Biogas</t>
  </si>
  <si>
    <t>EMI_per_sqm.kgCO2.LU.Ser.BldNew.Thermal.CA.Biomass.Biomass_Waste</t>
  </si>
  <si>
    <t>EMI_per_sqm.kgCO2.LU.Ser.BldNew.Thermal.CA.Elc.Elec</t>
  </si>
  <si>
    <t>FEC.ktoe.LU.Ser.SEU.VE</t>
  </si>
  <si>
    <t>FEC.ktoe.LU.Ser.SEU.SL</t>
  </si>
  <si>
    <t>FEC.ktoe.LU.Ser.SEU.BL</t>
  </si>
  <si>
    <t>FEC.ktoe.LU.Ser.SEU.CR</t>
  </si>
  <si>
    <t>FEC.ktoe.LU.Ser.SEU.BT</t>
  </si>
  <si>
    <t>FEC.ktoe.LU.Ser.SEU.IT</t>
  </si>
  <si>
    <t>Size.MW.LU.Ser.SEU</t>
  </si>
  <si>
    <t>Size.MW.LU.Ser.SEU.VE</t>
  </si>
  <si>
    <t>Size.MW.LU.Ser.SEU.SL</t>
  </si>
  <si>
    <t>Size.MW.LU.Ser.SEU.BL</t>
  </si>
  <si>
    <t>Size.MW.LU.Ser.SEU.CR</t>
  </si>
  <si>
    <t>Size.MW.LU.Ser.SEU.BT</t>
  </si>
  <si>
    <t>Size.MW.LU.Ser.SEU.IT</t>
  </si>
  <si>
    <t>NUM.Msqm.LU.Ser.SEU.VE</t>
  </si>
  <si>
    <t>NUM.k.LU.Ser.SEU.SL</t>
  </si>
  <si>
    <t>NUM.M.LU.Ser.SEU.BL</t>
  </si>
  <si>
    <t>NUM.k.LU.Ser.SEU.CR</t>
  </si>
  <si>
    <t>NUM.Msqm.LU.Ser.SEU.BT</t>
  </si>
  <si>
    <t>NUM.k.LU.Ser.SEU.IT</t>
  </si>
  <si>
    <t>NUM.Msqm.LU.Ser.SEUnew.VE</t>
  </si>
  <si>
    <t>NUM.k.LU.Ser.SEUnew.SL</t>
  </si>
  <si>
    <t>NUM.M.LU.Ser.SEUnew.BL</t>
  </si>
  <si>
    <t>NUM.k.LU.Ser.SEUnew.CR</t>
  </si>
  <si>
    <t>NUM.Msqm.LU.Ser.SEUnew.BT</t>
  </si>
  <si>
    <t>NUM.k.LU.Ser.SEUnew.IT</t>
  </si>
  <si>
    <t>NUM.Msqm.LU.Ser.SEUrepl.VE</t>
  </si>
  <si>
    <t>NUM.k.LU.Ser.SEUrepl.SL</t>
  </si>
  <si>
    <t>NUM.M.LU.Ser.SEUrepl.BL</t>
  </si>
  <si>
    <t>NUM.k.LU.Ser.SEUrepl.CR</t>
  </si>
  <si>
    <t>NUM.Msqm.LU.Ser.SEUrepl.BT</t>
  </si>
  <si>
    <t>NUM.k.LU.Ser.SEUrepl.IT</t>
  </si>
  <si>
    <t>Op.hours.LU.Ser.SEU.VE</t>
  </si>
  <si>
    <t>Op.hours.LU.Ser.SEU.SL</t>
  </si>
  <si>
    <t>Op.hours.LU.Ser.SEU.BL</t>
  </si>
  <si>
    <t>Op.hours.LU.Ser.SEU.CR</t>
  </si>
  <si>
    <t>Op.hours.LU.Ser.SEU.BT</t>
  </si>
  <si>
    <t>Op.hours.LU.Ser.SEU.IT</t>
  </si>
  <si>
    <t>Size_per_appl.W.LU.Ser.SEU.VE</t>
  </si>
  <si>
    <t>Size_per_appl.W.LU.Ser.SEU.SL</t>
  </si>
  <si>
    <t>Size_per_appl.W.LU.Ser.SEU.BL</t>
  </si>
  <si>
    <t>Size_per_appl.W.LU.Ser.SEU.CR</t>
  </si>
  <si>
    <t>Size_per_appl.W.LU.Ser.SEU.BT</t>
  </si>
  <si>
    <t>Size_per_appl.W.LU.Ser.SEU.IT</t>
  </si>
  <si>
    <t>Size_per_appl.W.LU.Ser.SEUnew.VE</t>
  </si>
  <si>
    <t>Size_per_appl.W.LU.Ser.SEUnew.SL</t>
  </si>
  <si>
    <t>Size_per_appl.W.LU.Ser.SEUnew.BL</t>
  </si>
  <si>
    <t>Size_per_appl.W.LU.Ser.SEUnew.CR</t>
  </si>
  <si>
    <t>Size_per_appl.W.LU.Ser.SEUnew.BT</t>
  </si>
  <si>
    <t>Size_per_appl.W.LU.Ser.SEUnew.IT</t>
  </si>
  <si>
    <t>NUM.sqm_per_building.LU.Ser.SEU.VE</t>
  </si>
  <si>
    <t>NUM.number_per_capita.LU.Ser.SEU.SL</t>
  </si>
  <si>
    <t>NUM.number_per_building.LU.Ser.SEU.BL</t>
  </si>
  <si>
    <t>NUM.number_per_capita.LU.Ser.SEU.CR</t>
  </si>
  <si>
    <t>NUM.sqm_per_building.LU.Ser.SEU.BT</t>
  </si>
  <si>
    <t>NUM.number_per_capita.LU.Ser.SEU.IT</t>
  </si>
  <si>
    <t>Lumens_per_sqm.lumen.LU.Ser.SEU.BL</t>
  </si>
  <si>
    <t>FEC.ktoe.LU.Ser.SEU.IT.DataCenters</t>
  </si>
  <si>
    <t>LU - Services / specific electric uses</t>
  </si>
  <si>
    <t>LU - Ventilation and others</t>
  </si>
  <si>
    <t>LU - Street lighting</t>
  </si>
  <si>
    <t>LU - Building lighting</t>
  </si>
  <si>
    <t>LU - Commercial refrigeration</t>
  </si>
  <si>
    <t>LU - Miscellaneous building technologies</t>
  </si>
  <si>
    <t>LU - ICT and multimedia</t>
  </si>
  <si>
    <t>LU - Agriculture, forestry and fishing</t>
  </si>
  <si>
    <t>VA.Meuro2015.Meuro2023.LU.AGR.AGR</t>
  </si>
  <si>
    <t>OUTPUT.index.index.LU.AGR.AGR</t>
  </si>
  <si>
    <t>CAP.index.index.LU.AGR.AGR</t>
  </si>
  <si>
    <t>NEWCAP.index.index.LU.AGR.AGR</t>
  </si>
  <si>
    <t>CAPOUT.index.LU.AGR.AGR</t>
  </si>
  <si>
    <t>CAPIDLE.index.LU.AGR.AGR</t>
  </si>
  <si>
    <t>FEC.ktoe.LU.ES.AGR</t>
  </si>
  <si>
    <t>FEC.ktoe.LU.ES.AGR.Solids</t>
  </si>
  <si>
    <t>FEC.ktoe.LU.ES.AGR.LPG</t>
  </si>
  <si>
    <t>FEC.ktoe.LU.ES.AGR.Diesel</t>
  </si>
  <si>
    <t>FEC.ktoe.LU.ES.AGR.RFO</t>
  </si>
  <si>
    <t>FEC.ktoe.LU.ES.AGR.NG</t>
  </si>
  <si>
    <t>FEC.ktoe.LU.ES.AGR.Biomass_Waste</t>
  </si>
  <si>
    <t>FEC.ktoe.LU.ES.AGR.Biogas</t>
  </si>
  <si>
    <t>FEC.ktoe.LU.ES.AGR.LiqBio</t>
  </si>
  <si>
    <t>FEC.ktoe.LU.ES.AGR.Solar</t>
  </si>
  <si>
    <t>FEC.ktoe.LU.ES.AGR.Geo</t>
  </si>
  <si>
    <t>FEC.ktoe.LU.ES.AGR.Ambient</t>
  </si>
  <si>
    <t>FEC.ktoe.LU.ES.AGR.Steam_Distr</t>
  </si>
  <si>
    <t>FEC.ktoe.LU.ES.AGR.Elec</t>
  </si>
  <si>
    <t>LU - Agriculture, forestry and fishing / final energy consumption</t>
  </si>
  <si>
    <t>FEC.ktoe.ktoe.LU.AGR.AGR.LIGHT.GENERIC.ELEC</t>
  </si>
  <si>
    <t>FEC.ktoe.ktoe.LU.AGR.AGR.FANS.GENERIC.ELEC</t>
  </si>
  <si>
    <t>FEC.ktoe.ktoe.LU.AGR.AGR.MOTOR.GENERIC.ELEC</t>
  </si>
  <si>
    <t>FEC.ktoe.ktoe.LU.AGR.AGR.LOW_ENTH.THERM.DIESEL_LIQBIO</t>
  </si>
  <si>
    <t>FEC.ktoe.ktoe.LU.AGR.AGR.LOW_ENTH.THERM.NG_BIOGAS</t>
  </si>
  <si>
    <t>FEC.ktoe.ktoe.LU.AGR.AGR.LOW_ENTH.THERM.SOLAR_GEO</t>
  </si>
  <si>
    <t>FEC.ktoe.ktoe.LU.AGR.AGR.LOW_ENTH.HP.AMBIENT</t>
  </si>
  <si>
    <t>FEC.ktoe.ktoe.LU.AGR.AGR.LOW_ENTH.THERM.STEAM_DISTR</t>
  </si>
  <si>
    <t>FEC.ktoe.ktoe.LU.AGR.AGR.LOW_ENTH.THERM.ELEC</t>
  </si>
  <si>
    <t>FEC.ktoe.ktoe.LU.AGR.AGR.FARM_DRIVES.MECH.DIESEL_LIQBIO</t>
  </si>
  <si>
    <t>FEC.ktoe.ktoe.LU.AGR.AGR.HEAT_USE.THERM.SOLIDS</t>
  </si>
  <si>
    <t>FEC.ktoe.ktoe.LU.AGR.AGR.HEAT_USE.THERM.LPG</t>
  </si>
  <si>
    <t>FEC.ktoe.ktoe.LU.AGR.AGR.HEAT_USE.THERM.DIESEL_LIQBIO</t>
  </si>
  <si>
    <t>FEC.ktoe.ktoe.LU.AGR.AGR.HEAT_USE.THERM.RFO</t>
  </si>
  <si>
    <t>FEC.ktoe.ktoe.LU.AGR.AGR.HEAT_USE.THERM.NG_BIOGAS</t>
  </si>
  <si>
    <t>FEC.ktoe.ktoe.LU.AGR.AGR.HEAT_USE.THERM.BIOMASS_WASTE</t>
  </si>
  <si>
    <t>FEC.ktoe.ktoe.LU.AGR.AGR.HEAT_USE.THERM.SOLAR_GEO</t>
  </si>
  <si>
    <t>FEC.ktoe.ktoe.LU.AGR.AGR.FARM_PUMP.MECH.DIESEL_LIQBIO</t>
  </si>
  <si>
    <t>FEC.ktoe.ktoe.LU.AGR.AGR.FARM_PUMP_ELEC.MECH.ELEC</t>
  </si>
  <si>
    <t>FEC.ktoe.ktoe.LU.AGR.AGR.GENERIC.MECH.ELEC</t>
  </si>
  <si>
    <t>LU - Agriculture, forestry and fishing / useful energy demand</t>
  </si>
  <si>
    <t>UED.ktoe.ktoe.LU.AGR.AGR.LIGHT.GENERIC.ELEC</t>
  </si>
  <si>
    <t>UED.ktoe.ktoe.LU.AGR.AGR.FANS.GENERIC.ELEC</t>
  </si>
  <si>
    <t>UED.ktoe.ktoe.LU.AGR.AGR.MOTOR.GENERIC.ELEC</t>
  </si>
  <si>
    <t>UED.ktoe.ktoe.LU.AGR.AGR.LOW_ENTH.THERM.DIESEL_LIQBIO</t>
  </si>
  <si>
    <t>UED.ktoe.ktoe.LU.AGR.AGR.LOW_ENTH.THERM.NG_BIOGAS</t>
  </si>
  <si>
    <t>UED.ktoe.ktoe.LU.AGR.AGR.LOW_ENTH.THERM.SOLAR_GEO</t>
  </si>
  <si>
    <t>UED.ktoe.ktoe.LU.AGR.AGR.LOW_ENTH.HP.AMBIENT</t>
  </si>
  <si>
    <t>UED.ktoe.ktoe.LU.AGR.AGR.LOW_ENTH.THERM.STEAM_DISTR</t>
  </si>
  <si>
    <t>UED.ktoe.ktoe.LU.AGR.AGR.LOW_ENTH.THERM.ELEC</t>
  </si>
  <si>
    <t>UED.ktoe.ktoe.LU.AGR.AGR.FARM_DRIVES.MECH.DIESEL_LIQBIO</t>
  </si>
  <si>
    <t>UED.ktoe.ktoe.LU.AGR.AGR.HEAT_USE.THERM.SOLIDS</t>
  </si>
  <si>
    <t>UED.ktoe.ktoe.LU.AGR.AGR.HEAT_USE.THERM.LPG</t>
  </si>
  <si>
    <t>UED.ktoe.ktoe.LU.AGR.AGR.HEAT_USE.THERM.DIESEL_LIQBIO</t>
  </si>
  <si>
    <t>UED.ktoe.ktoe.LU.AGR.AGR.HEAT_USE.THERM.RFO</t>
  </si>
  <si>
    <t>UED.ktoe.ktoe.LU.AGR.AGR.HEAT_USE.THERM.NG_BIOGAS</t>
  </si>
  <si>
    <t>UED.ktoe.ktoe.LU.AGR.AGR.HEAT_USE.THERM.BIOMASS_WASTE</t>
  </si>
  <si>
    <t>UED.ktoe.ktoe.LU.AGR.AGR.HEAT_USE.THERM.SOLAR_GEO</t>
  </si>
  <si>
    <t>UED.ktoe.ktoe.LU.AGR.AGR.FARM_PUMP.MECH.DIESEL_LIQBIO</t>
  </si>
  <si>
    <t>UED.ktoe.ktoe.LU.AGR.AGR.FARM_PUMP_ELEC.MECH.ELEC</t>
  </si>
  <si>
    <t>UED.ktoe.ktoe.LU.AGR.AGR.GENERIC.MECH.ELEC</t>
  </si>
  <si>
    <t>LU - Agriculture, forestry and fishing / CO2 emissions</t>
  </si>
  <si>
    <t>FUEL_EMI.ktCO2.ktCO2.LU.AGR.AGR.LIGHT.GENERIC.ELEC</t>
  </si>
  <si>
    <t>FUEL_EMI.ktCO2.ktCO2.LU.AGR.AGR.FANS.GENERIC.ELEC</t>
  </si>
  <si>
    <t>FUEL_EMI.ktCO2.ktCO2.LU.AGR.AGR.MOTOR.GENERIC.ELEC</t>
  </si>
  <si>
    <t>FUEL_EMI.ktCO2.ktCO2.LU.AGR.AGR.LOW_ENTH.THERM.DIESEL_LIQBIO</t>
  </si>
  <si>
    <t>FUEL_EMI.ktCO2.ktCO2.LU.AGR.AGR.LOW_ENTH.THERM.NG_BIOGAS</t>
  </si>
  <si>
    <t>FUEL_EMI.ktCO2.ktCO2.LU.AGR.AGR.LOW_ENTH.THERM.SOLAR_GEO</t>
  </si>
  <si>
    <t>FUEL_EMI.ktCO2.ktCO2.LU.AGR.AGR.LOW_ENTH.HP.AMBIENT</t>
  </si>
  <si>
    <t>FUEL_EMI.ktCO2.ktCO2.LU.AGR.AGR.LOW_ENTH.THERM.STEAM_DISTR</t>
  </si>
  <si>
    <t>FUEL_EMI.ktCO2.ktCO2.LU.AGR.AGR.LOW_ENTH.THERM.ELEC</t>
  </si>
  <si>
    <t>FUEL_EMI.ktCO2.ktCO2.LU.AGR.AGR.FARM_DRIVES.MECH.DIESEL_LIQBIO</t>
  </si>
  <si>
    <t>FUEL_EMI.ktCO2.ktCO2.LU.AGR.AGR.HEAT_USE.THERM.SOLIDS</t>
  </si>
  <si>
    <t>FUEL_EMI.ktCO2.ktCO2.LU.AGR.AGR.HEAT_USE.THERM.LPG</t>
  </si>
  <si>
    <t>FUEL_EMI.ktCO2.ktCO2.LU.AGR.AGR.HEAT_USE.THERM.DIESEL_LIQBIO</t>
  </si>
  <si>
    <t>FUEL_EMI.ktCO2.ktCO2.LU.AGR.AGR.HEAT_USE.THERM.RFO</t>
  </si>
  <si>
    <t>FUEL_EMI.ktCO2.ktCO2.LU.AGR.AGR.HEAT_USE.THERM.NG_BIOGAS</t>
  </si>
  <si>
    <t>FUEL_EMI.ktCO2.ktCO2.LU.AGR.AGR.HEAT_USE.THERM.BIOMASS_WASTE</t>
  </si>
  <si>
    <t>FUEL_EMI.ktCO2.ktCO2.LU.AGR.AGR.HEAT_USE.THERM.SOLAR_GEO</t>
  </si>
  <si>
    <t>FUEL_EMI.ktCO2.ktCO2.LU.AGR.AGR.FARM_PUMP.MECH.DIESEL_LIQBIO</t>
  </si>
  <si>
    <t>FUEL_EMI.ktCO2.ktCO2.LU.AGR.AGR.FARM_PUMP_ELEC.MECH.ELEC</t>
  </si>
  <si>
    <t>FUEL_EMI.ktCO2.ktCO2.LU.AGR.AGR.GENERIC.MECH.ELEC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</si>
</sst>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45967.477384259262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433600</v>
      </c>
      <c r="C3" s="34">
        <v>439000</v>
      </c>
      <c r="D3" s="34">
        <v>444050</v>
      </c>
      <c r="E3" s="34">
        <v>448300</v>
      </c>
      <c r="F3" s="34">
        <v>454960</v>
      </c>
      <c r="G3" s="34">
        <v>461230</v>
      </c>
      <c r="H3" s="34">
        <v>469086</v>
      </c>
      <c r="I3" s="34">
        <v>476187</v>
      </c>
      <c r="J3" s="34">
        <v>483799</v>
      </c>
      <c r="K3" s="34">
        <v>493500</v>
      </c>
      <c r="L3" s="34">
        <v>502066</v>
      </c>
      <c r="M3" s="34">
        <v>511840</v>
      </c>
      <c r="N3" s="34">
        <v>524853</v>
      </c>
      <c r="O3" s="34">
        <v>537039</v>
      </c>
      <c r="P3" s="34">
        <v>549680</v>
      </c>
      <c r="Q3" s="34">
        <v>562958</v>
      </c>
      <c r="R3" s="34">
        <v>576249</v>
      </c>
      <c r="S3" s="34">
        <v>590667</v>
      </c>
      <c r="T3" s="34">
        <v>602005</v>
      </c>
      <c r="U3" s="34">
        <v>613894</v>
      </c>
      <c r="V3" s="34">
        <v>626108</v>
      </c>
      <c r="W3" s="34">
        <v>634730</v>
      </c>
      <c r="X3" s="34">
        <v>645397</v>
      </c>
      <c r="Y3" s="34">
        <v>660809</v>
      </c>
      <c r="DA3" s="88" t="s">
        <v>188</v>
      </c>
    </row>
    <row r="4" spans="1:105" ht="12" customHeight="1" x14ac:dyDescent="0.25">
      <c r="A4" s="35" t="s">
        <v>178</v>
      </c>
      <c r="B4" s="36">
        <v>47183.991737107033</v>
      </c>
      <c r="C4" s="36">
        <v>48634.76751684388</v>
      </c>
      <c r="D4" s="36">
        <v>50202.991005479373</v>
      </c>
      <c r="E4" s="36">
        <v>51518.222858917266</v>
      </c>
      <c r="F4" s="36">
        <v>53698.413576003295</v>
      </c>
      <c r="G4" s="36">
        <v>55032.020166771777</v>
      </c>
      <c r="H4" s="36">
        <v>58342.831518805702</v>
      </c>
      <c r="I4" s="36">
        <v>63067.532527552037</v>
      </c>
      <c r="J4" s="36">
        <v>62878.324164091377</v>
      </c>
      <c r="K4" s="36">
        <v>60841.922378143274</v>
      </c>
      <c r="L4" s="36">
        <v>63129.890625932814</v>
      </c>
      <c r="M4" s="36">
        <v>63788.908259069773</v>
      </c>
      <c r="N4" s="36">
        <v>64841.172378291238</v>
      </c>
      <c r="O4" s="36">
        <v>66898.459187533503</v>
      </c>
      <c r="P4" s="36">
        <v>68652.894261415335</v>
      </c>
      <c r="Q4" s="36">
        <v>70211.193217000007</v>
      </c>
      <c r="R4" s="36">
        <v>73706.773044331188</v>
      </c>
      <c r="S4" s="36">
        <v>74676.98704312359</v>
      </c>
      <c r="T4" s="36">
        <v>75880.430821425107</v>
      </c>
      <c r="U4" s="36">
        <v>77967.0441278465</v>
      </c>
      <c r="V4" s="36">
        <v>77569.037613258028</v>
      </c>
      <c r="W4" s="36">
        <v>82944.570337060955</v>
      </c>
      <c r="X4" s="36">
        <v>82034.240904893799</v>
      </c>
      <c r="Y4" s="36">
        <v>82115.5</v>
      </c>
      <c r="DA4" s="89" t="s">
        <v>189</v>
      </c>
    </row>
    <row r="5" spans="1:105" ht="12" customHeight="1" x14ac:dyDescent="0.25">
      <c r="A5" s="35" t="s">
        <v>179</v>
      </c>
      <c r="B5" s="36">
        <v>35249.194718383667</v>
      </c>
      <c r="C5" s="36">
        <v>36769.113087065838</v>
      </c>
      <c r="D5" s="36">
        <v>37944.194049164777</v>
      </c>
      <c r="E5" s="36">
        <v>38935.247081614318</v>
      </c>
      <c r="F5" s="36">
        <v>40690.096022204059</v>
      </c>
      <c r="G5" s="36">
        <v>42228.812757376756</v>
      </c>
      <c r="H5" s="36">
        <v>45778.505956564783</v>
      </c>
      <c r="I5" s="36">
        <v>48772.536675109157</v>
      </c>
      <c r="J5" s="36">
        <v>49709.673135784447</v>
      </c>
      <c r="K5" s="36">
        <v>49277.653973975313</v>
      </c>
      <c r="L5" s="36">
        <v>51094.247105425231</v>
      </c>
      <c r="M5" s="36">
        <v>51443.570447252227</v>
      </c>
      <c r="N5" s="36">
        <v>52286.866556590147</v>
      </c>
      <c r="O5" s="36">
        <v>53936.608881068358</v>
      </c>
      <c r="P5" s="36">
        <v>54750.98498942989</v>
      </c>
      <c r="Q5" s="36">
        <v>56977.501800289792</v>
      </c>
      <c r="R5" s="36">
        <v>59462.865074579895</v>
      </c>
      <c r="S5" s="36">
        <v>60911.533010075473</v>
      </c>
      <c r="T5" s="36">
        <v>61517.917402541156</v>
      </c>
      <c r="U5" s="36">
        <v>62765.633719973346</v>
      </c>
      <c r="V5" s="36">
        <v>62449.761319095334</v>
      </c>
      <c r="W5" s="36">
        <v>67556.663982642058</v>
      </c>
      <c r="X5" s="36">
        <v>67704.785127219584</v>
      </c>
      <c r="Y5" s="36">
        <v>67535.642350438386</v>
      </c>
      <c r="DA5" s="89" t="s">
        <v>190</v>
      </c>
    </row>
    <row r="6" spans="1:105" ht="12" customHeight="1" x14ac:dyDescent="0.25">
      <c r="A6" s="37" t="s">
        <v>70</v>
      </c>
      <c r="B6" s="38">
        <v>194839.99999999997</v>
      </c>
      <c r="C6" s="38">
        <v>208090</v>
      </c>
      <c r="D6" s="38">
        <v>215050</v>
      </c>
      <c r="E6" s="38">
        <v>219769.99999999997</v>
      </c>
      <c r="F6" s="38">
        <v>226109.99999999997</v>
      </c>
      <c r="G6" s="38">
        <v>233280.00000000003</v>
      </c>
      <c r="H6" s="38">
        <v>243630</v>
      </c>
      <c r="I6" s="38">
        <v>255990.00000000003</v>
      </c>
      <c r="J6" s="38">
        <v>270020</v>
      </c>
      <c r="K6" s="38">
        <v>275250</v>
      </c>
      <c r="L6" s="38">
        <v>281460</v>
      </c>
      <c r="M6" s="38">
        <v>291070</v>
      </c>
      <c r="N6" s="38">
        <v>300060</v>
      </c>
      <c r="O6" s="38">
        <v>307669.99999999994</v>
      </c>
      <c r="P6" s="38">
        <v>316810</v>
      </c>
      <c r="Q6" s="38">
        <v>325330</v>
      </c>
      <c r="R6" s="38">
        <v>335880</v>
      </c>
      <c r="S6" s="38">
        <v>349170</v>
      </c>
      <c r="T6" s="38">
        <v>362179.99999999994</v>
      </c>
      <c r="U6" s="38">
        <v>376300</v>
      </c>
      <c r="V6" s="38">
        <v>382830.00000000006</v>
      </c>
      <c r="W6" s="38">
        <v>394940</v>
      </c>
      <c r="X6" s="38">
        <v>409340</v>
      </c>
      <c r="Y6" s="38">
        <v>419900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7954.1159527192731</v>
      </c>
      <c r="C8" s="34">
        <v>8012.4159424764866</v>
      </c>
      <c r="D8" s="34">
        <v>8082.9345498232251</v>
      </c>
      <c r="E8" s="34">
        <v>8108.7540453633392</v>
      </c>
      <c r="F8" s="34">
        <v>8180.5927727447543</v>
      </c>
      <c r="G8" s="34">
        <v>8270.4167541168736</v>
      </c>
      <c r="H8" s="34">
        <v>8331.3727317224966</v>
      </c>
      <c r="I8" s="34">
        <v>8400.1394414273145</v>
      </c>
      <c r="J8" s="34">
        <v>8454.2159061417497</v>
      </c>
      <c r="K8" s="34">
        <v>8503.4423432468193</v>
      </c>
      <c r="L8" s="34">
        <v>8539.0726714880766</v>
      </c>
      <c r="M8" s="34">
        <v>8679.9151458874112</v>
      </c>
      <c r="N8" s="34">
        <v>8823.1127626389007</v>
      </c>
      <c r="O8" s="34">
        <v>9012.0511650175304</v>
      </c>
      <c r="P8" s="34">
        <v>9227.3113972218216</v>
      </c>
      <c r="Q8" s="34">
        <v>9411.9931667238943</v>
      </c>
      <c r="R8" s="34">
        <v>9615.7558378806152</v>
      </c>
      <c r="S8" s="34">
        <v>9808.9018285520906</v>
      </c>
      <c r="T8" s="34">
        <v>10002.450883549503</v>
      </c>
      <c r="U8" s="34">
        <v>10195.044625993398</v>
      </c>
      <c r="V8" s="34">
        <v>10384.93</v>
      </c>
      <c r="W8" s="34">
        <v>10571.569721883638</v>
      </c>
      <c r="X8" s="34">
        <v>10756.51945244751</v>
      </c>
      <c r="Y8" s="34">
        <v>10939.648976087892</v>
      </c>
      <c r="DA8" s="88" t="s">
        <v>192</v>
      </c>
    </row>
    <row r="9" spans="1:105" ht="12" customHeight="1" x14ac:dyDescent="0.25">
      <c r="A9" s="39" t="s">
        <v>68</v>
      </c>
      <c r="B9" s="40">
        <v>7158.7043574473455</v>
      </c>
      <c r="C9" s="40">
        <v>7211.1743482288375</v>
      </c>
      <c r="D9" s="40">
        <v>7274.641094840902</v>
      </c>
      <c r="E9" s="40">
        <v>7297.8786408270053</v>
      </c>
      <c r="F9" s="40">
        <v>7362.5334954702794</v>
      </c>
      <c r="G9" s="40">
        <v>7443.3750787051858</v>
      </c>
      <c r="H9" s="40">
        <v>7498.2354585502462</v>
      </c>
      <c r="I9" s="40">
        <v>7560.1254972845836</v>
      </c>
      <c r="J9" s="40">
        <v>7608.7943155275752</v>
      </c>
      <c r="K9" s="40">
        <v>7653.0981089221377</v>
      </c>
      <c r="L9" s="40">
        <v>7685.1654043392691</v>
      </c>
      <c r="M9" s="40">
        <v>7811.9236312986704</v>
      </c>
      <c r="N9" s="40">
        <v>7940.8014863750113</v>
      </c>
      <c r="O9" s="40">
        <v>8110.8460485157775</v>
      </c>
      <c r="P9" s="40">
        <v>8304.5802574996396</v>
      </c>
      <c r="Q9" s="40">
        <v>8470.7938500515047</v>
      </c>
      <c r="R9" s="40">
        <v>8654.1802540925528</v>
      </c>
      <c r="S9" s="40">
        <v>8828.0116456968826</v>
      </c>
      <c r="T9" s="40">
        <v>9002.2057951945535</v>
      </c>
      <c r="U9" s="40">
        <v>9175.5401633940583</v>
      </c>
      <c r="V9" s="40">
        <v>9346.4369999999999</v>
      </c>
      <c r="W9" s="40">
        <v>9514.4127496952733</v>
      </c>
      <c r="X9" s="40">
        <v>9680.8675072027581</v>
      </c>
      <c r="Y9" s="40">
        <v>9845.684078479102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90.011913511543966</v>
      </c>
      <c r="D10" s="41">
        <v>102.45704484217241</v>
      </c>
      <c r="E10" s="41">
        <v>58.210960517751616</v>
      </c>
      <c r="F10" s="41">
        <v>104.23019235905188</v>
      </c>
      <c r="G10" s="41">
        <v>122.44196009085994</v>
      </c>
      <c r="H10" s="41">
        <v>94.026983806567259</v>
      </c>
      <c r="I10" s="41">
        <v>102.06422964686644</v>
      </c>
      <c r="J10" s="41">
        <v>87.600498397584857</v>
      </c>
      <c r="K10" s="41">
        <v>82.976984529320205</v>
      </c>
      <c r="L10" s="41">
        <v>69.60738940661227</v>
      </c>
      <c r="M10" s="41">
        <v>175.04604930579143</v>
      </c>
      <c r="N10" s="41">
        <v>177.85421914015168</v>
      </c>
      <c r="O10" s="41">
        <v>224.27454599059826</v>
      </c>
      <c r="P10" s="41">
        <v>251.27591703956458</v>
      </c>
      <c r="Q10" s="41">
        <v>221.60350930175778</v>
      </c>
      <c r="R10" s="41">
        <v>250.35669673456101</v>
      </c>
      <c r="S10" s="41">
        <v>240.74874234415427</v>
      </c>
      <c r="T10" s="41">
        <v>242.10797494074126</v>
      </c>
      <c r="U10" s="41">
        <v>242.11082602582013</v>
      </c>
      <c r="V10" s="41">
        <v>240.35589195706532</v>
      </c>
      <c r="W10" s="41">
        <v>238.05026643808981</v>
      </c>
      <c r="X10" s="41">
        <v>237.28423413755769</v>
      </c>
      <c r="Y10" s="41">
        <v>236.37961993962463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81.010722160389562</v>
      </c>
      <c r="D11" s="42">
        <v>92.211340357955166</v>
      </c>
      <c r="E11" s="42">
        <v>52.389864465976459</v>
      </c>
      <c r="F11" s="42">
        <v>93.807173123146711</v>
      </c>
      <c r="G11" s="42">
        <v>110.19776408177394</v>
      </c>
      <c r="H11" s="42">
        <v>84.624285425910529</v>
      </c>
      <c r="I11" s="42">
        <v>91.857806682179799</v>
      </c>
      <c r="J11" s="42">
        <v>78.840448557826377</v>
      </c>
      <c r="K11" s="42">
        <v>74.679286076388195</v>
      </c>
      <c r="L11" s="42">
        <v>62.646650465951048</v>
      </c>
      <c r="M11" s="42">
        <v>157.54144437521228</v>
      </c>
      <c r="N11" s="42">
        <v>160.0687972261365</v>
      </c>
      <c r="O11" s="42">
        <v>201.84709139153847</v>
      </c>
      <c r="P11" s="42">
        <v>226.14832533560812</v>
      </c>
      <c r="Q11" s="42">
        <v>199.443158371582</v>
      </c>
      <c r="R11" s="42">
        <v>225.3210270611049</v>
      </c>
      <c r="S11" s="42">
        <v>216.67386810973886</v>
      </c>
      <c r="T11" s="42">
        <v>217.89717744666714</v>
      </c>
      <c r="U11" s="42">
        <v>217.89974342323811</v>
      </c>
      <c r="V11" s="42">
        <v>216.32030276135876</v>
      </c>
      <c r="W11" s="42">
        <v>214.24523979428082</v>
      </c>
      <c r="X11" s="42">
        <v>213.55581072380193</v>
      </c>
      <c r="Y11" s="42">
        <v>212.74165794566218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2730.74</v>
      </c>
      <c r="C13" s="43">
        <v>2989.14</v>
      </c>
      <c r="D13" s="43">
        <v>2784.61</v>
      </c>
      <c r="E13" s="43">
        <v>2893.41</v>
      </c>
      <c r="F13" s="43">
        <v>3081.54</v>
      </c>
      <c r="G13" s="43">
        <v>2958.31</v>
      </c>
      <c r="H13" s="43">
        <v>2833.89</v>
      </c>
      <c r="I13" s="43">
        <v>2643.84</v>
      </c>
      <c r="J13" s="43">
        <v>2912.21</v>
      </c>
      <c r="K13" s="43">
        <v>2869.92</v>
      </c>
      <c r="L13" s="43">
        <v>3344.46</v>
      </c>
      <c r="M13" s="43">
        <v>2633.71</v>
      </c>
      <c r="N13" s="43">
        <v>2921.04</v>
      </c>
      <c r="O13" s="43">
        <v>3204.69</v>
      </c>
      <c r="P13" s="43">
        <v>2515.66</v>
      </c>
      <c r="Q13" s="43">
        <v>2850.7</v>
      </c>
      <c r="R13" s="43">
        <v>2962.58</v>
      </c>
      <c r="S13" s="43">
        <v>2871.62</v>
      </c>
      <c r="T13" s="43">
        <v>2666.78</v>
      </c>
      <c r="U13" s="43">
        <v>2753.6</v>
      </c>
      <c r="V13" s="43">
        <v>2563.11</v>
      </c>
      <c r="W13" s="43">
        <v>3173.52</v>
      </c>
      <c r="X13" s="43">
        <v>2785.9</v>
      </c>
      <c r="Y13" s="43">
        <v>2732.68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2856.4552380952382</v>
      </c>
      <c r="C14" s="44">
        <f t="shared" ref="C14:Y14" si="0">AVERAGE($B$13:$V$13)</f>
        <v>2856.4552380952382</v>
      </c>
      <c r="D14" s="44">
        <f t="shared" si="0"/>
        <v>2856.4552380952382</v>
      </c>
      <c r="E14" s="44">
        <f t="shared" si="0"/>
        <v>2856.4552380952382</v>
      </c>
      <c r="F14" s="44">
        <f t="shared" si="0"/>
        <v>2856.4552380952382</v>
      </c>
      <c r="G14" s="44">
        <f t="shared" si="0"/>
        <v>2856.4552380952382</v>
      </c>
      <c r="H14" s="44">
        <f t="shared" si="0"/>
        <v>2856.4552380952382</v>
      </c>
      <c r="I14" s="44">
        <f t="shared" si="0"/>
        <v>2856.4552380952382</v>
      </c>
      <c r="J14" s="44">
        <f t="shared" si="0"/>
        <v>2856.4552380952382</v>
      </c>
      <c r="K14" s="44">
        <f t="shared" si="0"/>
        <v>2856.4552380952382</v>
      </c>
      <c r="L14" s="44">
        <f t="shared" si="0"/>
        <v>2856.4552380952382</v>
      </c>
      <c r="M14" s="44">
        <f t="shared" si="0"/>
        <v>2856.4552380952382</v>
      </c>
      <c r="N14" s="44">
        <f t="shared" si="0"/>
        <v>2856.4552380952382</v>
      </c>
      <c r="O14" s="44">
        <f t="shared" si="0"/>
        <v>2856.4552380952382</v>
      </c>
      <c r="P14" s="44">
        <f t="shared" si="0"/>
        <v>2856.4552380952382</v>
      </c>
      <c r="Q14" s="44">
        <f t="shared" si="0"/>
        <v>2856.4552380952382</v>
      </c>
      <c r="R14" s="44">
        <f t="shared" si="0"/>
        <v>2856.4552380952382</v>
      </c>
      <c r="S14" s="44">
        <f t="shared" si="0"/>
        <v>2856.4552380952382</v>
      </c>
      <c r="T14" s="44">
        <f t="shared" si="0"/>
        <v>2856.4552380952382</v>
      </c>
      <c r="U14" s="44">
        <f t="shared" si="0"/>
        <v>2856.4552380952382</v>
      </c>
      <c r="V14" s="44">
        <f t="shared" si="0"/>
        <v>2856.4552380952382</v>
      </c>
      <c r="W14" s="44">
        <f t="shared" si="0"/>
        <v>2856.4552380952382</v>
      </c>
      <c r="X14" s="44">
        <f t="shared" si="0"/>
        <v>2856.4552380952382</v>
      </c>
      <c r="Y14" s="44">
        <f t="shared" si="0"/>
        <v>2856.4552380952382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0.95598907470397865</v>
      </c>
      <c r="C15" s="46">
        <f t="shared" ref="C15:W15" si="1">C13/C14</f>
        <v>1.046450845836898</v>
      </c>
      <c r="D15" s="46">
        <f t="shared" si="1"/>
        <v>0.97484811344596933</v>
      </c>
      <c r="E15" s="46">
        <f t="shared" si="1"/>
        <v>1.0129372802387773</v>
      </c>
      <c r="F15" s="46">
        <f t="shared" si="1"/>
        <v>1.0787986308704962</v>
      </c>
      <c r="G15" s="46">
        <f t="shared" si="1"/>
        <v>1.0356577482980904</v>
      </c>
      <c r="H15" s="46">
        <f t="shared" si="1"/>
        <v>0.99210026546388819</v>
      </c>
      <c r="I15" s="46">
        <f t="shared" si="1"/>
        <v>0.92556675306523772</v>
      </c>
      <c r="J15" s="46">
        <f t="shared" si="1"/>
        <v>1.0195188642066524</v>
      </c>
      <c r="K15" s="46">
        <f t="shared" si="1"/>
        <v>1.0047138011214698</v>
      </c>
      <c r="L15" s="46">
        <f t="shared" si="1"/>
        <v>1.1708427828297343</v>
      </c>
      <c r="M15" s="46">
        <f t="shared" si="1"/>
        <v>0.92202039957616466</v>
      </c>
      <c r="N15" s="46">
        <f t="shared" si="1"/>
        <v>1.0226101081660319</v>
      </c>
      <c r="O15" s="46">
        <f t="shared" si="1"/>
        <v>1.1219115067026131</v>
      </c>
      <c r="P15" s="46">
        <f t="shared" si="1"/>
        <v>0.88069295343746057</v>
      </c>
      <c r="Q15" s="46">
        <f t="shared" si="1"/>
        <v>0.99798518176707851</v>
      </c>
      <c r="R15" s="46">
        <f t="shared" si="1"/>
        <v>1.0371526080610065</v>
      </c>
      <c r="S15" s="46">
        <f t="shared" si="1"/>
        <v>1.0053089443526075</v>
      </c>
      <c r="T15" s="46">
        <f t="shared" si="1"/>
        <v>0.93359768584305958</v>
      </c>
      <c r="U15" s="46">
        <f t="shared" si="1"/>
        <v>0.9639920007415117</v>
      </c>
      <c r="V15" s="46">
        <f t="shared" si="1"/>
        <v>0.89730445127127267</v>
      </c>
      <c r="W15" s="46">
        <f t="shared" si="1"/>
        <v>1.1109993805175777</v>
      </c>
      <c r="X15" s="46">
        <f t="shared" ref="X15:Y15" si="2">X13/X14</f>
        <v>0.97529972213312666</v>
      </c>
      <c r="Y15" s="46">
        <f t="shared" si="2"/>
        <v>0.95666823815598279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108819.16913539445</v>
      </c>
      <c r="C19" s="34">
        <f t="shared" si="3"/>
        <v>110785.34741877877</v>
      </c>
      <c r="D19" s="34">
        <f t="shared" ref="D19:W19" si="4">D4*1000000/D3</f>
        <v>113057.06791009879</v>
      </c>
      <c r="E19" s="34">
        <f t="shared" si="4"/>
        <v>114919.07842720782</v>
      </c>
      <c r="F19" s="34">
        <f t="shared" si="4"/>
        <v>118028.86754001076</v>
      </c>
      <c r="G19" s="34">
        <f t="shared" si="4"/>
        <v>119315.78641192414</v>
      </c>
      <c r="H19" s="34">
        <f t="shared" si="4"/>
        <v>124375.5548424078</v>
      </c>
      <c r="I19" s="34">
        <f t="shared" si="4"/>
        <v>132442.7851401908</v>
      </c>
      <c r="J19" s="34">
        <f t="shared" si="4"/>
        <v>129967.86715989777</v>
      </c>
      <c r="K19" s="34">
        <f t="shared" si="4"/>
        <v>123286.57016847674</v>
      </c>
      <c r="L19" s="34">
        <f t="shared" si="4"/>
        <v>125740.22265186811</v>
      </c>
      <c r="M19" s="34">
        <f t="shared" si="4"/>
        <v>124626.65727389374</v>
      </c>
      <c r="N19" s="34">
        <f t="shared" si="4"/>
        <v>123541.58665053117</v>
      </c>
      <c r="O19" s="34">
        <f t="shared" si="4"/>
        <v>124569.08937252882</v>
      </c>
      <c r="P19" s="34">
        <f t="shared" si="4"/>
        <v>124896.11093984744</v>
      </c>
      <c r="Q19" s="34">
        <f t="shared" si="4"/>
        <v>124718.35059986713</v>
      </c>
      <c r="R19" s="34">
        <f t="shared" si="4"/>
        <v>127907.85414695938</v>
      </c>
      <c r="S19" s="34">
        <f t="shared" si="4"/>
        <v>126428.23628732195</v>
      </c>
      <c r="T19" s="34">
        <f t="shared" si="4"/>
        <v>126046.1803829289</v>
      </c>
      <c r="U19" s="34">
        <f t="shared" si="4"/>
        <v>127004.08234621368</v>
      </c>
      <c r="V19" s="34">
        <f t="shared" si="4"/>
        <v>123890.82652395118</v>
      </c>
      <c r="W19" s="34">
        <f t="shared" si="4"/>
        <v>130676.93403031361</v>
      </c>
      <c r="X19" s="34">
        <f t="shared" ref="X19:Y19" si="5">X4*1000000/X3</f>
        <v>127106.63499349052</v>
      </c>
      <c r="Y19" s="34">
        <f t="shared" si="5"/>
        <v>124265.10534814144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180913.54300135328</v>
      </c>
      <c r="C20" s="36">
        <f t="shared" si="6"/>
        <v>176698.12622935191</v>
      </c>
      <c r="D20" s="36">
        <f t="shared" ref="D20:W20" si="7">D5*1000000/D6</f>
        <v>176443.59009144283</v>
      </c>
      <c r="E20" s="36">
        <f t="shared" si="7"/>
        <v>177163.61232931848</v>
      </c>
      <c r="F20" s="36">
        <f t="shared" si="7"/>
        <v>179957.08293398816</v>
      </c>
      <c r="G20" s="36">
        <f t="shared" si="7"/>
        <v>181022.00256077139</v>
      </c>
      <c r="H20" s="36">
        <f t="shared" si="7"/>
        <v>187901.76068860479</v>
      </c>
      <c r="I20" s="36">
        <f t="shared" si="7"/>
        <v>190525.16377635513</v>
      </c>
      <c r="J20" s="36">
        <f t="shared" si="7"/>
        <v>184096.26374262813</v>
      </c>
      <c r="K20" s="36">
        <f t="shared" si="7"/>
        <v>179028.7156184389</v>
      </c>
      <c r="L20" s="36">
        <f t="shared" si="7"/>
        <v>181532.88959505875</v>
      </c>
      <c r="M20" s="36">
        <f t="shared" si="7"/>
        <v>176739.51436854442</v>
      </c>
      <c r="N20" s="36">
        <f t="shared" si="7"/>
        <v>174254.70424778428</v>
      </c>
      <c r="O20" s="36">
        <f t="shared" si="7"/>
        <v>175306.68859839559</v>
      </c>
      <c r="P20" s="36">
        <f t="shared" si="7"/>
        <v>172819.62371588615</v>
      </c>
      <c r="Q20" s="36">
        <f t="shared" si="7"/>
        <v>175137.55817259336</v>
      </c>
      <c r="R20" s="36">
        <f t="shared" si="7"/>
        <v>177036.03987906364</v>
      </c>
      <c r="S20" s="36">
        <f t="shared" si="7"/>
        <v>174446.63920175121</v>
      </c>
      <c r="T20" s="36">
        <f t="shared" si="7"/>
        <v>169854.54029085307</v>
      </c>
      <c r="U20" s="36">
        <f t="shared" si="7"/>
        <v>166796.79436612636</v>
      </c>
      <c r="V20" s="36">
        <f t="shared" si="7"/>
        <v>163126.61316797358</v>
      </c>
      <c r="W20" s="36">
        <f t="shared" si="7"/>
        <v>171055.51218575495</v>
      </c>
      <c r="X20" s="36">
        <f t="shared" ref="X20:Y20" si="8">X5*1000000/X6</f>
        <v>165399.87571998726</v>
      </c>
      <c r="Y20" s="36">
        <f t="shared" si="8"/>
        <v>160837.44308273014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81294.268261954945</v>
      </c>
      <c r="C21" s="36">
        <f t="shared" si="9"/>
        <v>83756.521838418776</v>
      </c>
      <c r="D21" s="36">
        <f t="shared" ref="D21:W21" si="10">D5*1000000/D3</f>
        <v>85450.27372855485</v>
      </c>
      <c r="E21" s="36">
        <f t="shared" si="10"/>
        <v>86850.874596507521</v>
      </c>
      <c r="F21" s="36">
        <f t="shared" si="10"/>
        <v>89436.645028582861</v>
      </c>
      <c r="G21" s="36">
        <f t="shared" si="10"/>
        <v>91556.951536926819</v>
      </c>
      <c r="H21" s="36">
        <f t="shared" si="10"/>
        <v>97590.859579191834</v>
      </c>
      <c r="I21" s="36">
        <f t="shared" si="10"/>
        <v>102423.07470617458</v>
      </c>
      <c r="J21" s="36">
        <f t="shared" si="10"/>
        <v>102748.60662337964</v>
      </c>
      <c r="K21" s="36">
        <f t="shared" si="10"/>
        <v>99853.402176241769</v>
      </c>
      <c r="L21" s="36">
        <f t="shared" si="10"/>
        <v>101767.98888079502</v>
      </c>
      <c r="M21" s="36">
        <f t="shared" si="10"/>
        <v>100507.13200854218</v>
      </c>
      <c r="N21" s="36">
        <f t="shared" si="10"/>
        <v>99621.925675551349</v>
      </c>
      <c r="O21" s="36">
        <f t="shared" si="10"/>
        <v>100433.31840158417</v>
      </c>
      <c r="P21" s="36">
        <f t="shared" si="10"/>
        <v>99605.197550265395</v>
      </c>
      <c r="Q21" s="36">
        <f t="shared" si="10"/>
        <v>101210.92834685677</v>
      </c>
      <c r="R21" s="36">
        <f t="shared" si="10"/>
        <v>103189.53277937123</v>
      </c>
      <c r="S21" s="36">
        <f t="shared" si="10"/>
        <v>103123.30468787908</v>
      </c>
      <c r="T21" s="36">
        <f t="shared" si="10"/>
        <v>102188.38282496184</v>
      </c>
      <c r="U21" s="36">
        <f t="shared" si="10"/>
        <v>102241.81001927587</v>
      </c>
      <c r="V21" s="36">
        <f t="shared" si="10"/>
        <v>99742.7940851983</v>
      </c>
      <c r="W21" s="36">
        <f t="shared" si="10"/>
        <v>106433.70249183441</v>
      </c>
      <c r="X21" s="36">
        <f t="shared" ref="X21:Y21" si="11">X5*1000000/X3</f>
        <v>104904.09023782196</v>
      </c>
      <c r="Y21" s="36">
        <f t="shared" si="11"/>
        <v>102201.45662428688</v>
      </c>
      <c r="DA21" s="89"/>
    </row>
    <row r="22" spans="1:105" ht="12" customHeight="1" x14ac:dyDescent="0.25">
      <c r="A22" s="51" t="s">
        <v>148</v>
      </c>
      <c r="B22" s="52">
        <v>4.4355663846041438</v>
      </c>
      <c r="C22" s="52">
        <v>4.4559446896059267</v>
      </c>
      <c r="D22" s="52">
        <v>4.4561402318027508</v>
      </c>
      <c r="E22" s="52">
        <v>4.4796854465022911</v>
      </c>
      <c r="F22" s="52">
        <v>4.5084617710763384</v>
      </c>
      <c r="G22" s="52">
        <v>4.5178652441843932</v>
      </c>
      <c r="H22" s="52">
        <v>4.6724950875317424</v>
      </c>
      <c r="I22" s="52">
        <v>4.7580678151868385</v>
      </c>
      <c r="J22" s="52">
        <v>4.7097610379454924</v>
      </c>
      <c r="K22" s="52">
        <v>4.6829707441182764</v>
      </c>
      <c r="L22" s="52">
        <v>4.7020284932001086</v>
      </c>
      <c r="M22" s="52">
        <v>4.552300527538323</v>
      </c>
      <c r="N22" s="52">
        <v>4.5265548138802965</v>
      </c>
      <c r="O22" s="52">
        <v>4.5371619599389836</v>
      </c>
      <c r="P22" s="52">
        <v>4.4265793126710467</v>
      </c>
      <c r="Q22" s="52">
        <v>4.424408546215151</v>
      </c>
      <c r="R22" s="52">
        <v>4.4362407577218299</v>
      </c>
      <c r="S22" s="52">
        <v>4.3173507794761985</v>
      </c>
      <c r="T22" s="52">
        <v>4.187890904299727</v>
      </c>
      <c r="U22" s="52">
        <v>4.1121400846603784</v>
      </c>
      <c r="V22" s="52">
        <v>4.2385820910588663</v>
      </c>
      <c r="W22" s="52">
        <v>4.2618163119037602</v>
      </c>
      <c r="X22" s="52">
        <v>4.0737720367044998</v>
      </c>
      <c r="Y22" s="52">
        <v>3.9595848522131663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24.495494050899527</v>
      </c>
      <c r="C23" s="53">
        <f t="shared" si="12"/>
        <v>25.970943282767632</v>
      </c>
      <c r="D23" s="53">
        <f t="shared" ref="D23:W23" si="13">D6/D8</f>
        <v>26.605436265063307</v>
      </c>
      <c r="E23" s="53">
        <f t="shared" si="13"/>
        <v>27.102807505385677</v>
      </c>
      <c r="F23" s="53">
        <f t="shared" si="13"/>
        <v>27.639806341825214</v>
      </c>
      <c r="G23" s="53">
        <f t="shared" si="13"/>
        <v>28.206559226157157</v>
      </c>
      <c r="H23" s="53">
        <f t="shared" si="13"/>
        <v>29.24247994239359</v>
      </c>
      <c r="I23" s="53">
        <f t="shared" si="13"/>
        <v>30.474494118219464</v>
      </c>
      <c r="J23" s="53">
        <f t="shared" si="13"/>
        <v>31.93909441132655</v>
      </c>
      <c r="K23" s="53">
        <f t="shared" si="13"/>
        <v>32.369243994297833</v>
      </c>
      <c r="L23" s="53">
        <f t="shared" si="13"/>
        <v>32.961424598222898</v>
      </c>
      <c r="M23" s="53">
        <f t="shared" si="13"/>
        <v>33.533737958015692</v>
      </c>
      <c r="N23" s="53">
        <f t="shared" si="13"/>
        <v>34.008405884892625</v>
      </c>
      <c r="O23" s="53">
        <f t="shared" si="13"/>
        <v>34.139841681580315</v>
      </c>
      <c r="P23" s="53">
        <f t="shared" si="13"/>
        <v>34.333944782158952</v>
      </c>
      <c r="Q23" s="53">
        <f t="shared" si="13"/>
        <v>34.565473458927315</v>
      </c>
      <c r="R23" s="53">
        <f t="shared" si="13"/>
        <v>34.930171445995292</v>
      </c>
      <c r="S23" s="53">
        <f t="shared" si="13"/>
        <v>35.597257073531296</v>
      </c>
      <c r="T23" s="53">
        <f t="shared" si="13"/>
        <v>36.209125564981079</v>
      </c>
      <c r="U23" s="53">
        <f t="shared" si="13"/>
        <v>36.910088558178686</v>
      </c>
      <c r="V23" s="53">
        <f t="shared" si="13"/>
        <v>36.863994268618086</v>
      </c>
      <c r="W23" s="53">
        <f t="shared" si="13"/>
        <v>37.35869037333746</v>
      </c>
      <c r="X23" s="53">
        <f t="shared" ref="X23:Y23" si="14">X6/X8</f>
        <v>38.055060636445916</v>
      </c>
      <c r="Y23" s="53">
        <f t="shared" si="14"/>
        <v>38.383315672909248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16.509927023633178</v>
      </c>
      <c r="C24" s="54">
        <f t="shared" si="15"/>
        <v>16.426365257924459</v>
      </c>
      <c r="D24" s="54">
        <f t="shared" ref="D24:W24" si="16">D9*1000/D3</f>
        <v>16.382481916092562</v>
      </c>
      <c r="E24" s="54">
        <f t="shared" si="16"/>
        <v>16.279006559953167</v>
      </c>
      <c r="F24" s="54">
        <f t="shared" si="16"/>
        <v>16.182814962788552</v>
      </c>
      <c r="G24" s="54">
        <f t="shared" si="16"/>
        <v>16.138098299558109</v>
      </c>
      <c r="H24" s="54">
        <f t="shared" si="16"/>
        <v>15.984777756211541</v>
      </c>
      <c r="I24" s="54">
        <f t="shared" si="16"/>
        <v>15.876379441867552</v>
      </c>
      <c r="J24" s="54">
        <f t="shared" si="16"/>
        <v>15.727180741439264</v>
      </c>
      <c r="K24" s="54">
        <f t="shared" si="16"/>
        <v>15.507797586468364</v>
      </c>
      <c r="L24" s="54">
        <f t="shared" si="16"/>
        <v>15.307081946077346</v>
      </c>
      <c r="M24" s="54">
        <f t="shared" si="16"/>
        <v>15.262432852646668</v>
      </c>
      <c r="N24" s="54">
        <f t="shared" si="16"/>
        <v>15.129572444808378</v>
      </c>
      <c r="O24" s="54">
        <f t="shared" si="16"/>
        <v>15.102899507327731</v>
      </c>
      <c r="P24" s="54">
        <f t="shared" si="16"/>
        <v>15.108026956592271</v>
      </c>
      <c r="Q24" s="54">
        <f t="shared" si="16"/>
        <v>15.046937515856433</v>
      </c>
      <c r="R24" s="54">
        <f t="shared" si="16"/>
        <v>15.018126285846142</v>
      </c>
      <c r="S24" s="54">
        <f t="shared" si="16"/>
        <v>14.945835209512097</v>
      </c>
      <c r="T24" s="54">
        <f t="shared" si="16"/>
        <v>14.953706024359521</v>
      </c>
      <c r="U24" s="54">
        <f t="shared" si="16"/>
        <v>14.946456820548919</v>
      </c>
      <c r="V24" s="54">
        <f t="shared" si="16"/>
        <v>14.927835133874668</v>
      </c>
      <c r="W24" s="54">
        <f t="shared" si="16"/>
        <v>14.989700738416765</v>
      </c>
      <c r="X24" s="54">
        <f t="shared" ref="X24:Y24" si="17">X9*1000/X3</f>
        <v>14.999864435692693</v>
      </c>
      <c r="Y24" s="54">
        <f t="shared" si="17"/>
        <v>14.899440047697748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36.741451228943475</v>
      </c>
      <c r="C25" s="54">
        <f t="shared" si="18"/>
        <v>34.654112875336814</v>
      </c>
      <c r="D25" s="54">
        <f t="shared" ref="D25:W25" si="19">D9*1000/D6</f>
        <v>33.827673075289013</v>
      </c>
      <c r="E25" s="54">
        <f t="shared" si="19"/>
        <v>33.206891936237909</v>
      </c>
      <c r="F25" s="54">
        <f t="shared" si="19"/>
        <v>32.561733207157047</v>
      </c>
      <c r="G25" s="54">
        <f t="shared" si="19"/>
        <v>31.907472045203981</v>
      </c>
      <c r="H25" s="54">
        <f t="shared" si="19"/>
        <v>30.777143449288864</v>
      </c>
      <c r="I25" s="54">
        <f t="shared" si="19"/>
        <v>29.532893852434011</v>
      </c>
      <c r="J25" s="54">
        <f t="shared" si="19"/>
        <v>28.178632381036866</v>
      </c>
      <c r="K25" s="54">
        <f t="shared" si="19"/>
        <v>27.804171149580881</v>
      </c>
      <c r="L25" s="54">
        <f t="shared" si="19"/>
        <v>27.304645080435119</v>
      </c>
      <c r="M25" s="54">
        <f t="shared" si="19"/>
        <v>26.838642358534617</v>
      </c>
      <c r="N25" s="54">
        <f t="shared" si="19"/>
        <v>26.464045478820942</v>
      </c>
      <c r="O25" s="54">
        <f t="shared" si="19"/>
        <v>26.362160914342571</v>
      </c>
      <c r="P25" s="54">
        <f t="shared" si="19"/>
        <v>26.213125398502697</v>
      </c>
      <c r="Q25" s="54">
        <f t="shared" si="19"/>
        <v>26.037542956541067</v>
      </c>
      <c r="R25" s="54">
        <f t="shared" si="19"/>
        <v>25.765690883924478</v>
      </c>
      <c r="S25" s="54">
        <f t="shared" si="19"/>
        <v>25.282846881739218</v>
      </c>
      <c r="T25" s="54">
        <f t="shared" si="19"/>
        <v>24.855612665510396</v>
      </c>
      <c r="U25" s="54">
        <f t="shared" si="19"/>
        <v>24.383577367510121</v>
      </c>
      <c r="V25" s="54">
        <f t="shared" si="19"/>
        <v>24.414066295744846</v>
      </c>
      <c r="W25" s="54">
        <f t="shared" si="19"/>
        <v>24.090780244328943</v>
      </c>
      <c r="X25" s="54">
        <f t="shared" ref="X25:Y25" si="20">X9*1000/X6</f>
        <v>23.649942608107583</v>
      </c>
      <c r="Y25" s="54">
        <f t="shared" si="20"/>
        <v>23.447687731552993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</v>
      </c>
      <c r="C26" s="55">
        <f t="shared" si="21"/>
        <v>899.99999999999989</v>
      </c>
      <c r="D26" s="55">
        <f t="shared" ref="D26:W26" si="22">D9*1000/D8</f>
        <v>899.99999999999989</v>
      </c>
      <c r="E26" s="55">
        <f t="shared" si="22"/>
        <v>900</v>
      </c>
      <c r="F26" s="55">
        <f t="shared" si="22"/>
        <v>900.00000000000011</v>
      </c>
      <c r="G26" s="55">
        <f t="shared" si="22"/>
        <v>900</v>
      </c>
      <c r="H26" s="55">
        <f t="shared" si="22"/>
        <v>899.99999999999989</v>
      </c>
      <c r="I26" s="55">
        <f t="shared" si="22"/>
        <v>900.00000000000011</v>
      </c>
      <c r="J26" s="55">
        <f t="shared" si="22"/>
        <v>900</v>
      </c>
      <c r="K26" s="55">
        <f t="shared" si="22"/>
        <v>900.00000000000011</v>
      </c>
      <c r="L26" s="55">
        <f t="shared" si="22"/>
        <v>900</v>
      </c>
      <c r="M26" s="55">
        <f t="shared" si="22"/>
        <v>900</v>
      </c>
      <c r="N26" s="55">
        <f t="shared" si="22"/>
        <v>900.00000000000011</v>
      </c>
      <c r="O26" s="55">
        <f t="shared" si="22"/>
        <v>900</v>
      </c>
      <c r="P26" s="55">
        <f t="shared" si="22"/>
        <v>900</v>
      </c>
      <c r="Q26" s="55">
        <f t="shared" si="22"/>
        <v>900.00000000000011</v>
      </c>
      <c r="R26" s="55">
        <f t="shared" si="22"/>
        <v>900</v>
      </c>
      <c r="S26" s="55">
        <f t="shared" si="22"/>
        <v>900.00000000000011</v>
      </c>
      <c r="T26" s="55">
        <f t="shared" si="22"/>
        <v>900</v>
      </c>
      <c r="U26" s="55">
        <f t="shared" si="22"/>
        <v>900</v>
      </c>
      <c r="V26" s="55">
        <f t="shared" si="22"/>
        <v>900</v>
      </c>
      <c r="W26" s="55">
        <f t="shared" si="22"/>
        <v>899.99999999999989</v>
      </c>
      <c r="X26" s="55">
        <f t="shared" ref="X26:Y26" si="23">X9*1000/X8</f>
        <v>899.99999999999989</v>
      </c>
      <c r="Y26" s="55">
        <f t="shared" si="23"/>
        <v>899.99999999999989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899.99999999999989</v>
      </c>
      <c r="D27" s="57">
        <f t="shared" ref="D27:W27" si="25">IF(SUM(D11)=0,"",D11*1000/D10)</f>
        <v>900</v>
      </c>
      <c r="E27" s="57">
        <f t="shared" si="25"/>
        <v>900.00000000000011</v>
      </c>
      <c r="F27" s="57">
        <f t="shared" si="25"/>
        <v>900.00000000000011</v>
      </c>
      <c r="G27" s="57">
        <f t="shared" si="25"/>
        <v>900</v>
      </c>
      <c r="H27" s="57">
        <f t="shared" si="25"/>
        <v>899.99999999999989</v>
      </c>
      <c r="I27" s="57">
        <f t="shared" si="25"/>
        <v>900</v>
      </c>
      <c r="J27" s="57">
        <f t="shared" si="25"/>
        <v>900</v>
      </c>
      <c r="K27" s="57">
        <f t="shared" si="25"/>
        <v>900.00000000000011</v>
      </c>
      <c r="L27" s="57">
        <f t="shared" si="25"/>
        <v>900</v>
      </c>
      <c r="M27" s="57">
        <f t="shared" si="25"/>
        <v>900</v>
      </c>
      <c r="N27" s="57">
        <f t="shared" si="25"/>
        <v>899.99999999999989</v>
      </c>
      <c r="O27" s="57">
        <f t="shared" si="25"/>
        <v>900.00000000000023</v>
      </c>
      <c r="P27" s="57">
        <f t="shared" si="25"/>
        <v>900</v>
      </c>
      <c r="Q27" s="57">
        <f t="shared" si="25"/>
        <v>899.99999999999989</v>
      </c>
      <c r="R27" s="57">
        <f t="shared" si="25"/>
        <v>899.99999999999989</v>
      </c>
      <c r="S27" s="57">
        <f t="shared" si="25"/>
        <v>900.00000000000011</v>
      </c>
      <c r="T27" s="57">
        <f t="shared" si="25"/>
        <v>900</v>
      </c>
      <c r="U27" s="57">
        <f t="shared" si="25"/>
        <v>900</v>
      </c>
      <c r="V27" s="57">
        <f t="shared" si="25"/>
        <v>899.99999999999989</v>
      </c>
      <c r="W27" s="57">
        <f t="shared" si="25"/>
        <v>900</v>
      </c>
      <c r="X27" s="57">
        <f t="shared" ref="X27:Y27" si="26">IF(SUM(X11)=0,"",X11*1000/X10)</f>
        <v>900</v>
      </c>
      <c r="Y27" s="57">
        <f t="shared" si="26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367.84118658641444</v>
      </c>
      <c r="C31" s="80">
        <f t="shared" ref="C31:W31" si="27">SUM(C32:C33,C36:C37,C44:C45)</f>
        <v>376.74342218400693</v>
      </c>
      <c r="D31" s="80">
        <f t="shared" si="27"/>
        <v>352.40025795356826</v>
      </c>
      <c r="E31" s="80">
        <f t="shared" si="27"/>
        <v>394.58656516910582</v>
      </c>
      <c r="F31" s="80">
        <f t="shared" si="27"/>
        <v>371.2998459111559</v>
      </c>
      <c r="G31" s="80">
        <f t="shared" si="27"/>
        <v>367.29266498525942</v>
      </c>
      <c r="H31" s="80">
        <f t="shared" si="27"/>
        <v>367.90074558475101</v>
      </c>
      <c r="I31" s="80">
        <f t="shared" si="27"/>
        <v>368.36110754640924</v>
      </c>
      <c r="J31" s="80">
        <f t="shared" si="27"/>
        <v>386.61993876856945</v>
      </c>
      <c r="K31" s="80">
        <f t="shared" si="27"/>
        <v>376.28504671867495</v>
      </c>
      <c r="L31" s="80">
        <f t="shared" si="27"/>
        <v>424.43047363305425</v>
      </c>
      <c r="M31" s="80">
        <f t="shared" si="27"/>
        <v>340.02865153786468</v>
      </c>
      <c r="N31" s="80">
        <f t="shared" si="27"/>
        <v>383.73742564129077</v>
      </c>
      <c r="O31" s="80">
        <f t="shared" si="27"/>
        <v>399.72179236172212</v>
      </c>
      <c r="P31" s="80">
        <f t="shared" si="27"/>
        <v>353.38885626456033</v>
      </c>
      <c r="Q31" s="80">
        <f t="shared" si="27"/>
        <v>396.75282308929576</v>
      </c>
      <c r="R31" s="80">
        <f t="shared" si="27"/>
        <v>399.9726153664667</v>
      </c>
      <c r="S31" s="80">
        <f t="shared" si="27"/>
        <v>448.94413884915542</v>
      </c>
      <c r="T31" s="80">
        <f t="shared" si="27"/>
        <v>460.1444927296198</v>
      </c>
      <c r="U31" s="80">
        <f t="shared" si="27"/>
        <v>517.79178521324411</v>
      </c>
      <c r="V31" s="80">
        <f t="shared" si="27"/>
        <v>493.88669138915441</v>
      </c>
      <c r="W31" s="80">
        <f t="shared" si="27"/>
        <v>550.50443604641907</v>
      </c>
      <c r="X31" s="80">
        <f t="shared" ref="X31:Y31" si="28">SUM(X32:X33,X36:X37,X44:X45)</f>
        <v>442.35954725098259</v>
      </c>
      <c r="Y31" s="80">
        <f t="shared" si="28"/>
        <v>433.04419489202883</v>
      </c>
      <c r="DA31" s="103" t="s">
        <v>199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X32" s="59">
        <v>0</v>
      </c>
      <c r="Y32" s="59">
        <v>0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65.25898538263111</v>
      </c>
      <c r="C33" s="55">
        <f t="shared" ref="C33:W33" si="29">SUM(C34:C35)</f>
        <v>84.630266552020629</v>
      </c>
      <c r="D33" s="55">
        <f t="shared" si="29"/>
        <v>74.511779879621656</v>
      </c>
      <c r="E33" s="55">
        <f t="shared" si="29"/>
        <v>64.541186586414454</v>
      </c>
      <c r="F33" s="55">
        <f t="shared" si="29"/>
        <v>63.491831470335349</v>
      </c>
      <c r="G33" s="55">
        <f t="shared" si="29"/>
        <v>57.505588993981085</v>
      </c>
      <c r="H33" s="55">
        <f t="shared" si="29"/>
        <v>34.047377472055018</v>
      </c>
      <c r="I33" s="55">
        <f t="shared" si="29"/>
        <v>32.289853826311251</v>
      </c>
      <c r="J33" s="55">
        <f t="shared" si="29"/>
        <v>25.22295786758384</v>
      </c>
      <c r="K33" s="55">
        <f t="shared" si="29"/>
        <v>32.253482373172822</v>
      </c>
      <c r="L33" s="55">
        <f t="shared" si="29"/>
        <v>57.819346517626819</v>
      </c>
      <c r="M33" s="55">
        <f t="shared" si="29"/>
        <v>46.014961306964743</v>
      </c>
      <c r="N33" s="55">
        <f t="shared" si="29"/>
        <v>49.781857265692175</v>
      </c>
      <c r="O33" s="55">
        <f t="shared" si="29"/>
        <v>59.623301805674984</v>
      </c>
      <c r="P33" s="55">
        <f t="shared" si="29"/>
        <v>54.330954428202915</v>
      </c>
      <c r="Q33" s="55">
        <f t="shared" si="29"/>
        <v>76.85546001719689</v>
      </c>
      <c r="R33" s="55">
        <f t="shared" si="29"/>
        <v>75.89836629406706</v>
      </c>
      <c r="S33" s="55">
        <f t="shared" si="29"/>
        <v>108.54557179707652</v>
      </c>
      <c r="T33" s="55">
        <f t="shared" si="29"/>
        <v>107.17480653482372</v>
      </c>
      <c r="U33" s="55">
        <f t="shared" si="29"/>
        <v>131.19922613929489</v>
      </c>
      <c r="V33" s="55">
        <f t="shared" si="29"/>
        <v>118.69613069647467</v>
      </c>
      <c r="W33" s="55">
        <f t="shared" si="29"/>
        <v>113.68856405846944</v>
      </c>
      <c r="X33" s="55">
        <f t="shared" ref="X33:Y33" si="30">SUM(X34:X35)</f>
        <v>88.817970765262245</v>
      </c>
      <c r="Y33" s="55">
        <f t="shared" si="30"/>
        <v>87.277214101461723</v>
      </c>
      <c r="DA33" s="101"/>
    </row>
    <row r="34" spans="1:105" ht="12" customHeight="1" x14ac:dyDescent="0.25">
      <c r="A34" s="61" t="s">
        <v>52</v>
      </c>
      <c r="B34" s="55">
        <v>4.3947549441100593</v>
      </c>
      <c r="C34" s="55">
        <v>8.7895098882201186</v>
      </c>
      <c r="D34" s="55">
        <v>4.3947549441100593</v>
      </c>
      <c r="E34" s="55">
        <v>1.098710232158211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8.2083404987102302</v>
      </c>
      <c r="L34" s="55">
        <v>8.8214101461736885</v>
      </c>
      <c r="M34" s="55">
        <v>9.0444539982803089</v>
      </c>
      <c r="N34" s="55">
        <v>9.1576096302665508</v>
      </c>
      <c r="O34" s="55">
        <v>9.4894239036973342</v>
      </c>
      <c r="P34" s="55">
        <v>8.4665520206362839</v>
      </c>
      <c r="Q34" s="55">
        <v>9.283920894239035</v>
      </c>
      <c r="R34" s="55">
        <v>9.9563198624247633</v>
      </c>
      <c r="S34" s="55">
        <v>8.6829750644883923</v>
      </c>
      <c r="T34" s="55">
        <v>7.6842648323301797</v>
      </c>
      <c r="U34" s="55">
        <v>9.1619948409286316</v>
      </c>
      <c r="V34" s="55">
        <v>7.0898538263112636</v>
      </c>
      <c r="W34" s="55">
        <v>10.66061908856406</v>
      </c>
      <c r="X34" s="55">
        <v>8.0138435081685291</v>
      </c>
      <c r="Y34" s="55">
        <v>10.699054170249349</v>
      </c>
      <c r="DA34" s="101" t="s">
        <v>201</v>
      </c>
    </row>
    <row r="35" spans="1:105" ht="12" customHeight="1" x14ac:dyDescent="0.25">
      <c r="A35" s="61" t="s">
        <v>163</v>
      </c>
      <c r="B35" s="55">
        <v>60.864230438521048</v>
      </c>
      <c r="C35" s="55">
        <v>75.840756663800505</v>
      </c>
      <c r="D35" s="55">
        <v>70.117024935511594</v>
      </c>
      <c r="E35" s="55">
        <v>63.442476354256243</v>
      </c>
      <c r="F35" s="55">
        <v>63.491831470335349</v>
      </c>
      <c r="G35" s="55">
        <v>57.505588993981085</v>
      </c>
      <c r="H35" s="55">
        <v>34.047377472055018</v>
      </c>
      <c r="I35" s="55">
        <v>32.289853826311251</v>
      </c>
      <c r="J35" s="55">
        <v>25.22295786758384</v>
      </c>
      <c r="K35" s="55">
        <v>24.045141874462594</v>
      </c>
      <c r="L35" s="55">
        <v>48.997936371453129</v>
      </c>
      <c r="M35" s="55">
        <v>36.970507308684432</v>
      </c>
      <c r="N35" s="55">
        <v>40.624247635425625</v>
      </c>
      <c r="O35" s="55">
        <v>50.133877901977648</v>
      </c>
      <c r="P35" s="55">
        <v>45.864402407566629</v>
      </c>
      <c r="Q35" s="55">
        <v>67.571539122957859</v>
      </c>
      <c r="R35" s="55">
        <v>65.942046431642297</v>
      </c>
      <c r="S35" s="55">
        <v>99.862596732588131</v>
      </c>
      <c r="T35" s="55">
        <v>99.49054170249353</v>
      </c>
      <c r="U35" s="55">
        <v>122.03723129836627</v>
      </c>
      <c r="V35" s="55">
        <v>111.6062768701634</v>
      </c>
      <c r="W35" s="55">
        <v>103.02794496990538</v>
      </c>
      <c r="X35" s="55">
        <v>80.804127257093711</v>
      </c>
      <c r="Y35" s="55">
        <v>76.578159931212369</v>
      </c>
      <c r="DA35" s="101" t="s">
        <v>202</v>
      </c>
    </row>
    <row r="36" spans="1:105" ht="12" customHeight="1" x14ac:dyDescent="0.25">
      <c r="A36" s="60" t="s">
        <v>149</v>
      </c>
      <c r="B36" s="55">
        <v>148.52355975924331</v>
      </c>
      <c r="C36" s="55">
        <v>107.51848667239901</v>
      </c>
      <c r="D36" s="55">
        <v>117.2862424763542</v>
      </c>
      <c r="E36" s="55">
        <v>125.4577815993121</v>
      </c>
      <c r="F36" s="55">
        <v>111.0041272570937</v>
      </c>
      <c r="G36" s="55">
        <v>97.710404127257092</v>
      </c>
      <c r="H36" s="55">
        <v>118.8944110060189</v>
      </c>
      <c r="I36" s="55">
        <v>103.16758383490971</v>
      </c>
      <c r="J36" s="55">
        <v>124.67687016337059</v>
      </c>
      <c r="K36" s="55">
        <v>125.95915735167669</v>
      </c>
      <c r="L36" s="55">
        <v>136.3707652622528</v>
      </c>
      <c r="M36" s="55">
        <v>68.875671279992005</v>
      </c>
      <c r="N36" s="55">
        <v>107.46325750642018</v>
      </c>
      <c r="O36" s="55">
        <v>106.16179540791853</v>
      </c>
      <c r="P36" s="55">
        <v>89.591628648268809</v>
      </c>
      <c r="Q36" s="55">
        <v>102.92350791031777</v>
      </c>
      <c r="R36" s="55">
        <v>115.99194364783368</v>
      </c>
      <c r="S36" s="55">
        <v>87.85642538250859</v>
      </c>
      <c r="T36" s="55">
        <v>99.482431900818526</v>
      </c>
      <c r="U36" s="55">
        <v>106.96622098527902</v>
      </c>
      <c r="V36" s="55">
        <v>74.555358764266813</v>
      </c>
      <c r="W36" s="55">
        <v>114.15146110438147</v>
      </c>
      <c r="X36" s="55">
        <v>84.657299654428044</v>
      </c>
      <c r="Y36" s="55">
        <v>79.843089105841571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0.3901117798796217</v>
      </c>
      <c r="C37" s="55">
        <f t="shared" ref="C37:W37" si="31">SUM(C38:C42)</f>
        <v>0.59260533104041269</v>
      </c>
      <c r="D37" s="55">
        <f t="shared" si="31"/>
        <v>0.61711092003439383</v>
      </c>
      <c r="E37" s="55">
        <f t="shared" si="31"/>
        <v>0.67790197764402405</v>
      </c>
      <c r="F37" s="55">
        <f t="shared" si="31"/>
        <v>0.64858125537403266</v>
      </c>
      <c r="G37" s="55">
        <f t="shared" si="31"/>
        <v>0.61779879621668099</v>
      </c>
      <c r="H37" s="55">
        <f t="shared" si="31"/>
        <v>0.61023215821152188</v>
      </c>
      <c r="I37" s="55">
        <f t="shared" si="31"/>
        <v>0.59690455717970758</v>
      </c>
      <c r="J37" s="55">
        <f t="shared" si="31"/>
        <v>0.73095442820292345</v>
      </c>
      <c r="K37" s="55">
        <f t="shared" si="31"/>
        <v>0.9223559759243336</v>
      </c>
      <c r="L37" s="55">
        <f t="shared" si="31"/>
        <v>0.80610490111779876</v>
      </c>
      <c r="M37" s="55">
        <f t="shared" si="31"/>
        <v>0.89879131674058632</v>
      </c>
      <c r="N37" s="55">
        <f t="shared" si="31"/>
        <v>1.3088835081971952</v>
      </c>
      <c r="O37" s="55">
        <f t="shared" si="31"/>
        <v>1.7394943599232133</v>
      </c>
      <c r="P37" s="55">
        <f t="shared" si="31"/>
        <v>1.9143042838034241</v>
      </c>
      <c r="Q37" s="55">
        <f t="shared" si="31"/>
        <v>1.7872401550304557</v>
      </c>
      <c r="R37" s="55">
        <f t="shared" si="31"/>
        <v>2.6430520529402211</v>
      </c>
      <c r="S37" s="55">
        <f t="shared" si="31"/>
        <v>1.7436606020141787</v>
      </c>
      <c r="T37" s="55">
        <f t="shared" si="31"/>
        <v>1.6702766116492149</v>
      </c>
      <c r="U37" s="55">
        <f t="shared" si="31"/>
        <v>1.520279444643609</v>
      </c>
      <c r="V37" s="55">
        <f t="shared" si="31"/>
        <v>1.3929645375388586</v>
      </c>
      <c r="W37" s="55">
        <f t="shared" si="31"/>
        <v>1.3837925499607882</v>
      </c>
      <c r="X37" s="55">
        <f t="shared" ref="X37:Y37" si="32">SUM(X38:X42)</f>
        <v>1.8648843524507048</v>
      </c>
      <c r="Y37" s="55">
        <f t="shared" si="32"/>
        <v>1.4634457178901568</v>
      </c>
      <c r="DA37" s="101"/>
    </row>
    <row r="38" spans="1:105" ht="12" customHeight="1" x14ac:dyDescent="0.25">
      <c r="A38" s="61" t="s">
        <v>164</v>
      </c>
      <c r="B38" s="55">
        <v>2.3903697334479779E-2</v>
      </c>
      <c r="C38" s="55">
        <v>7.1625107480653427E-2</v>
      </c>
      <c r="D38" s="55">
        <v>0.11943250214961315</v>
      </c>
      <c r="E38" s="55">
        <v>7.1625107480653427E-2</v>
      </c>
      <c r="F38" s="55">
        <v>9.0197764402407565E-2</v>
      </c>
      <c r="G38" s="55">
        <v>7.5322441960447128E-2</v>
      </c>
      <c r="H38" s="55">
        <v>3.1040412725709343E-2</v>
      </c>
      <c r="I38" s="55">
        <v>3.3963886500429918E-2</v>
      </c>
      <c r="J38" s="55">
        <v>9.1487532244196035E-2</v>
      </c>
      <c r="K38" s="55">
        <v>0.18822012037833191</v>
      </c>
      <c r="L38" s="55">
        <v>0.13877901977644025</v>
      </c>
      <c r="M38" s="55">
        <v>6.5950128976784206E-2</v>
      </c>
      <c r="N38" s="55">
        <v>0.20085984522785894</v>
      </c>
      <c r="O38" s="55">
        <v>0.41504729148753228</v>
      </c>
      <c r="P38" s="55">
        <v>0.58237317282889078</v>
      </c>
      <c r="Q38" s="55">
        <v>0.23826311263972477</v>
      </c>
      <c r="R38" s="55">
        <v>0.54565778159931222</v>
      </c>
      <c r="S38" s="55">
        <v>1.8830610490111699E-2</v>
      </c>
      <c r="T38" s="55">
        <v>2.5967325881341319E-2</v>
      </c>
      <c r="U38" s="55">
        <v>1.3155631986242478E-2</v>
      </c>
      <c r="V38" s="55">
        <v>4.9097162510748138E-2</v>
      </c>
      <c r="W38" s="55">
        <v>0.1386930352536544</v>
      </c>
      <c r="X38" s="55">
        <v>0.11599312123817707</v>
      </c>
      <c r="Y38" s="55">
        <v>0.1474634565778159</v>
      </c>
      <c r="DA38" s="101" t="s">
        <v>204</v>
      </c>
    </row>
    <row r="39" spans="1:105" ht="12" customHeight="1" x14ac:dyDescent="0.25">
      <c r="A39" s="61" t="s">
        <v>50</v>
      </c>
      <c r="B39" s="55">
        <v>0.36620808254514192</v>
      </c>
      <c r="C39" s="55">
        <v>0.52098022355975926</v>
      </c>
      <c r="D39" s="55">
        <v>0.49767841788478068</v>
      </c>
      <c r="E39" s="55">
        <v>0.60627687016337062</v>
      </c>
      <c r="F39" s="55">
        <v>0.5583834909716251</v>
      </c>
      <c r="G39" s="55">
        <v>0.54247635425623386</v>
      </c>
      <c r="H39" s="55">
        <v>0.57919174548581254</v>
      </c>
      <c r="I39" s="55">
        <v>0.56294067067927767</v>
      </c>
      <c r="J39" s="55">
        <v>0.63946689595872741</v>
      </c>
      <c r="K39" s="55">
        <v>0.73413585554600169</v>
      </c>
      <c r="L39" s="55">
        <v>0.66732588134135851</v>
      </c>
      <c r="M39" s="55">
        <v>0.83284118776380212</v>
      </c>
      <c r="N39" s="55">
        <v>1.1080236629693363</v>
      </c>
      <c r="O39" s="55">
        <v>1.3244470684356811</v>
      </c>
      <c r="P39" s="55">
        <v>1.3319311109745333</v>
      </c>
      <c r="Q39" s="55">
        <v>1.548977042390731</v>
      </c>
      <c r="R39" s="55">
        <v>2.0973942713409088</v>
      </c>
      <c r="S39" s="55">
        <v>1.724829991524067</v>
      </c>
      <c r="T39" s="55">
        <v>1.6443092857678736</v>
      </c>
      <c r="U39" s="55">
        <v>1.5071238126573665</v>
      </c>
      <c r="V39" s="55">
        <v>1.3438673750281105</v>
      </c>
      <c r="W39" s="55">
        <v>1.2450995147071338</v>
      </c>
      <c r="X39" s="55">
        <v>1.7488912312125278</v>
      </c>
      <c r="Y39" s="55">
        <v>1.3159822613123409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DA40" s="101" t="s">
        <v>206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X41" s="55">
        <v>0</v>
      </c>
      <c r="Y41" s="55">
        <v>0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DA42" s="101" t="s">
        <v>208</v>
      </c>
    </row>
    <row r="43" spans="1:105" ht="12" customHeight="1" x14ac:dyDescent="0.25">
      <c r="A43" s="61" t="s">
        <v>151</v>
      </c>
      <c r="B43" s="309">
        <v>0</v>
      </c>
      <c r="C43" s="309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X43" s="55">
        <v>0</v>
      </c>
      <c r="Y43" s="55">
        <v>0</v>
      </c>
      <c r="DA43" s="101" t="s">
        <v>209</v>
      </c>
    </row>
    <row r="44" spans="1:105" ht="12" customHeight="1" x14ac:dyDescent="0.25">
      <c r="A44" s="60" t="s">
        <v>162</v>
      </c>
      <c r="B44" s="55">
        <v>12.035339638865</v>
      </c>
      <c r="C44" s="55">
        <v>14.864230438521069</v>
      </c>
      <c r="D44" s="55">
        <v>25.807910576096301</v>
      </c>
      <c r="E44" s="55">
        <v>58.432416165090267</v>
      </c>
      <c r="F44" s="55">
        <v>60.316079105760963</v>
      </c>
      <c r="G44" s="55">
        <v>60.965606190885637</v>
      </c>
      <c r="H44" s="55">
        <v>61.592261392949261</v>
      </c>
      <c r="I44" s="55">
        <v>49.553826311263983</v>
      </c>
      <c r="J44" s="55">
        <v>57.469475494411</v>
      </c>
      <c r="K44" s="55">
        <v>48.472141014617357</v>
      </c>
      <c r="L44" s="55">
        <v>58.09518486672399</v>
      </c>
      <c r="M44" s="55">
        <v>62.634909716251073</v>
      </c>
      <c r="N44" s="55">
        <v>57.968873602751501</v>
      </c>
      <c r="O44" s="55">
        <v>61.058125537403257</v>
      </c>
      <c r="P44" s="55">
        <v>42.229148753224408</v>
      </c>
      <c r="Q44" s="55">
        <v>50.915649183147032</v>
      </c>
      <c r="R44" s="55">
        <v>52.072226999140149</v>
      </c>
      <c r="S44" s="55">
        <v>58.496044711951846</v>
      </c>
      <c r="T44" s="55">
        <v>65.784522785898545</v>
      </c>
      <c r="U44" s="55">
        <v>82.814617368873598</v>
      </c>
      <c r="V44" s="55">
        <v>117.96061908856404</v>
      </c>
      <c r="W44" s="55">
        <v>127.70154772141018</v>
      </c>
      <c r="X44" s="55">
        <v>112.16852966466031</v>
      </c>
      <c r="Y44" s="55">
        <v>104.30042992261389</v>
      </c>
      <c r="DA44" s="101" t="s">
        <v>210</v>
      </c>
    </row>
    <row r="45" spans="1:105" ht="12" customHeight="1" x14ac:dyDescent="0.25">
      <c r="A45" s="62" t="s">
        <v>24</v>
      </c>
      <c r="B45" s="63">
        <v>141.63319002579539</v>
      </c>
      <c r="C45" s="63">
        <v>169.13783319002579</v>
      </c>
      <c r="D45" s="63">
        <v>134.17721410146169</v>
      </c>
      <c r="E45" s="63">
        <v>145.47727884064497</v>
      </c>
      <c r="F45" s="63">
        <v>135.83922682259183</v>
      </c>
      <c r="G45" s="63">
        <v>150.49326687691894</v>
      </c>
      <c r="H45" s="63">
        <v>152.75646355551632</v>
      </c>
      <c r="I45" s="63">
        <v>182.75293901674462</v>
      </c>
      <c r="J45" s="63">
        <v>178.5196808150011</v>
      </c>
      <c r="K45" s="63">
        <v>168.67791000328376</v>
      </c>
      <c r="L45" s="63">
        <v>171.33907208533279</v>
      </c>
      <c r="M45" s="63">
        <v>161.60431791791626</v>
      </c>
      <c r="N45" s="63">
        <v>167.21455375822973</v>
      </c>
      <c r="O45" s="63">
        <v>171.13907525080211</v>
      </c>
      <c r="P45" s="63">
        <v>165.3228201510608</v>
      </c>
      <c r="Q45" s="63">
        <v>164.27096582360363</v>
      </c>
      <c r="R45" s="63">
        <v>153.36702637248555</v>
      </c>
      <c r="S45" s="63">
        <v>192.30243635560424</v>
      </c>
      <c r="T45" s="63">
        <v>186.03245489642978</v>
      </c>
      <c r="U45" s="63">
        <v>195.29144127515298</v>
      </c>
      <c r="V45" s="63">
        <v>181.28161830230999</v>
      </c>
      <c r="W45" s="63">
        <v>193.5790706121972</v>
      </c>
      <c r="X45" s="63">
        <v>154.85086281418128</v>
      </c>
      <c r="Y45" s="63">
        <v>160.16001604422152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367.84118658641449</v>
      </c>
      <c r="C47" s="82">
        <f t="shared" ref="C47:W47" si="34">SUM(C48,C53)</f>
        <v>376.74342218400693</v>
      </c>
      <c r="D47" s="82">
        <f t="shared" si="34"/>
        <v>352.4002579535682</v>
      </c>
      <c r="E47" s="82">
        <f t="shared" si="34"/>
        <v>394.58656516910582</v>
      </c>
      <c r="F47" s="82">
        <f t="shared" si="34"/>
        <v>371.29984591115584</v>
      </c>
      <c r="G47" s="82">
        <f t="shared" si="34"/>
        <v>367.29266498525936</v>
      </c>
      <c r="H47" s="82">
        <f t="shared" si="34"/>
        <v>367.90074558475106</v>
      </c>
      <c r="I47" s="82">
        <f t="shared" si="34"/>
        <v>368.36110754640924</v>
      </c>
      <c r="J47" s="82">
        <f t="shared" si="34"/>
        <v>386.61993876856945</v>
      </c>
      <c r="K47" s="82">
        <f t="shared" si="34"/>
        <v>376.28504671867495</v>
      </c>
      <c r="L47" s="82">
        <f t="shared" si="34"/>
        <v>424.43047363305431</v>
      </c>
      <c r="M47" s="82">
        <f t="shared" si="34"/>
        <v>340.02865153786468</v>
      </c>
      <c r="N47" s="82">
        <f t="shared" si="34"/>
        <v>383.73742564129071</v>
      </c>
      <c r="O47" s="82">
        <f t="shared" si="34"/>
        <v>399.72179236172212</v>
      </c>
      <c r="P47" s="82">
        <f t="shared" si="34"/>
        <v>353.38885626456033</v>
      </c>
      <c r="Q47" s="82">
        <f t="shared" si="34"/>
        <v>396.7528230892957</v>
      </c>
      <c r="R47" s="82">
        <f t="shared" si="34"/>
        <v>399.97261536646647</v>
      </c>
      <c r="S47" s="82">
        <f t="shared" si="34"/>
        <v>448.94413884915542</v>
      </c>
      <c r="T47" s="82">
        <f t="shared" si="34"/>
        <v>460.14449272961969</v>
      </c>
      <c r="U47" s="82">
        <f t="shared" si="34"/>
        <v>517.79178521324434</v>
      </c>
      <c r="V47" s="82">
        <f t="shared" si="34"/>
        <v>493.88669138915429</v>
      </c>
      <c r="W47" s="82">
        <f t="shared" si="34"/>
        <v>550.50443604641907</v>
      </c>
      <c r="X47" s="82">
        <f t="shared" ref="X47:Y47" si="35">SUM(X48,X53)</f>
        <v>442.35954725098253</v>
      </c>
      <c r="Y47" s="82">
        <f t="shared" si="35"/>
        <v>433.04419489202871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322.34147851248071</v>
      </c>
      <c r="C48" s="64">
        <f t="shared" ref="C48:W48" si="37">SUM(C49:C52)</f>
        <v>328.88415016897744</v>
      </c>
      <c r="D48" s="64">
        <f t="shared" si="37"/>
        <v>302.23085716442739</v>
      </c>
      <c r="E48" s="64">
        <f t="shared" si="37"/>
        <v>342.28195052494902</v>
      </c>
      <c r="F48" s="64">
        <f t="shared" si="37"/>
        <v>316.56054177971919</v>
      </c>
      <c r="G48" s="64">
        <f t="shared" si="37"/>
        <v>310.21859988931396</v>
      </c>
      <c r="H48" s="64">
        <f t="shared" si="37"/>
        <v>308.95440818391114</v>
      </c>
      <c r="I48" s="64">
        <f t="shared" si="37"/>
        <v>307.61483781153106</v>
      </c>
      <c r="J48" s="64">
        <f t="shared" si="37"/>
        <v>324.05611041198642</v>
      </c>
      <c r="K48" s="64">
        <f t="shared" si="37"/>
        <v>312.02999177613697</v>
      </c>
      <c r="L48" s="64">
        <f t="shared" si="37"/>
        <v>358.60045712272426</v>
      </c>
      <c r="M48" s="64">
        <f t="shared" si="37"/>
        <v>272.0259812153655</v>
      </c>
      <c r="N48" s="64">
        <f t="shared" si="37"/>
        <v>314.50297798603657</v>
      </c>
      <c r="O48" s="64">
        <f t="shared" si="37"/>
        <v>329.4196454840901</v>
      </c>
      <c r="P48" s="64">
        <f t="shared" si="37"/>
        <v>282.01509198436452</v>
      </c>
      <c r="Q48" s="64">
        <f t="shared" si="37"/>
        <v>324.4182385427344</v>
      </c>
      <c r="R48" s="64">
        <f t="shared" si="37"/>
        <v>327.01922129751472</v>
      </c>
      <c r="S48" s="64">
        <f t="shared" si="37"/>
        <v>375.43550479190213</v>
      </c>
      <c r="T48" s="64">
        <f t="shared" si="37"/>
        <v>386.61754874554634</v>
      </c>
      <c r="U48" s="64">
        <f t="shared" si="37"/>
        <v>444.36130777914866</v>
      </c>
      <c r="V48" s="64">
        <f t="shared" si="37"/>
        <v>422.11848969609167</v>
      </c>
      <c r="W48" s="64">
        <f t="shared" si="37"/>
        <v>477.06183182655172</v>
      </c>
      <c r="X48" s="64">
        <f t="shared" ref="X48:Y48" si="38">SUM(X49:X52)</f>
        <v>369.23331755038146</v>
      </c>
      <c r="Y48" s="64">
        <f t="shared" si="38"/>
        <v>360.17260981167374</v>
      </c>
      <c r="DA48" s="108" t="s">
        <v>213</v>
      </c>
    </row>
    <row r="49" spans="1:105" ht="12" customHeight="1" x14ac:dyDescent="0.25">
      <c r="A49" s="61" t="s">
        <v>32</v>
      </c>
      <c r="B49" s="65">
        <v>257.31148768283299</v>
      </c>
      <c r="C49" s="65">
        <v>261.2515461540865</v>
      </c>
      <c r="D49" s="65">
        <v>234.49812186583807</v>
      </c>
      <c r="E49" s="65">
        <v>274.4277768086589</v>
      </c>
      <c r="F49" s="65">
        <v>249.12240162494948</v>
      </c>
      <c r="G49" s="65">
        <v>241.82119865333442</v>
      </c>
      <c r="H49" s="65">
        <v>239.60262403149278</v>
      </c>
      <c r="I49" s="65">
        <v>238.02298778416298</v>
      </c>
      <c r="J49" s="65">
        <v>253.59386277805214</v>
      </c>
      <c r="K49" s="65">
        <v>238.86172862101449</v>
      </c>
      <c r="L49" s="65">
        <v>283.88476239211377</v>
      </c>
      <c r="M49" s="65">
        <v>197.56411247389684</v>
      </c>
      <c r="N49" s="65">
        <v>238.29668328625931</v>
      </c>
      <c r="O49" s="65">
        <v>251.7517478557466</v>
      </c>
      <c r="P49" s="65">
        <v>202.66841296084317</v>
      </c>
      <c r="Q49" s="65">
        <v>242.64854379274919</v>
      </c>
      <c r="R49" s="65">
        <v>244.94371326468217</v>
      </c>
      <c r="S49" s="65">
        <v>292.0297177240912</v>
      </c>
      <c r="T49" s="65">
        <v>301.80731886079064</v>
      </c>
      <c r="U49" s="65">
        <v>357.98611920085364</v>
      </c>
      <c r="V49" s="65">
        <v>343.42209116309584</v>
      </c>
      <c r="W49" s="65">
        <v>390.19649864069351</v>
      </c>
      <c r="X49" s="65">
        <v>281.14106468690352</v>
      </c>
      <c r="Y49" s="65">
        <v>269.23188453741056</v>
      </c>
      <c r="DA49" s="109" t="s">
        <v>214</v>
      </c>
    </row>
    <row r="50" spans="1:105" ht="12" customHeight="1" x14ac:dyDescent="0.25">
      <c r="A50" s="61" t="s">
        <v>31</v>
      </c>
      <c r="B50" s="65">
        <v>1.1607206881919818</v>
      </c>
      <c r="C50" s="65">
        <v>1.3946088666193239</v>
      </c>
      <c r="D50" s="65">
        <v>1.6862158811416033</v>
      </c>
      <c r="E50" s="65">
        <v>2.346907476201856</v>
      </c>
      <c r="F50" s="65">
        <v>2.0045451435767938</v>
      </c>
      <c r="G50" s="65">
        <v>2.4179598766254036</v>
      </c>
      <c r="H50" s="65">
        <v>3.1208931273627001</v>
      </c>
      <c r="I50" s="65">
        <v>2.9363732170862105</v>
      </c>
      <c r="J50" s="65">
        <v>3.1684595728389002</v>
      </c>
      <c r="K50" s="65">
        <v>3.4659234852857219</v>
      </c>
      <c r="L50" s="65">
        <v>3.8967704499300706</v>
      </c>
      <c r="M50" s="65">
        <v>3.8274047346759499</v>
      </c>
      <c r="N50" s="65">
        <v>4.054785044792804</v>
      </c>
      <c r="O50" s="65">
        <v>4.1822912680247644</v>
      </c>
      <c r="P50" s="65">
        <v>4.1024060121316692</v>
      </c>
      <c r="Q50" s="65">
        <v>4.6764713354372525</v>
      </c>
      <c r="R50" s="65">
        <v>4.2715468024443775</v>
      </c>
      <c r="S50" s="65">
        <v>4.3076412269032636</v>
      </c>
      <c r="T50" s="65">
        <v>4.9217921587636138</v>
      </c>
      <c r="U50" s="65">
        <v>4.9857934775336155</v>
      </c>
      <c r="V50" s="65">
        <v>4.9257206276988752</v>
      </c>
      <c r="W50" s="65">
        <v>4.3058678692577583</v>
      </c>
      <c r="X50" s="65">
        <v>4.5707813339402055</v>
      </c>
      <c r="Y50" s="65">
        <v>4.382997803059717</v>
      </c>
      <c r="DA50" s="109" t="s">
        <v>215</v>
      </c>
    </row>
    <row r="51" spans="1:105" ht="12" customHeight="1" x14ac:dyDescent="0.25">
      <c r="A51" s="61" t="s">
        <v>35</v>
      </c>
      <c r="B51" s="65">
        <v>31.590699081404267</v>
      </c>
      <c r="C51" s="65">
        <v>32.049779726544834</v>
      </c>
      <c r="D51" s="65">
        <v>31.787542845621047</v>
      </c>
      <c r="E51" s="65">
        <v>31.191437340402373</v>
      </c>
      <c r="F51" s="65">
        <v>30.812476015051928</v>
      </c>
      <c r="G51" s="65">
        <v>30.870429968299163</v>
      </c>
      <c r="H51" s="65">
        <v>30.293034190834319</v>
      </c>
      <c r="I51" s="65">
        <v>30.555844148657336</v>
      </c>
      <c r="J51" s="65">
        <v>30.748697081634418</v>
      </c>
      <c r="K51" s="65">
        <v>30.938569066364121</v>
      </c>
      <c r="L51" s="65">
        <v>31.449140588505013</v>
      </c>
      <c r="M51" s="65">
        <v>30.6081806988824</v>
      </c>
      <c r="N51" s="65">
        <v>31.290316799540285</v>
      </c>
      <c r="O51" s="65">
        <v>31.96076181375264</v>
      </c>
      <c r="P51" s="65">
        <v>33.283570649791443</v>
      </c>
      <c r="Q51" s="65">
        <v>33.984799640574437</v>
      </c>
      <c r="R51" s="65">
        <v>33.877879620842776</v>
      </c>
      <c r="S51" s="65">
        <v>34.872638621064127</v>
      </c>
      <c r="T51" s="65">
        <v>35.095798298563885</v>
      </c>
      <c r="U51" s="65">
        <v>35.184021802790191</v>
      </c>
      <c r="V51" s="65">
        <v>31.142004697570922</v>
      </c>
      <c r="W51" s="65">
        <v>33.271359720647439</v>
      </c>
      <c r="X51" s="65">
        <v>34.532177459725524</v>
      </c>
      <c r="Y51" s="65">
        <v>35.325686556834249</v>
      </c>
      <c r="DA51" s="109" t="s">
        <v>216</v>
      </c>
    </row>
    <row r="52" spans="1:105" ht="12" customHeight="1" x14ac:dyDescent="0.25">
      <c r="A52" s="66" t="s">
        <v>34</v>
      </c>
      <c r="B52" s="67">
        <v>32.278571060051412</v>
      </c>
      <c r="C52" s="67">
        <v>34.188215421726795</v>
      </c>
      <c r="D52" s="67">
        <v>34.258976571826693</v>
      </c>
      <c r="E52" s="67">
        <v>34.315828899685847</v>
      </c>
      <c r="F52" s="67">
        <v>34.621118996141</v>
      </c>
      <c r="G52" s="67">
        <v>35.109011391055013</v>
      </c>
      <c r="H52" s="67">
        <v>35.937856834221336</v>
      </c>
      <c r="I52" s="67">
        <v>36.099632661624547</v>
      </c>
      <c r="J52" s="67">
        <v>36.545090979460937</v>
      </c>
      <c r="K52" s="67">
        <v>38.763770603472665</v>
      </c>
      <c r="L52" s="67">
        <v>39.369783692175417</v>
      </c>
      <c r="M52" s="67">
        <v>40.02628330791029</v>
      </c>
      <c r="N52" s="67">
        <v>40.861192855444187</v>
      </c>
      <c r="O52" s="67">
        <v>41.524844546566101</v>
      </c>
      <c r="P52" s="67">
        <v>41.960702361598265</v>
      </c>
      <c r="Q52" s="67">
        <v>43.108423773973527</v>
      </c>
      <c r="R52" s="67">
        <v>43.926081609545349</v>
      </c>
      <c r="S52" s="67">
        <v>44.225507219843493</v>
      </c>
      <c r="T52" s="67">
        <v>44.792639427428227</v>
      </c>
      <c r="U52" s="67">
        <v>46.205373297971221</v>
      </c>
      <c r="V52" s="67">
        <v>42.62867320772601</v>
      </c>
      <c r="W52" s="67">
        <v>49.288105595952942</v>
      </c>
      <c r="X52" s="67">
        <v>48.989294069812189</v>
      </c>
      <c r="Y52" s="67">
        <v>51.232040914369264</v>
      </c>
      <c r="DA52" s="110" t="s">
        <v>217</v>
      </c>
    </row>
    <row r="53" spans="1:105" ht="12" customHeight="1" x14ac:dyDescent="0.25">
      <c r="A53" s="78" t="s">
        <v>33</v>
      </c>
      <c r="B53" s="68">
        <v>45.49970807393381</v>
      </c>
      <c r="C53" s="68">
        <v>47.859272015029461</v>
      </c>
      <c r="D53" s="68">
        <v>50.169400789140809</v>
      </c>
      <c r="E53" s="68">
        <v>52.3046146441568</v>
      </c>
      <c r="F53" s="68">
        <v>54.739304131436633</v>
      </c>
      <c r="G53" s="68">
        <v>57.0740650959454</v>
      </c>
      <c r="H53" s="68">
        <v>58.946337400839923</v>
      </c>
      <c r="I53" s="68">
        <v>60.746269734878204</v>
      </c>
      <c r="J53" s="68">
        <v>62.563828356583016</v>
      </c>
      <c r="K53" s="68">
        <v>64.255054942537981</v>
      </c>
      <c r="L53" s="68">
        <v>65.830016510330026</v>
      </c>
      <c r="M53" s="68">
        <v>68.002670322499142</v>
      </c>
      <c r="N53" s="68">
        <v>69.234447655254129</v>
      </c>
      <c r="O53" s="68">
        <v>70.302146877632026</v>
      </c>
      <c r="P53" s="68">
        <v>71.373764280195786</v>
      </c>
      <c r="Q53" s="68">
        <v>72.334584546561302</v>
      </c>
      <c r="R53" s="68">
        <v>72.953394068951766</v>
      </c>
      <c r="S53" s="68">
        <v>73.508634057253289</v>
      </c>
      <c r="T53" s="68">
        <v>73.526943984073341</v>
      </c>
      <c r="U53" s="68">
        <v>73.430477434095621</v>
      </c>
      <c r="V53" s="68">
        <v>71.768201693062622</v>
      </c>
      <c r="W53" s="68">
        <v>73.44260421986732</v>
      </c>
      <c r="X53" s="68">
        <v>73.126229700601073</v>
      </c>
      <c r="Y53" s="68">
        <v>72.871585080354947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0.8763061078174158</v>
      </c>
      <c r="C56" s="70">
        <f t="shared" ref="C56:W56" si="43">IF(C48=0,0,C48/C$47)</f>
        <v>0.87296587227034761</v>
      </c>
      <c r="D56" s="70">
        <f t="shared" si="43"/>
        <v>0.85763517575020887</v>
      </c>
      <c r="E56" s="70">
        <f t="shared" si="43"/>
        <v>0.86744451215225515</v>
      </c>
      <c r="F56" s="70">
        <f t="shared" si="43"/>
        <v>0.85257385712857359</v>
      </c>
      <c r="G56" s="70">
        <f t="shared" si="43"/>
        <v>0.84460875335412433</v>
      </c>
      <c r="H56" s="70">
        <f t="shared" si="43"/>
        <v>0.83977652095499544</v>
      </c>
      <c r="I56" s="70">
        <f t="shared" si="43"/>
        <v>0.83509043574252784</v>
      </c>
      <c r="J56" s="70">
        <f t="shared" si="43"/>
        <v>0.83817743969476521</v>
      </c>
      <c r="K56" s="70">
        <f t="shared" si="43"/>
        <v>0.8292383513433168</v>
      </c>
      <c r="L56" s="70">
        <f t="shared" si="43"/>
        <v>0.84489799719884384</v>
      </c>
      <c r="M56" s="70">
        <f t="shared" si="43"/>
        <v>0.80000899919774382</v>
      </c>
      <c r="N56" s="70">
        <f t="shared" si="43"/>
        <v>0.81957858934517125</v>
      </c>
      <c r="O56" s="70">
        <f t="shared" si="43"/>
        <v>0.82412230651159202</v>
      </c>
      <c r="P56" s="70">
        <f t="shared" si="43"/>
        <v>0.79803051789849677</v>
      </c>
      <c r="Q56" s="70">
        <f t="shared" si="43"/>
        <v>0.8176835038416822</v>
      </c>
      <c r="R56" s="70">
        <f t="shared" si="43"/>
        <v>0.8176040277104728</v>
      </c>
      <c r="S56" s="70">
        <f t="shared" si="43"/>
        <v>0.83626329492642715</v>
      </c>
      <c r="T56" s="70">
        <f t="shared" si="43"/>
        <v>0.84020901011353044</v>
      </c>
      <c r="U56" s="70">
        <f t="shared" si="43"/>
        <v>0.85818531786120456</v>
      </c>
      <c r="V56" s="70">
        <f t="shared" si="43"/>
        <v>0.8546869090738195</v>
      </c>
      <c r="W56" s="70">
        <f t="shared" si="43"/>
        <v>0.86659034984838057</v>
      </c>
      <c r="X56" s="70">
        <f t="shared" ref="X56:Y56" si="44">IF(X48=0,0,X48/X$47)</f>
        <v>0.83469051328260069</v>
      </c>
      <c r="Y56" s="70">
        <f t="shared" si="44"/>
        <v>0.83172252176588091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0.69951788180844321</v>
      </c>
      <c r="C57" s="71">
        <f t="shared" ref="C57:W57" si="46">IF(C49=0,0,C49/C$47)</f>
        <v>0.69344686800261501</v>
      </c>
      <c r="D57" s="71">
        <f t="shared" si="46"/>
        <v>0.66543118676358981</v>
      </c>
      <c r="E57" s="71">
        <f t="shared" si="46"/>
        <v>0.69548180559834538</v>
      </c>
      <c r="F57" s="71">
        <f t="shared" si="46"/>
        <v>0.67094668734271212</v>
      </c>
      <c r="G57" s="71">
        <f t="shared" si="46"/>
        <v>0.65838831456936253</v>
      </c>
      <c r="H57" s="71">
        <f t="shared" si="46"/>
        <v>0.6512697430136003</v>
      </c>
      <c r="I57" s="71">
        <f t="shared" si="46"/>
        <v>0.64616753209803734</v>
      </c>
      <c r="J57" s="71">
        <f t="shared" si="46"/>
        <v>0.65592546412836028</v>
      </c>
      <c r="K57" s="71">
        <f t="shared" si="46"/>
        <v>0.63478931917163484</v>
      </c>
      <c r="L57" s="71">
        <f t="shared" si="46"/>
        <v>0.66886046131915877</v>
      </c>
      <c r="M57" s="71">
        <f t="shared" si="46"/>
        <v>0.58102195676853607</v>
      </c>
      <c r="N57" s="71">
        <f t="shared" si="46"/>
        <v>0.62098890377456639</v>
      </c>
      <c r="O57" s="71">
        <f t="shared" si="46"/>
        <v>0.62981741968155613</v>
      </c>
      <c r="P57" s="71">
        <f t="shared" si="46"/>
        <v>0.57349972804212557</v>
      </c>
      <c r="Q57" s="71">
        <f t="shared" si="46"/>
        <v>0.61158618079482996</v>
      </c>
      <c r="R57" s="71">
        <f t="shared" si="46"/>
        <v>0.61240120911842344</v>
      </c>
      <c r="S57" s="71">
        <f t="shared" si="46"/>
        <v>0.65048119009348015</v>
      </c>
      <c r="T57" s="71">
        <f t="shared" si="46"/>
        <v>0.65589684029562478</v>
      </c>
      <c r="U57" s="71">
        <f t="shared" si="46"/>
        <v>0.69137079695735759</v>
      </c>
      <c r="V57" s="71">
        <f t="shared" si="46"/>
        <v>0.69534591061191198</v>
      </c>
      <c r="W57" s="71">
        <f t="shared" si="46"/>
        <v>0.70879810059839687</v>
      </c>
      <c r="X57" s="71">
        <f t="shared" ref="X57:Y57" si="47">IF(X49=0,0,X49/X$47)</f>
        <v>0.635548766685467</v>
      </c>
      <c r="Y57" s="71">
        <f t="shared" si="47"/>
        <v>0.62171918643208779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3.155494084182173E-3</v>
      </c>
      <c r="C58" s="72">
        <f t="shared" ref="C58:W58" si="49">IF(C50=0,0,C50/C$47)</f>
        <v>3.7017470896629932E-3</v>
      </c>
      <c r="D58" s="72">
        <f t="shared" si="49"/>
        <v>4.7849450818613672E-3</v>
      </c>
      <c r="E58" s="72">
        <f t="shared" si="49"/>
        <v>5.9477632625329112E-3</v>
      </c>
      <c r="F58" s="72">
        <f t="shared" si="49"/>
        <v>5.3987233381627602E-3</v>
      </c>
      <c r="G58" s="72">
        <f t="shared" si="49"/>
        <v>6.5831967450873108E-3</v>
      </c>
      <c r="H58" s="72">
        <f t="shared" si="49"/>
        <v>8.482975815670802E-3</v>
      </c>
      <c r="I58" s="72">
        <f t="shared" si="49"/>
        <v>7.9714528948099158E-3</v>
      </c>
      <c r="J58" s="72">
        <f t="shared" si="49"/>
        <v>8.1952823823076004E-3</v>
      </c>
      <c r="K58" s="72">
        <f t="shared" si="49"/>
        <v>9.2108988000178978E-3</v>
      </c>
      <c r="L58" s="72">
        <f t="shared" si="49"/>
        <v>9.1811749909811221E-3</v>
      </c>
      <c r="M58" s="72">
        <f t="shared" si="49"/>
        <v>1.1256124204138546E-2</v>
      </c>
      <c r="N58" s="72">
        <f t="shared" si="49"/>
        <v>1.0566561335570974E-2</v>
      </c>
      <c r="O58" s="72">
        <f t="shared" si="49"/>
        <v>1.0463005390109088E-2</v>
      </c>
      <c r="P58" s="72">
        <f t="shared" si="49"/>
        <v>1.160875884852592E-2</v>
      </c>
      <c r="Q58" s="72">
        <f t="shared" si="49"/>
        <v>1.1786863415423603E-2</v>
      </c>
      <c r="R58" s="72">
        <f t="shared" si="49"/>
        <v>1.0679598148314887E-2</v>
      </c>
      <c r="S58" s="72">
        <f t="shared" si="49"/>
        <v>9.5950494819815983E-3</v>
      </c>
      <c r="T58" s="72">
        <f t="shared" si="49"/>
        <v>1.0696188341985987E-2</v>
      </c>
      <c r="U58" s="72">
        <f t="shared" si="49"/>
        <v>9.6289543787959012E-3</v>
      </c>
      <c r="V58" s="72">
        <f t="shared" si="49"/>
        <v>9.9733819792639251E-3</v>
      </c>
      <c r="W58" s="72">
        <f t="shared" si="49"/>
        <v>7.8216769699103444E-3</v>
      </c>
      <c r="X58" s="72">
        <f t="shared" ref="X58:Y58" si="50">IF(X50=0,0,X50/X$47)</f>
        <v>1.0332729026297857E-2</v>
      </c>
      <c r="Y58" s="72">
        <f t="shared" si="50"/>
        <v>1.0121363719360177E-2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8.5881353783592351E-2</v>
      </c>
      <c r="C59" s="72">
        <f t="shared" ref="C59:W59" si="52">IF(C51=0,0,C51/C$47)</f>
        <v>8.5070575461543854E-2</v>
      </c>
      <c r="D59" s="72">
        <f t="shared" si="52"/>
        <v>9.0202949992758893E-2</v>
      </c>
      <c r="E59" s="72">
        <f t="shared" si="52"/>
        <v>7.9048401779809277E-2</v>
      </c>
      <c r="F59" s="72">
        <f t="shared" si="52"/>
        <v>8.2985426345759103E-2</v>
      </c>
      <c r="G59" s="72">
        <f t="shared" si="52"/>
        <v>8.4048588254649989E-2</v>
      </c>
      <c r="H59" s="72">
        <f t="shared" si="52"/>
        <v>8.2340235931530337E-2</v>
      </c>
      <c r="I59" s="72">
        <f t="shared" si="52"/>
        <v>8.295078802478531E-2</v>
      </c>
      <c r="J59" s="72">
        <f t="shared" si="52"/>
        <v>7.9532103749156549E-2</v>
      </c>
      <c r="K59" s="72">
        <f t="shared" si="52"/>
        <v>8.2221096310252734E-2</v>
      </c>
      <c r="L59" s="72">
        <f t="shared" si="52"/>
        <v>7.4097272797840355E-2</v>
      </c>
      <c r="M59" s="72">
        <f t="shared" si="52"/>
        <v>9.0016475260097178E-2</v>
      </c>
      <c r="N59" s="72">
        <f t="shared" si="52"/>
        <v>8.1540956676948634E-2</v>
      </c>
      <c r="O59" s="72">
        <f t="shared" si="52"/>
        <v>7.995751651396138E-2</v>
      </c>
      <c r="P59" s="72">
        <f t="shared" si="52"/>
        <v>9.4183984751556787E-2</v>
      </c>
      <c r="Q59" s="72">
        <f t="shared" si="52"/>
        <v>8.5657360610451413E-2</v>
      </c>
      <c r="R59" s="72">
        <f t="shared" si="52"/>
        <v>8.470049778233664E-2</v>
      </c>
      <c r="S59" s="72">
        <f t="shared" si="52"/>
        <v>7.7677010575209413E-2</v>
      </c>
      <c r="T59" s="72">
        <f t="shared" si="52"/>
        <v>7.6271255775272592E-2</v>
      </c>
      <c r="U59" s="72">
        <f t="shared" si="52"/>
        <v>6.7950135184744603E-2</v>
      </c>
      <c r="V59" s="72">
        <f t="shared" si="52"/>
        <v>6.3054958233391259E-2</v>
      </c>
      <c r="W59" s="72">
        <f t="shared" si="52"/>
        <v>6.0437950254486172E-2</v>
      </c>
      <c r="X59" s="72">
        <f t="shared" ref="X59:Y59" si="53">IF(X51=0,0,X51/X$47)</f>
        <v>7.8063597076911115E-2</v>
      </c>
      <c r="Y59" s="72">
        <f t="shared" si="53"/>
        <v>8.1575245606610738E-2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8.7751378141197961E-2</v>
      </c>
      <c r="C60" s="73">
        <f t="shared" ref="C60:W60" si="55">IF(C52=0,0,C52/C$47)</f>
        <v>9.0746681716525834E-2</v>
      </c>
      <c r="D60" s="73">
        <f t="shared" si="55"/>
        <v>9.7216093911998813E-2</v>
      </c>
      <c r="E60" s="73">
        <f t="shared" si="55"/>
        <v>8.6966541511567422E-2</v>
      </c>
      <c r="F60" s="73">
        <f t="shared" si="55"/>
        <v>9.3243020101939647E-2</v>
      </c>
      <c r="G60" s="73">
        <f t="shared" si="55"/>
        <v>9.558865378502468E-2</v>
      </c>
      <c r="H60" s="73">
        <f t="shared" si="55"/>
        <v>9.7683566194193938E-2</v>
      </c>
      <c r="I60" s="73">
        <f t="shared" si="55"/>
        <v>9.8000662724895327E-2</v>
      </c>
      <c r="J60" s="73">
        <f t="shared" si="55"/>
        <v>9.4524589434940687E-2</v>
      </c>
      <c r="K60" s="73">
        <f t="shared" si="55"/>
        <v>0.10301703706141142</v>
      </c>
      <c r="L60" s="73">
        <f t="shared" si="55"/>
        <v>9.2759088090863542E-2</v>
      </c>
      <c r="M60" s="73">
        <f t="shared" si="55"/>
        <v>0.11771444296497194</v>
      </c>
      <c r="N60" s="73">
        <f t="shared" si="55"/>
        <v>0.10648216755808522</v>
      </c>
      <c r="O60" s="73">
        <f t="shared" si="55"/>
        <v>0.10388436492596538</v>
      </c>
      <c r="P60" s="73">
        <f t="shared" si="55"/>
        <v>0.11873804625628853</v>
      </c>
      <c r="Q60" s="73">
        <f t="shared" si="55"/>
        <v>0.10865309902097728</v>
      </c>
      <c r="R60" s="73">
        <f t="shared" si="55"/>
        <v>0.10982272266139771</v>
      </c>
      <c r="S60" s="73">
        <f t="shared" si="55"/>
        <v>9.8510044775755937E-2</v>
      </c>
      <c r="T60" s="73">
        <f t="shared" si="55"/>
        <v>9.7344725700647089E-2</v>
      </c>
      <c r="U60" s="73">
        <f t="shared" si="55"/>
        <v>8.9235431340306551E-2</v>
      </c>
      <c r="V60" s="73">
        <f t="shared" si="55"/>
        <v>8.63126582492523E-2</v>
      </c>
      <c r="W60" s="73">
        <f t="shared" si="55"/>
        <v>8.9532622025586941E-2</v>
      </c>
      <c r="X60" s="73">
        <f t="shared" ref="X60:Y60" si="56">IF(X52=0,0,X52/X$47)</f>
        <v>0.11074542049392465</v>
      </c>
      <c r="Y60" s="73">
        <f t="shared" si="56"/>
        <v>0.11830672600782235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0.12369389218258425</v>
      </c>
      <c r="C61" s="70">
        <f t="shared" ref="C61:W61" si="58">IF(C53=0,0,C53/C$47)</f>
        <v>0.12703412772965231</v>
      </c>
      <c r="D61" s="70">
        <f t="shared" si="58"/>
        <v>0.14236482424979116</v>
      </c>
      <c r="E61" s="70">
        <f t="shared" si="58"/>
        <v>0.13255548784774487</v>
      </c>
      <c r="F61" s="70">
        <f t="shared" si="58"/>
        <v>0.1474261428714263</v>
      </c>
      <c r="G61" s="70">
        <f t="shared" si="58"/>
        <v>0.15539124664587561</v>
      </c>
      <c r="H61" s="70">
        <f t="shared" si="58"/>
        <v>0.16022347904500459</v>
      </c>
      <c r="I61" s="70">
        <f t="shared" si="58"/>
        <v>0.16490956425747219</v>
      </c>
      <c r="J61" s="70">
        <f t="shared" si="58"/>
        <v>0.16182256030523481</v>
      </c>
      <c r="K61" s="70">
        <f t="shared" si="58"/>
        <v>0.17076164865668317</v>
      </c>
      <c r="L61" s="70">
        <f t="shared" si="58"/>
        <v>0.15510200280115616</v>
      </c>
      <c r="M61" s="70">
        <f t="shared" si="58"/>
        <v>0.19999100080225607</v>
      </c>
      <c r="N61" s="70">
        <f t="shared" si="58"/>
        <v>0.18042141065482878</v>
      </c>
      <c r="O61" s="70">
        <f t="shared" si="58"/>
        <v>0.17587769348840798</v>
      </c>
      <c r="P61" s="70">
        <f t="shared" si="58"/>
        <v>0.20196948210150314</v>
      </c>
      <c r="Q61" s="70">
        <f t="shared" si="58"/>
        <v>0.18231649615831774</v>
      </c>
      <c r="R61" s="70">
        <f t="shared" si="58"/>
        <v>0.18239597228952728</v>
      </c>
      <c r="S61" s="70">
        <f t="shared" si="58"/>
        <v>0.16373670507357282</v>
      </c>
      <c r="T61" s="70">
        <f t="shared" si="58"/>
        <v>0.15979098988646959</v>
      </c>
      <c r="U61" s="70">
        <f t="shared" si="58"/>
        <v>0.14181468213879531</v>
      </c>
      <c r="V61" s="70">
        <f t="shared" si="58"/>
        <v>0.1453130909261805</v>
      </c>
      <c r="W61" s="70">
        <f t="shared" si="58"/>
        <v>0.13340965015161943</v>
      </c>
      <c r="X61" s="70">
        <f t="shared" ref="X61:Y61" si="59">IF(X53=0,0,X53/X$47)</f>
        <v>0.16530948671739931</v>
      </c>
      <c r="Y61" s="70">
        <f t="shared" si="59"/>
        <v>0.16827747823411901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549.24098795999998</v>
      </c>
      <c r="C65" s="80">
        <v>511.00962300000015</v>
      </c>
      <c r="D65" s="80">
        <v>504.58161779999989</v>
      </c>
      <c r="E65" s="80">
        <v>494.35671419999994</v>
      </c>
      <c r="F65" s="80">
        <v>457.66884780000004</v>
      </c>
      <c r="G65" s="80">
        <v>407.88225000000006</v>
      </c>
      <c r="H65" s="80">
        <v>384.85854395999996</v>
      </c>
      <c r="I65" s="80">
        <v>342.45886499999995</v>
      </c>
      <c r="J65" s="80">
        <v>371.0574342000001</v>
      </c>
      <c r="K65" s="80">
        <v>392.06166768000003</v>
      </c>
      <c r="L65" s="80">
        <v>495.56131488000005</v>
      </c>
      <c r="M65" s="80">
        <v>300.31769266895458</v>
      </c>
      <c r="N65" s="80">
        <v>402.6036885021407</v>
      </c>
      <c r="O65" s="80">
        <v>429.92289245278295</v>
      </c>
      <c r="P65" s="80">
        <v>375.05783797258482</v>
      </c>
      <c r="Q65" s="80">
        <v>475.86910093751322</v>
      </c>
      <c r="R65" s="80">
        <v>503.28482828192477</v>
      </c>
      <c r="S65" s="80">
        <v>539.07200980502421</v>
      </c>
      <c r="T65" s="80">
        <v>562.58406221999667</v>
      </c>
      <c r="U65" s="80">
        <v>654.02001906587418</v>
      </c>
      <c r="V65" s="80">
        <v>540.06194785764444</v>
      </c>
      <c r="W65" s="80">
        <v>615.87607441437342</v>
      </c>
      <c r="X65" s="80">
        <v>470.66745621036239</v>
      </c>
      <c r="Y65" s="80">
        <v>453.34811154773735</v>
      </c>
      <c r="DA65" s="103" t="s">
        <v>219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200.38962312000001</v>
      </c>
      <c r="C67" s="55">
        <f t="shared" ref="C67:W67" si="60">SUM(C68:C69)</f>
        <v>258.47076060000001</v>
      </c>
      <c r="D67" s="55">
        <f t="shared" si="60"/>
        <v>229.10030136</v>
      </c>
      <c r="E67" s="55">
        <f t="shared" si="60"/>
        <v>199.68212916000002</v>
      </c>
      <c r="F67" s="55">
        <f t="shared" si="60"/>
        <v>196.94293092000004</v>
      </c>
      <c r="G67" s="55">
        <f t="shared" si="60"/>
        <v>178.38056088000002</v>
      </c>
      <c r="H67" s="55">
        <f t="shared" si="60"/>
        <v>105.59996963999997</v>
      </c>
      <c r="I67" s="55">
        <f t="shared" si="60"/>
        <v>100.13938055999998</v>
      </c>
      <c r="J67" s="55">
        <f t="shared" si="60"/>
        <v>78.217049880000019</v>
      </c>
      <c r="K67" s="55">
        <f t="shared" si="60"/>
        <v>96.209453879999984</v>
      </c>
      <c r="L67" s="55">
        <f t="shared" si="60"/>
        <v>175.25437055999998</v>
      </c>
      <c r="M67" s="55">
        <f t="shared" si="60"/>
        <v>138.54287411999999</v>
      </c>
      <c r="N67" s="55">
        <f t="shared" si="60"/>
        <v>150.19454808</v>
      </c>
      <c r="O67" s="55">
        <f t="shared" si="60"/>
        <v>180.57061944</v>
      </c>
      <c r="P67" s="55">
        <f t="shared" si="60"/>
        <v>164.62548647999998</v>
      </c>
      <c r="Q67" s="55">
        <f t="shared" si="60"/>
        <v>234.12290075999996</v>
      </c>
      <c r="R67" s="55">
        <f t="shared" si="60"/>
        <v>230.84355419999997</v>
      </c>
      <c r="S67" s="55">
        <f t="shared" si="60"/>
        <v>332.71529471999997</v>
      </c>
      <c r="T67" s="55">
        <f t="shared" si="60"/>
        <v>328.92024347999995</v>
      </c>
      <c r="U67" s="55">
        <f t="shared" si="60"/>
        <v>402.77831543999991</v>
      </c>
      <c r="V67" s="55">
        <f t="shared" si="60"/>
        <v>364.94670888000013</v>
      </c>
      <c r="W67" s="55">
        <f t="shared" si="60"/>
        <v>347.75771615999997</v>
      </c>
      <c r="X67" s="55">
        <f t="shared" ref="X67:Y67" si="61">SUM(X68:X69)</f>
        <v>271.82483100000002</v>
      </c>
      <c r="Y67" s="55">
        <f t="shared" si="61"/>
        <v>265.81307903999999</v>
      </c>
      <c r="DA67" s="101"/>
    </row>
    <row r="68" spans="1:105" ht="12" customHeight="1" x14ac:dyDescent="0.25">
      <c r="A68" s="61" t="s">
        <v>52</v>
      </c>
      <c r="B68" s="55">
        <v>11.610374759999999</v>
      </c>
      <c r="C68" s="55">
        <v>23.220749519999998</v>
      </c>
      <c r="D68" s="55">
        <v>11.610374759999999</v>
      </c>
      <c r="E68" s="55">
        <v>2.9026504799999988</v>
      </c>
      <c r="F68" s="55">
        <v>0</v>
      </c>
      <c r="G68" s="55">
        <v>0</v>
      </c>
      <c r="H68" s="55">
        <v>0</v>
      </c>
      <c r="I68" s="55">
        <v>0</v>
      </c>
      <c r="J68" s="55">
        <v>0</v>
      </c>
      <c r="K68" s="55">
        <v>21.685375079999996</v>
      </c>
      <c r="L68" s="55">
        <v>23.305025880000002</v>
      </c>
      <c r="M68" s="55">
        <v>23.894278920000001</v>
      </c>
      <c r="N68" s="55">
        <v>24.193221480000002</v>
      </c>
      <c r="O68" s="55">
        <v>25.069831920000002</v>
      </c>
      <c r="P68" s="55">
        <v>22.367536559999998</v>
      </c>
      <c r="Q68" s="55">
        <v>24.52691952</v>
      </c>
      <c r="R68" s="55">
        <v>26.303310720000002</v>
      </c>
      <c r="S68" s="55">
        <v>22.939298280000003</v>
      </c>
      <c r="T68" s="55">
        <v>20.30083488</v>
      </c>
      <c r="U68" s="55">
        <v>24.204806640000001</v>
      </c>
      <c r="V68" s="55">
        <v>18.730477800000003</v>
      </c>
      <c r="W68" s="55">
        <v>28.163978280000009</v>
      </c>
      <c r="X68" s="55">
        <v>21.171539160000002</v>
      </c>
      <c r="Y68" s="55">
        <v>28.265518799999988</v>
      </c>
      <c r="DA68" s="101" t="s">
        <v>221</v>
      </c>
    </row>
    <row r="69" spans="1:105" ht="12" customHeight="1" x14ac:dyDescent="0.25">
      <c r="A69" s="61" t="s">
        <v>163</v>
      </c>
      <c r="B69" s="55">
        <v>188.77924836</v>
      </c>
      <c r="C69" s="55">
        <v>235.25001108000001</v>
      </c>
      <c r="D69" s="55">
        <v>217.48992659999999</v>
      </c>
      <c r="E69" s="55">
        <v>196.77947868000001</v>
      </c>
      <c r="F69" s="55">
        <v>196.94293092000004</v>
      </c>
      <c r="G69" s="55">
        <v>178.38056088000002</v>
      </c>
      <c r="H69" s="55">
        <v>105.59996963999997</v>
      </c>
      <c r="I69" s="55">
        <v>100.13938055999998</v>
      </c>
      <c r="J69" s="55">
        <v>78.217049880000019</v>
      </c>
      <c r="K69" s="55">
        <v>74.524078799999984</v>
      </c>
      <c r="L69" s="55">
        <v>151.94934467999997</v>
      </c>
      <c r="M69" s="55">
        <v>114.64859519999999</v>
      </c>
      <c r="N69" s="55">
        <v>126.0013266</v>
      </c>
      <c r="O69" s="55">
        <v>155.50078751999999</v>
      </c>
      <c r="P69" s="55">
        <v>142.25794991999999</v>
      </c>
      <c r="Q69" s="55">
        <v>209.59598123999996</v>
      </c>
      <c r="R69" s="55">
        <v>204.54024347999996</v>
      </c>
      <c r="S69" s="55">
        <v>309.77599643999997</v>
      </c>
      <c r="T69" s="55">
        <v>308.61940859999993</v>
      </c>
      <c r="U69" s="55">
        <v>378.5735087999999</v>
      </c>
      <c r="V69" s="55">
        <v>346.21623108000011</v>
      </c>
      <c r="W69" s="55">
        <v>319.59373787999994</v>
      </c>
      <c r="X69" s="55">
        <v>250.65329184000001</v>
      </c>
      <c r="Y69" s="55">
        <v>237.54756024</v>
      </c>
      <c r="DA69" s="101" t="s">
        <v>222</v>
      </c>
    </row>
    <row r="70" spans="1:105" ht="12" customHeight="1" x14ac:dyDescent="0.25">
      <c r="A70" s="60" t="s">
        <v>149</v>
      </c>
      <c r="B70" s="55">
        <v>348.85136483999997</v>
      </c>
      <c r="C70" s="55">
        <v>252.53886240000011</v>
      </c>
      <c r="D70" s="55">
        <v>275.48131643999989</v>
      </c>
      <c r="E70" s="55">
        <v>294.67458503999995</v>
      </c>
      <c r="F70" s="55">
        <v>260.72591688</v>
      </c>
      <c r="G70" s="55">
        <v>229.50168912000004</v>
      </c>
      <c r="H70" s="55">
        <v>279.25857431999998</v>
      </c>
      <c r="I70" s="55">
        <v>242.31948444</v>
      </c>
      <c r="J70" s="55">
        <v>292.84038432000006</v>
      </c>
      <c r="K70" s="55">
        <v>295.85221380000002</v>
      </c>
      <c r="L70" s="55">
        <v>320.30694432000007</v>
      </c>
      <c r="M70" s="55">
        <v>161.77481854895458</v>
      </c>
      <c r="N70" s="55">
        <v>252.40914042214072</v>
      </c>
      <c r="O70" s="55">
        <v>249.35227301278294</v>
      </c>
      <c r="P70" s="55">
        <v>210.43235149258484</v>
      </c>
      <c r="Q70" s="55">
        <v>241.74620017751326</v>
      </c>
      <c r="R70" s="55">
        <v>272.4412740819248</v>
      </c>
      <c r="S70" s="55">
        <v>206.35671508502421</v>
      </c>
      <c r="T70" s="55">
        <v>233.66381873999669</v>
      </c>
      <c r="U70" s="55">
        <v>251.24170362587427</v>
      </c>
      <c r="V70" s="55">
        <v>175.11523897764434</v>
      </c>
      <c r="W70" s="55">
        <v>268.1183582543735</v>
      </c>
      <c r="X70" s="55">
        <v>198.8426252103624</v>
      </c>
      <c r="Y70" s="55">
        <v>187.53503250773736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0</v>
      </c>
      <c r="O71" s="55">
        <f t="shared" si="62"/>
        <v>0</v>
      </c>
      <c r="P71" s="55">
        <f t="shared" si="62"/>
        <v>0</v>
      </c>
      <c r="Q71" s="55">
        <f t="shared" si="62"/>
        <v>0</v>
      </c>
      <c r="R71" s="55">
        <f t="shared" si="62"/>
        <v>0</v>
      </c>
      <c r="S71" s="55">
        <f t="shared" si="62"/>
        <v>0</v>
      </c>
      <c r="T71" s="55">
        <f t="shared" si="62"/>
        <v>0</v>
      </c>
      <c r="U71" s="55">
        <f t="shared" si="62"/>
        <v>0</v>
      </c>
      <c r="V71" s="55">
        <f t="shared" si="62"/>
        <v>0</v>
      </c>
      <c r="W71" s="55">
        <f t="shared" si="62"/>
        <v>0</v>
      </c>
      <c r="X71" s="55">
        <f t="shared" ref="X71:Y71" si="63">SUM(X72:X76)</f>
        <v>0</v>
      </c>
      <c r="Y71" s="55">
        <f t="shared" si="63"/>
        <v>0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549.24098795999998</v>
      </c>
      <c r="C81" s="82">
        <f t="shared" ref="C81:W81" si="65">C82+C87</f>
        <v>511.00962300000009</v>
      </c>
      <c r="D81" s="82">
        <f t="shared" si="65"/>
        <v>504.58161779999989</v>
      </c>
      <c r="E81" s="82">
        <f t="shared" si="65"/>
        <v>494.3567142</v>
      </c>
      <c r="F81" s="82">
        <f t="shared" si="65"/>
        <v>457.66884779999998</v>
      </c>
      <c r="G81" s="82">
        <f t="shared" si="65"/>
        <v>407.88224999999994</v>
      </c>
      <c r="H81" s="82">
        <f t="shared" si="65"/>
        <v>384.85854396000013</v>
      </c>
      <c r="I81" s="82">
        <f t="shared" si="65"/>
        <v>342.45886499999995</v>
      </c>
      <c r="J81" s="82">
        <f t="shared" si="65"/>
        <v>371.05743419999999</v>
      </c>
      <c r="K81" s="82">
        <f t="shared" si="65"/>
        <v>392.06166768000014</v>
      </c>
      <c r="L81" s="82">
        <f t="shared" si="65"/>
        <v>495.56131488000045</v>
      </c>
      <c r="M81" s="82">
        <f t="shared" si="65"/>
        <v>300.31769266895446</v>
      </c>
      <c r="N81" s="82">
        <f t="shared" si="65"/>
        <v>402.6036885021407</v>
      </c>
      <c r="O81" s="82">
        <f t="shared" si="65"/>
        <v>429.922892452783</v>
      </c>
      <c r="P81" s="82">
        <f t="shared" si="65"/>
        <v>375.05783797258471</v>
      </c>
      <c r="Q81" s="82">
        <f t="shared" si="65"/>
        <v>475.86910093751294</v>
      </c>
      <c r="R81" s="82">
        <f t="shared" si="65"/>
        <v>503.28482828192438</v>
      </c>
      <c r="S81" s="82">
        <f t="shared" si="65"/>
        <v>539.07200980502421</v>
      </c>
      <c r="T81" s="82">
        <f t="shared" si="65"/>
        <v>562.58406221999655</v>
      </c>
      <c r="U81" s="82">
        <f t="shared" si="65"/>
        <v>654.02001906587429</v>
      </c>
      <c r="V81" s="82">
        <f t="shared" si="65"/>
        <v>540.06194785764421</v>
      </c>
      <c r="W81" s="82">
        <f t="shared" si="65"/>
        <v>615.87607441437342</v>
      </c>
      <c r="X81" s="82">
        <f t="shared" ref="X81:Y81" si="66">X82+X87</f>
        <v>470.66745621036227</v>
      </c>
      <c r="Y81" s="82">
        <f t="shared" si="66"/>
        <v>453.34811154773757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549.24098795999998</v>
      </c>
      <c r="C82" s="64">
        <f t="shared" ref="C82:W82" si="68">SUM(C83:C86)</f>
        <v>511.00962300000009</v>
      </c>
      <c r="D82" s="64">
        <f t="shared" si="68"/>
        <v>504.58161779999989</v>
      </c>
      <c r="E82" s="64">
        <f t="shared" si="68"/>
        <v>494.3567142</v>
      </c>
      <c r="F82" s="64">
        <f t="shared" si="68"/>
        <v>457.66884779999998</v>
      </c>
      <c r="G82" s="64">
        <f t="shared" si="68"/>
        <v>407.88224999999994</v>
      </c>
      <c r="H82" s="64">
        <f t="shared" si="68"/>
        <v>384.85854396000013</v>
      </c>
      <c r="I82" s="64">
        <f t="shared" si="68"/>
        <v>342.45886499999995</v>
      </c>
      <c r="J82" s="64">
        <f t="shared" si="68"/>
        <v>371.05743419999999</v>
      </c>
      <c r="K82" s="64">
        <f t="shared" si="68"/>
        <v>392.06166768000014</v>
      </c>
      <c r="L82" s="64">
        <f t="shared" si="68"/>
        <v>495.56131488000045</v>
      </c>
      <c r="M82" s="64">
        <f t="shared" si="68"/>
        <v>300.31769266895446</v>
      </c>
      <c r="N82" s="64">
        <f t="shared" si="68"/>
        <v>402.6036885021407</v>
      </c>
      <c r="O82" s="64">
        <f t="shared" si="68"/>
        <v>429.922892452783</v>
      </c>
      <c r="P82" s="64">
        <f t="shared" si="68"/>
        <v>375.05783797258471</v>
      </c>
      <c r="Q82" s="64">
        <f t="shared" si="68"/>
        <v>475.86910093751294</v>
      </c>
      <c r="R82" s="64">
        <f t="shared" si="68"/>
        <v>503.28482828192438</v>
      </c>
      <c r="S82" s="64">
        <f t="shared" si="68"/>
        <v>539.07200980502421</v>
      </c>
      <c r="T82" s="64">
        <f t="shared" si="68"/>
        <v>562.58406221999655</v>
      </c>
      <c r="U82" s="64">
        <f t="shared" si="68"/>
        <v>654.02001906587429</v>
      </c>
      <c r="V82" s="64">
        <f t="shared" si="68"/>
        <v>540.06194785764421</v>
      </c>
      <c r="W82" s="64">
        <f t="shared" si="68"/>
        <v>615.87607441437342</v>
      </c>
      <c r="X82" s="64">
        <f t="shared" ref="X82:Y82" si="69">SUM(X83:X86)</f>
        <v>470.66745621036227</v>
      </c>
      <c r="Y82" s="64">
        <f t="shared" si="69"/>
        <v>453.34811154773757</v>
      </c>
      <c r="DA82" s="108" t="s">
        <v>233</v>
      </c>
    </row>
    <row r="83" spans="1:105" ht="12" customHeight="1" x14ac:dyDescent="0.25">
      <c r="A83" s="61" t="s">
        <v>32</v>
      </c>
      <c r="B83" s="65">
        <v>464.91151296484207</v>
      </c>
      <c r="C83" s="65">
        <v>414.37420834259899</v>
      </c>
      <c r="D83" s="65">
        <v>416.91387143679202</v>
      </c>
      <c r="E83" s="65">
        <v>413.85272324435886</v>
      </c>
      <c r="F83" s="65">
        <v>379.83737356375627</v>
      </c>
      <c r="G83" s="65">
        <v>332.74809434776523</v>
      </c>
      <c r="H83" s="65">
        <v>315.21392155506817</v>
      </c>
      <c r="I83" s="65">
        <v>275.89626872565282</v>
      </c>
      <c r="J83" s="65">
        <v>306.267946808754</v>
      </c>
      <c r="K83" s="65">
        <v>310.98111981486642</v>
      </c>
      <c r="L83" s="65">
        <v>406.12874640075813</v>
      </c>
      <c r="M83" s="65">
        <v>215.48661290557502</v>
      </c>
      <c r="N83" s="65">
        <v>314.4297181806752</v>
      </c>
      <c r="O83" s="65">
        <v>342.86920016324268</v>
      </c>
      <c r="P83" s="65">
        <v>290.22218774563828</v>
      </c>
      <c r="Q83" s="65">
        <v>387.47310800539901</v>
      </c>
      <c r="R83" s="65">
        <v>413.98606226752156</v>
      </c>
      <c r="S83" s="65">
        <v>455.80759237168269</v>
      </c>
      <c r="T83" s="65">
        <v>480.54014840433786</v>
      </c>
      <c r="U83" s="65">
        <v>568.19350312249867</v>
      </c>
      <c r="V83" s="65">
        <v>475.7897155660375</v>
      </c>
      <c r="W83" s="65">
        <v>530.95718777402794</v>
      </c>
      <c r="X83" s="65">
        <v>389.63082309610638</v>
      </c>
      <c r="Y83" s="65">
        <v>366.10901354199598</v>
      </c>
      <c r="DA83" s="109" t="s">
        <v>234</v>
      </c>
    </row>
    <row r="84" spans="1:105" ht="12" customHeight="1" x14ac:dyDescent="0.25">
      <c r="A84" s="61" t="s">
        <v>31</v>
      </c>
      <c r="B84" s="65">
        <v>1.7417059444154601E-2</v>
      </c>
      <c r="C84" s="65">
        <v>2.3892513334716037E-2</v>
      </c>
      <c r="D84" s="65">
        <v>3.7086303038740567E-2</v>
      </c>
      <c r="E84" s="65">
        <v>3.7263913550506907E-2</v>
      </c>
      <c r="F84" s="65">
        <v>5.7730857728496995E-2</v>
      </c>
      <c r="G84" s="65">
        <v>6.7739449640146138E-2</v>
      </c>
      <c r="H84" s="65">
        <v>9.5350111473516422E-2</v>
      </c>
      <c r="I84" s="65">
        <v>0.11785149860045467</v>
      </c>
      <c r="J84" s="65">
        <v>0.13166278380537574</v>
      </c>
      <c r="K84" s="65">
        <v>0.17976594403769361</v>
      </c>
      <c r="L84" s="65">
        <v>0.17716219205775835</v>
      </c>
      <c r="M84" s="65">
        <v>0.1914010252407487</v>
      </c>
      <c r="N84" s="65">
        <v>0.21928154583880244</v>
      </c>
      <c r="O84" s="65">
        <v>0.26762861717031783</v>
      </c>
      <c r="P84" s="65">
        <v>0.35366465676443348</v>
      </c>
      <c r="Q84" s="65">
        <v>0.48527728886197341</v>
      </c>
      <c r="R84" s="65">
        <v>0.6134821610542075</v>
      </c>
      <c r="S84" s="65">
        <v>0.73193379853310991</v>
      </c>
      <c r="T84" s="65">
        <v>0.83906143527213772</v>
      </c>
      <c r="U84" s="65">
        <v>0.92968424761064472</v>
      </c>
      <c r="V84" s="65">
        <v>0.99833712593445534</v>
      </c>
      <c r="W84" s="65">
        <v>1.0636339854588661</v>
      </c>
      <c r="X84" s="65">
        <v>0.98904619003922145</v>
      </c>
      <c r="Y84" s="65">
        <v>0.96813715972158021</v>
      </c>
      <c r="DA84" s="109" t="s">
        <v>235</v>
      </c>
    </row>
    <row r="85" spans="1:105" ht="12" customHeight="1" x14ac:dyDescent="0.25">
      <c r="A85" s="61" t="s">
        <v>35</v>
      </c>
      <c r="B85" s="65">
        <v>35.425290994646929</v>
      </c>
      <c r="C85" s="65">
        <v>35.488375873249467</v>
      </c>
      <c r="D85" s="65">
        <v>36.462878408995799</v>
      </c>
      <c r="E85" s="65">
        <v>37.789413856083613</v>
      </c>
      <c r="F85" s="65">
        <v>37.528305759684471</v>
      </c>
      <c r="G85" s="65">
        <v>36.908263266806514</v>
      </c>
      <c r="H85" s="65">
        <v>30.701548346488924</v>
      </c>
      <c r="I85" s="65">
        <v>29.446374316698659</v>
      </c>
      <c r="J85" s="65">
        <v>29.479361894046541</v>
      </c>
      <c r="K85" s="65">
        <v>28.443585895815929</v>
      </c>
      <c r="L85" s="65">
        <v>36.249739830219426</v>
      </c>
      <c r="M85" s="65">
        <v>31.039447252881811</v>
      </c>
      <c r="N85" s="65">
        <v>35.21611887380007</v>
      </c>
      <c r="O85" s="65">
        <v>35.981204898992544</v>
      </c>
      <c r="P85" s="65">
        <v>38.904428132130327</v>
      </c>
      <c r="Q85" s="65">
        <v>42.025805140280234</v>
      </c>
      <c r="R85" s="65">
        <v>42.87931697636337</v>
      </c>
      <c r="S85" s="65">
        <v>43.004249339419928</v>
      </c>
      <c r="T85" s="65">
        <v>45.283287747378523</v>
      </c>
      <c r="U85" s="65">
        <v>47.369714749655799</v>
      </c>
      <c r="V85" s="65">
        <v>35.115785475447531</v>
      </c>
      <c r="W85" s="65">
        <v>44.195954173185861</v>
      </c>
      <c r="X85" s="65">
        <v>38.17635835547852</v>
      </c>
      <c r="Y85" s="65">
        <v>37.526915193921447</v>
      </c>
      <c r="DA85" s="109" t="s">
        <v>236</v>
      </c>
    </row>
    <row r="86" spans="1:105" ht="12" customHeight="1" x14ac:dyDescent="0.25">
      <c r="A86" s="66" t="s">
        <v>34</v>
      </c>
      <c r="B86" s="67">
        <v>48.886766941066846</v>
      </c>
      <c r="C86" s="67">
        <v>61.123146270816903</v>
      </c>
      <c r="D86" s="67">
        <v>51.167781651173328</v>
      </c>
      <c r="E86" s="67">
        <v>42.677313186006991</v>
      </c>
      <c r="F86" s="67">
        <v>40.245437618830728</v>
      </c>
      <c r="G86" s="67">
        <v>38.158152935788067</v>
      </c>
      <c r="H86" s="67">
        <v>38.847723946969495</v>
      </c>
      <c r="I86" s="67">
        <v>36.998370459048054</v>
      </c>
      <c r="J86" s="67">
        <v>35.178462713394062</v>
      </c>
      <c r="K86" s="67">
        <v>52.457196025280069</v>
      </c>
      <c r="L86" s="67">
        <v>53.005666456965095</v>
      </c>
      <c r="M86" s="67">
        <v>53.600231485256884</v>
      </c>
      <c r="N86" s="67">
        <v>52.738569901826608</v>
      </c>
      <c r="O86" s="67">
        <v>50.804858773377447</v>
      </c>
      <c r="P86" s="67">
        <v>45.577557438051727</v>
      </c>
      <c r="Q86" s="67">
        <v>45.884910502971735</v>
      </c>
      <c r="R86" s="67">
        <v>45.805966876985202</v>
      </c>
      <c r="S86" s="67">
        <v>39.528234295388515</v>
      </c>
      <c r="T86" s="67">
        <v>35.921564633008067</v>
      </c>
      <c r="U86" s="67">
        <v>37.527116946109146</v>
      </c>
      <c r="V86" s="67">
        <v>28.158109690224684</v>
      </c>
      <c r="W86" s="67">
        <v>39.659298481700688</v>
      </c>
      <c r="X86" s="67">
        <v>41.871228568738132</v>
      </c>
      <c r="Y86" s="67">
        <v>48.744045652098528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0.84646179574402147</v>
      </c>
      <c r="C91" s="71">
        <f t="shared" ref="C91:W91" si="77">IF(C83=0,0,C83/C$81)</f>
        <v>0.81089316070002637</v>
      </c>
      <c r="D91" s="71">
        <f t="shared" si="77"/>
        <v>0.82625655935417652</v>
      </c>
      <c r="E91" s="71">
        <f t="shared" si="77"/>
        <v>0.8371540455642078</v>
      </c>
      <c r="F91" s="71">
        <f t="shared" si="77"/>
        <v>0.82993932269942072</v>
      </c>
      <c r="G91" s="71">
        <f t="shared" si="77"/>
        <v>0.81579449546472116</v>
      </c>
      <c r="H91" s="71">
        <f t="shared" si="77"/>
        <v>0.81903838826514297</v>
      </c>
      <c r="I91" s="71">
        <f t="shared" si="77"/>
        <v>0.80563330934841726</v>
      </c>
      <c r="J91" s="71">
        <f t="shared" si="77"/>
        <v>0.82539229396944402</v>
      </c>
      <c r="K91" s="71">
        <f t="shared" si="77"/>
        <v>0.79319440141923925</v>
      </c>
      <c r="L91" s="71">
        <f t="shared" si="77"/>
        <v>0.81953278879143687</v>
      </c>
      <c r="M91" s="71">
        <f t="shared" si="77"/>
        <v>0.71752886415223538</v>
      </c>
      <c r="N91" s="71">
        <f t="shared" si="77"/>
        <v>0.7809906544832943</v>
      </c>
      <c r="O91" s="71">
        <f t="shared" si="77"/>
        <v>0.79751324291459746</v>
      </c>
      <c r="P91" s="71">
        <f t="shared" si="77"/>
        <v>0.77380648625946702</v>
      </c>
      <c r="Q91" s="71">
        <f t="shared" si="77"/>
        <v>0.81424304970008687</v>
      </c>
      <c r="R91" s="71">
        <f t="shared" si="77"/>
        <v>0.82256813439172372</v>
      </c>
      <c r="S91" s="71">
        <f t="shared" si="77"/>
        <v>0.84554119687375862</v>
      </c>
      <c r="T91" s="71">
        <f t="shared" si="77"/>
        <v>0.85416594723300976</v>
      </c>
      <c r="U91" s="71">
        <f t="shared" si="77"/>
        <v>0.86877081214431295</v>
      </c>
      <c r="V91" s="71">
        <f t="shared" si="77"/>
        <v>0.88099100011291975</v>
      </c>
      <c r="W91" s="71">
        <f t="shared" si="77"/>
        <v>0.86211692551769692</v>
      </c>
      <c r="X91" s="71">
        <f t="shared" ref="X91:Y91" si="78">IF(X83=0,0,X83/X$81)</f>
        <v>0.82782613914560299</v>
      </c>
      <c r="Y91" s="71">
        <f t="shared" si="78"/>
        <v>0.80756708634363572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3.1711142878912466E-5</v>
      </c>
      <c r="C92" s="72">
        <f t="shared" ref="C92:W92" si="80">IF(C84=0,0,C84/C$81)</f>
        <v>4.6755505687837181E-5</v>
      </c>
      <c r="D92" s="72">
        <f t="shared" si="80"/>
        <v>7.3499116357901879E-5</v>
      </c>
      <c r="E92" s="72">
        <f t="shared" si="80"/>
        <v>7.5378592987878767E-5</v>
      </c>
      <c r="F92" s="72">
        <f t="shared" si="80"/>
        <v>1.2614111274124827E-4</v>
      </c>
      <c r="G92" s="72">
        <f t="shared" si="80"/>
        <v>1.6607599286349467E-4</v>
      </c>
      <c r="H92" s="72">
        <f t="shared" si="80"/>
        <v>2.4775365642766279E-4</v>
      </c>
      <c r="I92" s="72">
        <f t="shared" si="80"/>
        <v>3.4413329787930791E-4</v>
      </c>
      <c r="J92" s="72">
        <f t="shared" si="80"/>
        <v>3.5483127858424606E-4</v>
      </c>
      <c r="K92" s="72">
        <f t="shared" si="80"/>
        <v>4.5851446049660275E-4</v>
      </c>
      <c r="L92" s="72">
        <f t="shared" si="80"/>
        <v>3.5749802645643951E-4</v>
      </c>
      <c r="M92" s="72">
        <f t="shared" si="80"/>
        <v>6.3732850215965614E-4</v>
      </c>
      <c r="N92" s="72">
        <f t="shared" si="80"/>
        <v>5.4465856151150608E-4</v>
      </c>
      <c r="O92" s="72">
        <f t="shared" si="80"/>
        <v>6.2250376025210286E-4</v>
      </c>
      <c r="P92" s="72">
        <f t="shared" si="80"/>
        <v>9.4296031427100859E-4</v>
      </c>
      <c r="Q92" s="72">
        <f t="shared" si="80"/>
        <v>1.0197705375405239E-3</v>
      </c>
      <c r="R92" s="72">
        <f t="shared" si="80"/>
        <v>1.2189561985177786E-3</v>
      </c>
      <c r="S92" s="72">
        <f t="shared" si="80"/>
        <v>1.3577662820925195E-3</v>
      </c>
      <c r="T92" s="72">
        <f t="shared" si="80"/>
        <v>1.4914418868553472E-3</v>
      </c>
      <c r="U92" s="72">
        <f t="shared" si="80"/>
        <v>1.421492034660494E-3</v>
      </c>
      <c r="V92" s="72">
        <f t="shared" si="80"/>
        <v>1.8485603918119568E-3</v>
      </c>
      <c r="W92" s="72">
        <f t="shared" si="80"/>
        <v>1.7270259872820331E-3</v>
      </c>
      <c r="X92" s="72">
        <f t="shared" ref="X92:Y92" si="81">IF(X84=0,0,X84/X$81)</f>
        <v>2.1013693999637241E-3</v>
      </c>
      <c r="Y92" s="72">
        <f t="shared" si="81"/>
        <v>2.1355270598047596E-3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6.4498629510925859E-2</v>
      </c>
      <c r="C93" s="72">
        <f t="shared" ref="C93:W93" si="83">IF(C85=0,0,C85/C$81)</f>
        <v>6.9447568648329461E-2</v>
      </c>
      <c r="D93" s="72">
        <f t="shared" si="83"/>
        <v>7.2263588530980777E-2</v>
      </c>
      <c r="E93" s="72">
        <f t="shared" si="83"/>
        <v>7.6441591204514908E-2</v>
      </c>
      <c r="F93" s="72">
        <f t="shared" si="83"/>
        <v>8.1998820632170788E-2</v>
      </c>
      <c r="G93" s="72">
        <f t="shared" si="83"/>
        <v>9.048754454700228E-2</v>
      </c>
      <c r="H93" s="72">
        <f t="shared" si="83"/>
        <v>7.9773591695757845E-2</v>
      </c>
      <c r="I93" s="72">
        <f t="shared" si="83"/>
        <v>8.5985142527113922E-2</v>
      </c>
      <c r="J93" s="72">
        <f t="shared" si="83"/>
        <v>7.9446897372111844E-2</v>
      </c>
      <c r="K93" s="72">
        <f t="shared" si="83"/>
        <v>7.2548755057154732E-2</v>
      </c>
      <c r="L93" s="72">
        <f t="shared" si="83"/>
        <v>7.3148849076319147E-2</v>
      </c>
      <c r="M93" s="72">
        <f t="shared" si="83"/>
        <v>0.10335537336155931</v>
      </c>
      <c r="N93" s="72">
        <f t="shared" si="83"/>
        <v>8.7470929550643756E-2</v>
      </c>
      <c r="O93" s="72">
        <f t="shared" si="83"/>
        <v>8.369222837545047E-2</v>
      </c>
      <c r="P93" s="72">
        <f t="shared" si="83"/>
        <v>0.10372914306346023</v>
      </c>
      <c r="Q93" s="72">
        <f t="shared" si="83"/>
        <v>8.8313792716284603E-2</v>
      </c>
      <c r="R93" s="72">
        <f t="shared" si="83"/>
        <v>8.5198906398075883E-2</v>
      </c>
      <c r="S93" s="72">
        <f t="shared" si="83"/>
        <v>7.9774591440898671E-2</v>
      </c>
      <c r="T93" s="72">
        <f t="shared" si="83"/>
        <v>8.0491593680573639E-2</v>
      </c>
      <c r="U93" s="72">
        <f t="shared" si="83"/>
        <v>7.2428539446411991E-2</v>
      </c>
      <c r="V93" s="72">
        <f t="shared" si="83"/>
        <v>6.5021773177590655E-2</v>
      </c>
      <c r="W93" s="72">
        <f t="shared" si="83"/>
        <v>7.1761115603023021E-2</v>
      </c>
      <c r="X93" s="72">
        <f t="shared" ref="X93:Y93" si="84">IF(X85=0,0,X85/X$81)</f>
        <v>8.1111106900953453E-2</v>
      </c>
      <c r="Y93" s="72">
        <f t="shared" si="84"/>
        <v>8.2777261530447246E-2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8.9007863602173776E-2</v>
      </c>
      <c r="C94" s="73">
        <f t="shared" ref="C94:W94" si="86">IF(C86=0,0,C86/C$81)</f>
        <v>0.11961251514595625</v>
      </c>
      <c r="D94" s="73">
        <f t="shared" si="86"/>
        <v>0.1014063529984848</v>
      </c>
      <c r="E94" s="73">
        <f t="shared" si="86"/>
        <v>8.6328984638289336E-2</v>
      </c>
      <c r="F94" s="73">
        <f t="shared" si="86"/>
        <v>8.7935715555667163E-2</v>
      </c>
      <c r="G94" s="73">
        <f t="shared" si="86"/>
        <v>9.3551883995413074E-2</v>
      </c>
      <c r="H94" s="73">
        <f t="shared" si="86"/>
        <v>0.10094026638267148</v>
      </c>
      <c r="I94" s="73">
        <f t="shared" si="86"/>
        <v>0.10803741482658964</v>
      </c>
      <c r="J94" s="73">
        <f t="shared" si="86"/>
        <v>9.4805977379859921E-2</v>
      </c>
      <c r="K94" s="73">
        <f t="shared" si="86"/>
        <v>0.13379832906310932</v>
      </c>
      <c r="L94" s="73">
        <f t="shared" si="86"/>
        <v>0.10696086410578749</v>
      </c>
      <c r="M94" s="73">
        <f t="shared" si="86"/>
        <v>0.17847843398404559</v>
      </c>
      <c r="N94" s="73">
        <f t="shared" si="86"/>
        <v>0.13099375740455044</v>
      </c>
      <c r="O94" s="73">
        <f t="shared" si="86"/>
        <v>0.11817202494969996</v>
      </c>
      <c r="P94" s="73">
        <f t="shared" si="86"/>
        <v>0.12152141036280188</v>
      </c>
      <c r="Q94" s="73">
        <f t="shared" si="86"/>
        <v>9.6423387046088008E-2</v>
      </c>
      <c r="R94" s="73">
        <f t="shared" si="86"/>
        <v>9.1014003011682554E-2</v>
      </c>
      <c r="S94" s="73">
        <f t="shared" si="86"/>
        <v>7.3326445403250298E-2</v>
      </c>
      <c r="T94" s="73">
        <f t="shared" si="86"/>
        <v>6.3851017199561308E-2</v>
      </c>
      <c r="U94" s="73">
        <f t="shared" si="86"/>
        <v>5.7379156374614479E-2</v>
      </c>
      <c r="V94" s="73">
        <f t="shared" si="86"/>
        <v>5.2138666317677551E-2</v>
      </c>
      <c r="W94" s="73">
        <f t="shared" si="86"/>
        <v>6.4394932891997908E-2</v>
      </c>
      <c r="X94" s="73">
        <f t="shared" ref="X94:Y94" si="87">IF(X86=0,0,X86/X$81)</f>
        <v>8.8961384553479753E-2</v>
      </c>
      <c r="Y94" s="73">
        <f t="shared" si="87"/>
        <v>0.10752012506611219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537833.87436506804</v>
      </c>
      <c r="C99" s="82">
        <f t="shared" ref="C99:W99" si="92">C47*11630*1000/C$8</f>
        <v>546842.05506257748</v>
      </c>
      <c r="D99" s="82">
        <f t="shared" si="92"/>
        <v>507045.42697177117</v>
      </c>
      <c r="E99" s="82">
        <f t="shared" si="92"/>
        <v>565936.73050679814</v>
      </c>
      <c r="F99" s="82">
        <f t="shared" si="92"/>
        <v>527861.16213164025</v>
      </c>
      <c r="G99" s="82">
        <f t="shared" si="92"/>
        <v>516493.16120039887</v>
      </c>
      <c r="H99" s="82">
        <f t="shared" si="92"/>
        <v>513563.10765681515</v>
      </c>
      <c r="I99" s="82">
        <f t="shared" si="92"/>
        <v>509996.25787602575</v>
      </c>
      <c r="J99" s="82">
        <f t="shared" si="92"/>
        <v>531851.79297490639</v>
      </c>
      <c r="K99" s="82">
        <f t="shared" si="92"/>
        <v>514638.06264455168</v>
      </c>
      <c r="L99" s="82">
        <f t="shared" si="92"/>
        <v>578063.52027359186</v>
      </c>
      <c r="M99" s="82">
        <f t="shared" si="92"/>
        <v>455595.83831404668</v>
      </c>
      <c r="N99" s="82">
        <f t="shared" si="92"/>
        <v>505815.39421166986</v>
      </c>
      <c r="O99" s="82">
        <f t="shared" si="92"/>
        <v>515838.6653653431</v>
      </c>
      <c r="P99" s="82">
        <f t="shared" si="92"/>
        <v>445407.35881030932</v>
      </c>
      <c r="Q99" s="82">
        <f t="shared" si="92"/>
        <v>490250.6037554447</v>
      </c>
      <c r="R99" s="82">
        <f t="shared" si="92"/>
        <v>483756.20129486057</v>
      </c>
      <c r="S99" s="82">
        <f t="shared" si="92"/>
        <v>532294.07594003738</v>
      </c>
      <c r="T99" s="82">
        <f t="shared" si="92"/>
        <v>535016.91862809053</v>
      </c>
      <c r="U99" s="82">
        <f t="shared" si="92"/>
        <v>590671.12336874742</v>
      </c>
      <c r="V99" s="82">
        <f t="shared" si="92"/>
        <v>553099.75328248378</v>
      </c>
      <c r="W99" s="82">
        <f t="shared" si="92"/>
        <v>605621.18584590696</v>
      </c>
      <c r="X99" s="82">
        <f t="shared" ref="X99:Y99" si="93">X47*11630*1000/X$8</f>
        <v>478281.24676131445</v>
      </c>
      <c r="Y99" s="82">
        <f t="shared" si="93"/>
        <v>460371.62596375355</v>
      </c>
      <c r="DA99" s="107"/>
    </row>
    <row r="100" spans="1:105" ht="12" customHeight="1" x14ac:dyDescent="0.25">
      <c r="A100" s="77" t="s">
        <v>36</v>
      </c>
      <c r="B100" s="64">
        <f t="shared" si="91"/>
        <v>471307.10909721372</v>
      </c>
      <c r="C100" s="64">
        <f t="shared" ref="C100:W100" si="94">C48*11630*1000/C$8</f>
        <v>477374.45159181242</v>
      </c>
      <c r="D100" s="64">
        <f t="shared" si="94"/>
        <v>434859.9938742746</v>
      </c>
      <c r="E100" s="64">
        <f t="shared" si="94"/>
        <v>490918.71110351174</v>
      </c>
      <c r="F100" s="64">
        <f t="shared" si="94"/>
        <v>450040.62702694384</v>
      </c>
      <c r="G100" s="64">
        <f t="shared" si="94"/>
        <v>436234.64499739971</v>
      </c>
      <c r="H100" s="64">
        <f t="shared" si="94"/>
        <v>431278.239838876</v>
      </c>
      <c r="I100" s="64">
        <f t="shared" si="94"/>
        <v>425892.99721674895</v>
      </c>
      <c r="J100" s="64">
        <f t="shared" si="94"/>
        <v>445786.17413277732</v>
      </c>
      <c r="K100" s="64">
        <f t="shared" si="94"/>
        <v>426757.61860588664</v>
      </c>
      <c r="L100" s="64">
        <f t="shared" si="94"/>
        <v>488404.71053287096</v>
      </c>
      <c r="M100" s="64">
        <f t="shared" si="94"/>
        <v>364480.77064827766</v>
      </c>
      <c r="N100" s="64">
        <f t="shared" si="94"/>
        <v>414555.46725707204</v>
      </c>
      <c r="O100" s="64">
        <f t="shared" si="94"/>
        <v>425114.15068874782</v>
      </c>
      <c r="P100" s="64">
        <f t="shared" si="94"/>
        <v>355448.66522719275</v>
      </c>
      <c r="Q100" s="64">
        <f t="shared" si="94"/>
        <v>400869.83143925219</v>
      </c>
      <c r="R100" s="64">
        <f t="shared" si="94"/>
        <v>395521.01860859618</v>
      </c>
      <c r="S100" s="64">
        <f t="shared" si="94"/>
        <v>445137.99781543342</v>
      </c>
      <c r="T100" s="64">
        <f t="shared" si="94"/>
        <v>449526.03559449915</v>
      </c>
      <c r="U100" s="64">
        <f t="shared" si="94"/>
        <v>506905.28575964336</v>
      </c>
      <c r="V100" s="64">
        <f t="shared" si="94"/>
        <v>472727.11854249827</v>
      </c>
      <c r="W100" s="64">
        <f t="shared" si="94"/>
        <v>524825.47531779564</v>
      </c>
      <c r="X100" s="64">
        <f t="shared" ref="X100:Y100" si="95">X48*11630*1000/X$8</f>
        <v>399216.81935264374</v>
      </c>
      <c r="Y100" s="64">
        <f t="shared" si="95"/>
        <v>382901.44969603198</v>
      </c>
      <c r="DA100" s="108"/>
    </row>
    <row r="101" spans="1:105" ht="12" customHeight="1" x14ac:dyDescent="0.25">
      <c r="A101" s="61" t="s">
        <v>32</v>
      </c>
      <c r="B101" s="65">
        <f t="shared" si="91"/>
        <v>376224.41256068071</v>
      </c>
      <c r="C101" s="65">
        <f t="shared" ref="C101:W101" si="96">C49*11630*1000/C$8</f>
        <v>379205.9103752579</v>
      </c>
      <c r="D101" s="65">
        <f t="shared" si="96"/>
        <v>337403.84021287685</v>
      </c>
      <c r="E101" s="65">
        <f t="shared" si="96"/>
        <v>393598.69918729214</v>
      </c>
      <c r="F101" s="65">
        <f t="shared" si="96"/>
        <v>354166.6981090983</v>
      </c>
      <c r="G101" s="65">
        <f t="shared" si="96"/>
        <v>340053.06188933272</v>
      </c>
      <c r="H101" s="65">
        <f t="shared" si="96"/>
        <v>334468.11314492003</v>
      </c>
      <c r="I101" s="65">
        <f t="shared" si="96"/>
        <v>329543.02333098574</v>
      </c>
      <c r="J101" s="65">
        <f t="shared" si="96"/>
        <v>348855.13415456604</v>
      </c>
      <c r="K101" s="65">
        <f t="shared" si="96"/>
        <v>326686.74540594412</v>
      </c>
      <c r="L101" s="65">
        <f t="shared" si="96"/>
        <v>386643.83284197154</v>
      </c>
      <c r="M101" s="65">
        <f t="shared" si="96"/>
        <v>264711.18547282903</v>
      </c>
      <c r="N101" s="65">
        <f t="shared" si="96"/>
        <v>314105.74716380506</v>
      </c>
      <c r="O101" s="65">
        <f t="shared" si="96"/>
        <v>324884.17719237815</v>
      </c>
      <c r="P101" s="65">
        <f t="shared" si="96"/>
        <v>255440.99914567388</v>
      </c>
      <c r="Q101" s="65">
        <f t="shared" si="96"/>
        <v>299830.49438315193</v>
      </c>
      <c r="R101" s="65">
        <f t="shared" si="96"/>
        <v>296252.88259150804</v>
      </c>
      <c r="S101" s="65">
        <f t="shared" si="96"/>
        <v>346247.28399718477</v>
      </c>
      <c r="T101" s="65">
        <f t="shared" si="96"/>
        <v>350915.90643286594</v>
      </c>
      <c r="U101" s="65">
        <f t="shared" si="96"/>
        <v>408372.76530314854</v>
      </c>
      <c r="V101" s="65">
        <f t="shared" si="96"/>
        <v>384595.6516054325</v>
      </c>
      <c r="W101" s="65">
        <f t="shared" si="96"/>
        <v>429263.14620972768</v>
      </c>
      <c r="X101" s="65">
        <f t="shared" ref="X101:Y101" si="97">X49*11630*1000/X$8</f>
        <v>303971.05650794093</v>
      </c>
      <c r="Y101" s="65">
        <f t="shared" si="97"/>
        <v>286221.87275060226</v>
      </c>
      <c r="DA101" s="109"/>
    </row>
    <row r="102" spans="1:105" ht="12" customHeight="1" x14ac:dyDescent="0.25">
      <c r="A102" s="61" t="s">
        <v>31</v>
      </c>
      <c r="B102" s="65">
        <f t="shared" si="91"/>
        <v>1697.1316088317501</v>
      </c>
      <c r="C102" s="65">
        <f t="shared" ref="C102:W102" si="98">C50*11630*1000/C$8</f>
        <v>2024.2709858332264</v>
      </c>
      <c r="D102" s="65">
        <f t="shared" si="98"/>
        <v>2426.1845220688733</v>
      </c>
      <c r="E102" s="65">
        <f t="shared" si="98"/>
        <v>3366.0576946263222</v>
      </c>
      <c r="F102" s="65">
        <f t="shared" si="98"/>
        <v>2849.7763753098025</v>
      </c>
      <c r="G102" s="65">
        <f t="shared" si="98"/>
        <v>3400.1760976743221</v>
      </c>
      <c r="H102" s="65">
        <f t="shared" si="98"/>
        <v>4356.5434220735033</v>
      </c>
      <c r="I102" s="65">
        <f t="shared" si="98"/>
        <v>4065.4111461880689</v>
      </c>
      <c r="J102" s="65">
        <f t="shared" si="98"/>
        <v>4358.6756289659597</v>
      </c>
      <c r="K102" s="65">
        <f t="shared" si="98"/>
        <v>4740.2791136562364</v>
      </c>
      <c r="L102" s="65">
        <f t="shared" si="98"/>
        <v>5307.3023355344094</v>
      </c>
      <c r="M102" s="65">
        <f t="shared" si="98"/>
        <v>5128.2433429515331</v>
      </c>
      <c r="N102" s="65">
        <f t="shared" si="98"/>
        <v>5344.7293874136203</v>
      </c>
      <c r="O102" s="65">
        <f t="shared" si="98"/>
        <v>5397.2227361442638</v>
      </c>
      <c r="P102" s="65">
        <f t="shared" si="98"/>
        <v>5170.6266177877378</v>
      </c>
      <c r="Q102" s="65">
        <f t="shared" si="98"/>
        <v>5778.516905794384</v>
      </c>
      <c r="R102" s="65">
        <f t="shared" si="98"/>
        <v>5166.321831584436</v>
      </c>
      <c r="S102" s="65">
        <f t="shared" si="98"/>
        <v>5107.387997610329</v>
      </c>
      <c r="T102" s="65">
        <f t="shared" si="98"/>
        <v>5722.6417277950468</v>
      </c>
      <c r="U102" s="65">
        <f t="shared" si="98"/>
        <v>5687.5452997897937</v>
      </c>
      <c r="V102" s="65">
        <f t="shared" si="98"/>
        <v>5516.2751121228466</v>
      </c>
      <c r="W102" s="65">
        <f t="shared" si="98"/>
        <v>4736.973281820724</v>
      </c>
      <c r="X102" s="65">
        <f t="shared" ref="X102:Y102" si="99">X50*11630*1000/X$8</f>
        <v>4941.9505211445612</v>
      </c>
      <c r="Y102" s="65">
        <f t="shared" si="99"/>
        <v>4659.588672452388</v>
      </c>
      <c r="DA102" s="109"/>
    </row>
    <row r="103" spans="1:105" ht="12" customHeight="1" x14ac:dyDescent="0.25">
      <c r="A103" s="61" t="s">
        <v>35</v>
      </c>
      <c r="B103" s="65">
        <f t="shared" si="91"/>
        <v>46189.901241146566</v>
      </c>
      <c r="C103" s="65">
        <f t="shared" ref="C103:W103" si="100">C51*11630*1000/C$8</f>
        <v>46520.168310746718</v>
      </c>
      <c r="D103" s="65">
        <f t="shared" si="100"/>
        <v>45736.993293191757</v>
      </c>
      <c r="E103" s="65">
        <f t="shared" si="100"/>
        <v>44736.394055053017</v>
      </c>
      <c r="F103" s="65">
        <f t="shared" si="100"/>
        <v>43804.783590862033</v>
      </c>
      <c r="G103" s="65">
        <f t="shared" si="100"/>
        <v>43410.521042074892</v>
      </c>
      <c r="H103" s="65">
        <f t="shared" si="100"/>
        <v>42286.907450192077</v>
      </c>
      <c r="I103" s="65">
        <f t="shared" si="100"/>
        <v>42304.591480507952</v>
      </c>
      <c r="J103" s="65">
        <f t="shared" si="100"/>
        <v>42299.291978055182</v>
      </c>
      <c r="K103" s="65">
        <f t="shared" si="100"/>
        <v>42314.10571361956</v>
      </c>
      <c r="L103" s="65">
        <f t="shared" si="100"/>
        <v>42832.93035619225</v>
      </c>
      <c r="M103" s="65">
        <f t="shared" si="100"/>
        <v>41011.131508199622</v>
      </c>
      <c r="N103" s="65">
        <f t="shared" si="100"/>
        <v>41244.671145947468</v>
      </c>
      <c r="O103" s="65">
        <f t="shared" si="100"/>
        <v>41245.178604489229</v>
      </c>
      <c r="P103" s="65">
        <f t="shared" si="100"/>
        <v>41950.239890421355</v>
      </c>
      <c r="Q103" s="65">
        <f t="shared" si="100"/>
        <v>41993.57275537165</v>
      </c>
      <c r="R103" s="65">
        <f t="shared" si="100"/>
        <v>40974.391054966931</v>
      </c>
      <c r="S103" s="65">
        <f t="shared" si="100"/>
        <v>41347.012565915596</v>
      </c>
      <c r="T103" s="65">
        <f t="shared" si="100"/>
        <v>40806.412244781299</v>
      </c>
      <c r="U103" s="65">
        <f t="shared" si="100"/>
        <v>40136.182682631334</v>
      </c>
      <c r="V103" s="65">
        <f t="shared" si="100"/>
        <v>34875.681842126025</v>
      </c>
      <c r="W103" s="65">
        <f t="shared" si="100"/>
        <v>36602.503103217852</v>
      </c>
      <c r="X103" s="65">
        <f t="shared" ref="X103:Y103" si="101">X51*11630*1000/X$8</f>
        <v>37336.354536617953</v>
      </c>
      <c r="Y103" s="65">
        <f t="shared" si="101"/>
        <v>37554.928458307921</v>
      </c>
      <c r="DA103" s="109"/>
    </row>
    <row r="104" spans="1:105" ht="12" customHeight="1" x14ac:dyDescent="0.25">
      <c r="A104" s="66" t="s">
        <v>34</v>
      </c>
      <c r="B104" s="67">
        <f t="shared" si="91"/>
        <v>47195.663686554639</v>
      </c>
      <c r="C104" s="67">
        <f t="shared" ref="C104:W104" si="102">C52*11630*1000/C$8</f>
        <v>49624.101919974615</v>
      </c>
      <c r="D104" s="67">
        <f t="shared" si="102"/>
        <v>49292.97584613724</v>
      </c>
      <c r="E104" s="67">
        <f t="shared" si="102"/>
        <v>49217.560166540199</v>
      </c>
      <c r="F104" s="67">
        <f t="shared" si="102"/>
        <v>49219.36895167375</v>
      </c>
      <c r="G104" s="67">
        <f t="shared" si="102"/>
        <v>49370.885968317867</v>
      </c>
      <c r="H104" s="67">
        <f t="shared" si="102"/>
        <v>50166.675821690456</v>
      </c>
      <c r="I104" s="67">
        <f t="shared" si="102"/>
        <v>49979.971259067141</v>
      </c>
      <c r="J104" s="67">
        <f t="shared" si="102"/>
        <v>50273.072371190108</v>
      </c>
      <c r="K104" s="67">
        <f t="shared" si="102"/>
        <v>53016.488372666754</v>
      </c>
      <c r="L104" s="67">
        <f t="shared" si="102"/>
        <v>53620.644999172779</v>
      </c>
      <c r="M104" s="67">
        <f t="shared" si="102"/>
        <v>53630.210324297426</v>
      </c>
      <c r="N104" s="67">
        <f t="shared" si="102"/>
        <v>53860.319559905962</v>
      </c>
      <c r="O104" s="67">
        <f t="shared" si="102"/>
        <v>53587.572155736241</v>
      </c>
      <c r="P104" s="67">
        <f t="shared" si="102"/>
        <v>52886.799573309814</v>
      </c>
      <c r="Q104" s="67">
        <f t="shared" si="102"/>
        <v>53267.247394934231</v>
      </c>
      <c r="R104" s="67">
        <f t="shared" si="102"/>
        <v>53127.42313053675</v>
      </c>
      <c r="S104" s="67">
        <f t="shared" si="102"/>
        <v>52436.313254722714</v>
      </c>
      <c r="T104" s="67">
        <f t="shared" si="102"/>
        <v>52081.075189056901</v>
      </c>
      <c r="U104" s="67">
        <f t="shared" si="102"/>
        <v>52708.792474073591</v>
      </c>
      <c r="V104" s="67">
        <f t="shared" si="102"/>
        <v>47739.50998281678</v>
      </c>
      <c r="W104" s="67">
        <f t="shared" si="102"/>
        <v>54222.85272302934</v>
      </c>
      <c r="X104" s="67">
        <f t="shared" ref="X104:Y104" si="103">X52*11630*1000/X$8</f>
        <v>52967.4577869403</v>
      </c>
      <c r="Y104" s="67">
        <f t="shared" si="103"/>
        <v>54465.059814669461</v>
      </c>
      <c r="DA104" s="110"/>
    </row>
    <row r="105" spans="1:105" ht="12" customHeight="1" x14ac:dyDescent="0.25">
      <c r="A105" s="78" t="s">
        <v>33</v>
      </c>
      <c r="B105" s="68">
        <f t="shared" si="91"/>
        <v>66526.76526785428</v>
      </c>
      <c r="C105" s="68">
        <f t="shared" ref="C105:W105" si="104">C53*11630*1000/C$8</f>
        <v>69467.60347076504</v>
      </c>
      <c r="D105" s="68">
        <f t="shared" si="104"/>
        <v>72185.433097496512</v>
      </c>
      <c r="E105" s="68">
        <f t="shared" si="104"/>
        <v>75018.019403286336</v>
      </c>
      <c r="F105" s="68">
        <f t="shared" si="104"/>
        <v>77820.535104696304</v>
      </c>
      <c r="G105" s="68">
        <f t="shared" si="104"/>
        <v>80258.516202999162</v>
      </c>
      <c r="H105" s="68">
        <f t="shared" si="104"/>
        <v>82284.867817939172</v>
      </c>
      <c r="I105" s="68">
        <f t="shared" si="104"/>
        <v>84103.260659276828</v>
      </c>
      <c r="J105" s="68">
        <f t="shared" si="104"/>
        <v>86065.618842129057</v>
      </c>
      <c r="K105" s="68">
        <f t="shared" si="104"/>
        <v>87880.444038665039</v>
      </c>
      <c r="L105" s="68">
        <f t="shared" si="104"/>
        <v>89658.809740720841</v>
      </c>
      <c r="M105" s="68">
        <f t="shared" si="104"/>
        <v>91115.067665769035</v>
      </c>
      <c r="N105" s="68">
        <f t="shared" si="104"/>
        <v>91259.926954597773</v>
      </c>
      <c r="O105" s="68">
        <f t="shared" si="104"/>
        <v>90724.514676595267</v>
      </c>
      <c r="P105" s="68">
        <f t="shared" si="104"/>
        <v>89958.693583116561</v>
      </c>
      <c r="Q105" s="68">
        <f t="shared" si="104"/>
        <v>89380.772316192495</v>
      </c>
      <c r="R105" s="68">
        <f t="shared" si="104"/>
        <v>88235.18268626435</v>
      </c>
      <c r="S105" s="68">
        <f t="shared" si="104"/>
        <v>87156.078124603868</v>
      </c>
      <c r="T105" s="68">
        <f t="shared" si="104"/>
        <v>85490.883033591337</v>
      </c>
      <c r="U105" s="68">
        <f t="shared" si="104"/>
        <v>83765.83760910407</v>
      </c>
      <c r="V105" s="68">
        <f t="shared" si="104"/>
        <v>80372.634739985559</v>
      </c>
      <c r="W105" s="68">
        <f t="shared" si="104"/>
        <v>80795.710528111333</v>
      </c>
      <c r="X105" s="68">
        <f t="shared" ref="X105:Y105" si="105">X53*11630*1000/X$8</f>
        <v>79064.427408670701</v>
      </c>
      <c r="Y105" s="68">
        <f t="shared" si="105"/>
        <v>77470.176267721501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276906.91257720737</v>
      </c>
      <c r="C107" s="85">
        <f t="shared" ref="C107:W107" si="107">SUM(C108:C111)</f>
        <v>289722.32052305737</v>
      </c>
      <c r="D107" s="85">
        <f t="shared" si="107"/>
        <v>263982.63278770685</v>
      </c>
      <c r="E107" s="85">
        <f t="shared" si="107"/>
        <v>312871.38557557174</v>
      </c>
      <c r="F107" s="85">
        <f t="shared" si="107"/>
        <v>289028.39214682142</v>
      </c>
      <c r="G107" s="85">
        <f t="shared" si="107"/>
        <v>288329.4062112851</v>
      </c>
      <c r="H107" s="85">
        <f t="shared" si="107"/>
        <v>291485.4327197118</v>
      </c>
      <c r="I107" s="85">
        <f t="shared" si="107"/>
        <v>293267.25540761952</v>
      </c>
      <c r="J107" s="85">
        <f t="shared" si="107"/>
        <v>309300.52454662084</v>
      </c>
      <c r="K107" s="85">
        <f t="shared" si="107"/>
        <v>295514.30130258005</v>
      </c>
      <c r="L107" s="85">
        <f t="shared" si="107"/>
        <v>337033.34691097465</v>
      </c>
      <c r="M107" s="85">
        <f t="shared" si="107"/>
        <v>267801.07891952532</v>
      </c>
      <c r="N107" s="85">
        <f t="shared" si="107"/>
        <v>300416.6622642125</v>
      </c>
      <c r="O107" s="85">
        <f t="shared" si="107"/>
        <v>312107.63880746241</v>
      </c>
      <c r="P107" s="85">
        <f t="shared" si="107"/>
        <v>263668.74315803009</v>
      </c>
      <c r="Q107" s="85">
        <f t="shared" si="107"/>
        <v>297596.62907353119</v>
      </c>
      <c r="R107" s="85">
        <f t="shared" si="107"/>
        <v>292997.74783373205</v>
      </c>
      <c r="S107" s="85">
        <f t="shared" si="107"/>
        <v>335035.6094473378</v>
      </c>
      <c r="T107" s="85">
        <f t="shared" si="107"/>
        <v>343293.84312475473</v>
      </c>
      <c r="U107" s="85">
        <f t="shared" si="107"/>
        <v>388322.1615507871</v>
      </c>
      <c r="V107" s="85">
        <f t="shared" si="107"/>
        <v>374803.94918271102</v>
      </c>
      <c r="W107" s="85">
        <f t="shared" si="107"/>
        <v>414251.16079582402</v>
      </c>
      <c r="X107" s="85">
        <f t="shared" ref="X107:Y107" si="108">SUM(X108:X111)</f>
        <v>325697.39148330584</v>
      </c>
      <c r="Y107" s="85">
        <f t="shared" si="108"/>
        <v>316232.97717651556</v>
      </c>
      <c r="DA107" s="117"/>
    </row>
    <row r="108" spans="1:105" ht="12" customHeight="1" x14ac:dyDescent="0.25">
      <c r="A108" s="61" t="s">
        <v>32</v>
      </c>
      <c r="B108" s="65">
        <v>213500.18073113979</v>
      </c>
      <c r="C108" s="65">
        <v>224333.22062088444</v>
      </c>
      <c r="D108" s="65">
        <v>196642.11588269341</v>
      </c>
      <c r="E108" s="65">
        <v>242311.69264149218</v>
      </c>
      <c r="F108" s="65">
        <v>219379.36515273346</v>
      </c>
      <c r="G108" s="65">
        <v>216520.93928322065</v>
      </c>
      <c r="H108" s="65">
        <v>216320.97772814095</v>
      </c>
      <c r="I108" s="65">
        <v>217925.81976791064</v>
      </c>
      <c r="J108" s="65">
        <v>231870.67109873038</v>
      </c>
      <c r="K108" s="65">
        <v>215860.82381217103</v>
      </c>
      <c r="L108" s="65">
        <v>254675.2308693236</v>
      </c>
      <c r="M108" s="65">
        <v>186037.98296418096</v>
      </c>
      <c r="N108" s="65">
        <v>216659.8612502999</v>
      </c>
      <c r="O108" s="65">
        <v>227060.27648588884</v>
      </c>
      <c r="P108" s="65">
        <v>178020.63583844254</v>
      </c>
      <c r="Q108" s="65">
        <v>208395.4412648064</v>
      </c>
      <c r="R108" s="65">
        <v>205780.08834164374</v>
      </c>
      <c r="S108" s="65">
        <v>246368.73566169015</v>
      </c>
      <c r="T108" s="65">
        <v>251295.0517242777</v>
      </c>
      <c r="U108" s="65">
        <v>295274.68223131262</v>
      </c>
      <c r="V108" s="65">
        <v>288113.13646700443</v>
      </c>
      <c r="W108" s="65">
        <v>324570.98497441987</v>
      </c>
      <c r="X108" s="65">
        <v>234284.30357726422</v>
      </c>
      <c r="Y108" s="65">
        <v>223989.11733353816</v>
      </c>
      <c r="DA108" s="109"/>
    </row>
    <row r="109" spans="1:105" ht="12" customHeight="1" x14ac:dyDescent="0.25">
      <c r="A109" s="61" t="s">
        <v>31</v>
      </c>
      <c r="B109" s="65">
        <v>3153.3911291177255</v>
      </c>
      <c r="C109" s="65">
        <v>4058.9907009240246</v>
      </c>
      <c r="D109" s="65">
        <v>5213.7055629987044</v>
      </c>
      <c r="E109" s="65">
        <v>7598.6866311563945</v>
      </c>
      <c r="F109" s="65">
        <v>6752.599839713419</v>
      </c>
      <c r="G109" s="65">
        <v>8531.1176622576168</v>
      </c>
      <c r="H109" s="65">
        <v>11421.198631078307</v>
      </c>
      <c r="I109" s="65">
        <v>11167.391996124907</v>
      </c>
      <c r="J109" s="65">
        <v>12509.402760282834</v>
      </c>
      <c r="K109" s="65">
        <v>13921.010472446213</v>
      </c>
      <c r="L109" s="65">
        <v>16073.505110743297</v>
      </c>
      <c r="M109" s="65">
        <v>16120.435925222509</v>
      </c>
      <c r="N109" s="65">
        <v>17406.570225341999</v>
      </c>
      <c r="O109" s="65">
        <v>18127.522011288307</v>
      </c>
      <c r="P109" s="65">
        <v>17950.290989325636</v>
      </c>
      <c r="Q109" s="65">
        <v>20783.236119628604</v>
      </c>
      <c r="R109" s="65">
        <v>19049.9502677493</v>
      </c>
      <c r="S109" s="65">
        <v>19413.973848130929</v>
      </c>
      <c r="T109" s="65">
        <v>22497.197190144958</v>
      </c>
      <c r="U109" s="65">
        <v>22873.082395016751</v>
      </c>
      <c r="V109" s="65">
        <v>22607.528066077153</v>
      </c>
      <c r="W109" s="65">
        <v>19567.872163480763</v>
      </c>
      <c r="X109" s="65">
        <v>20925.051706779563</v>
      </c>
      <c r="Y109" s="65">
        <v>19942.048848464463</v>
      </c>
      <c r="DA109" s="109"/>
    </row>
    <row r="110" spans="1:105" ht="12" customHeight="1" x14ac:dyDescent="0.25">
      <c r="A110" s="61" t="s">
        <v>35</v>
      </c>
      <c r="B110" s="65">
        <v>29040.383482390593</v>
      </c>
      <c r="C110" s="65">
        <v>29436.980332834253</v>
      </c>
      <c r="D110" s="65">
        <v>29339.93960873361</v>
      </c>
      <c r="E110" s="65">
        <v>29255.587031860701</v>
      </c>
      <c r="F110" s="65">
        <v>28823.717945943219</v>
      </c>
      <c r="G110" s="65">
        <v>28746.672621554972</v>
      </c>
      <c r="H110" s="65">
        <v>28572.655004154127</v>
      </c>
      <c r="I110" s="65">
        <v>28847.527856935252</v>
      </c>
      <c r="J110" s="65">
        <v>29062.527627218587</v>
      </c>
      <c r="K110" s="65">
        <v>29343.720119984355</v>
      </c>
      <c r="L110" s="65">
        <v>29398.615097949121</v>
      </c>
      <c r="M110" s="65">
        <v>28716.733681494523</v>
      </c>
      <c r="N110" s="65">
        <v>28998.015297676458</v>
      </c>
      <c r="O110" s="65">
        <v>29378.970634478454</v>
      </c>
      <c r="P110" s="65">
        <v>29958.586692479603</v>
      </c>
      <c r="Q110" s="65">
        <v>30172.644477700902</v>
      </c>
      <c r="R110" s="65">
        <v>29771.748309594532</v>
      </c>
      <c r="S110" s="65">
        <v>30520.386414613029</v>
      </c>
      <c r="T110" s="65">
        <v>30413.16460833836</v>
      </c>
      <c r="U110" s="65">
        <v>30381.695494462612</v>
      </c>
      <c r="V110" s="65">
        <v>27160.809190016895</v>
      </c>
      <c r="W110" s="65">
        <v>28620.776069252664</v>
      </c>
      <c r="X110" s="65">
        <v>30081.489845401018</v>
      </c>
      <c r="Y110" s="65">
        <v>30909.415188906161</v>
      </c>
      <c r="DA110" s="109"/>
    </row>
    <row r="111" spans="1:105" ht="12" customHeight="1" x14ac:dyDescent="0.25">
      <c r="A111" s="74" t="s">
        <v>34</v>
      </c>
      <c r="B111" s="68">
        <v>31212.957234559311</v>
      </c>
      <c r="C111" s="68">
        <v>31893.128868414671</v>
      </c>
      <c r="D111" s="68">
        <v>32786.871733281136</v>
      </c>
      <c r="E111" s="68">
        <v>33705.419271062499</v>
      </c>
      <c r="F111" s="68">
        <v>34072.709208431334</v>
      </c>
      <c r="G111" s="68">
        <v>34530.676644251856</v>
      </c>
      <c r="H111" s="68">
        <v>35170.601356338411</v>
      </c>
      <c r="I111" s="68">
        <v>35326.515786648713</v>
      </c>
      <c r="J111" s="68">
        <v>35857.923060389076</v>
      </c>
      <c r="K111" s="68">
        <v>36388.746897978446</v>
      </c>
      <c r="L111" s="68">
        <v>36885.995832958652</v>
      </c>
      <c r="M111" s="68">
        <v>36925.926348627327</v>
      </c>
      <c r="N111" s="68">
        <v>37352.215490894159</v>
      </c>
      <c r="O111" s="68">
        <v>37540.86967580684</v>
      </c>
      <c r="P111" s="68">
        <v>37739.229637782308</v>
      </c>
      <c r="Q111" s="68">
        <v>38245.307211395302</v>
      </c>
      <c r="R111" s="68">
        <v>38395.960914744472</v>
      </c>
      <c r="S111" s="68">
        <v>38732.513522903639</v>
      </c>
      <c r="T111" s="68">
        <v>39088.429601993732</v>
      </c>
      <c r="U111" s="68">
        <v>39792.701429995112</v>
      </c>
      <c r="V111" s="68">
        <v>36922.475459612542</v>
      </c>
      <c r="W111" s="68">
        <v>41491.527588670717</v>
      </c>
      <c r="X111" s="68">
        <v>40406.546353861035</v>
      </c>
      <c r="Y111" s="68">
        <v>41392.395805606771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69051.166870685498</v>
      </c>
      <c r="C113" s="82">
        <f t="shared" ref="C113:W113" si="110">C81*1000000/C$8</f>
        <v>63777.221086460057</v>
      </c>
      <c r="D113" s="82">
        <f t="shared" si="110"/>
        <v>62425.547886075008</v>
      </c>
      <c r="E113" s="82">
        <f t="shared" si="110"/>
        <v>60965.804540918063</v>
      </c>
      <c r="F113" s="82">
        <f t="shared" si="110"/>
        <v>55945.682729106535</v>
      </c>
      <c r="G113" s="82">
        <f t="shared" si="110"/>
        <v>49318.222058998785</v>
      </c>
      <c r="H113" s="82">
        <f t="shared" si="110"/>
        <v>46193.893413820573</v>
      </c>
      <c r="I113" s="82">
        <f t="shared" si="110"/>
        <v>40768.235740359429</v>
      </c>
      <c r="J113" s="82">
        <f t="shared" si="110"/>
        <v>43890.224512770867</v>
      </c>
      <c r="K113" s="82">
        <f t="shared" si="110"/>
        <v>46106.229907157991</v>
      </c>
      <c r="L113" s="82">
        <f t="shared" si="110"/>
        <v>58034.558779980565</v>
      </c>
      <c r="M113" s="82">
        <f t="shared" si="110"/>
        <v>34599.150754514754</v>
      </c>
      <c r="N113" s="82">
        <f t="shared" si="110"/>
        <v>45630.572716575611</v>
      </c>
      <c r="O113" s="82">
        <f t="shared" si="110"/>
        <v>47705.331958348543</v>
      </c>
      <c r="P113" s="82">
        <f t="shared" si="110"/>
        <v>40646.491900718545</v>
      </c>
      <c r="Q113" s="82">
        <f t="shared" si="110"/>
        <v>50559.864686254587</v>
      </c>
      <c r="R113" s="82">
        <f t="shared" si="110"/>
        <v>52339.601459020836</v>
      </c>
      <c r="S113" s="82">
        <f t="shared" si="110"/>
        <v>54957.427368257966</v>
      </c>
      <c r="T113" s="82">
        <f t="shared" si="110"/>
        <v>56244.621320285463</v>
      </c>
      <c r="U113" s="82">
        <f t="shared" si="110"/>
        <v>64150.775505030913</v>
      </c>
      <c r="V113" s="82">
        <f t="shared" si="110"/>
        <v>52004.389808852269</v>
      </c>
      <c r="W113" s="82">
        <f t="shared" si="110"/>
        <v>58257.769717914409</v>
      </c>
      <c r="X113" s="82">
        <f t="shared" ref="X113:Y113" si="111">X81*1000000/X$8</f>
        <v>43756.482595610221</v>
      </c>
      <c r="Y113" s="82">
        <f t="shared" si="111"/>
        <v>41440.827995365769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69051.166870685498</v>
      </c>
      <c r="C114" s="64">
        <f t="shared" ref="C114:W114" si="113">C82*1000000/C$8</f>
        <v>63777.221086460057</v>
      </c>
      <c r="D114" s="64">
        <f t="shared" si="113"/>
        <v>62425.547886075008</v>
      </c>
      <c r="E114" s="64">
        <f t="shared" si="113"/>
        <v>60965.804540918063</v>
      </c>
      <c r="F114" s="64">
        <f t="shared" si="113"/>
        <v>55945.682729106535</v>
      </c>
      <c r="G114" s="64">
        <f t="shared" si="113"/>
        <v>49318.222058998785</v>
      </c>
      <c r="H114" s="64">
        <f t="shared" si="113"/>
        <v>46193.893413820573</v>
      </c>
      <c r="I114" s="64">
        <f t="shared" si="113"/>
        <v>40768.235740359429</v>
      </c>
      <c r="J114" s="64">
        <f t="shared" si="113"/>
        <v>43890.224512770867</v>
      </c>
      <c r="K114" s="64">
        <f t="shared" si="113"/>
        <v>46106.229907157991</v>
      </c>
      <c r="L114" s="64">
        <f t="shared" si="113"/>
        <v>58034.558779980565</v>
      </c>
      <c r="M114" s="64">
        <f t="shared" si="113"/>
        <v>34599.150754514754</v>
      </c>
      <c r="N114" s="64">
        <f t="shared" si="113"/>
        <v>45630.572716575611</v>
      </c>
      <c r="O114" s="64">
        <f t="shared" si="113"/>
        <v>47705.331958348543</v>
      </c>
      <c r="P114" s="64">
        <f t="shared" si="113"/>
        <v>40646.491900718545</v>
      </c>
      <c r="Q114" s="64">
        <f t="shared" si="113"/>
        <v>50559.864686254587</v>
      </c>
      <c r="R114" s="64">
        <f t="shared" si="113"/>
        <v>52339.601459020836</v>
      </c>
      <c r="S114" s="64">
        <f t="shared" si="113"/>
        <v>54957.427368257966</v>
      </c>
      <c r="T114" s="64">
        <f t="shared" si="113"/>
        <v>56244.621320285463</v>
      </c>
      <c r="U114" s="64">
        <f t="shared" si="113"/>
        <v>64150.775505030913</v>
      </c>
      <c r="V114" s="64">
        <f t="shared" si="113"/>
        <v>52004.389808852269</v>
      </c>
      <c r="W114" s="64">
        <f t="shared" si="113"/>
        <v>58257.769717914409</v>
      </c>
      <c r="X114" s="64">
        <f t="shared" ref="X114:Y114" si="114">X82*1000000/X$8</f>
        <v>43756.482595610221</v>
      </c>
      <c r="Y114" s="64">
        <f t="shared" si="114"/>
        <v>41440.827995365769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58449.174707580525</v>
      </c>
      <c r="C115" s="65">
        <f t="shared" ref="C115:W115" si="116">C83*1000000/C$8</f>
        <v>51716.512387463961</v>
      </c>
      <c r="D115" s="65">
        <f t="shared" si="116"/>
        <v>51579.518412147721</v>
      </c>
      <c r="E115" s="65">
        <f t="shared" si="116"/>
        <v>51037.769912506308</v>
      </c>
      <c r="F115" s="65">
        <f t="shared" si="116"/>
        <v>46431.522032151363</v>
      </c>
      <c r="G115" s="65">
        <f t="shared" si="116"/>
        <v>40233.534081837999</v>
      </c>
      <c r="H115" s="65">
        <f t="shared" si="116"/>
        <v>37834.572009347408</v>
      </c>
      <c r="I115" s="65">
        <f t="shared" si="116"/>
        <v>32844.248675802191</v>
      </c>
      <c r="J115" s="65">
        <f t="shared" si="116"/>
        <v>36226.653093429872</v>
      </c>
      <c r="K115" s="65">
        <f t="shared" si="116"/>
        <v>36571.203432906012</v>
      </c>
      <c r="L115" s="65">
        <f t="shared" si="116"/>
        <v>47561.223803238041</v>
      </c>
      <c r="M115" s="65">
        <f t="shared" si="116"/>
        <v>24825.88934151893</v>
      </c>
      <c r="N115" s="65">
        <f t="shared" si="116"/>
        <v>35637.050850365937</v>
      </c>
      <c r="O115" s="65">
        <f t="shared" si="116"/>
        <v>38045.633994419928</v>
      </c>
      <c r="P115" s="65">
        <f t="shared" si="116"/>
        <v>31452.5190764689</v>
      </c>
      <c r="Q115" s="65">
        <f t="shared" si="116"/>
        <v>41168.018414559665</v>
      </c>
      <c r="R115" s="65">
        <f t="shared" si="116"/>
        <v>43052.888326953107</v>
      </c>
      <c r="S115" s="65">
        <f t="shared" si="116"/>
        <v>46468.768914059496</v>
      </c>
      <c r="T115" s="65">
        <f t="shared" si="116"/>
        <v>48042.240246803573</v>
      </c>
      <c r="U115" s="65">
        <f t="shared" si="116"/>
        <v>55732.321335193199</v>
      </c>
      <c r="V115" s="65">
        <f t="shared" si="116"/>
        <v>45815.399387962891</v>
      </c>
      <c r="W115" s="65">
        <f t="shared" si="116"/>
        <v>50225.009316726355</v>
      </c>
      <c r="X115" s="65">
        <f t="shared" ref="X115:Y115" si="117">X83*1000000/X$8</f>
        <v>36222.760049715791</v>
      </c>
      <c r="Y115" s="65">
        <f t="shared" si="117"/>
        <v>33466.248719885305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2.1896914185919347</v>
      </c>
      <c r="C116" s="65">
        <f t="shared" ref="C116:W116" si="119">C84*1000000/C$8</f>
        <v>2.9819362232624322</v>
      </c>
      <c r="D116" s="65">
        <f t="shared" si="119"/>
        <v>4.5882226077844033</v>
      </c>
      <c r="E116" s="65">
        <f t="shared" si="119"/>
        <v>4.5955165666684339</v>
      </c>
      <c r="F116" s="65">
        <f t="shared" si="119"/>
        <v>7.0570506725183346</v>
      </c>
      <c r="G116" s="65">
        <f t="shared" si="119"/>
        <v>8.1905726947105268</v>
      </c>
      <c r="H116" s="65">
        <f t="shared" si="119"/>
        <v>11.444705997903775</v>
      </c>
      <c r="I116" s="65">
        <f t="shared" si="119"/>
        <v>14.029707414050957</v>
      </c>
      <c r="J116" s="65">
        <f t="shared" si="119"/>
        <v>15.573624481216104</v>
      </c>
      <c r="K116" s="65">
        <f t="shared" si="119"/>
        <v>21.140373131412876</v>
      </c>
      <c r="L116" s="65">
        <f t="shared" si="119"/>
        <v>20.747240230113285</v>
      </c>
      <c r="M116" s="65">
        <f t="shared" si="119"/>
        <v>22.051024926371028</v>
      </c>
      <c r="N116" s="65">
        <f t="shared" si="119"/>
        <v>24.85308209675625</v>
      </c>
      <c r="O116" s="65">
        <f t="shared" si="119"/>
        <v>29.696748528146784</v>
      </c>
      <c r="P116" s="65">
        <f t="shared" si="119"/>
        <v>38.328028776715563</v>
      </c>
      <c r="Q116" s="65">
        <f t="shared" si="119"/>
        <v>51.559460389077998</v>
      </c>
      <c r="R116" s="65">
        <f t="shared" si="119"/>
        <v>63.799681626423613</v>
      </c>
      <c r="S116" s="65">
        <f t="shared" si="119"/>
        <v>74.619341831169294</v>
      </c>
      <c r="T116" s="65">
        <f t="shared" si="119"/>
        <v>83.885584147391043</v>
      </c>
      <c r="U116" s="65">
        <f t="shared" si="119"/>
        <v>91.189816397694969</v>
      </c>
      <c r="V116" s="65">
        <f t="shared" si="119"/>
        <v>96.133255200993673</v>
      </c>
      <c r="W116" s="65">
        <f t="shared" si="119"/>
        <v>100.61268226393047</v>
      </c>
      <c r="X116" s="65">
        <f t="shared" ref="X116:Y116" si="120">X84*1000000/X$8</f>
        <v>91.948533576460591</v>
      </c>
      <c r="Y116" s="65">
        <f t="shared" si="120"/>
        <v>88.498009564818233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4453.7056292894604</v>
      </c>
      <c r="C117" s="65">
        <f t="shared" ref="C117:W117" si="122">C85*1000000/C$8</f>
        <v>4429.1729396016199</v>
      </c>
      <c r="D117" s="65">
        <f t="shared" si="122"/>
        <v>4511.0941062603615</v>
      </c>
      <c r="E117" s="65">
        <f t="shared" si="122"/>
        <v>4660.3231081712174</v>
      </c>
      <c r="F117" s="65">
        <f t="shared" si="122"/>
        <v>4587.4800032483427</v>
      </c>
      <c r="G117" s="65">
        <f t="shared" si="122"/>
        <v>4462.6848155426032</v>
      </c>
      <c r="H117" s="65">
        <f t="shared" si="122"/>
        <v>3685.0527920314798</v>
      </c>
      <c r="I117" s="65">
        <f t="shared" si="122"/>
        <v>3505.462560713785</v>
      </c>
      <c r="J117" s="65">
        <f t="shared" si="122"/>
        <v>3486.9421625050545</v>
      </c>
      <c r="K117" s="65">
        <f t="shared" si="122"/>
        <v>3344.9495801432672</v>
      </c>
      <c r="L117" s="65">
        <f t="shared" si="122"/>
        <v>4245.1611814075704</v>
      </c>
      <c r="M117" s="65">
        <f t="shared" si="122"/>
        <v>3576.0081442257488</v>
      </c>
      <c r="N117" s="65">
        <f t="shared" si="122"/>
        <v>3991.348611447112</v>
      </c>
      <c r="O117" s="65">
        <f t="shared" si="122"/>
        <v>3992.5655369847818</v>
      </c>
      <c r="P117" s="65">
        <f t="shared" si="122"/>
        <v>4216.2257733974111</v>
      </c>
      <c r="Q117" s="65">
        <f t="shared" si="122"/>
        <v>4465.1334096652854</v>
      </c>
      <c r="R117" s="65">
        <f t="shared" si="122"/>
        <v>4459.2768056197119</v>
      </c>
      <c r="S117" s="65">
        <f t="shared" si="122"/>
        <v>4384.2063149456417</v>
      </c>
      <c r="T117" s="65">
        <f t="shared" si="122"/>
        <v>4527.2192060301468</v>
      </c>
      <c r="U117" s="65">
        <f t="shared" si="122"/>
        <v>4646.3469741840518</v>
      </c>
      <c r="V117" s="65">
        <f t="shared" si="122"/>
        <v>3381.4176383901986</v>
      </c>
      <c r="W117" s="65">
        <f t="shared" si="122"/>
        <v>4180.6425475015503</v>
      </c>
      <c r="X117" s="65">
        <f t="shared" ref="X117:Y117" si="123">X85*1000000/X$8</f>
        <v>3549.1367374222496</v>
      </c>
      <c r="Y117" s="65">
        <f t="shared" si="123"/>
        <v>3430.3582570106723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6146.0968423969143</v>
      </c>
      <c r="C118" s="67">
        <f t="shared" ref="C118:W118" si="125">C86*1000000/C$8</f>
        <v>7628.5538231712026</v>
      </c>
      <c r="D118" s="67">
        <f t="shared" si="125"/>
        <v>6330.3471450591387</v>
      </c>
      <c r="E118" s="67">
        <f t="shared" si="125"/>
        <v>5263.1160036738665</v>
      </c>
      <c r="F118" s="67">
        <f t="shared" si="125"/>
        <v>4919.6236430343133</v>
      </c>
      <c r="G118" s="67">
        <f t="shared" si="125"/>
        <v>4613.8125889234761</v>
      </c>
      <c r="H118" s="67">
        <f t="shared" si="125"/>
        <v>4662.8239064437821</v>
      </c>
      <c r="I118" s="67">
        <f t="shared" si="125"/>
        <v>4404.4947964294097</v>
      </c>
      <c r="J118" s="67">
        <f t="shared" si="125"/>
        <v>4161.055632354728</v>
      </c>
      <c r="K118" s="67">
        <f t="shared" si="125"/>
        <v>6168.9365209772968</v>
      </c>
      <c r="L118" s="67">
        <f t="shared" si="125"/>
        <v>6207.4265551048375</v>
      </c>
      <c r="M118" s="67">
        <f t="shared" si="125"/>
        <v>6175.2022438437034</v>
      </c>
      <c r="N118" s="67">
        <f t="shared" si="125"/>
        <v>5977.3201726658035</v>
      </c>
      <c r="O118" s="67">
        <f t="shared" si="125"/>
        <v>5637.4356784156835</v>
      </c>
      <c r="P118" s="67">
        <f t="shared" si="125"/>
        <v>4939.4190220755218</v>
      </c>
      <c r="Q118" s="67">
        <f t="shared" si="125"/>
        <v>4875.153401640564</v>
      </c>
      <c r="R118" s="67">
        <f t="shared" si="125"/>
        <v>4763.6366448215867</v>
      </c>
      <c r="S118" s="67">
        <f t="shared" si="125"/>
        <v>4029.8327974216604</v>
      </c>
      <c r="T118" s="67">
        <f t="shared" si="125"/>
        <v>3591.2762833043598</v>
      </c>
      <c r="U118" s="67">
        <f t="shared" si="125"/>
        <v>3680.9173792559568</v>
      </c>
      <c r="V118" s="67">
        <f t="shared" si="125"/>
        <v>2711.4395272981797</v>
      </c>
      <c r="W118" s="67">
        <f t="shared" si="125"/>
        <v>3751.5051714225665</v>
      </c>
      <c r="X118" s="67">
        <f t="shared" ref="X118:Y118" si="126">X86*1000000/X$8</f>
        <v>3892.6372748957251</v>
      </c>
      <c r="Y118" s="67">
        <f t="shared" si="126"/>
        <v>4455.7230089049708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0.58752967488146124</v>
      </c>
      <c r="C121" s="86">
        <f t="shared" ref="C121:W121" si="131">IF(C107=0,"",C107/C100)</f>
        <v>0.60690788867517698</v>
      </c>
      <c r="D121" s="86">
        <f t="shared" si="131"/>
        <v>0.60705200870703391</v>
      </c>
      <c r="E121" s="86">
        <f t="shared" si="131"/>
        <v>0.63731811091959345</v>
      </c>
      <c r="F121" s="86">
        <f t="shared" si="131"/>
        <v>0.64222733413247457</v>
      </c>
      <c r="G121" s="86">
        <f t="shared" si="131"/>
        <v>0.66095026958027081</v>
      </c>
      <c r="H121" s="86">
        <f t="shared" si="131"/>
        <v>0.67586399172054146</v>
      </c>
      <c r="I121" s="86">
        <f t="shared" si="131"/>
        <v>0.68859374848647148</v>
      </c>
      <c r="J121" s="86">
        <f t="shared" si="131"/>
        <v>0.69383157777005378</v>
      </c>
      <c r="K121" s="86">
        <f t="shared" si="131"/>
        <v>0.69246403208442631</v>
      </c>
      <c r="L121" s="86">
        <f t="shared" si="131"/>
        <v>0.69006981227362951</v>
      </c>
      <c r="M121" s="86">
        <f t="shared" si="131"/>
        <v>0.73474679732268289</v>
      </c>
      <c r="N121" s="86">
        <f t="shared" si="131"/>
        <v>0.72467181352578725</v>
      </c>
      <c r="O121" s="86">
        <f t="shared" si="131"/>
        <v>0.73417372322657781</v>
      </c>
      <c r="P121" s="86">
        <f t="shared" si="131"/>
        <v>0.74179134415795456</v>
      </c>
      <c r="Q121" s="86">
        <f t="shared" si="131"/>
        <v>0.74237721508017496</v>
      </c>
      <c r="R121" s="86">
        <f t="shared" si="131"/>
        <v>0.74078932357240879</v>
      </c>
      <c r="S121" s="86">
        <f t="shared" si="131"/>
        <v>0.7526556058830387</v>
      </c>
      <c r="T121" s="86">
        <f t="shared" si="131"/>
        <v>0.76367955566966861</v>
      </c>
      <c r="U121" s="86">
        <f t="shared" si="131"/>
        <v>0.76606453406547392</v>
      </c>
      <c r="V121" s="86">
        <f t="shared" si="131"/>
        <v>0.79285476648409381</v>
      </c>
      <c r="W121" s="86">
        <f t="shared" si="131"/>
        <v>0.7893122195430472</v>
      </c>
      <c r="X121" s="86">
        <f t="shared" ref="X121:Y121" si="132">IF(X107=0,"",X107/X100)</f>
        <v>0.81584085563189823</v>
      </c>
      <c r="Y121" s="86">
        <f t="shared" si="132"/>
        <v>0.82588607963630989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0.56748093319623338</v>
      </c>
      <c r="C122" s="75">
        <f t="shared" ref="C122:W122" si="134">IF(C108=0,"",C108/C101)</f>
        <v>0.59158682521294781</v>
      </c>
      <c r="D122" s="75">
        <f t="shared" si="134"/>
        <v>0.582809359130669</v>
      </c>
      <c r="E122" s="75">
        <f t="shared" si="134"/>
        <v>0.61563133501665679</v>
      </c>
      <c r="F122" s="75">
        <f t="shared" si="134"/>
        <v>0.61942403485139463</v>
      </c>
      <c r="G122" s="75">
        <f t="shared" si="134"/>
        <v>0.63672692161697253</v>
      </c>
      <c r="H122" s="75">
        <f t="shared" si="134"/>
        <v>0.64676113873495711</v>
      </c>
      <c r="I122" s="75">
        <f t="shared" si="134"/>
        <v>0.66129702144848856</v>
      </c>
      <c r="J122" s="75">
        <f t="shared" si="134"/>
        <v>0.66466177045282138</v>
      </c>
      <c r="K122" s="75">
        <f t="shared" si="134"/>
        <v>0.66075782641239478</v>
      </c>
      <c r="L122" s="75">
        <f t="shared" si="134"/>
        <v>0.65868173558432019</v>
      </c>
      <c r="M122" s="75">
        <f t="shared" si="134"/>
        <v>0.70279607804210675</v>
      </c>
      <c r="N122" s="75">
        <f t="shared" si="134"/>
        <v>0.68976726216127637</v>
      </c>
      <c r="O122" s="75">
        <f t="shared" si="134"/>
        <v>0.69889607566648748</v>
      </c>
      <c r="P122" s="75">
        <f t="shared" si="134"/>
        <v>0.69691489006790275</v>
      </c>
      <c r="Q122" s="75">
        <f t="shared" si="134"/>
        <v>0.69504418385976074</v>
      </c>
      <c r="R122" s="75">
        <f t="shared" si="134"/>
        <v>0.69460957321852013</v>
      </c>
      <c r="S122" s="75">
        <f t="shared" si="134"/>
        <v>0.7115398359736832</v>
      </c>
      <c r="T122" s="75">
        <f t="shared" si="134"/>
        <v>0.71611188640248546</v>
      </c>
      <c r="U122" s="75">
        <f t="shared" si="134"/>
        <v>0.72305184703519709</v>
      </c>
      <c r="V122" s="75">
        <f t="shared" si="134"/>
        <v>0.7491325896804153</v>
      </c>
      <c r="W122" s="75">
        <f t="shared" si="134"/>
        <v>0.75611192770749125</v>
      </c>
      <c r="X122" s="75">
        <f t="shared" ref="X122:Y122" si="135">IF(X108=0,"",X108/X101)</f>
        <v>0.77074543303152876</v>
      </c>
      <c r="Y122" s="75">
        <f t="shared" si="135"/>
        <v>0.78257162941809744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1.8580710610230262</v>
      </c>
      <c r="C123" s="76">
        <f t="shared" ref="C123:W123" si="137">IF(C109=0,"",C109/C102)</f>
        <v>2.005161724556987</v>
      </c>
      <c r="D123" s="76">
        <f t="shared" si="137"/>
        <v>2.1489320023164753</v>
      </c>
      <c r="E123" s="76">
        <f t="shared" si="137"/>
        <v>2.2574439657665915</v>
      </c>
      <c r="F123" s="76">
        <f t="shared" si="137"/>
        <v>2.369519200951105</v>
      </c>
      <c r="G123" s="76">
        <f t="shared" si="137"/>
        <v>2.5090223027250835</v>
      </c>
      <c r="H123" s="76">
        <f t="shared" si="137"/>
        <v>2.6216193721862115</v>
      </c>
      <c r="I123" s="76">
        <f t="shared" si="137"/>
        <v>2.746928070632169</v>
      </c>
      <c r="J123" s="76">
        <f t="shared" si="137"/>
        <v>2.870000850063378</v>
      </c>
      <c r="K123" s="76">
        <f t="shared" si="137"/>
        <v>2.9367491108996666</v>
      </c>
      <c r="L123" s="76">
        <f t="shared" si="137"/>
        <v>3.028564060337219</v>
      </c>
      <c r="M123" s="76">
        <f t="shared" si="137"/>
        <v>3.1434615807338968</v>
      </c>
      <c r="N123" s="76">
        <f t="shared" si="137"/>
        <v>3.2567729745743499</v>
      </c>
      <c r="O123" s="76">
        <f t="shared" si="137"/>
        <v>3.3586759149092438</v>
      </c>
      <c r="P123" s="76">
        <f t="shared" si="137"/>
        <v>3.471589096682</v>
      </c>
      <c r="Q123" s="76">
        <f t="shared" si="137"/>
        <v>3.5966384555850825</v>
      </c>
      <c r="R123" s="76">
        <f t="shared" si="137"/>
        <v>3.6873332496026396</v>
      </c>
      <c r="S123" s="76">
        <f t="shared" si="137"/>
        <v>3.8011550830315688</v>
      </c>
      <c r="T123" s="76">
        <f t="shared" si="137"/>
        <v>3.9312608162896829</v>
      </c>
      <c r="U123" s="76">
        <f t="shared" si="137"/>
        <v>4.0216088293594989</v>
      </c>
      <c r="V123" s="76">
        <f t="shared" si="137"/>
        <v>4.0983322271932563</v>
      </c>
      <c r="W123" s="76">
        <f t="shared" si="137"/>
        <v>4.1308808387366645</v>
      </c>
      <c r="X123" s="76">
        <f t="shared" ref="X123:Y123" si="138">IF(X109=0,"",X109/X102)</f>
        <v>4.2341685974495142</v>
      </c>
      <c r="Y123" s="76">
        <f t="shared" si="138"/>
        <v>4.2797873911837723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0.62871715899061154</v>
      </c>
      <c r="C124" s="76">
        <f t="shared" ref="C124:W124" si="140">IF(C110=0,"",C110/C103)</f>
        <v>0.63277888713128227</v>
      </c>
      <c r="D124" s="76">
        <f t="shared" si="140"/>
        <v>0.6414925314537685</v>
      </c>
      <c r="E124" s="76">
        <f t="shared" si="140"/>
        <v>0.65395496552222132</v>
      </c>
      <c r="F124" s="76">
        <f t="shared" si="140"/>
        <v>0.65800388868844994</v>
      </c>
      <c r="G124" s="76">
        <f t="shared" si="140"/>
        <v>0.66220519660873822</v>
      </c>
      <c r="H124" s="76">
        <f t="shared" si="140"/>
        <v>0.67568561351545098</v>
      </c>
      <c r="I124" s="76">
        <f t="shared" si="140"/>
        <v>0.68190063648828503</v>
      </c>
      <c r="J124" s="76">
        <f t="shared" si="140"/>
        <v>0.6870688909473045</v>
      </c>
      <c r="K124" s="76">
        <f t="shared" si="140"/>
        <v>0.69347371580015571</v>
      </c>
      <c r="L124" s="76">
        <f t="shared" si="140"/>
        <v>0.68635544786393621</v>
      </c>
      <c r="M124" s="76">
        <f t="shared" si="140"/>
        <v>0.70021802923806187</v>
      </c>
      <c r="N124" s="76">
        <f t="shared" si="140"/>
        <v>0.70307301505847219</v>
      </c>
      <c r="O124" s="76">
        <f t="shared" si="140"/>
        <v>0.71230072528479182</v>
      </c>
      <c r="P124" s="76">
        <f t="shared" si="140"/>
        <v>0.71414577772939392</v>
      </c>
      <c r="Q124" s="76">
        <f t="shared" si="140"/>
        <v>0.71850624983656186</v>
      </c>
      <c r="R124" s="76">
        <f t="shared" si="140"/>
        <v>0.72659403942467105</v>
      </c>
      <c r="S124" s="76">
        <f t="shared" si="140"/>
        <v>0.73815215466794104</v>
      </c>
      <c r="T124" s="76">
        <f t="shared" si="140"/>
        <v>0.74530356714287904</v>
      </c>
      <c r="U124" s="76">
        <f t="shared" si="140"/>
        <v>0.75696524840689672</v>
      </c>
      <c r="V124" s="76">
        <f t="shared" si="140"/>
        <v>0.77878933845558818</v>
      </c>
      <c r="W124" s="76">
        <f t="shared" si="140"/>
        <v>0.78193494003792641</v>
      </c>
      <c r="X124" s="76">
        <f t="shared" ref="X124:Y124" si="141">IF(X110=0,"",X110/X103)</f>
        <v>0.80568899183497777</v>
      </c>
      <c r="Y124" s="76">
        <f t="shared" si="141"/>
        <v>0.82304550848021563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0.66135222595569587</v>
      </c>
      <c r="C125" s="56">
        <f t="shared" ref="C125:W125" si="143">IF(C111=0,"",C111/C104)</f>
        <v>0.64269432865196297</v>
      </c>
      <c r="D125" s="56">
        <f t="shared" si="143"/>
        <v>0.66514287625120982</v>
      </c>
      <c r="E125" s="56">
        <f t="shared" si="143"/>
        <v>0.68482507375439972</v>
      </c>
      <c r="F125" s="56">
        <f t="shared" si="143"/>
        <v>0.69226221168917812</v>
      </c>
      <c r="G125" s="56">
        <f t="shared" si="143"/>
        <v>0.69941375300436726</v>
      </c>
      <c r="H125" s="56">
        <f t="shared" si="143"/>
        <v>0.70107498215243069</v>
      </c>
      <c r="I125" s="56">
        <f t="shared" si="143"/>
        <v>0.70681344740149155</v>
      </c>
      <c r="J125" s="56">
        <f t="shared" si="143"/>
        <v>0.71326301276422699</v>
      </c>
      <c r="K125" s="56">
        <f t="shared" si="143"/>
        <v>0.68636660056004528</v>
      </c>
      <c r="L125" s="56">
        <f t="shared" si="143"/>
        <v>0.68790660450891072</v>
      </c>
      <c r="M125" s="56">
        <f t="shared" si="143"/>
        <v>0.68852846418724289</v>
      </c>
      <c r="N125" s="56">
        <f t="shared" si="143"/>
        <v>0.69350155728930052</v>
      </c>
      <c r="O125" s="56">
        <f t="shared" si="143"/>
        <v>0.7005517914994458</v>
      </c>
      <c r="P125" s="56">
        <f t="shared" si="143"/>
        <v>0.71358505226752322</v>
      </c>
      <c r="Q125" s="56">
        <f t="shared" si="143"/>
        <v>0.71798917875062696</v>
      </c>
      <c r="R125" s="56">
        <f t="shared" si="143"/>
        <v>0.72271453521100892</v>
      </c>
      <c r="S125" s="56">
        <f t="shared" si="143"/>
        <v>0.738658214484886</v>
      </c>
      <c r="T125" s="56">
        <f t="shared" si="143"/>
        <v>0.75053038863158605</v>
      </c>
      <c r="U125" s="56">
        <f t="shared" si="143"/>
        <v>0.75495376695583283</v>
      </c>
      <c r="V125" s="56">
        <f t="shared" si="143"/>
        <v>0.77341546808717365</v>
      </c>
      <c r="W125" s="56">
        <f t="shared" si="143"/>
        <v>0.76520370111490976</v>
      </c>
      <c r="X125" s="56">
        <f t="shared" ref="X125:Y125" si="144">IF(X111=0,"",X111/X104)</f>
        <v>0.76285606374379755</v>
      </c>
      <c r="Y125" s="56">
        <f t="shared" si="144"/>
        <v>0.75998072794658467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597.59319373896449</v>
      </c>
      <c r="C129" s="82">
        <f t="shared" ref="C129:W129" si="146">IF(C99=0,0,C99/C$26)</f>
        <v>607.60228340286392</v>
      </c>
      <c r="D129" s="82">
        <f t="shared" si="146"/>
        <v>563.38380774641246</v>
      </c>
      <c r="E129" s="82">
        <f t="shared" si="146"/>
        <v>628.81858945199792</v>
      </c>
      <c r="F129" s="82">
        <f t="shared" si="146"/>
        <v>586.51240236848912</v>
      </c>
      <c r="G129" s="82">
        <f t="shared" si="146"/>
        <v>573.88129022266537</v>
      </c>
      <c r="H129" s="82">
        <f t="shared" si="146"/>
        <v>570.62567517423918</v>
      </c>
      <c r="I129" s="82">
        <f t="shared" si="146"/>
        <v>566.66250875113963</v>
      </c>
      <c r="J129" s="82">
        <f t="shared" si="146"/>
        <v>590.94643663878492</v>
      </c>
      <c r="K129" s="82">
        <f t="shared" si="146"/>
        <v>571.82006960505737</v>
      </c>
      <c r="L129" s="82">
        <f t="shared" si="146"/>
        <v>642.29280030399093</v>
      </c>
      <c r="M129" s="82">
        <f t="shared" si="146"/>
        <v>506.21759812671854</v>
      </c>
      <c r="N129" s="82">
        <f t="shared" si="146"/>
        <v>562.01710467963312</v>
      </c>
      <c r="O129" s="82">
        <f t="shared" si="146"/>
        <v>573.15407262815904</v>
      </c>
      <c r="P129" s="82">
        <f t="shared" si="146"/>
        <v>494.89706534478813</v>
      </c>
      <c r="Q129" s="82">
        <f t="shared" si="146"/>
        <v>544.72289306160519</v>
      </c>
      <c r="R129" s="82">
        <f t="shared" si="146"/>
        <v>537.50689032762284</v>
      </c>
      <c r="S129" s="82">
        <f t="shared" si="146"/>
        <v>591.43786215559703</v>
      </c>
      <c r="T129" s="82">
        <f t="shared" si="146"/>
        <v>594.46324292010058</v>
      </c>
      <c r="U129" s="82">
        <f t="shared" si="146"/>
        <v>656.30124818749709</v>
      </c>
      <c r="V129" s="82">
        <f t="shared" si="146"/>
        <v>614.55528142498201</v>
      </c>
      <c r="W129" s="82">
        <f t="shared" si="146"/>
        <v>672.91242871767452</v>
      </c>
      <c r="X129" s="82">
        <f t="shared" ref="X129:Y129" si="147">IF(X99=0,0,X99/X$26)</f>
        <v>531.42360751257172</v>
      </c>
      <c r="Y129" s="82">
        <f t="shared" si="147"/>
        <v>511.5240288486151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523.67456566357077</v>
      </c>
      <c r="C130" s="64">
        <f t="shared" ref="C130:W130" si="149">IF(C100=0,0,C100/C$26)</f>
        <v>530.41605732423614</v>
      </c>
      <c r="D130" s="64">
        <f t="shared" si="149"/>
        <v>483.17777097141629</v>
      </c>
      <c r="E130" s="64">
        <f t="shared" si="149"/>
        <v>545.46523455945749</v>
      </c>
      <c r="F130" s="64">
        <f t="shared" si="149"/>
        <v>500.04514114104865</v>
      </c>
      <c r="G130" s="64">
        <f t="shared" si="149"/>
        <v>484.70516110822189</v>
      </c>
      <c r="H130" s="64">
        <f t="shared" si="149"/>
        <v>479.19804426541782</v>
      </c>
      <c r="I130" s="64">
        <f t="shared" si="149"/>
        <v>473.21444135194321</v>
      </c>
      <c r="J130" s="64">
        <f t="shared" si="149"/>
        <v>495.31797125864148</v>
      </c>
      <c r="K130" s="64">
        <f t="shared" si="149"/>
        <v>474.17513178431841</v>
      </c>
      <c r="L130" s="64">
        <f t="shared" si="149"/>
        <v>542.67190059207883</v>
      </c>
      <c r="M130" s="64">
        <f t="shared" si="149"/>
        <v>404.97863405364183</v>
      </c>
      <c r="N130" s="64">
        <f t="shared" si="149"/>
        <v>460.61718584119109</v>
      </c>
      <c r="O130" s="64">
        <f t="shared" si="149"/>
        <v>472.34905632083093</v>
      </c>
      <c r="P130" s="64">
        <f t="shared" si="149"/>
        <v>394.94296136354751</v>
      </c>
      <c r="Q130" s="64">
        <f t="shared" si="149"/>
        <v>445.41092382139124</v>
      </c>
      <c r="R130" s="64">
        <f t="shared" si="149"/>
        <v>439.46779845399573</v>
      </c>
      <c r="S130" s="64">
        <f t="shared" si="149"/>
        <v>494.59777535048153</v>
      </c>
      <c r="T130" s="64">
        <f t="shared" si="149"/>
        <v>499.47337288277686</v>
      </c>
      <c r="U130" s="64">
        <f t="shared" si="149"/>
        <v>563.22809528849257</v>
      </c>
      <c r="V130" s="64">
        <f t="shared" si="149"/>
        <v>525.25235393610922</v>
      </c>
      <c r="W130" s="64">
        <f t="shared" si="149"/>
        <v>583.13941701977296</v>
      </c>
      <c r="X130" s="64">
        <f t="shared" ref="X130:Y130" si="150">IF(X100=0,0,X100/X$26)</f>
        <v>443.57424372515976</v>
      </c>
      <c r="Y130" s="64">
        <f t="shared" si="150"/>
        <v>425.44605521781335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418.02712506742301</v>
      </c>
      <c r="C131" s="65">
        <f t="shared" ref="C131:W131" si="152">IF(C101=0,0,C101/C$26)</f>
        <v>421.3399004169533</v>
      </c>
      <c r="D131" s="65">
        <f t="shared" si="152"/>
        <v>374.89315579208545</v>
      </c>
      <c r="E131" s="65">
        <f t="shared" si="152"/>
        <v>437.33188798588014</v>
      </c>
      <c r="F131" s="65">
        <f t="shared" si="152"/>
        <v>393.51855345455363</v>
      </c>
      <c r="G131" s="65">
        <f t="shared" si="152"/>
        <v>377.83673543259192</v>
      </c>
      <c r="H131" s="65">
        <f t="shared" si="152"/>
        <v>371.63123682768895</v>
      </c>
      <c r="I131" s="65">
        <f t="shared" si="152"/>
        <v>366.15891481220632</v>
      </c>
      <c r="J131" s="65">
        <f t="shared" si="152"/>
        <v>387.6168157272956</v>
      </c>
      <c r="K131" s="65">
        <f t="shared" si="152"/>
        <v>362.9852726732712</v>
      </c>
      <c r="L131" s="65">
        <f t="shared" si="152"/>
        <v>429.6042587133017</v>
      </c>
      <c r="M131" s="65">
        <f t="shared" si="152"/>
        <v>294.12353941425448</v>
      </c>
      <c r="N131" s="65">
        <f t="shared" si="152"/>
        <v>349.00638573756112</v>
      </c>
      <c r="O131" s="65">
        <f t="shared" si="152"/>
        <v>360.98241910264238</v>
      </c>
      <c r="P131" s="65">
        <f t="shared" si="152"/>
        <v>283.82333238408211</v>
      </c>
      <c r="Q131" s="65">
        <f t="shared" si="152"/>
        <v>333.14499375905768</v>
      </c>
      <c r="R131" s="65">
        <f t="shared" si="152"/>
        <v>329.16986954612003</v>
      </c>
      <c r="S131" s="65">
        <f t="shared" si="152"/>
        <v>384.71920444131638</v>
      </c>
      <c r="T131" s="65">
        <f t="shared" si="152"/>
        <v>389.90656270318436</v>
      </c>
      <c r="U131" s="65">
        <f t="shared" si="152"/>
        <v>453.74751700349839</v>
      </c>
      <c r="V131" s="65">
        <f t="shared" si="152"/>
        <v>427.32850178381392</v>
      </c>
      <c r="W131" s="65">
        <f t="shared" si="152"/>
        <v>476.95905134414193</v>
      </c>
      <c r="X131" s="65">
        <f t="shared" ref="X131:Y131" si="153">IF(X101=0,0,X101/X$26)</f>
        <v>337.7456183421566</v>
      </c>
      <c r="Y131" s="65">
        <f t="shared" si="153"/>
        <v>318.02430305622477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1.8857017875908335</v>
      </c>
      <c r="C132" s="65">
        <f t="shared" ref="C132:W132" si="155">IF(C102=0,0,C102/C$26)</f>
        <v>2.2491899842591407</v>
      </c>
      <c r="D132" s="65">
        <f t="shared" si="155"/>
        <v>2.6957605800765263</v>
      </c>
      <c r="E132" s="65">
        <f t="shared" si="155"/>
        <v>3.740064105140358</v>
      </c>
      <c r="F132" s="65">
        <f t="shared" si="155"/>
        <v>3.1664181947886689</v>
      </c>
      <c r="G132" s="65">
        <f t="shared" si="155"/>
        <v>3.7779734418603579</v>
      </c>
      <c r="H132" s="65">
        <f t="shared" si="155"/>
        <v>4.8406038023038933</v>
      </c>
      <c r="I132" s="65">
        <f t="shared" si="155"/>
        <v>4.5171234957645208</v>
      </c>
      <c r="J132" s="65">
        <f t="shared" si="155"/>
        <v>4.8429729210732884</v>
      </c>
      <c r="K132" s="65">
        <f t="shared" si="155"/>
        <v>5.2669767929513736</v>
      </c>
      <c r="L132" s="65">
        <f t="shared" si="155"/>
        <v>5.8970025950382325</v>
      </c>
      <c r="M132" s="65">
        <f t="shared" si="155"/>
        <v>5.6980481588350367</v>
      </c>
      <c r="N132" s="65">
        <f t="shared" si="155"/>
        <v>5.9385882082373556</v>
      </c>
      <c r="O132" s="65">
        <f t="shared" si="155"/>
        <v>5.9969141512714046</v>
      </c>
      <c r="P132" s="65">
        <f t="shared" si="155"/>
        <v>5.7451406864308199</v>
      </c>
      <c r="Q132" s="65">
        <f t="shared" si="155"/>
        <v>6.4205743397715374</v>
      </c>
      <c r="R132" s="65">
        <f t="shared" si="155"/>
        <v>5.7403575906493733</v>
      </c>
      <c r="S132" s="65">
        <f t="shared" si="155"/>
        <v>5.6748755529003647</v>
      </c>
      <c r="T132" s="65">
        <f t="shared" si="155"/>
        <v>6.3584908086611627</v>
      </c>
      <c r="U132" s="65">
        <f t="shared" si="155"/>
        <v>6.3194947775442154</v>
      </c>
      <c r="V132" s="65">
        <f t="shared" si="155"/>
        <v>6.1291945690253851</v>
      </c>
      <c r="W132" s="65">
        <f t="shared" si="155"/>
        <v>5.2633036464674721</v>
      </c>
      <c r="X132" s="65">
        <f t="shared" ref="X132:Y132" si="156">IF(X102=0,0,X102/X$26)</f>
        <v>5.4910561346050688</v>
      </c>
      <c r="Y132" s="65">
        <f t="shared" si="156"/>
        <v>5.177320747169321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51.322112490162851</v>
      </c>
      <c r="C133" s="65">
        <f t="shared" ref="C133:W133" si="158">IF(C103=0,0,C103/C$26)</f>
        <v>51.689075900829693</v>
      </c>
      <c r="D133" s="65">
        <f t="shared" si="158"/>
        <v>50.818881436879735</v>
      </c>
      <c r="E133" s="65">
        <f t="shared" si="158"/>
        <v>49.70710450561446</v>
      </c>
      <c r="F133" s="65">
        <f t="shared" si="158"/>
        <v>48.671981767624473</v>
      </c>
      <c r="G133" s="65">
        <f t="shared" si="158"/>
        <v>48.233912268972105</v>
      </c>
      <c r="H133" s="65">
        <f t="shared" si="158"/>
        <v>46.985452722435646</v>
      </c>
      <c r="I133" s="65">
        <f t="shared" si="158"/>
        <v>47.005101645008828</v>
      </c>
      <c r="J133" s="65">
        <f t="shared" si="158"/>
        <v>46.999213308950203</v>
      </c>
      <c r="K133" s="65">
        <f t="shared" si="158"/>
        <v>47.01567301513284</v>
      </c>
      <c r="L133" s="65">
        <f t="shared" si="158"/>
        <v>47.592144840213614</v>
      </c>
      <c r="M133" s="65">
        <f t="shared" si="158"/>
        <v>45.567923897999577</v>
      </c>
      <c r="N133" s="65">
        <f t="shared" si="158"/>
        <v>45.827412384386072</v>
      </c>
      <c r="O133" s="65">
        <f t="shared" si="158"/>
        <v>45.827976227210257</v>
      </c>
      <c r="P133" s="65">
        <f t="shared" si="158"/>
        <v>46.611377656023727</v>
      </c>
      <c r="Q133" s="65">
        <f t="shared" si="158"/>
        <v>46.65952528374627</v>
      </c>
      <c r="R133" s="65">
        <f t="shared" si="158"/>
        <v>45.527101172185482</v>
      </c>
      <c r="S133" s="65">
        <f t="shared" si="158"/>
        <v>45.941125073239547</v>
      </c>
      <c r="T133" s="65">
        <f t="shared" si="158"/>
        <v>45.340458049756997</v>
      </c>
      <c r="U133" s="65">
        <f t="shared" si="158"/>
        <v>44.595758536257037</v>
      </c>
      <c r="V133" s="65">
        <f t="shared" si="158"/>
        <v>38.750757602362249</v>
      </c>
      <c r="W133" s="65">
        <f t="shared" si="158"/>
        <v>40.669447892464284</v>
      </c>
      <c r="X133" s="65">
        <f t="shared" ref="X133:Y133" si="159">IF(X103=0,0,X103/X$26)</f>
        <v>41.484838374019951</v>
      </c>
      <c r="Y133" s="65">
        <f t="shared" si="159"/>
        <v>41.727698287008806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52.439626318394041</v>
      </c>
      <c r="C134" s="67">
        <f t="shared" ref="C134:W134" si="161">IF(C104=0,0,C104/C$26)</f>
        <v>55.137891022194026</v>
      </c>
      <c r="D134" s="67">
        <f t="shared" si="161"/>
        <v>54.769973162374718</v>
      </c>
      <c r="E134" s="67">
        <f t="shared" si="161"/>
        <v>54.686177962822441</v>
      </c>
      <c r="F134" s="67">
        <f t="shared" si="161"/>
        <v>54.688187724081935</v>
      </c>
      <c r="G134" s="67">
        <f t="shared" si="161"/>
        <v>54.856539964797634</v>
      </c>
      <c r="H134" s="67">
        <f t="shared" si="161"/>
        <v>55.740750912989405</v>
      </c>
      <c r="I134" s="67">
        <f t="shared" si="161"/>
        <v>55.533301398963481</v>
      </c>
      <c r="J134" s="67">
        <f t="shared" si="161"/>
        <v>55.85896930132234</v>
      </c>
      <c r="K134" s="67">
        <f t="shared" si="161"/>
        <v>58.907209302963054</v>
      </c>
      <c r="L134" s="67">
        <f t="shared" si="161"/>
        <v>59.578494443525308</v>
      </c>
      <c r="M134" s="67">
        <f t="shared" si="161"/>
        <v>59.589122582552697</v>
      </c>
      <c r="N134" s="67">
        <f t="shared" si="161"/>
        <v>59.84479951100662</v>
      </c>
      <c r="O134" s="67">
        <f t="shared" si="161"/>
        <v>59.541746839706931</v>
      </c>
      <c r="P134" s="67">
        <f t="shared" si="161"/>
        <v>58.763110637010904</v>
      </c>
      <c r="Q134" s="67">
        <f t="shared" si="161"/>
        <v>59.185830438815806</v>
      </c>
      <c r="R134" s="67">
        <f t="shared" si="161"/>
        <v>59.03047014504083</v>
      </c>
      <c r="S134" s="67">
        <f t="shared" si="161"/>
        <v>58.262570283025234</v>
      </c>
      <c r="T134" s="67">
        <f t="shared" si="161"/>
        <v>57.867861321174331</v>
      </c>
      <c r="U134" s="67">
        <f t="shared" si="161"/>
        <v>58.565324971192879</v>
      </c>
      <c r="V134" s="67">
        <f t="shared" si="161"/>
        <v>53.043899980907533</v>
      </c>
      <c r="W134" s="67">
        <f t="shared" si="161"/>
        <v>60.247614136699276</v>
      </c>
      <c r="X134" s="67">
        <f t="shared" ref="X134:Y134" si="162">IF(X104=0,0,X104/X$26)</f>
        <v>58.852730874378118</v>
      </c>
      <c r="Y134" s="67">
        <f t="shared" si="162"/>
        <v>60.516733127410518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73.918628075393642</v>
      </c>
      <c r="C135" s="68">
        <f t="shared" ref="C135:W135" si="164">IF(C105=0,0,C105/C$26)</f>
        <v>77.186226078627826</v>
      </c>
      <c r="D135" s="68">
        <f t="shared" si="164"/>
        <v>80.206036774996136</v>
      </c>
      <c r="E135" s="68">
        <f t="shared" si="164"/>
        <v>83.353354892540381</v>
      </c>
      <c r="F135" s="68">
        <f t="shared" si="164"/>
        <v>86.467261227440332</v>
      </c>
      <c r="G135" s="68">
        <f t="shared" si="164"/>
        <v>89.176129114443512</v>
      </c>
      <c r="H135" s="68">
        <f t="shared" si="164"/>
        <v>91.427630908821314</v>
      </c>
      <c r="I135" s="68">
        <f t="shared" si="164"/>
        <v>93.448067399196461</v>
      </c>
      <c r="J135" s="68">
        <f t="shared" si="164"/>
        <v>95.628465380143396</v>
      </c>
      <c r="K135" s="68">
        <f t="shared" si="164"/>
        <v>97.644937820738917</v>
      </c>
      <c r="L135" s="68">
        <f t="shared" si="164"/>
        <v>99.620899711912045</v>
      </c>
      <c r="M135" s="68">
        <f t="shared" si="164"/>
        <v>101.2389640730767</v>
      </c>
      <c r="N135" s="68">
        <f t="shared" si="164"/>
        <v>101.39991883844196</v>
      </c>
      <c r="O135" s="68">
        <f t="shared" si="164"/>
        <v>100.80501630732807</v>
      </c>
      <c r="P135" s="68">
        <f t="shared" si="164"/>
        <v>99.954103981240621</v>
      </c>
      <c r="Q135" s="68">
        <f t="shared" si="164"/>
        <v>99.31196924021387</v>
      </c>
      <c r="R135" s="68">
        <f t="shared" si="164"/>
        <v>98.039091873627058</v>
      </c>
      <c r="S135" s="68">
        <f t="shared" si="164"/>
        <v>96.840086805115391</v>
      </c>
      <c r="T135" s="68">
        <f t="shared" si="164"/>
        <v>94.989870037323712</v>
      </c>
      <c r="U135" s="68">
        <f t="shared" si="164"/>
        <v>93.073152899004526</v>
      </c>
      <c r="V135" s="68">
        <f t="shared" si="164"/>
        <v>89.302927488872839</v>
      </c>
      <c r="W135" s="68">
        <f t="shared" si="164"/>
        <v>89.773011697901495</v>
      </c>
      <c r="X135" s="68">
        <f t="shared" ref="X135:Y135" si="165">IF(X105=0,0,X105/X$26)</f>
        <v>87.849363787411903</v>
      </c>
      <c r="Y135" s="68">
        <f t="shared" si="165"/>
        <v>86.077973630801679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307.67434730800818</v>
      </c>
      <c r="C137" s="85">
        <f t="shared" ref="C137:W137" si="167">IF(C107=0,0,C107/C$26)</f>
        <v>321.91368947006379</v>
      </c>
      <c r="D137" s="85">
        <f t="shared" si="167"/>
        <v>293.31403643078545</v>
      </c>
      <c r="E137" s="85">
        <f t="shared" si="167"/>
        <v>347.63487286174637</v>
      </c>
      <c r="F137" s="85">
        <f t="shared" si="167"/>
        <v>321.14265794091267</v>
      </c>
      <c r="G137" s="85">
        <f t="shared" si="167"/>
        <v>320.36600690142791</v>
      </c>
      <c r="H137" s="85">
        <f t="shared" si="167"/>
        <v>323.87270302190205</v>
      </c>
      <c r="I137" s="85">
        <f t="shared" si="167"/>
        <v>325.85250600846609</v>
      </c>
      <c r="J137" s="85">
        <f t="shared" si="167"/>
        <v>343.6672494962454</v>
      </c>
      <c r="K137" s="85">
        <f t="shared" si="167"/>
        <v>328.34922366953333</v>
      </c>
      <c r="L137" s="85">
        <f t="shared" si="167"/>
        <v>374.48149656774962</v>
      </c>
      <c r="M137" s="85">
        <f t="shared" si="167"/>
        <v>297.55675435502815</v>
      </c>
      <c r="N137" s="85">
        <f t="shared" si="167"/>
        <v>333.79629140468052</v>
      </c>
      <c r="O137" s="85">
        <f t="shared" si="167"/>
        <v>346.78626534162493</v>
      </c>
      <c r="P137" s="85">
        <f t="shared" si="167"/>
        <v>292.96527017558901</v>
      </c>
      <c r="Q137" s="85">
        <f t="shared" si="167"/>
        <v>330.66292119281241</v>
      </c>
      <c r="R137" s="85">
        <f t="shared" si="167"/>
        <v>325.55305314859118</v>
      </c>
      <c r="S137" s="85">
        <f t="shared" si="167"/>
        <v>372.26178827481971</v>
      </c>
      <c r="T137" s="85">
        <f t="shared" si="167"/>
        <v>381.43760347194967</v>
      </c>
      <c r="U137" s="85">
        <f t="shared" si="167"/>
        <v>431.46906838976344</v>
      </c>
      <c r="V137" s="85">
        <f t="shared" si="167"/>
        <v>416.44883242523446</v>
      </c>
      <c r="W137" s="85">
        <f t="shared" si="167"/>
        <v>460.27906755091561</v>
      </c>
      <c r="X137" s="85">
        <f t="shared" ref="X137:Y137" si="168">IF(X107=0,0,X107/X$26)</f>
        <v>361.88599053700653</v>
      </c>
      <c r="Y137" s="85">
        <f t="shared" si="168"/>
        <v>351.36997464057288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237.22242303459976</v>
      </c>
      <c r="C138" s="65">
        <f t="shared" ref="C138:W138" si="170">IF(C108=0,0,C108/C$26)</f>
        <v>249.25913402320498</v>
      </c>
      <c r="D138" s="65">
        <f t="shared" si="170"/>
        <v>218.49123986965938</v>
      </c>
      <c r="E138" s="65">
        <f t="shared" si="170"/>
        <v>269.23521404610244</v>
      </c>
      <c r="F138" s="65">
        <f t="shared" si="170"/>
        <v>243.75485016970381</v>
      </c>
      <c r="G138" s="65">
        <f t="shared" si="170"/>
        <v>240.57882142580073</v>
      </c>
      <c r="H138" s="65">
        <f t="shared" si="170"/>
        <v>240.35664192015665</v>
      </c>
      <c r="I138" s="65">
        <f t="shared" si="170"/>
        <v>242.1397997421229</v>
      </c>
      <c r="J138" s="65">
        <f t="shared" si="170"/>
        <v>257.6340789985893</v>
      </c>
      <c r="K138" s="65">
        <f t="shared" si="170"/>
        <v>239.84535979130112</v>
      </c>
      <c r="L138" s="65">
        <f t="shared" si="170"/>
        <v>282.97247874369288</v>
      </c>
      <c r="M138" s="65">
        <f t="shared" si="170"/>
        <v>206.70886996020107</v>
      </c>
      <c r="N138" s="65">
        <f t="shared" si="170"/>
        <v>240.73317916699986</v>
      </c>
      <c r="O138" s="65">
        <f t="shared" si="170"/>
        <v>252.28919609543203</v>
      </c>
      <c r="P138" s="65">
        <f t="shared" si="170"/>
        <v>197.80070648715838</v>
      </c>
      <c r="Q138" s="65">
        <f t="shared" si="170"/>
        <v>231.55049029422932</v>
      </c>
      <c r="R138" s="65">
        <f t="shared" si="170"/>
        <v>228.64454260182637</v>
      </c>
      <c r="S138" s="65">
        <f t="shared" si="170"/>
        <v>273.74303962410016</v>
      </c>
      <c r="T138" s="65">
        <f t="shared" si="170"/>
        <v>279.21672413808631</v>
      </c>
      <c r="U138" s="65">
        <f t="shared" si="170"/>
        <v>328.08298025701401</v>
      </c>
      <c r="V138" s="65">
        <f t="shared" si="170"/>
        <v>320.12570718556049</v>
      </c>
      <c r="W138" s="65">
        <f t="shared" si="170"/>
        <v>360.63442774935544</v>
      </c>
      <c r="X138" s="65">
        <f t="shared" ref="X138:Y138" si="171">IF(X108=0,0,X108/X$26)</f>
        <v>260.31589286362691</v>
      </c>
      <c r="Y138" s="65">
        <f t="shared" si="171"/>
        <v>248.87679703726465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3.5037679212419173</v>
      </c>
      <c r="C139" s="65">
        <f t="shared" ref="C139:W139" si="173">IF(C109=0,0,C109/C$26)</f>
        <v>4.5099896676933611</v>
      </c>
      <c r="D139" s="65">
        <f t="shared" si="173"/>
        <v>5.7930061811096722</v>
      </c>
      <c r="E139" s="65">
        <f t="shared" si="173"/>
        <v>8.4429851457293275</v>
      </c>
      <c r="F139" s="65">
        <f t="shared" si="173"/>
        <v>7.5028887107926865</v>
      </c>
      <c r="G139" s="65">
        <f t="shared" si="173"/>
        <v>9.4790196247306859</v>
      </c>
      <c r="H139" s="65">
        <f t="shared" si="173"/>
        <v>12.69022070119812</v>
      </c>
      <c r="I139" s="65">
        <f t="shared" si="173"/>
        <v>12.408213329027673</v>
      </c>
      <c r="J139" s="65">
        <f t="shared" si="173"/>
        <v>13.89933640031426</v>
      </c>
      <c r="K139" s="65">
        <f t="shared" si="173"/>
        <v>15.467789413829124</v>
      </c>
      <c r="L139" s="65">
        <f t="shared" si="173"/>
        <v>17.859450123048109</v>
      </c>
      <c r="M139" s="65">
        <f t="shared" si="173"/>
        <v>17.911595472469454</v>
      </c>
      <c r="N139" s="65">
        <f t="shared" si="173"/>
        <v>19.340633583713331</v>
      </c>
      <c r="O139" s="65">
        <f t="shared" si="173"/>
        <v>20.141691123653676</v>
      </c>
      <c r="P139" s="65">
        <f t="shared" si="173"/>
        <v>19.944767765917373</v>
      </c>
      <c r="Q139" s="65">
        <f t="shared" si="173"/>
        <v>23.092484577365113</v>
      </c>
      <c r="R139" s="65">
        <f t="shared" si="173"/>
        <v>21.166611408610333</v>
      </c>
      <c r="S139" s="65">
        <f t="shared" si="173"/>
        <v>21.571082053478808</v>
      </c>
      <c r="T139" s="65">
        <f t="shared" si="173"/>
        <v>24.996885766827731</v>
      </c>
      <c r="U139" s="65">
        <f t="shared" si="173"/>
        <v>25.414535994463055</v>
      </c>
      <c r="V139" s="65">
        <f t="shared" si="173"/>
        <v>25.119475628974616</v>
      </c>
      <c r="W139" s="65">
        <f t="shared" si="173"/>
        <v>21.742080181645296</v>
      </c>
      <c r="X139" s="65">
        <f t="shared" ref="X139:Y139" si="174">IF(X109=0,0,X109/X$26)</f>
        <v>23.250057451977295</v>
      </c>
      <c r="Y139" s="65">
        <f t="shared" si="174"/>
        <v>22.157832053849408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32.267092758211767</v>
      </c>
      <c r="C140" s="65">
        <f t="shared" ref="C140:W140" si="176">IF(C110=0,0,C110/C$26)</f>
        <v>32.707755925371394</v>
      </c>
      <c r="D140" s="65">
        <f t="shared" si="176"/>
        <v>32.599932898592904</v>
      </c>
      <c r="E140" s="65">
        <f t="shared" si="176"/>
        <v>32.506207813178555</v>
      </c>
      <c r="F140" s="65">
        <f t="shared" si="176"/>
        <v>32.026353273270239</v>
      </c>
      <c r="G140" s="65">
        <f t="shared" si="176"/>
        <v>31.940747357283303</v>
      </c>
      <c r="H140" s="65">
        <f t="shared" si="176"/>
        <v>31.747394449060145</v>
      </c>
      <c r="I140" s="65">
        <f t="shared" si="176"/>
        <v>32.052808729928053</v>
      </c>
      <c r="J140" s="65">
        <f t="shared" si="176"/>
        <v>32.291697363576205</v>
      </c>
      <c r="K140" s="65">
        <f t="shared" si="176"/>
        <v>32.60413346664928</v>
      </c>
      <c r="L140" s="65">
        <f t="shared" si="176"/>
        <v>32.665127886610136</v>
      </c>
      <c r="M140" s="65">
        <f t="shared" si="176"/>
        <v>31.907481868327249</v>
      </c>
      <c r="N140" s="65">
        <f t="shared" si="176"/>
        <v>32.220016997418284</v>
      </c>
      <c r="O140" s="65">
        <f t="shared" si="176"/>
        <v>32.643300704976056</v>
      </c>
      <c r="P140" s="65">
        <f t="shared" si="176"/>
        <v>33.287318547199561</v>
      </c>
      <c r="Q140" s="65">
        <f t="shared" si="176"/>
        <v>33.525160530778777</v>
      </c>
      <c r="R140" s="65">
        <f t="shared" si="176"/>
        <v>33.079720343993927</v>
      </c>
      <c r="S140" s="65">
        <f t="shared" si="176"/>
        <v>33.911540460681138</v>
      </c>
      <c r="T140" s="65">
        <f t="shared" si="176"/>
        <v>33.792405120375953</v>
      </c>
      <c r="U140" s="65">
        <f t="shared" si="176"/>
        <v>33.75743943829179</v>
      </c>
      <c r="V140" s="65">
        <f t="shared" si="176"/>
        <v>30.178676877796551</v>
      </c>
      <c r="W140" s="65">
        <f t="shared" si="176"/>
        <v>31.80086229916963</v>
      </c>
      <c r="X140" s="65">
        <f t="shared" ref="X140:Y140" si="177">IF(X110=0,0,X110/X$26)</f>
        <v>33.423877606001135</v>
      </c>
      <c r="Y140" s="65">
        <f t="shared" si="177"/>
        <v>34.343794654340186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34.681063593954789</v>
      </c>
      <c r="C141" s="68">
        <f t="shared" ref="C141:W141" si="179">IF(C111=0,0,C111/C$26)</f>
        <v>35.436809853794081</v>
      </c>
      <c r="D141" s="68">
        <f t="shared" si="179"/>
        <v>36.42985748142349</v>
      </c>
      <c r="E141" s="68">
        <f t="shared" si="179"/>
        <v>37.450465856736109</v>
      </c>
      <c r="F141" s="68">
        <f t="shared" si="179"/>
        <v>37.85856578714592</v>
      </c>
      <c r="G141" s="68">
        <f t="shared" si="179"/>
        <v>38.367418493613172</v>
      </c>
      <c r="H141" s="68">
        <f t="shared" si="179"/>
        <v>39.078445951487126</v>
      </c>
      <c r="I141" s="68">
        <f t="shared" si="179"/>
        <v>39.251684207387456</v>
      </c>
      <c r="J141" s="68">
        <f t="shared" si="179"/>
        <v>39.842136733765642</v>
      </c>
      <c r="K141" s="68">
        <f t="shared" si="179"/>
        <v>40.431940997753827</v>
      </c>
      <c r="L141" s="68">
        <f t="shared" si="179"/>
        <v>40.984439814398499</v>
      </c>
      <c r="M141" s="68">
        <f t="shared" si="179"/>
        <v>41.028807054030366</v>
      </c>
      <c r="N141" s="68">
        <f t="shared" si="179"/>
        <v>41.502461656549059</v>
      </c>
      <c r="O141" s="68">
        <f t="shared" si="179"/>
        <v>41.712077417563158</v>
      </c>
      <c r="P141" s="68">
        <f t="shared" si="179"/>
        <v>41.932477375313674</v>
      </c>
      <c r="Q141" s="68">
        <f t="shared" si="179"/>
        <v>42.494785790439217</v>
      </c>
      <c r="R141" s="68">
        <f t="shared" si="179"/>
        <v>42.662178794160525</v>
      </c>
      <c r="S141" s="68">
        <f t="shared" si="179"/>
        <v>43.036126136559595</v>
      </c>
      <c r="T141" s="68">
        <f t="shared" si="179"/>
        <v>43.431588446659703</v>
      </c>
      <c r="U141" s="68">
        <f t="shared" si="179"/>
        <v>44.214112699994566</v>
      </c>
      <c r="V141" s="68">
        <f t="shared" si="179"/>
        <v>41.024972732902825</v>
      </c>
      <c r="W141" s="68">
        <f t="shared" si="179"/>
        <v>46.101697320745245</v>
      </c>
      <c r="X141" s="68">
        <f t="shared" ref="X141:Y141" si="180">IF(X111=0,0,X111/X$26)</f>
        <v>44.896162615401153</v>
      </c>
      <c r="Y141" s="68">
        <f t="shared" si="180"/>
        <v>45.991550895118642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76.723518745206107</v>
      </c>
      <c r="C143" s="82">
        <f t="shared" ref="C143:W143" si="182">IF(C113=0,0,C113/C$26)</f>
        <v>70.863578984955623</v>
      </c>
      <c r="D143" s="82">
        <f t="shared" si="182"/>
        <v>69.361719873416689</v>
      </c>
      <c r="E143" s="82">
        <f t="shared" si="182"/>
        <v>67.739782823242294</v>
      </c>
      <c r="F143" s="82">
        <f t="shared" si="182"/>
        <v>62.161869699007255</v>
      </c>
      <c r="G143" s="82">
        <f t="shared" si="182"/>
        <v>54.798024509998648</v>
      </c>
      <c r="H143" s="82">
        <f t="shared" si="182"/>
        <v>51.326548237578422</v>
      </c>
      <c r="I143" s="82">
        <f t="shared" si="182"/>
        <v>45.298039711510469</v>
      </c>
      <c r="J143" s="82">
        <f t="shared" si="182"/>
        <v>48.766916125300966</v>
      </c>
      <c r="K143" s="82">
        <f t="shared" si="182"/>
        <v>51.229144341286649</v>
      </c>
      <c r="L143" s="82">
        <f t="shared" si="182"/>
        <v>64.482843088867298</v>
      </c>
      <c r="M143" s="82">
        <f t="shared" si="182"/>
        <v>38.443500838349728</v>
      </c>
      <c r="N143" s="82">
        <f t="shared" si="182"/>
        <v>50.700636351750674</v>
      </c>
      <c r="O143" s="82">
        <f t="shared" si="182"/>
        <v>53.00592439816505</v>
      </c>
      <c r="P143" s="82">
        <f t="shared" si="182"/>
        <v>45.162768778576158</v>
      </c>
      <c r="Q143" s="82">
        <f t="shared" si="182"/>
        <v>56.177627429171757</v>
      </c>
      <c r="R143" s="82">
        <f t="shared" si="182"/>
        <v>58.155112732245371</v>
      </c>
      <c r="S143" s="82">
        <f t="shared" si="182"/>
        <v>61.063808186953288</v>
      </c>
      <c r="T143" s="82">
        <f t="shared" si="182"/>
        <v>62.494023689206074</v>
      </c>
      <c r="U143" s="82">
        <f t="shared" si="182"/>
        <v>71.278639450034348</v>
      </c>
      <c r="V143" s="82">
        <f t="shared" si="182"/>
        <v>57.782655343169189</v>
      </c>
      <c r="W143" s="82">
        <f t="shared" si="182"/>
        <v>64.730855242127134</v>
      </c>
      <c r="X143" s="82">
        <f t="shared" ref="X143:Y143" si="183">IF(X113=0,0,X113/X$26)</f>
        <v>48.618313995122477</v>
      </c>
      <c r="Y143" s="82">
        <f t="shared" si="183"/>
        <v>46.045364439295305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76.723518745206107</v>
      </c>
      <c r="C144" s="64">
        <f t="shared" ref="C144:W144" si="185">IF(C114=0,0,C114/C$26)</f>
        <v>70.863578984955623</v>
      </c>
      <c r="D144" s="64">
        <f t="shared" si="185"/>
        <v>69.361719873416689</v>
      </c>
      <c r="E144" s="64">
        <f t="shared" si="185"/>
        <v>67.739782823242294</v>
      </c>
      <c r="F144" s="64">
        <f t="shared" si="185"/>
        <v>62.161869699007255</v>
      </c>
      <c r="G144" s="64">
        <f t="shared" si="185"/>
        <v>54.798024509998648</v>
      </c>
      <c r="H144" s="64">
        <f t="shared" si="185"/>
        <v>51.326548237578422</v>
      </c>
      <c r="I144" s="64">
        <f t="shared" si="185"/>
        <v>45.298039711510469</v>
      </c>
      <c r="J144" s="64">
        <f t="shared" si="185"/>
        <v>48.766916125300966</v>
      </c>
      <c r="K144" s="64">
        <f t="shared" si="185"/>
        <v>51.229144341286649</v>
      </c>
      <c r="L144" s="64">
        <f t="shared" si="185"/>
        <v>64.482843088867298</v>
      </c>
      <c r="M144" s="64">
        <f t="shared" si="185"/>
        <v>38.443500838349728</v>
      </c>
      <c r="N144" s="64">
        <f t="shared" si="185"/>
        <v>50.700636351750674</v>
      </c>
      <c r="O144" s="64">
        <f t="shared" si="185"/>
        <v>53.00592439816505</v>
      </c>
      <c r="P144" s="64">
        <f t="shared" si="185"/>
        <v>45.162768778576158</v>
      </c>
      <c r="Q144" s="64">
        <f t="shared" si="185"/>
        <v>56.177627429171757</v>
      </c>
      <c r="R144" s="64">
        <f t="shared" si="185"/>
        <v>58.155112732245371</v>
      </c>
      <c r="S144" s="64">
        <f t="shared" si="185"/>
        <v>61.063808186953288</v>
      </c>
      <c r="T144" s="64">
        <f t="shared" si="185"/>
        <v>62.494023689206074</v>
      </c>
      <c r="U144" s="64">
        <f t="shared" si="185"/>
        <v>71.278639450034348</v>
      </c>
      <c r="V144" s="64">
        <f t="shared" si="185"/>
        <v>57.782655343169189</v>
      </c>
      <c r="W144" s="64">
        <f t="shared" si="185"/>
        <v>64.730855242127134</v>
      </c>
      <c r="X144" s="64">
        <f t="shared" ref="X144:Y144" si="186">IF(X114=0,0,X114/X$26)</f>
        <v>48.618313995122477</v>
      </c>
      <c r="Y144" s="64">
        <f t="shared" si="186"/>
        <v>46.045364439295305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64.943527452867244</v>
      </c>
      <c r="C145" s="65">
        <f t="shared" ref="C145:W145" si="188">IF(C115=0,0,C115/C$26)</f>
        <v>57.462791541626629</v>
      </c>
      <c r="D145" s="65">
        <f t="shared" si="188"/>
        <v>57.310576013497474</v>
      </c>
      <c r="E145" s="65">
        <f t="shared" si="188"/>
        <v>56.708633236118118</v>
      </c>
      <c r="F145" s="65">
        <f t="shared" si="188"/>
        <v>51.590580035723733</v>
      </c>
      <c r="G145" s="65">
        <f t="shared" si="188"/>
        <v>44.703926757597777</v>
      </c>
      <c r="H145" s="65">
        <f t="shared" si="188"/>
        <v>42.038413343719348</v>
      </c>
      <c r="I145" s="65">
        <f t="shared" si="188"/>
        <v>36.49360963978021</v>
      </c>
      <c r="J145" s="65">
        <f t="shared" si="188"/>
        <v>40.251836770477638</v>
      </c>
      <c r="K145" s="65">
        <f t="shared" si="188"/>
        <v>40.634670481006673</v>
      </c>
      <c r="L145" s="65">
        <f t="shared" si="188"/>
        <v>52.845804225820046</v>
      </c>
      <c r="M145" s="65">
        <f t="shared" si="188"/>
        <v>27.584321490576588</v>
      </c>
      <c r="N145" s="65">
        <f t="shared" si="188"/>
        <v>39.596723167073257</v>
      </c>
      <c r="O145" s="65">
        <f t="shared" si="188"/>
        <v>42.272926660466588</v>
      </c>
      <c r="P145" s="65">
        <f t="shared" si="188"/>
        <v>34.947243418298775</v>
      </c>
      <c r="Q145" s="65">
        <f t="shared" si="188"/>
        <v>45.742242682844065</v>
      </c>
      <c r="R145" s="65">
        <f t="shared" si="188"/>
        <v>47.836542585503452</v>
      </c>
      <c r="S145" s="65">
        <f t="shared" si="188"/>
        <v>51.631965460066098</v>
      </c>
      <c r="T145" s="65">
        <f t="shared" si="188"/>
        <v>53.380266940892859</v>
      </c>
      <c r="U145" s="65">
        <f t="shared" si="188"/>
        <v>61.924801483548002</v>
      </c>
      <c r="V145" s="65">
        <f t="shared" si="188"/>
        <v>50.905999319958767</v>
      </c>
      <c r="W145" s="65">
        <f t="shared" si="188"/>
        <v>55.805565907473735</v>
      </c>
      <c r="X145" s="65">
        <f t="shared" ref="X145:Y145" si="189">IF(X115=0,0,X115/X$26)</f>
        <v>40.247511166350883</v>
      </c>
      <c r="Y145" s="65">
        <f t="shared" si="189"/>
        <v>37.184720799872565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2.4329904651021498E-3</v>
      </c>
      <c r="C146" s="65">
        <f t="shared" ref="C146:W146" si="191">IF(C116=0,0,C116/C$26)</f>
        <v>3.3132624702915917E-3</v>
      </c>
      <c r="D146" s="65">
        <f t="shared" si="191"/>
        <v>5.0980251197604489E-3</v>
      </c>
      <c r="E146" s="65">
        <f t="shared" si="191"/>
        <v>5.1061295185204818E-3</v>
      </c>
      <c r="F146" s="65">
        <f t="shared" si="191"/>
        <v>7.8411674139092589E-3</v>
      </c>
      <c r="G146" s="65">
        <f t="shared" si="191"/>
        <v>9.1006363274561408E-3</v>
      </c>
      <c r="H146" s="65">
        <f t="shared" si="191"/>
        <v>1.2716339997670863E-2</v>
      </c>
      <c r="I146" s="65">
        <f t="shared" si="191"/>
        <v>1.5588563793389951E-2</v>
      </c>
      <c r="J146" s="65">
        <f t="shared" si="191"/>
        <v>1.7304027201351227E-2</v>
      </c>
      <c r="K146" s="65">
        <f t="shared" si="191"/>
        <v>2.3489303479347638E-2</v>
      </c>
      <c r="L146" s="65">
        <f t="shared" si="191"/>
        <v>2.3052489144570316E-2</v>
      </c>
      <c r="M146" s="65">
        <f t="shared" si="191"/>
        <v>2.450113880707892E-2</v>
      </c>
      <c r="N146" s="65">
        <f t="shared" si="191"/>
        <v>2.7614535663062496E-2</v>
      </c>
      <c r="O146" s="65">
        <f t="shared" si="191"/>
        <v>3.2996387253496427E-2</v>
      </c>
      <c r="P146" s="65">
        <f t="shared" si="191"/>
        <v>4.2586698640795069E-2</v>
      </c>
      <c r="Q146" s="65">
        <f t="shared" si="191"/>
        <v>5.7288289321197769E-2</v>
      </c>
      <c r="R146" s="65">
        <f t="shared" si="191"/>
        <v>7.0888535140470679E-2</v>
      </c>
      <c r="S146" s="65">
        <f t="shared" si="191"/>
        <v>8.2910379812410312E-2</v>
      </c>
      <c r="T146" s="65">
        <f t="shared" si="191"/>
        <v>9.3206204608212273E-2</v>
      </c>
      <c r="U146" s="65">
        <f t="shared" si="191"/>
        <v>0.10132201821966108</v>
      </c>
      <c r="V146" s="65">
        <f t="shared" si="191"/>
        <v>0.10681472800110409</v>
      </c>
      <c r="W146" s="65">
        <f t="shared" si="191"/>
        <v>0.11179186918214498</v>
      </c>
      <c r="X146" s="65">
        <f t="shared" ref="X146:Y146" si="192">IF(X116=0,0,X116/X$26)</f>
        <v>0.10216503730717845</v>
      </c>
      <c r="Y146" s="65">
        <f t="shared" si="192"/>
        <v>9.8331121738686939E-2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4.9485618103216229</v>
      </c>
      <c r="C147" s="65">
        <f t="shared" ref="C147:W147" si="194">IF(C117=0,0,C117/C$26)</f>
        <v>4.9213032662240224</v>
      </c>
      <c r="D147" s="65">
        <f t="shared" si="194"/>
        <v>5.0123267847337356</v>
      </c>
      <c r="E147" s="65">
        <f t="shared" si="194"/>
        <v>5.1781367868569079</v>
      </c>
      <c r="F147" s="65">
        <f t="shared" si="194"/>
        <v>5.0972000036092693</v>
      </c>
      <c r="G147" s="65">
        <f t="shared" si="194"/>
        <v>4.9585386839362258</v>
      </c>
      <c r="H147" s="65">
        <f t="shared" si="194"/>
        <v>4.0945031022572005</v>
      </c>
      <c r="I147" s="65">
        <f t="shared" si="194"/>
        <v>3.8949584007930942</v>
      </c>
      <c r="J147" s="65">
        <f t="shared" si="194"/>
        <v>3.8743801805611717</v>
      </c>
      <c r="K147" s="65">
        <f t="shared" si="194"/>
        <v>3.7166106446036298</v>
      </c>
      <c r="L147" s="65">
        <f t="shared" si="194"/>
        <v>4.7168457571195228</v>
      </c>
      <c r="M147" s="65">
        <f t="shared" si="194"/>
        <v>3.9733423824730543</v>
      </c>
      <c r="N147" s="65">
        <f t="shared" si="194"/>
        <v>4.4348317904967907</v>
      </c>
      <c r="O147" s="65">
        <f t="shared" si="194"/>
        <v>4.4361839299830912</v>
      </c>
      <c r="P147" s="65">
        <f t="shared" si="194"/>
        <v>4.6846953037749008</v>
      </c>
      <c r="Q147" s="65">
        <f t="shared" si="194"/>
        <v>4.9612593440725385</v>
      </c>
      <c r="R147" s="65">
        <f t="shared" si="194"/>
        <v>4.9547520062441244</v>
      </c>
      <c r="S147" s="65">
        <f t="shared" si="194"/>
        <v>4.8713403499396009</v>
      </c>
      <c r="T147" s="65">
        <f t="shared" si="194"/>
        <v>5.0302435622557189</v>
      </c>
      <c r="U147" s="65">
        <f t="shared" si="194"/>
        <v>5.1626077490933913</v>
      </c>
      <c r="V147" s="65">
        <f t="shared" si="194"/>
        <v>3.7571307093224431</v>
      </c>
      <c r="W147" s="65">
        <f t="shared" si="194"/>
        <v>4.6451583861128345</v>
      </c>
      <c r="X147" s="65">
        <f t="shared" ref="X147:Y147" si="195">IF(X117=0,0,X117/X$26)</f>
        <v>3.9434852638025002</v>
      </c>
      <c r="Y147" s="65">
        <f t="shared" si="195"/>
        <v>3.8115091744563032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6.8289964915521271</v>
      </c>
      <c r="C148" s="67">
        <f t="shared" ref="C148:W148" si="197">IF(C118=0,0,C118/C$26)</f>
        <v>8.47617091463467</v>
      </c>
      <c r="D148" s="67">
        <f t="shared" si="197"/>
        <v>7.0337190500657103</v>
      </c>
      <c r="E148" s="67">
        <f t="shared" si="197"/>
        <v>5.847906670748741</v>
      </c>
      <c r="F148" s="67">
        <f t="shared" si="197"/>
        <v>5.4662484922603474</v>
      </c>
      <c r="G148" s="67">
        <f t="shared" si="197"/>
        <v>5.1264584321371958</v>
      </c>
      <c r="H148" s="67">
        <f t="shared" si="197"/>
        <v>5.1809154516042026</v>
      </c>
      <c r="I148" s="67">
        <f t="shared" si="197"/>
        <v>4.8938831071437878</v>
      </c>
      <c r="J148" s="67">
        <f t="shared" si="197"/>
        <v>4.6233951470608092</v>
      </c>
      <c r="K148" s="67">
        <f t="shared" si="197"/>
        <v>6.854373912196996</v>
      </c>
      <c r="L148" s="67">
        <f t="shared" si="197"/>
        <v>6.8971406167831528</v>
      </c>
      <c r="M148" s="67">
        <f t="shared" si="197"/>
        <v>6.8613358264930042</v>
      </c>
      <c r="N148" s="67">
        <f t="shared" si="197"/>
        <v>6.6414668585175587</v>
      </c>
      <c r="O148" s="67">
        <f t="shared" si="197"/>
        <v>6.2638174204618702</v>
      </c>
      <c r="P148" s="67">
        <f t="shared" si="197"/>
        <v>5.4882433578616912</v>
      </c>
      <c r="Q148" s="67">
        <f t="shared" si="197"/>
        <v>5.4168371129339592</v>
      </c>
      <c r="R148" s="67">
        <f t="shared" si="197"/>
        <v>5.2929296053573189</v>
      </c>
      <c r="S148" s="67">
        <f t="shared" si="197"/>
        <v>4.4775919971351774</v>
      </c>
      <c r="T148" s="67">
        <f t="shared" si="197"/>
        <v>3.9903069814492889</v>
      </c>
      <c r="U148" s="67">
        <f t="shared" si="197"/>
        <v>4.0899081991732853</v>
      </c>
      <c r="V148" s="67">
        <f t="shared" si="197"/>
        <v>3.0127105858868664</v>
      </c>
      <c r="W148" s="67">
        <f t="shared" si="197"/>
        <v>4.1683390793584074</v>
      </c>
      <c r="X148" s="67">
        <f t="shared" ref="X148:Y148" si="198">IF(X118=0,0,X118/X$26)</f>
        <v>4.3251525276619169</v>
      </c>
      <c r="Y148" s="67">
        <f t="shared" si="198"/>
        <v>4.9508033432277463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21956.441182508734</v>
      </c>
      <c r="C153" s="82">
        <f t="shared" ref="C153:W153" si="203">IF(C99=0,0,C99/C$23)</f>
        <v>21055.918112355233</v>
      </c>
      <c r="D153" s="82">
        <f t="shared" si="203"/>
        <v>19057.963264357117</v>
      </c>
      <c r="E153" s="82">
        <f t="shared" si="203"/>
        <v>20881.11094743005</v>
      </c>
      <c r="F153" s="82">
        <f t="shared" si="203"/>
        <v>19097.860368611488</v>
      </c>
      <c r="G153" s="82">
        <f t="shared" si="203"/>
        <v>18311.101225045291</v>
      </c>
      <c r="H153" s="82">
        <f t="shared" si="203"/>
        <v>17562.228260684868</v>
      </c>
      <c r="I153" s="82">
        <f t="shared" si="203"/>
        <v>16735.183721101366</v>
      </c>
      <c r="J153" s="82">
        <f t="shared" si="203"/>
        <v>16652.062394928016</v>
      </c>
      <c r="K153" s="82">
        <f t="shared" si="203"/>
        <v>15898.983082064269</v>
      </c>
      <c r="L153" s="82">
        <f t="shared" si="203"/>
        <v>17537.576950019262</v>
      </c>
      <c r="M153" s="82">
        <f t="shared" si="203"/>
        <v>13586.193071719401</v>
      </c>
      <c r="N153" s="82">
        <f t="shared" si="203"/>
        <v>14873.246218117079</v>
      </c>
      <c r="O153" s="82">
        <f t="shared" si="203"/>
        <v>15109.579891334317</v>
      </c>
      <c r="P153" s="82">
        <f t="shared" si="203"/>
        <v>12972.798833233916</v>
      </c>
      <c r="Q153" s="82">
        <f t="shared" si="203"/>
        <v>14183.24572750287</v>
      </c>
      <c r="R153" s="82">
        <f t="shared" si="203"/>
        <v>13849.236384161026</v>
      </c>
      <c r="S153" s="82">
        <f t="shared" si="203"/>
        <v>14953.232908943146</v>
      </c>
      <c r="T153" s="82">
        <f t="shared" si="203"/>
        <v>14775.748109905237</v>
      </c>
      <c r="U153" s="82">
        <f t="shared" si="203"/>
        <v>16002.972261573297</v>
      </c>
      <c r="V153" s="82">
        <f t="shared" si="203"/>
        <v>15003.793383109642</v>
      </c>
      <c r="W153" s="82">
        <f t="shared" si="203"/>
        <v>16210.98544391516</v>
      </c>
      <c r="X153" s="82">
        <f t="shared" ref="X153:Y153" si="204">IF(X99=0,0,X99/X$23)</f>
        <v>12568.13781826581</v>
      </c>
      <c r="Y153" s="82">
        <f t="shared" si="204"/>
        <v>11994.055695628233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19240.563514166242</v>
      </c>
      <c r="C154" s="64">
        <f t="shared" ref="C154:W154" si="206">IF(C100=0,0,C100/C$23)</f>
        <v>18381.097921405199</v>
      </c>
      <c r="D154" s="64">
        <f t="shared" si="206"/>
        <v>16344.779673667939</v>
      </c>
      <c r="E154" s="64">
        <f t="shared" si="206"/>
        <v>18113.205098990569</v>
      </c>
      <c r="F154" s="64">
        <f t="shared" si="206"/>
        <v>16282.336477370018</v>
      </c>
      <c r="G154" s="64">
        <f t="shared" si="206"/>
        <v>15465.716378226683</v>
      </c>
      <c r="H154" s="64">
        <f t="shared" si="206"/>
        <v>14748.346948975441</v>
      </c>
      <c r="I154" s="64">
        <f t="shared" si="206"/>
        <v>13975.3918658858</v>
      </c>
      <c r="J154" s="64">
        <f t="shared" si="206"/>
        <v>13957.383023818244</v>
      </c>
      <c r="K154" s="64">
        <f t="shared" si="206"/>
        <v>13184.04651900626</v>
      </c>
      <c r="L154" s="64">
        <f t="shared" si="206"/>
        <v>14817.463640791882</v>
      </c>
      <c r="M154" s="64">
        <f t="shared" si="206"/>
        <v>10869.07672221356</v>
      </c>
      <c r="N154" s="64">
        <f t="shared" si="206"/>
        <v>12189.794154427798</v>
      </c>
      <c r="O154" s="64">
        <f t="shared" si="206"/>
        <v>12452.141830467608</v>
      </c>
      <c r="P154" s="64">
        <f t="shared" si="206"/>
        <v>10352.689371478677</v>
      </c>
      <c r="Q154" s="64">
        <f t="shared" si="206"/>
        <v>11597.406062312117</v>
      </c>
      <c r="R154" s="64">
        <f t="shared" si="206"/>
        <v>11323.191448404477</v>
      </c>
      <c r="S154" s="64">
        <f t="shared" si="206"/>
        <v>12504.839822235077</v>
      </c>
      <c r="T154" s="64">
        <f t="shared" si="206"/>
        <v>12414.716693110346</v>
      </c>
      <c r="U154" s="64">
        <f t="shared" si="206"/>
        <v>13733.515837022322</v>
      </c>
      <c r="V154" s="64">
        <f t="shared" si="206"/>
        <v>12823.545790992206</v>
      </c>
      <c r="W154" s="64">
        <f t="shared" si="206"/>
        <v>14048.283547229445</v>
      </c>
      <c r="X154" s="64">
        <f t="shared" ref="X154:Y154" si="207">IF(X100=0,0,X100/X$23)</f>
        <v>10490.505406534752</v>
      </c>
      <c r="Y154" s="64">
        <f t="shared" si="207"/>
        <v>9975.7262493683393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15358.923228040176</v>
      </c>
      <c r="C155" s="65">
        <f t="shared" ref="C155:W155" si="209">IF(C101=0,0,C101/C$23)</f>
        <v>14601.16046793227</v>
      </c>
      <c r="D155" s="65">
        <f t="shared" si="209"/>
        <v>12681.763112298057</v>
      </c>
      <c r="E155" s="65">
        <f t="shared" si="209"/>
        <v>14522.432744618025</v>
      </c>
      <c r="F155" s="65">
        <f t="shared" si="209"/>
        <v>12813.646149653545</v>
      </c>
      <c r="G155" s="65">
        <f t="shared" si="209"/>
        <v>12055.81507346656</v>
      </c>
      <c r="H155" s="65">
        <f t="shared" si="209"/>
        <v>11437.747886082427</v>
      </c>
      <c r="I155" s="65">
        <f t="shared" si="209"/>
        <v>10813.732364271318</v>
      </c>
      <c r="J155" s="65">
        <f t="shared" si="209"/>
        <v>10922.511755087573</v>
      </c>
      <c r="K155" s="65">
        <f t="shared" si="209"/>
        <v>10092.504646184918</v>
      </c>
      <c r="L155" s="65">
        <f t="shared" si="209"/>
        <v>11730.19180921013</v>
      </c>
      <c r="M155" s="65">
        <f t="shared" si="209"/>
        <v>7893.8764835655356</v>
      </c>
      <c r="N155" s="65">
        <f t="shared" si="209"/>
        <v>9236.1208645577426</v>
      </c>
      <c r="O155" s="65">
        <f t="shared" si="209"/>
        <v>9516.2766196325083</v>
      </c>
      <c r="P155" s="65">
        <f t="shared" si="209"/>
        <v>7439.8966028048553</v>
      </c>
      <c r="Q155" s="65">
        <f t="shared" si="209"/>
        <v>8674.277085758069</v>
      </c>
      <c r="R155" s="65">
        <f t="shared" si="209"/>
        <v>8481.2891070270744</v>
      </c>
      <c r="S155" s="65">
        <f t="shared" si="209"/>
        <v>9726.7967383543291</v>
      </c>
      <c r="T155" s="65">
        <f t="shared" si="209"/>
        <v>9691.366498290894</v>
      </c>
      <c r="U155" s="65">
        <f t="shared" si="209"/>
        <v>11063.987686170416</v>
      </c>
      <c r="V155" s="65">
        <f t="shared" si="209"/>
        <v>10432.826372611353</v>
      </c>
      <c r="W155" s="65">
        <f t="shared" si="209"/>
        <v>11490.315691475327</v>
      </c>
      <c r="X155" s="65">
        <f t="shared" ref="X155:Y155" si="210">IF(X101=0,0,X101/X$23)</f>
        <v>7987.6644899318117</v>
      </c>
      <c r="Y155" s="65">
        <f t="shared" si="210"/>
        <v>7456.9345491071326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69.283420261100133</v>
      </c>
      <c r="C156" s="65">
        <f t="shared" ref="C156:W156" si="212">IF(C102=0,0,C102/C$23)</f>
        <v>77.943683592593288</v>
      </c>
      <c r="D156" s="65">
        <f t="shared" si="212"/>
        <v>91.191307592080193</v>
      </c>
      <c r="E156" s="65">
        <f t="shared" si="212"/>
        <v>124.19590457399822</v>
      </c>
      <c r="F156" s="65">
        <f t="shared" si="212"/>
        <v>103.10406448099648</v>
      </c>
      <c r="G156" s="65">
        <f t="shared" si="212"/>
        <v>120.54558198368245</v>
      </c>
      <c r="H156" s="65">
        <f t="shared" si="212"/>
        <v>148.97995760468004</v>
      </c>
      <c r="I156" s="65">
        <f t="shared" si="212"/>
        <v>133.40372871874925</v>
      </c>
      <c r="J156" s="65">
        <f t="shared" si="212"/>
        <v>136.46835357424047</v>
      </c>
      <c r="K156" s="65">
        <f t="shared" si="212"/>
        <v>146.44392419209063</v>
      </c>
      <c r="L156" s="65">
        <f t="shared" si="212"/>
        <v>161.01556289592381</v>
      </c>
      <c r="M156" s="65">
        <f t="shared" si="212"/>
        <v>152.9278766766802</v>
      </c>
      <c r="N156" s="65">
        <f t="shared" si="212"/>
        <v>157.15906842278312</v>
      </c>
      <c r="O156" s="65">
        <f t="shared" si="212"/>
        <v>158.09161584531489</v>
      </c>
      <c r="P156" s="65">
        <f t="shared" si="212"/>
        <v>150.59809324545094</v>
      </c>
      <c r="Q156" s="65">
        <f t="shared" si="212"/>
        <v>167.1759801774667</v>
      </c>
      <c r="R156" s="65">
        <f t="shared" si="212"/>
        <v>147.90427924386125</v>
      </c>
      <c r="S156" s="65">
        <f t="shared" si="212"/>
        <v>143.47700967690511</v>
      </c>
      <c r="T156" s="65">
        <f t="shared" si="212"/>
        <v>158.04418467728985</v>
      </c>
      <c r="U156" s="65">
        <f t="shared" si="212"/>
        <v>154.09188983182551</v>
      </c>
      <c r="V156" s="65">
        <f t="shared" si="212"/>
        <v>149.63856254770502</v>
      </c>
      <c r="W156" s="65">
        <f t="shared" si="212"/>
        <v>126.79709150622305</v>
      </c>
      <c r="X156" s="65">
        <f t="shared" ref="X156:Y156" si="213">IF(X102=0,0,X102/X$23)</f>
        <v>129.86316244130694</v>
      </c>
      <c r="Y156" s="65">
        <f t="shared" si="213"/>
        <v>121.39620016571685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1885.6488930236692</v>
      </c>
      <c r="C157" s="65">
        <f t="shared" ref="C157:W157" si="215">IF(C103=0,0,C103/C$23)</f>
        <v>1791.239070689204</v>
      </c>
      <c r="D157" s="65">
        <f t="shared" si="215"/>
        <v>1719.0845072986413</v>
      </c>
      <c r="E157" s="65">
        <f t="shared" si="215"/>
        <v>1650.6184477812242</v>
      </c>
      <c r="F157" s="65">
        <f t="shared" si="215"/>
        <v>1584.8440849810004</v>
      </c>
      <c r="G157" s="65">
        <f t="shared" si="215"/>
        <v>1539.0222073530488</v>
      </c>
      <c r="H157" s="65">
        <f t="shared" si="215"/>
        <v>1446.0780184681819</v>
      </c>
      <c r="I157" s="65">
        <f t="shared" si="215"/>
        <v>1388.1966774049172</v>
      </c>
      <c r="J157" s="65">
        <f t="shared" si="215"/>
        <v>1324.373554030843</v>
      </c>
      <c r="K157" s="65">
        <f t="shared" si="215"/>
        <v>1307.231819225485</v>
      </c>
      <c r="L157" s="65">
        <f t="shared" si="215"/>
        <v>1299.4866234786944</v>
      </c>
      <c r="M157" s="65">
        <f t="shared" si="215"/>
        <v>1222.9812125193332</v>
      </c>
      <c r="N157" s="65">
        <f t="shared" si="215"/>
        <v>1212.7787255170749</v>
      </c>
      <c r="O157" s="65">
        <f t="shared" si="215"/>
        <v>1208.1244836803828</v>
      </c>
      <c r="P157" s="65">
        <f t="shared" si="215"/>
        <v>1221.8298874943168</v>
      </c>
      <c r="Q157" s="65">
        <f t="shared" si="215"/>
        <v>1214.8993939073575</v>
      </c>
      <c r="R157" s="65">
        <f t="shared" si="215"/>
        <v>1173.0372156436867</v>
      </c>
      <c r="S157" s="65">
        <f t="shared" si="215"/>
        <v>1161.5224308015459</v>
      </c>
      <c r="T157" s="65">
        <f t="shared" si="215"/>
        <v>1126.964863361583</v>
      </c>
      <c r="U157" s="65">
        <f t="shared" si="215"/>
        <v>1087.4041285316232</v>
      </c>
      <c r="V157" s="65">
        <f t="shared" si="215"/>
        <v>946.06356511441061</v>
      </c>
      <c r="W157" s="65">
        <f t="shared" si="215"/>
        <v>979.75873183554393</v>
      </c>
      <c r="X157" s="65">
        <f t="shared" ref="X157:Y157" si="216">IF(X103=0,0,X103/X$23)</f>
        <v>981.11404665219095</v>
      </c>
      <c r="Y157" s="65">
        <f t="shared" si="216"/>
        <v>978.41803919024119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1926.7079728412955</v>
      </c>
      <c r="C158" s="67">
        <f t="shared" ref="C158:W158" si="218">IF(C104=0,0,C104/C$23)</f>
        <v>1910.754699191132</v>
      </c>
      <c r="D158" s="67">
        <f t="shared" si="218"/>
        <v>1852.740746479165</v>
      </c>
      <c r="E158" s="67">
        <f t="shared" si="218"/>
        <v>1815.95800201732</v>
      </c>
      <c r="F158" s="67">
        <f t="shared" si="218"/>
        <v>1780.7421782544775</v>
      </c>
      <c r="G158" s="67">
        <f t="shared" si="218"/>
        <v>1750.3335154233955</v>
      </c>
      <c r="H158" s="67">
        <f t="shared" si="218"/>
        <v>1715.5410868201541</v>
      </c>
      <c r="I158" s="67">
        <f t="shared" si="218"/>
        <v>1640.0590954908139</v>
      </c>
      <c r="J158" s="67">
        <f t="shared" si="218"/>
        <v>1574.0293611255861</v>
      </c>
      <c r="K158" s="67">
        <f t="shared" si="218"/>
        <v>1637.8661294037679</v>
      </c>
      <c r="L158" s="67">
        <f t="shared" si="218"/>
        <v>1626.7696452071345</v>
      </c>
      <c r="M158" s="67">
        <f t="shared" si="218"/>
        <v>1599.2911494520104</v>
      </c>
      <c r="N158" s="67">
        <f t="shared" si="218"/>
        <v>1583.7354959302002</v>
      </c>
      <c r="O158" s="67">
        <f t="shared" si="218"/>
        <v>1569.6491113094025</v>
      </c>
      <c r="P158" s="67">
        <f t="shared" si="218"/>
        <v>1540.3647879340547</v>
      </c>
      <c r="Q158" s="67">
        <f t="shared" si="218"/>
        <v>1541.0536024692224</v>
      </c>
      <c r="R158" s="67">
        <f t="shared" si="218"/>
        <v>1520.9608464898547</v>
      </c>
      <c r="S158" s="67">
        <f t="shared" si="218"/>
        <v>1473.0436434022965</v>
      </c>
      <c r="T158" s="67">
        <f t="shared" si="218"/>
        <v>1438.3411467805799</v>
      </c>
      <c r="U158" s="67">
        <f t="shared" si="218"/>
        <v>1428.032132488454</v>
      </c>
      <c r="V158" s="67">
        <f t="shared" si="218"/>
        <v>1295.0172907187352</v>
      </c>
      <c r="W158" s="67">
        <f t="shared" si="218"/>
        <v>1451.412032412348</v>
      </c>
      <c r="X158" s="67">
        <f t="shared" ref="X158:Y158" si="219">IF(X104=0,0,X104/X$23)</f>
        <v>1391.8637075094437</v>
      </c>
      <c r="Y158" s="67">
        <f t="shared" si="219"/>
        <v>1418.9774609052502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2715.8776683424876</v>
      </c>
      <c r="C159" s="68">
        <f t="shared" ref="C159:W159" si="221">IF(C105=0,0,C105/C$23)</f>
        <v>2674.8201909500349</v>
      </c>
      <c r="D159" s="68">
        <f t="shared" si="221"/>
        <v>2713.183590689177</v>
      </c>
      <c r="E159" s="68">
        <f t="shared" si="221"/>
        <v>2767.9058484394759</v>
      </c>
      <c r="F159" s="68">
        <f t="shared" si="221"/>
        <v>2815.523891241467</v>
      </c>
      <c r="G159" s="68">
        <f t="shared" si="221"/>
        <v>2845.3848468186075</v>
      </c>
      <c r="H159" s="68">
        <f t="shared" si="221"/>
        <v>2813.8813117094301</v>
      </c>
      <c r="I159" s="68">
        <f t="shared" si="221"/>
        <v>2759.7918552155684</v>
      </c>
      <c r="J159" s="68">
        <f t="shared" si="221"/>
        <v>2694.6793711097716</v>
      </c>
      <c r="K159" s="68">
        <f t="shared" si="221"/>
        <v>2714.9365630580082</v>
      </c>
      <c r="L159" s="68">
        <f t="shared" si="221"/>
        <v>2720.1133092273799</v>
      </c>
      <c r="M159" s="68">
        <f t="shared" si="221"/>
        <v>2717.1163495058404</v>
      </c>
      <c r="N159" s="68">
        <f t="shared" si="221"/>
        <v>2683.4520636892803</v>
      </c>
      <c r="O159" s="68">
        <f t="shared" si="221"/>
        <v>2657.4380608667097</v>
      </c>
      <c r="P159" s="68">
        <f t="shared" si="221"/>
        <v>2620.109461755238</v>
      </c>
      <c r="Q159" s="68">
        <f t="shared" si="221"/>
        <v>2585.8396651907537</v>
      </c>
      <c r="R159" s="68">
        <f t="shared" si="221"/>
        <v>2526.0449357565471</v>
      </c>
      <c r="S159" s="68">
        <f t="shared" si="221"/>
        <v>2448.3930867080671</v>
      </c>
      <c r="T159" s="68">
        <f t="shared" si="221"/>
        <v>2361.0314167948895</v>
      </c>
      <c r="U159" s="68">
        <f t="shared" si="221"/>
        <v>2269.4564245509755</v>
      </c>
      <c r="V159" s="68">
        <f t="shared" si="221"/>
        <v>2180.2475921174364</v>
      </c>
      <c r="W159" s="68">
        <f t="shared" si="221"/>
        <v>2162.7018966857163</v>
      </c>
      <c r="X159" s="68">
        <f t="shared" ref="X159:Y159" si="222">IF(X105=0,0,X105/X$23)</f>
        <v>2077.632411731056</v>
      </c>
      <c r="Y159" s="68">
        <f t="shared" si="222"/>
        <v>2018.3294462598906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11304.402026014199</v>
      </c>
      <c r="C161" s="85">
        <f t="shared" ref="C161:W161" si="224">IF(C107=0,0,C107/C$23)</f>
        <v>11155.633331011713</v>
      </c>
      <c r="D161" s="85">
        <f t="shared" si="224"/>
        <v>9922.1313327740208</v>
      </c>
      <c r="E161" s="85">
        <f t="shared" si="224"/>
        <v>11543.873656387817</v>
      </c>
      <c r="F161" s="85">
        <f t="shared" si="224"/>
        <v>10456.961549309293</v>
      </c>
      <c r="G161" s="85">
        <f t="shared" si="224"/>
        <v>10222.069409440937</v>
      </c>
      <c r="H161" s="85">
        <f t="shared" si="224"/>
        <v>9967.87664021401</v>
      </c>
      <c r="I161" s="85">
        <f t="shared" si="224"/>
        <v>9623.367471497646</v>
      </c>
      <c r="J161" s="85">
        <f t="shared" si="224"/>
        <v>9684.0730849567772</v>
      </c>
      <c r="K161" s="85">
        <f t="shared" si="224"/>
        <v>9129.4780117397204</v>
      </c>
      <c r="L161" s="85">
        <f t="shared" si="224"/>
        <v>10225.084352972586</v>
      </c>
      <c r="M161" s="85">
        <f t="shared" si="224"/>
        <v>7986.019311500937</v>
      </c>
      <c r="N161" s="85">
        <f t="shared" si="224"/>
        <v>8833.6002363952321</v>
      </c>
      <c r="O161" s="85">
        <f t="shared" si="224"/>
        <v>9142.035329819817</v>
      </c>
      <c r="P161" s="85">
        <f t="shared" si="224"/>
        <v>7679.5353645189371</v>
      </c>
      <c r="Q161" s="85">
        <f t="shared" si="224"/>
        <v>8609.6500146932067</v>
      </c>
      <c r="R161" s="85">
        <f t="shared" si="224"/>
        <v>8388.0993337444361</v>
      </c>
      <c r="S161" s="85">
        <f t="shared" si="224"/>
        <v>9411.8377928746922</v>
      </c>
      <c r="T161" s="85">
        <f t="shared" si="224"/>
        <v>9480.8653279593254</v>
      </c>
      <c r="U161" s="85">
        <f t="shared" si="224"/>
        <v>10520.759410769311</v>
      </c>
      <c r="V161" s="85">
        <f t="shared" si="224"/>
        <v>10167.20940361521</v>
      </c>
      <c r="W161" s="85">
        <f t="shared" si="224"/>
        <v>11088.481867433744</v>
      </c>
      <c r="X161" s="85">
        <f t="shared" ref="X161:Y161" si="225">IF(X107=0,0,X107/X$23)</f>
        <v>8558.5829068783678</v>
      </c>
      <c r="Y161" s="85">
        <f t="shared" si="225"/>
        <v>8238.8134436158471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8715.8960863375451</v>
      </c>
      <c r="C162" s="65">
        <f t="shared" ref="C162:W162" si="227">IF(C108=0,0,C108/C$23)</f>
        <v>8637.8541656488505</v>
      </c>
      <c r="D162" s="65">
        <f t="shared" si="227"/>
        <v>7391.0502321253898</v>
      </c>
      <c r="E162" s="65">
        <f t="shared" si="227"/>
        <v>8940.4646582588066</v>
      </c>
      <c r="F162" s="65">
        <f t="shared" si="227"/>
        <v>7937.080399176436</v>
      </c>
      <c r="G162" s="65">
        <f t="shared" si="227"/>
        <v>7676.2620193118573</v>
      </c>
      <c r="H162" s="65">
        <f t="shared" si="227"/>
        <v>7397.490847366018</v>
      </c>
      <c r="I162" s="65">
        <f t="shared" si="227"/>
        <v>7151.0890032337447</v>
      </c>
      <c r="J162" s="65">
        <f t="shared" si="227"/>
        <v>7259.7760009282592</v>
      </c>
      <c r="K162" s="65">
        <f t="shared" si="227"/>
        <v>6668.7014330701413</v>
      </c>
      <c r="L162" s="65">
        <f t="shared" si="227"/>
        <v>7726.4630996275055</v>
      </c>
      <c r="M162" s="65">
        <f t="shared" si="227"/>
        <v>5547.7854331986755</v>
      </c>
      <c r="N162" s="65">
        <f t="shared" si="227"/>
        <v>6370.7738017366337</v>
      </c>
      <c r="O162" s="65">
        <f t="shared" si="227"/>
        <v>6650.8883844179072</v>
      </c>
      <c r="P162" s="65">
        <f t="shared" si="227"/>
        <v>5184.9747230603089</v>
      </c>
      <c r="Q162" s="65">
        <f t="shared" si="227"/>
        <v>6029.0058376441411</v>
      </c>
      <c r="R162" s="65">
        <f t="shared" si="227"/>
        <v>5891.1846069749599</v>
      </c>
      <c r="S162" s="65">
        <f t="shared" si="227"/>
        <v>6921.0033557579955</v>
      </c>
      <c r="T162" s="65">
        <f t="shared" si="227"/>
        <v>6940.1027449089415</v>
      </c>
      <c r="U162" s="65">
        <f t="shared" si="227"/>
        <v>7999.8367320601965</v>
      </c>
      <c r="V162" s="65">
        <f t="shared" si="227"/>
        <v>7815.5702382004756</v>
      </c>
      <c r="W162" s="65">
        <f t="shared" si="227"/>
        <v>8687.9647474490448</v>
      </c>
      <c r="X162" s="65">
        <f t="shared" ref="X162:Y162" si="228">IF(X108=0,0,X108/X$23)</f>
        <v>6156.4559262030589</v>
      </c>
      <c r="Y162" s="65">
        <f t="shared" si="228"/>
        <v>5835.5854205588748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128.73351819584656</v>
      </c>
      <c r="C163" s="65">
        <f t="shared" ref="C163:W163" si="230">IF(C109=0,0,C109/C$23)</f>
        <v>156.28969101084851</v>
      </c>
      <c r="D163" s="65">
        <f t="shared" si="230"/>
        <v>195.96391921770649</v>
      </c>
      <c r="E163" s="65">
        <f t="shared" si="230"/>
        <v>280.3652953534957</v>
      </c>
      <c r="F163" s="65">
        <f t="shared" si="230"/>
        <v>244.307060483822</v>
      </c>
      <c r="G163" s="65">
        <f t="shared" si="230"/>
        <v>302.45155369203428</v>
      </c>
      <c r="H163" s="65">
        <f t="shared" si="230"/>
        <v>390.56874292390967</v>
      </c>
      <c r="I163" s="65">
        <f t="shared" si="230"/>
        <v>366.45044714453115</v>
      </c>
      <c r="J163" s="65">
        <f t="shared" si="230"/>
        <v>391.66429076481984</v>
      </c>
      <c r="K163" s="65">
        <f t="shared" si="230"/>
        <v>430.06906416778031</v>
      </c>
      <c r="L163" s="65">
        <f t="shared" si="230"/>
        <v>487.64594694156193</v>
      </c>
      <c r="M163" s="65">
        <f t="shared" si="230"/>
        <v>480.72290495635553</v>
      </c>
      <c r="N163" s="65">
        <f t="shared" si="230"/>
        <v>511.83140674860118</v>
      </c>
      <c r="O163" s="65">
        <f t="shared" si="230"/>
        <v>530.97850248874363</v>
      </c>
      <c r="P163" s="65">
        <f t="shared" si="230"/>
        <v>522.81469849200664</v>
      </c>
      <c r="Q163" s="65">
        <f t="shared" si="230"/>
        <v>601.27155915640617</v>
      </c>
      <c r="R163" s="65">
        <f t="shared" si="230"/>
        <v>545.37236661440318</v>
      </c>
      <c r="S163" s="65">
        <f t="shared" si="230"/>
        <v>545.37836463153747</v>
      </c>
      <c r="T163" s="65">
        <f t="shared" si="230"/>
        <v>621.31291046427987</v>
      </c>
      <c r="U163" s="65">
        <f t="shared" si="230"/>
        <v>619.69730468036062</v>
      </c>
      <c r="V163" s="65">
        <f t="shared" si="230"/>
        <v>613.26854332013318</v>
      </c>
      <c r="W163" s="65">
        <f t="shared" si="230"/>
        <v>523.7836757105963</v>
      </c>
      <c r="X163" s="65">
        <f t="shared" ref="X163:Y163" si="231">IF(X109=0,0,X109/X$23)</f>
        <v>549.86252437446706</v>
      </c>
      <c r="Y163" s="65">
        <f t="shared" si="231"/>
        <v>519.54992680685632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1185.5398148756328</v>
      </c>
      <c r="C164" s="65">
        <f t="shared" ref="C164:W164" si="233">IF(C110=0,0,C110/C$23)</f>
        <v>1133.4582657367869</v>
      </c>
      <c r="D164" s="65">
        <f t="shared" si="233"/>
        <v>1102.7798723699595</v>
      </c>
      <c r="E164" s="65">
        <f t="shared" si="233"/>
        <v>1079.430130109113</v>
      </c>
      <c r="F164" s="65">
        <f t="shared" si="233"/>
        <v>1042.8335708823865</v>
      </c>
      <c r="G164" s="65">
        <f t="shared" si="233"/>
        <v>1019.14850340544</v>
      </c>
      <c r="H164" s="65">
        <f t="shared" si="233"/>
        <v>977.09411309988104</v>
      </c>
      <c r="I164" s="65">
        <f t="shared" si="233"/>
        <v>946.61219789333552</v>
      </c>
      <c r="J164" s="65">
        <f t="shared" si="233"/>
        <v>909.93586896791146</v>
      </c>
      <c r="K164" s="65">
        <f t="shared" si="233"/>
        <v>906.53090709049445</v>
      </c>
      <c r="L164" s="65">
        <f t="shared" si="233"/>
        <v>891.90972345091348</v>
      </c>
      <c r="M164" s="65">
        <f t="shared" si="233"/>
        <v>856.35349442546283</v>
      </c>
      <c r="N164" s="65">
        <f t="shared" si="233"/>
        <v>852.67199514806111</v>
      </c>
      <c r="O164" s="65">
        <f t="shared" si="233"/>
        <v>860.54794595985129</v>
      </c>
      <c r="P164" s="65">
        <f t="shared" si="233"/>
        <v>872.56465525764668</v>
      </c>
      <c r="Q164" s="65">
        <f t="shared" si="233"/>
        <v>872.91280744508754</v>
      </c>
      <c r="R164" s="65">
        <f t="shared" si="233"/>
        <v>852.32184891001532</v>
      </c>
      <c r="S164" s="65">
        <f t="shared" si="233"/>
        <v>857.38028499130553</v>
      </c>
      <c r="T164" s="65">
        <f t="shared" si="233"/>
        <v>839.93093270807503</v>
      </c>
      <c r="U164" s="65">
        <f t="shared" si="233"/>
        <v>823.12713627262519</v>
      </c>
      <c r="V164" s="65">
        <f t="shared" si="233"/>
        <v>736.7842180123871</v>
      </c>
      <c r="W164" s="65">
        <f t="shared" si="233"/>
        <v>766.10758522946082</v>
      </c>
      <c r="X164" s="65">
        <f t="shared" ref="X164:Y164" si="234">IF(X110=0,0,X110/X$23)</f>
        <v>790.47278712233913</v>
      </c>
      <c r="Y164" s="65">
        <f t="shared" si="234"/>
        <v>805.28257257154758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1274.2326066051771</v>
      </c>
      <c r="C165" s="68">
        <f t="shared" ref="C165:W165" si="236">IF(C111=0,0,C111/C$23)</f>
        <v>1228.031208615228</v>
      </c>
      <c r="D165" s="68">
        <f t="shared" si="236"/>
        <v>1232.3373090609653</v>
      </c>
      <c r="E165" s="68">
        <f t="shared" si="236"/>
        <v>1243.6135726664036</v>
      </c>
      <c r="F165" s="68">
        <f t="shared" si="236"/>
        <v>1232.7405187666491</v>
      </c>
      <c r="G165" s="68">
        <f t="shared" si="236"/>
        <v>1224.2073330316048</v>
      </c>
      <c r="H165" s="68">
        <f t="shared" si="236"/>
        <v>1202.722936824201</v>
      </c>
      <c r="I165" s="68">
        <f t="shared" si="236"/>
        <v>1159.2158232260342</v>
      </c>
      <c r="J165" s="68">
        <f t="shared" si="236"/>
        <v>1122.6969242957869</v>
      </c>
      <c r="K165" s="68">
        <f t="shared" si="236"/>
        <v>1124.1766074113034</v>
      </c>
      <c r="L165" s="68">
        <f t="shared" si="236"/>
        <v>1119.0655829526054</v>
      </c>
      <c r="M165" s="68">
        <f t="shared" si="236"/>
        <v>1101.1574789204431</v>
      </c>
      <c r="N165" s="68">
        <f t="shared" si="236"/>
        <v>1098.3230327619365</v>
      </c>
      <c r="O165" s="68">
        <f t="shared" si="236"/>
        <v>1099.6204969533148</v>
      </c>
      <c r="P165" s="68">
        <f t="shared" si="236"/>
        <v>1099.1812877089747</v>
      </c>
      <c r="Q165" s="68">
        <f t="shared" si="236"/>
        <v>1106.4598104475722</v>
      </c>
      <c r="R165" s="68">
        <f t="shared" si="236"/>
        <v>1099.2205112450581</v>
      </c>
      <c r="S165" s="68">
        <f t="shared" si="236"/>
        <v>1088.0757874938515</v>
      </c>
      <c r="T165" s="68">
        <f t="shared" si="236"/>
        <v>1079.5187398780299</v>
      </c>
      <c r="U165" s="68">
        <f t="shared" si="236"/>
        <v>1078.0982377561293</v>
      </c>
      <c r="V165" s="68">
        <f t="shared" si="236"/>
        <v>1001.5864040822142</v>
      </c>
      <c r="W165" s="68">
        <f t="shared" si="236"/>
        <v>1110.6258590446421</v>
      </c>
      <c r="X165" s="68">
        <f t="shared" ref="X165:Y165" si="237">IF(X111=0,0,X111/X$23)</f>
        <v>1061.7916691785026</v>
      </c>
      <c r="Y165" s="68">
        <f t="shared" si="237"/>
        <v>1078.3955236785685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2818.9334220899209</v>
      </c>
      <c r="C167" s="82">
        <f t="shared" ref="C167:W167" si="239">IF(C113=0,0,C113/C$23)</f>
        <v>2455.7144648949979</v>
      </c>
      <c r="D167" s="82">
        <f t="shared" si="239"/>
        <v>2346.3455838177165</v>
      </c>
      <c r="E167" s="82">
        <f t="shared" si="239"/>
        <v>2249.427647995632</v>
      </c>
      <c r="F167" s="82">
        <f t="shared" si="239"/>
        <v>2024.0982167971342</v>
      </c>
      <c r="G167" s="82">
        <f t="shared" si="239"/>
        <v>1748.4664351851845</v>
      </c>
      <c r="H167" s="82">
        <f t="shared" si="239"/>
        <v>1579.6845378647956</v>
      </c>
      <c r="I167" s="82">
        <f t="shared" si="239"/>
        <v>1337.7821985233793</v>
      </c>
      <c r="J167" s="82">
        <f t="shared" si="239"/>
        <v>1374.1850018517148</v>
      </c>
      <c r="K167" s="82">
        <f t="shared" si="239"/>
        <v>1424.383897111717</v>
      </c>
      <c r="L167" s="82">
        <f t="shared" si="239"/>
        <v>1760.6811443189101</v>
      </c>
      <c r="M167" s="82">
        <f t="shared" si="239"/>
        <v>1031.7713700104939</v>
      </c>
      <c r="N167" s="82">
        <f t="shared" si="239"/>
        <v>1341.743946217892</v>
      </c>
      <c r="O167" s="82">
        <f t="shared" si="239"/>
        <v>1397.3507083979041</v>
      </c>
      <c r="P167" s="82">
        <f t="shared" si="239"/>
        <v>1183.8573213363995</v>
      </c>
      <c r="Q167" s="82">
        <f t="shared" si="239"/>
        <v>1462.7273873836193</v>
      </c>
      <c r="R167" s="82">
        <f t="shared" si="239"/>
        <v>1498.406657978815</v>
      </c>
      <c r="S167" s="82">
        <f t="shared" si="239"/>
        <v>1543.8669124066339</v>
      </c>
      <c r="T167" s="82">
        <f t="shared" si="239"/>
        <v>1553.3272467281372</v>
      </c>
      <c r="U167" s="82">
        <f t="shared" si="239"/>
        <v>1738.0282196807714</v>
      </c>
      <c r="V167" s="82">
        <f t="shared" si="239"/>
        <v>1410.7095782923077</v>
      </c>
      <c r="W167" s="82">
        <f t="shared" si="239"/>
        <v>1559.4168086655527</v>
      </c>
      <c r="X167" s="82">
        <f t="shared" ref="X167:Y167" si="240">IF(X113=0,0,X113/X$23)</f>
        <v>1149.8203356876002</v>
      </c>
      <c r="Y167" s="82">
        <f t="shared" si="240"/>
        <v>1079.657326858151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2818.9334220899209</v>
      </c>
      <c r="C168" s="64">
        <f t="shared" ref="C168:W168" si="242">IF(C114=0,0,C114/C$23)</f>
        <v>2455.7144648949979</v>
      </c>
      <c r="D168" s="64">
        <f t="shared" si="242"/>
        <v>2346.3455838177165</v>
      </c>
      <c r="E168" s="64">
        <f t="shared" si="242"/>
        <v>2249.427647995632</v>
      </c>
      <c r="F168" s="64">
        <f t="shared" si="242"/>
        <v>2024.0982167971342</v>
      </c>
      <c r="G168" s="64">
        <f t="shared" si="242"/>
        <v>1748.4664351851845</v>
      </c>
      <c r="H168" s="64">
        <f t="shared" si="242"/>
        <v>1579.6845378647956</v>
      </c>
      <c r="I168" s="64">
        <f t="shared" si="242"/>
        <v>1337.7821985233793</v>
      </c>
      <c r="J168" s="64">
        <f t="shared" si="242"/>
        <v>1374.1850018517148</v>
      </c>
      <c r="K168" s="64">
        <f t="shared" si="242"/>
        <v>1424.383897111717</v>
      </c>
      <c r="L168" s="64">
        <f t="shared" si="242"/>
        <v>1760.6811443189101</v>
      </c>
      <c r="M168" s="64">
        <f t="shared" si="242"/>
        <v>1031.7713700104939</v>
      </c>
      <c r="N168" s="64">
        <f t="shared" si="242"/>
        <v>1341.743946217892</v>
      </c>
      <c r="O168" s="64">
        <f t="shared" si="242"/>
        <v>1397.3507083979041</v>
      </c>
      <c r="P168" s="64">
        <f t="shared" si="242"/>
        <v>1183.8573213363995</v>
      </c>
      <c r="Q168" s="64">
        <f t="shared" si="242"/>
        <v>1462.7273873836193</v>
      </c>
      <c r="R168" s="64">
        <f t="shared" si="242"/>
        <v>1498.406657978815</v>
      </c>
      <c r="S168" s="64">
        <f t="shared" si="242"/>
        <v>1543.8669124066339</v>
      </c>
      <c r="T168" s="64">
        <f t="shared" si="242"/>
        <v>1553.3272467281372</v>
      </c>
      <c r="U168" s="64">
        <f t="shared" si="242"/>
        <v>1738.0282196807714</v>
      </c>
      <c r="V168" s="64">
        <f t="shared" si="242"/>
        <v>1410.7095782923077</v>
      </c>
      <c r="W168" s="64">
        <f t="shared" si="242"/>
        <v>1559.4168086655527</v>
      </c>
      <c r="X168" s="64">
        <f t="shared" ref="X168:Y168" si="243">IF(X114=0,0,X114/X$23)</f>
        <v>1149.8203356876002</v>
      </c>
      <c r="Y168" s="64">
        <f t="shared" si="243"/>
        <v>1079.657326858151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2386.1194465450735</v>
      </c>
      <c r="C169" s="65">
        <f t="shared" ref="C169:W169" si="245">IF(C115=0,0,C115/C$23)</f>
        <v>1991.3220642154788</v>
      </c>
      <c r="D169" s="65">
        <f t="shared" si="245"/>
        <v>1938.6834291410928</v>
      </c>
      <c r="E169" s="65">
        <f t="shared" si="245"/>
        <v>1883.117455723524</v>
      </c>
      <c r="F169" s="65">
        <f t="shared" si="245"/>
        <v>1679.8787031257191</v>
      </c>
      <c r="G169" s="65">
        <f t="shared" si="245"/>
        <v>1426.3892933288973</v>
      </c>
      <c r="H169" s="65">
        <f t="shared" si="245"/>
        <v>1293.8222778601496</v>
      </c>
      <c r="I169" s="65">
        <f t="shared" si="245"/>
        <v>1077.7618997837915</v>
      </c>
      <c r="J169" s="65">
        <f t="shared" si="245"/>
        <v>1134.2417110167917</v>
      </c>
      <c r="K169" s="65">
        <f t="shared" si="245"/>
        <v>1129.8133326607317</v>
      </c>
      <c r="L169" s="65">
        <f t="shared" si="245"/>
        <v>1442.9359283761748</v>
      </c>
      <c r="M169" s="65">
        <f t="shared" si="245"/>
        <v>740.32573918842547</v>
      </c>
      <c r="N169" s="65">
        <f t="shared" si="245"/>
        <v>1047.8894827057095</v>
      </c>
      <c r="O169" s="65">
        <f t="shared" si="245"/>
        <v>1114.4056949434223</v>
      </c>
      <c r="P169" s="65">
        <f t="shared" si="245"/>
        <v>916.07647405586397</v>
      </c>
      <c r="Q169" s="65">
        <f t="shared" si="245"/>
        <v>1191.0156087830787</v>
      </c>
      <c r="R169" s="65">
        <f t="shared" si="245"/>
        <v>1232.5415692137715</v>
      </c>
      <c r="S169" s="65">
        <f t="shared" si="245"/>
        <v>1305.4030769300994</v>
      </c>
      <c r="T169" s="65">
        <f t="shared" si="245"/>
        <v>1326.7992390643824</v>
      </c>
      <c r="U169" s="65">
        <f t="shared" si="245"/>
        <v>1509.9481879417981</v>
      </c>
      <c r="V169" s="65">
        <f t="shared" si="245"/>
        <v>1242.8224422486155</v>
      </c>
      <c r="W169" s="65">
        <f t="shared" si="245"/>
        <v>1344.3996246873648</v>
      </c>
      <c r="X169" s="65">
        <f t="shared" ref="X169:Y169" si="246">IF(X115=0,0,X115/X$23)</f>
        <v>951.85132920336741</v>
      </c>
      <c r="Y169" s="65">
        <f t="shared" si="246"/>
        <v>871.89572170039537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8.9391600514035136E-2</v>
      </c>
      <c r="C170" s="65">
        <f t="shared" ref="C170:W170" si="248">IF(C116=0,0,C116/C$23)</f>
        <v>0.1148181716311021</v>
      </c>
      <c r="D170" s="65">
        <f t="shared" si="248"/>
        <v>0.17245432708086758</v>
      </c>
      <c r="E170" s="65">
        <f t="shared" si="248"/>
        <v>0.16955869113394417</v>
      </c>
      <c r="F170" s="65">
        <f t="shared" si="248"/>
        <v>0.25532200136436695</v>
      </c>
      <c r="G170" s="65">
        <f t="shared" si="248"/>
        <v>0.29037829921187464</v>
      </c>
      <c r="H170" s="65">
        <f t="shared" si="248"/>
        <v>0.39137262025824576</v>
      </c>
      <c r="I170" s="65">
        <f t="shared" si="248"/>
        <v>0.46037539982208153</v>
      </c>
      <c r="J170" s="65">
        <f t="shared" si="248"/>
        <v>0.48760382121833845</v>
      </c>
      <c r="K170" s="65">
        <f t="shared" si="248"/>
        <v>0.65310061412422749</v>
      </c>
      <c r="L170" s="65">
        <f t="shared" si="248"/>
        <v>0.62944003431307594</v>
      </c>
      <c r="M170" s="65">
        <f t="shared" si="248"/>
        <v>0.65757730182000451</v>
      </c>
      <c r="N170" s="65">
        <f t="shared" si="248"/>
        <v>0.73079232766380864</v>
      </c>
      <c r="O170" s="65">
        <f t="shared" si="248"/>
        <v>0.86985607036863499</v>
      </c>
      <c r="P170" s="65">
        <f t="shared" si="248"/>
        <v>1.1163304717794056</v>
      </c>
      <c r="Q170" s="65">
        <f t="shared" si="248"/>
        <v>1.4916462941074398</v>
      </c>
      <c r="R170" s="65">
        <f t="shared" si="248"/>
        <v>1.8264920836435854</v>
      </c>
      <c r="S170" s="65">
        <f t="shared" si="248"/>
        <v>2.0962104377040127</v>
      </c>
      <c r="T170" s="65">
        <f t="shared" si="248"/>
        <v>2.3166973197640344</v>
      </c>
      <c r="U170" s="65">
        <f t="shared" si="248"/>
        <v>2.4705932702913755</v>
      </c>
      <c r="V170" s="65">
        <f t="shared" si="248"/>
        <v>2.6077818507809085</v>
      </c>
      <c r="W170" s="65">
        <f t="shared" si="248"/>
        <v>2.6931533535698238</v>
      </c>
      <c r="X170" s="65">
        <f t="shared" ref="X170:Y170" si="249">IF(X116=0,0,X116/X$23)</f>
        <v>2.41619726886994</v>
      </c>
      <c r="Y170" s="65">
        <f t="shared" si="249"/>
        <v>2.3056374368220536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181.81734240734411</v>
      </c>
      <c r="C171" s="65">
        <f t="shared" ref="C171:W171" si="251">IF(C117=0,0,C117/C$23)</f>
        <v>170.54339888149102</v>
      </c>
      <c r="D171" s="65">
        <f t="shared" si="251"/>
        <v>169.55535182048732</v>
      </c>
      <c r="E171" s="65">
        <f t="shared" si="251"/>
        <v>171.94982871221555</v>
      </c>
      <c r="F171" s="65">
        <f t="shared" si="251"/>
        <v>165.97366662104497</v>
      </c>
      <c r="G171" s="65">
        <f t="shared" si="251"/>
        <v>158.21443444275766</v>
      </c>
      <c r="H171" s="65">
        <f t="shared" si="251"/>
        <v>126.01710933172812</v>
      </c>
      <c r="I171" s="65">
        <f t="shared" si="251"/>
        <v>115.02939301026858</v>
      </c>
      <c r="J171" s="65">
        <f t="shared" si="251"/>
        <v>109.1747348124085</v>
      </c>
      <c r="K171" s="65">
        <f t="shared" si="251"/>
        <v>103.33727845891346</v>
      </c>
      <c r="L171" s="65">
        <f t="shared" si="251"/>
        <v>128.79179929730483</v>
      </c>
      <c r="M171" s="65">
        <f t="shared" si="251"/>
        <v>106.63911517120215</v>
      </c>
      <c r="N171" s="65">
        <f t="shared" si="251"/>
        <v>117.36359019462796</v>
      </c>
      <c r="O171" s="65">
        <f t="shared" si="251"/>
        <v>116.94739460783487</v>
      </c>
      <c r="P171" s="65">
        <f t="shared" si="251"/>
        <v>122.80050545162817</v>
      </c>
      <c r="Q171" s="65">
        <f t="shared" si="251"/>
        <v>129.1790032898295</v>
      </c>
      <c r="R171" s="65">
        <f t="shared" si="251"/>
        <v>127.66260859939075</v>
      </c>
      <c r="S171" s="65">
        <f t="shared" si="251"/>
        <v>123.16135217636089</v>
      </c>
      <c r="T171" s="65">
        <f t="shared" si="251"/>
        <v>125.02978559660538</v>
      </c>
      <c r="U171" s="65">
        <f t="shared" si="251"/>
        <v>125.88284546812596</v>
      </c>
      <c r="V171" s="65">
        <f t="shared" si="251"/>
        <v>91.726838219176983</v>
      </c>
      <c r="W171" s="65">
        <f t="shared" si="251"/>
        <v>111.90548987994597</v>
      </c>
      <c r="X171" s="65">
        <f t="shared" ref="X171:Y171" si="252">IF(X117=0,0,X117/X$23)</f>
        <v>93.263200164847106</v>
      </c>
      <c r="Y171" s="65">
        <f t="shared" si="252"/>
        <v>89.371076908600728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250.90724153698858</v>
      </c>
      <c r="C172" s="67">
        <f t="shared" ref="C172:W172" si="254">IF(C118=0,0,C118/C$23)</f>
        <v>293.73418362639677</v>
      </c>
      <c r="D172" s="67">
        <f t="shared" si="254"/>
        <v>237.93434852905523</v>
      </c>
      <c r="E172" s="67">
        <f t="shared" si="254"/>
        <v>194.19080486875825</v>
      </c>
      <c r="F172" s="67">
        <f t="shared" si="254"/>
        <v>177.99052504900592</v>
      </c>
      <c r="G172" s="67">
        <f t="shared" si="254"/>
        <v>163.57232911431782</v>
      </c>
      <c r="H172" s="67">
        <f t="shared" si="254"/>
        <v>159.45377805265974</v>
      </c>
      <c r="I172" s="67">
        <f t="shared" si="254"/>
        <v>144.53053032949745</v>
      </c>
      <c r="J172" s="67">
        <f t="shared" si="254"/>
        <v>130.28095220129643</v>
      </c>
      <c r="K172" s="67">
        <f t="shared" si="254"/>
        <v>190.58018537794757</v>
      </c>
      <c r="L172" s="67">
        <f t="shared" si="254"/>
        <v>188.32397661111736</v>
      </c>
      <c r="M172" s="67">
        <f t="shared" si="254"/>
        <v>184.14893834904623</v>
      </c>
      <c r="N172" s="67">
        <f t="shared" si="254"/>
        <v>175.7600809898907</v>
      </c>
      <c r="O172" s="67">
        <f t="shared" si="254"/>
        <v>165.12776277627805</v>
      </c>
      <c r="P172" s="67">
        <f t="shared" si="254"/>
        <v>143.86401135712802</v>
      </c>
      <c r="Q172" s="67">
        <f t="shared" si="254"/>
        <v>141.04112901660386</v>
      </c>
      <c r="R172" s="67">
        <f t="shared" si="254"/>
        <v>136.37598808200906</v>
      </c>
      <c r="S172" s="67">
        <f t="shared" si="254"/>
        <v>113.20627286246962</v>
      </c>
      <c r="T172" s="67">
        <f t="shared" si="254"/>
        <v>99.181524747385495</v>
      </c>
      <c r="U172" s="67">
        <f t="shared" si="254"/>
        <v>99.726593000555795</v>
      </c>
      <c r="V172" s="67">
        <f t="shared" si="254"/>
        <v>73.552515973734245</v>
      </c>
      <c r="W172" s="67">
        <f t="shared" si="254"/>
        <v>100.41854074467182</v>
      </c>
      <c r="X172" s="67">
        <f t="shared" ref="X172:Y172" si="255">IF(X118=0,0,X118/X$23)</f>
        <v>102.28960905051578</v>
      </c>
      <c r="Y172" s="67">
        <f t="shared" si="255"/>
        <v>116.08489081233276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7954.1159527192731</v>
      </c>
      <c r="C3" s="124">
        <f t="shared" si="0"/>
        <v>8012.4159424764857</v>
      </c>
      <c r="D3" s="124">
        <f t="shared" si="0"/>
        <v>8082.9345498232242</v>
      </c>
      <c r="E3" s="124">
        <f t="shared" si="0"/>
        <v>8108.7540453633383</v>
      </c>
      <c r="F3" s="124">
        <f t="shared" si="0"/>
        <v>8180.5927727447524</v>
      </c>
      <c r="G3" s="124">
        <f t="shared" si="0"/>
        <v>8270.4167541168717</v>
      </c>
      <c r="H3" s="124">
        <f t="shared" si="0"/>
        <v>8331.3727317224966</v>
      </c>
      <c r="I3" s="124">
        <f t="shared" si="0"/>
        <v>8400.1394414273182</v>
      </c>
      <c r="J3" s="124">
        <f t="shared" si="0"/>
        <v>8454.2159061417497</v>
      </c>
      <c r="K3" s="124">
        <f t="shared" si="0"/>
        <v>8503.4423432468211</v>
      </c>
      <c r="L3" s="124">
        <f t="shared" si="0"/>
        <v>8539.0726714880784</v>
      </c>
      <c r="M3" s="124">
        <f t="shared" si="0"/>
        <v>8679.9151458874112</v>
      </c>
      <c r="N3" s="124">
        <f t="shared" si="0"/>
        <v>8823.1127626388989</v>
      </c>
      <c r="O3" s="124">
        <f t="shared" si="0"/>
        <v>9012.0511650175249</v>
      </c>
      <c r="P3" s="124">
        <f t="shared" si="0"/>
        <v>9227.3113972218216</v>
      </c>
      <c r="Q3" s="124">
        <f t="shared" si="0"/>
        <v>9411.9931667238943</v>
      </c>
      <c r="R3" s="124">
        <f t="shared" si="0"/>
        <v>9615.7558378806116</v>
      </c>
      <c r="S3" s="124">
        <f t="shared" si="0"/>
        <v>9808.901828552087</v>
      </c>
      <c r="T3" s="124">
        <f t="shared" si="0"/>
        <v>10002.450883549503</v>
      </c>
      <c r="U3" s="124">
        <f t="shared" si="0"/>
        <v>10195.044625993396</v>
      </c>
      <c r="V3" s="124">
        <f t="shared" si="0"/>
        <v>10384.930000000002</v>
      </c>
      <c r="W3" s="124">
        <f t="shared" si="0"/>
        <v>10571.569721883634</v>
      </c>
      <c r="X3" s="124">
        <f t="shared" si="0"/>
        <v>10756.519452447508</v>
      </c>
      <c r="Y3" s="124">
        <f t="shared" si="0"/>
        <v>10939.648976087894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7954.1159527192731</v>
      </c>
      <c r="C4" s="139">
        <f t="shared" si="1"/>
        <v>8012.4159424764857</v>
      </c>
      <c r="D4" s="139">
        <f t="shared" si="1"/>
        <v>8082.9345498232242</v>
      </c>
      <c r="E4" s="139">
        <f t="shared" si="1"/>
        <v>8108.7540453633383</v>
      </c>
      <c r="F4" s="139">
        <f t="shared" si="1"/>
        <v>8180.5927727447524</v>
      </c>
      <c r="G4" s="139">
        <f t="shared" si="1"/>
        <v>8270.4167541168717</v>
      </c>
      <c r="H4" s="139">
        <f t="shared" si="1"/>
        <v>8331.3727317224966</v>
      </c>
      <c r="I4" s="139">
        <f t="shared" si="1"/>
        <v>8400.1394414273182</v>
      </c>
      <c r="J4" s="139">
        <f t="shared" si="1"/>
        <v>8454.2159061417497</v>
      </c>
      <c r="K4" s="139">
        <f t="shared" si="1"/>
        <v>8503.4423432468211</v>
      </c>
      <c r="L4" s="139">
        <f t="shared" si="1"/>
        <v>8539.0726714880784</v>
      </c>
      <c r="M4" s="139">
        <f t="shared" si="1"/>
        <v>8679.9151458874112</v>
      </c>
      <c r="N4" s="139">
        <f t="shared" si="1"/>
        <v>8823.1127626388989</v>
      </c>
      <c r="O4" s="139">
        <f t="shared" si="1"/>
        <v>9012.0511650175249</v>
      </c>
      <c r="P4" s="139">
        <f t="shared" si="1"/>
        <v>9227.3113972218216</v>
      </c>
      <c r="Q4" s="139">
        <f t="shared" si="1"/>
        <v>9411.9931667238943</v>
      </c>
      <c r="R4" s="139">
        <f t="shared" ref="R4:W4" si="2">SUM(R5:R14)</f>
        <v>9615.7558378806116</v>
      </c>
      <c r="S4" s="139">
        <f t="shared" si="2"/>
        <v>9808.901828552087</v>
      </c>
      <c r="T4" s="139">
        <f t="shared" si="2"/>
        <v>10002.450883549503</v>
      </c>
      <c r="U4" s="139">
        <f t="shared" si="2"/>
        <v>10195.044625993396</v>
      </c>
      <c r="V4" s="139">
        <f t="shared" si="2"/>
        <v>10384.930000000002</v>
      </c>
      <c r="W4" s="139">
        <f t="shared" si="2"/>
        <v>10571.569721883634</v>
      </c>
      <c r="X4" s="139">
        <f t="shared" ref="X4:Y4" si="3">SUM(X5:X14)</f>
        <v>10756.519452447508</v>
      </c>
      <c r="Y4" s="139">
        <f t="shared" si="3"/>
        <v>10939.648976087894</v>
      </c>
      <c r="DA4" s="169" t="s">
        <v>246</v>
      </c>
    </row>
    <row r="5" spans="1:105" ht="12" customHeight="1" x14ac:dyDescent="0.25">
      <c r="A5" s="131" t="s">
        <v>29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1723.9228186538107</v>
      </c>
      <c r="C7" s="140">
        <v>1677.3491802239055</v>
      </c>
      <c r="D7" s="140">
        <v>1629.5484033686159</v>
      </c>
      <c r="E7" s="140">
        <v>1496.4926801125521</v>
      </c>
      <c r="F7" s="140">
        <v>1383.0796225439224</v>
      </c>
      <c r="G7" s="140">
        <v>1196.0814763067424</v>
      </c>
      <c r="H7" s="140">
        <v>934.25252548991739</v>
      </c>
      <c r="I7" s="140">
        <v>757.15446798430287</v>
      </c>
      <c r="J7" s="140">
        <v>671.12013957743818</v>
      </c>
      <c r="K7" s="140">
        <v>746.71064411283771</v>
      </c>
      <c r="L7" s="140">
        <v>945.12807890586453</v>
      </c>
      <c r="M7" s="140">
        <v>1099.1527498650182</v>
      </c>
      <c r="N7" s="140">
        <v>1220.8961975990142</v>
      </c>
      <c r="O7" s="140">
        <v>1430.2795638618429</v>
      </c>
      <c r="P7" s="140">
        <v>1683.5468722206826</v>
      </c>
      <c r="Q7" s="140">
        <v>2043.1640067434512</v>
      </c>
      <c r="R7" s="140">
        <v>2299.7884093011203</v>
      </c>
      <c r="S7" s="140">
        <v>2608.2642100404769</v>
      </c>
      <c r="T7" s="140">
        <v>2726.8063528900798</v>
      </c>
      <c r="U7" s="140">
        <v>2757.2558891451677</v>
      </c>
      <c r="V7" s="140">
        <v>2741.18136256759</v>
      </c>
      <c r="W7" s="140">
        <v>2758.9396679462961</v>
      </c>
      <c r="X7" s="140">
        <v>2678.8215521190118</v>
      </c>
      <c r="Y7" s="140">
        <v>2424.634869165232</v>
      </c>
      <c r="DA7" s="170" t="s">
        <v>249</v>
      </c>
    </row>
    <row r="8" spans="1:105" ht="12" customHeight="1" x14ac:dyDescent="0.25">
      <c r="A8" s="131" t="s">
        <v>73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250</v>
      </c>
    </row>
    <row r="9" spans="1:105" ht="12" customHeight="1" x14ac:dyDescent="0.25">
      <c r="A9" s="131" t="s">
        <v>78</v>
      </c>
      <c r="B9" s="140">
        <v>2839.5995745426071</v>
      </c>
      <c r="C9" s="140">
        <v>2832.6201935397453</v>
      </c>
      <c r="D9" s="140">
        <v>2758.6861011547048</v>
      </c>
      <c r="E9" s="140">
        <v>2525.9260479884538</v>
      </c>
      <c r="F9" s="140">
        <v>2373.7261189232154</v>
      </c>
      <c r="G9" s="140">
        <v>2397.7577652259552</v>
      </c>
      <c r="H9" s="140">
        <v>2542.6863976597879</v>
      </c>
      <c r="I9" s="140">
        <v>2710.6331090190461</v>
      </c>
      <c r="J9" s="140">
        <v>2840.1479691809973</v>
      </c>
      <c r="K9" s="140">
        <v>2871.3246610658898</v>
      </c>
      <c r="L9" s="140">
        <v>2625.8480680315351</v>
      </c>
      <c r="M9" s="140">
        <v>2663.3224327348898</v>
      </c>
      <c r="N9" s="140">
        <v>2698.481919039848</v>
      </c>
      <c r="O9" s="140">
        <v>2804.3650216527512</v>
      </c>
      <c r="P9" s="140">
        <v>2944.5705695463062</v>
      </c>
      <c r="Q9" s="140">
        <v>2958.6324336278171</v>
      </c>
      <c r="R9" s="140">
        <v>2889.1203518103471</v>
      </c>
      <c r="S9" s="140">
        <v>2692.5330266756487</v>
      </c>
      <c r="T9" s="140">
        <v>2474.3792523487118</v>
      </c>
      <c r="U9" s="140">
        <v>2293.9925797333681</v>
      </c>
      <c r="V9" s="140">
        <v>2078.5362110864676</v>
      </c>
      <c r="W9" s="140">
        <v>2024.6999646908771</v>
      </c>
      <c r="X9" s="140">
        <v>2169.0995068222696</v>
      </c>
      <c r="Y9" s="140">
        <v>2477.2613400657769</v>
      </c>
      <c r="DA9" s="170" t="s">
        <v>251</v>
      </c>
    </row>
    <row r="10" spans="1:105" ht="12" customHeight="1" x14ac:dyDescent="0.25">
      <c r="A10" s="131" t="s">
        <v>128</v>
      </c>
      <c r="B10" s="140">
        <v>1.3399457410081472</v>
      </c>
      <c r="C10" s="140">
        <v>2.5460780607376154</v>
      </c>
      <c r="D10" s="140">
        <v>3.1520924606298961</v>
      </c>
      <c r="E10" s="140">
        <v>2.9356937693424769</v>
      </c>
      <c r="F10" s="140">
        <v>2.7851781140998635</v>
      </c>
      <c r="G10" s="140">
        <v>2.2350942187455152</v>
      </c>
      <c r="H10" s="140">
        <v>1.8113899367725099</v>
      </c>
      <c r="I10" s="140">
        <v>2.2286874919607689</v>
      </c>
      <c r="J10" s="140">
        <v>3.3132541928510668</v>
      </c>
      <c r="K10" s="140">
        <v>4.5159055821768339</v>
      </c>
      <c r="L10" s="140">
        <v>4.5848292670875583</v>
      </c>
      <c r="M10" s="140">
        <v>5.4535916184079616</v>
      </c>
      <c r="N10" s="140">
        <v>9.2008228799857115</v>
      </c>
      <c r="O10" s="140">
        <v>13.324364201896911</v>
      </c>
      <c r="P10" s="140">
        <v>14.51000964593382</v>
      </c>
      <c r="Q10" s="140">
        <v>14.19384162112922</v>
      </c>
      <c r="R10" s="140">
        <v>12.720520370444291</v>
      </c>
      <c r="S10" s="140">
        <v>5.4255278714685629</v>
      </c>
      <c r="T10" s="140">
        <v>2.6939758137842658</v>
      </c>
      <c r="U10" s="140">
        <v>1.9530226280382239</v>
      </c>
      <c r="V10" s="140">
        <v>2.2255800463591227</v>
      </c>
      <c r="W10" s="140">
        <v>2.90864765575679</v>
      </c>
      <c r="X10" s="140">
        <v>4.0390088869820078</v>
      </c>
      <c r="Y10" s="140">
        <v>4.7084097455180425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253</v>
      </c>
    </row>
    <row r="12" spans="1:105" ht="12" customHeight="1" x14ac:dyDescent="0.25">
      <c r="A12" s="131" t="s">
        <v>162</v>
      </c>
      <c r="B12" s="140">
        <v>495.30065641690186</v>
      </c>
      <c r="C12" s="140">
        <v>667.60795196279423</v>
      </c>
      <c r="D12" s="140">
        <v>1254.1268056477854</v>
      </c>
      <c r="E12" s="140">
        <v>1836.2259747632561</v>
      </c>
      <c r="F12" s="140">
        <v>2222.0998100711381</v>
      </c>
      <c r="G12" s="140">
        <v>2353.1814128845717</v>
      </c>
      <c r="H12" s="140">
        <v>2315.4485789389228</v>
      </c>
      <c r="I12" s="140">
        <v>2122.9007622893737</v>
      </c>
      <c r="J12" s="140">
        <v>2062.049039204981</v>
      </c>
      <c r="K12" s="140">
        <v>2067.1526307803811</v>
      </c>
      <c r="L12" s="140">
        <v>2211.6901892646679</v>
      </c>
      <c r="M12" s="140">
        <v>2273.6257466024308</v>
      </c>
      <c r="N12" s="140">
        <v>2295.5869824310153</v>
      </c>
      <c r="O12" s="140">
        <v>2216.0791063480892</v>
      </c>
      <c r="P12" s="140">
        <v>2142.8892800469557</v>
      </c>
      <c r="Q12" s="140">
        <v>2129.2807074069146</v>
      </c>
      <c r="R12" s="140">
        <v>2163.2402693674567</v>
      </c>
      <c r="S12" s="140">
        <v>2235.1080156817616</v>
      </c>
      <c r="T12" s="140">
        <v>2521.6789918541776</v>
      </c>
      <c r="U12" s="140">
        <v>2919.9314824972812</v>
      </c>
      <c r="V12" s="140">
        <v>3593.5791126367744</v>
      </c>
      <c r="W12" s="140">
        <v>4000.5897392698948</v>
      </c>
      <c r="X12" s="140">
        <v>4466.8997445920231</v>
      </c>
      <c r="Y12" s="140">
        <v>4693.9686173663849</v>
      </c>
      <c r="DA12" s="170" t="s">
        <v>254</v>
      </c>
    </row>
    <row r="13" spans="1:105" ht="12" customHeight="1" x14ac:dyDescent="0.25">
      <c r="A13" s="131" t="s">
        <v>77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DA13" s="170" t="s">
        <v>255</v>
      </c>
    </row>
    <row r="14" spans="1:105" ht="12" customHeight="1" x14ac:dyDescent="0.25">
      <c r="A14" s="60" t="s">
        <v>76</v>
      </c>
      <c r="B14" s="141">
        <v>2893.9529573649461</v>
      </c>
      <c r="C14" s="141">
        <v>2832.2925386893035</v>
      </c>
      <c r="D14" s="141">
        <v>2437.4211471914878</v>
      </c>
      <c r="E14" s="141">
        <v>2247.1736487297339</v>
      </c>
      <c r="F14" s="141">
        <v>2198.9020430923779</v>
      </c>
      <c r="G14" s="141">
        <v>2321.1610054808575</v>
      </c>
      <c r="H14" s="141">
        <v>2537.1738396970954</v>
      </c>
      <c r="I14" s="141">
        <v>2807.2224146426347</v>
      </c>
      <c r="J14" s="141">
        <v>2877.5855039854819</v>
      </c>
      <c r="K14" s="141">
        <v>2813.7385017055349</v>
      </c>
      <c r="L14" s="141">
        <v>2751.8215060189227</v>
      </c>
      <c r="M14" s="141">
        <v>2638.3606250666635</v>
      </c>
      <c r="N14" s="141">
        <v>2598.946840689036</v>
      </c>
      <c r="O14" s="141">
        <v>2548.0031089529448</v>
      </c>
      <c r="P14" s="141">
        <v>2441.7946657619436</v>
      </c>
      <c r="Q14" s="141">
        <v>2266.7221773245824</v>
      </c>
      <c r="R14" s="141">
        <v>2250.8862870312437</v>
      </c>
      <c r="S14" s="141">
        <v>2267.5710482827317</v>
      </c>
      <c r="T14" s="141">
        <v>2276.8923106427492</v>
      </c>
      <c r="U14" s="141">
        <v>2221.911651989542</v>
      </c>
      <c r="V14" s="141">
        <v>1969.4077336628106</v>
      </c>
      <c r="W14" s="141">
        <v>1784.43170232081</v>
      </c>
      <c r="X14" s="141">
        <v>1437.6596400272217</v>
      </c>
      <c r="Y14" s="141">
        <v>1339.0757397449818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5060.162995354327</v>
      </c>
      <c r="C15" s="143">
        <f t="shared" si="4"/>
        <v>5180.1234037871818</v>
      </c>
      <c r="D15" s="143">
        <f t="shared" si="4"/>
        <v>5645.5134026317364</v>
      </c>
      <c r="E15" s="143">
        <f t="shared" si="4"/>
        <v>5861.5803966336043</v>
      </c>
      <c r="F15" s="143">
        <f t="shared" si="4"/>
        <v>5981.690729652375</v>
      </c>
      <c r="G15" s="143">
        <f t="shared" si="4"/>
        <v>5949.2557486360147</v>
      </c>
      <c r="H15" s="143">
        <f t="shared" si="4"/>
        <v>5794.1988920254007</v>
      </c>
      <c r="I15" s="143">
        <f t="shared" si="4"/>
        <v>5592.9170267846839</v>
      </c>
      <c r="J15" s="143">
        <f t="shared" si="4"/>
        <v>5576.6304021562682</v>
      </c>
      <c r="K15" s="143">
        <f t="shared" si="4"/>
        <v>5689.7038415412853</v>
      </c>
      <c r="L15" s="143">
        <f t="shared" si="4"/>
        <v>5787.2511654691552</v>
      </c>
      <c r="M15" s="143">
        <f t="shared" si="4"/>
        <v>6041.5545208207477</v>
      </c>
      <c r="N15" s="143">
        <f t="shared" si="4"/>
        <v>6224.1659219498633</v>
      </c>
      <c r="O15" s="143">
        <f t="shared" si="4"/>
        <v>6464.0480560645801</v>
      </c>
      <c r="P15" s="143">
        <f t="shared" si="4"/>
        <v>6785.5167314598784</v>
      </c>
      <c r="Q15" s="143">
        <f t="shared" si="4"/>
        <v>7145.2709893993124</v>
      </c>
      <c r="R15" s="143">
        <f t="shared" ref="R15:W15" si="5">SUM(R5:R12)</f>
        <v>7364.8695508493684</v>
      </c>
      <c r="S15" s="143">
        <f t="shared" si="5"/>
        <v>7541.3307802693553</v>
      </c>
      <c r="T15" s="143">
        <f t="shared" si="5"/>
        <v>7725.5585729067534</v>
      </c>
      <c r="U15" s="143">
        <f t="shared" si="5"/>
        <v>7973.1329740038545</v>
      </c>
      <c r="V15" s="143">
        <f t="shared" si="5"/>
        <v>8415.5222663371915</v>
      </c>
      <c r="W15" s="143">
        <f t="shared" si="5"/>
        <v>8787.1380195628244</v>
      </c>
      <c r="X15" s="143">
        <f t="shared" ref="X15:Y15" si="6">SUM(X5:X12)</f>
        <v>9318.8598124202872</v>
      </c>
      <c r="Y15" s="143">
        <f t="shared" si="6"/>
        <v>9600.5732363429124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727.39621374693127</v>
      </c>
      <c r="C16" s="139">
        <f t="shared" si="7"/>
        <v>925.52165861552339</v>
      </c>
      <c r="D16" s="139">
        <f t="shared" si="7"/>
        <v>1181.2714937169092</v>
      </c>
      <c r="E16" s="139">
        <f t="shared" si="7"/>
        <v>1347.2891985791136</v>
      </c>
      <c r="F16" s="139">
        <f t="shared" si="7"/>
        <v>1580.125548103297</v>
      </c>
      <c r="G16" s="139">
        <f t="shared" si="7"/>
        <v>1954.5973117972173</v>
      </c>
      <c r="H16" s="139">
        <f t="shared" si="7"/>
        <v>2238.1351410334955</v>
      </c>
      <c r="I16" s="139">
        <f t="shared" si="7"/>
        <v>2647.7296211370249</v>
      </c>
      <c r="J16" s="139">
        <f t="shared" si="7"/>
        <v>2985.5944749644786</v>
      </c>
      <c r="K16" s="139">
        <f t="shared" si="7"/>
        <v>3304.2738897900226</v>
      </c>
      <c r="L16" s="139">
        <f t="shared" si="7"/>
        <v>3568.3315701170063</v>
      </c>
      <c r="M16" s="139">
        <f t="shared" si="7"/>
        <v>3877.7411186559684</v>
      </c>
      <c r="N16" s="139">
        <f t="shared" si="7"/>
        <v>4130.7519568273947</v>
      </c>
      <c r="O16" s="139">
        <f t="shared" si="7"/>
        <v>4309.1751648073341</v>
      </c>
      <c r="P16" s="139">
        <f t="shared" si="7"/>
        <v>4536.4787528015377</v>
      </c>
      <c r="Q16" s="139">
        <f t="shared" si="7"/>
        <v>4726.5473754661143</v>
      </c>
      <c r="R16" s="139">
        <f t="shared" ref="R16:W16" si="8">SUM(R17:R18)</f>
        <v>4862.3927441658689</v>
      </c>
      <c r="S16" s="139">
        <f t="shared" si="8"/>
        <v>5062.1843667886942</v>
      </c>
      <c r="T16" s="139">
        <f t="shared" si="8"/>
        <v>5305.2727920108819</v>
      </c>
      <c r="U16" s="139">
        <f t="shared" si="8"/>
        <v>5468.9877353717902</v>
      </c>
      <c r="V16" s="139">
        <f t="shared" si="8"/>
        <v>5594.6431479331977</v>
      </c>
      <c r="W16" s="139">
        <f t="shared" si="8"/>
        <v>5684.7884169194422</v>
      </c>
      <c r="X16" s="139">
        <f t="shared" ref="X16:Y16" si="9">SUM(X17:X18)</f>
        <v>5828.5629263585788</v>
      </c>
      <c r="Y16" s="139">
        <f t="shared" si="9"/>
        <v>5920.8334236147693</v>
      </c>
      <c r="DA16" s="169" t="s">
        <v>257</v>
      </c>
    </row>
    <row r="17" spans="1:105" ht="12.95" customHeight="1" x14ac:dyDescent="0.25">
      <c r="A17" s="131" t="s">
        <v>73</v>
      </c>
      <c r="B17" s="140">
        <v>2.7734002760681844</v>
      </c>
      <c r="C17" s="140">
        <v>3.864292144994018</v>
      </c>
      <c r="D17" s="140">
        <v>6.0993095160273114</v>
      </c>
      <c r="E17" s="140">
        <v>4.8025869901824025</v>
      </c>
      <c r="F17" s="140">
        <v>10.099405492510563</v>
      </c>
      <c r="G17" s="140">
        <v>11.608885697475911</v>
      </c>
      <c r="H17" s="140">
        <v>14.050424442502504</v>
      </c>
      <c r="I17" s="140">
        <v>21.3057069430693</v>
      </c>
      <c r="J17" s="140">
        <v>24.041089770153746</v>
      </c>
      <c r="K17" s="140">
        <v>27.858341017255707</v>
      </c>
      <c r="L17" s="140">
        <v>30.376179231821201</v>
      </c>
      <c r="M17" s="140">
        <v>35.791407059012585</v>
      </c>
      <c r="N17" s="140">
        <v>40.300551250063187</v>
      </c>
      <c r="O17" s="140">
        <v>49.22542410678917</v>
      </c>
      <c r="P17" s="140">
        <v>69.523101504119154</v>
      </c>
      <c r="Q17" s="140">
        <v>85.50023904402606</v>
      </c>
      <c r="R17" s="140">
        <v>121.61274378073983</v>
      </c>
      <c r="S17" s="140">
        <v>142.68647065807627</v>
      </c>
      <c r="T17" s="140">
        <v>150.83977680400767</v>
      </c>
      <c r="U17" s="140">
        <v>168.01040781523247</v>
      </c>
      <c r="V17" s="140">
        <v>183.04646066002459</v>
      </c>
      <c r="W17" s="140">
        <v>197.62466503713813</v>
      </c>
      <c r="X17" s="140">
        <v>207.6896631413008</v>
      </c>
      <c r="Y17" s="140">
        <v>213.42646125010486</v>
      </c>
      <c r="DA17" s="170" t="s">
        <v>258</v>
      </c>
    </row>
    <row r="18" spans="1:105" ht="12" customHeight="1" x14ac:dyDescent="0.25">
      <c r="A18" s="131" t="s">
        <v>72</v>
      </c>
      <c r="B18" s="140">
        <v>724.62281347086309</v>
      </c>
      <c r="C18" s="140">
        <v>921.65736647052938</v>
      </c>
      <c r="D18" s="140">
        <v>1175.1721842008819</v>
      </c>
      <c r="E18" s="140">
        <v>1342.4866115889313</v>
      </c>
      <c r="F18" s="140">
        <v>1570.0261426107863</v>
      </c>
      <c r="G18" s="140">
        <v>1942.9884260997414</v>
      </c>
      <c r="H18" s="140">
        <v>2224.0847165909931</v>
      </c>
      <c r="I18" s="140">
        <v>2626.4239141939556</v>
      </c>
      <c r="J18" s="140">
        <v>2961.5533851943251</v>
      </c>
      <c r="K18" s="140">
        <v>3276.4155487727671</v>
      </c>
      <c r="L18" s="140">
        <v>3537.9553908851849</v>
      </c>
      <c r="M18" s="140">
        <v>3841.9497115969557</v>
      </c>
      <c r="N18" s="140">
        <v>4090.4514055773316</v>
      </c>
      <c r="O18" s="140">
        <v>4259.9497407005447</v>
      </c>
      <c r="P18" s="140">
        <v>4466.9556512974186</v>
      </c>
      <c r="Q18" s="140">
        <v>4641.0471364220884</v>
      </c>
      <c r="R18" s="140">
        <v>4740.7800003851289</v>
      </c>
      <c r="S18" s="140">
        <v>4919.4978961306178</v>
      </c>
      <c r="T18" s="140">
        <v>5154.4330152068742</v>
      </c>
      <c r="U18" s="140">
        <v>5300.9773275565576</v>
      </c>
      <c r="V18" s="140">
        <v>5411.5966872731733</v>
      </c>
      <c r="W18" s="140">
        <v>5487.1637518823045</v>
      </c>
      <c r="X18" s="140">
        <v>5620.8732632172778</v>
      </c>
      <c r="Y18" s="140">
        <v>5707.4069623646647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7954.115952719274</v>
      </c>
      <c r="C19" s="139">
        <f t="shared" si="10"/>
        <v>8012.4159424764866</v>
      </c>
      <c r="D19" s="139">
        <f t="shared" si="10"/>
        <v>8082.9345498232251</v>
      </c>
      <c r="E19" s="139">
        <f t="shared" si="10"/>
        <v>8108.7540453633383</v>
      </c>
      <c r="F19" s="139">
        <f t="shared" si="10"/>
        <v>8180.5927727447533</v>
      </c>
      <c r="G19" s="139">
        <f t="shared" si="10"/>
        <v>8270.4167541168736</v>
      </c>
      <c r="H19" s="139">
        <f t="shared" si="10"/>
        <v>8331.3727317224966</v>
      </c>
      <c r="I19" s="139">
        <f t="shared" si="10"/>
        <v>8400.1394414273163</v>
      </c>
      <c r="J19" s="139">
        <f t="shared" si="10"/>
        <v>8454.2159061417497</v>
      </c>
      <c r="K19" s="139">
        <f t="shared" si="10"/>
        <v>8503.4423432468211</v>
      </c>
      <c r="L19" s="139">
        <f t="shared" si="10"/>
        <v>8539.0726714880766</v>
      </c>
      <c r="M19" s="139">
        <f t="shared" si="10"/>
        <v>8679.915145887413</v>
      </c>
      <c r="N19" s="139">
        <f t="shared" si="10"/>
        <v>8823.1127626389043</v>
      </c>
      <c r="O19" s="139">
        <f t="shared" si="10"/>
        <v>9012.0511650175322</v>
      </c>
      <c r="P19" s="139">
        <f t="shared" si="10"/>
        <v>9227.3113972218234</v>
      </c>
      <c r="Q19" s="139">
        <f t="shared" si="10"/>
        <v>9411.9931667238925</v>
      </c>
      <c r="R19" s="139">
        <f t="shared" ref="R19:W19" si="11">SUM(R20:R26)</f>
        <v>9615.7558378806152</v>
      </c>
      <c r="S19" s="139">
        <f t="shared" si="11"/>
        <v>9808.9018285520906</v>
      </c>
      <c r="T19" s="139">
        <f t="shared" si="11"/>
        <v>10002.450883549498</v>
      </c>
      <c r="U19" s="139">
        <f t="shared" si="11"/>
        <v>10195.044625993398</v>
      </c>
      <c r="V19" s="139">
        <f t="shared" si="11"/>
        <v>10384.929999999998</v>
      </c>
      <c r="W19" s="139">
        <f t="shared" si="11"/>
        <v>10571.569721883638</v>
      </c>
      <c r="X19" s="139">
        <f t="shared" ref="X19:Y19" si="12">SUM(X20:X26)</f>
        <v>10756.519452447508</v>
      </c>
      <c r="Y19" s="139">
        <f t="shared" si="12"/>
        <v>10939.64897608789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262</v>
      </c>
    </row>
    <row r="22" spans="1:105" ht="12" customHeight="1" x14ac:dyDescent="0.25">
      <c r="A22" s="131" t="s">
        <v>161</v>
      </c>
      <c r="B22" s="140">
        <v>1412.3134245590231</v>
      </c>
      <c r="C22" s="140">
        <v>1405.0185372859521</v>
      </c>
      <c r="D22" s="140">
        <v>1416.234369856038</v>
      </c>
      <c r="E22" s="140">
        <v>1412.8786679085815</v>
      </c>
      <c r="F22" s="140">
        <v>1359.7165062111828</v>
      </c>
      <c r="G22" s="140">
        <v>1233.8521350510421</v>
      </c>
      <c r="H22" s="140">
        <v>999.88709521009082</v>
      </c>
      <c r="I22" s="140">
        <v>818.59258435310664</v>
      </c>
      <c r="J22" s="140">
        <v>698.02838466240655</v>
      </c>
      <c r="K22" s="140">
        <v>697.101498897542</v>
      </c>
      <c r="L22" s="140">
        <v>809.16497600368689</v>
      </c>
      <c r="M22" s="140">
        <v>860.55158251733417</v>
      </c>
      <c r="N22" s="140">
        <v>1010.9470835596941</v>
      </c>
      <c r="O22" s="140">
        <v>1080.0278285183078</v>
      </c>
      <c r="P22" s="140">
        <v>1148.7768637095417</v>
      </c>
      <c r="Q22" s="140">
        <v>1233.4309615826223</v>
      </c>
      <c r="R22" s="140">
        <v>1404.7553327676453</v>
      </c>
      <c r="S22" s="140">
        <v>1766.1615429315823</v>
      </c>
      <c r="T22" s="140">
        <v>2031.9926890950612</v>
      </c>
      <c r="U22" s="140">
        <v>2246.285629112584</v>
      </c>
      <c r="V22" s="140">
        <v>2223.2157379805526</v>
      </c>
      <c r="W22" s="140">
        <v>2168.9724884948851</v>
      </c>
      <c r="X22" s="140">
        <v>1925.5098954938094</v>
      </c>
      <c r="Y22" s="140">
        <v>1733.8486863755954</v>
      </c>
      <c r="DA22" s="170" t="s">
        <v>263</v>
      </c>
    </row>
    <row r="23" spans="1:105" ht="12" customHeight="1" x14ac:dyDescent="0.25">
      <c r="A23" s="131" t="s">
        <v>149</v>
      </c>
      <c r="B23" s="140">
        <v>1394.9768955716224</v>
      </c>
      <c r="C23" s="140">
        <v>1429.4971154644675</v>
      </c>
      <c r="D23" s="140">
        <v>1524.2437840090688</v>
      </c>
      <c r="E23" s="140">
        <v>1627.278239305464</v>
      </c>
      <c r="F23" s="140">
        <v>1706.5582592073586</v>
      </c>
      <c r="G23" s="140">
        <v>1771.2287857575932</v>
      </c>
      <c r="H23" s="140">
        <v>1845.837961660774</v>
      </c>
      <c r="I23" s="140">
        <v>1925.0013095722275</v>
      </c>
      <c r="J23" s="140">
        <v>2083.5923264005582</v>
      </c>
      <c r="K23" s="140">
        <v>2163.6668851212871</v>
      </c>
      <c r="L23" s="140">
        <v>2292.7911032038805</v>
      </c>
      <c r="M23" s="140">
        <v>2329.5058440826715</v>
      </c>
      <c r="N23" s="140">
        <v>2366.0795068659709</v>
      </c>
      <c r="O23" s="140">
        <v>2468.8360763113019</v>
      </c>
      <c r="P23" s="140">
        <v>2562.7169106624701</v>
      </c>
      <c r="Q23" s="140">
        <v>2622.6110801862715</v>
      </c>
      <c r="R23" s="140">
        <v>2636.3421931148896</v>
      </c>
      <c r="S23" s="140">
        <v>2540.0597495618213</v>
      </c>
      <c r="T23" s="140">
        <v>2328.2734518863413</v>
      </c>
      <c r="U23" s="140">
        <v>2161.5622831222558</v>
      </c>
      <c r="V23" s="140">
        <v>2144.430783115934</v>
      </c>
      <c r="W23" s="140">
        <v>2160.5028251542012</v>
      </c>
      <c r="X23" s="140">
        <v>2208.8033046900305</v>
      </c>
      <c r="Y23" s="140">
        <v>2228.6748122058416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518.99067316461583</v>
      </c>
      <c r="C25" s="140">
        <v>698.99736127123083</v>
      </c>
      <c r="D25" s="140">
        <v>1233.4794321103409</v>
      </c>
      <c r="E25" s="140">
        <v>1728.943930657216</v>
      </c>
      <c r="F25" s="140">
        <v>2030.4017016368871</v>
      </c>
      <c r="G25" s="140">
        <v>2180.7262537356687</v>
      </c>
      <c r="H25" s="140">
        <v>2223.5982328477394</v>
      </c>
      <c r="I25" s="140">
        <v>2233.1050020507309</v>
      </c>
      <c r="J25" s="140">
        <v>2214.9381396897388</v>
      </c>
      <c r="K25" s="140">
        <v>2198.9979437108614</v>
      </c>
      <c r="L25" s="140">
        <v>2157.3790044796701</v>
      </c>
      <c r="M25" s="140">
        <v>2165.1097464677682</v>
      </c>
      <c r="N25" s="140">
        <v>2162.1655447807084</v>
      </c>
      <c r="O25" s="140">
        <v>2156.6677660126247</v>
      </c>
      <c r="P25" s="140">
        <v>2132.1765591950784</v>
      </c>
      <c r="Q25" s="140">
        <v>2140.5152333968549</v>
      </c>
      <c r="R25" s="140">
        <v>2158.8088634623182</v>
      </c>
      <c r="S25" s="140">
        <v>2199.8531845262773</v>
      </c>
      <c r="T25" s="140">
        <v>2230.3547606253551</v>
      </c>
      <c r="U25" s="140">
        <v>2315.0582915042683</v>
      </c>
      <c r="V25" s="140">
        <v>2248.7327163929781</v>
      </c>
      <c r="W25" s="140">
        <v>2181.7592287474763</v>
      </c>
      <c r="X25" s="140">
        <v>2015.4417076665206</v>
      </c>
      <c r="Y25" s="140">
        <v>1729.9888628234544</v>
      </c>
      <c r="DA25" s="170" t="s">
        <v>266</v>
      </c>
    </row>
    <row r="26" spans="1:105" ht="12" customHeight="1" x14ac:dyDescent="0.25">
      <c r="A26" s="131" t="s">
        <v>24</v>
      </c>
      <c r="B26" s="141">
        <v>4627.8349594240126</v>
      </c>
      <c r="C26" s="141">
        <v>4478.902928454836</v>
      </c>
      <c r="D26" s="141">
        <v>3908.9769638477774</v>
      </c>
      <c r="E26" s="141">
        <v>3339.6532074920769</v>
      </c>
      <c r="F26" s="141">
        <v>3083.9163056893249</v>
      </c>
      <c r="G26" s="141">
        <v>3084.6095795725701</v>
      </c>
      <c r="H26" s="141">
        <v>3262.0494420038917</v>
      </c>
      <c r="I26" s="141">
        <v>3423.4405454512507</v>
      </c>
      <c r="J26" s="141">
        <v>3457.6570553890456</v>
      </c>
      <c r="K26" s="141">
        <v>3443.6760155171296</v>
      </c>
      <c r="L26" s="141">
        <v>3279.7375878008388</v>
      </c>
      <c r="M26" s="141">
        <v>3324.7479728196399</v>
      </c>
      <c r="N26" s="141">
        <v>3283.9206274325315</v>
      </c>
      <c r="O26" s="141">
        <v>3306.519494175297</v>
      </c>
      <c r="P26" s="141">
        <v>3383.6410636547339</v>
      </c>
      <c r="Q26" s="141">
        <v>3415.4358915581429</v>
      </c>
      <c r="R26" s="141">
        <v>3415.8494485357623</v>
      </c>
      <c r="S26" s="141">
        <v>3302.827351532409</v>
      </c>
      <c r="T26" s="141">
        <v>3411.8299819427407</v>
      </c>
      <c r="U26" s="141">
        <v>3472.1384222542897</v>
      </c>
      <c r="V26" s="141">
        <v>3768.5507625105324</v>
      </c>
      <c r="W26" s="141">
        <v>4060.335179487075</v>
      </c>
      <c r="X26" s="141">
        <v>4606.7645445971484</v>
      </c>
      <c r="Y26" s="141">
        <v>5247.1366146829996</v>
      </c>
      <c r="DA26" s="171" t="s">
        <v>267</v>
      </c>
    </row>
    <row r="27" spans="1:105" ht="12" customHeight="1" x14ac:dyDescent="0.25">
      <c r="A27" s="144" t="s">
        <v>26</v>
      </c>
      <c r="B27" s="150">
        <v>0</v>
      </c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7954.1159527192722</v>
      </c>
      <c r="C29" s="139">
        <f t="shared" si="13"/>
        <v>8012.4159424764857</v>
      </c>
      <c r="D29" s="139">
        <f t="shared" si="13"/>
        <v>8082.9345498232242</v>
      </c>
      <c r="E29" s="139">
        <f t="shared" si="13"/>
        <v>8108.7540453633374</v>
      </c>
      <c r="F29" s="139">
        <f t="shared" si="13"/>
        <v>8180.5927727447524</v>
      </c>
      <c r="G29" s="139">
        <f t="shared" si="13"/>
        <v>8270.4167541168717</v>
      </c>
      <c r="H29" s="139">
        <f t="shared" si="13"/>
        <v>8331.3727317224966</v>
      </c>
      <c r="I29" s="139">
        <f t="shared" si="13"/>
        <v>8400.1394414273145</v>
      </c>
      <c r="J29" s="139">
        <f t="shared" si="13"/>
        <v>8454.2159061417497</v>
      </c>
      <c r="K29" s="139">
        <f t="shared" si="13"/>
        <v>8503.4423432468157</v>
      </c>
      <c r="L29" s="139">
        <f t="shared" si="13"/>
        <v>8539.072671488073</v>
      </c>
      <c r="M29" s="139">
        <f t="shared" si="13"/>
        <v>8679.9151458874094</v>
      </c>
      <c r="N29" s="139">
        <f t="shared" si="13"/>
        <v>8823.1127626388989</v>
      </c>
      <c r="O29" s="139">
        <f t="shared" si="13"/>
        <v>9012.0511650175285</v>
      </c>
      <c r="P29" s="139">
        <f t="shared" si="13"/>
        <v>9227.3113972218198</v>
      </c>
      <c r="Q29" s="139">
        <f t="shared" si="13"/>
        <v>9411.9931667238998</v>
      </c>
      <c r="R29" s="139">
        <f t="shared" ref="R29:W29" si="14">SUM(R30:R33)</f>
        <v>9615.7558378806152</v>
      </c>
      <c r="S29" s="139">
        <f t="shared" si="14"/>
        <v>9808.9018285520906</v>
      </c>
      <c r="T29" s="139">
        <f t="shared" si="14"/>
        <v>10002.450883549507</v>
      </c>
      <c r="U29" s="139">
        <f t="shared" si="14"/>
        <v>10195.044625993403</v>
      </c>
      <c r="V29" s="139">
        <f t="shared" si="14"/>
        <v>10384.930000000002</v>
      </c>
      <c r="W29" s="139">
        <f t="shared" si="14"/>
        <v>10571.569721883636</v>
      </c>
      <c r="X29" s="139">
        <f t="shared" ref="X29:Y29" si="15">SUM(X30:X33)</f>
        <v>10756.519452447505</v>
      </c>
      <c r="Y29" s="139">
        <f t="shared" si="15"/>
        <v>10939.648976087885</v>
      </c>
      <c r="DA29" s="169" t="s">
        <v>269</v>
      </c>
    </row>
    <row r="30" spans="1:105" ht="12" customHeight="1" x14ac:dyDescent="0.25">
      <c r="A30" s="131" t="s">
        <v>52</v>
      </c>
      <c r="B30" s="140">
        <v>1369.5386554579279</v>
      </c>
      <c r="C30" s="140">
        <v>1311.8902224291162</v>
      </c>
      <c r="D30" s="140">
        <v>884.32043986778967</v>
      </c>
      <c r="E30" s="140">
        <v>460.92895221438062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1127.0871906210832</v>
      </c>
      <c r="L30" s="140">
        <v>1485.8287201166486</v>
      </c>
      <c r="M30" s="140">
        <v>1682.7979251864774</v>
      </c>
      <c r="N30" s="140">
        <v>1691.7821346400808</v>
      </c>
      <c r="O30" s="140">
        <v>1690.6087617898231</v>
      </c>
      <c r="P30" s="140">
        <v>1659.6035918356215</v>
      </c>
      <c r="Q30" s="140">
        <v>1675.431991199634</v>
      </c>
      <c r="R30" s="140">
        <v>1660.0917282792182</v>
      </c>
      <c r="S30" s="140">
        <v>1585.0169077654909</v>
      </c>
      <c r="T30" s="140">
        <v>1594.3485782774512</v>
      </c>
      <c r="U30" s="140">
        <v>1522.6881929134067</v>
      </c>
      <c r="V30" s="140">
        <v>1500.335005416588</v>
      </c>
      <c r="W30" s="140">
        <v>1520.5595989539322</v>
      </c>
      <c r="X30" s="140">
        <v>1615.1443427157003</v>
      </c>
      <c r="Y30" s="140">
        <v>1691.5996303447428</v>
      </c>
      <c r="DA30" s="170" t="s">
        <v>270</v>
      </c>
    </row>
    <row r="31" spans="1:105" ht="12" customHeight="1" x14ac:dyDescent="0.25">
      <c r="A31" s="131" t="s">
        <v>149</v>
      </c>
      <c r="B31" s="140">
        <v>3503.6698202692546</v>
      </c>
      <c r="C31" s="140">
        <v>3531.9833585261131</v>
      </c>
      <c r="D31" s="140">
        <v>3538.4958010170512</v>
      </c>
      <c r="E31" s="140">
        <v>3499.796944051755</v>
      </c>
      <c r="F31" s="140">
        <v>3450.1045027520167</v>
      </c>
      <c r="G31" s="140">
        <v>3339.9358884766361</v>
      </c>
      <c r="H31" s="140">
        <v>3244.6011773653186</v>
      </c>
      <c r="I31" s="140">
        <v>3078.234017487654</v>
      </c>
      <c r="J31" s="140">
        <v>2876.0661454744463</v>
      </c>
      <c r="K31" s="140">
        <v>2639.031856307975</v>
      </c>
      <c r="L31" s="140">
        <v>2482.6518590752698</v>
      </c>
      <c r="M31" s="140">
        <v>2377.0156287564564</v>
      </c>
      <c r="N31" s="140">
        <v>2251.1346937338358</v>
      </c>
      <c r="O31" s="140">
        <v>2076.4231131640136</v>
      </c>
      <c r="P31" s="140">
        <v>1885.6020665686656</v>
      </c>
      <c r="Q31" s="140">
        <v>1699.2657729690511</v>
      </c>
      <c r="R31" s="140">
        <v>1528.6014111517723</v>
      </c>
      <c r="S31" s="140">
        <v>1348.5708897475881</v>
      </c>
      <c r="T31" s="140">
        <v>1186.8987451185201</v>
      </c>
      <c r="U31" s="140">
        <v>1025.2380373843694</v>
      </c>
      <c r="V31" s="140">
        <v>970.94817798526776</v>
      </c>
      <c r="W31" s="140">
        <v>1075.6541857790296</v>
      </c>
      <c r="X31" s="140">
        <v>1402.1542163605734</v>
      </c>
      <c r="Y31" s="140">
        <v>1566.83317290691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3080.9074769920903</v>
      </c>
      <c r="C33" s="152">
        <v>3168.5423615212567</v>
      </c>
      <c r="D33" s="152">
        <v>3660.1183089383831</v>
      </c>
      <c r="E33" s="152">
        <v>4148.028149097202</v>
      </c>
      <c r="F33" s="152">
        <v>4730.4882699927357</v>
      </c>
      <c r="G33" s="152">
        <v>4930.4808656402365</v>
      </c>
      <c r="H33" s="152">
        <v>5086.7715543571785</v>
      </c>
      <c r="I33" s="152">
        <v>5321.905423939661</v>
      </c>
      <c r="J33" s="152">
        <v>5578.1497606673029</v>
      </c>
      <c r="K33" s="152">
        <v>4737.3232963177579</v>
      </c>
      <c r="L33" s="152">
        <v>4570.5920922961541</v>
      </c>
      <c r="M33" s="152">
        <v>4620.1015919444753</v>
      </c>
      <c r="N33" s="152">
        <v>4880.1959342649825</v>
      </c>
      <c r="O33" s="152">
        <v>5245.019290063693</v>
      </c>
      <c r="P33" s="152">
        <v>5682.1057388175323</v>
      </c>
      <c r="Q33" s="152">
        <v>6037.2954025552144</v>
      </c>
      <c r="R33" s="152">
        <v>6427.0626984496248</v>
      </c>
      <c r="S33" s="152">
        <v>6875.3140310390118</v>
      </c>
      <c r="T33" s="152">
        <v>7221.2035601535354</v>
      </c>
      <c r="U33" s="152">
        <v>7647.1183956956284</v>
      </c>
      <c r="V33" s="152">
        <v>7913.6468165981469</v>
      </c>
      <c r="W33" s="152">
        <v>7975.3559371506735</v>
      </c>
      <c r="X33" s="152">
        <v>7739.2208933712309</v>
      </c>
      <c r="Y33" s="152">
        <v>7681.2161728362325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322.34147851248059</v>
      </c>
      <c r="C3" s="125">
        <f t="shared" si="0"/>
        <v>328.8841501689775</v>
      </c>
      <c r="D3" s="125">
        <f t="shared" si="0"/>
        <v>302.23085716442745</v>
      </c>
      <c r="E3" s="125">
        <f t="shared" si="0"/>
        <v>342.28195052494902</v>
      </c>
      <c r="F3" s="125">
        <f t="shared" si="0"/>
        <v>316.56054177971913</v>
      </c>
      <c r="G3" s="125">
        <f t="shared" si="0"/>
        <v>310.21859988931396</v>
      </c>
      <c r="H3" s="125">
        <f t="shared" si="0"/>
        <v>308.9544081839112</v>
      </c>
      <c r="I3" s="125">
        <f t="shared" si="0"/>
        <v>307.61483781153106</v>
      </c>
      <c r="J3" s="125">
        <f t="shared" si="0"/>
        <v>324.05611041198648</v>
      </c>
      <c r="K3" s="125">
        <f t="shared" si="0"/>
        <v>312.02999177613697</v>
      </c>
      <c r="L3" s="125">
        <f t="shared" si="0"/>
        <v>358.60045712272426</v>
      </c>
      <c r="M3" s="125">
        <f t="shared" si="0"/>
        <v>272.0259812153655</v>
      </c>
      <c r="N3" s="125">
        <f t="shared" si="0"/>
        <v>314.50297798603657</v>
      </c>
      <c r="O3" s="125">
        <f t="shared" si="0"/>
        <v>329.4196454840901</v>
      </c>
      <c r="P3" s="125">
        <f t="shared" si="0"/>
        <v>282.01509198436457</v>
      </c>
      <c r="Q3" s="125">
        <f t="shared" si="0"/>
        <v>324.41823854273446</v>
      </c>
      <c r="R3" s="125">
        <f t="shared" ref="R3:W3" si="1">SUM(R4,R16,R19,R29)</f>
        <v>327.01922129751472</v>
      </c>
      <c r="S3" s="125">
        <f t="shared" si="1"/>
        <v>375.43550479190213</v>
      </c>
      <c r="T3" s="125">
        <f t="shared" si="1"/>
        <v>386.6175487455464</v>
      </c>
      <c r="U3" s="125">
        <f t="shared" si="1"/>
        <v>444.36130777914872</v>
      </c>
      <c r="V3" s="125">
        <f t="shared" si="1"/>
        <v>422.11848969609167</v>
      </c>
      <c r="W3" s="125">
        <f t="shared" si="1"/>
        <v>477.06183182655172</v>
      </c>
      <c r="X3" s="125">
        <f t="shared" ref="X3:Y3" si="2">SUM(X4,X16,X19,X29)</f>
        <v>369.23331755038146</v>
      </c>
      <c r="Y3" s="125">
        <f t="shared" si="2"/>
        <v>360.17260981167374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257.31148768283293</v>
      </c>
      <c r="C4" s="130">
        <f t="shared" si="3"/>
        <v>261.25154615408655</v>
      </c>
      <c r="D4" s="130">
        <f t="shared" si="3"/>
        <v>234.4981218658381</v>
      </c>
      <c r="E4" s="130">
        <f t="shared" si="3"/>
        <v>274.4277768086589</v>
      </c>
      <c r="F4" s="130">
        <f t="shared" si="3"/>
        <v>249.12240162494945</v>
      </c>
      <c r="G4" s="130">
        <f t="shared" si="3"/>
        <v>241.82119865333442</v>
      </c>
      <c r="H4" s="130">
        <f t="shared" si="3"/>
        <v>239.60262403149281</v>
      </c>
      <c r="I4" s="130">
        <f t="shared" si="3"/>
        <v>238.02298778416298</v>
      </c>
      <c r="J4" s="130">
        <f t="shared" si="3"/>
        <v>253.5938627780522</v>
      </c>
      <c r="K4" s="130">
        <f t="shared" si="3"/>
        <v>238.86172862101449</v>
      </c>
      <c r="L4" s="130">
        <f t="shared" si="3"/>
        <v>283.88476239211377</v>
      </c>
      <c r="M4" s="130">
        <f t="shared" si="3"/>
        <v>197.56411247389684</v>
      </c>
      <c r="N4" s="130">
        <f t="shared" si="3"/>
        <v>238.29668328625931</v>
      </c>
      <c r="O4" s="130">
        <f t="shared" si="3"/>
        <v>251.7517478557466</v>
      </c>
      <c r="P4" s="130">
        <f t="shared" si="3"/>
        <v>202.6684129608432</v>
      </c>
      <c r="Q4" s="130">
        <f t="shared" si="3"/>
        <v>242.64854379274922</v>
      </c>
      <c r="R4" s="130">
        <f t="shared" ref="R4:W4" si="4">SUM(R5:R15)</f>
        <v>244.9437132646822</v>
      </c>
      <c r="S4" s="130">
        <f t="shared" si="4"/>
        <v>292.0297177240912</v>
      </c>
      <c r="T4" s="130">
        <f t="shared" si="4"/>
        <v>301.8073188607907</v>
      </c>
      <c r="U4" s="130">
        <f t="shared" si="4"/>
        <v>357.98611920085369</v>
      </c>
      <c r="V4" s="130">
        <f t="shared" si="4"/>
        <v>343.42209116309584</v>
      </c>
      <c r="W4" s="130">
        <f t="shared" si="4"/>
        <v>390.19649864069351</v>
      </c>
      <c r="X4" s="130">
        <f t="shared" ref="X4:Y4" si="5">SUM(X5:X15)</f>
        <v>281.14106468690352</v>
      </c>
      <c r="Y4" s="130">
        <f t="shared" si="5"/>
        <v>269.23188453741056</v>
      </c>
      <c r="DA4" s="155" t="s">
        <v>214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54.209520646936973</v>
      </c>
      <c r="C7" s="132">
        <v>69.305670450695672</v>
      </c>
      <c r="D7" s="132">
        <v>63.446585106174417</v>
      </c>
      <c r="E7" s="132">
        <v>56.820696297050041</v>
      </c>
      <c r="F7" s="132">
        <v>56.969171049444334</v>
      </c>
      <c r="G7" s="132">
        <v>51.335158872514754</v>
      </c>
      <c r="H7" s="132">
        <v>29.900751732416452</v>
      </c>
      <c r="I7" s="132">
        <v>28.568968540391779</v>
      </c>
      <c r="J7" s="132">
        <v>22.606844645728302</v>
      </c>
      <c r="K7" s="132">
        <v>21.263421546887987</v>
      </c>
      <c r="L7" s="132">
        <v>44.672490836973644</v>
      </c>
      <c r="M7" s="132">
        <v>33.929972224626979</v>
      </c>
      <c r="N7" s="132">
        <v>35.965641806350476</v>
      </c>
      <c r="O7" s="132">
        <v>45.508126966099901</v>
      </c>
      <c r="P7" s="132">
        <v>40.873906288377377</v>
      </c>
      <c r="Q7" s="132">
        <v>62.672124051358459</v>
      </c>
      <c r="R7" s="132">
        <v>61.259814301924173</v>
      </c>
      <c r="S7" s="132">
        <v>92.408053309916923</v>
      </c>
      <c r="T7" s="132">
        <v>91.499047195700342</v>
      </c>
      <c r="U7" s="132">
        <v>113.07869865838649</v>
      </c>
      <c r="V7" s="132">
        <v>104.38370160081787</v>
      </c>
      <c r="W7" s="132">
        <v>94.655295917874</v>
      </c>
      <c r="X7" s="132">
        <v>74.276912026518872</v>
      </c>
      <c r="Y7" s="132">
        <v>70.236410036330426</v>
      </c>
      <c r="DA7" s="156" t="s">
        <v>277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278</v>
      </c>
    </row>
    <row r="9" spans="1:105" ht="12" customHeight="1" x14ac:dyDescent="0.25">
      <c r="A9" s="131" t="s">
        <v>78</v>
      </c>
      <c r="B9" s="132">
        <v>126.66264125156164</v>
      </c>
      <c r="C9" s="132">
        <v>85.303966519615628</v>
      </c>
      <c r="D9" s="132">
        <v>94.111418988959201</v>
      </c>
      <c r="E9" s="132">
        <v>101.65225103514607</v>
      </c>
      <c r="F9" s="132">
        <v>86.916330995398567</v>
      </c>
      <c r="G9" s="132">
        <v>74.281206965619347</v>
      </c>
      <c r="H9" s="132">
        <v>95.180192411206008</v>
      </c>
      <c r="I9" s="132">
        <v>80.176579367114954</v>
      </c>
      <c r="J9" s="132">
        <v>101.06238890041045</v>
      </c>
      <c r="K9" s="132">
        <v>104.95039673888225</v>
      </c>
      <c r="L9" s="132">
        <v>114.48537874131871</v>
      </c>
      <c r="M9" s="132">
        <v>47.51386144681814</v>
      </c>
      <c r="N9" s="132">
        <v>87.26580600673401</v>
      </c>
      <c r="O9" s="132">
        <v>86.952130728082849</v>
      </c>
      <c r="P9" s="132">
        <v>70.620539920800795</v>
      </c>
      <c r="Q9" s="132">
        <v>83.438556358680302</v>
      </c>
      <c r="R9" s="132">
        <v>97.079199026666601</v>
      </c>
      <c r="S9" s="132">
        <v>73.431993335982625</v>
      </c>
      <c r="T9" s="132">
        <v>85.133741707817165</v>
      </c>
      <c r="U9" s="132">
        <v>93.866710922988034</v>
      </c>
      <c r="V9" s="132">
        <v>65.871323691192472</v>
      </c>
      <c r="W9" s="132">
        <v>102.14779681405932</v>
      </c>
      <c r="X9" s="132">
        <v>69.1904661071665</v>
      </c>
      <c r="Y9" s="132">
        <v>64.150746678968844</v>
      </c>
      <c r="DA9" s="156" t="s">
        <v>279</v>
      </c>
    </row>
    <row r="10" spans="1:105" ht="12" customHeight="1" x14ac:dyDescent="0.25">
      <c r="A10" s="131" t="s">
        <v>128</v>
      </c>
      <c r="B10" s="132">
        <v>2.3903697334479779E-2</v>
      </c>
      <c r="C10" s="132">
        <v>7.1625107480653427E-2</v>
      </c>
      <c r="D10" s="132">
        <v>0.11943250214961311</v>
      </c>
      <c r="E10" s="132">
        <v>7.1625107480653399E-2</v>
      </c>
      <c r="F10" s="132">
        <v>9.0197764402407565E-2</v>
      </c>
      <c r="G10" s="132">
        <v>7.5322441960447128E-2</v>
      </c>
      <c r="H10" s="132">
        <v>3.1040412725709347E-2</v>
      </c>
      <c r="I10" s="132">
        <v>3.3963886500429911E-2</v>
      </c>
      <c r="J10" s="132">
        <v>9.1487532244196049E-2</v>
      </c>
      <c r="K10" s="132">
        <v>0.188220120378332</v>
      </c>
      <c r="L10" s="132">
        <v>0.13877901977644028</v>
      </c>
      <c r="M10" s="132">
        <v>6.595012897678422E-2</v>
      </c>
      <c r="N10" s="132">
        <v>0.20085984522785913</v>
      </c>
      <c r="O10" s="132">
        <v>0.41504729148753217</v>
      </c>
      <c r="P10" s="132">
        <v>0.58237317282889123</v>
      </c>
      <c r="Q10" s="132">
        <v>0.23826311263972486</v>
      </c>
      <c r="R10" s="132">
        <v>0.54565778159931222</v>
      </c>
      <c r="S10" s="132">
        <v>1.8830610490111702E-2</v>
      </c>
      <c r="T10" s="132">
        <v>2.5967325881341333E-2</v>
      </c>
      <c r="U10" s="132">
        <v>1.3155631986242467E-2</v>
      </c>
      <c r="V10" s="132">
        <v>4.9097162510748124E-2</v>
      </c>
      <c r="W10" s="132">
        <v>0.1386930352536544</v>
      </c>
      <c r="X10" s="132">
        <v>0.11599312123817708</v>
      </c>
      <c r="Y10" s="132">
        <v>0.14746345657781595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281</v>
      </c>
    </row>
    <row r="12" spans="1:105" ht="12" customHeight="1" x14ac:dyDescent="0.25">
      <c r="A12" s="131" t="s">
        <v>162</v>
      </c>
      <c r="B12" s="132">
        <v>10.54525817832028</v>
      </c>
      <c r="C12" s="132">
        <v>13.075689115604977</v>
      </c>
      <c r="D12" s="132">
        <v>22.350845477078959</v>
      </c>
      <c r="E12" s="132">
        <v>52.468584060608713</v>
      </c>
      <c r="F12" s="132">
        <v>54.035869731256049</v>
      </c>
      <c r="G12" s="132">
        <v>54.502093254633785</v>
      </c>
      <c r="H12" s="132">
        <v>55.029510498746347</v>
      </c>
      <c r="I12" s="132">
        <v>42.975207219007039</v>
      </c>
      <c r="J12" s="132">
        <v>50.935773707039857</v>
      </c>
      <c r="K12" s="132">
        <v>41.771025309391682</v>
      </c>
      <c r="L12" s="132">
        <v>51.870465000037221</v>
      </c>
      <c r="M12" s="132">
        <v>56.319346884996669</v>
      </c>
      <c r="N12" s="132">
        <v>51.573108742012096</v>
      </c>
      <c r="O12" s="132">
        <v>54.608030355057089</v>
      </c>
      <c r="P12" s="132">
        <v>35.913296248293072</v>
      </c>
      <c r="Q12" s="132">
        <v>44.558037978970816</v>
      </c>
      <c r="R12" s="132">
        <v>45.682641242374906</v>
      </c>
      <c r="S12" s="132">
        <v>51.688066306019749</v>
      </c>
      <c r="T12" s="132">
        <v>59.586624539391828</v>
      </c>
      <c r="U12" s="132">
        <v>75.994340926151466</v>
      </c>
      <c r="V12" s="132">
        <v>111.1270673921336</v>
      </c>
      <c r="W12" s="132">
        <v>121.63207228625107</v>
      </c>
      <c r="X12" s="132">
        <v>106.65839365247362</v>
      </c>
      <c r="Y12" s="132">
        <v>99.435111811749351</v>
      </c>
      <c r="DA12" s="156" t="s">
        <v>282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283</v>
      </c>
    </row>
    <row r="14" spans="1:105" ht="12" customHeight="1" x14ac:dyDescent="0.25">
      <c r="A14" s="60" t="s">
        <v>76</v>
      </c>
      <c r="B14" s="65">
        <v>64.027234765041868</v>
      </c>
      <c r="C14" s="65">
        <v>91.942875174861001</v>
      </c>
      <c r="D14" s="65">
        <v>52.869183179934566</v>
      </c>
      <c r="E14" s="65">
        <v>61.710969567072567</v>
      </c>
      <c r="F14" s="65">
        <v>49.565643547481734</v>
      </c>
      <c r="G14" s="65">
        <v>60.26476721229534</v>
      </c>
      <c r="H14" s="65">
        <v>58.08928776948639</v>
      </c>
      <c r="I14" s="65">
        <v>85.099676851318534</v>
      </c>
      <c r="J14" s="65">
        <v>77.551788391963655</v>
      </c>
      <c r="K14" s="65">
        <v>69.347543689248013</v>
      </c>
      <c r="L14" s="65">
        <v>71.039898090771629</v>
      </c>
      <c r="M14" s="65">
        <v>58.768183510278007</v>
      </c>
      <c r="N14" s="65">
        <v>61.916432925250241</v>
      </c>
      <c r="O14" s="65">
        <v>62.767981027263879</v>
      </c>
      <c r="P14" s="65">
        <v>53.443291930990156</v>
      </c>
      <c r="Q14" s="65">
        <v>50.12409920978449</v>
      </c>
      <c r="R14" s="65">
        <v>38.619563938936089</v>
      </c>
      <c r="S14" s="65">
        <v>72.624094299872894</v>
      </c>
      <c r="T14" s="65">
        <v>63.55954867102465</v>
      </c>
      <c r="U14" s="65">
        <v>72.659962583593597</v>
      </c>
      <c r="V14" s="65">
        <v>59.858807527078632</v>
      </c>
      <c r="W14" s="65">
        <v>69.140215456048338</v>
      </c>
      <c r="X14" s="65">
        <v>28.987243165157746</v>
      </c>
      <c r="Y14" s="65">
        <v>33.431597777095597</v>
      </c>
      <c r="DA14" s="109" t="s">
        <v>284</v>
      </c>
    </row>
    <row r="15" spans="1:105" ht="12" customHeight="1" x14ac:dyDescent="0.25">
      <c r="A15" s="133" t="s">
        <v>80</v>
      </c>
      <c r="B15" s="134">
        <v>1.8429291436377366</v>
      </c>
      <c r="C15" s="134">
        <v>1.5517197858285687</v>
      </c>
      <c r="D15" s="134">
        <v>1.6006566115413419</v>
      </c>
      <c r="E15" s="134">
        <v>1.7036507413008826</v>
      </c>
      <c r="F15" s="134">
        <v>1.5451885369663831</v>
      </c>
      <c r="G15" s="134">
        <v>1.3626499063107462</v>
      </c>
      <c r="H15" s="134">
        <v>1.3718412069118706</v>
      </c>
      <c r="I15" s="134">
        <v>1.1685919198302557</v>
      </c>
      <c r="J15" s="134">
        <v>1.3455796006657048</v>
      </c>
      <c r="K15" s="134">
        <v>1.3411212162262265</v>
      </c>
      <c r="L15" s="134">
        <v>1.6777507032361219</v>
      </c>
      <c r="M15" s="134">
        <v>0.96679827820026354</v>
      </c>
      <c r="N15" s="134">
        <v>1.3748339606846418</v>
      </c>
      <c r="O15" s="134">
        <v>1.5004314877553377</v>
      </c>
      <c r="P15" s="134">
        <v>1.235005399552926</v>
      </c>
      <c r="Q15" s="134">
        <v>1.6174630813154265</v>
      </c>
      <c r="R15" s="134">
        <v>1.75683697318111</v>
      </c>
      <c r="S15" s="134">
        <v>1.8586798618088887</v>
      </c>
      <c r="T15" s="134">
        <v>2.0023894209753639</v>
      </c>
      <c r="U15" s="134">
        <v>2.3732504777478209</v>
      </c>
      <c r="V15" s="134">
        <v>2.1320937893625569</v>
      </c>
      <c r="W15" s="134">
        <v>2.4824251312071572</v>
      </c>
      <c r="X15" s="134">
        <v>1.9120566143486268</v>
      </c>
      <c r="Y15" s="134">
        <v>1.8305547766885479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1.1607206881919818</v>
      </c>
      <c r="C16" s="130">
        <f t="shared" si="6"/>
        <v>1.3946088666193239</v>
      </c>
      <c r="D16" s="130">
        <f t="shared" si="6"/>
        <v>1.6862158811416033</v>
      </c>
      <c r="E16" s="130">
        <f t="shared" si="6"/>
        <v>2.346907476201856</v>
      </c>
      <c r="F16" s="130">
        <f t="shared" si="6"/>
        <v>2.0045451435767938</v>
      </c>
      <c r="G16" s="130">
        <f t="shared" si="6"/>
        <v>2.4179598766254036</v>
      </c>
      <c r="H16" s="130">
        <f t="shared" si="6"/>
        <v>3.1208931273627001</v>
      </c>
      <c r="I16" s="130">
        <f t="shared" si="6"/>
        <v>2.9363732170862105</v>
      </c>
      <c r="J16" s="130">
        <f t="shared" si="6"/>
        <v>3.1684595728389002</v>
      </c>
      <c r="K16" s="130">
        <f t="shared" si="6"/>
        <v>3.4659234852857219</v>
      </c>
      <c r="L16" s="130">
        <f t="shared" si="6"/>
        <v>3.8967704499300706</v>
      </c>
      <c r="M16" s="130">
        <f t="shared" si="6"/>
        <v>3.8274047346759499</v>
      </c>
      <c r="N16" s="130">
        <f t="shared" si="6"/>
        <v>4.054785044792804</v>
      </c>
      <c r="O16" s="130">
        <f t="shared" si="6"/>
        <v>4.1822912680247644</v>
      </c>
      <c r="P16" s="130">
        <f t="shared" si="6"/>
        <v>4.1024060121316692</v>
      </c>
      <c r="Q16" s="130">
        <f t="shared" si="6"/>
        <v>4.6764713354372525</v>
      </c>
      <c r="R16" s="130">
        <f t="shared" ref="R16:W16" si="7">SUM(R17:R18)</f>
        <v>4.2715468024443775</v>
      </c>
      <c r="S16" s="130">
        <f t="shared" si="7"/>
        <v>4.3076412269032636</v>
      </c>
      <c r="T16" s="130">
        <f t="shared" si="7"/>
        <v>4.9217921587636138</v>
      </c>
      <c r="U16" s="130">
        <f t="shared" si="7"/>
        <v>4.9857934775336155</v>
      </c>
      <c r="V16" s="130">
        <f t="shared" si="7"/>
        <v>4.9257206276988752</v>
      </c>
      <c r="W16" s="130">
        <f t="shared" si="7"/>
        <v>4.3058678692577583</v>
      </c>
      <c r="X16" s="130">
        <f t="shared" ref="X16:Y16" si="8">SUM(X17:X18)</f>
        <v>4.5707813339402055</v>
      </c>
      <c r="Y16" s="130">
        <f t="shared" si="8"/>
        <v>4.382997803059717</v>
      </c>
      <c r="DA16" s="155" t="s">
        <v>215</v>
      </c>
    </row>
    <row r="17" spans="1:105" ht="12.95" customHeight="1" x14ac:dyDescent="0.25">
      <c r="A17" s="131" t="s">
        <v>73</v>
      </c>
      <c r="B17" s="132">
        <v>7.4336012367794066E-3</v>
      </c>
      <c r="C17" s="132">
        <v>1.0221533347206943E-2</v>
      </c>
      <c r="D17" s="132">
        <v>1.5856502501962546E-2</v>
      </c>
      <c r="E17" s="132">
        <v>1.5941789401332018E-2</v>
      </c>
      <c r="F17" s="132">
        <v>2.4702567020963951E-2</v>
      </c>
      <c r="G17" s="132">
        <v>2.9000205074293565E-2</v>
      </c>
      <c r="H17" s="132">
        <v>4.0793094243347393E-2</v>
      </c>
      <c r="I17" s="132">
        <v>5.0449091173358759E-2</v>
      </c>
      <c r="J17" s="132">
        <v>5.6342972748916753E-2</v>
      </c>
      <c r="K17" s="132">
        <v>7.6981473838275874E-2</v>
      </c>
      <c r="L17" s="132">
        <v>7.5795948395534357E-2</v>
      </c>
      <c r="M17" s="132">
        <v>8.2474397894617177E-2</v>
      </c>
      <c r="N17" s="132">
        <v>9.4321775862418966E-2</v>
      </c>
      <c r="O17" s="132">
        <v>0.11536447649428667</v>
      </c>
      <c r="P17" s="132">
        <v>0.1528113397297011</v>
      </c>
      <c r="Q17" s="132">
        <v>0.20971632324022577</v>
      </c>
      <c r="R17" s="132">
        <v>0.26591309436591065</v>
      </c>
      <c r="S17" s="132">
        <v>0.31773886542177598</v>
      </c>
      <c r="T17" s="132">
        <v>0.36313516171208143</v>
      </c>
      <c r="U17" s="132">
        <v>0.40139020906517159</v>
      </c>
      <c r="V17" s="132">
        <v>0.43270371971582872</v>
      </c>
      <c r="W17" s="132">
        <v>0.45778179636278127</v>
      </c>
      <c r="X17" s="132">
        <v>0.42978568504028636</v>
      </c>
      <c r="Y17" s="132">
        <v>0.41897831988162332</v>
      </c>
      <c r="DA17" s="156" t="s">
        <v>286</v>
      </c>
    </row>
    <row r="18" spans="1:105" ht="12" customHeight="1" x14ac:dyDescent="0.25">
      <c r="A18" s="131" t="s">
        <v>72</v>
      </c>
      <c r="B18" s="132">
        <v>1.1532870869552023</v>
      </c>
      <c r="C18" s="132">
        <v>1.384387333272117</v>
      </c>
      <c r="D18" s="132">
        <v>1.6703593786396407</v>
      </c>
      <c r="E18" s="132">
        <v>2.330965686800524</v>
      </c>
      <c r="F18" s="132">
        <v>1.9798425765558301</v>
      </c>
      <c r="G18" s="132">
        <v>2.3889596715511101</v>
      </c>
      <c r="H18" s="132">
        <v>3.0801000331193529</v>
      </c>
      <c r="I18" s="132">
        <v>2.8859241259128519</v>
      </c>
      <c r="J18" s="132">
        <v>3.1121166000899834</v>
      </c>
      <c r="K18" s="132">
        <v>3.3889420114474462</v>
      </c>
      <c r="L18" s="132">
        <v>3.8209745015345362</v>
      </c>
      <c r="M18" s="132">
        <v>3.7449303367813327</v>
      </c>
      <c r="N18" s="132">
        <v>3.9604632689303854</v>
      </c>
      <c r="O18" s="132">
        <v>4.0669267915304781</v>
      </c>
      <c r="P18" s="132">
        <v>3.9495946724019682</v>
      </c>
      <c r="Q18" s="132">
        <v>4.4667550121970265</v>
      </c>
      <c r="R18" s="132">
        <v>4.0056337080784665</v>
      </c>
      <c r="S18" s="132">
        <v>3.9899023614814872</v>
      </c>
      <c r="T18" s="132">
        <v>4.558656997051532</v>
      </c>
      <c r="U18" s="132">
        <v>4.5844032684684439</v>
      </c>
      <c r="V18" s="132">
        <v>4.4930169079830469</v>
      </c>
      <c r="W18" s="132">
        <v>3.8480860728949775</v>
      </c>
      <c r="X18" s="132">
        <v>4.1409956488999189</v>
      </c>
      <c r="Y18" s="132">
        <v>3.9640194831780935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31.590699081404267</v>
      </c>
      <c r="C19" s="130">
        <f t="shared" si="9"/>
        <v>32.049779726544834</v>
      </c>
      <c r="D19" s="130">
        <f t="shared" si="9"/>
        <v>31.787542845621047</v>
      </c>
      <c r="E19" s="130">
        <f t="shared" si="9"/>
        <v>31.191437340402373</v>
      </c>
      <c r="F19" s="130">
        <f t="shared" si="9"/>
        <v>30.812476015051928</v>
      </c>
      <c r="G19" s="130">
        <f t="shared" si="9"/>
        <v>30.870429968299163</v>
      </c>
      <c r="H19" s="130">
        <f t="shared" si="9"/>
        <v>30.293034190834319</v>
      </c>
      <c r="I19" s="130">
        <f t="shared" si="9"/>
        <v>30.555844148657336</v>
      </c>
      <c r="J19" s="130">
        <f t="shared" si="9"/>
        <v>30.748697081634418</v>
      </c>
      <c r="K19" s="130">
        <f t="shared" si="9"/>
        <v>30.938569066364121</v>
      </c>
      <c r="L19" s="130">
        <f t="shared" si="9"/>
        <v>31.449140588505013</v>
      </c>
      <c r="M19" s="130">
        <f t="shared" si="9"/>
        <v>30.6081806988824</v>
      </c>
      <c r="N19" s="130">
        <f t="shared" si="9"/>
        <v>31.290316799540285</v>
      </c>
      <c r="O19" s="130">
        <f t="shared" si="9"/>
        <v>31.96076181375264</v>
      </c>
      <c r="P19" s="130">
        <f t="shared" si="9"/>
        <v>33.283570649791443</v>
      </c>
      <c r="Q19" s="130">
        <f t="shared" si="9"/>
        <v>33.984799640574437</v>
      </c>
      <c r="R19" s="130">
        <f t="shared" ref="R19:W19" si="10">SUM(R20:R27)</f>
        <v>33.877879620842776</v>
      </c>
      <c r="S19" s="130">
        <f t="shared" si="10"/>
        <v>34.872638621064127</v>
      </c>
      <c r="T19" s="130">
        <f t="shared" si="10"/>
        <v>35.095798298563885</v>
      </c>
      <c r="U19" s="130">
        <f t="shared" si="10"/>
        <v>35.184021802790191</v>
      </c>
      <c r="V19" s="130">
        <f t="shared" si="10"/>
        <v>31.142004697570922</v>
      </c>
      <c r="W19" s="130">
        <f t="shared" si="10"/>
        <v>33.271359720647439</v>
      </c>
      <c r="X19" s="130">
        <f t="shared" ref="X19:Y19" si="11">SUM(X20:X27)</f>
        <v>34.532177459725524</v>
      </c>
      <c r="Y19" s="130">
        <f t="shared" si="11"/>
        <v>35.325686556834249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289</v>
      </c>
    </row>
    <row r="22" spans="1:105" ht="12" customHeight="1" x14ac:dyDescent="0.25">
      <c r="A22" s="131" t="s">
        <v>161</v>
      </c>
      <c r="B22" s="132">
        <v>6.6547097915840761</v>
      </c>
      <c r="C22" s="132">
        <v>6.535086213104834</v>
      </c>
      <c r="D22" s="132">
        <v>6.6704398293371812</v>
      </c>
      <c r="E22" s="132">
        <v>6.6217800572061938</v>
      </c>
      <c r="F22" s="132">
        <v>6.5226604208910102</v>
      </c>
      <c r="G22" s="132">
        <v>6.1704301214663362</v>
      </c>
      <c r="H22" s="132">
        <v>4.1466257396385693</v>
      </c>
      <c r="I22" s="132">
        <v>3.7208852859194739</v>
      </c>
      <c r="J22" s="132">
        <v>2.6161132218555454</v>
      </c>
      <c r="K22" s="132">
        <v>2.7817203275746052</v>
      </c>
      <c r="L22" s="132">
        <v>4.3254455344795035</v>
      </c>
      <c r="M22" s="132">
        <v>3.040535084057443</v>
      </c>
      <c r="N22" s="132">
        <v>4.6586058290751362</v>
      </c>
      <c r="O22" s="132">
        <v>4.6257509358777602</v>
      </c>
      <c r="P22" s="132">
        <v>4.9904961191892472</v>
      </c>
      <c r="Q22" s="132">
        <v>4.8994150715993978</v>
      </c>
      <c r="R22" s="132">
        <v>4.6822321297180531</v>
      </c>
      <c r="S22" s="132">
        <v>7.4545434226712199</v>
      </c>
      <c r="T22" s="132">
        <v>7.9914945067931651</v>
      </c>
      <c r="U22" s="132">
        <v>8.9585326399798291</v>
      </c>
      <c r="V22" s="132">
        <v>7.2225752693454748</v>
      </c>
      <c r="W22" s="132">
        <v>8.3726490520313916</v>
      </c>
      <c r="X22" s="132">
        <v>6.5272152305748339</v>
      </c>
      <c r="Y22" s="132">
        <v>6.3417498948819766</v>
      </c>
      <c r="DA22" s="156" t="s">
        <v>290</v>
      </c>
    </row>
    <row r="23" spans="1:105" ht="12" customHeight="1" x14ac:dyDescent="0.25">
      <c r="A23" s="131" t="s">
        <v>149</v>
      </c>
      <c r="B23" s="132">
        <v>6.310128236780943</v>
      </c>
      <c r="C23" s="132">
        <v>6.5101319934337614</v>
      </c>
      <c r="D23" s="132">
        <v>6.7436055485270678</v>
      </c>
      <c r="E23" s="132">
        <v>7.3799584051058931</v>
      </c>
      <c r="F23" s="132">
        <v>7.4007799851527505</v>
      </c>
      <c r="G23" s="132">
        <v>7.6066347649989146</v>
      </c>
      <c r="H23" s="132">
        <v>7.6326171263027627</v>
      </c>
      <c r="I23" s="132">
        <v>7.6654779760818537</v>
      </c>
      <c r="J23" s="132">
        <v>9.1435473216526937</v>
      </c>
      <c r="K23" s="132">
        <v>8.4884461377843881</v>
      </c>
      <c r="L23" s="132">
        <v>9.7699827998189548</v>
      </c>
      <c r="M23" s="132">
        <v>9.3119288259166595</v>
      </c>
      <c r="N23" s="132">
        <v>8.9326556889637825</v>
      </c>
      <c r="O23" s="132">
        <v>9.3253599804737011</v>
      </c>
      <c r="P23" s="132">
        <v>10.121628266869605</v>
      </c>
      <c r="Q23" s="132">
        <v>11.594191737062218</v>
      </c>
      <c r="R23" s="132">
        <v>12.290823276792931</v>
      </c>
      <c r="S23" s="132">
        <v>8.6301209165121158</v>
      </c>
      <c r="T23" s="132">
        <v>8.8694103306580168</v>
      </c>
      <c r="U23" s="132">
        <v>8.4533500173207266</v>
      </c>
      <c r="V23" s="132">
        <v>5.5090325616285831</v>
      </c>
      <c r="W23" s="132">
        <v>7.8434639680223714</v>
      </c>
      <c r="X23" s="132">
        <v>7.7909798263616086</v>
      </c>
      <c r="Y23" s="132">
        <v>7.7269050416938843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1.4900814605447201</v>
      </c>
      <c r="C25" s="132">
        <v>1.7885413229160909</v>
      </c>
      <c r="D25" s="132">
        <v>3.4570650990173433</v>
      </c>
      <c r="E25" s="132">
        <v>5.9638321044815505</v>
      </c>
      <c r="F25" s="132">
        <v>6.2802093745048975</v>
      </c>
      <c r="G25" s="132">
        <v>6.4635129362518553</v>
      </c>
      <c r="H25" s="132">
        <v>6.562750894202904</v>
      </c>
      <c r="I25" s="132">
        <v>6.5786190922569139</v>
      </c>
      <c r="J25" s="132">
        <v>6.5337017873711485</v>
      </c>
      <c r="K25" s="132">
        <v>6.7011157052256705</v>
      </c>
      <c r="L25" s="132">
        <v>6.2247198666867343</v>
      </c>
      <c r="M25" s="132">
        <v>6.3155628312544136</v>
      </c>
      <c r="N25" s="132">
        <v>6.3957648607393791</v>
      </c>
      <c r="O25" s="132">
        <v>6.4500951823461401</v>
      </c>
      <c r="P25" s="132">
        <v>6.3158525049313443</v>
      </c>
      <c r="Q25" s="132">
        <v>6.3576112041762434</v>
      </c>
      <c r="R25" s="132">
        <v>6.3895857567652143</v>
      </c>
      <c r="S25" s="132">
        <v>6.8079784059321105</v>
      </c>
      <c r="T25" s="132">
        <v>6.197898246506754</v>
      </c>
      <c r="U25" s="132">
        <v>6.8202764427222089</v>
      </c>
      <c r="V25" s="132">
        <v>6.8335516964304865</v>
      </c>
      <c r="W25" s="132">
        <v>6.0694754351591387</v>
      </c>
      <c r="X25" s="132">
        <v>5.5101360121866962</v>
      </c>
      <c r="Y25" s="132">
        <v>4.8653181108644334</v>
      </c>
      <c r="DA25" s="156" t="s">
        <v>293</v>
      </c>
    </row>
    <row r="26" spans="1:105" ht="12" customHeight="1" x14ac:dyDescent="0.25">
      <c r="A26" s="131" t="s">
        <v>24</v>
      </c>
      <c r="B26" s="65">
        <v>17.135779592494529</v>
      </c>
      <c r="C26" s="65">
        <v>17.216020197090149</v>
      </c>
      <c r="D26" s="65">
        <v>14.916432368739457</v>
      </c>
      <c r="E26" s="65">
        <v>11.225866773608738</v>
      </c>
      <c r="F26" s="65">
        <v>10.608826234503271</v>
      </c>
      <c r="G26" s="65">
        <v>10.629852145582056</v>
      </c>
      <c r="H26" s="65">
        <v>11.951040430690087</v>
      </c>
      <c r="I26" s="65">
        <v>12.590861794399094</v>
      </c>
      <c r="J26" s="65">
        <v>12.455334750755027</v>
      </c>
      <c r="K26" s="65">
        <v>12.967286895779456</v>
      </c>
      <c r="L26" s="65">
        <v>11.128992387519823</v>
      </c>
      <c r="M26" s="65">
        <v>11.940153957653882</v>
      </c>
      <c r="N26" s="65">
        <v>11.303290420761986</v>
      </c>
      <c r="O26" s="65">
        <v>11.559555715055039</v>
      </c>
      <c r="P26" s="65">
        <v>11.855593758801248</v>
      </c>
      <c r="Q26" s="65">
        <v>11.133581627736575</v>
      </c>
      <c r="R26" s="65">
        <v>10.515238457566575</v>
      </c>
      <c r="S26" s="65">
        <v>11.979995875948683</v>
      </c>
      <c r="T26" s="65">
        <v>12.03699521460595</v>
      </c>
      <c r="U26" s="65">
        <v>10.951862702767428</v>
      </c>
      <c r="V26" s="65">
        <v>11.576845170166376</v>
      </c>
      <c r="W26" s="65">
        <v>10.985771265434538</v>
      </c>
      <c r="X26" s="65">
        <v>14.703846390602386</v>
      </c>
      <c r="Y26" s="65">
        <v>16.391713509393956</v>
      </c>
      <c r="DA26" s="109" t="s">
        <v>294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32.278571060051412</v>
      </c>
      <c r="C29" s="130">
        <f t="shared" si="12"/>
        <v>34.188215421726795</v>
      </c>
      <c r="D29" s="130">
        <f t="shared" si="12"/>
        <v>34.258976571826693</v>
      </c>
      <c r="E29" s="130">
        <f t="shared" si="12"/>
        <v>34.315828899685847</v>
      </c>
      <c r="F29" s="130">
        <f t="shared" si="12"/>
        <v>34.621118996141</v>
      </c>
      <c r="G29" s="130">
        <f t="shared" si="12"/>
        <v>35.109011391055013</v>
      </c>
      <c r="H29" s="130">
        <f t="shared" si="12"/>
        <v>35.937856834221336</v>
      </c>
      <c r="I29" s="130">
        <f t="shared" si="12"/>
        <v>36.099632661624547</v>
      </c>
      <c r="J29" s="130">
        <f t="shared" si="12"/>
        <v>36.545090979460937</v>
      </c>
      <c r="K29" s="130">
        <f t="shared" si="12"/>
        <v>38.763770603472665</v>
      </c>
      <c r="L29" s="130">
        <f t="shared" si="12"/>
        <v>39.369783692175417</v>
      </c>
      <c r="M29" s="130">
        <f t="shared" si="12"/>
        <v>40.02628330791029</v>
      </c>
      <c r="N29" s="130">
        <f t="shared" si="12"/>
        <v>40.861192855444187</v>
      </c>
      <c r="O29" s="130">
        <f t="shared" si="12"/>
        <v>41.524844546566101</v>
      </c>
      <c r="P29" s="130">
        <f t="shared" si="12"/>
        <v>41.960702361598265</v>
      </c>
      <c r="Q29" s="130">
        <f t="shared" si="12"/>
        <v>43.108423773973527</v>
      </c>
      <c r="R29" s="130">
        <f t="shared" ref="R29:W29" si="13">SUM(R30:R33)</f>
        <v>43.926081609545349</v>
      </c>
      <c r="S29" s="130">
        <f t="shared" si="13"/>
        <v>44.225507219843493</v>
      </c>
      <c r="T29" s="130">
        <f t="shared" si="13"/>
        <v>44.792639427428227</v>
      </c>
      <c r="U29" s="130">
        <f t="shared" si="13"/>
        <v>46.205373297971221</v>
      </c>
      <c r="V29" s="130">
        <f t="shared" si="13"/>
        <v>42.62867320772601</v>
      </c>
      <c r="W29" s="130">
        <f t="shared" si="13"/>
        <v>49.288105595952942</v>
      </c>
      <c r="X29" s="130">
        <f t="shared" ref="X29:Y29" si="14">SUM(X30:X33)</f>
        <v>48.989294069812189</v>
      </c>
      <c r="Y29" s="130">
        <f t="shared" si="14"/>
        <v>51.232040914369264</v>
      </c>
      <c r="DA29" s="155" t="s">
        <v>217</v>
      </c>
    </row>
    <row r="30" spans="1:105" ht="12" customHeight="1" x14ac:dyDescent="0.25">
      <c r="A30" s="131" t="s">
        <v>52</v>
      </c>
      <c r="B30" s="132">
        <v>4.3947549441100593</v>
      </c>
      <c r="C30" s="132">
        <v>8.7895098882201186</v>
      </c>
      <c r="D30" s="132">
        <v>4.3947549441100602</v>
      </c>
      <c r="E30" s="132">
        <v>1.098710232158211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8.208340498710232</v>
      </c>
      <c r="L30" s="132">
        <v>8.8214101461736885</v>
      </c>
      <c r="M30" s="132">
        <v>9.0444539982803089</v>
      </c>
      <c r="N30" s="132">
        <v>9.1576096302665544</v>
      </c>
      <c r="O30" s="132">
        <v>9.4894239036973289</v>
      </c>
      <c r="P30" s="132">
        <v>8.4665520206362768</v>
      </c>
      <c r="Q30" s="132">
        <v>9.2839208942390243</v>
      </c>
      <c r="R30" s="132">
        <v>9.9563198624247686</v>
      </c>
      <c r="S30" s="132">
        <v>8.6829750644883958</v>
      </c>
      <c r="T30" s="132">
        <v>7.684264832330177</v>
      </c>
      <c r="U30" s="132">
        <v>9.1619948409286351</v>
      </c>
      <c r="V30" s="132">
        <v>7.0898538263112592</v>
      </c>
      <c r="W30" s="132">
        <v>10.660619088564065</v>
      </c>
      <c r="X30" s="132">
        <v>8.0138435081685255</v>
      </c>
      <c r="Y30" s="132">
        <v>10.699054170249351</v>
      </c>
      <c r="DA30" s="156" t="s">
        <v>296</v>
      </c>
    </row>
    <row r="31" spans="1:105" ht="12" customHeight="1" x14ac:dyDescent="0.25">
      <c r="A31" s="131" t="s">
        <v>149</v>
      </c>
      <c r="B31" s="132">
        <v>15.909564752209103</v>
      </c>
      <c r="C31" s="132">
        <v>16.215146849562178</v>
      </c>
      <c r="D31" s="132">
        <v>16.913039854250762</v>
      </c>
      <c r="E31" s="132">
        <v>17.015907239822177</v>
      </c>
      <c r="F31" s="132">
        <v>17.220697200493035</v>
      </c>
      <c r="G31" s="132">
        <v>16.336038545820752</v>
      </c>
      <c r="H31" s="132">
        <v>16.620000119752635</v>
      </c>
      <c r="I31" s="132">
        <v>15.838018071218803</v>
      </c>
      <c r="J31" s="132">
        <v>15.054057864517208</v>
      </c>
      <c r="K31" s="132">
        <v>13.177468856717827</v>
      </c>
      <c r="L31" s="132">
        <v>12.706933654061068</v>
      </c>
      <c r="M31" s="132">
        <v>12.800247797126357</v>
      </c>
      <c r="N31" s="132">
        <v>12.278497697829287</v>
      </c>
      <c r="O31" s="132">
        <v>11.093387291303378</v>
      </c>
      <c r="P31" s="132">
        <v>10.028580231843236</v>
      </c>
      <c r="Q31" s="132">
        <v>9.2300205337256624</v>
      </c>
      <c r="R31" s="132">
        <v>8.453402521349064</v>
      </c>
      <c r="S31" s="132">
        <v>7.2014022561161202</v>
      </c>
      <c r="T31" s="132">
        <v>6.760453986399142</v>
      </c>
      <c r="U31" s="132">
        <v>5.7518936485624614</v>
      </c>
      <c r="V31" s="132">
        <v>4.0861661667580043</v>
      </c>
      <c r="W31" s="132">
        <v>4.947518040644078</v>
      </c>
      <c r="X31" s="132">
        <v>8.994959267072133</v>
      </c>
      <c r="Y31" s="132">
        <v>8.8624413266095807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11.974251363732249</v>
      </c>
      <c r="C33" s="68">
        <v>9.1835586839444936</v>
      </c>
      <c r="D33" s="68">
        <v>12.951181773465869</v>
      </c>
      <c r="E33" s="68">
        <v>16.201211427705459</v>
      </c>
      <c r="F33" s="68">
        <v>17.400421795647965</v>
      </c>
      <c r="G33" s="68">
        <v>18.772972845234261</v>
      </c>
      <c r="H33" s="68">
        <v>19.317856714468704</v>
      </c>
      <c r="I33" s="68">
        <v>20.261614590405742</v>
      </c>
      <c r="J33" s="68">
        <v>21.491033114943725</v>
      </c>
      <c r="K33" s="68">
        <v>17.377961248044603</v>
      </c>
      <c r="L33" s="68">
        <v>17.841439891940656</v>
      </c>
      <c r="M33" s="68">
        <v>18.181581512503627</v>
      </c>
      <c r="N33" s="68">
        <v>19.425085527348344</v>
      </c>
      <c r="O33" s="68">
        <v>20.942033351565389</v>
      </c>
      <c r="P33" s="68">
        <v>23.465570109118751</v>
      </c>
      <c r="Q33" s="68">
        <v>24.594482346008835</v>
      </c>
      <c r="R33" s="68">
        <v>25.51635922577152</v>
      </c>
      <c r="S33" s="68">
        <v>28.341129899238975</v>
      </c>
      <c r="T33" s="68">
        <v>30.34792060869891</v>
      </c>
      <c r="U33" s="68">
        <v>31.291484808480124</v>
      </c>
      <c r="V33" s="68">
        <v>31.452653214656742</v>
      </c>
      <c r="W33" s="68">
        <v>33.679968466744803</v>
      </c>
      <c r="X33" s="68">
        <v>31.980491294571525</v>
      </c>
      <c r="Y33" s="68">
        <v>31.670545417510329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189.38518407124735</v>
      </c>
      <c r="C3" s="125">
        <f t="shared" si="0"/>
        <v>199.602385197784</v>
      </c>
      <c r="D3" s="125">
        <f t="shared" si="0"/>
        <v>183.46984893491427</v>
      </c>
      <c r="E3" s="125">
        <f t="shared" si="0"/>
        <v>218.14248611043422</v>
      </c>
      <c r="F3" s="125">
        <f t="shared" si="0"/>
        <v>203.30383283872087</v>
      </c>
      <c r="G3" s="125">
        <f t="shared" si="0"/>
        <v>205.03906722565623</v>
      </c>
      <c r="H3" s="125">
        <f t="shared" si="0"/>
        <v>208.81115957483573</v>
      </c>
      <c r="I3" s="125">
        <f t="shared" si="0"/>
        <v>211.82165425870019</v>
      </c>
      <c r="J3" s="125">
        <f t="shared" si="0"/>
        <v>224.84036237317534</v>
      </c>
      <c r="K3" s="125">
        <f t="shared" si="0"/>
        <v>216.06954623657421</v>
      </c>
      <c r="L3" s="125">
        <f t="shared" si="0"/>
        <v>247.45935012791611</v>
      </c>
      <c r="M3" s="125">
        <f t="shared" si="0"/>
        <v>199.87021848655007</v>
      </c>
      <c r="N3" s="125">
        <f t="shared" si="0"/>
        <v>227.91144341640185</v>
      </c>
      <c r="O3" s="125">
        <f t="shared" si="0"/>
        <v>241.85124762903359</v>
      </c>
      <c r="P3" s="125">
        <f t="shared" si="0"/>
        <v>209.19635415591097</v>
      </c>
      <c r="Q3" s="125">
        <f t="shared" si="0"/>
        <v>240.84070845057101</v>
      </c>
      <c r="R3" s="125">
        <f t="shared" ref="R3:W3" si="1">SUM(R4,R16,R19,R29)</f>
        <v>242.25234774016175</v>
      </c>
      <c r="S3" s="125">
        <f t="shared" si="1"/>
        <v>282.57363732915343</v>
      </c>
      <c r="T3" s="125">
        <f t="shared" si="1"/>
        <v>295.25191784009519</v>
      </c>
      <c r="U3" s="125">
        <f t="shared" si="1"/>
        <v>340.40943820055816</v>
      </c>
      <c r="V3" s="125">
        <f t="shared" si="1"/>
        <v>334.67865657661321</v>
      </c>
      <c r="W3" s="125">
        <f t="shared" si="1"/>
        <v>376.55073333828727</v>
      </c>
      <c r="X3" s="125">
        <f t="shared" ref="X3:Y3" si="2">SUM(X4,X16,X19,X29)</f>
        <v>301.23562571810754</v>
      </c>
      <c r="Y3" s="125">
        <f t="shared" si="2"/>
        <v>297.46154470974153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146.01936315236517</v>
      </c>
      <c r="C4" s="130">
        <f t="shared" si="3"/>
        <v>154.55297277126996</v>
      </c>
      <c r="D4" s="130">
        <f t="shared" si="3"/>
        <v>136.66770012197463</v>
      </c>
      <c r="E4" s="130">
        <f t="shared" si="3"/>
        <v>168.94633860236777</v>
      </c>
      <c r="F4" s="130">
        <f t="shared" si="3"/>
        <v>154.31240318639581</v>
      </c>
      <c r="G4" s="130">
        <f t="shared" si="3"/>
        <v>153.97406740026398</v>
      </c>
      <c r="H4" s="130">
        <f t="shared" si="3"/>
        <v>154.9656659624921</v>
      </c>
      <c r="I4" s="130">
        <f t="shared" si="3"/>
        <v>157.40389285793697</v>
      </c>
      <c r="J4" s="130">
        <f t="shared" si="3"/>
        <v>168.55414581002998</v>
      </c>
      <c r="K4" s="130">
        <f t="shared" si="3"/>
        <v>157.82975661672887</v>
      </c>
      <c r="L4" s="130">
        <f t="shared" si="3"/>
        <v>186.98970799837988</v>
      </c>
      <c r="M4" s="130">
        <f t="shared" si="3"/>
        <v>138.84728340852433</v>
      </c>
      <c r="N4" s="130">
        <f t="shared" si="3"/>
        <v>164.36925081247585</v>
      </c>
      <c r="O4" s="130">
        <f t="shared" si="3"/>
        <v>175.94830861856025</v>
      </c>
      <c r="P4" s="130">
        <f t="shared" si="3"/>
        <v>141.24263473884236</v>
      </c>
      <c r="Q4" s="130">
        <f t="shared" si="3"/>
        <v>168.65145908519074</v>
      </c>
      <c r="R4" s="130">
        <f t="shared" ref="R4:W4" si="4">SUM(R5:R15)</f>
        <v>170.14024813334046</v>
      </c>
      <c r="S4" s="130">
        <f t="shared" si="4"/>
        <v>207.7907774488408</v>
      </c>
      <c r="T4" s="130">
        <f t="shared" si="4"/>
        <v>216.12780843947712</v>
      </c>
      <c r="U4" s="130">
        <f t="shared" si="4"/>
        <v>258.84252470113944</v>
      </c>
      <c r="V4" s="130">
        <f t="shared" si="4"/>
        <v>257.26868050647363</v>
      </c>
      <c r="W4" s="130">
        <f t="shared" si="4"/>
        <v>295.03222677192815</v>
      </c>
      <c r="X4" s="130">
        <f t="shared" ref="X4:Y4" si="5">SUM(X5:X15)</f>
        <v>216.68819164505246</v>
      </c>
      <c r="Y4" s="130">
        <f t="shared" si="5"/>
        <v>210.69323457374648</v>
      </c>
      <c r="DA4" s="155" t="s">
        <v>302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25.531662217279251</v>
      </c>
      <c r="C7" s="132">
        <v>32.815640461171967</v>
      </c>
      <c r="D7" s="132">
        <v>30.220964125358787</v>
      </c>
      <c r="E7" s="132">
        <v>27.095706245412124</v>
      </c>
      <c r="F7" s="132">
        <v>27.246300289500482</v>
      </c>
      <c r="G7" s="132">
        <v>24.5907028049396</v>
      </c>
      <c r="H7" s="132">
        <v>14.343464601210384</v>
      </c>
      <c r="I7" s="132">
        <v>13.704604908242084</v>
      </c>
      <c r="J7" s="132">
        <v>10.844559321547898</v>
      </c>
      <c r="K7" s="132">
        <v>10.455480339295285</v>
      </c>
      <c r="L7" s="132">
        <v>23.217489107420068</v>
      </c>
      <c r="M7" s="132">
        <v>18.370843747901443</v>
      </c>
      <c r="N7" s="132">
        <v>20.224013281196942</v>
      </c>
      <c r="O7" s="132">
        <v>26.58412338447809</v>
      </c>
      <c r="P7" s="132">
        <v>24.289817527125507</v>
      </c>
      <c r="Q7" s="132">
        <v>38.196035080576209</v>
      </c>
      <c r="R7" s="132">
        <v>37.968299286461303</v>
      </c>
      <c r="S7" s="132">
        <v>58.307473771871059</v>
      </c>
      <c r="T7" s="132">
        <v>58.23132812882816</v>
      </c>
      <c r="U7" s="132">
        <v>72.309104017635178</v>
      </c>
      <c r="V7" s="132">
        <v>67.052844788947738</v>
      </c>
      <c r="W7" s="132">
        <v>61.183620071015689</v>
      </c>
      <c r="X7" s="132">
        <v>48.268877123175805</v>
      </c>
      <c r="Y7" s="132">
        <v>45.877105583545358</v>
      </c>
      <c r="DA7" s="156" t="s">
        <v>305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306</v>
      </c>
    </row>
    <row r="9" spans="1:105" ht="12" customHeight="1" x14ac:dyDescent="0.25">
      <c r="A9" s="131" t="s">
        <v>78</v>
      </c>
      <c r="B9" s="132">
        <v>64.481529675939498</v>
      </c>
      <c r="C9" s="132">
        <v>43.732248149238842</v>
      </c>
      <c r="D9" s="132">
        <v>48.517378912005988</v>
      </c>
      <c r="E9" s="132">
        <v>52.462389666822588</v>
      </c>
      <c r="F9" s="132">
        <v>45.03044807505443</v>
      </c>
      <c r="G9" s="132">
        <v>38.975673463465213</v>
      </c>
      <c r="H9" s="132">
        <v>50.843476551673248</v>
      </c>
      <c r="I9" s="132">
        <v>43.616194520906312</v>
      </c>
      <c r="J9" s="132">
        <v>55.910359907777902</v>
      </c>
      <c r="K9" s="132">
        <v>58.922166425771927</v>
      </c>
      <c r="L9" s="132">
        <v>64.842451514842423</v>
      </c>
      <c r="M9" s="132">
        <v>27.461970719618087</v>
      </c>
      <c r="N9" s="132">
        <v>51.68684440250874</v>
      </c>
      <c r="O9" s="132">
        <v>52.978605779482507</v>
      </c>
      <c r="P9" s="132">
        <v>43.607897220504078</v>
      </c>
      <c r="Q9" s="132">
        <v>52.083901458751257</v>
      </c>
      <c r="R9" s="132">
        <v>61.166970036318858</v>
      </c>
      <c r="S9" s="132">
        <v>46.535860477422965</v>
      </c>
      <c r="T9" s="132">
        <v>54.246997462492743</v>
      </c>
      <c r="U9" s="132">
        <v>60.156480150648136</v>
      </c>
      <c r="V9" s="132">
        <v>42.688557531152853</v>
      </c>
      <c r="W9" s="132">
        <v>68.34097725923435</v>
      </c>
      <c r="X9" s="132">
        <v>48.558845924070141</v>
      </c>
      <c r="Y9" s="132">
        <v>47.237242060100563</v>
      </c>
      <c r="DA9" s="156" t="s">
        <v>307</v>
      </c>
    </row>
    <row r="10" spans="1:105" ht="12" customHeight="1" x14ac:dyDescent="0.25">
      <c r="A10" s="131" t="s">
        <v>128</v>
      </c>
      <c r="B10" s="132">
        <v>1.4790127942167967E-2</v>
      </c>
      <c r="C10" s="132">
        <v>4.5699909522793319E-2</v>
      </c>
      <c r="D10" s="132">
        <v>7.6800302187410088E-2</v>
      </c>
      <c r="E10" s="132">
        <v>4.6119622000290857E-2</v>
      </c>
      <c r="F10" s="132">
        <v>5.8134625236383533E-2</v>
      </c>
      <c r="G10" s="132">
        <v>4.8605659931047047E-2</v>
      </c>
      <c r="H10" s="132">
        <v>2.003041465194973E-2</v>
      </c>
      <c r="I10" s="132">
        <v>2.200437369037023E-2</v>
      </c>
      <c r="J10" s="132">
        <v>5.9673258744996523E-2</v>
      </c>
      <c r="K10" s="132">
        <v>0.12334589796288981</v>
      </c>
      <c r="L10" s="132">
        <v>9.1097117821604109E-2</v>
      </c>
      <c r="M10" s="132">
        <v>4.3392515820111013E-2</v>
      </c>
      <c r="N10" s="132">
        <v>0.13251160101797657</v>
      </c>
      <c r="O10" s="132">
        <v>0.27414144992831241</v>
      </c>
      <c r="P10" s="132">
        <v>0.38473683230124223</v>
      </c>
      <c r="Q10" s="132">
        <v>0.15742143748000365</v>
      </c>
      <c r="R10" s="132">
        <v>0.36056144396096129</v>
      </c>
      <c r="S10" s="132">
        <v>1.2444579177339913E-2</v>
      </c>
      <c r="T10" s="132">
        <v>1.7161899772976601E-2</v>
      </c>
      <c r="U10" s="132">
        <v>8.6946048518722584E-3</v>
      </c>
      <c r="V10" s="132">
        <v>3.2462093635142825E-2</v>
      </c>
      <c r="W10" s="132">
        <v>9.1773893573671272E-2</v>
      </c>
      <c r="X10" s="132">
        <v>7.6997607961783301E-2</v>
      </c>
      <c r="Y10" s="132">
        <v>9.8143476108796784E-2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309</v>
      </c>
    </row>
    <row r="12" spans="1:105" ht="12" customHeight="1" x14ac:dyDescent="0.25">
      <c r="A12" s="131" t="s">
        <v>162</v>
      </c>
      <c r="B12" s="132">
        <v>8.5034808987880073</v>
      </c>
      <c r="C12" s="132">
        <v>10.650444899641895</v>
      </c>
      <c r="D12" s="132">
        <v>18.4295038126211</v>
      </c>
      <c r="E12" s="132">
        <v>43.486260948754484</v>
      </c>
      <c r="F12" s="132">
        <v>44.898478661695314</v>
      </c>
      <c r="G12" s="132">
        <v>45.342617089945037</v>
      </c>
      <c r="H12" s="132">
        <v>45.80791481234845</v>
      </c>
      <c r="I12" s="132">
        <v>35.792536011490007</v>
      </c>
      <c r="J12" s="132">
        <v>42.439673881383605</v>
      </c>
      <c r="K12" s="132">
        <v>34.834712701965145</v>
      </c>
      <c r="L12" s="132">
        <v>43.355425659375292</v>
      </c>
      <c r="M12" s="132">
        <v>47.171161097671011</v>
      </c>
      <c r="N12" s="132">
        <v>43.297561680876534</v>
      </c>
      <c r="O12" s="132">
        <v>45.933641028212371</v>
      </c>
      <c r="P12" s="132">
        <v>30.263868840662891</v>
      </c>
      <c r="Q12" s="132">
        <v>37.692313587120331</v>
      </c>
      <c r="R12" s="132">
        <v>38.867315539707562</v>
      </c>
      <c r="S12" s="132">
        <v>44.328051936272196</v>
      </c>
      <c r="T12" s="132">
        <v>51.637072141929984</v>
      </c>
      <c r="U12" s="132">
        <v>66.39981941706435</v>
      </c>
      <c r="V12" s="132">
        <v>97.731196237286937</v>
      </c>
      <c r="W12" s="132">
        <v>107.30878676327393</v>
      </c>
      <c r="X12" s="132">
        <v>94.385983854173446</v>
      </c>
      <c r="Y12" s="132">
        <v>88.192965878257269</v>
      </c>
      <c r="DA12" s="156" t="s">
        <v>310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311</v>
      </c>
    </row>
    <row r="14" spans="1:105" ht="12" customHeight="1" x14ac:dyDescent="0.25">
      <c r="A14" s="60" t="s">
        <v>76</v>
      </c>
      <c r="B14" s="65">
        <v>45.644971088778497</v>
      </c>
      <c r="C14" s="65">
        <v>65.757219565865881</v>
      </c>
      <c r="D14" s="65">
        <v>37.822396358259994</v>
      </c>
      <c r="E14" s="65">
        <v>44.152211378077403</v>
      </c>
      <c r="F14" s="65">
        <v>35.533852997942823</v>
      </c>
      <c r="G14" s="65">
        <v>43.653818475672367</v>
      </c>
      <c r="H14" s="65">
        <v>42.578938375696175</v>
      </c>
      <c r="I14" s="65">
        <v>63.099961123777952</v>
      </c>
      <c r="J14" s="65">
        <v>57.954299839909879</v>
      </c>
      <c r="K14" s="65">
        <v>52.152930035507403</v>
      </c>
      <c r="L14" s="65">
        <v>53.805493895684364</v>
      </c>
      <c r="M14" s="65">
        <v>44.833117049313444</v>
      </c>
      <c r="N14" s="65">
        <v>47.653485886191028</v>
      </c>
      <c r="O14" s="65">
        <v>48.677365488703643</v>
      </c>
      <c r="P14" s="65">
        <v>41.461308918695714</v>
      </c>
      <c r="Q14" s="65">
        <v>38.904324439947487</v>
      </c>
      <c r="R14" s="65">
        <v>30.020264853710646</v>
      </c>
      <c r="S14" s="65">
        <v>56.748266822288343</v>
      </c>
      <c r="T14" s="65">
        <v>49.992859385477914</v>
      </c>
      <c r="U14" s="65">
        <v>57.595176033192054</v>
      </c>
      <c r="V14" s="65">
        <v>47.631526066088419</v>
      </c>
      <c r="W14" s="65">
        <v>55.62464365362338</v>
      </c>
      <c r="X14" s="65">
        <v>23.485430521322691</v>
      </c>
      <c r="Y14" s="65">
        <v>27.457222799045937</v>
      </c>
      <c r="DA14" s="109" t="s">
        <v>312</v>
      </c>
    </row>
    <row r="15" spans="1:105" ht="12" customHeight="1" x14ac:dyDescent="0.25">
      <c r="A15" s="133" t="s">
        <v>80</v>
      </c>
      <c r="B15" s="134">
        <v>1.8429291436377366</v>
      </c>
      <c r="C15" s="134">
        <v>1.5517197858285687</v>
      </c>
      <c r="D15" s="134">
        <v>1.6006566115413419</v>
      </c>
      <c r="E15" s="134">
        <v>1.7036507413008826</v>
      </c>
      <c r="F15" s="134">
        <v>1.5451885369663831</v>
      </c>
      <c r="G15" s="134">
        <v>1.3626499063107462</v>
      </c>
      <c r="H15" s="134">
        <v>1.3718412069118706</v>
      </c>
      <c r="I15" s="134">
        <v>1.1685919198302557</v>
      </c>
      <c r="J15" s="134">
        <v>1.3455796006657048</v>
      </c>
      <c r="K15" s="134">
        <v>1.3411212162262265</v>
      </c>
      <c r="L15" s="134">
        <v>1.6777507032361219</v>
      </c>
      <c r="M15" s="134">
        <v>0.96679827820026354</v>
      </c>
      <c r="N15" s="134">
        <v>1.3748339606846418</v>
      </c>
      <c r="O15" s="134">
        <v>1.5004314877553377</v>
      </c>
      <c r="P15" s="134">
        <v>1.235005399552926</v>
      </c>
      <c r="Q15" s="134">
        <v>1.6174630813154265</v>
      </c>
      <c r="R15" s="134">
        <v>1.75683697318111</v>
      </c>
      <c r="S15" s="134">
        <v>1.8586798618088887</v>
      </c>
      <c r="T15" s="134">
        <v>2.0023894209753639</v>
      </c>
      <c r="U15" s="134">
        <v>2.3732504777478209</v>
      </c>
      <c r="V15" s="134">
        <v>2.1320937893625569</v>
      </c>
      <c r="W15" s="134">
        <v>2.4824251312071572</v>
      </c>
      <c r="X15" s="134">
        <v>1.9120566143486268</v>
      </c>
      <c r="Y15" s="134">
        <v>1.8305547766885479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2.1567015206602531</v>
      </c>
      <c r="C16" s="130">
        <f t="shared" si="6"/>
        <v>2.7964163200728689</v>
      </c>
      <c r="D16" s="130">
        <f t="shared" si="6"/>
        <v>3.6235632697994649</v>
      </c>
      <c r="E16" s="130">
        <f t="shared" si="6"/>
        <v>5.2980121203643789</v>
      </c>
      <c r="F16" s="130">
        <f t="shared" si="6"/>
        <v>4.7498082068785017</v>
      </c>
      <c r="G16" s="130">
        <f t="shared" si="6"/>
        <v>6.0667152575475294</v>
      </c>
      <c r="H16" s="130">
        <f t="shared" si="6"/>
        <v>8.181793881216862</v>
      </c>
      <c r="I16" s="130">
        <f t="shared" si="6"/>
        <v>8.0660060158666003</v>
      </c>
      <c r="J16" s="130">
        <f t="shared" si="6"/>
        <v>9.093481667439093</v>
      </c>
      <c r="K16" s="130">
        <f t="shared" si="6"/>
        <v>10.178547713859119</v>
      </c>
      <c r="L16" s="130">
        <f t="shared" si="6"/>
        <v>11.801618936042306</v>
      </c>
      <c r="M16" s="130">
        <f t="shared" si="6"/>
        <v>12.031299737372862</v>
      </c>
      <c r="N16" s="130">
        <f t="shared" si="6"/>
        <v>13.205514351589446</v>
      </c>
      <c r="O16" s="130">
        <f t="shared" si="6"/>
        <v>14.046960951050009</v>
      </c>
      <c r="P16" s="130">
        <f t="shared" si="6"/>
        <v>14.241867981878986</v>
      </c>
      <c r="Q16" s="130">
        <f t="shared" si="6"/>
        <v>16.819576641474946</v>
      </c>
      <c r="R16" s="130">
        <f t="shared" ref="R16:W16" si="7">SUM(R17:R18)</f>
        <v>15.75061655188699</v>
      </c>
      <c r="S16" s="130">
        <f t="shared" si="7"/>
        <v>16.374012345519681</v>
      </c>
      <c r="T16" s="130">
        <f t="shared" si="7"/>
        <v>19.348848659669201</v>
      </c>
      <c r="U16" s="130">
        <f t="shared" si="7"/>
        <v>20.050911070612184</v>
      </c>
      <c r="V16" s="130">
        <f t="shared" si="7"/>
        <v>20.187239590648897</v>
      </c>
      <c r="W16" s="130">
        <f t="shared" si="7"/>
        <v>17.787027075248737</v>
      </c>
      <c r="X16" s="130">
        <f t="shared" ref="X16:Y16" si="8">SUM(X17:X18)</f>
        <v>19.353458789978013</v>
      </c>
      <c r="Y16" s="130">
        <f t="shared" si="8"/>
        <v>18.758298733121151</v>
      </c>
      <c r="DA16" s="155" t="s">
        <v>314</v>
      </c>
    </row>
    <row r="17" spans="1:105" ht="12.95" customHeight="1" x14ac:dyDescent="0.25">
      <c r="A17" s="131" t="s">
        <v>73</v>
      </c>
      <c r="B17" s="132">
        <v>8.223024095746545E-3</v>
      </c>
      <c r="C17" s="132">
        <v>1.1675760928034861E-2</v>
      </c>
      <c r="D17" s="132">
        <v>1.8709698857469523E-2</v>
      </c>
      <c r="E17" s="132">
        <v>1.8885450952696538E-2</v>
      </c>
      <c r="F17" s="132">
        <v>3.0358498519763882E-2</v>
      </c>
      <c r="G17" s="132">
        <v>3.6031873984908473E-2</v>
      </c>
      <c r="H17" s="132">
        <v>5.1363152603039482E-2</v>
      </c>
      <c r="I17" s="132">
        <v>6.490540386781668E-2</v>
      </c>
      <c r="J17" s="132">
        <v>7.3224013129537621E-2</v>
      </c>
      <c r="K17" s="132">
        <v>0.10106452435696792</v>
      </c>
      <c r="L17" s="132">
        <v>0.10046378390028626</v>
      </c>
      <c r="M17" s="132">
        <v>0.11104845137335952</v>
      </c>
      <c r="N17" s="132">
        <v>0.1288359875208504</v>
      </c>
      <c r="O17" s="132">
        <v>0.16046402942493398</v>
      </c>
      <c r="P17" s="132">
        <v>0.2182615392295294</v>
      </c>
      <c r="Q17" s="132">
        <v>0.30425545637449486</v>
      </c>
      <c r="R17" s="132">
        <v>0.39393685425404351</v>
      </c>
      <c r="S17" s="132">
        <v>0.47723152003604818</v>
      </c>
      <c r="T17" s="132">
        <v>0.55012741598301185</v>
      </c>
      <c r="U17" s="132">
        <v>0.61597536954991916</v>
      </c>
      <c r="V17" s="132">
        <v>0.67251005238494266</v>
      </c>
      <c r="W17" s="132">
        <v>0.72108969583303384</v>
      </c>
      <c r="X17" s="132">
        <v>0.68536795699992092</v>
      </c>
      <c r="Y17" s="132">
        <v>0.67617462712998566</v>
      </c>
      <c r="DA17" s="156" t="s">
        <v>315</v>
      </c>
    </row>
    <row r="18" spans="1:105" ht="12" customHeight="1" x14ac:dyDescent="0.25">
      <c r="A18" s="131" t="s">
        <v>72</v>
      </c>
      <c r="B18" s="132">
        <v>2.1484784965645067</v>
      </c>
      <c r="C18" s="132">
        <v>2.7847405591448342</v>
      </c>
      <c r="D18" s="132">
        <v>3.6048535709419953</v>
      </c>
      <c r="E18" s="132">
        <v>5.2791266694116823</v>
      </c>
      <c r="F18" s="132">
        <v>4.7194497083587379</v>
      </c>
      <c r="G18" s="132">
        <v>6.0306833835626206</v>
      </c>
      <c r="H18" s="132">
        <v>8.1304307286138222</v>
      </c>
      <c r="I18" s="132">
        <v>8.0011006119987833</v>
      </c>
      <c r="J18" s="132">
        <v>9.020257654309555</v>
      </c>
      <c r="K18" s="132">
        <v>10.077483189502152</v>
      </c>
      <c r="L18" s="132">
        <v>11.70115515214202</v>
      </c>
      <c r="M18" s="132">
        <v>11.920251285999502</v>
      </c>
      <c r="N18" s="132">
        <v>13.076678364068597</v>
      </c>
      <c r="O18" s="132">
        <v>13.886496921625074</v>
      </c>
      <c r="P18" s="132">
        <v>14.023606442649458</v>
      </c>
      <c r="Q18" s="132">
        <v>16.515321185100451</v>
      </c>
      <c r="R18" s="132">
        <v>15.356679697632947</v>
      </c>
      <c r="S18" s="132">
        <v>15.896780825483633</v>
      </c>
      <c r="T18" s="132">
        <v>18.798721243686188</v>
      </c>
      <c r="U18" s="132">
        <v>19.434935701062265</v>
      </c>
      <c r="V18" s="132">
        <v>19.514729538263953</v>
      </c>
      <c r="W18" s="132">
        <v>17.065937379415704</v>
      </c>
      <c r="X18" s="132">
        <v>18.668090832978091</v>
      </c>
      <c r="Y18" s="132">
        <v>18.082124105991166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19.861614576987819</v>
      </c>
      <c r="C19" s="130">
        <f t="shared" si="9"/>
        <v>20.280423948165776</v>
      </c>
      <c r="D19" s="130">
        <f t="shared" si="9"/>
        <v>20.391471328732571</v>
      </c>
      <c r="E19" s="130">
        <f t="shared" si="9"/>
        <v>20.397795330531359</v>
      </c>
      <c r="F19" s="130">
        <f t="shared" si="9"/>
        <v>20.274729038023761</v>
      </c>
      <c r="G19" s="130">
        <f t="shared" si="9"/>
        <v>20.44255914655383</v>
      </c>
      <c r="H19" s="130">
        <f t="shared" si="9"/>
        <v>20.46856739247842</v>
      </c>
      <c r="I19" s="130">
        <f t="shared" si="9"/>
        <v>20.836049573406278</v>
      </c>
      <c r="J19" s="130">
        <f t="shared" si="9"/>
        <v>21.126473201953175</v>
      </c>
      <c r="K19" s="130">
        <f t="shared" si="9"/>
        <v>21.455084451991283</v>
      </c>
      <c r="L19" s="130">
        <f t="shared" si="9"/>
        <v>21.585288973559248</v>
      </c>
      <c r="M19" s="130">
        <f t="shared" si="9"/>
        <v>21.432399967533925</v>
      </c>
      <c r="N19" s="130">
        <f t="shared" si="9"/>
        <v>21.999377374387564</v>
      </c>
      <c r="O19" s="130">
        <f t="shared" si="9"/>
        <v>22.765673820590493</v>
      </c>
      <c r="P19" s="130">
        <f t="shared" si="9"/>
        <v>23.769321447306545</v>
      </c>
      <c r="Q19" s="130">
        <f t="shared" si="9"/>
        <v>24.418290941196069</v>
      </c>
      <c r="R19" s="130">
        <f t="shared" ref="R19:W19" si="10">SUM(R20:R27)</f>
        <v>24.615465400850901</v>
      </c>
      <c r="S19" s="130">
        <f t="shared" si="10"/>
        <v>25.741313337094937</v>
      </c>
      <c r="T19" s="130">
        <f t="shared" si="10"/>
        <v>26.157023663646633</v>
      </c>
      <c r="U19" s="130">
        <f t="shared" si="10"/>
        <v>26.633081803902741</v>
      </c>
      <c r="V19" s="130">
        <f t="shared" si="10"/>
        <v>24.253061236602072</v>
      </c>
      <c r="W19" s="130">
        <f t="shared" si="10"/>
        <v>26.016038668144734</v>
      </c>
      <c r="X19" s="130">
        <f t="shared" ref="X19:Y19" si="11">SUM(X20:X27)</f>
        <v>27.822195243392802</v>
      </c>
      <c r="Y19" s="130">
        <f t="shared" si="11"/>
        <v>29.074647654582357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319</v>
      </c>
    </row>
    <row r="22" spans="1:105" ht="12" customHeight="1" x14ac:dyDescent="0.25">
      <c r="A22" s="131" t="s">
        <v>161</v>
      </c>
      <c r="B22" s="132">
        <v>3.5603864605726145</v>
      </c>
      <c r="C22" s="132">
        <v>3.5062046162822713</v>
      </c>
      <c r="D22" s="132">
        <v>3.5918087134142889</v>
      </c>
      <c r="E22" s="132">
        <v>3.5784465050639254</v>
      </c>
      <c r="F22" s="132">
        <v>3.5340185580347381</v>
      </c>
      <c r="G22" s="132">
        <v>3.3468051680944915</v>
      </c>
      <c r="H22" s="132">
        <v>2.2518486922637777</v>
      </c>
      <c r="I22" s="132">
        <v>2.0213437672755945</v>
      </c>
      <c r="J22" s="132">
        <v>1.421354078810116</v>
      </c>
      <c r="K22" s="132">
        <v>1.5177473867400375</v>
      </c>
      <c r="L22" s="132">
        <v>2.4157471942018409</v>
      </c>
      <c r="M22" s="132">
        <v>1.7310284064665455</v>
      </c>
      <c r="N22" s="132">
        <v>2.7303413647578978</v>
      </c>
      <c r="O22" s="132">
        <v>2.7746477649299561</v>
      </c>
      <c r="P22" s="132">
        <v>3.0262611577900342</v>
      </c>
      <c r="Q22" s="132">
        <v>3.0251248227393779</v>
      </c>
      <c r="R22" s="132">
        <v>2.9814946650363159</v>
      </c>
      <c r="S22" s="132">
        <v>4.9672801607619999</v>
      </c>
      <c r="T22" s="132">
        <v>5.4820334758905993</v>
      </c>
      <c r="U22" s="132">
        <v>6.2758799642058234</v>
      </c>
      <c r="V22" s="132">
        <v>5.0906078454558683</v>
      </c>
      <c r="W22" s="132">
        <v>5.9276896048039216</v>
      </c>
      <c r="X22" s="132">
        <v>4.643165462748005</v>
      </c>
      <c r="Y22" s="132">
        <v>4.5268491654058209</v>
      </c>
      <c r="DA22" s="156" t="s">
        <v>320</v>
      </c>
    </row>
    <row r="23" spans="1:105" ht="12" customHeight="1" x14ac:dyDescent="0.25">
      <c r="A23" s="131" t="s">
        <v>149</v>
      </c>
      <c r="B23" s="132">
        <v>3.4518797624093946</v>
      </c>
      <c r="C23" s="132">
        <v>3.5945396398755176</v>
      </c>
      <c r="D23" s="132">
        <v>3.7723686256702917</v>
      </c>
      <c r="E23" s="132">
        <v>4.1830834639446479</v>
      </c>
      <c r="F23" s="132">
        <v>4.2447093763462416</v>
      </c>
      <c r="G23" s="132">
        <v>4.412191164118803</v>
      </c>
      <c r="H23" s="132">
        <v>4.4803985714189363</v>
      </c>
      <c r="I23" s="132">
        <v>4.5554990677722591</v>
      </c>
      <c r="J23" s="132">
        <v>5.5172247523157232</v>
      </c>
      <c r="K23" s="132">
        <v>5.1867484325587307</v>
      </c>
      <c r="L23" s="132">
        <v>6.0575735291687325</v>
      </c>
      <c r="M23" s="132">
        <v>5.8492355305486505</v>
      </c>
      <c r="N23" s="132">
        <v>5.698462672733414</v>
      </c>
      <c r="O23" s="132">
        <v>6.063184332196359</v>
      </c>
      <c r="P23" s="132">
        <v>6.6575743555621436</v>
      </c>
      <c r="Q23" s="132">
        <v>7.7281363515379322</v>
      </c>
      <c r="R23" s="132">
        <v>8.3086341485447051</v>
      </c>
      <c r="S23" s="132">
        <v>5.9052618422872118</v>
      </c>
      <c r="T23" s="132">
        <v>6.1140320558828449</v>
      </c>
      <c r="U23" s="132">
        <v>5.8868182804250582</v>
      </c>
      <c r="V23" s="132">
        <v>3.9183822199337142</v>
      </c>
      <c r="W23" s="132">
        <v>5.7103933067525627</v>
      </c>
      <c r="X23" s="132">
        <v>5.8145709825748026</v>
      </c>
      <c r="Y23" s="132">
        <v>5.8977823003493679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1.2163778836504491</v>
      </c>
      <c r="C25" s="132">
        <v>1.474911001116487</v>
      </c>
      <c r="D25" s="132">
        <v>2.8846446773241814</v>
      </c>
      <c r="E25" s="132">
        <v>5.0025318783564776</v>
      </c>
      <c r="F25" s="132">
        <v>5.2818631064049217</v>
      </c>
      <c r="G25" s="132">
        <v>5.4449967471811576</v>
      </c>
      <c r="H25" s="132">
        <v>5.5348028101386442</v>
      </c>
      <c r="I25" s="132">
        <v>5.55390922691043</v>
      </c>
      <c r="J25" s="132">
        <v>5.521445678440263</v>
      </c>
      <c r="K25" s="132">
        <v>5.6696972290917094</v>
      </c>
      <c r="L25" s="132">
        <v>5.2731819647652056</v>
      </c>
      <c r="M25" s="132">
        <v>5.3613725096763769</v>
      </c>
      <c r="N25" s="132">
        <v>5.4436209195792413</v>
      </c>
      <c r="O25" s="132">
        <v>5.5075276116544103</v>
      </c>
      <c r="P25" s="132">
        <v>5.4086649725022271</v>
      </c>
      <c r="Q25" s="132">
        <v>5.4708939977662041</v>
      </c>
      <c r="R25" s="132">
        <v>5.5345043701352923</v>
      </c>
      <c r="S25" s="132">
        <v>5.9483311194099109</v>
      </c>
      <c r="T25" s="132">
        <v>5.4645889415351965</v>
      </c>
      <c r="U25" s="132">
        <v>6.0602798354659555</v>
      </c>
      <c r="V25" s="132">
        <v>6.0951844356085054</v>
      </c>
      <c r="W25" s="132">
        <v>5.4273336435931112</v>
      </c>
      <c r="X25" s="132">
        <v>4.9340678231428479</v>
      </c>
      <c r="Y25" s="132">
        <v>4.3618229230179741</v>
      </c>
      <c r="DA25" s="156" t="s">
        <v>323</v>
      </c>
    </row>
    <row r="26" spans="1:105" ht="12" customHeight="1" x14ac:dyDescent="0.25">
      <c r="A26" s="131" t="s">
        <v>24</v>
      </c>
      <c r="B26" s="65">
        <v>11.63297047035536</v>
      </c>
      <c r="C26" s="65">
        <v>11.7047686908915</v>
      </c>
      <c r="D26" s="65">
        <v>10.142649312323806</v>
      </c>
      <c r="E26" s="65">
        <v>7.6337334831663073</v>
      </c>
      <c r="F26" s="65">
        <v>7.2141379972378585</v>
      </c>
      <c r="G26" s="65">
        <v>7.2385660671593763</v>
      </c>
      <c r="H26" s="65">
        <v>8.2015173186570589</v>
      </c>
      <c r="I26" s="65">
        <v>8.7052975114479967</v>
      </c>
      <c r="J26" s="65">
        <v>8.6664486923870729</v>
      </c>
      <c r="K26" s="65">
        <v>9.0808914036008055</v>
      </c>
      <c r="L26" s="65">
        <v>7.8387862854234678</v>
      </c>
      <c r="M26" s="65">
        <v>8.49076352084235</v>
      </c>
      <c r="N26" s="65">
        <v>8.1269524173170105</v>
      </c>
      <c r="O26" s="65">
        <v>8.4203141118097662</v>
      </c>
      <c r="P26" s="65">
        <v>8.6768209614521385</v>
      </c>
      <c r="Q26" s="65">
        <v>8.1941357691525578</v>
      </c>
      <c r="R26" s="65">
        <v>7.7908322171345885</v>
      </c>
      <c r="S26" s="65">
        <v>8.9204402146358124</v>
      </c>
      <c r="T26" s="65">
        <v>9.09636919033799</v>
      </c>
      <c r="U26" s="65">
        <v>8.4101037238059053</v>
      </c>
      <c r="V26" s="65">
        <v>9.1488867356039822</v>
      </c>
      <c r="W26" s="65">
        <v>8.9506221129951378</v>
      </c>
      <c r="X26" s="65">
        <v>12.430390974927146</v>
      </c>
      <c r="Y26" s="65">
        <v>14.288193265809197</v>
      </c>
      <c r="DA26" s="109" t="s">
        <v>324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21.347504821234104</v>
      </c>
      <c r="C29" s="130">
        <f t="shared" si="12"/>
        <v>21.972572158275391</v>
      </c>
      <c r="D29" s="130">
        <f t="shared" si="12"/>
        <v>22.787114214407616</v>
      </c>
      <c r="E29" s="130">
        <f t="shared" si="12"/>
        <v>23.500340057170718</v>
      </c>
      <c r="F29" s="130">
        <f t="shared" si="12"/>
        <v>23.966892407422783</v>
      </c>
      <c r="G29" s="130">
        <f t="shared" si="12"/>
        <v>24.555725421290866</v>
      </c>
      <c r="H29" s="130">
        <f t="shared" si="12"/>
        <v>25.195132338648335</v>
      </c>
      <c r="I29" s="130">
        <f t="shared" si="12"/>
        <v>25.515705811490335</v>
      </c>
      <c r="J29" s="130">
        <f t="shared" si="12"/>
        <v>26.066261693753081</v>
      </c>
      <c r="K29" s="130">
        <f t="shared" si="12"/>
        <v>26.606157453994939</v>
      </c>
      <c r="L29" s="130">
        <f t="shared" si="12"/>
        <v>27.082734219934668</v>
      </c>
      <c r="M29" s="130">
        <f t="shared" si="12"/>
        <v>27.559235373118945</v>
      </c>
      <c r="N29" s="130">
        <f t="shared" si="12"/>
        <v>28.337300877948984</v>
      </c>
      <c r="O29" s="130">
        <f t="shared" si="12"/>
        <v>29.090304238832871</v>
      </c>
      <c r="P29" s="130">
        <f t="shared" si="12"/>
        <v>29.942529987883077</v>
      </c>
      <c r="Q29" s="130">
        <f t="shared" si="12"/>
        <v>30.951381782709277</v>
      </c>
      <c r="R29" s="130">
        <f t="shared" ref="R29:W29" si="13">SUM(R30:R33)</f>
        <v>31.746017654083413</v>
      </c>
      <c r="S29" s="130">
        <f t="shared" si="13"/>
        <v>32.667534197698032</v>
      </c>
      <c r="T29" s="130">
        <f t="shared" si="13"/>
        <v>33.618237077302226</v>
      </c>
      <c r="U29" s="130">
        <f t="shared" si="13"/>
        <v>34.882920624903839</v>
      </c>
      <c r="V29" s="130">
        <f t="shared" si="13"/>
        <v>32.969675242888584</v>
      </c>
      <c r="W29" s="130">
        <f t="shared" si="13"/>
        <v>37.715440822965682</v>
      </c>
      <c r="X29" s="130">
        <f t="shared" ref="X29:Y29" si="14">SUM(X30:X33)</f>
        <v>37.371780039684268</v>
      </c>
      <c r="Y29" s="130">
        <f t="shared" si="14"/>
        <v>38.935363748291536</v>
      </c>
      <c r="DA29" s="155" t="s">
        <v>326</v>
      </c>
    </row>
    <row r="30" spans="1:105" ht="12" customHeight="1" x14ac:dyDescent="0.25">
      <c r="A30" s="131" t="s">
        <v>52</v>
      </c>
      <c r="B30" s="132">
        <v>2.5820944050991681</v>
      </c>
      <c r="C30" s="132">
        <v>5.1677031515045861</v>
      </c>
      <c r="D30" s="132">
        <v>2.5840650767267022</v>
      </c>
      <c r="E30" s="132">
        <v>0.64602890865789719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4.8933615958781527</v>
      </c>
      <c r="L30" s="132">
        <v>5.2594733320084988</v>
      </c>
      <c r="M30" s="132">
        <v>5.3929456195373504</v>
      </c>
      <c r="N30" s="132">
        <v>5.4604887462863658</v>
      </c>
      <c r="O30" s="132">
        <v>5.6584470441175974</v>
      </c>
      <c r="P30" s="132">
        <v>5.0486134121904138</v>
      </c>
      <c r="Q30" s="132">
        <v>5.5368785699893674</v>
      </c>
      <c r="R30" s="132">
        <v>5.9401307771420226</v>
      </c>
      <c r="S30" s="132">
        <v>5.183441586625225</v>
      </c>
      <c r="T30" s="132">
        <v>4.5975107442924523</v>
      </c>
      <c r="U30" s="132">
        <v>5.4969322439285637</v>
      </c>
      <c r="V30" s="132">
        <v>4.2755062955031207</v>
      </c>
      <c r="W30" s="132">
        <v>6.4752766575893101</v>
      </c>
      <c r="X30" s="132">
        <v>4.8829952919450008</v>
      </c>
      <c r="Y30" s="132">
        <v>6.5298060919250691</v>
      </c>
      <c r="DA30" s="156" t="s">
        <v>327</v>
      </c>
    </row>
    <row r="31" spans="1:105" ht="12" customHeight="1" x14ac:dyDescent="0.25">
      <c r="A31" s="131" t="s">
        <v>149</v>
      </c>
      <c r="B31" s="132">
        <v>9.4596581617764386</v>
      </c>
      <c r="C31" s="132">
        <v>9.6527875130775591</v>
      </c>
      <c r="D31" s="132">
        <v>10.080162866047106</v>
      </c>
      <c r="E31" s="132">
        <v>10.153044378547564</v>
      </c>
      <c r="F31" s="132">
        <v>10.287625491031751</v>
      </c>
      <c r="G31" s="132">
        <v>9.7706159244971449</v>
      </c>
      <c r="H31" s="132">
        <v>9.9539006532583247</v>
      </c>
      <c r="I31" s="132">
        <v>9.4986673486637887</v>
      </c>
      <c r="J31" s="132">
        <v>9.0426235527797942</v>
      </c>
      <c r="K31" s="132">
        <v>7.9301291491427195</v>
      </c>
      <c r="L31" s="132">
        <v>7.6581549990214119</v>
      </c>
      <c r="M31" s="132">
        <v>7.7164993704177007</v>
      </c>
      <c r="N31" s="132">
        <v>7.4050288119591965</v>
      </c>
      <c r="O31" s="132">
        <v>6.694164576717232</v>
      </c>
      <c r="P31" s="132">
        <v>6.0547860585888094</v>
      </c>
      <c r="Q31" s="132">
        <v>5.575817568705733</v>
      </c>
      <c r="R31" s="132">
        <v>5.1109696549312611</v>
      </c>
      <c r="S31" s="132">
        <v>4.3584154369341439</v>
      </c>
      <c r="T31" s="132">
        <v>4.0980572086613671</v>
      </c>
      <c r="U31" s="132">
        <v>3.4922713036626591</v>
      </c>
      <c r="V31" s="132">
        <v>2.4922349050863701</v>
      </c>
      <c r="W31" s="132">
        <v>3.0410802165660802</v>
      </c>
      <c r="X31" s="132">
        <v>5.5727398234395338</v>
      </c>
      <c r="Y31" s="132">
        <v>5.5104340743523972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9.3057522543584952</v>
      </c>
      <c r="C33" s="68">
        <v>7.1520814936932462</v>
      </c>
      <c r="D33" s="68">
        <v>10.122886271633808</v>
      </c>
      <c r="E33" s="68">
        <v>12.701266769965258</v>
      </c>
      <c r="F33" s="68">
        <v>13.679266916391031</v>
      </c>
      <c r="G33" s="68">
        <v>14.785109496793721</v>
      </c>
      <c r="H33" s="68">
        <v>15.241231685390012</v>
      </c>
      <c r="I33" s="68">
        <v>16.017038462826548</v>
      </c>
      <c r="J33" s="68">
        <v>17.023638140973286</v>
      </c>
      <c r="K33" s="68">
        <v>13.782666708974068</v>
      </c>
      <c r="L33" s="68">
        <v>14.165105888904758</v>
      </c>
      <c r="M33" s="68">
        <v>14.449790383163894</v>
      </c>
      <c r="N33" s="68">
        <v>15.471783319703423</v>
      </c>
      <c r="O33" s="68">
        <v>16.737692617998043</v>
      </c>
      <c r="P33" s="68">
        <v>18.839130517103854</v>
      </c>
      <c r="Q33" s="68">
        <v>19.838685644014177</v>
      </c>
      <c r="R33" s="68">
        <v>20.69491722201013</v>
      </c>
      <c r="S33" s="68">
        <v>23.125677174138662</v>
      </c>
      <c r="T33" s="68">
        <v>24.922669124348403</v>
      </c>
      <c r="U33" s="68">
        <v>25.893717077312616</v>
      </c>
      <c r="V33" s="68">
        <v>26.201934042299094</v>
      </c>
      <c r="W33" s="68">
        <v>28.199083948810294</v>
      </c>
      <c r="X33" s="68">
        <v>26.916044924299733</v>
      </c>
      <c r="Y33" s="68">
        <v>26.895123582014072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0.58752967488146157</v>
      </c>
      <c r="C3" s="126">
        <f>IF(SER_hh_tes!C3=0,"",SER_hh_tes!C3/SER_hh_fec!C3)</f>
        <v>0.60690788867517709</v>
      </c>
      <c r="D3" s="126">
        <f>IF(SER_hh_tes!D3=0,"",SER_hh_tes!D3/SER_hh_fec!D3)</f>
        <v>0.60705200870703369</v>
      </c>
      <c r="E3" s="126">
        <f>IF(SER_hh_tes!E3=0,"",SER_hh_tes!E3/SER_hh_fec!E3)</f>
        <v>0.63731811091959334</v>
      </c>
      <c r="F3" s="126">
        <f>IF(SER_hh_tes!F3=0,"",SER_hh_tes!F3/SER_hh_fec!F3)</f>
        <v>0.64222733413247457</v>
      </c>
      <c r="G3" s="126">
        <f>IF(SER_hh_tes!G3=0,"",SER_hh_tes!G3/SER_hh_fec!G3)</f>
        <v>0.66095026958027081</v>
      </c>
      <c r="H3" s="126">
        <f>IF(SER_hh_tes!H3=0,"",SER_hh_tes!H3/SER_hh_fec!H3)</f>
        <v>0.67586399172054146</v>
      </c>
      <c r="I3" s="126">
        <f>IF(SER_hh_tes!I3=0,"",SER_hh_tes!I3/SER_hh_fec!I3)</f>
        <v>0.6885937484864717</v>
      </c>
      <c r="J3" s="126">
        <f>IF(SER_hh_tes!J3=0,"",SER_hh_tes!J3/SER_hh_fec!J3)</f>
        <v>0.69383157777005378</v>
      </c>
      <c r="K3" s="126">
        <f>IF(SER_hh_tes!K3=0,"",SER_hh_tes!K3/SER_hh_fec!K3)</f>
        <v>0.69246403208442642</v>
      </c>
      <c r="L3" s="126">
        <f>IF(SER_hh_tes!L3=0,"",SER_hh_tes!L3/SER_hh_fec!L3)</f>
        <v>0.69006981227362962</v>
      </c>
      <c r="M3" s="126">
        <f>IF(SER_hh_tes!M3=0,"",SER_hh_tes!M3/SER_hh_fec!M3)</f>
        <v>0.73474679732268278</v>
      </c>
      <c r="N3" s="126">
        <f>IF(SER_hh_tes!N3=0,"",SER_hh_tes!N3/SER_hh_fec!N3)</f>
        <v>0.72467181352578725</v>
      </c>
      <c r="O3" s="126">
        <f>IF(SER_hh_tes!O3=0,"",SER_hh_tes!O3/SER_hh_fec!O3)</f>
        <v>0.73417372322657737</v>
      </c>
      <c r="P3" s="126">
        <f>IF(SER_hh_tes!P3=0,"",SER_hh_tes!P3/SER_hh_fec!P3)</f>
        <v>0.74179134415795445</v>
      </c>
      <c r="Q3" s="126">
        <f>IF(SER_hh_tes!Q3=0,"",SER_hh_tes!Q3/SER_hh_fec!Q3)</f>
        <v>0.74237721508017473</v>
      </c>
      <c r="R3" s="126">
        <f>IF(SER_hh_tes!R3=0,"",SER_hh_tes!R3/SER_hh_fec!R3)</f>
        <v>0.74078932357240868</v>
      </c>
      <c r="S3" s="126">
        <f>IF(SER_hh_tes!S3=0,"",SER_hh_tes!S3/SER_hh_fec!S3)</f>
        <v>0.75265560588303826</v>
      </c>
      <c r="T3" s="126">
        <f>IF(SER_hh_tes!T3=0,"",SER_hh_tes!T3/SER_hh_fec!T3)</f>
        <v>0.76367955566966828</v>
      </c>
      <c r="U3" s="126">
        <f>IF(SER_hh_tes!U3=0,"",SER_hh_tes!U3/SER_hh_fec!U3)</f>
        <v>0.76606453406547381</v>
      </c>
      <c r="V3" s="126">
        <f>IF(SER_hh_tes!V3=0,"",SER_hh_tes!V3/SER_hh_fec!V3)</f>
        <v>0.79285476648409403</v>
      </c>
      <c r="W3" s="126">
        <f>IF(SER_hh_tes!W3=0,"",SER_hh_tes!W3/SER_hh_fec!W3)</f>
        <v>0.78931221954304687</v>
      </c>
      <c r="X3" s="126">
        <f>IF(SER_hh_tes!X3=0,"",SER_hh_tes!X3/SER_hh_fec!X3)</f>
        <v>0.81584085563189812</v>
      </c>
      <c r="Y3" s="126">
        <f>IF(SER_hh_tes!Y3=0,"",SER_hh_tes!Y3/SER_hh_fec!Y3)</f>
        <v>0.82588607963630989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0.56748093319623349</v>
      </c>
      <c r="C4" s="135">
        <f>IF(SER_hh_tes!C4=0,"",SER_hh_tes!C4/SER_hh_fec!C4)</f>
        <v>0.59158682521294781</v>
      </c>
      <c r="D4" s="135">
        <f>IF(SER_hh_tes!D4=0,"",SER_hh_tes!D4/SER_hh_fec!D4)</f>
        <v>0.582809359130669</v>
      </c>
      <c r="E4" s="135">
        <f>IF(SER_hh_tes!E4=0,"",SER_hh_tes!E4/SER_hh_fec!E4)</f>
        <v>0.61563133501665668</v>
      </c>
      <c r="F4" s="135">
        <f>IF(SER_hh_tes!F4=0,"",SER_hh_tes!F4/SER_hh_fec!F4)</f>
        <v>0.61942403485139463</v>
      </c>
      <c r="G4" s="135">
        <f>IF(SER_hh_tes!G4=0,"",SER_hh_tes!G4/SER_hh_fec!G4)</f>
        <v>0.63672692161697242</v>
      </c>
      <c r="H4" s="135">
        <f>IF(SER_hh_tes!H4=0,"",SER_hh_tes!H4/SER_hh_fec!H4)</f>
        <v>0.64676113873495711</v>
      </c>
      <c r="I4" s="135">
        <f>IF(SER_hh_tes!I4=0,"",SER_hh_tes!I4/SER_hh_fec!I4)</f>
        <v>0.66129702144848856</v>
      </c>
      <c r="J4" s="135">
        <f>IF(SER_hh_tes!J4=0,"",SER_hh_tes!J4/SER_hh_fec!J4)</f>
        <v>0.66466177045282127</v>
      </c>
      <c r="K4" s="135">
        <f>IF(SER_hh_tes!K4=0,"",SER_hh_tes!K4/SER_hh_fec!K4)</f>
        <v>0.66075782641239489</v>
      </c>
      <c r="L4" s="135">
        <f>IF(SER_hh_tes!L4=0,"",SER_hh_tes!L4/SER_hh_fec!L4)</f>
        <v>0.6586817355843203</v>
      </c>
      <c r="M4" s="135">
        <f>IF(SER_hh_tes!M4=0,"",SER_hh_tes!M4/SER_hh_fec!M4)</f>
        <v>0.70279607804210664</v>
      </c>
      <c r="N4" s="135">
        <f>IF(SER_hh_tes!N4=0,"",SER_hh_tes!N4/SER_hh_fec!N4)</f>
        <v>0.68976726216127626</v>
      </c>
      <c r="O4" s="135">
        <f>IF(SER_hh_tes!O4=0,"",SER_hh_tes!O4/SER_hh_fec!O4)</f>
        <v>0.69889607566648704</v>
      </c>
      <c r="P4" s="135">
        <f>IF(SER_hh_tes!P4=0,"",SER_hh_tes!P4/SER_hh_fec!P4)</f>
        <v>0.69691489006790275</v>
      </c>
      <c r="Q4" s="135">
        <f>IF(SER_hh_tes!Q4=0,"",SER_hh_tes!Q4/SER_hh_fec!Q4)</f>
        <v>0.69504418385976052</v>
      </c>
      <c r="R4" s="135">
        <f>IF(SER_hh_tes!R4=0,"",SER_hh_tes!R4/SER_hh_fec!R4)</f>
        <v>0.69460957321852013</v>
      </c>
      <c r="S4" s="135">
        <f>IF(SER_hh_tes!S4=0,"",SER_hh_tes!S4/SER_hh_fec!S4)</f>
        <v>0.71153983597368298</v>
      </c>
      <c r="T4" s="135">
        <f>IF(SER_hh_tes!T4=0,"",SER_hh_tes!T4/SER_hh_fec!T4)</f>
        <v>0.71611188640248502</v>
      </c>
      <c r="U4" s="135">
        <f>IF(SER_hh_tes!U4=0,"",SER_hh_tes!U4/SER_hh_fec!U4)</f>
        <v>0.72305184703519698</v>
      </c>
      <c r="V4" s="135">
        <f>IF(SER_hh_tes!V4=0,"",SER_hh_tes!V4/SER_hh_fec!V4)</f>
        <v>0.74913258968041518</v>
      </c>
      <c r="W4" s="135">
        <f>IF(SER_hh_tes!W4=0,"",SER_hh_tes!W4/SER_hh_fec!W4)</f>
        <v>0.75611192770749103</v>
      </c>
      <c r="X4" s="135">
        <f>IF(SER_hh_tes!X4=0,"",SER_hh_tes!X4/SER_hh_fec!X4)</f>
        <v>0.77074543303152865</v>
      </c>
      <c r="Y4" s="135">
        <f>IF(SER_hh_tes!Y4=0,"",SER_hh_tes!Y4/SER_hh_fec!Y4)</f>
        <v>0.78257162941809755</v>
      </c>
      <c r="DA4" s="162" t="s">
        <v>240</v>
      </c>
    </row>
    <row r="5" spans="1:105" ht="12" customHeight="1" x14ac:dyDescent="0.25">
      <c r="A5" s="131" t="s">
        <v>29</v>
      </c>
      <c r="B5" s="136" t="str">
        <f>IF(SER_hh_tes!B5=0,"",SER_hh_tes!B5/SER_hh_fec!B5)</f>
        <v/>
      </c>
      <c r="C5" s="136" t="str">
        <f>IF(SER_hh_tes!C5=0,"",SER_hh_tes!C5/SER_hh_fec!C5)</f>
        <v/>
      </c>
      <c r="D5" s="136" t="str">
        <f>IF(SER_hh_tes!D5=0,"",SER_hh_tes!D5/SER_hh_fec!D5)</f>
        <v/>
      </c>
      <c r="E5" s="136" t="str">
        <f>IF(SER_hh_tes!E5=0,"",SER_hh_tes!E5/SER_hh_fec!E5)</f>
        <v/>
      </c>
      <c r="F5" s="136" t="str">
        <f>IF(SER_hh_tes!F5=0,"",SER_hh_tes!F5/SER_hh_fec!F5)</f>
        <v/>
      </c>
      <c r="G5" s="136" t="str">
        <f>IF(SER_hh_tes!G5=0,"",SER_hh_tes!G5/SER_hh_fec!G5)</f>
        <v/>
      </c>
      <c r="H5" s="136" t="str">
        <f>IF(SER_hh_tes!H5=0,"",SER_hh_tes!H5/SER_hh_fec!H5)</f>
        <v/>
      </c>
      <c r="I5" s="136" t="str">
        <f>IF(SER_hh_tes!I5=0,"",SER_hh_tes!I5/SER_hh_fec!I5)</f>
        <v/>
      </c>
      <c r="J5" s="136" t="str">
        <f>IF(SER_hh_tes!J5=0,"",SER_hh_tes!J5/SER_hh_fec!J5)</f>
        <v/>
      </c>
      <c r="K5" s="136" t="str">
        <f>IF(SER_hh_tes!K5=0,"",SER_hh_tes!K5/SER_hh_fec!K5)</f>
        <v/>
      </c>
      <c r="L5" s="136" t="str">
        <f>IF(SER_hh_tes!L5=0,"",SER_hh_tes!L5/SER_hh_fec!L5)</f>
        <v/>
      </c>
      <c r="M5" s="136" t="str">
        <f>IF(SER_hh_tes!M5=0,"",SER_hh_tes!M5/SER_hh_fec!M5)</f>
        <v/>
      </c>
      <c r="N5" s="136" t="str">
        <f>IF(SER_hh_tes!N5=0,"",SER_hh_tes!N5/SER_hh_fec!N5)</f>
        <v/>
      </c>
      <c r="O5" s="136" t="str">
        <f>IF(SER_hh_tes!O5=0,"",SER_hh_tes!O5/SER_hh_fec!O5)</f>
        <v/>
      </c>
      <c r="P5" s="136" t="str">
        <f>IF(SER_hh_tes!P5=0,"",SER_hh_tes!P5/SER_hh_fec!P5)</f>
        <v/>
      </c>
      <c r="Q5" s="136" t="str">
        <f>IF(SER_hh_tes!Q5=0,"",SER_hh_tes!Q5/SER_hh_fec!Q5)</f>
        <v/>
      </c>
      <c r="R5" s="136" t="str">
        <f>IF(SER_hh_tes!R5=0,"",SER_hh_tes!R5/SER_hh_fec!R5)</f>
        <v/>
      </c>
      <c r="S5" s="136" t="str">
        <f>IF(SER_hh_tes!S5=0,"",SER_hh_tes!S5/SER_hh_fec!S5)</f>
        <v/>
      </c>
      <c r="T5" s="136" t="str">
        <f>IF(SER_hh_tes!T5=0,"",SER_hh_tes!T5/SER_hh_fec!T5)</f>
        <v/>
      </c>
      <c r="U5" s="136" t="str">
        <f>IF(SER_hh_tes!U5=0,"",SER_hh_tes!U5/SER_hh_fec!U5)</f>
        <v/>
      </c>
      <c r="V5" s="136" t="str">
        <f>IF(SER_hh_tes!V5=0,"",SER_hh_tes!V5/SER_hh_fec!V5)</f>
        <v/>
      </c>
      <c r="W5" s="136" t="str">
        <f>IF(SER_hh_tes!W5=0,"",SER_hh_tes!W5/SER_hh_fec!W5)</f>
        <v/>
      </c>
      <c r="X5" s="136" t="str">
        <f>IF(SER_hh_tes!X5=0,"",SER_hh_tes!X5/SER_hh_fec!X5)</f>
        <v/>
      </c>
      <c r="Y5" s="136" t="str">
        <f>IF(SER_hh_tes!Y5=0,"",SER_hh_tes!Y5/SER_hh_fec!Y5)</f>
        <v/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0.47098114708604932</v>
      </c>
      <c r="C7" s="136">
        <f>IF(SER_hh_tes!C7=0,"",SER_hh_tes!C7/SER_hh_fec!C7)</f>
        <v>0.47349142209824147</v>
      </c>
      <c r="D7" s="136">
        <f>IF(SER_hh_tes!D7=0,"",SER_hh_tes!D7/SER_hh_fec!D7)</f>
        <v>0.47632136662336738</v>
      </c>
      <c r="E7" s="136">
        <f>IF(SER_hh_tes!E7=0,"",SER_hh_tes!E7/SER_hh_fec!E7)</f>
        <v>0.4768633264147249</v>
      </c>
      <c r="F7" s="136">
        <f>IF(SER_hh_tes!F7=0,"",SER_hh_tes!F7/SER_hh_fec!F7)</f>
        <v>0.4782639414895653</v>
      </c>
      <c r="G7" s="136">
        <f>IF(SER_hh_tes!G7=0,"",SER_hh_tes!G7/SER_hh_fec!G7)</f>
        <v>0.47902262981220955</v>
      </c>
      <c r="H7" s="136">
        <f>IF(SER_hh_tes!H7=0,"",SER_hh_tes!H7/SER_hh_fec!H7)</f>
        <v>0.47970247469263894</v>
      </c>
      <c r="I7" s="136">
        <f>IF(SER_hh_tes!I7=0,"",SER_hh_tes!I7/SER_hh_fec!I7)</f>
        <v>0.47970247469263888</v>
      </c>
      <c r="J7" s="136">
        <f>IF(SER_hh_tes!J7=0,"",SER_hh_tes!J7/SER_hh_fec!J7)</f>
        <v>0.47970247469263883</v>
      </c>
      <c r="K7" s="136">
        <f>IF(SER_hh_tes!K7=0,"",SER_hh_tes!K7/SER_hh_fec!K7)</f>
        <v>0.49171203779410089</v>
      </c>
      <c r="L7" s="136">
        <f>IF(SER_hh_tes!L7=0,"",SER_hh_tes!L7/SER_hh_fec!L7)</f>
        <v>0.51972676410968954</v>
      </c>
      <c r="M7" s="136">
        <f>IF(SER_hh_tes!M7=0,"",SER_hh_tes!M7/SER_hh_fec!M7)</f>
        <v>0.54143409332258619</v>
      </c>
      <c r="N7" s="136">
        <f>IF(SER_hh_tes!N7=0,"",SER_hh_tes!N7/SER_hh_fec!N7)</f>
        <v>0.56231481673784489</v>
      </c>
      <c r="O7" s="136">
        <f>IF(SER_hh_tes!O7=0,"",SER_hh_tes!O7/SER_hh_fec!O7)</f>
        <v>0.58416210810612446</v>
      </c>
      <c r="P7" s="136">
        <f>IF(SER_hh_tes!P7=0,"",SER_hh_tes!P7/SER_hh_fec!P7)</f>
        <v>0.59426220131136309</v>
      </c>
      <c r="Q7" s="136">
        <f>IF(SER_hh_tes!Q7=0,"",SER_hh_tes!Q7/SER_hh_fec!Q7)</f>
        <v>0.60945812286935386</v>
      </c>
      <c r="R7" s="136">
        <f>IF(SER_hh_tes!R7=0,"",SER_hh_tes!R7/SER_hh_fec!R7)</f>
        <v>0.61979128926724014</v>
      </c>
      <c r="S7" s="136">
        <f>IF(SER_hh_tes!S7=0,"",SER_hh_tes!S7/SER_hh_fec!S7)</f>
        <v>0.63097827173482612</v>
      </c>
      <c r="T7" s="136">
        <f>IF(SER_hh_tes!T7=0,"",SER_hh_tes!T7/SER_hh_fec!T7)</f>
        <v>0.63641458478011914</v>
      </c>
      <c r="U7" s="136">
        <f>IF(SER_hh_tes!U7=0,"",SER_hh_tes!U7/SER_hh_fec!U7)</f>
        <v>0.63945822578028377</v>
      </c>
      <c r="V7" s="136">
        <f>IF(SER_hh_tes!V7=0,"",SER_hh_tes!V7/SER_hh_fec!V7)</f>
        <v>0.64236891162731447</v>
      </c>
      <c r="W7" s="136">
        <f>IF(SER_hh_tes!W7=0,"",SER_hh_tes!W7/SER_hh_fec!W7)</f>
        <v>0.6463834852315139</v>
      </c>
      <c r="X7" s="136">
        <f>IF(SER_hh_tes!X7=0,"",SER_hh_tes!X7/SER_hh_fec!X7)</f>
        <v>0.64985034792429852</v>
      </c>
      <c r="Y7" s="136">
        <f>IF(SER_hh_tes!Y7=0,"",SER_hh_tes!Y7/SER_hh_fec!Y7)</f>
        <v>0.65318124260358701</v>
      </c>
      <c r="DA7" s="163" t="s">
        <v>334</v>
      </c>
    </row>
    <row r="8" spans="1:105" ht="12" customHeight="1" x14ac:dyDescent="0.25">
      <c r="A8" s="131" t="s">
        <v>73</v>
      </c>
      <c r="B8" s="136" t="str">
        <f>IF(SER_hh_tes!B8=0,"",SER_hh_tes!B8/SER_hh_fec!B8)</f>
        <v/>
      </c>
      <c r="C8" s="136" t="str">
        <f>IF(SER_hh_tes!C8=0,"",SER_hh_tes!C8/SER_hh_fec!C8)</f>
        <v/>
      </c>
      <c r="D8" s="136" t="str">
        <f>IF(SER_hh_tes!D8=0,"",SER_hh_tes!D8/SER_hh_fec!D8)</f>
        <v/>
      </c>
      <c r="E8" s="136" t="str">
        <f>IF(SER_hh_tes!E8=0,"",SER_hh_tes!E8/SER_hh_fec!E8)</f>
        <v/>
      </c>
      <c r="F8" s="136" t="str">
        <f>IF(SER_hh_tes!F8=0,"",SER_hh_tes!F8/SER_hh_fec!F8)</f>
        <v/>
      </c>
      <c r="G8" s="136" t="str">
        <f>IF(SER_hh_tes!G8=0,"",SER_hh_tes!G8/SER_hh_fec!G8)</f>
        <v/>
      </c>
      <c r="H8" s="136" t="str">
        <f>IF(SER_hh_tes!H8=0,"",SER_hh_tes!H8/SER_hh_fec!H8)</f>
        <v/>
      </c>
      <c r="I8" s="136" t="str">
        <f>IF(SER_hh_tes!I8=0,"",SER_hh_tes!I8/SER_hh_fec!I8)</f>
        <v/>
      </c>
      <c r="J8" s="136" t="str">
        <f>IF(SER_hh_tes!J8=0,"",SER_hh_tes!J8/SER_hh_fec!J8)</f>
        <v/>
      </c>
      <c r="K8" s="136" t="str">
        <f>IF(SER_hh_tes!K8=0,"",SER_hh_tes!K8/SER_hh_fec!K8)</f>
        <v/>
      </c>
      <c r="L8" s="136" t="str">
        <f>IF(SER_hh_tes!L8=0,"",SER_hh_tes!L8/SER_hh_fec!L8)</f>
        <v/>
      </c>
      <c r="M8" s="136" t="str">
        <f>IF(SER_hh_tes!M8=0,"",SER_hh_tes!M8/SER_hh_fec!M8)</f>
        <v/>
      </c>
      <c r="N8" s="136" t="str">
        <f>IF(SER_hh_tes!N8=0,"",SER_hh_tes!N8/SER_hh_fec!N8)</f>
        <v/>
      </c>
      <c r="O8" s="136" t="str">
        <f>IF(SER_hh_tes!O8=0,"",SER_hh_tes!O8/SER_hh_fec!O8)</f>
        <v/>
      </c>
      <c r="P8" s="136" t="str">
        <f>IF(SER_hh_tes!P8=0,"",SER_hh_tes!P8/SER_hh_fec!P8)</f>
        <v/>
      </c>
      <c r="Q8" s="136" t="str">
        <f>IF(SER_hh_tes!Q8=0,"",SER_hh_tes!Q8/SER_hh_fec!Q8)</f>
        <v/>
      </c>
      <c r="R8" s="136" t="str">
        <f>IF(SER_hh_tes!R8=0,"",SER_hh_tes!R8/SER_hh_fec!R8)</f>
        <v/>
      </c>
      <c r="S8" s="136" t="str">
        <f>IF(SER_hh_tes!S8=0,"",SER_hh_tes!S8/SER_hh_fec!S8)</f>
        <v/>
      </c>
      <c r="T8" s="136" t="str">
        <f>IF(SER_hh_tes!T8=0,"",SER_hh_tes!T8/SER_hh_fec!T8)</f>
        <v/>
      </c>
      <c r="U8" s="136" t="str">
        <f>IF(SER_hh_tes!U8=0,"",SER_hh_tes!U8/SER_hh_fec!U8)</f>
        <v/>
      </c>
      <c r="V8" s="136" t="str">
        <f>IF(SER_hh_tes!V8=0,"",SER_hh_tes!V8/SER_hh_fec!V8)</f>
        <v/>
      </c>
      <c r="W8" s="136" t="str">
        <f>IF(SER_hh_tes!W8=0,"",SER_hh_tes!W8/SER_hh_fec!W8)</f>
        <v/>
      </c>
      <c r="X8" s="136" t="str">
        <f>IF(SER_hh_tes!X8=0,"",SER_hh_tes!X8/SER_hh_fec!X8)</f>
        <v/>
      </c>
      <c r="Y8" s="136" t="str">
        <f>IF(SER_hh_tes!Y8=0,"",SER_hh_tes!Y8/SER_hh_fec!Y8)</f>
        <v/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0.50908088635128235</v>
      </c>
      <c r="C9" s="136">
        <f>IF(SER_hh_tes!C9=0,"",SER_hh_tes!C9/SER_hh_fec!C9)</f>
        <v>0.51266371229270591</v>
      </c>
      <c r="D9" s="136">
        <f>IF(SER_hh_tes!D9=0,"",SER_hh_tes!D9/SER_hh_fec!D9)</f>
        <v>0.51553126531540094</v>
      </c>
      <c r="E9" s="136">
        <f>IF(SER_hh_tes!E9=0,"",SER_hh_tes!E9/SER_hh_fec!E9)</f>
        <v>0.51609668386668406</v>
      </c>
      <c r="F9" s="136">
        <f>IF(SER_hh_tes!F9=0,"",SER_hh_tes!F9/SER_hh_fec!F9)</f>
        <v>0.51808961054095093</v>
      </c>
      <c r="G9" s="136">
        <f>IF(SER_hh_tes!G9=0,"",SER_hh_tes!G9/SER_hh_fec!G9)</f>
        <v>0.52470436407293286</v>
      </c>
      <c r="H9" s="136">
        <f>IF(SER_hh_tes!H9=0,"",SER_hh_tes!H9/SER_hh_fec!H9)</f>
        <v>0.53418127515454794</v>
      </c>
      <c r="I9" s="136">
        <f>IF(SER_hh_tes!I9=0,"",SER_hh_tes!I9/SER_hh_fec!I9)</f>
        <v>0.54400168808892624</v>
      </c>
      <c r="J9" s="136">
        <f>IF(SER_hh_tes!J9=0,"",SER_hh_tes!J9/SER_hh_fec!J9)</f>
        <v>0.55322618548897995</v>
      </c>
      <c r="K9" s="136">
        <f>IF(SER_hh_tes!K9=0,"",SER_hh_tes!K9/SER_hh_fec!K9)</f>
        <v>0.56142871543755024</v>
      </c>
      <c r="L9" s="136">
        <f>IF(SER_hh_tes!L9=0,"",SER_hh_tes!L9/SER_hh_fec!L9)</f>
        <v>0.56638194525568919</v>
      </c>
      <c r="M9" s="136">
        <f>IF(SER_hh_tes!M9=0,"",SER_hh_tes!M9/SER_hh_fec!M9)</f>
        <v>0.5779780864654841</v>
      </c>
      <c r="N9" s="136">
        <f>IF(SER_hh_tes!N9=0,"",SER_hh_tes!N9/SER_hh_fec!N9)</f>
        <v>0.59229206452892025</v>
      </c>
      <c r="O9" s="136">
        <f>IF(SER_hh_tes!O9=0,"",SER_hh_tes!O9/SER_hh_fec!O9)</f>
        <v>0.60928473328799126</v>
      </c>
      <c r="P9" s="136">
        <f>IF(SER_hh_tes!P9=0,"",SER_hh_tes!P9/SER_hh_fec!P9)</f>
        <v>0.61749594762953197</v>
      </c>
      <c r="Q9" s="136">
        <f>IF(SER_hh_tes!Q9=0,"",SER_hh_tes!Q9/SER_hh_fec!Q9)</f>
        <v>0.62421863143049039</v>
      </c>
      <c r="R9" s="136">
        <f>IF(SER_hh_tes!R9=0,"",SER_hh_tes!R9/SER_hh_fec!R9)</f>
        <v>0.63007287502976772</v>
      </c>
      <c r="S9" s="136">
        <f>IF(SER_hh_tes!S9=0,"",SER_hh_tes!S9/SER_hh_fec!S9)</f>
        <v>0.63372732188409475</v>
      </c>
      <c r="T9" s="136">
        <f>IF(SER_hh_tes!T9=0,"",SER_hh_tes!T9/SER_hh_fec!T9)</f>
        <v>0.63719738348481003</v>
      </c>
      <c r="U9" s="136">
        <f>IF(SER_hh_tes!U9=0,"",SER_hh_tes!U9/SER_hh_fec!U9)</f>
        <v>0.64087129035556489</v>
      </c>
      <c r="V9" s="136">
        <f>IF(SER_hh_tes!V9=0,"",SER_hh_tes!V9/SER_hh_fec!V9)</f>
        <v>0.64805981023363979</v>
      </c>
      <c r="W9" s="136">
        <f>IF(SER_hh_tes!W9=0,"",SER_hh_tes!W9/SER_hh_fec!W9)</f>
        <v>0.66904014957499403</v>
      </c>
      <c r="X9" s="136">
        <f>IF(SER_hh_tes!X9=0,"",SER_hh_tes!X9/SER_hh_fec!X9)</f>
        <v>0.70181411769735991</v>
      </c>
      <c r="Y9" s="136">
        <f>IF(SER_hh_tes!Y9=0,"",SER_hh_tes!Y9/SER_hh_fec!Y9)</f>
        <v>0.73634750186916842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0.61873808621371784</v>
      </c>
      <c r="C10" s="136">
        <f>IF(SER_hh_tes!C10=0,"",SER_hh_tes!C10/SER_hh_fec!C10)</f>
        <v>0.63804315456192884</v>
      </c>
      <c r="D10" s="136">
        <f>IF(SER_hh_tes!D10=0,"",SER_hh_tes!D10/SER_hh_fec!D10)</f>
        <v>0.64304356691114406</v>
      </c>
      <c r="E10" s="136">
        <f>IF(SER_hh_tes!E10=0,"",SER_hh_tes!E10/SER_hh_fec!E10)</f>
        <v>0.64390300583839533</v>
      </c>
      <c r="F10" s="136">
        <f>IF(SER_hh_tes!F10=0,"",SER_hh_tes!F10/SER_hh_fec!F10)</f>
        <v>0.64452401477515775</v>
      </c>
      <c r="G10" s="136">
        <f>IF(SER_hh_tes!G10=0,"",SER_hh_tes!G10/SER_hh_fec!G10)</f>
        <v>0.64530117008912913</v>
      </c>
      <c r="H10" s="136">
        <f>IF(SER_hh_tes!H10=0,"",SER_hh_tes!H10/SER_hh_fec!H10)</f>
        <v>0.64530117008912891</v>
      </c>
      <c r="I10" s="136">
        <f>IF(SER_hh_tes!I10=0,"",SER_hh_tes!I10/SER_hh_fec!I10)</f>
        <v>0.64787561017469841</v>
      </c>
      <c r="J10" s="136">
        <f>IF(SER_hh_tes!J10=0,"",SER_hh_tes!J10/SER_hh_fec!J10)</f>
        <v>0.65225563834991496</v>
      </c>
      <c r="K10" s="136">
        <f>IF(SER_hh_tes!K10=0,"",SER_hh_tes!K10/SER_hh_fec!K10)</f>
        <v>0.65532790923179884</v>
      </c>
      <c r="L10" s="136">
        <f>IF(SER_hh_tes!L10=0,"",SER_hh_tes!L10/SER_hh_fec!L10)</f>
        <v>0.65641851317549904</v>
      </c>
      <c r="M10" s="136">
        <f>IF(SER_hh_tes!M10=0,"",SER_hh_tes!M10/SER_hh_fec!M10)</f>
        <v>0.65795952931928392</v>
      </c>
      <c r="N10" s="136">
        <f>IF(SER_hh_tes!N10=0,"",SER_hh_tes!N10/SER_hh_fec!N10)</f>
        <v>0.6597217122598743</v>
      </c>
      <c r="O10" s="136">
        <f>IF(SER_hh_tes!O10=0,"",SER_hh_tes!O10/SER_hh_fec!O10)</f>
        <v>0.66050653877486509</v>
      </c>
      <c r="P10" s="136">
        <f>IF(SER_hh_tes!P10=0,"",SER_hh_tes!P10/SER_hh_fec!P10)</f>
        <v>0.66063625567155526</v>
      </c>
      <c r="Q10" s="136">
        <f>IF(SER_hh_tes!Q10=0,"",SER_hh_tes!Q10/SER_hh_fec!Q10)</f>
        <v>0.66070419267139746</v>
      </c>
      <c r="R10" s="136">
        <f>IF(SER_hh_tes!R10=0,"",SER_hh_tes!R10/SER_hh_fec!R10)</f>
        <v>0.66078310640812776</v>
      </c>
      <c r="S10" s="136">
        <f>IF(SER_hh_tes!S10=0,"",SER_hh_tes!S10/SER_hh_fec!S10)</f>
        <v>0.660869661335451</v>
      </c>
      <c r="T10" s="136">
        <f>IF(SER_hh_tes!T10=0,"",SER_hh_tes!T10/SER_hh_fec!T10)</f>
        <v>0.66090362370767575</v>
      </c>
      <c r="U10" s="136">
        <f>IF(SER_hh_tes!U10=0,"",SER_hh_tes!U10/SER_hh_fec!U10)</f>
        <v>0.66090362370767608</v>
      </c>
      <c r="V10" s="136">
        <f>IF(SER_hh_tes!V10=0,"",SER_hh_tes!V10/SER_hh_fec!V10)</f>
        <v>0.66118064619388894</v>
      </c>
      <c r="W10" s="136">
        <f>IF(SER_hh_tes!W10=0,"",SER_hh_tes!W10/SER_hh_fec!W10)</f>
        <v>0.6617051346942322</v>
      </c>
      <c r="X10" s="136">
        <f>IF(SER_hh_tes!X10=0,"",SER_hh_tes!X10/SER_hh_fec!X10)</f>
        <v>0.66381184625318024</v>
      </c>
      <c r="Y10" s="136">
        <f>IF(SER_hh_tes!Y10=0,"",SER_hh_tes!Y10/SER_hh_fec!Y10)</f>
        <v>0.66554438900600987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 t="str">
        <f>IF(SER_hh_tes!E11=0,"",SER_hh_tes!E11/SER_hh_fec!E11)</f>
        <v/>
      </c>
      <c r="F11" s="136" t="str">
        <f>IF(SER_hh_tes!F11=0,"",SER_hh_tes!F11/SER_hh_fec!F11)</f>
        <v/>
      </c>
      <c r="G11" s="136" t="str">
        <f>IF(SER_hh_tes!G11=0,"",SER_hh_tes!G11/SER_hh_fec!G11)</f>
        <v/>
      </c>
      <c r="H11" s="136" t="str">
        <f>IF(SER_hh_tes!H11=0,"",SER_hh_tes!H11/SER_hh_fec!H11)</f>
        <v/>
      </c>
      <c r="I11" s="136" t="str">
        <f>IF(SER_hh_tes!I11=0,"",SER_hh_tes!I11/SER_hh_fec!I11)</f>
        <v/>
      </c>
      <c r="J11" s="136" t="str">
        <f>IF(SER_hh_tes!J11=0,"",SER_hh_tes!J11/SER_hh_fec!J11)</f>
        <v/>
      </c>
      <c r="K11" s="136" t="str">
        <f>IF(SER_hh_tes!K11=0,"",SER_hh_tes!K11/SER_hh_fec!K11)</f>
        <v/>
      </c>
      <c r="L11" s="136" t="str">
        <f>IF(SER_hh_tes!L11=0,"",SER_hh_tes!L11/SER_hh_fec!L11)</f>
        <v/>
      </c>
      <c r="M11" s="136" t="str">
        <f>IF(SER_hh_tes!M11=0,"",SER_hh_tes!M11/SER_hh_fec!M11)</f>
        <v/>
      </c>
      <c r="N11" s="136" t="str">
        <f>IF(SER_hh_tes!N11=0,"",SER_hh_tes!N11/SER_hh_fec!N11)</f>
        <v/>
      </c>
      <c r="O11" s="136" t="str">
        <f>IF(SER_hh_tes!O11=0,"",SER_hh_tes!O11/SER_hh_fec!O11)</f>
        <v/>
      </c>
      <c r="P11" s="136" t="str">
        <f>IF(SER_hh_tes!P11=0,"",SER_hh_tes!P11/SER_hh_fec!P11)</f>
        <v/>
      </c>
      <c r="Q11" s="136" t="str">
        <f>IF(SER_hh_tes!Q11=0,"",SER_hh_tes!Q11/SER_hh_fec!Q11)</f>
        <v/>
      </c>
      <c r="R11" s="136" t="str">
        <f>IF(SER_hh_tes!R11=0,"",SER_hh_tes!R11/SER_hh_fec!R11)</f>
        <v/>
      </c>
      <c r="S11" s="136" t="str">
        <f>IF(SER_hh_tes!S11=0,"",SER_hh_tes!S11/SER_hh_fec!S11)</f>
        <v/>
      </c>
      <c r="T11" s="136" t="str">
        <f>IF(SER_hh_tes!T11=0,"",SER_hh_tes!T11/SER_hh_fec!T11)</f>
        <v/>
      </c>
      <c r="U11" s="136" t="str">
        <f>IF(SER_hh_tes!U11=0,"",SER_hh_tes!U11/SER_hh_fec!U11)</f>
        <v/>
      </c>
      <c r="V11" s="136" t="str">
        <f>IF(SER_hh_tes!V11=0,"",SER_hh_tes!V11/SER_hh_fec!V11)</f>
        <v/>
      </c>
      <c r="W11" s="136" t="str">
        <f>IF(SER_hh_tes!W11=0,"",SER_hh_tes!W11/SER_hh_fec!W11)</f>
        <v/>
      </c>
      <c r="X11" s="136" t="str">
        <f>IF(SER_hh_tes!X11=0,"",SER_hh_tes!X11/SER_hh_fec!X11)</f>
        <v/>
      </c>
      <c r="Y11" s="136" t="str">
        <f>IF(SER_hh_tes!Y11=0,"",SER_hh_tes!Y11/SER_hh_fec!Y11)</f>
        <v/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0.80637958359996253</v>
      </c>
      <c r="C12" s="136">
        <f>IF(SER_hh_tes!C12=0,"",SER_hh_tes!C12/SER_hh_fec!C12)</f>
        <v>0.81452264622376869</v>
      </c>
      <c r="D12" s="136">
        <f>IF(SER_hh_tes!D12=0,"",SER_hh_tes!D12/SER_hh_fec!D12)</f>
        <v>0.8245551082853112</v>
      </c>
      <c r="E12" s="136">
        <f>IF(SER_hh_tes!E12=0,"",SER_hh_tes!E12/SER_hh_fec!E12)</f>
        <v>0.82880568872454496</v>
      </c>
      <c r="F12" s="136">
        <f>IF(SER_hh_tes!F12=0,"",SER_hh_tes!F12/SER_hh_fec!F12)</f>
        <v>0.83090137875072678</v>
      </c>
      <c r="G12" s="136">
        <f>IF(SER_hh_tes!G12=0,"",SER_hh_tes!G12/SER_hh_fec!G12)</f>
        <v>0.83194267196498906</v>
      </c>
      <c r="H12" s="136">
        <f>IF(SER_hh_tes!H12=0,"",SER_hh_tes!H12/SER_hh_fec!H12)</f>
        <v>0.83242453725609677</v>
      </c>
      <c r="I12" s="136">
        <f>IF(SER_hh_tes!I12=0,"",SER_hh_tes!I12/SER_hh_fec!I12)</f>
        <v>0.83286476849516422</v>
      </c>
      <c r="J12" s="136">
        <f>IF(SER_hh_tes!J12=0,"",SER_hh_tes!J12/SER_hh_fec!J12)</f>
        <v>0.83319974926616258</v>
      </c>
      <c r="K12" s="136">
        <f>IF(SER_hh_tes!K12=0,"",SER_hh_tes!K12/SER_hh_fec!K12)</f>
        <v>0.83394440150677851</v>
      </c>
      <c r="L12" s="136">
        <f>IF(SER_hh_tes!L12=0,"",SER_hh_tes!L12/SER_hh_fec!L12)</f>
        <v>0.8358403121958552</v>
      </c>
      <c r="M12" s="136">
        <f>IF(SER_hh_tes!M12=0,"",SER_hh_tes!M12/SER_hh_fec!M12)</f>
        <v>0.83756584027854353</v>
      </c>
      <c r="N12" s="136">
        <f>IF(SER_hh_tes!N12=0,"",SER_hh_tes!N12/SER_hh_fec!N12)</f>
        <v>0.83953755623821458</v>
      </c>
      <c r="O12" s="136">
        <f>IF(SER_hh_tes!O12=0,"",SER_hh_tes!O12/SER_hh_fec!O12)</f>
        <v>0.8411517633863641</v>
      </c>
      <c r="P12" s="136">
        <f>IF(SER_hh_tes!P12=0,"",SER_hh_tes!P12/SER_hh_fec!P12)</f>
        <v>0.8426925958404976</v>
      </c>
      <c r="Q12" s="136">
        <f>IF(SER_hh_tes!Q12=0,"",SER_hh_tes!Q12/SER_hh_fec!Q12)</f>
        <v>0.8459150199770743</v>
      </c>
      <c r="R12" s="136">
        <f>IF(SER_hh_tes!R12=0,"",SER_hh_tes!R12/SER_hh_fec!R12)</f>
        <v>0.85081147855467043</v>
      </c>
      <c r="S12" s="136">
        <f>IF(SER_hh_tes!S12=0,"",SER_hh_tes!S12/SER_hh_fec!S12)</f>
        <v>0.85760708620491799</v>
      </c>
      <c r="T12" s="136">
        <f>IF(SER_hh_tes!T12=0,"",SER_hh_tes!T12/SER_hh_fec!T12)</f>
        <v>0.8665883080487885</v>
      </c>
      <c r="U12" s="136">
        <f>IF(SER_hh_tes!U12=0,"",SER_hh_tes!U12/SER_hh_fec!U12)</f>
        <v>0.87374689493773328</v>
      </c>
      <c r="V12" s="136">
        <f>IF(SER_hh_tes!V12=0,"",SER_hh_tes!V12/SER_hh_fec!V12)</f>
        <v>0.87945447073144922</v>
      </c>
      <c r="W12" s="136">
        <f>IF(SER_hh_tes!W12=0,"",SER_hh_tes!W12/SER_hh_fec!W12)</f>
        <v>0.88224088224634967</v>
      </c>
      <c r="X12" s="136">
        <f>IF(SER_hh_tes!X12=0,"",SER_hh_tes!X12/SER_hh_fec!X12)</f>
        <v>0.88493723392940338</v>
      </c>
      <c r="Y12" s="136">
        <f>IF(SER_hh_tes!Y12=0,"",SER_hh_tes!Y12/SER_hh_fec!Y12)</f>
        <v>0.88693987738681557</v>
      </c>
      <c r="DA12" s="163" t="s">
        <v>339</v>
      </c>
    </row>
    <row r="13" spans="1:105" ht="12" customHeight="1" x14ac:dyDescent="0.25">
      <c r="A13" s="131" t="s">
        <v>77</v>
      </c>
      <c r="B13" s="136" t="str">
        <f>IF(SER_hh_tes!B13=0,"",SER_hh_tes!B13/SER_hh_fec!B13)</f>
        <v/>
      </c>
      <c r="C13" s="136" t="str">
        <f>IF(SER_hh_tes!C13=0,"",SER_hh_tes!C13/SER_hh_fec!C13)</f>
        <v/>
      </c>
      <c r="D13" s="136" t="str">
        <f>IF(SER_hh_tes!D13=0,"",SER_hh_tes!D13/SER_hh_fec!D13)</f>
        <v/>
      </c>
      <c r="E13" s="136" t="str">
        <f>IF(SER_hh_tes!E13=0,"",SER_hh_tes!E13/SER_hh_fec!E13)</f>
        <v/>
      </c>
      <c r="F13" s="136" t="str">
        <f>IF(SER_hh_tes!F13=0,"",SER_hh_tes!F13/SER_hh_fec!F13)</f>
        <v/>
      </c>
      <c r="G13" s="136" t="str">
        <f>IF(SER_hh_tes!G13=0,"",SER_hh_tes!G13/SER_hh_fec!G13)</f>
        <v/>
      </c>
      <c r="H13" s="136" t="str">
        <f>IF(SER_hh_tes!H13=0,"",SER_hh_tes!H13/SER_hh_fec!H13)</f>
        <v/>
      </c>
      <c r="I13" s="136" t="str">
        <f>IF(SER_hh_tes!I13=0,"",SER_hh_tes!I13/SER_hh_fec!I13)</f>
        <v/>
      </c>
      <c r="J13" s="136" t="str">
        <f>IF(SER_hh_tes!J13=0,"",SER_hh_tes!J13/SER_hh_fec!J13)</f>
        <v/>
      </c>
      <c r="K13" s="136" t="str">
        <f>IF(SER_hh_tes!K13=0,"",SER_hh_tes!K13/SER_hh_fec!K13)</f>
        <v/>
      </c>
      <c r="L13" s="136" t="str">
        <f>IF(SER_hh_tes!L13=0,"",SER_hh_tes!L13/SER_hh_fec!L13)</f>
        <v/>
      </c>
      <c r="M13" s="136" t="str">
        <f>IF(SER_hh_tes!M13=0,"",SER_hh_tes!M13/SER_hh_fec!M13)</f>
        <v/>
      </c>
      <c r="N13" s="136" t="str">
        <f>IF(SER_hh_tes!N13=0,"",SER_hh_tes!N13/SER_hh_fec!N13)</f>
        <v/>
      </c>
      <c r="O13" s="136" t="str">
        <f>IF(SER_hh_tes!O13=0,"",SER_hh_tes!O13/SER_hh_fec!O13)</f>
        <v/>
      </c>
      <c r="P13" s="136" t="str">
        <f>IF(SER_hh_tes!P13=0,"",SER_hh_tes!P13/SER_hh_fec!P13)</f>
        <v/>
      </c>
      <c r="Q13" s="136" t="str">
        <f>IF(SER_hh_tes!Q13=0,"",SER_hh_tes!Q13/SER_hh_fec!Q13)</f>
        <v/>
      </c>
      <c r="R13" s="136" t="str">
        <f>IF(SER_hh_tes!R13=0,"",SER_hh_tes!R13/SER_hh_fec!R13)</f>
        <v/>
      </c>
      <c r="S13" s="136" t="str">
        <f>IF(SER_hh_tes!S13=0,"",SER_hh_tes!S13/SER_hh_fec!S13)</f>
        <v/>
      </c>
      <c r="T13" s="136" t="str">
        <f>IF(SER_hh_tes!T13=0,"",SER_hh_tes!T13/SER_hh_fec!T13)</f>
        <v/>
      </c>
      <c r="U13" s="136" t="str">
        <f>IF(SER_hh_tes!U13=0,"",SER_hh_tes!U13/SER_hh_fec!U13)</f>
        <v/>
      </c>
      <c r="V13" s="136" t="str">
        <f>IF(SER_hh_tes!V13=0,"",SER_hh_tes!V13/SER_hh_fec!V13)</f>
        <v/>
      </c>
      <c r="W13" s="136" t="str">
        <f>IF(SER_hh_tes!W13=0,"",SER_hh_tes!W13/SER_hh_fec!W13)</f>
        <v/>
      </c>
      <c r="X13" s="136" t="str">
        <f>IF(SER_hh_tes!X13=0,"",SER_hh_tes!X13/SER_hh_fec!X13)</f>
        <v/>
      </c>
      <c r="Y13" s="136" t="str">
        <f>IF(SER_hh_tes!Y13=0,"",SER_hh_tes!Y13/SER_hh_fec!Y13)</f>
        <v/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0.71289930380844946</v>
      </c>
      <c r="C14" s="137">
        <f>IF(SER_hh_tes!C14=0,"",SER_hh_tes!C14/SER_hh_fec!C14)</f>
        <v>0.71519646781554214</v>
      </c>
      <c r="D14" s="137">
        <f>IF(SER_hh_tes!D14=0,"",SER_hh_tes!D14/SER_hh_fec!D14)</f>
        <v>0.71539589006956172</v>
      </c>
      <c r="E14" s="137">
        <f>IF(SER_hh_tes!E14=0,"",SER_hh_tes!E14/SER_hh_fec!E14)</f>
        <v>0.71546779588496245</v>
      </c>
      <c r="F14" s="137">
        <f>IF(SER_hh_tes!F14=0,"",SER_hh_tes!F14/SER_hh_fec!F14)</f>
        <v>0.71690490538880902</v>
      </c>
      <c r="G14" s="137">
        <f>IF(SER_hh_tes!G14=0,"",SER_hh_tes!G14/SER_hh_fec!G14)</f>
        <v>0.7243671633525538</v>
      </c>
      <c r="H14" s="137">
        <f>IF(SER_hh_tes!H14=0,"",SER_hh_tes!H14/SER_hh_fec!H14)</f>
        <v>0.73299122799819183</v>
      </c>
      <c r="I14" s="137">
        <f>IF(SER_hh_tes!I14=0,"",SER_hh_tes!I14/SER_hh_fec!I14)</f>
        <v>0.74148296983574602</v>
      </c>
      <c r="J14" s="137">
        <f>IF(SER_hh_tes!J14=0,"",SER_hh_tes!J14/SER_hh_fec!J14)</f>
        <v>0.74729804484967133</v>
      </c>
      <c r="K14" s="137">
        <f>IF(SER_hh_tes!K14=0,"",SER_hh_tes!K14/SER_hh_fec!K14)</f>
        <v>0.75205158338713374</v>
      </c>
      <c r="L14" s="137">
        <f>IF(SER_hh_tes!L14=0,"",SER_hh_tes!L14/SER_hh_fec!L14)</f>
        <v>0.75739824157593938</v>
      </c>
      <c r="M14" s="137">
        <f>IF(SER_hh_tes!M14=0,"",SER_hh_tes!M14/SER_hh_fec!M14)</f>
        <v>0.76288076934473481</v>
      </c>
      <c r="N14" s="137">
        <f>IF(SER_hh_tes!N14=0,"",SER_hh_tes!N14/SER_hh_fec!N14)</f>
        <v>0.76964197765917131</v>
      </c>
      <c r="O14" s="137">
        <f>IF(SER_hh_tes!O14=0,"",SER_hh_tes!O14/SER_hh_fec!O14)</f>
        <v>0.77551268484420677</v>
      </c>
      <c r="P14" s="137">
        <f>IF(SER_hh_tes!P14=0,"",SER_hh_tes!P14/SER_hh_fec!P14)</f>
        <v>0.77580005685715536</v>
      </c>
      <c r="Q14" s="137">
        <f>IF(SER_hh_tes!Q14=0,"",SER_hh_tes!Q14/SER_hh_fec!Q14)</f>
        <v>0.77616007176749735</v>
      </c>
      <c r="R14" s="137">
        <f>IF(SER_hh_tes!R14=0,"",SER_hh_tes!R14/SER_hh_fec!R14)</f>
        <v>0.77733308696021641</v>
      </c>
      <c r="S14" s="137">
        <f>IF(SER_hh_tes!S14=0,"",SER_hh_tes!S14/SER_hh_fec!S14)</f>
        <v>0.7813972397090212</v>
      </c>
      <c r="T14" s="137">
        <f>IF(SER_hh_tes!T14=0,"",SER_hh_tes!T14/SER_hh_fec!T14)</f>
        <v>0.78655151634625309</v>
      </c>
      <c r="U14" s="137">
        <f>IF(SER_hh_tes!U14=0,"",SER_hh_tes!U14/SER_hh_fec!U14)</f>
        <v>0.79266729551271298</v>
      </c>
      <c r="V14" s="137">
        <f>IF(SER_hh_tes!V14=0,"",SER_hh_tes!V14/SER_hh_fec!V14)</f>
        <v>0.79573128890917355</v>
      </c>
      <c r="W14" s="137">
        <f>IF(SER_hh_tes!W14=0,"",SER_hh_tes!W14/SER_hh_fec!W14)</f>
        <v>0.80451938552293556</v>
      </c>
      <c r="X14" s="137">
        <f>IF(SER_hh_tes!X14=0,"",SER_hh_tes!X14/SER_hh_fec!X14)</f>
        <v>0.81019883082748079</v>
      </c>
      <c r="Y14" s="137">
        <f>IF(SER_hh_tes!Y14=0,"",SER_hh_tes!Y14/SER_hh_fec!Y14)</f>
        <v>0.82129555943201793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1.8580710610230264</v>
      </c>
      <c r="C16" s="135">
        <f>IF(SER_hh_tes!C16=0,"",SER_hh_tes!C16/SER_hh_fec!C16)</f>
        <v>2.005161724556987</v>
      </c>
      <c r="D16" s="135">
        <f>IF(SER_hh_tes!D16=0,"",SER_hh_tes!D16/SER_hh_fec!D16)</f>
        <v>2.1489320023164753</v>
      </c>
      <c r="E16" s="135">
        <f>IF(SER_hh_tes!E16=0,"",SER_hh_tes!E16/SER_hh_fec!E16)</f>
        <v>2.257443965766591</v>
      </c>
      <c r="F16" s="135">
        <f>IF(SER_hh_tes!F16=0,"",SER_hh_tes!F16/SER_hh_fec!F16)</f>
        <v>2.3695192009511046</v>
      </c>
      <c r="G16" s="135">
        <f>IF(SER_hh_tes!G16=0,"",SER_hh_tes!G16/SER_hh_fec!G16)</f>
        <v>2.5090223027250835</v>
      </c>
      <c r="H16" s="135">
        <f>IF(SER_hh_tes!H16=0,"",SER_hh_tes!H16/SER_hh_fec!H16)</f>
        <v>2.6216193721862107</v>
      </c>
      <c r="I16" s="135">
        <f>IF(SER_hh_tes!I16=0,"",SER_hh_tes!I16/SER_hh_fec!I16)</f>
        <v>2.7469280706321695</v>
      </c>
      <c r="J16" s="135">
        <f>IF(SER_hh_tes!J16=0,"",SER_hh_tes!J16/SER_hh_fec!J16)</f>
        <v>2.8700008500633785</v>
      </c>
      <c r="K16" s="135">
        <f>IF(SER_hh_tes!K16=0,"",SER_hh_tes!K16/SER_hh_fec!K16)</f>
        <v>2.9367491108996671</v>
      </c>
      <c r="L16" s="135">
        <f>IF(SER_hh_tes!L16=0,"",SER_hh_tes!L16/SER_hh_fec!L16)</f>
        <v>3.028564060337219</v>
      </c>
      <c r="M16" s="135">
        <f>IF(SER_hh_tes!M16=0,"",SER_hh_tes!M16/SER_hh_fec!M16)</f>
        <v>3.1434615807338968</v>
      </c>
      <c r="N16" s="135">
        <f>IF(SER_hh_tes!N16=0,"",SER_hh_tes!N16/SER_hh_fec!N16)</f>
        <v>3.2567729745743494</v>
      </c>
      <c r="O16" s="135">
        <f>IF(SER_hh_tes!O16=0,"",SER_hh_tes!O16/SER_hh_fec!O16)</f>
        <v>3.358675914909242</v>
      </c>
      <c r="P16" s="135">
        <f>IF(SER_hh_tes!P16=0,"",SER_hh_tes!P16/SER_hh_fec!P16)</f>
        <v>3.4715890966819996</v>
      </c>
      <c r="Q16" s="135">
        <f>IF(SER_hh_tes!Q16=0,"",SER_hh_tes!Q16/SER_hh_fec!Q16)</f>
        <v>3.5966384555850821</v>
      </c>
      <c r="R16" s="135">
        <f>IF(SER_hh_tes!R16=0,"",SER_hh_tes!R16/SER_hh_fec!R16)</f>
        <v>3.6873332496026396</v>
      </c>
      <c r="S16" s="135">
        <f>IF(SER_hh_tes!S16=0,"",SER_hh_tes!S16/SER_hh_fec!S16)</f>
        <v>3.8011550830315683</v>
      </c>
      <c r="T16" s="135">
        <f>IF(SER_hh_tes!T16=0,"",SER_hh_tes!T16/SER_hh_fec!T16)</f>
        <v>3.931260816289682</v>
      </c>
      <c r="U16" s="135">
        <f>IF(SER_hh_tes!U16=0,"",SER_hh_tes!U16/SER_hh_fec!U16)</f>
        <v>4.021608829359498</v>
      </c>
      <c r="V16" s="135">
        <f>IF(SER_hh_tes!V16=0,"",SER_hh_tes!V16/SER_hh_fec!V16)</f>
        <v>4.0983322271932563</v>
      </c>
      <c r="W16" s="135">
        <f>IF(SER_hh_tes!W16=0,"",SER_hh_tes!W16/SER_hh_fec!W16)</f>
        <v>4.1308808387366627</v>
      </c>
      <c r="X16" s="135">
        <f>IF(SER_hh_tes!X16=0,"",SER_hh_tes!X16/SER_hh_fec!X16)</f>
        <v>4.2341685974495133</v>
      </c>
      <c r="Y16" s="135">
        <f>IF(SER_hh_tes!Y16=0,"",SER_hh_tes!Y16/SER_hh_fec!Y16)</f>
        <v>4.2797873911837723</v>
      </c>
      <c r="DA16" s="162" t="s">
        <v>241</v>
      </c>
    </row>
    <row r="17" spans="1:105" ht="12.95" customHeight="1" x14ac:dyDescent="0.25">
      <c r="A17" s="131" t="s">
        <v>73</v>
      </c>
      <c r="B17" s="136">
        <f>IF(SER_hh_tes!B17=0,"",SER_hh_tes!B17/SER_hh_fec!B17)</f>
        <v>1.1061965572031618</v>
      </c>
      <c r="C17" s="136">
        <f>IF(SER_hh_tes!C17=0,"",SER_hh_tes!C17/SER_hh_fec!C17)</f>
        <v>1.1422709814105618</v>
      </c>
      <c r="D17" s="136">
        <f>IF(SER_hh_tes!D17=0,"",SER_hh_tes!D17/SER_hh_fec!D17)</f>
        <v>1.1799385681144905</v>
      </c>
      <c r="E17" s="136">
        <f>IF(SER_hh_tes!E17=0,"",SER_hh_tes!E17/SER_hh_fec!E17)</f>
        <v>1.1846506359642766</v>
      </c>
      <c r="F17" s="136">
        <f>IF(SER_hh_tes!F17=0,"",SER_hh_tes!F17/SER_hh_fec!F17)</f>
        <v>1.2289612854404968</v>
      </c>
      <c r="G17" s="136">
        <f>IF(SER_hh_tes!G17=0,"",SER_hh_tes!G17/SER_hh_fec!G17)</f>
        <v>1.2424696271147384</v>
      </c>
      <c r="H17" s="136">
        <f>IF(SER_hh_tes!H17=0,"",SER_hh_tes!H17/SER_hh_fec!H17)</f>
        <v>1.2591139151307669</v>
      </c>
      <c r="I17" s="136">
        <f>IF(SER_hh_tes!I17=0,"",SER_hh_tes!I17/SER_hh_fec!I17)</f>
        <v>1.2865524900098109</v>
      </c>
      <c r="J17" s="136">
        <f>IF(SER_hh_tes!J17=0,"",SER_hh_tes!J17/SER_hh_fec!J17)</f>
        <v>1.2996121709063606</v>
      </c>
      <c r="K17" s="136">
        <f>IF(SER_hh_tes!K17=0,"",SER_hh_tes!K17/SER_hh_fec!K17)</f>
        <v>1.3128421595212136</v>
      </c>
      <c r="L17" s="136">
        <f>IF(SER_hh_tes!L17=0,"",SER_hh_tes!L17/SER_hh_fec!L17)</f>
        <v>1.3254505818177116</v>
      </c>
      <c r="M17" s="136">
        <f>IF(SER_hh_tes!M17=0,"",SER_hh_tes!M17/SER_hh_fec!M17)</f>
        <v>1.3464596797087653</v>
      </c>
      <c r="N17" s="136">
        <f>IF(SER_hh_tes!N17=0,"",SER_hh_tes!N17/SER_hh_fec!N17)</f>
        <v>1.3659198667842627</v>
      </c>
      <c r="O17" s="136">
        <f>IF(SER_hh_tes!O17=0,"",SER_hh_tes!O17/SER_hh_fec!O17)</f>
        <v>1.3909310240131054</v>
      </c>
      <c r="P17" s="136">
        <f>IF(SER_hh_tes!P17=0,"",SER_hh_tes!P17/SER_hh_fec!P17)</f>
        <v>1.4283072160456107</v>
      </c>
      <c r="Q17" s="136">
        <f>IF(SER_hh_tes!Q17=0,"",SER_hh_tes!Q17/SER_hh_fec!Q17)</f>
        <v>1.4507953013556147</v>
      </c>
      <c r="R17" s="136">
        <f>IF(SER_hh_tes!R17=0,"",SER_hh_tes!R17/SER_hh_fec!R17)</f>
        <v>1.4814496262149668</v>
      </c>
      <c r="S17" s="136">
        <f>IF(SER_hh_tes!S17=0,"",SER_hh_tes!S17/SER_hh_fec!S17)</f>
        <v>1.5019614279875926</v>
      </c>
      <c r="T17" s="136">
        <f>IF(SER_hh_tes!T17=0,"",SER_hh_tes!T17/SER_hh_fec!T17)</f>
        <v>1.5149384416240881</v>
      </c>
      <c r="U17" s="136">
        <f>IF(SER_hh_tes!U17=0,"",SER_hh_tes!U17/SER_hh_fec!U17)</f>
        <v>1.5346048698709203</v>
      </c>
      <c r="V17" s="136">
        <f>IF(SER_hh_tes!V17=0,"",SER_hh_tes!V17/SER_hh_fec!V17)</f>
        <v>1.5542044631060785</v>
      </c>
      <c r="W17" s="136">
        <f>IF(SER_hh_tes!W17=0,"",SER_hh_tes!W17/SER_hh_fec!W17)</f>
        <v>1.5751821098224432</v>
      </c>
      <c r="X17" s="136">
        <f>IF(SER_hh_tes!X17=0,"",SER_hh_tes!X17/SER_hh_fec!X17)</f>
        <v>1.5946737661485335</v>
      </c>
      <c r="Y17" s="136">
        <f>IF(SER_hh_tes!Y17=0,"",SER_hh_tes!Y17/SER_hh_fec!Y17)</f>
        <v>1.6138654317985468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1.8629173263672909</v>
      </c>
      <c r="C18" s="136">
        <f>IF(SER_hh_tes!C18=0,"",SER_hh_tes!C18/SER_hh_fec!C18)</f>
        <v>2.0115328219327631</v>
      </c>
      <c r="D18" s="136">
        <f>IF(SER_hh_tes!D18=0,"",SER_hh_tes!D18/SER_hh_fec!D18)</f>
        <v>2.1581305298970022</v>
      </c>
      <c r="E18" s="136">
        <f>IF(SER_hh_tes!E18=0,"",SER_hh_tes!E18/SER_hh_fec!E18)</f>
        <v>2.2647809443552105</v>
      </c>
      <c r="F18" s="136">
        <f>IF(SER_hh_tes!F18=0,"",SER_hh_tes!F18/SER_hh_fec!F18)</f>
        <v>2.3837499830763202</v>
      </c>
      <c r="G18" s="136">
        <f>IF(SER_hh_tes!G18=0,"",SER_hh_tes!G18/SER_hh_fec!G18)</f>
        <v>2.5243973162790994</v>
      </c>
      <c r="H18" s="136">
        <f>IF(SER_hh_tes!H18=0,"",SER_hh_tes!H18/SER_hh_fec!H18)</f>
        <v>2.6396645047855074</v>
      </c>
      <c r="I18" s="136">
        <f>IF(SER_hh_tes!I18=0,"",SER_hh_tes!I18/SER_hh_fec!I18)</f>
        <v>2.7724570234388755</v>
      </c>
      <c r="J18" s="136">
        <f>IF(SER_hh_tes!J18=0,"",SER_hh_tes!J18/SER_hh_fec!J18)</f>
        <v>2.898431779210568</v>
      </c>
      <c r="K18" s="136">
        <f>IF(SER_hh_tes!K18=0,"",SER_hh_tes!K18/SER_hh_fec!K18)</f>
        <v>2.9736369508423581</v>
      </c>
      <c r="L18" s="136">
        <f>IF(SER_hh_tes!L18=0,"",SER_hh_tes!L18/SER_hh_fec!L18)</f>
        <v>3.0623484002425911</v>
      </c>
      <c r="M18" s="136">
        <f>IF(SER_hh_tes!M18=0,"",SER_hh_tes!M18/SER_hh_fec!M18)</f>
        <v>3.1830368562328553</v>
      </c>
      <c r="N18" s="136">
        <f>IF(SER_hh_tes!N18=0,"",SER_hh_tes!N18/SER_hh_fec!N18)</f>
        <v>3.3018052374464406</v>
      </c>
      <c r="O18" s="136">
        <f>IF(SER_hh_tes!O18=0,"",SER_hh_tes!O18/SER_hh_fec!O18)</f>
        <v>3.4144939492257902</v>
      </c>
      <c r="P18" s="136">
        <f>IF(SER_hh_tes!P18=0,"",SER_hh_tes!P18/SER_hh_fec!P18)</f>
        <v>3.5506444599594627</v>
      </c>
      <c r="Q18" s="136">
        <f>IF(SER_hh_tes!Q18=0,"",SER_hh_tes!Q18/SER_hh_fec!Q18)</f>
        <v>3.6973868367535996</v>
      </c>
      <c r="R18" s="136">
        <f>IF(SER_hh_tes!R18=0,"",SER_hh_tes!R18/SER_hh_fec!R18)</f>
        <v>3.8337703386762403</v>
      </c>
      <c r="S18" s="136">
        <f>IF(SER_hh_tes!S18=0,"",SER_hh_tes!S18/SER_hh_fec!S18)</f>
        <v>3.9842530932463753</v>
      </c>
      <c r="T18" s="136">
        <f>IF(SER_hh_tes!T18=0,"",SER_hh_tes!T18/SER_hh_fec!T18)</f>
        <v>4.1237411052959034</v>
      </c>
      <c r="U18" s="136">
        <f>IF(SER_hh_tes!U18=0,"",SER_hh_tes!U18/SER_hh_fec!U18)</f>
        <v>4.2393599696466238</v>
      </c>
      <c r="V18" s="136">
        <f>IF(SER_hh_tes!V18=0,"",SER_hh_tes!V18/SER_hh_fec!V18)</f>
        <v>4.3433465615477242</v>
      </c>
      <c r="W18" s="136">
        <f>IF(SER_hh_tes!W18=0,"",SER_hh_tes!W18/SER_hh_fec!W18)</f>
        <v>4.4349157103382364</v>
      </c>
      <c r="X18" s="136">
        <f>IF(SER_hh_tes!X18=0,"",SER_hh_tes!X18/SER_hh_fec!X18)</f>
        <v>4.5081165052509498</v>
      </c>
      <c r="Y18" s="136">
        <f>IF(SER_hh_tes!Y18=0,"",SER_hh_tes!Y18/SER_hh_fec!Y18)</f>
        <v>4.5615628739276763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0.62871715899061176</v>
      </c>
      <c r="C19" s="135">
        <f>IF(SER_hh_tes!C19=0,"",SER_hh_tes!C19/SER_hh_fec!C19)</f>
        <v>0.63277888713128239</v>
      </c>
      <c r="D19" s="135">
        <f>IF(SER_hh_tes!D19=0,"",SER_hh_tes!D19/SER_hh_fec!D19)</f>
        <v>0.64149253145376839</v>
      </c>
      <c r="E19" s="135">
        <f>IF(SER_hh_tes!E19=0,"",SER_hh_tes!E19/SER_hh_fec!E19)</f>
        <v>0.65395496552222121</v>
      </c>
      <c r="F19" s="135">
        <f>IF(SER_hh_tes!F19=0,"",SER_hh_tes!F19/SER_hh_fec!F19)</f>
        <v>0.65800388868844994</v>
      </c>
      <c r="G19" s="135">
        <f>IF(SER_hh_tes!G19=0,"",SER_hh_tes!G19/SER_hh_fec!G19)</f>
        <v>0.66220519660873811</v>
      </c>
      <c r="H19" s="135">
        <f>IF(SER_hh_tes!H19=0,"",SER_hh_tes!H19/SER_hh_fec!H19)</f>
        <v>0.67568561351545098</v>
      </c>
      <c r="I19" s="135">
        <f>IF(SER_hh_tes!I19=0,"",SER_hh_tes!I19/SER_hh_fec!I19)</f>
        <v>0.68190063648828503</v>
      </c>
      <c r="J19" s="135">
        <f>IF(SER_hh_tes!J19=0,"",SER_hh_tes!J19/SER_hh_fec!J19)</f>
        <v>0.68706889094730439</v>
      </c>
      <c r="K19" s="135">
        <f>IF(SER_hh_tes!K19=0,"",SER_hh_tes!K19/SER_hh_fec!K19)</f>
        <v>0.69347371580015582</v>
      </c>
      <c r="L19" s="135">
        <f>IF(SER_hh_tes!L19=0,"",SER_hh_tes!L19/SER_hh_fec!L19)</f>
        <v>0.6863554478639361</v>
      </c>
      <c r="M19" s="135">
        <f>IF(SER_hh_tes!M19=0,"",SER_hh_tes!M19/SER_hh_fec!M19)</f>
        <v>0.70021802923806209</v>
      </c>
      <c r="N19" s="135">
        <f>IF(SER_hh_tes!N19=0,"",SER_hh_tes!N19/SER_hh_fec!N19)</f>
        <v>0.70307301505847253</v>
      </c>
      <c r="O19" s="135">
        <f>IF(SER_hh_tes!O19=0,"",SER_hh_tes!O19/SER_hh_fec!O19)</f>
        <v>0.71230072528479205</v>
      </c>
      <c r="P19" s="135">
        <f>IF(SER_hh_tes!P19=0,"",SER_hh_tes!P19/SER_hh_fec!P19)</f>
        <v>0.71414577772939414</v>
      </c>
      <c r="Q19" s="135">
        <f>IF(SER_hh_tes!Q19=0,"",SER_hh_tes!Q19/SER_hh_fec!Q19)</f>
        <v>0.71850624983656175</v>
      </c>
      <c r="R19" s="135">
        <f>IF(SER_hh_tes!R19=0,"",SER_hh_tes!R19/SER_hh_fec!R19)</f>
        <v>0.72659403942467116</v>
      </c>
      <c r="S19" s="135">
        <f>IF(SER_hh_tes!S19=0,"",SER_hh_tes!S19/SER_hh_fec!S19)</f>
        <v>0.73815215466794093</v>
      </c>
      <c r="T19" s="135">
        <f>IF(SER_hh_tes!T19=0,"",SER_hh_tes!T19/SER_hh_fec!T19)</f>
        <v>0.7453035671428786</v>
      </c>
      <c r="U19" s="135">
        <f>IF(SER_hh_tes!U19=0,"",SER_hh_tes!U19/SER_hh_fec!U19)</f>
        <v>0.7569652484068965</v>
      </c>
      <c r="V19" s="135">
        <f>IF(SER_hh_tes!V19=0,"",SER_hh_tes!V19/SER_hh_fec!V19)</f>
        <v>0.77878933845558795</v>
      </c>
      <c r="W19" s="135">
        <f>IF(SER_hh_tes!W19=0,"",SER_hh_tes!W19/SER_hh_fec!W19)</f>
        <v>0.78193494003792641</v>
      </c>
      <c r="X19" s="135">
        <f>IF(SER_hh_tes!X19=0,"",SER_hh_tes!X19/SER_hh_fec!X19)</f>
        <v>0.80568899183497777</v>
      </c>
      <c r="Y19" s="135">
        <f>IF(SER_hh_tes!Y19=0,"",SER_hh_tes!Y19/SER_hh_fec!Y19)</f>
        <v>0.82304550848021552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 t="str">
        <f>IF(SER_hh_tes!B21=0,"",SER_hh_tes!B21/SER_hh_fec!B21)</f>
        <v/>
      </c>
      <c r="C21" s="136" t="str">
        <f>IF(SER_hh_tes!C21=0,"",SER_hh_tes!C21/SER_hh_fec!C21)</f>
        <v/>
      </c>
      <c r="D21" s="136" t="str">
        <f>IF(SER_hh_tes!D21=0,"",SER_hh_tes!D21/SER_hh_fec!D21)</f>
        <v/>
      </c>
      <c r="E21" s="136" t="str">
        <f>IF(SER_hh_tes!E21=0,"",SER_hh_tes!E21/SER_hh_fec!E21)</f>
        <v/>
      </c>
      <c r="F21" s="136" t="str">
        <f>IF(SER_hh_tes!F21=0,"",SER_hh_tes!F21/SER_hh_fec!F21)</f>
        <v/>
      </c>
      <c r="G21" s="136" t="str">
        <f>IF(SER_hh_tes!G21=0,"",SER_hh_tes!G21/SER_hh_fec!G21)</f>
        <v/>
      </c>
      <c r="H21" s="136" t="str">
        <f>IF(SER_hh_tes!H21=0,"",SER_hh_tes!H21/SER_hh_fec!H21)</f>
        <v/>
      </c>
      <c r="I21" s="136" t="str">
        <f>IF(SER_hh_tes!I21=0,"",SER_hh_tes!I21/SER_hh_fec!I21)</f>
        <v/>
      </c>
      <c r="J21" s="136" t="str">
        <f>IF(SER_hh_tes!J21=0,"",SER_hh_tes!J21/SER_hh_fec!J21)</f>
        <v/>
      </c>
      <c r="K21" s="136" t="str">
        <f>IF(SER_hh_tes!K21=0,"",SER_hh_tes!K21/SER_hh_fec!K21)</f>
        <v/>
      </c>
      <c r="L21" s="136" t="str">
        <f>IF(SER_hh_tes!L21=0,"",SER_hh_tes!L21/SER_hh_fec!L21)</f>
        <v/>
      </c>
      <c r="M21" s="136" t="str">
        <f>IF(SER_hh_tes!M21=0,"",SER_hh_tes!M21/SER_hh_fec!M21)</f>
        <v/>
      </c>
      <c r="N21" s="136" t="str">
        <f>IF(SER_hh_tes!N21=0,"",SER_hh_tes!N21/SER_hh_fec!N21)</f>
        <v/>
      </c>
      <c r="O21" s="136" t="str">
        <f>IF(SER_hh_tes!O21=0,"",SER_hh_tes!O21/SER_hh_fec!O21)</f>
        <v/>
      </c>
      <c r="P21" s="136" t="str">
        <f>IF(SER_hh_tes!P21=0,"",SER_hh_tes!P21/SER_hh_fec!P21)</f>
        <v/>
      </c>
      <c r="Q21" s="136" t="str">
        <f>IF(SER_hh_tes!Q21=0,"",SER_hh_tes!Q21/SER_hh_fec!Q21)</f>
        <v/>
      </c>
      <c r="R21" s="136" t="str">
        <f>IF(SER_hh_tes!R21=0,"",SER_hh_tes!R21/SER_hh_fec!R21)</f>
        <v/>
      </c>
      <c r="S21" s="136" t="str">
        <f>IF(SER_hh_tes!S21=0,"",SER_hh_tes!S21/SER_hh_fec!S21)</f>
        <v/>
      </c>
      <c r="T21" s="136" t="str">
        <f>IF(SER_hh_tes!T21=0,"",SER_hh_tes!T21/SER_hh_fec!T21)</f>
        <v/>
      </c>
      <c r="U21" s="136" t="str">
        <f>IF(SER_hh_tes!U21=0,"",SER_hh_tes!U21/SER_hh_fec!U21)</f>
        <v/>
      </c>
      <c r="V21" s="136" t="str">
        <f>IF(SER_hh_tes!V21=0,"",SER_hh_tes!V21/SER_hh_fec!V21)</f>
        <v/>
      </c>
      <c r="W21" s="136" t="str">
        <f>IF(SER_hh_tes!W21=0,"",SER_hh_tes!W21/SER_hh_fec!W21)</f>
        <v/>
      </c>
      <c r="X21" s="136" t="str">
        <f>IF(SER_hh_tes!X21=0,"",SER_hh_tes!X21/SER_hh_fec!X21)</f>
        <v/>
      </c>
      <c r="Y21" s="136" t="str">
        <f>IF(SER_hh_tes!Y21=0,"",SER_hh_tes!Y21/SER_hh_fec!Y21)</f>
        <v/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0.53501753976939481</v>
      </c>
      <c r="C22" s="136">
        <f>IF(SER_hh_tes!C22=0,"",SER_hh_tes!C22/SER_hh_fec!C22)</f>
        <v>0.53652002467102355</v>
      </c>
      <c r="D22" s="136">
        <f>IF(SER_hh_tes!D22=0,"",SER_hh_tes!D22/SER_hh_fec!D22)</f>
        <v>0.538466548729995</v>
      </c>
      <c r="E22" s="136">
        <f>IF(SER_hh_tes!E22=0,"",SER_hh_tes!E22/SER_hh_fec!E22)</f>
        <v>0.54040552149865784</v>
      </c>
      <c r="F22" s="136">
        <f>IF(SER_hh_tes!F22=0,"",SER_hh_tes!F22/SER_hh_fec!F22)</f>
        <v>0.54180630754835202</v>
      </c>
      <c r="G22" s="136">
        <f>IF(SER_hh_tes!G22=0,"",SER_hh_tes!G22/SER_hh_fec!G22)</f>
        <v>0.54239414468875946</v>
      </c>
      <c r="H22" s="136">
        <f>IF(SER_hh_tes!H22=0,"",SER_hh_tes!H22/SER_hh_fec!H22)</f>
        <v>0.54305568760108425</v>
      </c>
      <c r="I22" s="136">
        <f>IF(SER_hh_tes!I22=0,"",SER_hh_tes!I22/SER_hh_fec!I22)</f>
        <v>0.54324269950614645</v>
      </c>
      <c r="J22" s="136">
        <f>IF(SER_hh_tes!J22=0,"",SER_hh_tes!J22/SER_hh_fec!J22)</f>
        <v>0.54330755524486973</v>
      </c>
      <c r="K22" s="136">
        <f>IF(SER_hh_tes!K22=0,"",SER_hh_tes!K22/SER_hh_fec!K22)</f>
        <v>0.5456146585603624</v>
      </c>
      <c r="L22" s="136">
        <f>IF(SER_hh_tes!L22=0,"",SER_hh_tes!L22/SER_hh_fec!L22)</f>
        <v>0.55849673171125402</v>
      </c>
      <c r="M22" s="136">
        <f>IF(SER_hh_tes!M22=0,"",SER_hh_tes!M22/SER_hh_fec!M22)</f>
        <v>0.56931703092094377</v>
      </c>
      <c r="N22" s="136">
        <f>IF(SER_hh_tes!N22=0,"",SER_hh_tes!N22/SER_hh_fec!N22)</f>
        <v>0.58608550818302374</v>
      </c>
      <c r="O22" s="136">
        <f>IF(SER_hh_tes!O22=0,"",SER_hh_tes!O22/SER_hh_fec!O22)</f>
        <v>0.59982645053574468</v>
      </c>
      <c r="P22" s="136">
        <f>IF(SER_hh_tes!P22=0,"",SER_hh_tes!P22/SER_hh_fec!P22)</f>
        <v>0.60640487148233246</v>
      </c>
      <c r="Q22" s="136">
        <f>IF(SER_hh_tes!Q22=0,"",SER_hh_tes!Q22/SER_hh_fec!Q22)</f>
        <v>0.61744611928783488</v>
      </c>
      <c r="R22" s="136">
        <f>IF(SER_hh_tes!R22=0,"",SER_hh_tes!R22/SER_hh_fec!R22)</f>
        <v>0.63676780271375621</v>
      </c>
      <c r="S22" s="136">
        <f>IF(SER_hh_tes!S22=0,"",SER_hh_tes!S22/SER_hh_fec!S22)</f>
        <v>0.66634264221403539</v>
      </c>
      <c r="T22" s="136">
        <f>IF(SER_hh_tes!T22=0,"",SER_hh_tes!T22/SER_hh_fec!T22)</f>
        <v>0.68598351300005278</v>
      </c>
      <c r="U22" s="136">
        <f>IF(SER_hh_tes!U22=0,"",SER_hh_tes!U22/SER_hh_fec!U22)</f>
        <v>0.70054775892628263</v>
      </c>
      <c r="V22" s="136">
        <f>IF(SER_hh_tes!V22=0,"",SER_hh_tes!V22/SER_hh_fec!V22)</f>
        <v>0.70481894000631029</v>
      </c>
      <c r="W22" s="136">
        <f>IF(SER_hh_tes!W22=0,"",SER_hh_tes!W22/SER_hh_fec!W22)</f>
        <v>0.70798257134230791</v>
      </c>
      <c r="X22" s="136">
        <f>IF(SER_hh_tes!X22=0,"",SER_hh_tes!X22/SER_hh_fec!X22)</f>
        <v>0.71135473532394833</v>
      </c>
      <c r="Y22" s="136">
        <f>IF(SER_hh_tes!Y22=0,"",SER_hh_tes!Y22/SER_hh_fec!Y22)</f>
        <v>0.71381704426078885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0.54703797337886451</v>
      </c>
      <c r="C23" s="136">
        <f>IF(SER_hh_tes!C23=0,"",SER_hh_tes!C23/SER_hh_fec!C23)</f>
        <v>0.5521454316903307</v>
      </c>
      <c r="D23" s="136">
        <f>IF(SER_hh_tes!D23=0,"",SER_hh_tes!D23/SER_hh_fec!D23)</f>
        <v>0.55939935966365184</v>
      </c>
      <c r="E23" s="136">
        <f>IF(SER_hh_tes!E23=0,"",SER_hh_tes!E23/SER_hh_fec!E23)</f>
        <v>0.56681667217128795</v>
      </c>
      <c r="F23" s="136">
        <f>IF(SER_hh_tes!F23=0,"",SER_hh_tes!F23/SER_hh_fec!F23)</f>
        <v>0.5735489211761281</v>
      </c>
      <c r="G23" s="136">
        <f>IF(SER_hh_tes!G23=0,"",SER_hh_tes!G23/SER_hh_fec!G23)</f>
        <v>0.58004509226879286</v>
      </c>
      <c r="H23" s="136">
        <f>IF(SER_hh_tes!H23=0,"",SER_hh_tes!H23/SER_hh_fec!H23)</f>
        <v>0.5870068545661794</v>
      </c>
      <c r="I23" s="136">
        <f>IF(SER_hh_tes!I23=0,"",SER_hh_tes!I23/SER_hh_fec!I23)</f>
        <v>0.59428767286091211</v>
      </c>
      <c r="J23" s="136">
        <f>IF(SER_hh_tes!J23=0,"",SER_hh_tes!J23/SER_hh_fec!J23)</f>
        <v>0.60340090757232345</v>
      </c>
      <c r="K23" s="136">
        <f>IF(SER_hh_tes!K23=0,"",SER_hh_tes!K23/SER_hh_fec!K23)</f>
        <v>0.61103626604533656</v>
      </c>
      <c r="L23" s="136">
        <f>IF(SER_hh_tes!L23=0,"",SER_hh_tes!L23/SER_hh_fec!L23)</f>
        <v>0.62001885297904347</v>
      </c>
      <c r="M23" s="136">
        <f>IF(SER_hh_tes!M23=0,"",SER_hh_tes!M23/SER_hh_fec!M23)</f>
        <v>0.62814435547115088</v>
      </c>
      <c r="N23" s="136">
        <f>IF(SER_hh_tes!N23=0,"",SER_hh_tes!N23/SER_hh_fec!N23)</f>
        <v>0.63793600370982784</v>
      </c>
      <c r="O23" s="136">
        <f>IF(SER_hh_tes!O23=0,"",SER_hh_tes!O23/SER_hh_fec!O23)</f>
        <v>0.65018233557653682</v>
      </c>
      <c r="P23" s="136">
        <f>IF(SER_hh_tes!P23=0,"",SER_hh_tes!P23/SER_hh_fec!P23)</f>
        <v>0.65775724814493541</v>
      </c>
      <c r="Q23" s="136">
        <f>IF(SER_hh_tes!Q23=0,"",SER_hh_tes!Q23/SER_hh_fec!Q23)</f>
        <v>0.66655240199573562</v>
      </c>
      <c r="R23" s="136">
        <f>IF(SER_hh_tes!R23=0,"",SER_hh_tes!R23/SER_hh_fec!R23)</f>
        <v>0.6760030602858601</v>
      </c>
      <c r="S23" s="136">
        <f>IF(SER_hh_tes!S23=0,"",SER_hh_tes!S23/SER_hh_fec!S23)</f>
        <v>0.68426177331867999</v>
      </c>
      <c r="T23" s="136">
        <f>IF(SER_hh_tes!T23=0,"",SER_hh_tes!T23/SER_hh_fec!T23)</f>
        <v>0.68933918129247818</v>
      </c>
      <c r="U23" s="136">
        <f>IF(SER_hh_tes!U23=0,"",SER_hh_tes!U23/SER_hh_fec!U23)</f>
        <v>0.69638880069594877</v>
      </c>
      <c r="V23" s="136">
        <f>IF(SER_hh_tes!V23=0,"",SER_hh_tes!V23/SER_hh_fec!V23)</f>
        <v>0.71126503176364597</v>
      </c>
      <c r="W23" s="136">
        <f>IF(SER_hh_tes!W23=0,"",SER_hh_tes!W23/SER_hh_fec!W23)</f>
        <v>0.72804481923212871</v>
      </c>
      <c r="X23" s="136">
        <f>IF(SER_hh_tes!X23=0,"",SER_hh_tes!X23/SER_hh_fec!X23)</f>
        <v>0.74632088802240037</v>
      </c>
      <c r="Y23" s="136">
        <f>IF(SER_hh_tes!Y23=0,"",SER_hh_tes!Y23/SER_hh_fec!Y23)</f>
        <v>0.76327873430892612</v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0.81631636649300043</v>
      </c>
      <c r="C25" s="136">
        <f>IF(SER_hh_tes!C25=0,"",SER_hh_tes!C25/SER_hh_fec!C25)</f>
        <v>0.82464463203553395</v>
      </c>
      <c r="D25" s="136">
        <f>IF(SER_hh_tes!D25=0,"",SER_hh_tes!D25/SER_hh_fec!D25)</f>
        <v>0.83442012073886895</v>
      </c>
      <c r="E25" s="136">
        <f>IF(SER_hh_tes!E25=0,"",SER_hh_tes!E25/SER_hh_fec!E25)</f>
        <v>0.83881165510969047</v>
      </c>
      <c r="F25" s="136">
        <f>IF(SER_hh_tes!F25=0,"",SER_hh_tes!F25/SER_hh_fec!F25)</f>
        <v>0.8410329642586668</v>
      </c>
      <c r="G25" s="136">
        <f>IF(SER_hh_tes!G25=0,"",SER_hh_tes!G25/SER_hh_fec!G25)</f>
        <v>0.84242064661800953</v>
      </c>
      <c r="H25" s="136">
        <f>IF(SER_hh_tes!H25=0,"",SER_hh_tes!H25/SER_hh_fec!H25)</f>
        <v>0.84336628029378957</v>
      </c>
      <c r="I25" s="136">
        <f>IF(SER_hh_tes!I25=0,"",SER_hh_tes!I25/SER_hh_fec!I25)</f>
        <v>0.8442363281752282</v>
      </c>
      <c r="J25" s="136">
        <f>IF(SER_hh_tes!J25=0,"",SER_hh_tes!J25/SER_hh_fec!J25)</f>
        <v>0.84507157781711839</v>
      </c>
      <c r="K25" s="136">
        <f>IF(SER_hh_tes!K25=0,"",SER_hh_tes!K25/SER_hh_fec!K25)</f>
        <v>0.84608257467787951</v>
      </c>
      <c r="L25" s="136">
        <f>IF(SER_hh_tes!L25=0,"",SER_hh_tes!L25/SER_hh_fec!L25)</f>
        <v>0.84713562661446984</v>
      </c>
      <c r="M25" s="136">
        <f>IF(SER_hh_tes!M25=0,"",SER_hh_tes!M25/SER_hh_fec!M25)</f>
        <v>0.84891444403720495</v>
      </c>
      <c r="N25" s="136">
        <f>IF(SER_hh_tes!N25=0,"",SER_hh_tes!N25/SER_hh_fec!N25)</f>
        <v>0.85112899521917917</v>
      </c>
      <c r="O25" s="136">
        <f>IF(SER_hh_tes!O25=0,"",SER_hh_tes!O25/SER_hh_fec!O25)</f>
        <v>0.85386764938422466</v>
      </c>
      <c r="P25" s="136">
        <f>IF(SER_hh_tes!P25=0,"",SER_hh_tes!P25/SER_hh_fec!P25)</f>
        <v>0.85636340751770312</v>
      </c>
      <c r="Q25" s="136">
        <f>IF(SER_hh_tes!Q25=0,"",SER_hh_tes!Q25/SER_hh_fec!Q25)</f>
        <v>0.86052666985556392</v>
      </c>
      <c r="R25" s="136">
        <f>IF(SER_hh_tes!R25=0,"",SER_hh_tes!R25/SER_hh_fec!R25)</f>
        <v>0.86617577114062949</v>
      </c>
      <c r="S25" s="136">
        <f>IF(SER_hh_tes!S25=0,"",SER_hh_tes!S25/SER_hh_fec!S25)</f>
        <v>0.87372943401624947</v>
      </c>
      <c r="T25" s="136">
        <f>IF(SER_hh_tes!T25=0,"",SER_hh_tes!T25/SER_hh_fec!T25)</f>
        <v>0.881684197480192</v>
      </c>
      <c r="U25" s="136">
        <f>IF(SER_hh_tes!U25=0,"",SER_hh_tes!U25/SER_hh_fec!U25)</f>
        <v>0.88856806411897982</v>
      </c>
      <c r="V25" s="136">
        <f>IF(SER_hh_tes!V25=0,"",SER_hh_tes!V25/SER_hh_fec!V25)</f>
        <v>0.89194970732310874</v>
      </c>
      <c r="W25" s="136">
        <f>IF(SER_hh_tes!W25=0,"",SER_hh_tes!W25/SER_hh_fec!W25)</f>
        <v>0.89420143496318627</v>
      </c>
      <c r="X25" s="136">
        <f>IF(SER_hh_tes!X25=0,"",SER_hh_tes!X25/SER_hh_fec!X25)</f>
        <v>0.89545300011292539</v>
      </c>
      <c r="Y25" s="136">
        <f>IF(SER_hh_tes!Y25=0,"",SER_hh_tes!Y25/SER_hh_fec!Y25)</f>
        <v>0.89651340850208006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0.67887022049761891</v>
      </c>
      <c r="C26" s="137">
        <f>IF(SER_hh_tes!C26=0,"",SER_hh_tes!C26/SER_hh_fec!C26)</f>
        <v>0.67987656594814172</v>
      </c>
      <c r="D26" s="137">
        <f>IF(SER_hh_tes!D26=0,"",SER_hh_tes!D26/SER_hh_fec!D26)</f>
        <v>0.67996482413448112</v>
      </c>
      <c r="E26" s="137">
        <f>IF(SER_hh_tes!E26=0,"",SER_hh_tes!E26/SER_hh_fec!E26)</f>
        <v>0.68001283438644611</v>
      </c>
      <c r="F26" s="137">
        <f>IF(SER_hh_tes!F26=0,"",SER_hh_tes!F26/SER_hh_fec!F26)</f>
        <v>0.68001283438644622</v>
      </c>
      <c r="G26" s="137">
        <f>IF(SER_hh_tes!G26=0,"",SER_hh_tes!G26/SER_hh_fec!G26)</f>
        <v>0.68096582793654803</v>
      </c>
      <c r="H26" s="137">
        <f>IF(SER_hh_tes!H26=0,"",SER_hh_tes!H26/SER_hh_fec!H26)</f>
        <v>0.68625969146549692</v>
      </c>
      <c r="I26" s="137">
        <f>IF(SER_hh_tes!I26=0,"",SER_hh_tes!I26/SER_hh_fec!I26)</f>
        <v>0.69139806739205512</v>
      </c>
      <c r="J26" s="137">
        <f>IF(SER_hh_tes!J26=0,"",SER_hh_tes!J26/SER_hh_fec!J26)</f>
        <v>0.69580214950559427</v>
      </c>
      <c r="K26" s="137">
        <f>IF(SER_hh_tes!K26=0,"",SER_hh_tes!K26/SER_hh_fec!K26)</f>
        <v>0.70029231839980499</v>
      </c>
      <c r="L26" s="137">
        <f>IF(SER_hh_tes!L26=0,"",SER_hh_tes!L26/SER_hh_fec!L26)</f>
        <v>0.70435723311429088</v>
      </c>
      <c r="M26" s="137">
        <f>IF(SER_hh_tes!M26=0,"",SER_hh_tes!M26/SER_hh_fec!M26)</f>
        <v>0.71111005360191337</v>
      </c>
      <c r="N26" s="137">
        <f>IF(SER_hh_tes!N26=0,"",SER_hh_tes!N26/SER_hh_fec!N26)</f>
        <v>0.71898996794679815</v>
      </c>
      <c r="O26" s="137">
        <f>IF(SER_hh_tes!O26=0,"",SER_hh_tes!O26/SER_hh_fec!O26)</f>
        <v>0.72842887039708981</v>
      </c>
      <c r="P26" s="137">
        <f>IF(SER_hh_tes!P26=0,"",SER_hh_tes!P26/SER_hh_fec!P26)</f>
        <v>0.73187569833950483</v>
      </c>
      <c r="Q26" s="137">
        <f>IF(SER_hh_tes!Q26=0,"",SER_hh_tes!Q26/SER_hh_fec!Q26)</f>
        <v>0.73598380495445304</v>
      </c>
      <c r="R26" s="137">
        <f>IF(SER_hh_tes!R26=0,"",SER_hh_tes!R26/SER_hh_fec!R26)</f>
        <v>0.74090875338432738</v>
      </c>
      <c r="S26" s="137">
        <f>IF(SER_hh_tes!S26=0,"",SER_hh_tes!S26/SER_hh_fec!S26)</f>
        <v>0.74461129260859715</v>
      </c>
      <c r="T26" s="137">
        <f>IF(SER_hh_tes!T26=0,"",SER_hh_tes!T26/SER_hh_fec!T26)</f>
        <v>0.75570098917213646</v>
      </c>
      <c r="U26" s="137">
        <f>IF(SER_hh_tes!U26=0,"",SER_hh_tes!U26/SER_hh_fec!U26)</f>
        <v>0.76791537221159234</v>
      </c>
      <c r="V26" s="137">
        <f>IF(SER_hh_tes!V26=0,"",SER_hh_tes!V26/SER_hh_fec!V26)</f>
        <v>0.79027460427481033</v>
      </c>
      <c r="W26" s="137">
        <f>IF(SER_hh_tes!W26=0,"",SER_hh_tes!W26/SER_hh_fec!W26)</f>
        <v>0.81474681173794672</v>
      </c>
      <c r="X26" s="137">
        <f>IF(SER_hh_tes!X26=0,"",SER_hh_tes!X26/SER_hh_fec!X26)</f>
        <v>0.84538362580227544</v>
      </c>
      <c r="Y26" s="137">
        <f>IF(SER_hh_tes!Y26=0,"",SER_hh_tes!Y26/SER_hh_fec!Y26)</f>
        <v>0.87167172959805272</v>
      </c>
      <c r="DA26" s="164" t="s">
        <v>351</v>
      </c>
    </row>
    <row r="27" spans="1:105" ht="12" customHeight="1" x14ac:dyDescent="0.25">
      <c r="A27" s="144" t="s">
        <v>26</v>
      </c>
      <c r="B27" s="153" t="str">
        <f>IF(SER_hh_tes!B27=0,"",SER_hh_tes!B27/SER_hh_fec!B27)</f>
        <v/>
      </c>
      <c r="C27" s="153" t="str">
        <f>IF(SER_hh_tes!C27=0,"",SER_hh_tes!C27/SER_hh_fec!C27)</f>
        <v/>
      </c>
      <c r="D27" s="153" t="str">
        <f>IF(SER_hh_tes!D27=0,"",SER_hh_tes!D27/SER_hh_fec!D27)</f>
        <v/>
      </c>
      <c r="E27" s="153" t="str">
        <f>IF(SER_hh_tes!E27=0,"",SER_hh_tes!E27/SER_hh_fec!E27)</f>
        <v/>
      </c>
      <c r="F27" s="153" t="str">
        <f>IF(SER_hh_tes!F27=0,"",SER_hh_tes!F27/SER_hh_fec!F27)</f>
        <v/>
      </c>
      <c r="G27" s="153" t="str">
        <f>IF(SER_hh_tes!G27=0,"",SER_hh_tes!G27/SER_hh_fec!G27)</f>
        <v/>
      </c>
      <c r="H27" s="153" t="str">
        <f>IF(SER_hh_tes!H27=0,"",SER_hh_tes!H27/SER_hh_fec!H27)</f>
        <v/>
      </c>
      <c r="I27" s="153" t="str">
        <f>IF(SER_hh_tes!I27=0,"",SER_hh_tes!I27/SER_hh_fec!I27)</f>
        <v/>
      </c>
      <c r="J27" s="153" t="str">
        <f>IF(SER_hh_tes!J27=0,"",SER_hh_tes!J27/SER_hh_fec!J27)</f>
        <v/>
      </c>
      <c r="K27" s="153" t="str">
        <f>IF(SER_hh_tes!K27=0,"",SER_hh_tes!K27/SER_hh_fec!K27)</f>
        <v/>
      </c>
      <c r="L27" s="153" t="str">
        <f>IF(SER_hh_tes!L27=0,"",SER_hh_tes!L27/SER_hh_fec!L27)</f>
        <v/>
      </c>
      <c r="M27" s="153" t="str">
        <f>IF(SER_hh_tes!M27=0,"",SER_hh_tes!M27/SER_hh_fec!M27)</f>
        <v/>
      </c>
      <c r="N27" s="153" t="str">
        <f>IF(SER_hh_tes!N27=0,"",SER_hh_tes!N27/SER_hh_fec!N27)</f>
        <v/>
      </c>
      <c r="O27" s="153" t="str">
        <f>IF(SER_hh_tes!O27=0,"",SER_hh_tes!O27/SER_hh_fec!O27)</f>
        <v/>
      </c>
      <c r="P27" s="153" t="str">
        <f>IF(SER_hh_tes!P27=0,"",SER_hh_tes!P27/SER_hh_fec!P27)</f>
        <v/>
      </c>
      <c r="Q27" s="153" t="str">
        <f>IF(SER_hh_tes!Q27=0,"",SER_hh_tes!Q27/SER_hh_fec!Q27)</f>
        <v/>
      </c>
      <c r="R27" s="153" t="str">
        <f>IF(SER_hh_tes!R27=0,"",SER_hh_tes!R27/SER_hh_fec!R27)</f>
        <v/>
      </c>
      <c r="S27" s="153" t="str">
        <f>IF(SER_hh_tes!S27=0,"",SER_hh_tes!S27/SER_hh_fec!S27)</f>
        <v/>
      </c>
      <c r="T27" s="153" t="str">
        <f>IF(SER_hh_tes!T27=0,"",SER_hh_tes!T27/SER_hh_fec!T27)</f>
        <v/>
      </c>
      <c r="U27" s="153" t="str">
        <f>IF(SER_hh_tes!U27=0,"",SER_hh_tes!U27/SER_hh_fec!U27)</f>
        <v/>
      </c>
      <c r="V27" s="153" t="str">
        <f>IF(SER_hh_tes!V27=0,"",SER_hh_tes!V27/SER_hh_fec!V27)</f>
        <v/>
      </c>
      <c r="W27" s="153" t="str">
        <f>IF(SER_hh_tes!W27=0,"",SER_hh_tes!W27/SER_hh_fec!W27)</f>
        <v/>
      </c>
      <c r="X27" s="153" t="str">
        <f>IF(SER_hh_tes!X27=0,"",SER_hh_tes!X27/SER_hh_fec!X27)</f>
        <v/>
      </c>
      <c r="Y27" s="153" t="str">
        <f>IF(SER_hh_tes!Y27=0,"",SER_hh_tes!Y27/SER_hh_fec!Y27)</f>
        <v/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0.66135222595569576</v>
      </c>
      <c r="C29" s="135">
        <f>IF(SER_hh_tes!C29=0,"",SER_hh_tes!C29/SER_hh_fec!C29)</f>
        <v>0.64269432865196297</v>
      </c>
      <c r="D29" s="135">
        <f>IF(SER_hh_tes!D29=0,"",SER_hh_tes!D29/SER_hh_fec!D29)</f>
        <v>0.66514287625120971</v>
      </c>
      <c r="E29" s="135">
        <f>IF(SER_hh_tes!E29=0,"",SER_hh_tes!E29/SER_hh_fec!E29)</f>
        <v>0.6848250737543996</v>
      </c>
      <c r="F29" s="135">
        <f>IF(SER_hh_tes!F29=0,"",SER_hh_tes!F29/SER_hh_fec!F29)</f>
        <v>0.69226221168917801</v>
      </c>
      <c r="G29" s="135">
        <f>IF(SER_hh_tes!G29=0,"",SER_hh_tes!G29/SER_hh_fec!G29)</f>
        <v>0.69941375300436726</v>
      </c>
      <c r="H29" s="135">
        <f>IF(SER_hh_tes!H29=0,"",SER_hh_tes!H29/SER_hh_fec!H29)</f>
        <v>0.7010749821524308</v>
      </c>
      <c r="I29" s="135">
        <f>IF(SER_hh_tes!I29=0,"",SER_hh_tes!I29/SER_hh_fec!I29)</f>
        <v>0.70681344740149177</v>
      </c>
      <c r="J29" s="135">
        <f>IF(SER_hh_tes!J29=0,"",SER_hh_tes!J29/SER_hh_fec!J29)</f>
        <v>0.71326301276422688</v>
      </c>
      <c r="K29" s="135">
        <f>IF(SER_hh_tes!K29=0,"",SER_hh_tes!K29/SER_hh_fec!K29)</f>
        <v>0.68636660056004506</v>
      </c>
      <c r="L29" s="135">
        <f>IF(SER_hh_tes!L29=0,"",SER_hh_tes!L29/SER_hh_fec!L29)</f>
        <v>0.6879066045089105</v>
      </c>
      <c r="M29" s="135">
        <f>IF(SER_hh_tes!M29=0,"",SER_hh_tes!M29/SER_hh_fec!M29)</f>
        <v>0.68852846418724278</v>
      </c>
      <c r="N29" s="135">
        <f>IF(SER_hh_tes!N29=0,"",SER_hh_tes!N29/SER_hh_fec!N29)</f>
        <v>0.69350155728930052</v>
      </c>
      <c r="O29" s="135">
        <f>IF(SER_hh_tes!O29=0,"",SER_hh_tes!O29/SER_hh_fec!O29)</f>
        <v>0.70055179149944569</v>
      </c>
      <c r="P29" s="135">
        <f>IF(SER_hh_tes!P29=0,"",SER_hh_tes!P29/SER_hh_fec!P29)</f>
        <v>0.71358505226752311</v>
      </c>
      <c r="Q29" s="135">
        <f>IF(SER_hh_tes!Q29=0,"",SER_hh_tes!Q29/SER_hh_fec!Q29)</f>
        <v>0.7179891787506274</v>
      </c>
      <c r="R29" s="135">
        <f>IF(SER_hh_tes!R29=0,"",SER_hh_tes!R29/SER_hh_fec!R29)</f>
        <v>0.72271453521100892</v>
      </c>
      <c r="S29" s="135">
        <f>IF(SER_hh_tes!S29=0,"",SER_hh_tes!S29/SER_hh_fec!S29)</f>
        <v>0.73865821448488611</v>
      </c>
      <c r="T29" s="135">
        <f>IF(SER_hh_tes!T29=0,"",SER_hh_tes!T29/SER_hh_fec!T29)</f>
        <v>0.75053038863158639</v>
      </c>
      <c r="U29" s="135">
        <f>IF(SER_hh_tes!U29=0,"",SER_hh_tes!U29/SER_hh_fec!U29)</f>
        <v>0.75495376695583316</v>
      </c>
      <c r="V29" s="135">
        <f>IF(SER_hh_tes!V29=0,"",SER_hh_tes!V29/SER_hh_fec!V29)</f>
        <v>0.77341546808717399</v>
      </c>
      <c r="W29" s="135">
        <f>IF(SER_hh_tes!W29=0,"",SER_hh_tes!W29/SER_hh_fec!W29)</f>
        <v>0.76520370111490965</v>
      </c>
      <c r="X29" s="135">
        <f>IF(SER_hh_tes!X29=0,"",SER_hh_tes!X29/SER_hh_fec!X29)</f>
        <v>0.76285606374379711</v>
      </c>
      <c r="Y29" s="135">
        <f>IF(SER_hh_tes!Y29=0,"",SER_hh_tes!Y29/SER_hh_fec!Y29)</f>
        <v>0.75998072794658411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0.58754001939510736</v>
      </c>
      <c r="C30" s="136">
        <f>IF(SER_hh_tes!C30=0,"",SER_hh_tes!C30/SER_hh_fec!C30)</f>
        <v>0.58793985298662077</v>
      </c>
      <c r="D30" s="136">
        <f>IF(SER_hh_tes!D30=0,"",SER_hh_tes!D30/SER_hh_fec!D30)</f>
        <v>0.5879884338465603</v>
      </c>
      <c r="E30" s="136">
        <f>IF(SER_hh_tes!E30=0,"",SER_hh_tes!E30/SER_hh_fec!E30)</f>
        <v>0.58798843384656041</v>
      </c>
      <c r="F30" s="136" t="str">
        <f>IF(SER_hh_tes!F30=0,"",SER_hh_tes!F30/SER_hh_fec!F30)</f>
        <v/>
      </c>
      <c r="G30" s="136" t="str">
        <f>IF(SER_hh_tes!G30=0,"",SER_hh_tes!G30/SER_hh_fec!G30)</f>
        <v/>
      </c>
      <c r="H30" s="136" t="str">
        <f>IF(SER_hh_tes!H30=0,"",SER_hh_tes!H30/SER_hh_fec!H30)</f>
        <v/>
      </c>
      <c r="I30" s="136" t="str">
        <f>IF(SER_hh_tes!I30=0,"",SER_hh_tes!I30/SER_hh_fec!I30)</f>
        <v/>
      </c>
      <c r="J30" s="136" t="str">
        <f>IF(SER_hh_tes!J30=0,"",SER_hh_tes!J30/SER_hh_fec!J30)</f>
        <v/>
      </c>
      <c r="K30" s="136">
        <f>IF(SER_hh_tes!K30=0,"",SER_hh_tes!K30/SER_hh_fec!K30)</f>
        <v>0.59614505473390655</v>
      </c>
      <c r="L30" s="136">
        <f>IF(SER_hh_tes!L30=0,"",SER_hh_tes!L30/SER_hh_fec!L30)</f>
        <v>0.59621684570349676</v>
      </c>
      <c r="M30" s="136">
        <f>IF(SER_hh_tes!M30=0,"",SER_hh_tes!M30/SER_hh_fec!M30)</f>
        <v>0.59627099884224655</v>
      </c>
      <c r="N30" s="136">
        <f>IF(SER_hh_tes!N30=0,"",SER_hh_tes!N30/SER_hh_fec!N30)</f>
        <v>0.59627882894670026</v>
      </c>
      <c r="O30" s="136">
        <f>IF(SER_hh_tes!O30=0,"",SER_hh_tes!O30/SER_hh_fec!O30)</f>
        <v>0.59628983819691284</v>
      </c>
      <c r="P30" s="136">
        <f>IF(SER_hh_tes!P30=0,"",SER_hh_tes!P30/SER_hh_fec!P30)</f>
        <v>0.59630099713377793</v>
      </c>
      <c r="Q30" s="136">
        <f>IF(SER_hh_tes!Q30=0,"",SER_hh_tes!Q30/SER_hh_fec!Q30)</f>
        <v>0.59639441493143064</v>
      </c>
      <c r="R30" s="136">
        <f>IF(SER_hh_tes!R30=0,"",SER_hh_tes!R30/SER_hh_fec!R30)</f>
        <v>0.59661911823063496</v>
      </c>
      <c r="S30" s="136">
        <f>IF(SER_hh_tes!S30=0,"",SER_hh_tes!S30/SER_hh_fec!S30)</f>
        <v>0.59696607995852113</v>
      </c>
      <c r="T30" s="136">
        <f>IF(SER_hh_tes!T30=0,"",SER_hh_tes!T30/SER_hh_fec!T30)</f>
        <v>0.5983019644181502</v>
      </c>
      <c r="U30" s="136">
        <f>IF(SER_hh_tes!U30=0,"",SER_hh_tes!U30/SER_hh_fec!U30)</f>
        <v>0.59997111320916319</v>
      </c>
      <c r="V30" s="136">
        <f>IF(SER_hh_tes!V30=0,"",SER_hh_tes!V30/SER_hh_fec!V30)</f>
        <v>0.6030457609205182</v>
      </c>
      <c r="W30" s="136">
        <f>IF(SER_hh_tes!W30=0,"",SER_hh_tes!W30/SER_hh_fec!W30)</f>
        <v>0.60740155930864415</v>
      </c>
      <c r="X30" s="136">
        <f>IF(SER_hh_tes!X30=0,"",SER_hh_tes!X30/SER_hh_fec!X30)</f>
        <v>0.60932002065772239</v>
      </c>
      <c r="Y30" s="136">
        <f>IF(SER_hh_tes!Y30=0,"",SER_hh_tes!Y30/SER_hh_fec!Y30)</f>
        <v>0.61031620066775361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0.59458937495212927</v>
      </c>
      <c r="C31" s="136">
        <f>IF(SER_hh_tes!C31=0,"",SER_hh_tes!C31/SER_hh_fec!C31)</f>
        <v>0.59529448623761261</v>
      </c>
      <c r="D31" s="136">
        <f>IF(SER_hh_tes!D31=0,"",SER_hh_tes!D31/SER_hh_fec!D31)</f>
        <v>0.59599947454233981</v>
      </c>
      <c r="E31" s="136">
        <f>IF(SER_hh_tes!E31=0,"",SER_hh_tes!E31/SER_hh_fec!E31)</f>
        <v>0.59667957961045326</v>
      </c>
      <c r="F31" s="136">
        <f>IF(SER_hh_tes!F31=0,"",SER_hh_tes!F31/SER_hh_fec!F31)</f>
        <v>0.59739889571586058</v>
      </c>
      <c r="G31" s="136">
        <f>IF(SER_hh_tes!G31=0,"",SER_hh_tes!G31/SER_hh_fec!G31)</f>
        <v>0.59810191418755931</v>
      </c>
      <c r="H31" s="136">
        <f>IF(SER_hh_tes!H31=0,"",SER_hh_tes!H31/SER_hh_fec!H31)</f>
        <v>0.59891098565205514</v>
      </c>
      <c r="I31" s="136">
        <f>IF(SER_hh_tes!I31=0,"",SER_hh_tes!I31/SER_hh_fec!I31)</f>
        <v>0.59973838304459171</v>
      </c>
      <c r="J31" s="136">
        <f>IF(SER_hh_tes!J31=0,"",SER_hh_tes!J31/SER_hh_fec!J31)</f>
        <v>0.60067681645448467</v>
      </c>
      <c r="K31" s="136">
        <f>IF(SER_hh_tes!K31=0,"",SER_hh_tes!K31/SER_hh_fec!K31)</f>
        <v>0.60179456581299129</v>
      </c>
      <c r="L31" s="136">
        <f>IF(SER_hh_tes!L31=0,"",SER_hh_tes!L31/SER_hh_fec!L31)</f>
        <v>0.6026752958274797</v>
      </c>
      <c r="M31" s="136">
        <f>IF(SER_hh_tes!M31=0,"",SER_hh_tes!M31/SER_hh_fec!M31)</f>
        <v>0.60283984284663983</v>
      </c>
      <c r="N31" s="136">
        <f>IF(SER_hh_tes!N31=0,"",SER_hh_tes!N31/SER_hh_fec!N31)</f>
        <v>0.60308915587192147</v>
      </c>
      <c r="O31" s="136">
        <f>IF(SER_hh_tes!O31=0,"",SER_hh_tes!O31/SER_hh_fec!O31)</f>
        <v>0.60343738129156443</v>
      </c>
      <c r="P31" s="136">
        <f>IF(SER_hh_tes!P31=0,"",SER_hh_tes!P31/SER_hh_fec!P31)</f>
        <v>0.60375306559979025</v>
      </c>
      <c r="Q31" s="136">
        <f>IF(SER_hh_tes!Q31=0,"",SER_hh_tes!Q31/SER_hh_fec!Q31)</f>
        <v>0.60409590079807496</v>
      </c>
      <c r="R31" s="136">
        <f>IF(SER_hh_tes!R31=0,"",SER_hh_tes!R31/SER_hh_fec!R31)</f>
        <v>0.60460502644036052</v>
      </c>
      <c r="S31" s="136">
        <f>IF(SER_hh_tes!S31=0,"",SER_hh_tes!S31/SER_hh_fec!S31)</f>
        <v>0.60521760650608847</v>
      </c>
      <c r="T31" s="136">
        <f>IF(SER_hh_tes!T31=0,"",SER_hh_tes!T31/SER_hh_fec!T31)</f>
        <v>0.6061807708337259</v>
      </c>
      <c r="U31" s="136">
        <f>IF(SER_hh_tes!U31=0,"",SER_hh_tes!U31/SER_hh_fec!U31)</f>
        <v>0.60715157773048589</v>
      </c>
      <c r="V31" s="136">
        <f>IF(SER_hh_tes!V31=0,"",SER_hh_tes!V31/SER_hh_fec!V31)</f>
        <v>0.60992010686235221</v>
      </c>
      <c r="W31" s="136">
        <f>IF(SER_hh_tes!W31=0,"",SER_hh_tes!W31/SER_hh_fec!W31)</f>
        <v>0.61466783780947798</v>
      </c>
      <c r="X31" s="136">
        <f>IF(SER_hh_tes!X31=0,"",SER_hh_tes!X31/SER_hh_fec!X31)</f>
        <v>0.61954030674042904</v>
      </c>
      <c r="Y31" s="136">
        <f>IF(SER_hh_tes!Y31=0,"",SER_hh_tes!Y31/SER_hh_fec!Y31)</f>
        <v>0.62177382859588093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0.7771468939213908</v>
      </c>
      <c r="C33" s="149">
        <f>IF(SER_hh_tes!C33=0,"",SER_hh_tes!C33/SER_hh_fec!C33)</f>
        <v>0.77879194110199845</v>
      </c>
      <c r="D33" s="149">
        <f>IF(SER_hh_tes!D33=0,"",SER_hh_tes!D33/SER_hh_fec!D33)</f>
        <v>0.7816187316877431</v>
      </c>
      <c r="E33" s="149">
        <f>IF(SER_hh_tes!E33=0,"",SER_hh_tes!E33/SER_hh_fec!E33)</f>
        <v>0.78397018807155394</v>
      </c>
      <c r="F33" s="149">
        <f>IF(SER_hh_tes!F33=0,"",SER_hh_tes!F33/SER_hh_fec!F33)</f>
        <v>0.78614570825015084</v>
      </c>
      <c r="G33" s="149">
        <f>IF(SER_hh_tes!G33=0,"",SER_hh_tes!G33/SER_hh_fec!G33)</f>
        <v>0.78757422272344546</v>
      </c>
      <c r="H33" s="149">
        <f>IF(SER_hh_tes!H33=0,"",SER_hh_tes!H33/SER_hh_fec!H33)</f>
        <v>0.78897115299414255</v>
      </c>
      <c r="I33" s="149">
        <f>IF(SER_hh_tes!I33=0,"",SER_hh_tes!I33/SER_hh_fec!I33)</f>
        <v>0.79051145659492106</v>
      </c>
      <c r="J33" s="149">
        <f>IF(SER_hh_tes!J33=0,"",SER_hh_tes!J33/SER_hh_fec!J33)</f>
        <v>0.79212749102954716</v>
      </c>
      <c r="K33" s="149">
        <f>IF(SER_hh_tes!K33=0,"",SER_hh_tes!K33/SER_hh_fec!K33)</f>
        <v>0.79311183356016035</v>
      </c>
      <c r="L33" s="149">
        <f>IF(SER_hh_tes!L33=0,"",SER_hh_tes!L33/SER_hh_fec!L33)</f>
        <v>0.79394409726444937</v>
      </c>
      <c r="M33" s="149">
        <f>IF(SER_hh_tes!M33=0,"",SER_hh_tes!M33/SER_hh_fec!M33)</f>
        <v>0.79474881617018034</v>
      </c>
      <c r="N33" s="149">
        <f>IF(SER_hh_tes!N33=0,"",SER_hh_tes!N33/SER_hh_fec!N33)</f>
        <v>0.79648469490241813</v>
      </c>
      <c r="O33" s="149">
        <f>IF(SER_hh_tes!O33=0,"",SER_hh_tes!O33/SER_hh_fec!O33)</f>
        <v>0.79923913485444442</v>
      </c>
      <c r="P33" s="149">
        <f>IF(SER_hh_tes!P33=0,"",SER_hh_tes!P33/SER_hh_fec!P33)</f>
        <v>0.80284137267915534</v>
      </c>
      <c r="Q33" s="149">
        <f>IF(SER_hh_tes!Q33=0,"",SER_hh_tes!Q33/SER_hh_fec!Q33)</f>
        <v>0.806631559262461</v>
      </c>
      <c r="R33" s="149">
        <f>IF(SER_hh_tes!R33=0,"",SER_hh_tes!R33/SER_hh_fec!R33)</f>
        <v>0.81104506481113758</v>
      </c>
      <c r="S33" s="149">
        <f>IF(SER_hh_tes!S33=0,"",SER_hh_tes!S33/SER_hh_fec!S33)</f>
        <v>0.81597583640303772</v>
      </c>
      <c r="T33" s="149">
        <f>IF(SER_hh_tes!T33=0,"",SER_hh_tes!T33/SER_hh_fec!T33)</f>
        <v>0.82123152507538144</v>
      </c>
      <c r="U33" s="149">
        <f>IF(SER_hh_tes!U33=0,"",SER_hh_tes!U33/SER_hh_fec!U33)</f>
        <v>0.82750042817703906</v>
      </c>
      <c r="V33" s="149">
        <f>IF(SER_hh_tes!V33=0,"",SER_hh_tes!V33/SER_hh_fec!V33)</f>
        <v>0.83305957890029936</v>
      </c>
      <c r="W33" s="149">
        <f>IF(SER_hh_tes!W33=0,"",SER_hh_tes!W33/SER_hh_fec!W33)</f>
        <v>0.83726574674954735</v>
      </c>
      <c r="X33" s="149">
        <f>IF(SER_hh_tes!X33=0,"",SER_hh_tes!X33/SER_hh_fec!X33)</f>
        <v>0.84163950692241407</v>
      </c>
      <c r="Y33" s="149">
        <f>IF(SER_hh_tes!Y33=0,"",SER_hh_tes!Y33/SER_hh_fec!Y33)</f>
        <v>0.84921567429476685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549.24098795999998</v>
      </c>
      <c r="C3" s="125">
        <f t="shared" si="0"/>
        <v>511.00962300000009</v>
      </c>
      <c r="D3" s="125">
        <f t="shared" si="0"/>
        <v>504.58161779999989</v>
      </c>
      <c r="E3" s="125">
        <f t="shared" si="0"/>
        <v>494.3567142</v>
      </c>
      <c r="F3" s="125">
        <f t="shared" si="0"/>
        <v>457.66884779999998</v>
      </c>
      <c r="G3" s="125">
        <f t="shared" si="0"/>
        <v>407.88224999999994</v>
      </c>
      <c r="H3" s="125">
        <f t="shared" si="0"/>
        <v>384.85854396000013</v>
      </c>
      <c r="I3" s="125">
        <f t="shared" si="0"/>
        <v>342.45886499999995</v>
      </c>
      <c r="J3" s="125">
        <f t="shared" si="0"/>
        <v>371.05743419999999</v>
      </c>
      <c r="K3" s="125">
        <f t="shared" si="0"/>
        <v>392.06166768000014</v>
      </c>
      <c r="L3" s="125">
        <f t="shared" si="0"/>
        <v>495.56131488000045</v>
      </c>
      <c r="M3" s="125">
        <f t="shared" si="0"/>
        <v>300.31769266895446</v>
      </c>
      <c r="N3" s="125">
        <f t="shared" si="0"/>
        <v>402.6036885021407</v>
      </c>
      <c r="O3" s="125">
        <f t="shared" si="0"/>
        <v>429.922892452783</v>
      </c>
      <c r="P3" s="125">
        <f t="shared" si="0"/>
        <v>375.05783797258471</v>
      </c>
      <c r="Q3" s="125">
        <f t="shared" si="0"/>
        <v>475.86910093751294</v>
      </c>
      <c r="R3" s="125">
        <f t="shared" ref="R3:W3" si="1">SUM(R4,R16,R19,R29)</f>
        <v>503.28482828192438</v>
      </c>
      <c r="S3" s="125">
        <f t="shared" si="1"/>
        <v>539.07200980502421</v>
      </c>
      <c r="T3" s="125">
        <f t="shared" si="1"/>
        <v>562.58406221999655</v>
      </c>
      <c r="U3" s="125">
        <f t="shared" si="1"/>
        <v>654.02001906587429</v>
      </c>
      <c r="V3" s="125">
        <f t="shared" si="1"/>
        <v>540.06194785764421</v>
      </c>
      <c r="W3" s="125">
        <f t="shared" si="1"/>
        <v>615.87607441437342</v>
      </c>
      <c r="X3" s="125">
        <f t="shared" ref="X3:Y3" si="2">SUM(X4,X16,X19,X29)</f>
        <v>470.66745621036227</v>
      </c>
      <c r="Y3" s="125">
        <f t="shared" si="2"/>
        <v>453.34811154773757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464.91151296484207</v>
      </c>
      <c r="C4" s="130">
        <f t="shared" si="3"/>
        <v>414.37420834259899</v>
      </c>
      <c r="D4" s="130">
        <f t="shared" si="3"/>
        <v>416.91387143679202</v>
      </c>
      <c r="E4" s="130">
        <f t="shared" si="3"/>
        <v>413.85272324435886</v>
      </c>
      <c r="F4" s="130">
        <f t="shared" si="3"/>
        <v>379.83737356375627</v>
      </c>
      <c r="G4" s="130">
        <f t="shared" si="3"/>
        <v>332.74809434776523</v>
      </c>
      <c r="H4" s="130">
        <f t="shared" si="3"/>
        <v>315.21392155506817</v>
      </c>
      <c r="I4" s="130">
        <f t="shared" si="3"/>
        <v>275.89626872565282</v>
      </c>
      <c r="J4" s="130">
        <f t="shared" si="3"/>
        <v>306.267946808754</v>
      </c>
      <c r="K4" s="130">
        <f t="shared" si="3"/>
        <v>310.98111981486642</v>
      </c>
      <c r="L4" s="130">
        <f t="shared" si="3"/>
        <v>406.12874640075813</v>
      </c>
      <c r="M4" s="130">
        <f t="shared" si="3"/>
        <v>215.48661290557502</v>
      </c>
      <c r="N4" s="130">
        <f t="shared" si="3"/>
        <v>314.4297181806752</v>
      </c>
      <c r="O4" s="130">
        <f t="shared" si="3"/>
        <v>342.86920016324268</v>
      </c>
      <c r="P4" s="130">
        <f t="shared" si="3"/>
        <v>290.22218774563828</v>
      </c>
      <c r="Q4" s="130">
        <f t="shared" si="3"/>
        <v>387.47310800539901</v>
      </c>
      <c r="R4" s="130">
        <f t="shared" ref="R4:W4" si="4">SUM(R5:R15)</f>
        <v>413.98606226752156</v>
      </c>
      <c r="S4" s="130">
        <f t="shared" si="4"/>
        <v>455.80759237168269</v>
      </c>
      <c r="T4" s="130">
        <f t="shared" si="4"/>
        <v>480.54014840433786</v>
      </c>
      <c r="U4" s="130">
        <f t="shared" si="4"/>
        <v>568.19350312249867</v>
      </c>
      <c r="V4" s="130">
        <f t="shared" si="4"/>
        <v>475.7897155660375</v>
      </c>
      <c r="W4" s="130">
        <f t="shared" si="4"/>
        <v>530.95718777402794</v>
      </c>
      <c r="X4" s="130">
        <f t="shared" ref="X4:Y4" si="5">SUM(X5:X15)</f>
        <v>389.63082309610638</v>
      </c>
      <c r="Y4" s="130">
        <f t="shared" si="5"/>
        <v>366.10901354199598</v>
      </c>
      <c r="DA4" s="155" t="s">
        <v>234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168.13869965909868</v>
      </c>
      <c r="C7" s="132">
        <v>214.97886438170403</v>
      </c>
      <c r="D7" s="132">
        <v>196.79946704033449</v>
      </c>
      <c r="E7" s="132">
        <v>176.24070871908819</v>
      </c>
      <c r="F7" s="132">
        <v>176.71053517809511</v>
      </c>
      <c r="G7" s="132">
        <v>159.24007722973749</v>
      </c>
      <c r="H7" s="132">
        <v>92.738962868665652</v>
      </c>
      <c r="I7" s="132">
        <v>88.599930747960968</v>
      </c>
      <c r="J7" s="132">
        <v>70.104414580054382</v>
      </c>
      <c r="K7" s="132">
        <v>65.902580703875117</v>
      </c>
      <c r="L7" s="132">
        <v>138.53554273065683</v>
      </c>
      <c r="M7" s="132">
        <v>105.2196448982654</v>
      </c>
      <c r="N7" s="132">
        <v>111.55206172160044</v>
      </c>
      <c r="O7" s="132">
        <v>141.15304616221462</v>
      </c>
      <c r="P7" s="132">
        <v>126.77889187644735</v>
      </c>
      <c r="Q7" s="132">
        <v>194.39878841647547</v>
      </c>
      <c r="R7" s="132">
        <v>190.01681037976684</v>
      </c>
      <c r="S7" s="132">
        <v>286.65183692162799</v>
      </c>
      <c r="T7" s="132">
        <v>283.82981286242995</v>
      </c>
      <c r="U7" s="132">
        <v>350.78311156520232</v>
      </c>
      <c r="V7" s="132">
        <v>323.81092504731652</v>
      </c>
      <c r="W7" s="132">
        <v>293.62169498156334</v>
      </c>
      <c r="X7" s="132">
        <v>230.40595993223363</v>
      </c>
      <c r="Y7" s="132">
        <v>217.875277482949</v>
      </c>
      <c r="DA7" s="156" t="s">
        <v>360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361</v>
      </c>
    </row>
    <row r="9" spans="1:105" ht="12" customHeight="1" x14ac:dyDescent="0.25">
      <c r="A9" s="131" t="s">
        <v>78</v>
      </c>
      <c r="B9" s="132">
        <v>296.7728133057434</v>
      </c>
      <c r="C9" s="132">
        <v>199.39534396089499</v>
      </c>
      <c r="D9" s="132">
        <v>220.11440439645753</v>
      </c>
      <c r="E9" s="132">
        <v>237.61201452527067</v>
      </c>
      <c r="F9" s="132">
        <v>203.12683838566119</v>
      </c>
      <c r="G9" s="132">
        <v>173.50801711802777</v>
      </c>
      <c r="H9" s="132">
        <v>222.47495868640249</v>
      </c>
      <c r="I9" s="132">
        <v>187.29633797769182</v>
      </c>
      <c r="J9" s="132">
        <v>236.16353222869961</v>
      </c>
      <c r="K9" s="132">
        <v>245.0785391109913</v>
      </c>
      <c r="L9" s="132">
        <v>267.59320367010127</v>
      </c>
      <c r="M9" s="132">
        <v>110.26696800730961</v>
      </c>
      <c r="N9" s="132">
        <v>202.87765645907476</v>
      </c>
      <c r="O9" s="132">
        <v>201.71615400102806</v>
      </c>
      <c r="P9" s="132">
        <v>163.44329586919093</v>
      </c>
      <c r="Q9" s="132">
        <v>193.07431958892357</v>
      </c>
      <c r="R9" s="132">
        <v>223.96925188775475</v>
      </c>
      <c r="S9" s="132">
        <v>169.1557554500547</v>
      </c>
      <c r="T9" s="132">
        <v>196.71033554190788</v>
      </c>
      <c r="U9" s="132">
        <v>217.41039155729641</v>
      </c>
      <c r="V9" s="132">
        <v>151.97879051872098</v>
      </c>
      <c r="W9" s="132">
        <v>237.33549279246461</v>
      </c>
      <c r="X9" s="132">
        <v>159.22486316387275</v>
      </c>
      <c r="Y9" s="132">
        <v>148.23373605904695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1.7417059444154601E-2</v>
      </c>
      <c r="C16" s="130">
        <f t="shared" si="6"/>
        <v>2.3892513334716037E-2</v>
      </c>
      <c r="D16" s="130">
        <f t="shared" si="6"/>
        <v>3.7086303038740567E-2</v>
      </c>
      <c r="E16" s="130">
        <f t="shared" si="6"/>
        <v>3.7263913550506907E-2</v>
      </c>
      <c r="F16" s="130">
        <f t="shared" si="6"/>
        <v>5.7730857728496995E-2</v>
      </c>
      <c r="G16" s="130">
        <f t="shared" si="6"/>
        <v>6.7739449640146138E-2</v>
      </c>
      <c r="H16" s="130">
        <f t="shared" si="6"/>
        <v>9.5350111473516422E-2</v>
      </c>
      <c r="I16" s="130">
        <f t="shared" si="6"/>
        <v>0.11785149860045467</v>
      </c>
      <c r="J16" s="130">
        <f t="shared" si="6"/>
        <v>0.13166278380537574</v>
      </c>
      <c r="K16" s="130">
        <f t="shared" si="6"/>
        <v>0.17976594403769361</v>
      </c>
      <c r="L16" s="130">
        <f t="shared" si="6"/>
        <v>0.17716219205775835</v>
      </c>
      <c r="M16" s="130">
        <f t="shared" si="6"/>
        <v>0.1914010252407487</v>
      </c>
      <c r="N16" s="130">
        <f t="shared" si="6"/>
        <v>0.21928154583880244</v>
      </c>
      <c r="O16" s="130">
        <f t="shared" si="6"/>
        <v>0.26762861717031783</v>
      </c>
      <c r="P16" s="130">
        <f t="shared" si="6"/>
        <v>0.35366465676443348</v>
      </c>
      <c r="Q16" s="130">
        <f t="shared" si="6"/>
        <v>0.48527728886197341</v>
      </c>
      <c r="R16" s="130">
        <f t="shared" ref="R16:W16" si="7">SUM(R17:R18)</f>
        <v>0.6134821610542075</v>
      </c>
      <c r="S16" s="130">
        <f t="shared" si="7"/>
        <v>0.73193379853310991</v>
      </c>
      <c r="T16" s="130">
        <f t="shared" si="7"/>
        <v>0.83906143527213772</v>
      </c>
      <c r="U16" s="130">
        <f t="shared" si="7"/>
        <v>0.92968424761064472</v>
      </c>
      <c r="V16" s="130">
        <f t="shared" si="7"/>
        <v>0.99833712593445534</v>
      </c>
      <c r="W16" s="130">
        <f t="shared" si="7"/>
        <v>1.0636339854588661</v>
      </c>
      <c r="X16" s="130">
        <f t="shared" ref="X16:Y16" si="8">SUM(X17:X18)</f>
        <v>0.98904619003922145</v>
      </c>
      <c r="Y16" s="130">
        <f t="shared" si="8"/>
        <v>0.96813715972158021</v>
      </c>
      <c r="DA16" s="155" t="s">
        <v>235</v>
      </c>
    </row>
    <row r="17" spans="1:105" ht="12.95" customHeight="1" x14ac:dyDescent="0.25">
      <c r="A17" s="131" t="s">
        <v>73</v>
      </c>
      <c r="B17" s="132">
        <v>1.7417059444154601E-2</v>
      </c>
      <c r="C17" s="132">
        <v>2.3892513334716037E-2</v>
      </c>
      <c r="D17" s="132">
        <v>3.7086303038740567E-2</v>
      </c>
      <c r="E17" s="132">
        <v>3.7263913550506907E-2</v>
      </c>
      <c r="F17" s="132">
        <v>5.7730857728496995E-2</v>
      </c>
      <c r="G17" s="132">
        <v>6.7739449640146138E-2</v>
      </c>
      <c r="H17" s="132">
        <v>9.5350111473516422E-2</v>
      </c>
      <c r="I17" s="132">
        <v>0.11785149860045467</v>
      </c>
      <c r="J17" s="132">
        <v>0.13166278380537574</v>
      </c>
      <c r="K17" s="132">
        <v>0.17976594403769361</v>
      </c>
      <c r="L17" s="132">
        <v>0.17716219205775835</v>
      </c>
      <c r="M17" s="132">
        <v>0.1914010252407487</v>
      </c>
      <c r="N17" s="132">
        <v>0.21928154583880244</v>
      </c>
      <c r="O17" s="132">
        <v>0.26762861717031783</v>
      </c>
      <c r="P17" s="132">
        <v>0.35366465676443348</v>
      </c>
      <c r="Q17" s="132">
        <v>0.48527728886197341</v>
      </c>
      <c r="R17" s="132">
        <v>0.6134821610542075</v>
      </c>
      <c r="S17" s="132">
        <v>0.73193379853310991</v>
      </c>
      <c r="T17" s="132">
        <v>0.83906143527213772</v>
      </c>
      <c r="U17" s="132">
        <v>0.92968424761064472</v>
      </c>
      <c r="V17" s="132">
        <v>0.99833712593445534</v>
      </c>
      <c r="W17" s="132">
        <v>1.0636339854588661</v>
      </c>
      <c r="X17" s="132">
        <v>0.98904619003922145</v>
      </c>
      <c r="Y17" s="132">
        <v>0.96813715972158021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35.425290994646929</v>
      </c>
      <c r="C19" s="130">
        <f t="shared" si="9"/>
        <v>35.488375873249467</v>
      </c>
      <c r="D19" s="130">
        <f t="shared" si="9"/>
        <v>36.462878408995799</v>
      </c>
      <c r="E19" s="130">
        <f t="shared" si="9"/>
        <v>37.789413856083613</v>
      </c>
      <c r="F19" s="130">
        <f t="shared" si="9"/>
        <v>37.528305759684471</v>
      </c>
      <c r="G19" s="130">
        <f t="shared" si="9"/>
        <v>36.908263266806514</v>
      </c>
      <c r="H19" s="130">
        <f t="shared" si="9"/>
        <v>30.701548346488924</v>
      </c>
      <c r="I19" s="130">
        <f t="shared" si="9"/>
        <v>29.446374316698659</v>
      </c>
      <c r="J19" s="130">
        <f t="shared" si="9"/>
        <v>29.479361894046541</v>
      </c>
      <c r="K19" s="130">
        <f t="shared" si="9"/>
        <v>28.443585895815929</v>
      </c>
      <c r="L19" s="130">
        <f t="shared" si="9"/>
        <v>36.249739830219426</v>
      </c>
      <c r="M19" s="130">
        <f t="shared" si="9"/>
        <v>31.039447252881811</v>
      </c>
      <c r="N19" s="130">
        <f t="shared" si="9"/>
        <v>35.21611887380007</v>
      </c>
      <c r="O19" s="130">
        <f t="shared" si="9"/>
        <v>35.981204898992544</v>
      </c>
      <c r="P19" s="130">
        <f t="shared" si="9"/>
        <v>38.904428132130327</v>
      </c>
      <c r="Q19" s="130">
        <f t="shared" si="9"/>
        <v>42.025805140280234</v>
      </c>
      <c r="R19" s="130">
        <f t="shared" ref="R19:W19" si="10">SUM(R20:R27)</f>
        <v>42.87931697636337</v>
      </c>
      <c r="S19" s="130">
        <f t="shared" si="10"/>
        <v>43.004249339419928</v>
      </c>
      <c r="T19" s="130">
        <f t="shared" si="10"/>
        <v>45.283287747378523</v>
      </c>
      <c r="U19" s="130">
        <f t="shared" si="10"/>
        <v>47.369714749655799</v>
      </c>
      <c r="V19" s="130">
        <f t="shared" si="10"/>
        <v>35.115785475447531</v>
      </c>
      <c r="W19" s="130">
        <f t="shared" si="10"/>
        <v>44.195954173185861</v>
      </c>
      <c r="X19" s="130">
        <f t="shared" ref="X19:Y19" si="11">SUM(X20:X27)</f>
        <v>38.17635835547852</v>
      </c>
      <c r="Y19" s="130">
        <f t="shared" si="11"/>
        <v>37.526915193921447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372</v>
      </c>
    </row>
    <row r="22" spans="1:105" ht="12" customHeight="1" x14ac:dyDescent="0.25">
      <c r="A22" s="131" t="s">
        <v>161</v>
      </c>
      <c r="B22" s="132">
        <v>20.64054870090132</v>
      </c>
      <c r="C22" s="132">
        <v>20.271146698295965</v>
      </c>
      <c r="D22" s="132">
        <v>20.690459559665499</v>
      </c>
      <c r="E22" s="132">
        <v>20.5387699609118</v>
      </c>
      <c r="F22" s="132">
        <v>20.232395741904902</v>
      </c>
      <c r="G22" s="132">
        <v>19.140483650262524</v>
      </c>
      <c r="H22" s="132">
        <v>12.861006771334324</v>
      </c>
      <c r="I22" s="132">
        <v>11.539449812039011</v>
      </c>
      <c r="J22" s="132">
        <v>8.1126352999456586</v>
      </c>
      <c r="K22" s="132">
        <v>8.6214980961248706</v>
      </c>
      <c r="L22" s="132">
        <v>13.413801949343215</v>
      </c>
      <c r="M22" s="132">
        <v>9.4289503017345559</v>
      </c>
      <c r="N22" s="132">
        <v>14.449264878399514</v>
      </c>
      <c r="O22" s="132">
        <v>14.347741357785408</v>
      </c>
      <c r="P22" s="132">
        <v>15.479058043552616</v>
      </c>
      <c r="Q22" s="132">
        <v>15.197192823524505</v>
      </c>
      <c r="R22" s="132">
        <v>14.523433100232912</v>
      </c>
      <c r="S22" s="132">
        <v>23.124159518372025</v>
      </c>
      <c r="T22" s="132">
        <v>24.789595737569908</v>
      </c>
      <c r="U22" s="132">
        <v>27.790397234797741</v>
      </c>
      <c r="V22" s="132">
        <v>22.405306032683409</v>
      </c>
      <c r="W22" s="132">
        <v>25.972042898436627</v>
      </c>
      <c r="X22" s="132">
        <v>20.247331907766355</v>
      </c>
      <c r="Y22" s="132">
        <v>19.672282757051093</v>
      </c>
      <c r="DA22" s="156" t="s">
        <v>373</v>
      </c>
    </row>
    <row r="23" spans="1:105" ht="12" customHeight="1" x14ac:dyDescent="0.25">
      <c r="A23" s="131" t="s">
        <v>149</v>
      </c>
      <c r="B23" s="132">
        <v>14.784742293745607</v>
      </c>
      <c r="C23" s="132">
        <v>15.217229174953504</v>
      </c>
      <c r="D23" s="132">
        <v>15.772418849330302</v>
      </c>
      <c r="E23" s="132">
        <v>17.250643895171809</v>
      </c>
      <c r="F23" s="132">
        <v>17.295910017779565</v>
      </c>
      <c r="G23" s="132">
        <v>17.76777961654399</v>
      </c>
      <c r="H23" s="132">
        <v>17.840541575154599</v>
      </c>
      <c r="I23" s="132">
        <v>17.906924504659646</v>
      </c>
      <c r="J23" s="132">
        <v>21.366726594100882</v>
      </c>
      <c r="K23" s="132">
        <v>19.822087799691058</v>
      </c>
      <c r="L23" s="132">
        <v>22.835937880876209</v>
      </c>
      <c r="M23" s="132">
        <v>21.610496951147255</v>
      </c>
      <c r="N23" s="132">
        <v>20.766853995400556</v>
      </c>
      <c r="O23" s="132">
        <v>21.633463541207135</v>
      </c>
      <c r="P23" s="132">
        <v>23.425370088577711</v>
      </c>
      <c r="Q23" s="132">
        <v>26.828612316755731</v>
      </c>
      <c r="R23" s="132">
        <v>28.355883876130459</v>
      </c>
      <c r="S23" s="132">
        <v>19.8800898210479</v>
      </c>
      <c r="T23" s="132">
        <v>20.493692009808612</v>
      </c>
      <c r="U23" s="132">
        <v>19.579317514858054</v>
      </c>
      <c r="V23" s="132">
        <v>12.710479442764122</v>
      </c>
      <c r="W23" s="132">
        <v>18.223911274749234</v>
      </c>
      <c r="X23" s="132">
        <v>17.929026447712165</v>
      </c>
      <c r="Y23" s="132">
        <v>17.854632436870354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48.886766941066846</v>
      </c>
      <c r="C29" s="130">
        <f t="shared" si="12"/>
        <v>61.123146270816903</v>
      </c>
      <c r="D29" s="130">
        <f t="shared" si="12"/>
        <v>51.167781651173328</v>
      </c>
      <c r="E29" s="130">
        <f t="shared" si="12"/>
        <v>42.677313186006991</v>
      </c>
      <c r="F29" s="130">
        <f t="shared" si="12"/>
        <v>40.245437618830728</v>
      </c>
      <c r="G29" s="130">
        <f t="shared" si="12"/>
        <v>38.158152935788067</v>
      </c>
      <c r="H29" s="130">
        <f t="shared" si="12"/>
        <v>38.847723946969495</v>
      </c>
      <c r="I29" s="130">
        <f t="shared" si="12"/>
        <v>36.998370459048054</v>
      </c>
      <c r="J29" s="130">
        <f t="shared" si="12"/>
        <v>35.178462713394062</v>
      </c>
      <c r="K29" s="130">
        <f t="shared" si="12"/>
        <v>52.457196025280069</v>
      </c>
      <c r="L29" s="130">
        <f t="shared" si="12"/>
        <v>53.005666456965095</v>
      </c>
      <c r="M29" s="130">
        <f t="shared" si="12"/>
        <v>53.600231485256884</v>
      </c>
      <c r="N29" s="130">
        <f t="shared" si="12"/>
        <v>52.738569901826608</v>
      </c>
      <c r="O29" s="130">
        <f t="shared" si="12"/>
        <v>50.804858773377447</v>
      </c>
      <c r="P29" s="130">
        <f t="shared" si="12"/>
        <v>45.577557438051727</v>
      </c>
      <c r="Q29" s="130">
        <f t="shared" si="12"/>
        <v>45.884910502971735</v>
      </c>
      <c r="R29" s="130">
        <f t="shared" ref="R29:W29" si="13">SUM(R30:R33)</f>
        <v>45.805966876985202</v>
      </c>
      <c r="S29" s="130">
        <f t="shared" si="13"/>
        <v>39.528234295388515</v>
      </c>
      <c r="T29" s="130">
        <f t="shared" si="13"/>
        <v>35.921564633008067</v>
      </c>
      <c r="U29" s="130">
        <f t="shared" si="13"/>
        <v>37.527116946109146</v>
      </c>
      <c r="V29" s="130">
        <f t="shared" si="13"/>
        <v>28.158109690224684</v>
      </c>
      <c r="W29" s="130">
        <f t="shared" si="13"/>
        <v>39.659298481700688</v>
      </c>
      <c r="X29" s="130">
        <f t="shared" ref="X29:Y29" si="14">SUM(X30:X33)</f>
        <v>41.871228568738132</v>
      </c>
      <c r="Y29" s="130">
        <f t="shared" si="14"/>
        <v>48.744045652098528</v>
      </c>
      <c r="DA29" s="155" t="s">
        <v>237</v>
      </c>
    </row>
    <row r="30" spans="1:105" ht="12" customHeight="1" x14ac:dyDescent="0.25">
      <c r="A30" s="131" t="s">
        <v>52</v>
      </c>
      <c r="B30" s="132">
        <v>11.610374759999999</v>
      </c>
      <c r="C30" s="132">
        <v>23.220749519999998</v>
      </c>
      <c r="D30" s="132">
        <v>11.610374760000001</v>
      </c>
      <c r="E30" s="132">
        <v>2.9026504799999988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21.685375080000004</v>
      </c>
      <c r="L30" s="132">
        <v>23.305025880000002</v>
      </c>
      <c r="M30" s="132">
        <v>23.894278920000001</v>
      </c>
      <c r="N30" s="132">
        <v>24.193221480000009</v>
      </c>
      <c r="O30" s="132">
        <v>25.069831919999988</v>
      </c>
      <c r="P30" s="132">
        <v>22.36753655999998</v>
      </c>
      <c r="Q30" s="132">
        <v>24.526919519999971</v>
      </c>
      <c r="R30" s="132">
        <v>26.303310720000017</v>
      </c>
      <c r="S30" s="132">
        <v>22.939298280000013</v>
      </c>
      <c r="T30" s="132">
        <v>20.300834879999993</v>
      </c>
      <c r="U30" s="132">
        <v>24.204806640000008</v>
      </c>
      <c r="V30" s="132">
        <v>18.730477799999989</v>
      </c>
      <c r="W30" s="132">
        <v>28.163978280000023</v>
      </c>
      <c r="X30" s="132">
        <v>21.171539159999991</v>
      </c>
      <c r="Y30" s="132">
        <v>28.265518799999992</v>
      </c>
      <c r="DA30" s="156" t="s">
        <v>379</v>
      </c>
    </row>
    <row r="31" spans="1:105" ht="12" customHeight="1" x14ac:dyDescent="0.25">
      <c r="A31" s="131" t="s">
        <v>149</v>
      </c>
      <c r="B31" s="132">
        <v>37.276392181066846</v>
      </c>
      <c r="C31" s="132">
        <v>37.902396750816905</v>
      </c>
      <c r="D31" s="132">
        <v>39.557406891173329</v>
      </c>
      <c r="E31" s="132">
        <v>39.774662706006993</v>
      </c>
      <c r="F31" s="132">
        <v>40.245437618830728</v>
      </c>
      <c r="G31" s="132">
        <v>38.158152935788067</v>
      </c>
      <c r="H31" s="132">
        <v>38.847723946969495</v>
      </c>
      <c r="I31" s="132">
        <v>36.998370459048054</v>
      </c>
      <c r="J31" s="132">
        <v>35.178462713394062</v>
      </c>
      <c r="K31" s="132">
        <v>30.771820945280066</v>
      </c>
      <c r="L31" s="132">
        <v>29.700640576965093</v>
      </c>
      <c r="M31" s="132">
        <v>29.705952565256879</v>
      </c>
      <c r="N31" s="132">
        <v>28.545348421826596</v>
      </c>
      <c r="O31" s="132">
        <v>25.735026853377462</v>
      </c>
      <c r="P31" s="132">
        <v>23.210020878051747</v>
      </c>
      <c r="Q31" s="132">
        <v>21.357990982971767</v>
      </c>
      <c r="R31" s="132">
        <v>19.502656156985186</v>
      </c>
      <c r="S31" s="132">
        <v>16.588936015388501</v>
      </c>
      <c r="T31" s="132">
        <v>15.620729753008074</v>
      </c>
      <c r="U31" s="132">
        <v>13.322310306109141</v>
      </c>
      <c r="V31" s="132">
        <v>9.4276318902246974</v>
      </c>
      <c r="W31" s="132">
        <v>11.495320201700668</v>
      </c>
      <c r="X31" s="132">
        <v>20.699689408738138</v>
      </c>
      <c r="Y31" s="132">
        <v>20.478526852098536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471307.10909721354</v>
      </c>
      <c r="C3" s="125">
        <f>IF(SER_hh_fec!C3=0,0,11630*1000*SER_hh_fec!C3/SER_hh_num!C3)</f>
        <v>477374.4515918126</v>
      </c>
      <c r="D3" s="125">
        <f>IF(SER_hh_fec!D3=0,0,11630*1000*SER_hh_fec!D3/SER_hh_num!D3)</f>
        <v>434859.99387427478</v>
      </c>
      <c r="E3" s="125">
        <f>IF(SER_hh_fec!E3=0,0,11630*1000*SER_hh_fec!E3/SER_hh_num!E3)</f>
        <v>490918.7111035118</v>
      </c>
      <c r="F3" s="125">
        <f>IF(SER_hh_fec!F3=0,0,11630*1000*SER_hh_fec!F3/SER_hh_num!F3)</f>
        <v>450040.62702694384</v>
      </c>
      <c r="G3" s="125">
        <f>IF(SER_hh_fec!G3=0,0,11630*1000*SER_hh_fec!G3/SER_hh_num!G3)</f>
        <v>436234.64499739982</v>
      </c>
      <c r="H3" s="125">
        <f>IF(SER_hh_fec!H3=0,0,11630*1000*SER_hh_fec!H3/SER_hh_num!H3)</f>
        <v>431278.23983887612</v>
      </c>
      <c r="I3" s="125">
        <f>IF(SER_hh_fec!I3=0,0,11630*1000*SER_hh_fec!I3/SER_hh_num!I3)</f>
        <v>425892.99721674871</v>
      </c>
      <c r="J3" s="125">
        <f>IF(SER_hh_fec!J3=0,0,11630*1000*SER_hh_fec!J3/SER_hh_num!J3)</f>
        <v>445786.17413277744</v>
      </c>
      <c r="K3" s="125">
        <f>IF(SER_hh_fec!K3=0,0,11630*1000*SER_hh_fec!K3/SER_hh_num!K3)</f>
        <v>426757.61860588653</v>
      </c>
      <c r="L3" s="125">
        <f>IF(SER_hh_fec!L3=0,0,11630*1000*SER_hh_fec!L3/SER_hh_num!L3)</f>
        <v>488404.71053287084</v>
      </c>
      <c r="M3" s="125">
        <f>IF(SER_hh_fec!M3=0,0,11630*1000*SER_hh_fec!M3/SER_hh_num!M3)</f>
        <v>364480.77064827766</v>
      </c>
      <c r="N3" s="125">
        <f>IF(SER_hh_fec!N3=0,0,11630*1000*SER_hh_fec!N3/SER_hh_num!N3)</f>
        <v>414555.46725707216</v>
      </c>
      <c r="O3" s="125">
        <f>IF(SER_hh_fec!O3=0,0,11630*1000*SER_hh_fec!O3/SER_hh_num!O3)</f>
        <v>425114.15068874805</v>
      </c>
      <c r="P3" s="125">
        <f>IF(SER_hh_fec!P3=0,0,11630*1000*SER_hh_fec!P3/SER_hh_num!P3)</f>
        <v>355448.6652271928</v>
      </c>
      <c r="Q3" s="125">
        <f>IF(SER_hh_fec!Q3=0,0,11630*1000*SER_hh_fec!Q3/SER_hh_num!Q3)</f>
        <v>400869.8314392523</v>
      </c>
      <c r="R3" s="125">
        <f>IF(SER_hh_fec!R3=0,0,11630*1000*SER_hh_fec!R3/SER_hh_num!R3)</f>
        <v>395521.01860859635</v>
      </c>
      <c r="S3" s="125">
        <f>IF(SER_hh_fec!S3=0,0,11630*1000*SER_hh_fec!S3/SER_hh_num!S3)</f>
        <v>445137.99781543366</v>
      </c>
      <c r="T3" s="125">
        <f>IF(SER_hh_fec!T3=0,0,11630*1000*SER_hh_fec!T3/SER_hh_num!T3)</f>
        <v>449526.03559449926</v>
      </c>
      <c r="U3" s="125">
        <f>IF(SER_hh_fec!U3=0,0,11630*1000*SER_hh_fec!U3/SER_hh_num!U3)</f>
        <v>506905.28575964342</v>
      </c>
      <c r="V3" s="125">
        <f>IF(SER_hh_fec!V3=0,0,11630*1000*SER_hh_fec!V3/SER_hh_num!V3)</f>
        <v>472727.11854249815</v>
      </c>
      <c r="W3" s="125">
        <f>IF(SER_hh_fec!W3=0,0,11630*1000*SER_hh_fec!W3/SER_hh_num!W3)</f>
        <v>524825.47531779576</v>
      </c>
      <c r="X3" s="125">
        <f>IF(SER_hh_fec!X3=0,0,11630*1000*SER_hh_fec!X3/SER_hh_num!X3)</f>
        <v>399216.8193526438</v>
      </c>
      <c r="Y3" s="125">
        <f>IF(SER_hh_fec!Y3=0,0,11630*1000*SER_hh_fec!Y3/SER_hh_num!Y3)</f>
        <v>382901.44969603186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376224.41256068065</v>
      </c>
      <c r="C4" s="130">
        <f>IF(SER_hh_fec!C4=0,0,11630*1000*SER_hh_fec!C4/SER_hh_num!C4)</f>
        <v>379205.91037525801</v>
      </c>
      <c r="D4" s="130">
        <f>IF(SER_hh_fec!D4=0,0,11630*1000*SER_hh_fec!D4/SER_hh_num!D4)</f>
        <v>337403.84021287685</v>
      </c>
      <c r="E4" s="130">
        <f>IF(SER_hh_fec!E4=0,0,11630*1000*SER_hh_fec!E4/SER_hh_num!E4)</f>
        <v>393598.69918729219</v>
      </c>
      <c r="F4" s="130">
        <f>IF(SER_hh_fec!F4=0,0,11630*1000*SER_hh_fec!F4/SER_hh_num!F4)</f>
        <v>354166.69810909824</v>
      </c>
      <c r="G4" s="130">
        <f>IF(SER_hh_fec!G4=0,0,11630*1000*SER_hh_fec!G4/SER_hh_num!G4)</f>
        <v>340053.06188933278</v>
      </c>
      <c r="H4" s="130">
        <f>IF(SER_hh_fec!H4=0,0,11630*1000*SER_hh_fec!H4/SER_hh_num!H4)</f>
        <v>334468.11314492003</v>
      </c>
      <c r="I4" s="130">
        <f>IF(SER_hh_fec!I4=0,0,11630*1000*SER_hh_fec!I4/SER_hh_num!I4)</f>
        <v>329543.02333098563</v>
      </c>
      <c r="J4" s="130">
        <f>IF(SER_hh_fec!J4=0,0,11630*1000*SER_hh_fec!J4/SER_hh_num!J4)</f>
        <v>348855.13415456616</v>
      </c>
      <c r="K4" s="130">
        <f>IF(SER_hh_fec!K4=0,0,11630*1000*SER_hh_fec!K4/SER_hh_num!K4)</f>
        <v>326686.74540594406</v>
      </c>
      <c r="L4" s="130">
        <f>IF(SER_hh_fec!L4=0,0,11630*1000*SER_hh_fec!L4/SER_hh_num!L4)</f>
        <v>386643.83284197142</v>
      </c>
      <c r="M4" s="130">
        <f>IF(SER_hh_fec!M4=0,0,11630*1000*SER_hh_fec!M4/SER_hh_num!M4)</f>
        <v>264711.18547282903</v>
      </c>
      <c r="N4" s="130">
        <f>IF(SER_hh_fec!N4=0,0,11630*1000*SER_hh_fec!N4/SER_hh_num!N4)</f>
        <v>314105.74716380512</v>
      </c>
      <c r="O4" s="130">
        <f>IF(SER_hh_fec!O4=0,0,11630*1000*SER_hh_fec!O4/SER_hh_num!O4)</f>
        <v>324884.17719237832</v>
      </c>
      <c r="P4" s="130">
        <f>IF(SER_hh_fec!P4=0,0,11630*1000*SER_hh_fec!P4/SER_hh_num!P4)</f>
        <v>255440.99914567388</v>
      </c>
      <c r="Q4" s="130">
        <f>IF(SER_hh_fec!Q4=0,0,11630*1000*SER_hh_fec!Q4/SER_hh_num!Q4)</f>
        <v>299830.49438315199</v>
      </c>
      <c r="R4" s="130">
        <f>IF(SER_hh_fec!R4=0,0,11630*1000*SER_hh_fec!R4/SER_hh_num!R4)</f>
        <v>296252.88259150815</v>
      </c>
      <c r="S4" s="130">
        <f>IF(SER_hh_fec!S4=0,0,11630*1000*SER_hh_fec!S4/SER_hh_num!S4)</f>
        <v>346247.28399718489</v>
      </c>
      <c r="T4" s="130">
        <f>IF(SER_hh_fec!T4=0,0,11630*1000*SER_hh_fec!T4/SER_hh_num!T4)</f>
        <v>350915.90643286606</v>
      </c>
      <c r="U4" s="130">
        <f>IF(SER_hh_fec!U4=0,0,11630*1000*SER_hh_fec!U4/SER_hh_num!U4)</f>
        <v>408372.76530314866</v>
      </c>
      <c r="V4" s="130">
        <f>IF(SER_hh_fec!V4=0,0,11630*1000*SER_hh_fec!V4/SER_hh_num!V4)</f>
        <v>384595.6516054325</v>
      </c>
      <c r="W4" s="130">
        <f>IF(SER_hh_fec!W4=0,0,11630*1000*SER_hh_fec!W4/SER_hh_num!W4)</f>
        <v>429263.14620972774</v>
      </c>
      <c r="X4" s="130">
        <f>IF(SER_hh_fec!X4=0,0,11630*1000*SER_hh_fec!X4/SER_hh_num!X4)</f>
        <v>303971.05650794099</v>
      </c>
      <c r="Y4" s="130">
        <f>IF(SER_hh_fec!Y4=0,0,11630*1000*SER_hh_fec!Y4/SER_hh_num!Y4)</f>
        <v>286221.8727506022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0</v>
      </c>
      <c r="C5" s="132">
        <f>IF(SER_hh_fec!C5=0,0,11630*1000*SER_hh_fec!C5/SER_hh_num!C5)</f>
        <v>0</v>
      </c>
      <c r="D5" s="132">
        <f>IF(SER_hh_fec!D5=0,0,11630*1000*SER_hh_fec!D5/SER_hh_num!D5)</f>
        <v>0</v>
      </c>
      <c r="E5" s="132">
        <f>IF(SER_hh_fec!E5=0,0,11630*1000*SER_hh_fec!E5/SER_hh_num!E5)</f>
        <v>0</v>
      </c>
      <c r="F5" s="132">
        <f>IF(SER_hh_fec!F5=0,0,11630*1000*SER_hh_fec!F5/SER_hh_num!F5)</f>
        <v>0</v>
      </c>
      <c r="G5" s="132">
        <f>IF(SER_hh_fec!G5=0,0,11630*1000*SER_hh_fec!G5/SER_hh_num!G5)</f>
        <v>0</v>
      </c>
      <c r="H5" s="132">
        <f>IF(SER_hh_fec!H5=0,0,11630*1000*SER_hh_fec!H5/SER_hh_num!H5)</f>
        <v>0</v>
      </c>
      <c r="I5" s="132">
        <f>IF(SER_hh_fec!I5=0,0,11630*1000*SER_hh_fec!I5/SER_hh_num!I5)</f>
        <v>0</v>
      </c>
      <c r="J5" s="132">
        <f>IF(SER_hh_fec!J5=0,0,11630*1000*SER_hh_fec!J5/SER_hh_num!J5)</f>
        <v>0</v>
      </c>
      <c r="K5" s="132">
        <f>IF(SER_hh_fec!K5=0,0,11630*1000*SER_hh_fec!K5/SER_hh_num!K5)</f>
        <v>0</v>
      </c>
      <c r="L5" s="132">
        <f>IF(SER_hh_fec!L5=0,0,11630*1000*SER_hh_fec!L5/SER_hh_num!L5)</f>
        <v>0</v>
      </c>
      <c r="M5" s="132">
        <f>IF(SER_hh_fec!M5=0,0,11630*1000*SER_hh_fec!M5/SER_hh_num!M5)</f>
        <v>0</v>
      </c>
      <c r="N5" s="132">
        <f>IF(SER_hh_fec!N5=0,0,11630*1000*SER_hh_fec!N5/SER_hh_num!N5)</f>
        <v>0</v>
      </c>
      <c r="O5" s="132">
        <f>IF(SER_hh_fec!O5=0,0,11630*1000*SER_hh_fec!O5/SER_hh_num!O5)</f>
        <v>0</v>
      </c>
      <c r="P5" s="132">
        <f>IF(SER_hh_fec!P5=0,0,11630*1000*SER_hh_fec!P5/SER_hh_num!P5)</f>
        <v>0</v>
      </c>
      <c r="Q5" s="132">
        <f>IF(SER_hh_fec!Q5=0,0,11630*1000*SER_hh_fec!Q5/SER_hh_num!Q5)</f>
        <v>0</v>
      </c>
      <c r="R5" s="132">
        <f>IF(SER_hh_fec!R5=0,0,11630*1000*SER_hh_fec!R5/SER_hh_num!R5)</f>
        <v>0</v>
      </c>
      <c r="S5" s="132">
        <f>IF(SER_hh_fec!S5=0,0,11630*1000*SER_hh_fec!S5/SER_hh_num!S5)</f>
        <v>0</v>
      </c>
      <c r="T5" s="132">
        <f>IF(SER_hh_fec!T5=0,0,11630*1000*SER_hh_fec!T5/SER_hh_num!T5)</f>
        <v>0</v>
      </c>
      <c r="U5" s="132">
        <f>IF(SER_hh_fec!U5=0,0,11630*1000*SER_hh_fec!U5/SER_hh_num!U5)</f>
        <v>0</v>
      </c>
      <c r="V5" s="132">
        <f>IF(SER_hh_fec!V5=0,0,11630*1000*SER_hh_fec!V5/SER_hh_num!V5)</f>
        <v>0</v>
      </c>
      <c r="W5" s="132">
        <f>IF(SER_hh_fec!W5=0,0,11630*1000*SER_hh_fec!W5/SER_hh_num!W5)</f>
        <v>0</v>
      </c>
      <c r="X5" s="132">
        <f>IF(SER_hh_fec!X5=0,0,11630*1000*SER_hh_fec!X5/SER_hh_num!X5)</f>
        <v>0</v>
      </c>
      <c r="Y5" s="132">
        <f>IF(SER_hh_fec!Y5=0,0,11630*1000*SER_hh_fec!Y5/SER_hh_num!Y5)</f>
        <v>0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365710.52851205523</v>
      </c>
      <c r="C7" s="132">
        <f>IF(SER_hh_fec!C7=0,0,11630*1000*SER_hh_fec!C7/SER_hh_num!C7)</f>
        <v>480534.97557020071</v>
      </c>
      <c r="D7" s="132">
        <f>IF(SER_hh_fec!D7=0,0,11630*1000*SER_hh_fec!D7/SER_hh_num!D7)</f>
        <v>452814.89230970317</v>
      </c>
      <c r="E7" s="132">
        <f>IF(SER_hh_fec!E7=0,0,11630*1000*SER_hh_fec!E7/SER_hh_num!E7)</f>
        <v>441582.3122402383</v>
      </c>
      <c r="F7" s="132">
        <f>IF(SER_hh_fec!F7=0,0,11630*1000*SER_hh_fec!F7/SER_hh_num!F7)</f>
        <v>479040.72079841304</v>
      </c>
      <c r="G7" s="132">
        <f>IF(SER_hh_fec!G7=0,0,11630*1000*SER_hh_fec!G7/SER_hh_num!G7)</f>
        <v>499153.20111038582</v>
      </c>
      <c r="H7" s="132">
        <f>IF(SER_hh_fec!H7=0,0,11630*1000*SER_hh_fec!H7/SER_hh_num!H7)</f>
        <v>372218.14569422457</v>
      </c>
      <c r="I7" s="132">
        <f>IF(SER_hh_fec!I7=0,0,11630*1000*SER_hh_fec!I7/SER_hh_num!I7)</f>
        <v>438823.40813399869</v>
      </c>
      <c r="J7" s="132">
        <f>IF(SER_hh_fec!J7=0,0,11630*1000*SER_hh_fec!J7/SER_hh_num!J7)</f>
        <v>391759.37023043702</v>
      </c>
      <c r="K7" s="132">
        <f>IF(SER_hh_fec!K7=0,0,11630*1000*SER_hh_fec!K7/SER_hh_num!K7)</f>
        <v>331177.26999072748</v>
      </c>
      <c r="L7" s="132">
        <f>IF(SER_hh_fec!L7=0,0,11630*1000*SER_hh_fec!L7/SER_hh_num!L7)</f>
        <v>549704.40518014715</v>
      </c>
      <c r="M7" s="132">
        <f>IF(SER_hh_fec!M7=0,0,11630*1000*SER_hh_fec!M7/SER_hh_num!M7)</f>
        <v>359008.86116226466</v>
      </c>
      <c r="N7" s="132">
        <f>IF(SER_hh_fec!N7=0,0,11630*1000*SER_hh_fec!N7/SER_hh_num!N7)</f>
        <v>342601.1277866509</v>
      </c>
      <c r="O7" s="132">
        <f>IF(SER_hh_fec!O7=0,0,11630*1000*SER_hh_fec!O7/SER_hh_num!O7)</f>
        <v>370039.2077103504</v>
      </c>
      <c r="P7" s="132">
        <f>IF(SER_hh_fec!P7=0,0,11630*1000*SER_hh_fec!P7/SER_hh_num!P7)</f>
        <v>282358.35780847643</v>
      </c>
      <c r="Q7" s="132">
        <f>IF(SER_hh_fec!Q7=0,0,11630*1000*SER_hh_fec!Q7/SER_hh_num!Q7)</f>
        <v>356739.25358495215</v>
      </c>
      <c r="R7" s="132">
        <f>IF(SER_hh_fec!R7=0,0,11630*1000*SER_hh_fec!R7/SER_hh_num!R7)</f>
        <v>309790.08218755398</v>
      </c>
      <c r="S7" s="132">
        <f>IF(SER_hh_fec!S7=0,0,11630*1000*SER_hh_fec!S7/SER_hh_num!S7)</f>
        <v>412038.64848402597</v>
      </c>
      <c r="T7" s="132">
        <f>IF(SER_hh_fec!T7=0,0,11630*1000*SER_hh_fec!T7/SER_hh_num!T7)</f>
        <v>390249.17107081838</v>
      </c>
      <c r="U7" s="132">
        <f>IF(SER_hh_fec!U7=0,0,11630*1000*SER_hh_fec!U7/SER_hh_num!U7)</f>
        <v>476961.63079182222</v>
      </c>
      <c r="V7" s="132">
        <f>IF(SER_hh_fec!V7=0,0,11630*1000*SER_hh_fec!V7/SER_hh_num!V7)</f>
        <v>442868.34362554085</v>
      </c>
      <c r="W7" s="132">
        <f>IF(SER_hh_fec!W7=0,0,11630*1000*SER_hh_fec!W7/SER_hh_num!W7)</f>
        <v>399008.75844244921</v>
      </c>
      <c r="X7" s="132">
        <f>IF(SER_hh_fec!X7=0,0,11630*1000*SER_hh_fec!X7/SER_hh_num!X7)</f>
        <v>322470.33632572356</v>
      </c>
      <c r="Y7" s="132">
        <f>IF(SER_hh_fec!Y7=0,0,11630*1000*SER_hh_fec!Y7/SER_hh_num!Y7)</f>
        <v>336895.85970680724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0</v>
      </c>
      <c r="C8" s="132">
        <f>IF(SER_hh_fec!C8=0,0,11630*1000*SER_hh_fec!C8/SER_hh_num!C8)</f>
        <v>0</v>
      </c>
      <c r="D8" s="132">
        <f>IF(SER_hh_fec!D8=0,0,11630*1000*SER_hh_fec!D8/SER_hh_num!D8)</f>
        <v>0</v>
      </c>
      <c r="E8" s="132">
        <f>IF(SER_hh_fec!E8=0,0,11630*1000*SER_hh_fec!E8/SER_hh_num!E8)</f>
        <v>0</v>
      </c>
      <c r="F8" s="132">
        <f>IF(SER_hh_fec!F8=0,0,11630*1000*SER_hh_fec!F8/SER_hh_num!F8)</f>
        <v>0</v>
      </c>
      <c r="G8" s="132">
        <f>IF(SER_hh_fec!G8=0,0,11630*1000*SER_hh_fec!G8/SER_hh_num!G8)</f>
        <v>0</v>
      </c>
      <c r="H8" s="132">
        <f>IF(SER_hh_fec!H8=0,0,11630*1000*SER_hh_fec!H8/SER_hh_num!H8)</f>
        <v>0</v>
      </c>
      <c r="I8" s="132">
        <f>IF(SER_hh_fec!I8=0,0,11630*1000*SER_hh_fec!I8/SER_hh_num!I8)</f>
        <v>0</v>
      </c>
      <c r="J8" s="132">
        <f>IF(SER_hh_fec!J8=0,0,11630*1000*SER_hh_fec!J8/SER_hh_num!J8)</f>
        <v>0</v>
      </c>
      <c r="K8" s="132">
        <f>IF(SER_hh_fec!K8=0,0,11630*1000*SER_hh_fec!K8/SER_hh_num!K8)</f>
        <v>0</v>
      </c>
      <c r="L8" s="132">
        <f>IF(SER_hh_fec!L8=0,0,11630*1000*SER_hh_fec!L8/SER_hh_num!L8)</f>
        <v>0</v>
      </c>
      <c r="M8" s="132">
        <f>IF(SER_hh_fec!M8=0,0,11630*1000*SER_hh_fec!M8/SER_hh_num!M8)</f>
        <v>0</v>
      </c>
      <c r="N8" s="132">
        <f>IF(SER_hh_fec!N8=0,0,11630*1000*SER_hh_fec!N8/SER_hh_num!N8)</f>
        <v>0</v>
      </c>
      <c r="O8" s="132">
        <f>IF(SER_hh_fec!O8=0,0,11630*1000*SER_hh_fec!O8/SER_hh_num!O8)</f>
        <v>0</v>
      </c>
      <c r="P8" s="132">
        <f>IF(SER_hh_fec!P8=0,0,11630*1000*SER_hh_fec!P8/SER_hh_num!P8)</f>
        <v>0</v>
      </c>
      <c r="Q8" s="132">
        <f>IF(SER_hh_fec!Q8=0,0,11630*1000*SER_hh_fec!Q8/SER_hh_num!Q8)</f>
        <v>0</v>
      </c>
      <c r="R8" s="132">
        <f>IF(SER_hh_fec!R8=0,0,11630*1000*SER_hh_fec!R8/SER_hh_num!R8)</f>
        <v>0</v>
      </c>
      <c r="S8" s="132">
        <f>IF(SER_hh_fec!S8=0,0,11630*1000*SER_hh_fec!S8/SER_hh_num!S8)</f>
        <v>0</v>
      </c>
      <c r="T8" s="132">
        <f>IF(SER_hh_fec!T8=0,0,11630*1000*SER_hh_fec!T8/SER_hh_num!T8)</f>
        <v>0</v>
      </c>
      <c r="U8" s="132">
        <f>IF(SER_hh_fec!U8=0,0,11630*1000*SER_hh_fec!U8/SER_hh_num!U8)</f>
        <v>0</v>
      </c>
      <c r="V8" s="132">
        <f>IF(SER_hh_fec!V8=0,0,11630*1000*SER_hh_fec!V8/SER_hh_num!V8)</f>
        <v>0</v>
      </c>
      <c r="W8" s="132">
        <f>IF(SER_hh_fec!W8=0,0,11630*1000*SER_hh_fec!W8/SER_hh_num!W8)</f>
        <v>0</v>
      </c>
      <c r="X8" s="132">
        <f>IF(SER_hh_fec!X8=0,0,11630*1000*SER_hh_fec!X8/SER_hh_num!X8)</f>
        <v>0</v>
      </c>
      <c r="Y8" s="132">
        <f>IF(SER_hh_fec!Y8=0,0,11630*1000*SER_hh_fec!Y8/SER_hh_num!Y8)</f>
        <v>0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518765.57911970443</v>
      </c>
      <c r="C9" s="132">
        <f>IF(SER_hh_fec!C9=0,0,11630*1000*SER_hh_fec!C9/SER_hh_num!C9)</f>
        <v>350235.84626196709</v>
      </c>
      <c r="D9" s="132">
        <f>IF(SER_hh_fec!D9=0,0,11630*1000*SER_hh_fec!D9/SER_hh_num!D9)</f>
        <v>396752.57086460956</v>
      </c>
      <c r="E9" s="132">
        <f>IF(SER_hh_fec!E9=0,0,11630*1000*SER_hh_fec!E9/SER_hh_num!E9)</f>
        <v>468032.57778675581</v>
      </c>
      <c r="F9" s="132">
        <f>IF(SER_hh_fec!F9=0,0,11630*1000*SER_hh_fec!F9/SER_hh_num!F9)</f>
        <v>425843.95959506382</v>
      </c>
      <c r="G9" s="132">
        <f>IF(SER_hh_fec!G9=0,0,11630*1000*SER_hh_fec!G9/SER_hh_num!G9)</f>
        <v>360290.95580000902</v>
      </c>
      <c r="H9" s="132">
        <f>IF(SER_hh_fec!H9=0,0,11630*1000*SER_hh_fec!H9/SER_hh_num!H9)</f>
        <v>435344.93233657337</v>
      </c>
      <c r="I9" s="132">
        <f>IF(SER_hh_fec!I9=0,0,11630*1000*SER_hh_fec!I9/SER_hh_num!I9)</f>
        <v>343998.46107428148</v>
      </c>
      <c r="J9" s="132">
        <f>IF(SER_hh_fec!J9=0,0,11630*1000*SER_hh_fec!J9/SER_hh_num!J9)</f>
        <v>413836.03800428275</v>
      </c>
      <c r="K9" s="132">
        <f>IF(SER_hh_fec!K9=0,0,11630*1000*SER_hh_fec!K9/SER_hh_num!K9)</f>
        <v>425090.59690244182</v>
      </c>
      <c r="L9" s="132">
        <f>IF(SER_hh_fec!L9=0,0,11630*1000*SER_hh_fec!L9/SER_hh_num!L9)</f>
        <v>507060.92670459347</v>
      </c>
      <c r="M9" s="132">
        <f>IF(SER_hh_fec!M9=0,0,11630*1000*SER_hh_fec!M9/SER_hh_num!M9)</f>
        <v>207480.02638909177</v>
      </c>
      <c r="N9" s="132">
        <f>IF(SER_hh_fec!N9=0,0,11630*1000*SER_hh_fec!N9/SER_hh_num!N9)</f>
        <v>376100.84273584111</v>
      </c>
      <c r="O9" s="132">
        <f>IF(SER_hh_fec!O9=0,0,11630*1000*SER_hh_fec!O9/SER_hh_num!O9)</f>
        <v>360599.73382909398</v>
      </c>
      <c r="P9" s="132">
        <f>IF(SER_hh_fec!P9=0,0,11630*1000*SER_hh_fec!P9/SER_hh_num!P9)</f>
        <v>278925.86028442858</v>
      </c>
      <c r="Q9" s="132">
        <f>IF(SER_hh_fec!Q9=0,0,11630*1000*SER_hh_fec!Q9/SER_hh_num!Q9)</f>
        <v>327986.13285719248</v>
      </c>
      <c r="R9" s="132">
        <f>IF(SER_hh_fec!R9=0,0,11630*1000*SER_hh_fec!R9/SER_hh_num!R9)</f>
        <v>390787.14182767511</v>
      </c>
      <c r="S9" s="132">
        <f>IF(SER_hh_fec!S9=0,0,11630*1000*SER_hh_fec!S9/SER_hh_num!S9)</f>
        <v>317178.6841745415</v>
      </c>
      <c r="T9" s="132">
        <f>IF(SER_hh_fec!T9=0,0,11630*1000*SER_hh_fec!T9/SER_hh_num!T9)</f>
        <v>400142.95105412527</v>
      </c>
      <c r="U9" s="132">
        <f>IF(SER_hh_fec!U9=0,0,11630*1000*SER_hh_fec!U9/SER_hh_num!U9)</f>
        <v>475882.03104006388</v>
      </c>
      <c r="V9" s="132">
        <f>IF(SER_hh_fec!V9=0,0,11630*1000*SER_hh_fec!V9/SER_hh_num!V9)</f>
        <v>368568.75066329999</v>
      </c>
      <c r="W9" s="132">
        <f>IF(SER_hh_fec!W9=0,0,11630*1000*SER_hh_fec!W9/SER_hh_num!W9)</f>
        <v>586743.1706746167</v>
      </c>
      <c r="X9" s="132">
        <f>IF(SER_hh_fec!X9=0,0,11630*1000*SER_hh_fec!X9/SER_hh_num!X9)</f>
        <v>370976.58189282886</v>
      </c>
      <c r="Y9" s="132">
        <f>IF(SER_hh_fec!Y9=0,0,11630*1000*SER_hh_fec!Y9/SER_hh_num!Y9)</f>
        <v>301168.5411667538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207471.08744182315</v>
      </c>
      <c r="C10" s="132">
        <f>IF(SER_hh_fec!C10=0,0,11630*1000*SER_hh_fec!C10/SER_hh_num!C10)</f>
        <v>327169.85894716589</v>
      </c>
      <c r="D10" s="132">
        <f>IF(SER_hh_fec!D10=0,0,11630*1000*SER_hh_fec!D10/SER_hh_num!D10)</f>
        <v>440659.66254125384</v>
      </c>
      <c r="E10" s="132">
        <f>IF(SER_hh_fec!E10=0,0,11630*1000*SER_hh_fec!E10/SER_hh_num!E10)</f>
        <v>283748.94162975677</v>
      </c>
      <c r="F10" s="132">
        <f>IF(SER_hh_fec!F10=0,0,11630*1000*SER_hh_fec!F10/SER_hh_num!F10)</f>
        <v>376636.59451058996</v>
      </c>
      <c r="G10" s="132">
        <f>IF(SER_hh_fec!G10=0,0,11630*1000*SER_hh_fec!G10/SER_hh_num!G10)</f>
        <v>391929.78651775589</v>
      </c>
      <c r="H10" s="132">
        <f>IF(SER_hh_fec!H10=0,0,11630*1000*SER_hh_fec!H10/SER_hh_num!H10)</f>
        <v>199294.47142851012</v>
      </c>
      <c r="I10" s="132">
        <f>IF(SER_hh_fec!I10=0,0,11630*1000*SER_hh_fec!I10/SER_hh_num!I10)</f>
        <v>177234.35942671544</v>
      </c>
      <c r="J10" s="132">
        <f>IF(SER_hh_fec!J10=0,0,11630*1000*SER_hh_fec!J10/SER_hh_num!J10)</f>
        <v>321134.43100615963</v>
      </c>
      <c r="K10" s="132">
        <f>IF(SER_hh_fec!K10=0,0,11630*1000*SER_hh_fec!K10/SER_hh_num!K10)</f>
        <v>484731.12649640953</v>
      </c>
      <c r="L10" s="132">
        <f>IF(SER_hh_fec!L10=0,0,11630*1000*SER_hh_fec!L10/SER_hh_num!L10)</f>
        <v>352030.55685981276</v>
      </c>
      <c r="M10" s="132">
        <f>IF(SER_hh_fec!M10=0,0,11630*1000*SER_hh_fec!M10/SER_hh_num!M10)</f>
        <v>140641.26059807659</v>
      </c>
      <c r="N10" s="132">
        <f>IF(SER_hh_fec!N10=0,0,11630*1000*SER_hh_fec!N10/SER_hh_num!N10)</f>
        <v>253890.33464402801</v>
      </c>
      <c r="O10" s="132">
        <f>IF(SER_hh_fec!O10=0,0,11630*1000*SER_hh_fec!O10/SER_hh_num!O10)</f>
        <v>362268.69266398525</v>
      </c>
      <c r="P10" s="132">
        <f>IF(SER_hh_fec!P10=0,0,11630*1000*SER_hh_fec!P10/SER_hh_num!P10)</f>
        <v>466781.21967327711</v>
      </c>
      <c r="Q10" s="132">
        <f>IF(SER_hh_fec!Q10=0,0,11630*1000*SER_hh_fec!Q10/SER_hh_num!Q10)</f>
        <v>195225.51215979733</v>
      </c>
      <c r="R10" s="132">
        <f>IF(SER_hh_fec!R10=0,0,11630*1000*SER_hh_fec!R10/SER_hh_num!R10)</f>
        <v>498878.96211736137</v>
      </c>
      <c r="S10" s="132">
        <f>IF(SER_hh_fec!S10=0,0,11630*1000*SER_hh_fec!S10/SER_hh_num!S10)</f>
        <v>40364.735964524858</v>
      </c>
      <c r="T10" s="132">
        <f>IF(SER_hh_fec!T10=0,0,11630*1000*SER_hh_fec!T10/SER_hh_num!T10)</f>
        <v>112101.97153766427</v>
      </c>
      <c r="U10" s="132">
        <f>IF(SER_hh_fec!U10=0,0,11630*1000*SER_hh_fec!U10/SER_hh_num!U10)</f>
        <v>78340.106153140499</v>
      </c>
      <c r="V10" s="132">
        <f>IF(SER_hh_fec!V10=0,0,11630*1000*SER_hh_fec!V10/SER_hh_num!V10)</f>
        <v>256562.32896862671</v>
      </c>
      <c r="W10" s="132">
        <f>IF(SER_hh_fec!W10=0,0,11630*1000*SER_hh_fec!W10/SER_hh_num!W10)</f>
        <v>554553.24635404162</v>
      </c>
      <c r="X10" s="132">
        <f>IF(SER_hh_fec!X10=0,0,11630*1000*SER_hh_fec!X10/SER_hh_num!X10)</f>
        <v>333992.82788109616</v>
      </c>
      <c r="Y10" s="132">
        <f>IF(SER_hh_fec!Y10=0,0,11630*1000*SER_hh_fec!Y10/SER_hh_num!Y10)</f>
        <v>364241.87627946277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0</v>
      </c>
      <c r="F11" s="132">
        <f>IF(SER_hh_fec!F11=0,0,11630*1000*SER_hh_fec!F11/SER_hh_num!F11)</f>
        <v>0</v>
      </c>
      <c r="G11" s="132">
        <f>IF(SER_hh_fec!G11=0,0,11630*1000*SER_hh_fec!G11/SER_hh_num!G11)</f>
        <v>0</v>
      </c>
      <c r="H11" s="132">
        <f>IF(SER_hh_fec!H11=0,0,11630*1000*SER_hh_fec!H11/SER_hh_num!H11)</f>
        <v>0</v>
      </c>
      <c r="I11" s="132">
        <f>IF(SER_hh_fec!I11=0,0,11630*1000*SER_hh_fec!I11/SER_hh_num!I11)</f>
        <v>0</v>
      </c>
      <c r="J11" s="132">
        <f>IF(SER_hh_fec!J11=0,0,11630*1000*SER_hh_fec!J11/SER_hh_num!J11)</f>
        <v>0</v>
      </c>
      <c r="K11" s="132">
        <f>IF(SER_hh_fec!K11=0,0,11630*1000*SER_hh_fec!K11/SER_hh_num!K11)</f>
        <v>0</v>
      </c>
      <c r="L11" s="132">
        <f>IF(SER_hh_fec!L11=0,0,11630*1000*SER_hh_fec!L11/SER_hh_num!L11)</f>
        <v>0</v>
      </c>
      <c r="M11" s="132">
        <f>IF(SER_hh_fec!M11=0,0,11630*1000*SER_hh_fec!M11/SER_hh_num!M11)</f>
        <v>0</v>
      </c>
      <c r="N11" s="132">
        <f>IF(SER_hh_fec!N11=0,0,11630*1000*SER_hh_fec!N11/SER_hh_num!N11)</f>
        <v>0</v>
      </c>
      <c r="O11" s="132">
        <f>IF(SER_hh_fec!O11=0,0,11630*1000*SER_hh_fec!O11/SER_hh_num!O11)</f>
        <v>0</v>
      </c>
      <c r="P11" s="132">
        <f>IF(SER_hh_fec!P11=0,0,11630*1000*SER_hh_fec!P11/SER_hh_num!P11)</f>
        <v>0</v>
      </c>
      <c r="Q11" s="132">
        <f>IF(SER_hh_fec!Q11=0,0,11630*1000*SER_hh_fec!Q11/SER_hh_num!Q11)</f>
        <v>0</v>
      </c>
      <c r="R11" s="132">
        <f>IF(SER_hh_fec!R11=0,0,11630*1000*SER_hh_fec!R11/SER_hh_num!R11)</f>
        <v>0</v>
      </c>
      <c r="S11" s="132">
        <f>IF(SER_hh_fec!S11=0,0,11630*1000*SER_hh_fec!S11/SER_hh_num!S11)</f>
        <v>0</v>
      </c>
      <c r="T11" s="132">
        <f>IF(SER_hh_fec!T11=0,0,11630*1000*SER_hh_fec!T11/SER_hh_num!T11)</f>
        <v>0</v>
      </c>
      <c r="U11" s="132">
        <f>IF(SER_hh_fec!U11=0,0,11630*1000*SER_hh_fec!U11/SER_hh_num!U11)</f>
        <v>0</v>
      </c>
      <c r="V11" s="132">
        <f>IF(SER_hh_fec!V11=0,0,11630*1000*SER_hh_fec!V11/SER_hh_num!V11)</f>
        <v>0</v>
      </c>
      <c r="W11" s="132">
        <f>IF(SER_hh_fec!W11=0,0,11630*1000*SER_hh_fec!W11/SER_hh_num!W11)</f>
        <v>0</v>
      </c>
      <c r="X11" s="132">
        <f>IF(SER_hh_fec!X11=0,0,11630*1000*SER_hh_fec!X11/SER_hh_num!X11)</f>
        <v>0</v>
      </c>
      <c r="Y11" s="132">
        <f>IF(SER_hh_fec!Y11=0,0,11630*1000*SER_hh_fec!Y11/SER_hh_num!Y11)</f>
        <v>0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247609.91334248468</v>
      </c>
      <c r="C12" s="132">
        <f>IF(SER_hh_fec!C12=0,0,11630*1000*SER_hh_fec!C12/SER_hh_num!C12)</f>
        <v>227783.78233421754</v>
      </c>
      <c r="D12" s="132">
        <f>IF(SER_hh_fec!D12=0,0,11630*1000*SER_hh_fec!D12/SER_hh_num!D12)</f>
        <v>207267.98257386987</v>
      </c>
      <c r="E12" s="132">
        <f>IF(SER_hh_fec!E12=0,0,11630*1000*SER_hh_fec!E12/SER_hh_num!E12)</f>
        <v>332317.28611373849</v>
      </c>
      <c r="F12" s="132">
        <f>IF(SER_hh_fec!F12=0,0,11630*1000*SER_hh_fec!F12/SER_hh_num!F12)</f>
        <v>282812.30308659677</v>
      </c>
      <c r="G12" s="132">
        <f>IF(SER_hh_fec!G12=0,0,11630*1000*SER_hh_fec!G12/SER_hh_num!G12)</f>
        <v>269362.71937249188</v>
      </c>
      <c r="H12" s="132">
        <f>IF(SER_hh_fec!H12=0,0,11630*1000*SER_hh_fec!H12/SER_hh_num!H12)</f>
        <v>276401.39060816594</v>
      </c>
      <c r="I12" s="132">
        <f>IF(SER_hh_fec!I12=0,0,11630*1000*SER_hh_fec!I12/SER_hh_num!I12)</f>
        <v>235433.36025658445</v>
      </c>
      <c r="J12" s="132">
        <f>IF(SER_hh_fec!J12=0,0,11630*1000*SER_hh_fec!J12/SER_hh_num!J12)</f>
        <v>287278.8362207262</v>
      </c>
      <c r="K12" s="132">
        <f>IF(SER_hh_fec!K12=0,0,11630*1000*SER_hh_fec!K12/SER_hh_num!K12)</f>
        <v>235007.81563712089</v>
      </c>
      <c r="L12" s="132">
        <f>IF(SER_hh_fec!L12=0,0,11630*1000*SER_hh_fec!L12/SER_hh_num!L12)</f>
        <v>272756.78613513213</v>
      </c>
      <c r="M12" s="132">
        <f>IF(SER_hh_fec!M12=0,0,11630*1000*SER_hh_fec!M12/SER_hh_num!M12)</f>
        <v>288083.47427068627</v>
      </c>
      <c r="N12" s="132">
        <f>IF(SER_hh_fec!N12=0,0,11630*1000*SER_hh_fec!N12/SER_hh_num!N12)</f>
        <v>261281.86788828211</v>
      </c>
      <c r="O12" s="132">
        <f>IF(SER_hh_fec!O12=0,0,11630*1000*SER_hh_fec!O12/SER_hh_num!O12)</f>
        <v>286583.35851371783</v>
      </c>
      <c r="P12" s="132">
        <f>IF(SER_hh_fec!P12=0,0,11630*1000*SER_hh_fec!P12/SER_hh_num!P12)</f>
        <v>194910.50669612584</v>
      </c>
      <c r="Q12" s="132">
        <f>IF(SER_hh_fec!Q12=0,0,11630*1000*SER_hh_fec!Q12/SER_hh_num!Q12)</f>
        <v>243373.25740696641</v>
      </c>
      <c r="R12" s="132">
        <f>IF(SER_hh_fec!R12=0,0,11630*1000*SER_hh_fec!R12/SER_hh_num!R12)</f>
        <v>245598.75533575012</v>
      </c>
      <c r="S12" s="132">
        <f>IF(SER_hh_fec!S12=0,0,11630*1000*SER_hh_fec!S12/SER_hh_num!S12)</f>
        <v>268949.95987728582</v>
      </c>
      <c r="T12" s="132">
        <f>IF(SER_hh_fec!T12=0,0,11630*1000*SER_hh_fec!T12/SER_hh_num!T12)</f>
        <v>274813.90201992885</v>
      </c>
      <c r="U12" s="132">
        <f>IF(SER_hh_fec!U12=0,0,11630*1000*SER_hh_fec!U12/SER_hh_num!U12)</f>
        <v>302683.19317385368</v>
      </c>
      <c r="V12" s="132">
        <f>IF(SER_hh_fec!V12=0,0,11630*1000*SER_hh_fec!V12/SER_hh_num!V12)</f>
        <v>359643.61803689768</v>
      </c>
      <c r="W12" s="132">
        <f>IF(SER_hh_fec!W12=0,0,11630*1000*SER_hh_fec!W12/SER_hh_num!W12)</f>
        <v>353593.118235428</v>
      </c>
      <c r="X12" s="132">
        <f>IF(SER_hh_fec!X12=0,0,11630*1000*SER_hh_fec!X12/SER_hh_num!X12)</f>
        <v>277695.31198456784</v>
      </c>
      <c r="Y12" s="132">
        <f>IF(SER_hh_fec!Y12=0,0,11630*1000*SER_hh_fec!Y12/SER_hh_num!Y12)</f>
        <v>246365.16445639895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0</v>
      </c>
      <c r="C13" s="132">
        <f>IF(SER_hh_fec!C13=0,0,11630*1000*SER_hh_fec!C13/SER_hh_num!C13)</f>
        <v>0</v>
      </c>
      <c r="D13" s="132">
        <f>IF(SER_hh_fec!D13=0,0,11630*1000*SER_hh_fec!D13/SER_hh_num!D13)</f>
        <v>0</v>
      </c>
      <c r="E13" s="132">
        <f>IF(SER_hh_fec!E13=0,0,11630*1000*SER_hh_fec!E13/SER_hh_num!E13)</f>
        <v>0</v>
      </c>
      <c r="F13" s="132">
        <f>IF(SER_hh_fec!F13=0,0,11630*1000*SER_hh_fec!F13/SER_hh_num!F13)</f>
        <v>0</v>
      </c>
      <c r="G13" s="132">
        <f>IF(SER_hh_fec!G13=0,0,11630*1000*SER_hh_fec!G13/SER_hh_num!G13)</f>
        <v>0</v>
      </c>
      <c r="H13" s="132">
        <f>IF(SER_hh_fec!H13=0,0,11630*1000*SER_hh_fec!H13/SER_hh_num!H13)</f>
        <v>0</v>
      </c>
      <c r="I13" s="132">
        <f>IF(SER_hh_fec!I13=0,0,11630*1000*SER_hh_fec!I13/SER_hh_num!I13)</f>
        <v>0</v>
      </c>
      <c r="J13" s="132">
        <f>IF(SER_hh_fec!J13=0,0,11630*1000*SER_hh_fec!J13/SER_hh_num!J13)</f>
        <v>0</v>
      </c>
      <c r="K13" s="132">
        <f>IF(SER_hh_fec!K13=0,0,11630*1000*SER_hh_fec!K13/SER_hh_num!K13)</f>
        <v>0</v>
      </c>
      <c r="L13" s="132">
        <f>IF(SER_hh_fec!L13=0,0,11630*1000*SER_hh_fec!L13/SER_hh_num!L13)</f>
        <v>0</v>
      </c>
      <c r="M13" s="132">
        <f>IF(SER_hh_fec!M13=0,0,11630*1000*SER_hh_fec!M13/SER_hh_num!M13)</f>
        <v>0</v>
      </c>
      <c r="N13" s="132">
        <f>IF(SER_hh_fec!N13=0,0,11630*1000*SER_hh_fec!N13/SER_hh_num!N13)</f>
        <v>0</v>
      </c>
      <c r="O13" s="132">
        <f>IF(SER_hh_fec!O13=0,0,11630*1000*SER_hh_fec!O13/SER_hh_num!O13)</f>
        <v>0</v>
      </c>
      <c r="P13" s="132">
        <f>IF(SER_hh_fec!P13=0,0,11630*1000*SER_hh_fec!P13/SER_hh_num!P13)</f>
        <v>0</v>
      </c>
      <c r="Q13" s="132">
        <f>IF(SER_hh_fec!Q13=0,0,11630*1000*SER_hh_fec!Q13/SER_hh_num!Q13)</f>
        <v>0</v>
      </c>
      <c r="R13" s="132">
        <f>IF(SER_hh_fec!R13=0,0,11630*1000*SER_hh_fec!R13/SER_hh_num!R13)</f>
        <v>0</v>
      </c>
      <c r="S13" s="132">
        <f>IF(SER_hh_fec!S13=0,0,11630*1000*SER_hh_fec!S13/SER_hh_num!S13)</f>
        <v>0</v>
      </c>
      <c r="T13" s="132">
        <f>IF(SER_hh_fec!T13=0,0,11630*1000*SER_hh_fec!T13/SER_hh_num!T13)</f>
        <v>0</v>
      </c>
      <c r="U13" s="132">
        <f>IF(SER_hh_fec!U13=0,0,11630*1000*SER_hh_fec!U13/SER_hh_num!U13)</f>
        <v>0</v>
      </c>
      <c r="V13" s="132">
        <f>IF(SER_hh_fec!V13=0,0,11630*1000*SER_hh_fec!V13/SER_hh_num!V13)</f>
        <v>0</v>
      </c>
      <c r="W13" s="132">
        <f>IF(SER_hh_fec!W13=0,0,11630*1000*SER_hh_fec!W13/SER_hh_num!W13)</f>
        <v>0</v>
      </c>
      <c r="X13" s="132">
        <f>IF(SER_hh_fec!X13=0,0,11630*1000*SER_hh_fec!X13/SER_hh_num!X13)</f>
        <v>0</v>
      </c>
      <c r="Y13" s="132">
        <f>IF(SER_hh_fec!Y13=0,0,11630*1000*SER_hh_fec!Y13/SER_hh_num!Y13)</f>
        <v>0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257307.82472547755</v>
      </c>
      <c r="C14" s="65">
        <f>IF(SER_hh_fec!C14=0,0,11630*1000*SER_hh_fec!C14/SER_hh_num!C14)</f>
        <v>377537.14479595039</v>
      </c>
      <c r="D14" s="65">
        <f>IF(SER_hh_fec!D14=0,0,11630*1000*SER_hh_fec!D14/SER_hh_num!D14)</f>
        <v>252261.94541354489</v>
      </c>
      <c r="E14" s="65">
        <f>IF(SER_hh_fec!E14=0,0,11630*1000*SER_hh_fec!E14/SER_hh_num!E14)</f>
        <v>319378.3339666471</v>
      </c>
      <c r="F14" s="65">
        <f>IF(SER_hh_fec!F14=0,0,11630*1000*SER_hh_fec!F14/SER_hh_num!F14)</f>
        <v>262152.84863100899</v>
      </c>
      <c r="G14" s="65">
        <f>IF(SER_hh_fec!G14=0,0,11630*1000*SER_hh_fec!G14/SER_hh_num!G14)</f>
        <v>301952.01497183472</v>
      </c>
      <c r="H14" s="65">
        <f>IF(SER_hh_fec!H14=0,0,11630*1000*SER_hh_fec!H14/SER_hh_num!H14)</f>
        <v>266272.02527036209</v>
      </c>
      <c r="I14" s="65">
        <f>IF(SER_hh_fec!I14=0,0,11630*1000*SER_hh_fec!I14/SER_hh_num!I14)</f>
        <v>352558.1858489209</v>
      </c>
      <c r="J14" s="65">
        <f>IF(SER_hh_fec!J14=0,0,11630*1000*SER_hh_fec!J14/SER_hh_num!J14)</f>
        <v>313431.9719602979</v>
      </c>
      <c r="K14" s="65">
        <f>IF(SER_hh_fec!K14=0,0,11630*1000*SER_hh_fec!K14/SER_hh_num!K14)</f>
        <v>286633.57757556037</v>
      </c>
      <c r="L14" s="65">
        <f>IF(SER_hh_fec!L14=0,0,11630*1000*SER_hh_fec!L14/SER_hh_num!L14)</f>
        <v>300235.32158193435</v>
      </c>
      <c r="M14" s="65">
        <f>IF(SER_hh_fec!M14=0,0,11630*1000*SER_hh_fec!M14/SER_hh_num!M14)</f>
        <v>259052.52213474942</v>
      </c>
      <c r="N14" s="65">
        <f>IF(SER_hh_fec!N14=0,0,11630*1000*SER_hh_fec!N14/SER_hh_num!N14)</f>
        <v>277069.19727906003</v>
      </c>
      <c r="O14" s="65">
        <f>IF(SER_hh_fec!O14=0,0,11630*1000*SER_hh_fec!O14/SER_hh_num!O14)</f>
        <v>286495.57639160636</v>
      </c>
      <c r="P14" s="65">
        <f>IF(SER_hh_fec!P14=0,0,11630*1000*SER_hh_fec!P14/SER_hh_num!P14)</f>
        <v>254544.53393339153</v>
      </c>
      <c r="Q14" s="65">
        <f>IF(SER_hh_fec!Q14=0,0,11630*1000*SER_hh_fec!Q14/SER_hh_num!Q14)</f>
        <v>257174.55788862618</v>
      </c>
      <c r="R14" s="65">
        <f>IF(SER_hh_fec!R14=0,0,11630*1000*SER_hh_fec!R14/SER_hh_num!R14)</f>
        <v>199541.63442090948</v>
      </c>
      <c r="S14" s="65">
        <f>IF(SER_hh_fec!S14=0,0,11630*1000*SER_hh_fec!S14/SER_hh_num!S14)</f>
        <v>372477.06851221481</v>
      </c>
      <c r="T14" s="65">
        <f>IF(SER_hh_fec!T14=0,0,11630*1000*SER_hh_fec!T14/SER_hh_num!T14)</f>
        <v>324651.95986161812</v>
      </c>
      <c r="U14" s="65">
        <f>IF(SER_hh_fec!U14=0,0,11630*1000*SER_hh_fec!U14/SER_hh_num!U14)</f>
        <v>380319.06628264574</v>
      </c>
      <c r="V14" s="65">
        <f>IF(SER_hh_fec!V14=0,0,11630*1000*SER_hh_fec!V14/SER_hh_num!V14)</f>
        <v>353485.93368483044</v>
      </c>
      <c r="W14" s="65">
        <f>IF(SER_hh_fec!W14=0,0,11630*1000*SER_hh_fec!W14/SER_hh_num!W14)</f>
        <v>450620.05158731411</v>
      </c>
      <c r="X14" s="65">
        <f>IF(SER_hh_fec!X14=0,0,11630*1000*SER_hh_fec!X14/SER_hh_num!X14)</f>
        <v>234493.3589457942</v>
      </c>
      <c r="Y14" s="65">
        <f>IF(SER_hh_fec!Y14=0,0,11630*1000*SER_hh_fec!Y14/SER_hh_num!Y14)</f>
        <v>290356.60239925492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4235.6868662500583</v>
      </c>
      <c r="C15" s="134">
        <f>IF(SER_hh_fec!C15=0,0,11630*1000*SER_hh_fec!C15/SER_hh_num!C15)</f>
        <v>3483.7975280651576</v>
      </c>
      <c r="D15" s="134">
        <f>IF(SER_hh_fec!D15=0,0,11630*1000*SER_hh_fec!D15/SER_hh_num!D15)</f>
        <v>3297.4213440973963</v>
      </c>
      <c r="E15" s="134">
        <f>IF(SER_hh_fec!E15=0,0,11630*1000*SER_hh_fec!E15/SER_hh_num!E15)</f>
        <v>3380.2245777791322</v>
      </c>
      <c r="F15" s="134">
        <f>IF(SER_hh_fec!F15=0,0,11630*1000*SER_hh_fec!F15/SER_hh_num!F15)</f>
        <v>3004.2580763722285</v>
      </c>
      <c r="G15" s="134">
        <f>IF(SER_hh_fec!G15=0,0,11630*1000*SER_hh_fec!G15/SER_hh_num!G15)</f>
        <v>2663.7984783268666</v>
      </c>
      <c r="H15" s="134">
        <f>IF(SER_hh_fec!H15=0,0,11630*1000*SER_hh_fec!H15/SER_hh_num!H15)</f>
        <v>2753.5322024142752</v>
      </c>
      <c r="I15" s="134">
        <f>IF(SER_hh_fec!I15=0,0,11630*1000*SER_hh_fec!I15/SER_hh_num!I15)</f>
        <v>2429.9884948300501</v>
      </c>
      <c r="J15" s="134">
        <f>IF(SER_hh_fec!J15=0,0,11630*1000*SER_hh_fec!J15/SER_hh_num!J15)</f>
        <v>2806.1911274756967</v>
      </c>
      <c r="K15" s="134">
        <f>IF(SER_hh_fec!K15=0,0,11630*1000*SER_hh_fec!K15/SER_hh_num!K15)</f>
        <v>2741.3095969659244</v>
      </c>
      <c r="L15" s="134">
        <f>IF(SER_hh_fec!L15=0,0,11630*1000*SER_hh_fec!L15/SER_hh_num!L15)</f>
        <v>3371.5904357253339</v>
      </c>
      <c r="M15" s="134">
        <f>IF(SER_hh_fec!M15=0,0,11630*1000*SER_hh_fec!M15/SER_hh_num!M15)</f>
        <v>1861.0878933095487</v>
      </c>
      <c r="N15" s="134">
        <f>IF(SER_hh_fec!N15=0,0,11630*1000*SER_hh_fec!N15/SER_hh_num!N15)</f>
        <v>2568.9094994037951</v>
      </c>
      <c r="O15" s="134">
        <f>IF(SER_hh_fec!O15=0,0,11630*1000*SER_hh_fec!O15/SER_hh_num!O15)</f>
        <v>2699.5495781042259</v>
      </c>
      <c r="P15" s="134">
        <f>IF(SER_hh_fec!P15=0,0,11630*1000*SER_hh_fec!P15/SER_hh_num!P15)</f>
        <v>2116.7308791986957</v>
      </c>
      <c r="Q15" s="134">
        <f>IF(SER_hh_fec!Q15=0,0,11630*1000*SER_hh_fec!Q15/SER_hh_num!Q15)</f>
        <v>2632.6637105305672</v>
      </c>
      <c r="R15" s="134">
        <f>IF(SER_hh_fec!R15=0,0,11630*1000*SER_hh_fec!R15/SER_hh_num!R15)</f>
        <v>2774.2533465158181</v>
      </c>
      <c r="S15" s="134">
        <f>IF(SER_hh_fec!S15=0,0,11630*1000*SER_hh_fec!S15/SER_hh_num!S15)</f>
        <v>2866.3968499290909</v>
      </c>
      <c r="T15" s="134">
        <f>IF(SER_hh_fec!T15=0,0,11630*1000*SER_hh_fec!T15/SER_hh_num!T15)</f>
        <v>3014.3825519118955</v>
      </c>
      <c r="U15" s="134">
        <f>IF(SER_hh_fec!U15=0,0,11630*1000*SER_hh_fec!U15/SER_hh_num!U15)</f>
        <v>3461.7387100151245</v>
      </c>
      <c r="V15" s="134">
        <f>IF(SER_hh_fec!V15=0,0,11630*1000*SER_hh_fec!V15/SER_hh_num!V15)</f>
        <v>2946.4898298081462</v>
      </c>
      <c r="W15" s="134">
        <f>IF(SER_hh_fec!W15=0,0,11630*1000*SER_hh_fec!W15/SER_hh_num!W15)</f>
        <v>3285.5526124279086</v>
      </c>
      <c r="X15" s="134">
        <f>IF(SER_hh_fec!X15=0,0,11630*1000*SER_hh_fec!X15/SER_hh_num!X15)</f>
        <v>2386.2595717167565</v>
      </c>
      <c r="Y15" s="134">
        <f>IF(SER_hh_fec!Y15=0,0,11630*1000*SER_hh_fec!Y15/SER_hh_num!Y15)</f>
        <v>2217.5084267153024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18558.223631844823</v>
      </c>
      <c r="C16" s="130">
        <f>IF(SER_hh_fec!C16=0,0,11630*1000*SER_hh_fec!C16/SER_hh_num!C16)</f>
        <v>17524.496555861257</v>
      </c>
      <c r="D16" s="130">
        <f>IF(SER_hh_fec!D16=0,0,11630*1000*SER_hh_fec!D16/SER_hh_num!D16)</f>
        <v>16601.340845000137</v>
      </c>
      <c r="E16" s="130">
        <f>IF(SER_hh_fec!E16=0,0,11630*1000*SER_hh_fec!E16/SER_hh_num!E16)</f>
        <v>20258.85309331739</v>
      </c>
      <c r="F16" s="130">
        <f>IF(SER_hh_fec!F16=0,0,11630*1000*SER_hh_fec!F16/SER_hh_num!F16)</f>
        <v>14753.802346770288</v>
      </c>
      <c r="G16" s="130">
        <f>IF(SER_hh_fec!G16=0,0,11630*1000*SER_hh_fec!G16/SER_hh_num!G16)</f>
        <v>14387.04187068425</v>
      </c>
      <c r="H16" s="130">
        <f>IF(SER_hh_fec!H16=0,0,11630*1000*SER_hh_fec!H16/SER_hh_num!H16)</f>
        <v>16217.066791805937</v>
      </c>
      <c r="I16" s="130">
        <f>IF(SER_hh_fec!I16=0,0,11630*1000*SER_hh_fec!I16/SER_hh_num!I16)</f>
        <v>12897.850385511587</v>
      </c>
      <c r="J16" s="130">
        <f>IF(SER_hh_fec!J16=0,0,11630*1000*SER_hh_fec!J16/SER_hh_num!J16)</f>
        <v>12342.327513368949</v>
      </c>
      <c r="K16" s="130">
        <f>IF(SER_hh_fec!K16=0,0,11630*1000*SER_hh_fec!K16/SER_hh_num!K16)</f>
        <v>12198.955497734012</v>
      </c>
      <c r="L16" s="130">
        <f>IF(SER_hh_fec!L16=0,0,11630*1000*SER_hh_fec!L16/SER_hh_num!L16)</f>
        <v>12700.456625783991</v>
      </c>
      <c r="M16" s="130">
        <f>IF(SER_hh_fec!M16=0,0,11630*1000*SER_hh_fec!M16/SER_hh_num!M16)</f>
        <v>11479.03268996706</v>
      </c>
      <c r="N16" s="130">
        <f>IF(SER_hh_fec!N16=0,0,11630*1000*SER_hh_fec!N16/SER_hh_num!N16)</f>
        <v>11416.117589195344</v>
      </c>
      <c r="O16" s="130">
        <f>IF(SER_hh_fec!O16=0,0,11630*1000*SER_hh_fec!O16/SER_hh_num!O16)</f>
        <v>11287.554018311237</v>
      </c>
      <c r="P16" s="130">
        <f>IF(SER_hh_fec!P16=0,0,11630*1000*SER_hh_fec!P16/SER_hh_num!P16)</f>
        <v>10517.18403654531</v>
      </c>
      <c r="Q16" s="130">
        <f>IF(SER_hh_fec!Q16=0,0,11630*1000*SER_hh_fec!Q16/SER_hh_num!Q16)</f>
        <v>11506.784405344455</v>
      </c>
      <c r="R16" s="130">
        <f>IF(SER_hh_fec!R16=0,0,11630*1000*SER_hh_fec!R16/SER_hh_num!R16)</f>
        <v>10216.798997167445</v>
      </c>
      <c r="S16" s="130">
        <f>IF(SER_hh_fec!S16=0,0,11630*1000*SER_hh_fec!S16/SER_hh_num!S16)</f>
        <v>9896.4920751524533</v>
      </c>
      <c r="T16" s="130">
        <f>IF(SER_hh_fec!T16=0,0,11630*1000*SER_hh_fec!T16/SER_hh_num!T16)</f>
        <v>10789.349586814502</v>
      </c>
      <c r="U16" s="130">
        <f>IF(SER_hh_fec!U16=0,0,11630*1000*SER_hh_fec!U16/SER_hh_num!U16)</f>
        <v>10602.469954117396</v>
      </c>
      <c r="V16" s="130">
        <f>IF(SER_hh_fec!V16=0,0,11630*1000*SER_hh_fec!V16/SER_hh_num!V16)</f>
        <v>10239.461103305732</v>
      </c>
      <c r="W16" s="130">
        <f>IF(SER_hh_fec!W16=0,0,11630*1000*SER_hh_fec!W16/SER_hh_num!W16)</f>
        <v>8808.9898245684108</v>
      </c>
      <c r="X16" s="130">
        <f>IF(SER_hh_fec!X16=0,0,11630*1000*SER_hh_fec!X16/SER_hh_num!X16)</f>
        <v>9120.2904704565663</v>
      </c>
      <c r="Y16" s="130">
        <f>IF(SER_hh_fec!Y16=0,0,11630*1000*SER_hh_fec!Y16/SER_hh_num!Y16)</f>
        <v>8609.305616719048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31172.125830429191</v>
      </c>
      <c r="C17" s="132">
        <f>IF(SER_hh_fec!C17=0,0,11630*1000*SER_hh_fec!C17/SER_hh_num!C17)</f>
        <v>30762.796488359392</v>
      </c>
      <c r="D17" s="132">
        <f>IF(SER_hh_fec!D17=0,0,11630*1000*SER_hh_fec!D17/SER_hh_num!D17)</f>
        <v>30234.754214922625</v>
      </c>
      <c r="E17" s="132">
        <f>IF(SER_hh_fec!E17=0,0,11630*1000*SER_hh_fec!E17/SER_hh_num!E17)</f>
        <v>38604.820925992171</v>
      </c>
      <c r="F17" s="132">
        <f>IF(SER_hh_fec!F17=0,0,11630*1000*SER_hh_fec!F17/SER_hh_num!F17)</f>
        <v>28446.313465367599</v>
      </c>
      <c r="G17" s="132">
        <f>IF(SER_hh_fec!G17=0,0,11630*1000*SER_hh_fec!G17/SER_hh_num!G17)</f>
        <v>29052.95080021043</v>
      </c>
      <c r="H17" s="132">
        <f>IF(SER_hh_fec!H17=0,0,11630*1000*SER_hh_fec!H17/SER_hh_num!H17)</f>
        <v>33765.79034972065</v>
      </c>
      <c r="I17" s="132">
        <f>IF(SER_hh_fec!I17=0,0,11630*1000*SER_hh_fec!I17/SER_hh_num!I17)</f>
        <v>27538.299100515043</v>
      </c>
      <c r="J17" s="132">
        <f>IF(SER_hh_fec!J17=0,0,11630*1000*SER_hh_fec!J17/SER_hh_num!J17)</f>
        <v>27256.200918287712</v>
      </c>
      <c r="K17" s="132">
        <f>IF(SER_hh_fec!K17=0,0,11630*1000*SER_hh_fec!K17/SER_hh_num!K17)</f>
        <v>32137.396127953019</v>
      </c>
      <c r="L17" s="132">
        <f>IF(SER_hh_fec!L17=0,0,11630*1000*SER_hh_fec!L17/SER_hh_num!L17)</f>
        <v>29019.676013651631</v>
      </c>
      <c r="M17" s="132">
        <f>IF(SER_hh_fec!M17=0,0,11630*1000*SER_hh_fec!M17/SER_hh_num!M17)</f>
        <v>26799.093031825039</v>
      </c>
      <c r="N17" s="132">
        <f>IF(SER_hh_fec!N17=0,0,11630*1000*SER_hh_fec!N17/SER_hh_num!N17)</f>
        <v>27219.534702474142</v>
      </c>
      <c r="O17" s="132">
        <f>IF(SER_hh_fec!O17=0,0,11630*1000*SER_hh_fec!O17/SER_hh_num!O17)</f>
        <v>27256.014264456247</v>
      </c>
      <c r="P17" s="132">
        <f>IF(SER_hh_fec!P17=0,0,11630*1000*SER_hh_fec!P17/SER_hh_num!P17)</f>
        <v>25562.666834579111</v>
      </c>
      <c r="Q17" s="132">
        <f>IF(SER_hh_fec!Q17=0,0,11630*1000*SER_hh_fec!Q17/SER_hh_num!Q17)</f>
        <v>28526.245850937652</v>
      </c>
      <c r="R17" s="132">
        <f>IF(SER_hh_fec!R17=0,0,11630*1000*SER_hh_fec!R17/SER_hh_num!R17)</f>
        <v>25429.648171175628</v>
      </c>
      <c r="S17" s="132">
        <f>IF(SER_hh_fec!S17=0,0,11630*1000*SER_hh_fec!S17/SER_hh_num!S17)</f>
        <v>25898.061587846099</v>
      </c>
      <c r="T17" s="132">
        <f>IF(SER_hh_fec!T17=0,0,11630*1000*SER_hh_fec!T17/SER_hh_num!T17)</f>
        <v>27998.330547776965</v>
      </c>
      <c r="U17" s="132">
        <f>IF(SER_hh_fec!U17=0,0,11630*1000*SER_hh_fec!U17/SER_hh_num!U17)</f>
        <v>27784.993752063921</v>
      </c>
      <c r="V17" s="132">
        <f>IF(SER_hh_fec!V17=0,0,11630*1000*SER_hh_fec!V17/SER_hh_num!V17)</f>
        <v>27492.169158308665</v>
      </c>
      <c r="W17" s="132">
        <f>IF(SER_hh_fec!W17=0,0,11630*1000*SER_hh_fec!W17/SER_hh_num!W17)</f>
        <v>26939.968706328462</v>
      </c>
      <c r="X17" s="132">
        <f>IF(SER_hh_fec!X17=0,0,11630*1000*SER_hh_fec!X17/SER_hh_num!X17)</f>
        <v>24066.713005441608</v>
      </c>
      <c r="Y17" s="132">
        <f>IF(SER_hh_fec!Y17=0,0,11630*1000*SER_hh_fec!Y17/SER_hh_num!Y17)</f>
        <v>22830.898435377985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18509.945549524607</v>
      </c>
      <c r="C18" s="132">
        <f>IF(SER_hh_fec!C18=0,0,11630*1000*SER_hh_fec!C18/SER_hh_num!C18)</f>
        <v>17468.991483907968</v>
      </c>
      <c r="D18" s="132">
        <f>IF(SER_hh_fec!D18=0,0,11630*1000*SER_hh_fec!D18/SER_hh_num!D18)</f>
        <v>16530.58150520207</v>
      </c>
      <c r="E18" s="132">
        <f>IF(SER_hh_fec!E18=0,0,11630*1000*SER_hh_fec!E18/SER_hh_num!E18)</f>
        <v>20193.22256436096</v>
      </c>
      <c r="F18" s="132">
        <f>IF(SER_hh_fec!F18=0,0,11630*1000*SER_hh_fec!F18/SER_hh_num!F18)</f>
        <v>14665.723417226183</v>
      </c>
      <c r="G18" s="132">
        <f>IF(SER_hh_fec!G18=0,0,11630*1000*SER_hh_fec!G18/SER_hh_num!G18)</f>
        <v>14299.416613567191</v>
      </c>
      <c r="H18" s="132">
        <f>IF(SER_hh_fec!H18=0,0,11630*1000*SER_hh_fec!H18/SER_hh_num!H18)</f>
        <v>16106.204551454422</v>
      </c>
      <c r="I18" s="132">
        <f>IF(SER_hh_fec!I18=0,0,11630*1000*SER_hh_fec!I18/SER_hh_num!I18)</f>
        <v>12779.086195103802</v>
      </c>
      <c r="J18" s="132">
        <f>IF(SER_hh_fec!J18=0,0,11630*1000*SER_hh_fec!J18/SER_hh_num!J18)</f>
        <v>12221.260720806358</v>
      </c>
      <c r="K18" s="132">
        <f>IF(SER_hh_fec!K18=0,0,11630*1000*SER_hh_fec!K18/SER_hh_num!K18)</f>
        <v>12029.425146604712</v>
      </c>
      <c r="L18" s="132">
        <f>IF(SER_hh_fec!L18=0,0,11630*1000*SER_hh_fec!L18/SER_hh_num!L18)</f>
        <v>12560.343063491377</v>
      </c>
      <c r="M18" s="132">
        <f>IF(SER_hh_fec!M18=0,0,11630*1000*SER_hh_fec!M18/SER_hh_num!M18)</f>
        <v>11336.31179119815</v>
      </c>
      <c r="N18" s="132">
        <f>IF(SER_hh_fec!N18=0,0,11630*1000*SER_hh_fec!N18/SER_hh_num!N18)</f>
        <v>11260.416822176961</v>
      </c>
      <c r="O18" s="132">
        <f>IF(SER_hh_fec!O18=0,0,11630*1000*SER_hh_fec!O18/SER_hh_num!O18)</f>
        <v>11103.032069510118</v>
      </c>
      <c r="P18" s="132">
        <f>IF(SER_hh_fec!P18=0,0,11630*1000*SER_hh_fec!P18/SER_hh_num!P18)</f>
        <v>10283.018150559321</v>
      </c>
      <c r="Q18" s="132">
        <f>IF(SER_hh_fec!Q18=0,0,11630*1000*SER_hh_fec!Q18/SER_hh_num!Q18)</f>
        <v>11193.241366623964</v>
      </c>
      <c r="R18" s="132">
        <f>IF(SER_hh_fec!R18=0,0,11630*1000*SER_hh_fec!R18/SER_hh_num!R18)</f>
        <v>9826.551753333435</v>
      </c>
      <c r="S18" s="132">
        <f>IF(SER_hh_fec!S18=0,0,11630*1000*SER_hh_fec!S18/SER_hh_num!S18)</f>
        <v>9432.3781499179368</v>
      </c>
      <c r="T18" s="132">
        <f>IF(SER_hh_fec!T18=0,0,11630*1000*SER_hh_fec!T18/SER_hh_num!T18)</f>
        <v>10285.744468750549</v>
      </c>
      <c r="U18" s="132">
        <f>IF(SER_hh_fec!U18=0,0,11630*1000*SER_hh_fec!U18/SER_hh_num!U18)</f>
        <v>10057.88305019291</v>
      </c>
      <c r="V18" s="132">
        <f>IF(SER_hh_fec!V18=0,0,11630*1000*SER_hh_fec!V18/SER_hh_num!V18)</f>
        <v>9655.8907951754209</v>
      </c>
      <c r="W18" s="132">
        <f>IF(SER_hh_fec!W18=0,0,11630*1000*SER_hh_fec!W18/SER_hh_num!W18)</f>
        <v>8155.9878748682386</v>
      </c>
      <c r="X18" s="132">
        <f>IF(SER_hh_fec!X18=0,0,11630*1000*SER_hh_fec!X18/SER_hh_num!X18)</f>
        <v>8568.0244227994463</v>
      </c>
      <c r="Y18" s="132">
        <f>IF(SER_hh_fec!Y18=0,0,11630*1000*SER_hh_fec!Y18/SER_hh_num!Y18)</f>
        <v>8077.4941919089406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46189.901241146559</v>
      </c>
      <c r="C19" s="130">
        <f>IF(SER_hh_fec!C19=0,0,11630*1000*SER_hh_fec!C19/SER_hh_num!C19)</f>
        <v>46520.168310746718</v>
      </c>
      <c r="D19" s="130">
        <f>IF(SER_hh_fec!D19=0,0,11630*1000*SER_hh_fec!D19/SER_hh_num!D19)</f>
        <v>45736.993293191757</v>
      </c>
      <c r="E19" s="130">
        <f>IF(SER_hh_fec!E19=0,0,11630*1000*SER_hh_fec!E19/SER_hh_num!E19)</f>
        <v>44736.394055053024</v>
      </c>
      <c r="F19" s="130">
        <f>IF(SER_hh_fec!F19=0,0,11630*1000*SER_hh_fec!F19/SER_hh_num!F19)</f>
        <v>43804.78359086204</v>
      </c>
      <c r="G19" s="130">
        <f>IF(SER_hh_fec!G19=0,0,11630*1000*SER_hh_fec!G19/SER_hh_num!G19)</f>
        <v>43410.521042074892</v>
      </c>
      <c r="H19" s="130">
        <f>IF(SER_hh_fec!H19=0,0,11630*1000*SER_hh_fec!H19/SER_hh_num!H19)</f>
        <v>42286.907450192077</v>
      </c>
      <c r="I19" s="130">
        <f>IF(SER_hh_fec!I19=0,0,11630*1000*SER_hh_fec!I19/SER_hh_num!I19)</f>
        <v>42304.591480507952</v>
      </c>
      <c r="J19" s="130">
        <f>IF(SER_hh_fec!J19=0,0,11630*1000*SER_hh_fec!J19/SER_hh_num!J19)</f>
        <v>42299.291978055189</v>
      </c>
      <c r="K19" s="130">
        <f>IF(SER_hh_fec!K19=0,0,11630*1000*SER_hh_fec!K19/SER_hh_num!K19)</f>
        <v>42314.105713619552</v>
      </c>
      <c r="L19" s="130">
        <f>IF(SER_hh_fec!L19=0,0,11630*1000*SER_hh_fec!L19/SER_hh_num!L19)</f>
        <v>42832.93035619225</v>
      </c>
      <c r="M19" s="130">
        <f>IF(SER_hh_fec!M19=0,0,11630*1000*SER_hh_fec!M19/SER_hh_num!M19)</f>
        <v>41011.131508199614</v>
      </c>
      <c r="N19" s="130">
        <f>IF(SER_hh_fec!N19=0,0,11630*1000*SER_hh_fec!N19/SER_hh_num!N19)</f>
        <v>41244.671145947454</v>
      </c>
      <c r="O19" s="130">
        <f>IF(SER_hh_fec!O19=0,0,11630*1000*SER_hh_fec!O19/SER_hh_num!O19)</f>
        <v>41245.178604489214</v>
      </c>
      <c r="P19" s="130">
        <f>IF(SER_hh_fec!P19=0,0,11630*1000*SER_hh_fec!P19/SER_hh_num!P19)</f>
        <v>41950.239890421348</v>
      </c>
      <c r="Q19" s="130">
        <f>IF(SER_hh_fec!Q19=0,0,11630*1000*SER_hh_fec!Q19/SER_hh_num!Q19)</f>
        <v>41993.572755371664</v>
      </c>
      <c r="R19" s="130">
        <f>IF(SER_hh_fec!R19=0,0,11630*1000*SER_hh_fec!R19/SER_hh_num!R19)</f>
        <v>40974.391054966931</v>
      </c>
      <c r="S19" s="130">
        <f>IF(SER_hh_fec!S19=0,0,11630*1000*SER_hh_fec!S19/SER_hh_num!S19)</f>
        <v>41347.012565915596</v>
      </c>
      <c r="T19" s="130">
        <f>IF(SER_hh_fec!T19=0,0,11630*1000*SER_hh_fec!T19/SER_hh_num!T19)</f>
        <v>40806.412244781321</v>
      </c>
      <c r="U19" s="130">
        <f>IF(SER_hh_fec!U19=0,0,11630*1000*SER_hh_fec!U19/SER_hh_num!U19)</f>
        <v>40136.182682631341</v>
      </c>
      <c r="V19" s="130">
        <f>IF(SER_hh_fec!V19=0,0,11630*1000*SER_hh_fec!V19/SER_hh_num!V19)</f>
        <v>34875.681842126025</v>
      </c>
      <c r="W19" s="130">
        <f>IF(SER_hh_fec!W19=0,0,11630*1000*SER_hh_fec!W19/SER_hh_num!W19)</f>
        <v>36602.503103217852</v>
      </c>
      <c r="X19" s="130">
        <f>IF(SER_hh_fec!X19=0,0,11630*1000*SER_hh_fec!X19/SER_hh_num!X19)</f>
        <v>37336.354536617961</v>
      </c>
      <c r="Y19" s="130">
        <f>IF(SER_hh_fec!Y19=0,0,11630*1000*SER_hh_fec!Y19/SER_hh_num!Y19)</f>
        <v>37554.928458307928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0</v>
      </c>
      <c r="C21" s="132">
        <f>IF(SER_hh_fec!C21=0,0,11630*1000*SER_hh_fec!C21/SER_hh_num!C21)</f>
        <v>0</v>
      </c>
      <c r="D21" s="132">
        <f>IF(SER_hh_fec!D21=0,0,11630*1000*SER_hh_fec!D21/SER_hh_num!D21)</f>
        <v>0</v>
      </c>
      <c r="E21" s="132">
        <f>IF(SER_hh_fec!E21=0,0,11630*1000*SER_hh_fec!E21/SER_hh_num!E21)</f>
        <v>0</v>
      </c>
      <c r="F21" s="132">
        <f>IF(SER_hh_fec!F21=0,0,11630*1000*SER_hh_fec!F21/SER_hh_num!F21)</f>
        <v>0</v>
      </c>
      <c r="G21" s="132">
        <f>IF(SER_hh_fec!G21=0,0,11630*1000*SER_hh_fec!G21/SER_hh_num!G21)</f>
        <v>0</v>
      </c>
      <c r="H21" s="132">
        <f>IF(SER_hh_fec!H21=0,0,11630*1000*SER_hh_fec!H21/SER_hh_num!H21)</f>
        <v>0</v>
      </c>
      <c r="I21" s="132">
        <f>IF(SER_hh_fec!I21=0,0,11630*1000*SER_hh_fec!I21/SER_hh_num!I21)</f>
        <v>0</v>
      </c>
      <c r="J21" s="132">
        <f>IF(SER_hh_fec!J21=0,0,11630*1000*SER_hh_fec!J21/SER_hh_num!J21)</f>
        <v>0</v>
      </c>
      <c r="K21" s="132">
        <f>IF(SER_hh_fec!K21=0,0,11630*1000*SER_hh_fec!K21/SER_hh_num!K21)</f>
        <v>0</v>
      </c>
      <c r="L21" s="132">
        <f>IF(SER_hh_fec!L21=0,0,11630*1000*SER_hh_fec!L21/SER_hh_num!L21)</f>
        <v>0</v>
      </c>
      <c r="M21" s="132">
        <f>IF(SER_hh_fec!M21=0,0,11630*1000*SER_hh_fec!M21/SER_hh_num!M21)</f>
        <v>0</v>
      </c>
      <c r="N21" s="132">
        <f>IF(SER_hh_fec!N21=0,0,11630*1000*SER_hh_fec!N21/SER_hh_num!N21)</f>
        <v>0</v>
      </c>
      <c r="O21" s="132">
        <f>IF(SER_hh_fec!O21=0,0,11630*1000*SER_hh_fec!O21/SER_hh_num!O21)</f>
        <v>0</v>
      </c>
      <c r="P21" s="132">
        <f>IF(SER_hh_fec!P21=0,0,11630*1000*SER_hh_fec!P21/SER_hh_num!P21)</f>
        <v>0</v>
      </c>
      <c r="Q21" s="132">
        <f>IF(SER_hh_fec!Q21=0,0,11630*1000*SER_hh_fec!Q21/SER_hh_num!Q21)</f>
        <v>0</v>
      </c>
      <c r="R21" s="132">
        <f>IF(SER_hh_fec!R21=0,0,11630*1000*SER_hh_fec!R21/SER_hh_num!R21)</f>
        <v>0</v>
      </c>
      <c r="S21" s="132">
        <f>IF(SER_hh_fec!S21=0,0,11630*1000*SER_hh_fec!S21/SER_hh_num!S21)</f>
        <v>0</v>
      </c>
      <c r="T21" s="132">
        <f>IF(SER_hh_fec!T21=0,0,11630*1000*SER_hh_fec!T21/SER_hh_num!T21)</f>
        <v>0</v>
      </c>
      <c r="U21" s="132">
        <f>IF(SER_hh_fec!U21=0,0,11630*1000*SER_hh_fec!U21/SER_hh_num!U21)</f>
        <v>0</v>
      </c>
      <c r="V21" s="132">
        <f>IF(SER_hh_fec!V21=0,0,11630*1000*SER_hh_fec!V21/SER_hh_num!V21)</f>
        <v>0</v>
      </c>
      <c r="W21" s="132">
        <f>IF(SER_hh_fec!W21=0,0,11630*1000*SER_hh_fec!W21/SER_hh_num!W21)</f>
        <v>0</v>
      </c>
      <c r="X21" s="132">
        <f>IF(SER_hh_fec!X21=0,0,11630*1000*SER_hh_fec!X21/SER_hh_num!X21)</f>
        <v>0</v>
      </c>
      <c r="Y21" s="132">
        <f>IF(SER_hh_fec!Y21=0,0,11630*1000*SER_hh_fec!Y21/SER_hh_num!Y21)</f>
        <v>0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54799.645411774072</v>
      </c>
      <c r="C22" s="132">
        <f>IF(SER_hh_fec!C22=0,0,11630*1000*SER_hh_fec!C22/SER_hh_num!C22)</f>
        <v>54093.985695891875</v>
      </c>
      <c r="D22" s="132">
        <f>IF(SER_hh_fec!D22=0,0,11630*1000*SER_hh_fec!D22/SER_hh_num!D22)</f>
        <v>54777.102481333823</v>
      </c>
      <c r="E22" s="132">
        <f>IF(SER_hh_fec!E22=0,0,11630*1000*SER_hh_fec!E22/SER_hh_num!E22)</f>
        <v>54506.663462690878</v>
      </c>
      <c r="F22" s="132">
        <f>IF(SER_hh_fec!F22=0,0,11630*1000*SER_hh_fec!F22/SER_hh_num!F22)</f>
        <v>55789.968238556161</v>
      </c>
      <c r="G22" s="132">
        <f>IF(SER_hh_fec!G22=0,0,11630*1000*SER_hh_fec!G22/SER_hh_num!G22)</f>
        <v>58161.022924910561</v>
      </c>
      <c r="H22" s="132">
        <f>IF(SER_hh_fec!H22=0,0,11630*1000*SER_hh_fec!H22/SER_hh_num!H22)</f>
        <v>48230.702829366688</v>
      </c>
      <c r="I22" s="132">
        <f>IF(SER_hh_fec!I22=0,0,11630*1000*SER_hh_fec!I22/SER_hh_num!I22)</f>
        <v>52863.777051487348</v>
      </c>
      <c r="J22" s="132">
        <f>IF(SER_hh_fec!J22=0,0,11630*1000*SER_hh_fec!J22/SER_hh_num!J22)</f>
        <v>43587.621132190623</v>
      </c>
      <c r="K22" s="132">
        <f>IF(SER_hh_fec!K22=0,0,11630*1000*SER_hh_fec!K22/SER_hh_num!K22)</f>
        <v>46408.460548221512</v>
      </c>
      <c r="L22" s="132">
        <f>IF(SER_hh_fec!L22=0,0,11630*1000*SER_hh_fec!L22/SER_hh_num!L22)</f>
        <v>62168.943364853963</v>
      </c>
      <c r="M22" s="132">
        <f>IF(SER_hh_fec!M22=0,0,11630*1000*SER_hh_fec!M22/SER_hh_num!M22)</f>
        <v>41091.578640930304</v>
      </c>
      <c r="N22" s="132">
        <f>IF(SER_hh_fec!N22=0,0,11630*1000*SER_hh_fec!N22/SER_hh_num!N22)</f>
        <v>53592.899839395657</v>
      </c>
      <c r="O22" s="132">
        <f>IF(SER_hh_fec!O22=0,0,11630*1000*SER_hh_fec!O22/SER_hh_num!O22)</f>
        <v>49811.201122533312</v>
      </c>
      <c r="P22" s="132">
        <f>IF(SER_hh_fec!P22=0,0,11630*1000*SER_hh_fec!P22/SER_hh_num!P22)</f>
        <v>50522.840161277592</v>
      </c>
      <c r="Q22" s="132">
        <f>IF(SER_hh_fec!Q22=0,0,11630*1000*SER_hh_fec!Q22/SER_hh_num!Q22)</f>
        <v>46196.503134305443</v>
      </c>
      <c r="R22" s="132">
        <f>IF(SER_hh_fec!R22=0,0,11630*1000*SER_hh_fec!R22/SER_hh_num!R22)</f>
        <v>38764.301795769032</v>
      </c>
      <c r="S22" s="132">
        <f>IF(SER_hh_fec!S22=0,0,11630*1000*SER_hh_fec!S22/SER_hh_num!S22)</f>
        <v>49087.435038225572</v>
      </c>
      <c r="T22" s="132">
        <f>IF(SER_hh_fec!T22=0,0,11630*1000*SER_hh_fec!T22/SER_hh_num!T22)</f>
        <v>45738.885583980817</v>
      </c>
      <c r="U22" s="132">
        <f>IF(SER_hh_fec!U22=0,0,11630*1000*SER_hh_fec!U22/SER_hh_num!U22)</f>
        <v>46382.229068582761</v>
      </c>
      <c r="V22" s="132">
        <f>IF(SER_hh_fec!V22=0,0,11630*1000*SER_hh_fec!V22/SER_hh_num!V22)</f>
        <v>37782.455812762266</v>
      </c>
      <c r="W22" s="132">
        <f>IF(SER_hh_fec!W22=0,0,11630*1000*SER_hh_fec!W22/SER_hh_num!W22)</f>
        <v>44894.026545581386</v>
      </c>
      <c r="X22" s="132">
        <f>IF(SER_hh_fec!X22=0,0,11630*1000*SER_hh_fec!X22/SER_hh_num!X22)</f>
        <v>39424.109587407402</v>
      </c>
      <c r="Y22" s="132">
        <f>IF(SER_hh_fec!Y22=0,0,11630*1000*SER_hh_fec!Y22/SER_hh_num!Y22)</f>
        <v>42538.055285350478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52607.890228669712</v>
      </c>
      <c r="C23" s="132">
        <f>IF(SER_hh_fec!C23=0,0,11630*1000*SER_hh_fec!C23/SER_hh_num!C23)</f>
        <v>52964.664471557386</v>
      </c>
      <c r="D23" s="132">
        <f>IF(SER_hh_fec!D23=0,0,11630*1000*SER_hh_fec!D23/SER_hh_num!D23)</f>
        <v>51453.79850137094</v>
      </c>
      <c r="E23" s="132">
        <f>IF(SER_hh_fec!E23=0,0,11630*1000*SER_hh_fec!E23/SER_hh_num!E23)</f>
        <v>52743.848088335544</v>
      </c>
      <c r="F23" s="132">
        <f>IF(SER_hh_fec!F23=0,0,11630*1000*SER_hh_fec!F23/SER_hh_num!F23)</f>
        <v>50435.471958222937</v>
      </c>
      <c r="G23" s="132">
        <f>IF(SER_hh_fec!G23=0,0,11630*1000*SER_hh_fec!G23/SER_hh_num!G23)</f>
        <v>49945.643966653857</v>
      </c>
      <c r="H23" s="132">
        <f>IF(SER_hh_fec!H23=0,0,11630*1000*SER_hh_fec!H23/SER_hh_num!H23)</f>
        <v>48090.536126493804</v>
      </c>
      <c r="I23" s="132">
        <f>IF(SER_hh_fec!I23=0,0,11630*1000*SER_hh_fec!I23/SER_hh_num!I23)</f>
        <v>46311.401669457933</v>
      </c>
      <c r="J23" s="132">
        <f>IF(SER_hh_fec!J23=0,0,11630*1000*SER_hh_fec!J23/SER_hh_num!J23)</f>
        <v>51036.593868880322</v>
      </c>
      <c r="K23" s="132">
        <f>IF(SER_hh_fec!K23=0,0,11630*1000*SER_hh_fec!K23/SER_hh_num!K23)</f>
        <v>45626.53764370874</v>
      </c>
      <c r="L23" s="132">
        <f>IF(SER_hh_fec!L23=0,0,11630*1000*SER_hh_fec!L23/SER_hh_num!L23)</f>
        <v>49557.458506847077</v>
      </c>
      <c r="M23" s="132">
        <f>IF(SER_hh_fec!M23=0,0,11630*1000*SER_hh_fec!M23/SER_hh_num!M23)</f>
        <v>46489.573108607918</v>
      </c>
      <c r="N23" s="132">
        <f>IF(SER_hh_fec!N23=0,0,11630*1000*SER_hh_fec!N23/SER_hh_num!N23)</f>
        <v>43906.717995395571</v>
      </c>
      <c r="O23" s="132">
        <f>IF(SER_hh_fec!O23=0,0,11630*1000*SER_hh_fec!O23/SER_hh_num!O23)</f>
        <v>43929.176835000973</v>
      </c>
      <c r="P23" s="132">
        <f>IF(SER_hh_fec!P23=0,0,11630*1000*SER_hh_fec!P23/SER_hh_num!P23)</f>
        <v>45933.49201151677</v>
      </c>
      <c r="Q23" s="132">
        <f>IF(SER_hh_fec!Q23=0,0,11630*1000*SER_hh_fec!Q23/SER_hh_num!Q23)</f>
        <v>51414.581033668372</v>
      </c>
      <c r="R23" s="132">
        <f>IF(SER_hh_fec!R23=0,0,11630*1000*SER_hh_fec!R23/SER_hh_num!R23)</f>
        <v>54219.924516025254</v>
      </c>
      <c r="S23" s="132">
        <f>IF(SER_hh_fec!S23=0,0,11630*1000*SER_hh_fec!S23/SER_hh_num!S23)</f>
        <v>39514.151695191489</v>
      </c>
      <c r="T23" s="132">
        <f>IF(SER_hh_fec!T23=0,0,11630*1000*SER_hh_fec!T23/SER_hh_num!T23)</f>
        <v>44303.748798054949</v>
      </c>
      <c r="U23" s="132">
        <f>IF(SER_hh_fec!U23=0,0,11630*1000*SER_hh_fec!U23/SER_hh_num!U23)</f>
        <v>45482.131821542149</v>
      </c>
      <c r="V23" s="132">
        <f>IF(SER_hh_fec!V23=0,0,11630*1000*SER_hh_fec!V23/SER_hh_num!V23)</f>
        <v>29877.415114627467</v>
      </c>
      <c r="W23" s="132">
        <f>IF(SER_hh_fec!W23=0,0,11630*1000*SER_hh_fec!W23/SER_hh_num!W23)</f>
        <v>42221.414795692101</v>
      </c>
      <c r="X23" s="132">
        <f>IF(SER_hh_fec!X23=0,0,11630*1000*SER_hh_fec!X23/SER_hh_num!X23)</f>
        <v>41021.803611119198</v>
      </c>
      <c r="Y23" s="132">
        <f>IF(SER_hh_fec!Y23=0,0,11630*1000*SER_hh_fec!Y23/SER_hh_num!Y23)</f>
        <v>40321.676873961092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33391.057454780879</v>
      </c>
      <c r="C25" s="132">
        <f>IF(SER_hh_fec!C25=0,0,11630*1000*SER_hh_fec!C25/SER_hh_num!C25)</f>
        <v>29757.96009828263</v>
      </c>
      <c r="D25" s="132">
        <f>IF(SER_hh_fec!D25=0,0,11630*1000*SER_hh_fec!D25/SER_hh_num!D25)</f>
        <v>32595.328349159779</v>
      </c>
      <c r="E25" s="132">
        <f>IF(SER_hh_fec!E25=0,0,11630*1000*SER_hh_fec!E25/SER_hh_num!E25)</f>
        <v>40116.608841534355</v>
      </c>
      <c r="F25" s="132">
        <f>IF(SER_hh_fec!F25=0,0,11630*1000*SER_hh_fec!F25/SER_hh_num!F25)</f>
        <v>35972.603335886124</v>
      </c>
      <c r="G25" s="132">
        <f>IF(SER_hh_fec!G25=0,0,11630*1000*SER_hh_fec!G25/SER_hh_num!G25)</f>
        <v>34470.468413831783</v>
      </c>
      <c r="H25" s="132">
        <f>IF(SER_hh_fec!H25=0,0,11630*1000*SER_hh_fec!H25/SER_hh_num!H25)</f>
        <v>34324.902660959306</v>
      </c>
      <c r="I25" s="132">
        <f>IF(SER_hh_fec!I25=0,0,11630*1000*SER_hh_fec!I25/SER_hh_num!I25)</f>
        <v>34261.416266896071</v>
      </c>
      <c r="J25" s="132">
        <f>IF(SER_hh_fec!J25=0,0,11630*1000*SER_hh_fec!J25/SER_hh_num!J25)</f>
        <v>34306.579685232406</v>
      </c>
      <c r="K25" s="132">
        <f>IF(SER_hh_fec!K25=0,0,11630*1000*SER_hh_fec!K25/SER_hh_num!K25)</f>
        <v>35440.676911347677</v>
      </c>
      <c r="L25" s="132">
        <f>IF(SER_hh_fec!L25=0,0,11630*1000*SER_hh_fec!L25/SER_hh_num!L25)</f>
        <v>33556.223500481792</v>
      </c>
      <c r="M25" s="132">
        <f>IF(SER_hh_fec!M25=0,0,11630*1000*SER_hh_fec!M25/SER_hh_num!M25)</f>
        <v>33924.375356638426</v>
      </c>
      <c r="N25" s="132">
        <f>IF(SER_hh_fec!N25=0,0,11630*1000*SER_hh_fec!N25/SER_hh_num!N25)</f>
        <v>34401.965894772889</v>
      </c>
      <c r="O25" s="132">
        <f>IF(SER_hh_fec!O25=0,0,11630*1000*SER_hh_fec!O25/SER_hh_num!O25)</f>
        <v>34782.643925437376</v>
      </c>
      <c r="P25" s="132">
        <f>IF(SER_hh_fec!P25=0,0,11630*1000*SER_hh_fec!P25/SER_hh_num!P25)</f>
        <v>34449.944736321944</v>
      </c>
      <c r="Q25" s="132">
        <f>IF(SER_hh_fec!Q25=0,0,11630*1000*SER_hh_fec!Q25/SER_hh_num!Q25)</f>
        <v>34542.626537272248</v>
      </c>
      <c r="R25" s="132">
        <f>IF(SER_hh_fec!R25=0,0,11630*1000*SER_hh_fec!R25/SER_hh_num!R25)</f>
        <v>34422.168450799734</v>
      </c>
      <c r="S25" s="132">
        <f>IF(SER_hh_fec!S25=0,0,11630*1000*SER_hh_fec!S25/SER_hh_num!S25)</f>
        <v>35991.851373500002</v>
      </c>
      <c r="T25" s="132">
        <f>IF(SER_hh_fec!T25=0,0,11630*1000*SER_hh_fec!T25/SER_hh_num!T25)</f>
        <v>32318.426592665935</v>
      </c>
      <c r="U25" s="132">
        <f>IF(SER_hh_fec!U25=0,0,11630*1000*SER_hh_fec!U25/SER_hh_num!U25)</f>
        <v>34262.556290675173</v>
      </c>
      <c r="V25" s="132">
        <f>IF(SER_hh_fec!V25=0,0,11630*1000*SER_hh_fec!V25/SER_hh_num!V25)</f>
        <v>35341.775236394082</v>
      </c>
      <c r="W25" s="132">
        <f>IF(SER_hh_fec!W25=0,0,11630*1000*SER_hh_fec!W25/SER_hh_num!W25)</f>
        <v>32353.707219757958</v>
      </c>
      <c r="X25" s="132">
        <f>IF(SER_hh_fec!X25=0,0,11630*1000*SER_hh_fec!X25/SER_hh_num!X25)</f>
        <v>31795.949035869893</v>
      </c>
      <c r="Y25" s="132">
        <f>IF(SER_hh_fec!Y25=0,0,11630*1000*SER_hh_fec!Y25/SER_hh_num!Y25)</f>
        <v>32707.522484858753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43063.142572723729</v>
      </c>
      <c r="C26" s="65">
        <f>IF(SER_hh_fec!C26=0,0,11630*1000*SER_hh_fec!C26/SER_hh_num!C26)</f>
        <v>44703.428069434078</v>
      </c>
      <c r="D26" s="65">
        <f>IF(SER_hh_fec!D26=0,0,11630*1000*SER_hh_fec!D26/SER_hh_num!D26)</f>
        <v>44379.414371804785</v>
      </c>
      <c r="E26" s="65">
        <f>IF(SER_hh_fec!E26=0,0,11630*1000*SER_hh_fec!E26/SER_hh_num!E26)</f>
        <v>39092.93045283336</v>
      </c>
      <c r="F26" s="65">
        <f>IF(SER_hh_fec!F26=0,0,11630*1000*SER_hh_fec!F26/SER_hh_num!F26)</f>
        <v>40007.781300567651</v>
      </c>
      <c r="G26" s="65">
        <f>IF(SER_hh_fec!G26=0,0,11630*1000*SER_hh_fec!G26/SER_hh_num!G26)</f>
        <v>40078.064099849507</v>
      </c>
      <c r="H26" s="65">
        <f>IF(SER_hh_fec!H26=0,0,11630*1000*SER_hh_fec!H26/SER_hh_num!H26)</f>
        <v>42608.36712626378</v>
      </c>
      <c r="I26" s="65">
        <f>IF(SER_hh_fec!I26=0,0,11630*1000*SER_hh_fec!I26/SER_hh_num!I26)</f>
        <v>42773.262957180996</v>
      </c>
      <c r="J26" s="65">
        <f>IF(SER_hh_fec!J26=0,0,11630*1000*SER_hh_fec!J26/SER_hh_num!J26)</f>
        <v>41894.132596381001</v>
      </c>
      <c r="K26" s="65">
        <f>IF(SER_hh_fec!K26=0,0,11630*1000*SER_hh_fec!K26/SER_hh_num!K26)</f>
        <v>43793.186675625271</v>
      </c>
      <c r="L26" s="65">
        <f>IF(SER_hh_fec!L26=0,0,11630*1000*SER_hh_fec!L26/SER_hh_num!L26)</f>
        <v>39463.578411967501</v>
      </c>
      <c r="M26" s="65">
        <f>IF(SER_hh_fec!M26=0,0,11630*1000*SER_hh_fec!M26/SER_hh_num!M26)</f>
        <v>41766.771996780066</v>
      </c>
      <c r="N26" s="65">
        <f>IF(SER_hh_fec!N26=0,0,11630*1000*SER_hh_fec!N26/SER_hh_num!N26)</f>
        <v>40030.586152211348</v>
      </c>
      <c r="O26" s="65">
        <f>IF(SER_hh_fec!O26=0,0,11630*1000*SER_hh_fec!O26/SER_hh_num!O26)</f>
        <v>40658.351841842436</v>
      </c>
      <c r="P26" s="65">
        <f>IF(SER_hh_fec!P26=0,0,11630*1000*SER_hh_fec!P26/SER_hh_num!P26)</f>
        <v>40749.16719030805</v>
      </c>
      <c r="Q26" s="65">
        <f>IF(SER_hh_fec!Q26=0,0,11630*1000*SER_hh_fec!Q26/SER_hh_num!Q26)</f>
        <v>37911.282319957463</v>
      </c>
      <c r="R26" s="65">
        <f>IF(SER_hh_fec!R26=0,0,11630*1000*SER_hh_fec!R26/SER_hh_num!R26)</f>
        <v>35801.409021091677</v>
      </c>
      <c r="S26" s="65">
        <f>IF(SER_hh_fec!S26=0,0,11630*1000*SER_hh_fec!S26/SER_hh_num!S26)</f>
        <v>42184.267358885605</v>
      </c>
      <c r="T26" s="65">
        <f>IF(SER_hh_fec!T26=0,0,11630*1000*SER_hh_fec!T26/SER_hh_num!T26)</f>
        <v>41030.841245540287</v>
      </c>
      <c r="U26" s="65">
        <f>IF(SER_hh_fec!U26=0,0,11630*1000*SER_hh_fec!U26/SER_hh_num!U26)</f>
        <v>36683.492344896193</v>
      </c>
      <c r="V26" s="65">
        <f>IF(SER_hh_fec!V26=0,0,11630*1000*SER_hh_fec!V26/SER_hh_num!V26)</f>
        <v>35726.919395226978</v>
      </c>
      <c r="W26" s="65">
        <f>IF(SER_hh_fec!W26=0,0,11630*1000*SER_hh_fec!W26/SER_hh_num!W26)</f>
        <v>31466.495786474366</v>
      </c>
      <c r="X26" s="65">
        <f>IF(SER_hh_fec!X26=0,0,11630*1000*SER_hh_fec!X26/SER_hh_num!X26)</f>
        <v>37120.571686969044</v>
      </c>
      <c r="Y26" s="65">
        <f>IF(SER_hh_fec!Y26=0,0,11630*1000*SER_hh_fec!Y26/SER_hh_num!Y26)</f>
        <v>36331.363582339043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0</v>
      </c>
      <c r="C27" s="145">
        <f>IF(SER_hh_fec!C27=0,0,11630*1000*SER_hh_fec!C27/SER_hh_num!C19)</f>
        <v>0</v>
      </c>
      <c r="D27" s="145">
        <f>IF(SER_hh_fec!D27=0,0,11630*1000*SER_hh_fec!D27/SER_hh_num!D19)</f>
        <v>0</v>
      </c>
      <c r="E27" s="145">
        <f>IF(SER_hh_fec!E27=0,0,11630*1000*SER_hh_fec!E27/SER_hh_num!E19)</f>
        <v>0</v>
      </c>
      <c r="F27" s="145">
        <f>IF(SER_hh_fec!F27=0,0,11630*1000*SER_hh_fec!F27/SER_hh_num!F19)</f>
        <v>0</v>
      </c>
      <c r="G27" s="145">
        <f>IF(SER_hh_fec!G27=0,0,11630*1000*SER_hh_fec!G27/SER_hh_num!G19)</f>
        <v>0</v>
      </c>
      <c r="H27" s="145">
        <f>IF(SER_hh_fec!H27=0,0,11630*1000*SER_hh_fec!H27/SER_hh_num!H19)</f>
        <v>0</v>
      </c>
      <c r="I27" s="145">
        <f>IF(SER_hh_fec!I27=0,0,11630*1000*SER_hh_fec!I27/SER_hh_num!I19)</f>
        <v>0</v>
      </c>
      <c r="J27" s="145">
        <f>IF(SER_hh_fec!J27=0,0,11630*1000*SER_hh_fec!J27/SER_hh_num!J19)</f>
        <v>0</v>
      </c>
      <c r="K27" s="145">
        <f>IF(SER_hh_fec!K27=0,0,11630*1000*SER_hh_fec!K27/SER_hh_num!K19)</f>
        <v>0</v>
      </c>
      <c r="L27" s="145">
        <f>IF(SER_hh_fec!L27=0,0,11630*1000*SER_hh_fec!L27/SER_hh_num!L19)</f>
        <v>0</v>
      </c>
      <c r="M27" s="145">
        <f>IF(SER_hh_fec!M27=0,0,11630*1000*SER_hh_fec!M27/SER_hh_num!M19)</f>
        <v>0</v>
      </c>
      <c r="N27" s="145">
        <f>IF(SER_hh_fec!N27=0,0,11630*1000*SER_hh_fec!N27/SER_hh_num!N19)</f>
        <v>0</v>
      </c>
      <c r="O27" s="145">
        <f>IF(SER_hh_fec!O27=0,0,11630*1000*SER_hh_fec!O27/SER_hh_num!O19)</f>
        <v>0</v>
      </c>
      <c r="P27" s="145">
        <f>IF(SER_hh_fec!P27=0,0,11630*1000*SER_hh_fec!P27/SER_hh_num!P19)</f>
        <v>0</v>
      </c>
      <c r="Q27" s="145">
        <f>IF(SER_hh_fec!Q27=0,0,11630*1000*SER_hh_fec!Q27/SER_hh_num!Q19)</f>
        <v>0</v>
      </c>
      <c r="R27" s="145">
        <f>IF(SER_hh_fec!R27=0,0,11630*1000*SER_hh_fec!R27/SER_hh_num!R19)</f>
        <v>0</v>
      </c>
      <c r="S27" s="145">
        <f>IF(SER_hh_fec!S27=0,0,11630*1000*SER_hh_fec!S27/SER_hh_num!S19)</f>
        <v>0</v>
      </c>
      <c r="T27" s="145">
        <f>IF(SER_hh_fec!T27=0,0,11630*1000*SER_hh_fec!T27/SER_hh_num!T19)</f>
        <v>0</v>
      </c>
      <c r="U27" s="145">
        <f>IF(SER_hh_fec!U27=0,0,11630*1000*SER_hh_fec!U27/SER_hh_num!U19)</f>
        <v>0</v>
      </c>
      <c r="V27" s="145">
        <f>IF(SER_hh_fec!V27=0,0,11630*1000*SER_hh_fec!V27/SER_hh_num!V19)</f>
        <v>0</v>
      </c>
      <c r="W27" s="145">
        <f>IF(SER_hh_fec!W27=0,0,11630*1000*SER_hh_fec!W27/SER_hh_num!W19)</f>
        <v>0</v>
      </c>
      <c r="X27" s="145">
        <f>IF(SER_hh_fec!X27=0,0,11630*1000*SER_hh_fec!X27/SER_hh_num!X19)</f>
        <v>0</v>
      </c>
      <c r="Y27" s="145">
        <f>IF(SER_hh_fec!Y27=0,0,11630*1000*SER_hh_fec!Y27/SER_hh_num!Y19)</f>
        <v>0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0</v>
      </c>
      <c r="C28" s="146">
        <f>IF(SER_hh_fec!C27=0,0,11630*1000*SER_hh_fec!C27/SER_hh_num!C27)</f>
        <v>0</v>
      </c>
      <c r="D28" s="146">
        <f>IF(SER_hh_fec!D27=0,0,11630*1000*SER_hh_fec!D27/SER_hh_num!D27)</f>
        <v>0</v>
      </c>
      <c r="E28" s="146">
        <f>IF(SER_hh_fec!E27=0,0,11630*1000*SER_hh_fec!E27/SER_hh_num!E27)</f>
        <v>0</v>
      </c>
      <c r="F28" s="146">
        <f>IF(SER_hh_fec!F27=0,0,11630*1000*SER_hh_fec!F27/SER_hh_num!F27)</f>
        <v>0</v>
      </c>
      <c r="G28" s="146">
        <f>IF(SER_hh_fec!G27=0,0,11630*1000*SER_hh_fec!G27/SER_hh_num!G27)</f>
        <v>0</v>
      </c>
      <c r="H28" s="146">
        <f>IF(SER_hh_fec!H27=0,0,11630*1000*SER_hh_fec!H27/SER_hh_num!H27)</f>
        <v>0</v>
      </c>
      <c r="I28" s="146">
        <f>IF(SER_hh_fec!I27=0,0,11630*1000*SER_hh_fec!I27/SER_hh_num!I27)</f>
        <v>0</v>
      </c>
      <c r="J28" s="146">
        <f>IF(SER_hh_fec!J27=0,0,11630*1000*SER_hh_fec!J27/SER_hh_num!J27)</f>
        <v>0</v>
      </c>
      <c r="K28" s="146">
        <f>IF(SER_hh_fec!K27=0,0,11630*1000*SER_hh_fec!K27/SER_hh_num!K27)</f>
        <v>0</v>
      </c>
      <c r="L28" s="146">
        <f>IF(SER_hh_fec!L27=0,0,11630*1000*SER_hh_fec!L27/SER_hh_num!L27)</f>
        <v>0</v>
      </c>
      <c r="M28" s="146">
        <f>IF(SER_hh_fec!M27=0,0,11630*1000*SER_hh_fec!M27/SER_hh_num!M27)</f>
        <v>0</v>
      </c>
      <c r="N28" s="146">
        <f>IF(SER_hh_fec!N27=0,0,11630*1000*SER_hh_fec!N27/SER_hh_num!N27)</f>
        <v>0</v>
      </c>
      <c r="O28" s="146">
        <f>IF(SER_hh_fec!O27=0,0,11630*1000*SER_hh_fec!O27/SER_hh_num!O27)</f>
        <v>0</v>
      </c>
      <c r="P28" s="146">
        <f>IF(SER_hh_fec!P27=0,0,11630*1000*SER_hh_fec!P27/SER_hh_num!P27)</f>
        <v>0</v>
      </c>
      <c r="Q28" s="146">
        <f>IF(SER_hh_fec!Q27=0,0,11630*1000*SER_hh_fec!Q27/SER_hh_num!Q27)</f>
        <v>0</v>
      </c>
      <c r="R28" s="146">
        <f>IF(SER_hh_fec!R27=0,0,11630*1000*SER_hh_fec!R27/SER_hh_num!R27)</f>
        <v>0</v>
      </c>
      <c r="S28" s="146">
        <f>IF(SER_hh_fec!S27=0,0,11630*1000*SER_hh_fec!S27/SER_hh_num!S27)</f>
        <v>0</v>
      </c>
      <c r="T28" s="146">
        <f>IF(SER_hh_fec!T27=0,0,11630*1000*SER_hh_fec!T27/SER_hh_num!T27)</f>
        <v>0</v>
      </c>
      <c r="U28" s="146">
        <f>IF(SER_hh_fec!U27=0,0,11630*1000*SER_hh_fec!U27/SER_hh_num!U27)</f>
        <v>0</v>
      </c>
      <c r="V28" s="146">
        <f>IF(SER_hh_fec!V27=0,0,11630*1000*SER_hh_fec!V27/SER_hh_num!V27)</f>
        <v>0</v>
      </c>
      <c r="W28" s="146">
        <f>IF(SER_hh_fec!W27=0,0,11630*1000*SER_hh_fec!W27/SER_hh_num!W27)</f>
        <v>0</v>
      </c>
      <c r="X28" s="146">
        <f>IF(SER_hh_fec!X27=0,0,11630*1000*SER_hh_fec!X27/SER_hh_num!X27)</f>
        <v>0</v>
      </c>
      <c r="Y28" s="146">
        <f>IF(SER_hh_fec!Y27=0,0,11630*1000*SER_hh_fec!Y27/SER_hh_num!Y27)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47195.663686554646</v>
      </c>
      <c r="C29" s="130">
        <f>IF(SER_hh_fec!C29=0,0,11630*1000*SER_hh_fec!C29/SER_hh_num!C29)</f>
        <v>49624.101919974622</v>
      </c>
      <c r="D29" s="130">
        <f>IF(SER_hh_fec!D29=0,0,11630*1000*SER_hh_fec!D29/SER_hh_num!D29)</f>
        <v>49292.975846137248</v>
      </c>
      <c r="E29" s="130">
        <f>IF(SER_hh_fec!E29=0,0,11630*1000*SER_hh_fec!E29/SER_hh_num!E29)</f>
        <v>49217.560166540214</v>
      </c>
      <c r="F29" s="130">
        <f>IF(SER_hh_fec!F29=0,0,11630*1000*SER_hh_fec!F29/SER_hh_num!F29)</f>
        <v>49219.368951673758</v>
      </c>
      <c r="G29" s="130">
        <f>IF(SER_hh_fec!G29=0,0,11630*1000*SER_hh_fec!G29/SER_hh_num!G29)</f>
        <v>49370.885968317889</v>
      </c>
      <c r="H29" s="130">
        <f>IF(SER_hh_fec!H29=0,0,11630*1000*SER_hh_fec!H29/SER_hh_num!H29)</f>
        <v>50166.675821690456</v>
      </c>
      <c r="I29" s="130">
        <f>IF(SER_hh_fec!I29=0,0,11630*1000*SER_hh_fec!I29/SER_hh_num!I29)</f>
        <v>49979.971259067141</v>
      </c>
      <c r="J29" s="130">
        <f>IF(SER_hh_fec!J29=0,0,11630*1000*SER_hh_fec!J29/SER_hh_num!J29)</f>
        <v>50273.072371190101</v>
      </c>
      <c r="K29" s="130">
        <f>IF(SER_hh_fec!K29=0,0,11630*1000*SER_hh_fec!K29/SER_hh_num!K29)</f>
        <v>53016.488372666776</v>
      </c>
      <c r="L29" s="130">
        <f>IF(SER_hh_fec!L29=0,0,11630*1000*SER_hh_fec!L29/SER_hh_num!L29)</f>
        <v>53620.6449991728</v>
      </c>
      <c r="M29" s="130">
        <f>IF(SER_hh_fec!M29=0,0,11630*1000*SER_hh_fec!M29/SER_hh_num!M29)</f>
        <v>53630.210324297441</v>
      </c>
      <c r="N29" s="130">
        <f>IF(SER_hh_fec!N29=0,0,11630*1000*SER_hh_fec!N29/SER_hh_num!N29)</f>
        <v>53860.319559905976</v>
      </c>
      <c r="O29" s="130">
        <f>IF(SER_hh_fec!O29=0,0,11630*1000*SER_hh_fec!O29/SER_hh_num!O29)</f>
        <v>53587.572155736256</v>
      </c>
      <c r="P29" s="130">
        <f>IF(SER_hh_fec!P29=0,0,11630*1000*SER_hh_fec!P29/SER_hh_num!P29)</f>
        <v>52886.799573309821</v>
      </c>
      <c r="Q29" s="130">
        <f>IF(SER_hh_fec!Q29=0,0,11630*1000*SER_hh_fec!Q29/SER_hh_num!Q29)</f>
        <v>53267.247394934202</v>
      </c>
      <c r="R29" s="130">
        <f>IF(SER_hh_fec!R29=0,0,11630*1000*SER_hh_fec!R29/SER_hh_num!R29)</f>
        <v>53127.42313053675</v>
      </c>
      <c r="S29" s="130">
        <f>IF(SER_hh_fec!S29=0,0,11630*1000*SER_hh_fec!S29/SER_hh_num!S29)</f>
        <v>52436.313254722714</v>
      </c>
      <c r="T29" s="130">
        <f>IF(SER_hh_fec!T29=0,0,11630*1000*SER_hh_fec!T29/SER_hh_num!T29)</f>
        <v>52081.075189056879</v>
      </c>
      <c r="U29" s="130">
        <f>IF(SER_hh_fec!U29=0,0,11630*1000*SER_hh_fec!U29/SER_hh_num!U29)</f>
        <v>52708.792474073576</v>
      </c>
      <c r="V29" s="130">
        <f>IF(SER_hh_fec!V29=0,0,11630*1000*SER_hh_fec!V29/SER_hh_num!V29)</f>
        <v>47739.509982816773</v>
      </c>
      <c r="W29" s="130">
        <f>IF(SER_hh_fec!W29=0,0,11630*1000*SER_hh_fec!W29/SER_hh_num!W29)</f>
        <v>54222.852723029348</v>
      </c>
      <c r="X29" s="130">
        <f>IF(SER_hh_fec!X29=0,0,11630*1000*SER_hh_fec!X29/SER_hh_num!X29)</f>
        <v>52967.457786940337</v>
      </c>
      <c r="Y29" s="130">
        <f>IF(SER_hh_fec!Y29=0,0,11630*1000*SER_hh_fec!Y29/SER_hh_num!Y29)</f>
        <v>54465.059814669497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37319.866654592661</v>
      </c>
      <c r="C30" s="132">
        <f>IF(SER_hh_fec!C30=0,0,11630*1000*SER_hh_fec!C30/SER_hh_num!C30)</f>
        <v>77919.629441802041</v>
      </c>
      <c r="D30" s="132">
        <f>IF(SER_hh_fec!D30=0,0,11630*1000*SER_hh_fec!D30/SER_hh_num!D30)</f>
        <v>57796.922581187144</v>
      </c>
      <c r="E30" s="132">
        <f>IF(SER_hh_fec!E30=0,0,11630*1000*SER_hh_fec!E30/SER_hh_num!E30)</f>
        <v>27722.276803425604</v>
      </c>
      <c r="F30" s="132">
        <f>IF(SER_hh_fec!F30=0,0,11630*1000*SER_hh_fec!F30/SER_hh_num!F30)</f>
        <v>0</v>
      </c>
      <c r="G30" s="132">
        <f>IF(SER_hh_fec!G30=0,0,11630*1000*SER_hh_fec!G30/SER_hh_num!G30)</f>
        <v>0</v>
      </c>
      <c r="H30" s="132">
        <f>IF(SER_hh_fec!H30=0,0,11630*1000*SER_hh_fec!H30/SER_hh_num!H30)</f>
        <v>0</v>
      </c>
      <c r="I30" s="132">
        <f>IF(SER_hh_fec!I30=0,0,11630*1000*SER_hh_fec!I30/SER_hh_num!I30)</f>
        <v>0</v>
      </c>
      <c r="J30" s="132">
        <f>IF(SER_hh_fec!J30=0,0,11630*1000*SER_hh_fec!J30/SER_hh_num!J30)</f>
        <v>0</v>
      </c>
      <c r="K30" s="132">
        <f>IF(SER_hh_fec!K30=0,0,11630*1000*SER_hh_fec!K30/SER_hh_num!K30)</f>
        <v>84698.859852532754</v>
      </c>
      <c r="L30" s="132">
        <f>IF(SER_hh_fec!L30=0,0,11630*1000*SER_hh_fec!L30/SER_hh_num!L30)</f>
        <v>69047.662500389473</v>
      </c>
      <c r="M30" s="132">
        <f>IF(SER_hh_fec!M30=0,0,11630*1000*SER_hh_fec!M30/SER_hh_num!M30)</f>
        <v>62507.208040646838</v>
      </c>
      <c r="N30" s="132">
        <f>IF(SER_hh_fec!N30=0,0,11630*1000*SER_hh_fec!N30/SER_hh_num!N30)</f>
        <v>62953.141435470985</v>
      </c>
      <c r="O30" s="132">
        <f>IF(SER_hh_fec!O30=0,0,11630*1000*SER_hh_fec!O30/SER_hh_num!O30)</f>
        <v>65279.444005224061</v>
      </c>
      <c r="P30" s="132">
        <f>IF(SER_hh_fec!P30=0,0,11630*1000*SER_hh_fec!P30/SER_hh_num!P30)</f>
        <v>59331.03572708623</v>
      </c>
      <c r="Q30" s="132">
        <f>IF(SER_hh_fec!Q30=0,0,11630*1000*SER_hh_fec!Q30/SER_hh_num!Q30)</f>
        <v>64444.275009151701</v>
      </c>
      <c r="R30" s="132">
        <f>IF(SER_hh_fec!R30=0,0,11630*1000*SER_hh_fec!R30/SER_hh_num!R30)</f>
        <v>69750.362601966102</v>
      </c>
      <c r="S30" s="132">
        <f>IF(SER_hh_fec!S30=0,0,11630*1000*SER_hh_fec!S30/SER_hh_num!S30)</f>
        <v>63710.992296203854</v>
      </c>
      <c r="T30" s="132">
        <f>IF(SER_hh_fec!T30=0,0,11630*1000*SER_hh_fec!T30/SER_hh_num!T30)</f>
        <v>56052.98691742427</v>
      </c>
      <c r="U30" s="132">
        <f>IF(SER_hh_fec!U30=0,0,11630*1000*SER_hh_fec!U30/SER_hh_num!U30)</f>
        <v>69977.557122924118</v>
      </c>
      <c r="V30" s="132">
        <f>IF(SER_hh_fec!V30=0,0,11630*1000*SER_hh_fec!V30/SER_hh_num!V30)</f>
        <v>54957.725909424611</v>
      </c>
      <c r="W30" s="132">
        <f>IF(SER_hh_fec!W30=0,0,11630*1000*SER_hh_fec!W30/SER_hh_num!W30)</f>
        <v>81537.744449671081</v>
      </c>
      <c r="X30" s="132">
        <f>IF(SER_hh_fec!X30=0,0,11630*1000*SER_hh_fec!X30/SER_hh_num!X30)</f>
        <v>57704.440114183228</v>
      </c>
      <c r="Y30" s="132">
        <f>IF(SER_hh_fec!Y30=0,0,11630*1000*SER_hh_fec!Y30/SER_hh_num!Y30)</f>
        <v>73557.594697890483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52809.838700489359</v>
      </c>
      <c r="C31" s="132">
        <f>IF(SER_hh_fec!C31=0,0,11630*1000*SER_hh_fec!C31/SER_hh_num!C31)</f>
        <v>53392.708492008001</v>
      </c>
      <c r="D31" s="132">
        <f>IF(SER_hh_fec!D31=0,0,11630*1000*SER_hh_fec!D31/SER_hh_num!D31)</f>
        <v>55588.211648689903</v>
      </c>
      <c r="E31" s="132">
        <f>IF(SER_hh_fec!E31=0,0,11630*1000*SER_hh_fec!E31/SER_hh_num!E31)</f>
        <v>56544.709411062744</v>
      </c>
      <c r="F31" s="132">
        <f>IF(SER_hh_fec!F31=0,0,11630*1000*SER_hh_fec!F31/SER_hh_num!F31)</f>
        <v>58049.461482103194</v>
      </c>
      <c r="G31" s="132">
        <f>IF(SER_hh_fec!G31=0,0,11630*1000*SER_hh_fec!G31/SER_hh_num!G31)</f>
        <v>56883.76502776226</v>
      </c>
      <c r="H31" s="132">
        <f>IF(SER_hh_fec!H31=0,0,11630*1000*SER_hh_fec!H31/SER_hh_num!H31)</f>
        <v>59572.992434675441</v>
      </c>
      <c r="I31" s="132">
        <f>IF(SER_hh_fec!I31=0,0,11630*1000*SER_hh_fec!I31/SER_hh_num!I31)</f>
        <v>59838.254376322264</v>
      </c>
      <c r="J31" s="132">
        <f>IF(SER_hh_fec!J31=0,0,11630*1000*SER_hh_fec!J31/SER_hh_num!J31)</f>
        <v>60874.362448104795</v>
      </c>
      <c r="K31" s="132">
        <f>IF(SER_hh_fec!K31=0,0,11630*1000*SER_hh_fec!K31/SER_hh_num!K31)</f>
        <v>58072.039728247822</v>
      </c>
      <c r="L31" s="132">
        <f>IF(SER_hh_fec!L31=0,0,11630*1000*SER_hh_fec!L31/SER_hh_num!L31)</f>
        <v>59525.71958751214</v>
      </c>
      <c r="M31" s="132">
        <f>IF(SER_hh_fec!M31=0,0,11630*1000*SER_hh_fec!M31/SER_hh_num!M31)</f>
        <v>62627.64118150108</v>
      </c>
      <c r="N31" s="132">
        <f>IF(SER_hh_fec!N31=0,0,11630*1000*SER_hh_fec!N31/SER_hh_num!N31)</f>
        <v>63434.199927371621</v>
      </c>
      <c r="O31" s="132">
        <f>IF(SER_hh_fec!O31=0,0,11630*1000*SER_hh_fec!O31/SER_hh_num!O31)</f>
        <v>62133.8172263292</v>
      </c>
      <c r="P31" s="132">
        <f>IF(SER_hh_fec!P31=0,0,11630*1000*SER_hh_fec!P31/SER_hh_num!P31)</f>
        <v>61854.189791263459</v>
      </c>
      <c r="Q31" s="132">
        <f>IF(SER_hh_fec!Q31=0,0,11630*1000*SER_hh_fec!Q31/SER_hh_num!Q31)</f>
        <v>63171.482951528</v>
      </c>
      <c r="R31" s="132">
        <f>IF(SER_hh_fec!R31=0,0,11630*1000*SER_hh_fec!R31/SER_hh_num!R31)</f>
        <v>64315.701010123092</v>
      </c>
      <c r="S31" s="132">
        <f>IF(SER_hh_fec!S31=0,0,11630*1000*SER_hh_fec!S31/SER_hh_num!S31)</f>
        <v>62104.490668863822</v>
      </c>
      <c r="T31" s="132">
        <f>IF(SER_hh_fec!T31=0,0,11630*1000*SER_hh_fec!T31/SER_hh_num!T31)</f>
        <v>66243.291759459113</v>
      </c>
      <c r="U31" s="132">
        <f>IF(SER_hh_fec!U31=0,0,11630*1000*SER_hh_fec!U31/SER_hh_num!U31)</f>
        <v>65247.7967979471</v>
      </c>
      <c r="V31" s="132">
        <f>IF(SER_hh_fec!V31=0,0,11630*1000*SER_hh_fec!V31/SER_hh_num!V31)</f>
        <v>48944.025641002489</v>
      </c>
      <c r="W31" s="132">
        <f>IF(SER_hh_fec!W31=0,0,11630*1000*SER_hh_fec!W31/SER_hh_num!W31)</f>
        <v>53492.688982582476</v>
      </c>
      <c r="X31" s="132">
        <f>IF(SER_hh_fec!X31=0,0,11630*1000*SER_hh_fec!X31/SER_hh_num!X31)</f>
        <v>74607.610957072786</v>
      </c>
      <c r="Y31" s="132">
        <f>IF(SER_hh_fec!Y31=0,0,11630*1000*SER_hh_fec!Y31/SER_hh_num!Y31)</f>
        <v>65782.493255006615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45201.144273299309</v>
      </c>
      <c r="C33" s="68">
        <f>IF(SER_hh_fec!C33=0,0,11630*1000*SER_hh_fec!C33/SER_hh_num!C33)</f>
        <v>33707.861631048596</v>
      </c>
      <c r="D33" s="68">
        <f>IF(SER_hh_fec!D33=0,0,11630*1000*SER_hh_fec!D33/SER_hh_num!D33)</f>
        <v>41152.288344771026</v>
      </c>
      <c r="E33" s="68">
        <f>IF(SER_hh_fec!E33=0,0,11630*1000*SER_hh_fec!E33/SER_hh_num!E33)</f>
        <v>45424.014045136893</v>
      </c>
      <c r="F33" s="68">
        <f>IF(SER_hh_fec!F33=0,0,11630*1000*SER_hh_fec!F33/SER_hh_num!F33)</f>
        <v>42779.284913795294</v>
      </c>
      <c r="G33" s="68">
        <f>IF(SER_hh_fec!G33=0,0,11630*1000*SER_hh_fec!G33/SER_hh_num!G33)</f>
        <v>44281.618799411714</v>
      </c>
      <c r="H33" s="68">
        <f>IF(SER_hh_fec!H33=0,0,11630*1000*SER_hh_fec!H33/SER_hh_num!H33)</f>
        <v>44166.849481736244</v>
      </c>
      <c r="I33" s="68">
        <f>IF(SER_hh_fec!I33=0,0,11630*1000*SER_hh_fec!I33/SER_hh_num!I33)</f>
        <v>44277.85894623791</v>
      </c>
      <c r="J33" s="68">
        <f>IF(SER_hh_fec!J33=0,0,11630*1000*SER_hh_fec!J33/SER_hh_num!J33)</f>
        <v>44807.100176689346</v>
      </c>
      <c r="K33" s="68">
        <f>IF(SER_hh_fec!K33=0,0,11630*1000*SER_hh_fec!K33/SER_hh_num!K33)</f>
        <v>42662.422780360394</v>
      </c>
      <c r="L33" s="68">
        <f>IF(SER_hh_fec!L33=0,0,11630*1000*SER_hh_fec!L33/SER_hh_num!L33)</f>
        <v>45398.045100767005</v>
      </c>
      <c r="M33" s="68">
        <f>IF(SER_hh_fec!M33=0,0,11630*1000*SER_hh_fec!M33/SER_hh_num!M33)</f>
        <v>45767.77994646279</v>
      </c>
      <c r="N33" s="68">
        <f>IF(SER_hh_fec!N33=0,0,11630*1000*SER_hh_fec!N33/SER_hh_num!N33)</f>
        <v>46291.941497034713</v>
      </c>
      <c r="O33" s="68">
        <f>IF(SER_hh_fec!O33=0,0,11630*1000*SER_hh_fec!O33/SER_hh_num!O33)</f>
        <v>46435.6438764876</v>
      </c>
      <c r="P33" s="68">
        <f>IF(SER_hh_fec!P33=0,0,11630*1000*SER_hh_fec!P33/SER_hh_num!P33)</f>
        <v>48028.775407098212</v>
      </c>
      <c r="Q33" s="68">
        <f>IF(SER_hh_fec!Q33=0,0,11630*1000*SER_hh_fec!Q33/SER_hh_num!Q33)</f>
        <v>47377.809202945791</v>
      </c>
      <c r="R33" s="68">
        <f>IF(SER_hh_fec!R33=0,0,11630*1000*SER_hh_fec!R33/SER_hh_num!R33)</f>
        <v>46172.765339181751</v>
      </c>
      <c r="S33" s="68">
        <f>IF(SER_hh_fec!S33=0,0,11630*1000*SER_hh_fec!S33/SER_hh_num!S33)</f>
        <v>47940.696125314054</v>
      </c>
      <c r="T33" s="68">
        <f>IF(SER_hh_fec!T33=0,0,11630*1000*SER_hh_fec!T33/SER_hh_num!T33)</f>
        <v>48876.383796562593</v>
      </c>
      <c r="U33" s="68">
        <f>IF(SER_hh_fec!U33=0,0,11630*1000*SER_hh_fec!U33/SER_hh_num!U33)</f>
        <v>47589.163589707896</v>
      </c>
      <c r="V33" s="68">
        <f>IF(SER_hh_fec!V33=0,0,11630*1000*SER_hh_fec!V33/SER_hh_num!V33)</f>
        <v>46223.235047492628</v>
      </c>
      <c r="W33" s="68">
        <f>IF(SER_hh_fec!W33=0,0,11630*1000*SER_hh_fec!W33/SER_hh_num!W33)</f>
        <v>49113.548831550033</v>
      </c>
      <c r="X33" s="68">
        <f>IF(SER_hh_fec!X33=0,0,11630*1000*SER_hh_fec!X33/SER_hh_num!X33)</f>
        <v>48058.211398828738</v>
      </c>
      <c r="Y33" s="68">
        <f>IF(SER_hh_fec!Y33=0,0,11630*1000*SER_hh_fec!Y33/SER_hh_num!Y33)</f>
        <v>47951.839255377003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276906.91257720743</v>
      </c>
      <c r="C3" s="125">
        <f>IF(SER_hh_tes!C3=0,0,11630*1000*SER_hh_tes!C3/SER_hh_num!C3)</f>
        <v>289722.32052305742</v>
      </c>
      <c r="D3" s="125">
        <f>IF(SER_hh_tes!D3=0,0,11630*1000*SER_hh_tes!D3/SER_hh_num!D3)</f>
        <v>263982.63278770685</v>
      </c>
      <c r="E3" s="125">
        <f>IF(SER_hh_tes!E3=0,0,11630*1000*SER_hh_tes!E3/SER_hh_num!E3)</f>
        <v>312871.38557557168</v>
      </c>
      <c r="F3" s="125">
        <f>IF(SER_hh_tes!F3=0,0,11630*1000*SER_hh_tes!F3/SER_hh_num!F3)</f>
        <v>289028.39214682148</v>
      </c>
      <c r="G3" s="125">
        <f>IF(SER_hh_tes!G3=0,0,11630*1000*SER_hh_tes!G3/SER_hh_num!G3)</f>
        <v>288329.40621128515</v>
      </c>
      <c r="H3" s="125">
        <f>IF(SER_hh_tes!H3=0,0,11630*1000*SER_hh_tes!H3/SER_hh_num!H3)</f>
        <v>291485.43271971185</v>
      </c>
      <c r="I3" s="125">
        <f>IF(SER_hh_tes!I3=0,0,11630*1000*SER_hh_tes!I3/SER_hh_num!I3)</f>
        <v>293267.25540761946</v>
      </c>
      <c r="J3" s="125">
        <f>IF(SER_hh_tes!J3=0,0,11630*1000*SER_hh_tes!J3/SER_hh_num!J3)</f>
        <v>309300.5245466209</v>
      </c>
      <c r="K3" s="125">
        <f>IF(SER_hh_tes!K3=0,0,11630*1000*SER_hh_tes!K3/SER_hh_num!K3)</f>
        <v>295514.30130257999</v>
      </c>
      <c r="L3" s="125">
        <f>IF(SER_hh_tes!L3=0,0,11630*1000*SER_hh_tes!L3/SER_hh_num!L3)</f>
        <v>337033.34691097459</v>
      </c>
      <c r="M3" s="125">
        <f>IF(SER_hh_tes!M3=0,0,11630*1000*SER_hh_tes!M3/SER_hh_num!M3)</f>
        <v>267801.07891952526</v>
      </c>
      <c r="N3" s="125">
        <f>IF(SER_hh_tes!N3=0,0,11630*1000*SER_hh_tes!N3/SER_hh_num!N3)</f>
        <v>300416.66226421256</v>
      </c>
      <c r="O3" s="125">
        <f>IF(SER_hh_tes!O3=0,0,11630*1000*SER_hh_tes!O3/SER_hh_num!O3)</f>
        <v>312107.63880746241</v>
      </c>
      <c r="P3" s="125">
        <f>IF(SER_hh_tes!P3=0,0,11630*1000*SER_hh_tes!P3/SER_hh_num!P3)</f>
        <v>263668.74315803009</v>
      </c>
      <c r="Q3" s="125">
        <f>IF(SER_hh_tes!Q3=0,0,11630*1000*SER_hh_tes!Q3/SER_hh_num!Q3)</f>
        <v>297596.62907353119</v>
      </c>
      <c r="R3" s="125">
        <f>IF(SER_hh_tes!R3=0,0,11630*1000*SER_hh_tes!R3/SER_hh_num!R3)</f>
        <v>292997.74783373211</v>
      </c>
      <c r="S3" s="125">
        <f>IF(SER_hh_tes!S3=0,0,11630*1000*SER_hh_tes!S3/SER_hh_num!S3)</f>
        <v>335035.6094473378</v>
      </c>
      <c r="T3" s="125">
        <f>IF(SER_hh_tes!T3=0,0,11630*1000*SER_hh_tes!T3/SER_hh_num!T3)</f>
        <v>343293.84312475467</v>
      </c>
      <c r="U3" s="125">
        <f>IF(SER_hh_tes!U3=0,0,11630*1000*SER_hh_tes!U3/SER_hh_num!U3)</f>
        <v>388322.1615507871</v>
      </c>
      <c r="V3" s="125">
        <f>IF(SER_hh_tes!V3=0,0,11630*1000*SER_hh_tes!V3/SER_hh_num!V3)</f>
        <v>374803.94918271096</v>
      </c>
      <c r="W3" s="125">
        <f>IF(SER_hh_tes!W3=0,0,11630*1000*SER_hh_tes!W3/SER_hh_num!W3)</f>
        <v>414251.16079582396</v>
      </c>
      <c r="X3" s="125">
        <f>IF(SER_hh_tes!X3=0,0,11630*1000*SER_hh_tes!X3/SER_hh_num!X3)</f>
        <v>325697.39148330584</v>
      </c>
      <c r="Y3" s="125">
        <f>IF(SER_hh_tes!Y3=0,0,11630*1000*SER_hh_tes!Y3/SER_hh_num!Y3)</f>
        <v>316232.9771765155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213500.18073113982</v>
      </c>
      <c r="C4" s="130">
        <f>IF(SER_hh_tes!C4=0,0,11630*1000*SER_hh_tes!C4/SER_hh_num!C4)</f>
        <v>224333.2206208845</v>
      </c>
      <c r="D4" s="130">
        <f>IF(SER_hh_tes!D4=0,0,11630*1000*SER_hh_tes!D4/SER_hh_num!D4)</f>
        <v>196642.11588269344</v>
      </c>
      <c r="E4" s="130">
        <f>IF(SER_hh_tes!E4=0,0,11630*1000*SER_hh_tes!E4/SER_hh_num!E4)</f>
        <v>242311.69264149215</v>
      </c>
      <c r="F4" s="130">
        <f>IF(SER_hh_tes!F4=0,0,11630*1000*SER_hh_tes!F4/SER_hh_num!F4)</f>
        <v>219379.36515273346</v>
      </c>
      <c r="G4" s="130">
        <f>IF(SER_hh_tes!G4=0,0,11630*1000*SER_hh_tes!G4/SER_hh_num!G4)</f>
        <v>216520.93928322065</v>
      </c>
      <c r="H4" s="130">
        <f>IF(SER_hh_tes!H4=0,0,11630*1000*SER_hh_tes!H4/SER_hh_num!H4)</f>
        <v>216320.97772814095</v>
      </c>
      <c r="I4" s="130">
        <f>IF(SER_hh_tes!I4=0,0,11630*1000*SER_hh_tes!I4/SER_hh_num!I4)</f>
        <v>217925.81976791058</v>
      </c>
      <c r="J4" s="130">
        <f>IF(SER_hh_tes!J4=0,0,11630*1000*SER_hh_tes!J4/SER_hh_num!J4)</f>
        <v>231870.67109873041</v>
      </c>
      <c r="K4" s="130">
        <f>IF(SER_hh_tes!K4=0,0,11630*1000*SER_hh_tes!K4/SER_hh_num!K4)</f>
        <v>215860.82381217103</v>
      </c>
      <c r="L4" s="130">
        <f>IF(SER_hh_tes!L4=0,0,11630*1000*SER_hh_tes!L4/SER_hh_num!L4)</f>
        <v>254675.2308693236</v>
      </c>
      <c r="M4" s="130">
        <f>IF(SER_hh_tes!M4=0,0,11630*1000*SER_hh_tes!M4/SER_hh_num!M4)</f>
        <v>186037.9829641809</v>
      </c>
      <c r="N4" s="130">
        <f>IF(SER_hh_tes!N4=0,0,11630*1000*SER_hh_tes!N4/SER_hh_num!N4)</f>
        <v>216659.86125029993</v>
      </c>
      <c r="O4" s="130">
        <f>IF(SER_hh_tes!O4=0,0,11630*1000*SER_hh_tes!O4/SER_hh_num!O4)</f>
        <v>227060.27648588884</v>
      </c>
      <c r="P4" s="130">
        <f>IF(SER_hh_tes!P4=0,0,11630*1000*SER_hh_tes!P4/SER_hh_num!P4)</f>
        <v>178020.63583844257</v>
      </c>
      <c r="Q4" s="130">
        <f>IF(SER_hh_tes!Q4=0,0,11630*1000*SER_hh_tes!Q4/SER_hh_num!Q4)</f>
        <v>208395.44126480637</v>
      </c>
      <c r="R4" s="130">
        <f>IF(SER_hh_tes!R4=0,0,11630*1000*SER_hh_tes!R4/SER_hh_num!R4)</f>
        <v>205780.08834164383</v>
      </c>
      <c r="S4" s="130">
        <f>IF(SER_hh_tes!S4=0,0,11630*1000*SER_hh_tes!S4/SER_hh_num!S4)</f>
        <v>246368.73566169018</v>
      </c>
      <c r="T4" s="130">
        <f>IF(SER_hh_tes!T4=0,0,11630*1000*SER_hh_tes!T4/SER_hh_num!T4)</f>
        <v>251295.05172427761</v>
      </c>
      <c r="U4" s="130">
        <f>IF(SER_hh_tes!U4=0,0,11630*1000*SER_hh_tes!U4/SER_hh_num!U4)</f>
        <v>295274.68223131262</v>
      </c>
      <c r="V4" s="130">
        <f>IF(SER_hh_tes!V4=0,0,11630*1000*SER_hh_tes!V4/SER_hh_num!V4)</f>
        <v>288113.13646700437</v>
      </c>
      <c r="W4" s="130">
        <f>IF(SER_hh_tes!W4=0,0,11630*1000*SER_hh_tes!W4/SER_hh_num!W4)</f>
        <v>324570.98497441981</v>
      </c>
      <c r="X4" s="130">
        <f>IF(SER_hh_tes!X4=0,0,11630*1000*SER_hh_tes!X4/SER_hh_num!X4)</f>
        <v>234284.30357726425</v>
      </c>
      <c r="Y4" s="130">
        <f>IF(SER_hh_tes!Y4=0,0,11630*1000*SER_hh_tes!Y4/SER_hh_num!Y4)</f>
        <v>223989.1173335381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0</v>
      </c>
      <c r="C5" s="132">
        <f>IF(SER_hh_tes!C5=0,0,11630*1000*SER_hh_tes!C5/SER_hh_num!C5)</f>
        <v>0</v>
      </c>
      <c r="D5" s="132">
        <f>IF(SER_hh_tes!D5=0,0,11630*1000*SER_hh_tes!D5/SER_hh_num!D5)</f>
        <v>0</v>
      </c>
      <c r="E5" s="132">
        <f>IF(SER_hh_tes!E5=0,0,11630*1000*SER_hh_tes!E5/SER_hh_num!E5)</f>
        <v>0</v>
      </c>
      <c r="F5" s="132">
        <f>IF(SER_hh_tes!F5=0,0,11630*1000*SER_hh_tes!F5/SER_hh_num!F5)</f>
        <v>0</v>
      </c>
      <c r="G5" s="132">
        <f>IF(SER_hh_tes!G5=0,0,11630*1000*SER_hh_tes!G5/SER_hh_num!G5)</f>
        <v>0</v>
      </c>
      <c r="H5" s="132">
        <f>IF(SER_hh_tes!H5=0,0,11630*1000*SER_hh_tes!H5/SER_hh_num!H5)</f>
        <v>0</v>
      </c>
      <c r="I5" s="132">
        <f>IF(SER_hh_tes!I5=0,0,11630*1000*SER_hh_tes!I5/SER_hh_num!I5)</f>
        <v>0</v>
      </c>
      <c r="J5" s="132">
        <f>IF(SER_hh_tes!J5=0,0,11630*1000*SER_hh_tes!J5/SER_hh_num!J5)</f>
        <v>0</v>
      </c>
      <c r="K5" s="132">
        <f>IF(SER_hh_tes!K5=0,0,11630*1000*SER_hh_tes!K5/SER_hh_num!K5)</f>
        <v>0</v>
      </c>
      <c r="L5" s="132">
        <f>IF(SER_hh_tes!L5=0,0,11630*1000*SER_hh_tes!L5/SER_hh_num!L5)</f>
        <v>0</v>
      </c>
      <c r="M5" s="132">
        <f>IF(SER_hh_tes!M5=0,0,11630*1000*SER_hh_tes!M5/SER_hh_num!M5)</f>
        <v>0</v>
      </c>
      <c r="N5" s="132">
        <f>IF(SER_hh_tes!N5=0,0,11630*1000*SER_hh_tes!N5/SER_hh_num!N5)</f>
        <v>0</v>
      </c>
      <c r="O5" s="132">
        <f>IF(SER_hh_tes!O5=0,0,11630*1000*SER_hh_tes!O5/SER_hh_num!O5)</f>
        <v>0</v>
      </c>
      <c r="P5" s="132">
        <f>IF(SER_hh_tes!P5=0,0,11630*1000*SER_hh_tes!P5/SER_hh_num!P5)</f>
        <v>0</v>
      </c>
      <c r="Q5" s="132">
        <f>IF(SER_hh_tes!Q5=0,0,11630*1000*SER_hh_tes!Q5/SER_hh_num!Q5)</f>
        <v>0</v>
      </c>
      <c r="R5" s="132">
        <f>IF(SER_hh_tes!R5=0,0,11630*1000*SER_hh_tes!R5/SER_hh_num!R5)</f>
        <v>0</v>
      </c>
      <c r="S5" s="132">
        <f>IF(SER_hh_tes!S5=0,0,11630*1000*SER_hh_tes!S5/SER_hh_num!S5)</f>
        <v>0</v>
      </c>
      <c r="T5" s="132">
        <f>IF(SER_hh_tes!T5=0,0,11630*1000*SER_hh_tes!T5/SER_hh_num!T5)</f>
        <v>0</v>
      </c>
      <c r="U5" s="132">
        <f>IF(SER_hh_tes!U5=0,0,11630*1000*SER_hh_tes!U5/SER_hh_num!U5)</f>
        <v>0</v>
      </c>
      <c r="V5" s="132">
        <f>IF(SER_hh_tes!V5=0,0,11630*1000*SER_hh_tes!V5/SER_hh_num!V5)</f>
        <v>0</v>
      </c>
      <c r="W5" s="132">
        <f>IF(SER_hh_tes!W5=0,0,11630*1000*SER_hh_tes!W5/SER_hh_num!W5)</f>
        <v>0</v>
      </c>
      <c r="X5" s="132">
        <f>IF(SER_hh_tes!X5=0,0,11630*1000*SER_hh_tes!X5/SER_hh_num!X5)</f>
        <v>0</v>
      </c>
      <c r="Y5" s="132">
        <f>IF(SER_hh_tes!Y5=0,0,11630*1000*SER_hh_tes!Y5/SER_hh_num!Y5)</f>
        <v>0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172242.7642200531</v>
      </c>
      <c r="C7" s="132">
        <f>IF(SER_hh_tes!C7=0,0,11630*1000*SER_hh_tes!C7/SER_hh_num!C7)</f>
        <v>227529.18895067807</v>
      </c>
      <c r="D7" s="132">
        <f>IF(SER_hh_tes!D7=0,0,11630*1000*SER_hh_tes!D7/SER_hh_num!D7)</f>
        <v>215685.40833237072</v>
      </c>
      <c r="E7" s="132">
        <f>IF(SER_hh_tes!E7=0,0,11630*1000*SER_hh_tes!E7/SER_hh_num!E7)</f>
        <v>210574.4103007857</v>
      </c>
      <c r="F7" s="132">
        <f>IF(SER_hh_tes!F7=0,0,11630*1000*SER_hh_tes!F7/SER_hh_num!F7)</f>
        <v>229107.90326305141</v>
      </c>
      <c r="G7" s="132">
        <f>IF(SER_hh_tes!G7=0,0,11630*1000*SER_hh_tes!G7/SER_hh_num!G7)</f>
        <v>239105.67907507977</v>
      </c>
      <c r="H7" s="132">
        <f>IF(SER_hh_tes!H7=0,0,11630*1000*SER_hh_tes!H7/SER_hh_num!H7)</f>
        <v>178553.96561502476</v>
      </c>
      <c r="I7" s="132">
        <f>IF(SER_hh_tes!I7=0,0,11630*1000*SER_hh_tes!I7/SER_hh_num!I7)</f>
        <v>210504.67483493706</v>
      </c>
      <c r="J7" s="132">
        <f>IF(SER_hh_tes!J7=0,0,11630*1000*SER_hh_tes!J7/SER_hh_num!J7)</f>
        <v>187927.93938357031</v>
      </c>
      <c r="K7" s="132">
        <f>IF(SER_hh_tes!K7=0,0,11630*1000*SER_hh_tes!K7/SER_hh_num!K7)</f>
        <v>162843.85029822774</v>
      </c>
      <c r="L7" s="132">
        <f>IF(SER_hh_tes!L7=0,0,11630*1000*SER_hh_tes!L7/SER_hh_num!L7)</f>
        <v>285696.09172111959</v>
      </c>
      <c r="M7" s="132">
        <f>IF(SER_hh_tes!M7=0,0,11630*1000*SER_hh_tes!M7/SER_hh_num!M7)</f>
        <v>194379.63723816501</v>
      </c>
      <c r="N7" s="132">
        <f>IF(SER_hh_tes!N7=0,0,11630*1000*SER_hh_tes!N7/SER_hh_num!N7)</f>
        <v>192649.6903855296</v>
      </c>
      <c r="O7" s="132">
        <f>IF(SER_hh_tes!O7=0,0,11630*1000*SER_hh_tes!O7/SER_hh_num!O7)</f>
        <v>216162.88365799838</v>
      </c>
      <c r="P7" s="132">
        <f>IF(SER_hh_tes!P7=0,0,11630*1000*SER_hh_tes!P7/SER_hh_num!P7)</f>
        <v>167794.89926992674</v>
      </c>
      <c r="Q7" s="132">
        <f>IF(SER_hh_tes!Q7=0,0,11630*1000*SER_hh_tes!Q7/SER_hh_num!Q7)</f>
        <v>217417.63584369933</v>
      </c>
      <c r="R7" s="132">
        <f>IF(SER_hh_tes!R7=0,0,11630*1000*SER_hh_tes!R7/SER_hh_num!R7)</f>
        <v>192005.19444122838</v>
      </c>
      <c r="S7" s="132">
        <f>IF(SER_hh_tes!S7=0,0,11630*1000*SER_hh_tes!S7/SER_hh_num!S7)</f>
        <v>259987.43430840425</v>
      </c>
      <c r="T7" s="132">
        <f>IF(SER_hh_tes!T7=0,0,11630*1000*SER_hh_tes!T7/SER_hh_num!T7)</f>
        <v>248360.26416782051</v>
      </c>
      <c r="U7" s="132">
        <f>IF(SER_hh_tes!U7=0,0,11630*1000*SER_hh_tes!U7/SER_hh_num!U7)</f>
        <v>304997.03819140937</v>
      </c>
      <c r="V7" s="132">
        <f>IF(SER_hh_tes!V7=0,0,11630*1000*SER_hh_tes!V7/SER_hh_num!V7)</f>
        <v>284484.85588893021</v>
      </c>
      <c r="W7" s="132">
        <f>IF(SER_hh_tes!W7=0,0,11630*1000*SER_hh_tes!W7/SER_hh_num!W7)</f>
        <v>257912.67191992956</v>
      </c>
      <c r="X7" s="132">
        <f>IF(SER_hh_tes!X7=0,0,11630*1000*SER_hh_tes!X7/SER_hh_num!X7)</f>
        <v>209557.46025653699</v>
      </c>
      <c r="Y7" s="132">
        <f>IF(SER_hh_tes!Y7=0,0,11630*1000*SER_hh_tes!Y7/SER_hh_num!Y7)</f>
        <v>220054.05627129605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0</v>
      </c>
      <c r="C8" s="132">
        <f>IF(SER_hh_tes!C8=0,0,11630*1000*SER_hh_tes!C8/SER_hh_num!C8)</f>
        <v>0</v>
      </c>
      <c r="D8" s="132">
        <f>IF(SER_hh_tes!D8=0,0,11630*1000*SER_hh_tes!D8/SER_hh_num!D8)</f>
        <v>0</v>
      </c>
      <c r="E8" s="132">
        <f>IF(SER_hh_tes!E8=0,0,11630*1000*SER_hh_tes!E8/SER_hh_num!E8)</f>
        <v>0</v>
      </c>
      <c r="F8" s="132">
        <f>IF(SER_hh_tes!F8=0,0,11630*1000*SER_hh_tes!F8/SER_hh_num!F8)</f>
        <v>0</v>
      </c>
      <c r="G8" s="132">
        <f>IF(SER_hh_tes!G8=0,0,11630*1000*SER_hh_tes!G8/SER_hh_num!G8)</f>
        <v>0</v>
      </c>
      <c r="H8" s="132">
        <f>IF(SER_hh_tes!H8=0,0,11630*1000*SER_hh_tes!H8/SER_hh_num!H8)</f>
        <v>0</v>
      </c>
      <c r="I8" s="132">
        <f>IF(SER_hh_tes!I8=0,0,11630*1000*SER_hh_tes!I8/SER_hh_num!I8)</f>
        <v>0</v>
      </c>
      <c r="J8" s="132">
        <f>IF(SER_hh_tes!J8=0,0,11630*1000*SER_hh_tes!J8/SER_hh_num!J8)</f>
        <v>0</v>
      </c>
      <c r="K8" s="132">
        <f>IF(SER_hh_tes!K8=0,0,11630*1000*SER_hh_tes!K8/SER_hh_num!K8)</f>
        <v>0</v>
      </c>
      <c r="L8" s="132">
        <f>IF(SER_hh_tes!L8=0,0,11630*1000*SER_hh_tes!L8/SER_hh_num!L8)</f>
        <v>0</v>
      </c>
      <c r="M8" s="132">
        <f>IF(SER_hh_tes!M8=0,0,11630*1000*SER_hh_tes!M8/SER_hh_num!M8)</f>
        <v>0</v>
      </c>
      <c r="N8" s="132">
        <f>IF(SER_hh_tes!N8=0,0,11630*1000*SER_hh_tes!N8/SER_hh_num!N8)</f>
        <v>0</v>
      </c>
      <c r="O8" s="132">
        <f>IF(SER_hh_tes!O8=0,0,11630*1000*SER_hh_tes!O8/SER_hh_num!O8)</f>
        <v>0</v>
      </c>
      <c r="P8" s="132">
        <f>IF(SER_hh_tes!P8=0,0,11630*1000*SER_hh_tes!P8/SER_hh_num!P8)</f>
        <v>0</v>
      </c>
      <c r="Q8" s="132">
        <f>IF(SER_hh_tes!Q8=0,0,11630*1000*SER_hh_tes!Q8/SER_hh_num!Q8)</f>
        <v>0</v>
      </c>
      <c r="R8" s="132">
        <f>IF(SER_hh_tes!R8=0,0,11630*1000*SER_hh_tes!R8/SER_hh_num!R8)</f>
        <v>0</v>
      </c>
      <c r="S8" s="132">
        <f>IF(SER_hh_tes!S8=0,0,11630*1000*SER_hh_tes!S8/SER_hh_num!S8)</f>
        <v>0</v>
      </c>
      <c r="T8" s="132">
        <f>IF(SER_hh_tes!T8=0,0,11630*1000*SER_hh_tes!T8/SER_hh_num!T8)</f>
        <v>0</v>
      </c>
      <c r="U8" s="132">
        <f>IF(SER_hh_tes!U8=0,0,11630*1000*SER_hh_tes!U8/SER_hh_num!U8)</f>
        <v>0</v>
      </c>
      <c r="V8" s="132">
        <f>IF(SER_hh_tes!V8=0,0,11630*1000*SER_hh_tes!V8/SER_hh_num!V8)</f>
        <v>0</v>
      </c>
      <c r="W8" s="132">
        <f>IF(SER_hh_tes!W8=0,0,11630*1000*SER_hh_tes!W8/SER_hh_num!W8)</f>
        <v>0</v>
      </c>
      <c r="X8" s="132">
        <f>IF(SER_hh_tes!X8=0,0,11630*1000*SER_hh_tes!X8/SER_hh_num!X8)</f>
        <v>0</v>
      </c>
      <c r="Y8" s="132">
        <f>IF(SER_hh_tes!Y8=0,0,11630*1000*SER_hh_tes!Y8/SER_hh_num!Y8)</f>
        <v>0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264093.64082679542</v>
      </c>
      <c r="C9" s="132">
        <f>IF(SER_hh_tes!C9=0,0,11630*1000*SER_hh_tes!C9/SER_hh_num!C9)</f>
        <v>179553.20912263749</v>
      </c>
      <c r="D9" s="132">
        <f>IF(SER_hh_tes!D9=0,0,11630*1000*SER_hh_tes!D9/SER_hh_num!D9)</f>
        <v>204538.35487497042</v>
      </c>
      <c r="E9" s="132">
        <f>IF(SER_hh_tes!E9=0,0,11630*1000*SER_hh_tes!E9/SER_hh_num!E9)</f>
        <v>241550.06133732054</v>
      </c>
      <c r="F9" s="132">
        <f>IF(SER_hh_tes!F9=0,0,11630*1000*SER_hh_tes!F9/SER_hh_num!F9)</f>
        <v>220625.33117782307</v>
      </c>
      <c r="G9" s="132">
        <f>IF(SER_hh_tes!G9=0,0,11630*1000*SER_hh_tes!G9/SER_hh_num!G9)</f>
        <v>189046.23684427291</v>
      </c>
      <c r="H9" s="132">
        <f>IF(SER_hh_tes!H9=0,0,11630*1000*SER_hh_tes!H9/SER_hh_num!H9)</f>
        <v>232553.11108762113</v>
      </c>
      <c r="I9" s="132">
        <f>IF(SER_hh_tes!I9=0,0,11630*1000*SER_hh_tes!I9/SER_hh_num!I9)</f>
        <v>187135.74352440194</v>
      </c>
      <c r="J9" s="132">
        <f>IF(SER_hh_tes!J9=0,0,11630*1000*SER_hh_tes!J9/SER_hh_num!J9)</f>
        <v>228944.93272298187</v>
      </c>
      <c r="K9" s="132">
        <f>IF(SER_hh_tes!K9=0,0,11630*1000*SER_hh_tes!K9/SER_hh_num!K9)</f>
        <v>238658.06776351942</v>
      </c>
      <c r="L9" s="132">
        <f>IF(SER_hh_tes!L9=0,0,11630*1000*SER_hh_tes!L9/SER_hh_num!L9)</f>
        <v>287190.15403010009</v>
      </c>
      <c r="M9" s="132">
        <f>IF(SER_hh_tes!M9=0,0,11630*1000*SER_hh_tes!M9/SER_hh_num!M9)</f>
        <v>119918.9086321754</v>
      </c>
      <c r="N9" s="132">
        <f>IF(SER_hh_tes!N9=0,0,11630*1000*SER_hh_tes!N9/SER_hh_num!N9)</f>
        <v>222761.54461507811</v>
      </c>
      <c r="O9" s="132">
        <f>IF(SER_hh_tes!O9=0,0,11630*1000*SER_hh_tes!O9/SER_hh_num!O9)</f>
        <v>219707.91264978016</v>
      </c>
      <c r="P9" s="132">
        <f>IF(SER_hh_tes!P9=0,0,11630*1000*SER_hh_tes!P9/SER_hh_num!P9)</f>
        <v>172235.58841471566</v>
      </c>
      <c r="Q9" s="132">
        <f>IF(SER_hh_tes!Q9=0,0,11630*1000*SER_hh_tes!Q9/SER_hh_num!Q9)</f>
        <v>204735.05498029565</v>
      </c>
      <c r="R9" s="132">
        <f>IF(SER_hh_tes!R9=0,0,11630*1000*SER_hh_tes!R9/SER_hh_num!R9)</f>
        <v>246224.37797602886</v>
      </c>
      <c r="S9" s="132">
        <f>IF(SER_hh_tes!S9=0,0,11630*1000*SER_hh_tes!S9/SER_hh_num!S9)</f>
        <v>201004.7980806533</v>
      </c>
      <c r="T9" s="132">
        <f>IF(SER_hh_tes!T9=0,0,11630*1000*SER_hh_tes!T9/SER_hh_num!T9)</f>
        <v>254970.04143157904</v>
      </c>
      <c r="U9" s="132">
        <f>IF(SER_hh_tes!U9=0,0,11630*1000*SER_hh_tes!U9/SER_hh_num!U9)</f>
        <v>304979.13128967269</v>
      </c>
      <c r="V9" s="132">
        <f>IF(SER_hh_tes!V9=0,0,11630*1000*SER_hh_tes!V9/SER_hh_num!V9)</f>
        <v>238854.59461290785</v>
      </c>
      <c r="W9" s="132">
        <f>IF(SER_hh_tes!W9=0,0,11630*1000*SER_hh_tes!W9/SER_hh_num!W9)</f>
        <v>392554.73867025191</v>
      </c>
      <c r="X9" s="132">
        <f>IF(SER_hh_tes!X9=0,0,11630*1000*SER_hh_tes!X9/SER_hh_num!X9)</f>
        <v>260356.60250749806</v>
      </c>
      <c r="Y9" s="132">
        <f>IF(SER_hh_tes!Y9=0,0,11630*1000*SER_hh_tes!Y9/SER_hh_num!Y9)</f>
        <v>221764.70292972098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128370.26358843257</v>
      </c>
      <c r="C10" s="132">
        <f>IF(SER_hh_tes!C10=0,0,11630*1000*SER_hh_tes!C10/SER_hh_num!C10)</f>
        <v>208748.48888023105</v>
      </c>
      <c r="D10" s="132">
        <f>IF(SER_hh_tes!D10=0,0,11630*1000*SER_hh_tes!D10/SER_hh_num!D10)</f>
        <v>283363.36119438888</v>
      </c>
      <c r="E10" s="132">
        <f>IF(SER_hh_tes!E10=0,0,11630*1000*SER_hh_tes!E10/SER_hh_num!E10)</f>
        <v>182706.79641886376</v>
      </c>
      <c r="F10" s="132">
        <f>IF(SER_hh_tes!F10=0,0,11630*1000*SER_hh_tes!F10/SER_hh_num!F10)</f>
        <v>242751.33000520858</v>
      </c>
      <c r="G10" s="132">
        <f>IF(SER_hh_tes!G10=0,0,11630*1000*SER_hh_tes!G10/SER_hh_num!G10)</f>
        <v>252912.74983269043</v>
      </c>
      <c r="H10" s="132">
        <f>IF(SER_hh_tes!H10=0,0,11630*1000*SER_hh_tes!H10/SER_hh_num!H10)</f>
        <v>128604.95560511205</v>
      </c>
      <c r="I10" s="132">
        <f>IF(SER_hh_tes!I10=0,0,11630*1000*SER_hh_tes!I10/SER_hh_num!I10)</f>
        <v>114825.81875750507</v>
      </c>
      <c r="J10" s="132">
        <f>IF(SER_hh_tes!J10=0,0,11630*1000*SER_hh_tes!J10/SER_hh_num!J10)</f>
        <v>209461.74329205937</v>
      </c>
      <c r="K10" s="132">
        <f>IF(SER_hh_tes!K10=0,0,11630*1000*SER_hh_tes!K10/SER_hh_num!K10)</f>
        <v>317657.83566646674</v>
      </c>
      <c r="L10" s="132">
        <f>IF(SER_hh_tes!L10=0,0,11630*1000*SER_hh_tes!L10/SER_hh_num!L10)</f>
        <v>231079.37472626127</v>
      </c>
      <c r="M10" s="132">
        <f>IF(SER_hh_tes!M10=0,0,11630*1000*SER_hh_tes!M10/SER_hh_num!M10)</f>
        <v>92536.257625981234</v>
      </c>
      <c r="N10" s="132">
        <f>IF(SER_hh_tes!N10=0,0,11630*1000*SER_hh_tes!N10/SER_hh_num!N10)</f>
        <v>167496.96629759064</v>
      </c>
      <c r="O10" s="132">
        <f>IF(SER_hh_tes!O10=0,0,11630*1000*SER_hh_tes!O10/SER_hh_num!O10)</f>
        <v>239280.84029798425</v>
      </c>
      <c r="P10" s="132">
        <f>IF(SER_hh_tes!P10=0,0,11630*1000*SER_hh_tes!P10/SER_hh_num!P10)</f>
        <v>308372.59718275553</v>
      </c>
      <c r="Q10" s="132">
        <f>IF(SER_hh_tes!Q10=0,0,11630*1000*SER_hh_tes!Q10/SER_hh_num!Q10)</f>
        <v>128986.31440039899</v>
      </c>
      <c r="R10" s="132">
        <f>IF(SER_hh_tes!R10=0,0,11630*1000*SER_hh_tes!R10/SER_hh_num!R10)</f>
        <v>329650.79030957277</v>
      </c>
      <c r="S10" s="132">
        <f>IF(SER_hh_tes!S10=0,0,11630*1000*SER_hh_tes!S10/SER_hh_num!S10)</f>
        <v>26675.829386770445</v>
      </c>
      <c r="T10" s="132">
        <f>IF(SER_hh_tes!T10=0,0,11630*1000*SER_hh_tes!T10/SER_hh_num!T10)</f>
        <v>74088.599214017042</v>
      </c>
      <c r="U10" s="132">
        <f>IF(SER_hh_tes!U10=0,0,11630*1000*SER_hh_tes!U10/SER_hh_num!U10)</f>
        <v>51775.260038254564</v>
      </c>
      <c r="V10" s="132">
        <f>IF(SER_hh_tes!V10=0,0,11630*1000*SER_hh_tes!V10/SER_hh_num!V10)</f>
        <v>169634.0464564857</v>
      </c>
      <c r="W10" s="132">
        <f>IF(SER_hh_tes!W10=0,0,11630*1000*SER_hh_tes!W10/SER_hh_num!W10)</f>
        <v>366950.73057382478</v>
      </c>
      <c r="X10" s="132">
        <f>IF(SER_hh_tes!X10=0,0,11630*1000*SER_hh_tes!X10/SER_hh_num!X10)</f>
        <v>221708.39571107109</v>
      </c>
      <c r="Y10" s="132">
        <f>IF(SER_hh_tes!Y10=0,0,11630*1000*SER_hh_tes!Y10/SER_hh_num!Y10)</f>
        <v>242419.1369988177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0</v>
      </c>
      <c r="F11" s="132">
        <f>IF(SER_hh_tes!F11=0,0,11630*1000*SER_hh_tes!F11/SER_hh_num!F11)</f>
        <v>0</v>
      </c>
      <c r="G11" s="132">
        <f>IF(SER_hh_tes!G11=0,0,11630*1000*SER_hh_tes!G11/SER_hh_num!G11)</f>
        <v>0</v>
      </c>
      <c r="H11" s="132">
        <f>IF(SER_hh_tes!H11=0,0,11630*1000*SER_hh_tes!H11/SER_hh_num!H11)</f>
        <v>0</v>
      </c>
      <c r="I11" s="132">
        <f>IF(SER_hh_tes!I11=0,0,11630*1000*SER_hh_tes!I11/SER_hh_num!I11)</f>
        <v>0</v>
      </c>
      <c r="J11" s="132">
        <f>IF(SER_hh_tes!J11=0,0,11630*1000*SER_hh_tes!J11/SER_hh_num!J11)</f>
        <v>0</v>
      </c>
      <c r="K11" s="132">
        <f>IF(SER_hh_tes!K11=0,0,11630*1000*SER_hh_tes!K11/SER_hh_num!K11)</f>
        <v>0</v>
      </c>
      <c r="L11" s="132">
        <f>IF(SER_hh_tes!L11=0,0,11630*1000*SER_hh_tes!L11/SER_hh_num!L11)</f>
        <v>0</v>
      </c>
      <c r="M11" s="132">
        <f>IF(SER_hh_tes!M11=0,0,11630*1000*SER_hh_tes!M11/SER_hh_num!M11)</f>
        <v>0</v>
      </c>
      <c r="N11" s="132">
        <f>IF(SER_hh_tes!N11=0,0,11630*1000*SER_hh_tes!N11/SER_hh_num!N11)</f>
        <v>0</v>
      </c>
      <c r="O11" s="132">
        <f>IF(SER_hh_tes!O11=0,0,11630*1000*SER_hh_tes!O11/SER_hh_num!O11)</f>
        <v>0</v>
      </c>
      <c r="P11" s="132">
        <f>IF(SER_hh_tes!P11=0,0,11630*1000*SER_hh_tes!P11/SER_hh_num!P11)</f>
        <v>0</v>
      </c>
      <c r="Q11" s="132">
        <f>IF(SER_hh_tes!Q11=0,0,11630*1000*SER_hh_tes!Q11/SER_hh_num!Q11)</f>
        <v>0</v>
      </c>
      <c r="R11" s="132">
        <f>IF(SER_hh_tes!R11=0,0,11630*1000*SER_hh_tes!R11/SER_hh_num!R11)</f>
        <v>0</v>
      </c>
      <c r="S11" s="132">
        <f>IF(SER_hh_tes!S11=0,0,11630*1000*SER_hh_tes!S11/SER_hh_num!S11)</f>
        <v>0</v>
      </c>
      <c r="T11" s="132">
        <f>IF(SER_hh_tes!T11=0,0,11630*1000*SER_hh_tes!T11/SER_hh_num!T11)</f>
        <v>0</v>
      </c>
      <c r="U11" s="132">
        <f>IF(SER_hh_tes!U11=0,0,11630*1000*SER_hh_tes!U11/SER_hh_num!U11)</f>
        <v>0</v>
      </c>
      <c r="V11" s="132">
        <f>IF(SER_hh_tes!V11=0,0,11630*1000*SER_hh_tes!V11/SER_hh_num!V11)</f>
        <v>0</v>
      </c>
      <c r="W11" s="132">
        <f>IF(SER_hh_tes!W11=0,0,11630*1000*SER_hh_tes!W11/SER_hh_num!W11)</f>
        <v>0</v>
      </c>
      <c r="X11" s="132">
        <f>IF(SER_hh_tes!X11=0,0,11630*1000*SER_hh_tes!X11/SER_hh_num!X11)</f>
        <v>0</v>
      </c>
      <c r="Y11" s="132">
        <f>IF(SER_hh_tes!Y11=0,0,11630*1000*SER_hh_tes!Y11/SER_hh_num!Y11)</f>
        <v>0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199667.57881633565</v>
      </c>
      <c r="C12" s="132">
        <f>IF(SER_hh_tes!C12=0,0,11630*1000*SER_hh_tes!C12/SER_hh_num!C12)</f>
        <v>185535.04915372582</v>
      </c>
      <c r="D12" s="132">
        <f>IF(SER_hh_tes!D12=0,0,11630*1000*SER_hh_tes!D12/SER_hh_num!D12)</f>
        <v>170903.87381527529</v>
      </c>
      <c r="E12" s="132">
        <f>IF(SER_hh_tes!E12=0,0,11630*1000*SER_hh_tes!E12/SER_hh_num!E12)</f>
        <v>275426.45719256869</v>
      </c>
      <c r="F12" s="132">
        <f>IF(SER_hh_tes!F12=0,0,11630*1000*SER_hh_tes!F12/SER_hh_num!F12)</f>
        <v>234989.1325623217</v>
      </c>
      <c r="G12" s="132">
        <f>IF(SER_hh_tes!G12=0,0,11630*1000*SER_hh_tes!G12/SER_hh_num!G12)</f>
        <v>224094.34048250644</v>
      </c>
      <c r="H12" s="132">
        <f>IF(SER_hh_tes!H12=0,0,11630*1000*SER_hh_tes!H12/SER_hh_num!H12)</f>
        <v>230083.29967394422</v>
      </c>
      <c r="I12" s="132">
        <f>IF(SER_hh_tes!I12=0,0,11630*1000*SER_hh_tes!I12/SER_hh_num!I12)</f>
        <v>196084.15108613879</v>
      </c>
      <c r="J12" s="132">
        <f>IF(SER_hh_tes!J12=0,0,11630*1000*SER_hh_tes!J12/SER_hh_num!J12)</f>
        <v>239360.65430858405</v>
      </c>
      <c r="K12" s="132">
        <f>IF(SER_hh_tes!K12=0,0,11630*1000*SER_hh_tes!K12/SER_hh_num!K12)</f>
        <v>195983.45216091417</v>
      </c>
      <c r="L12" s="132">
        <f>IF(SER_hh_tes!L12=0,0,11630*1000*SER_hh_tes!L12/SER_hh_num!L12)</f>
        <v>227981.11727672693</v>
      </c>
      <c r="M12" s="132">
        <f>IF(SER_hh_tes!M12=0,0,11630*1000*SER_hh_tes!M12/SER_hh_num!M12)</f>
        <v>241288.87719788952</v>
      </c>
      <c r="N12" s="132">
        <f>IF(SER_hh_tes!N12=0,0,11630*1000*SER_hh_tes!N12/SER_hh_num!N12)</f>
        <v>219355.94085628437</v>
      </c>
      <c r="O12" s="132">
        <f>IF(SER_hh_tes!O12=0,0,11630*1000*SER_hh_tes!O12/SER_hh_num!O12)</f>
        <v>241060.09737100036</v>
      </c>
      <c r="P12" s="132">
        <f>IF(SER_hh_tes!P12=0,0,11630*1000*SER_hh_tes!P12/SER_hh_num!P12)</f>
        <v>164249.64084434498</v>
      </c>
      <c r="Q12" s="132">
        <f>IF(SER_hh_tes!Q12=0,0,11630*1000*SER_hh_tes!Q12/SER_hh_num!Q12)</f>
        <v>205873.09390129964</v>
      </c>
      <c r="R12" s="132">
        <f>IF(SER_hh_tes!R12=0,0,11630*1000*SER_hh_tes!R12/SER_hh_num!R12)</f>
        <v>208958.24015839631</v>
      </c>
      <c r="S12" s="132">
        <f>IF(SER_hh_tes!S12=0,0,11630*1000*SER_hh_tes!S12/SER_hh_num!S12)</f>
        <v>230653.39142528869</v>
      </c>
      <c r="T12" s="132">
        <f>IF(SER_hh_tes!T12=0,0,11630*1000*SER_hh_tes!T12/SER_hh_num!T12)</f>
        <v>238150.51437973569</v>
      </c>
      <c r="U12" s="132">
        <f>IF(SER_hh_tes!U12=0,0,11630*1000*SER_hh_tes!U12/SER_hh_num!U12)</f>
        <v>264468.5001854928</v>
      </c>
      <c r="V12" s="132">
        <f>IF(SER_hh_tes!V12=0,0,11630*1000*SER_hh_tes!V12/SER_hh_num!V12)</f>
        <v>316290.1877525833</v>
      </c>
      <c r="W12" s="132">
        <f>IF(SER_hh_tes!W12=0,0,11630*1000*SER_hh_tes!W12/SER_hh_num!W12)</f>
        <v>311954.30458826182</v>
      </c>
      <c r="X12" s="132">
        <f>IF(SER_hh_tes!X12=0,0,11630*1000*SER_hh_tes!X12/SER_hh_num!X12)</f>
        <v>245742.92126278617</v>
      </c>
      <c r="Y12" s="132">
        <f>IF(SER_hh_tes!Y12=0,0,11630*1000*SER_hh_tes!Y12/SER_hh_num!Y12)</f>
        <v>218511.08875534113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0</v>
      </c>
      <c r="C13" s="132">
        <f>IF(SER_hh_tes!C13=0,0,11630*1000*SER_hh_tes!C13/SER_hh_num!C13)</f>
        <v>0</v>
      </c>
      <c r="D13" s="132">
        <f>IF(SER_hh_tes!D13=0,0,11630*1000*SER_hh_tes!D13/SER_hh_num!D13)</f>
        <v>0</v>
      </c>
      <c r="E13" s="132">
        <f>IF(SER_hh_tes!E13=0,0,11630*1000*SER_hh_tes!E13/SER_hh_num!E13)</f>
        <v>0</v>
      </c>
      <c r="F13" s="132">
        <f>IF(SER_hh_tes!F13=0,0,11630*1000*SER_hh_tes!F13/SER_hh_num!F13)</f>
        <v>0</v>
      </c>
      <c r="G13" s="132">
        <f>IF(SER_hh_tes!G13=0,0,11630*1000*SER_hh_tes!G13/SER_hh_num!G13)</f>
        <v>0</v>
      </c>
      <c r="H13" s="132">
        <f>IF(SER_hh_tes!H13=0,0,11630*1000*SER_hh_tes!H13/SER_hh_num!H13)</f>
        <v>0</v>
      </c>
      <c r="I13" s="132">
        <f>IF(SER_hh_tes!I13=0,0,11630*1000*SER_hh_tes!I13/SER_hh_num!I13)</f>
        <v>0</v>
      </c>
      <c r="J13" s="132">
        <f>IF(SER_hh_tes!J13=0,0,11630*1000*SER_hh_tes!J13/SER_hh_num!J13)</f>
        <v>0</v>
      </c>
      <c r="K13" s="132">
        <f>IF(SER_hh_tes!K13=0,0,11630*1000*SER_hh_tes!K13/SER_hh_num!K13)</f>
        <v>0</v>
      </c>
      <c r="L13" s="132">
        <f>IF(SER_hh_tes!L13=0,0,11630*1000*SER_hh_tes!L13/SER_hh_num!L13)</f>
        <v>0</v>
      </c>
      <c r="M13" s="132">
        <f>IF(SER_hh_tes!M13=0,0,11630*1000*SER_hh_tes!M13/SER_hh_num!M13)</f>
        <v>0</v>
      </c>
      <c r="N13" s="132">
        <f>IF(SER_hh_tes!N13=0,0,11630*1000*SER_hh_tes!N13/SER_hh_num!N13)</f>
        <v>0</v>
      </c>
      <c r="O13" s="132">
        <f>IF(SER_hh_tes!O13=0,0,11630*1000*SER_hh_tes!O13/SER_hh_num!O13)</f>
        <v>0</v>
      </c>
      <c r="P13" s="132">
        <f>IF(SER_hh_tes!P13=0,0,11630*1000*SER_hh_tes!P13/SER_hh_num!P13)</f>
        <v>0</v>
      </c>
      <c r="Q13" s="132">
        <f>IF(SER_hh_tes!Q13=0,0,11630*1000*SER_hh_tes!Q13/SER_hh_num!Q13)</f>
        <v>0</v>
      </c>
      <c r="R13" s="132">
        <f>IF(SER_hh_tes!R13=0,0,11630*1000*SER_hh_tes!R13/SER_hh_num!R13)</f>
        <v>0</v>
      </c>
      <c r="S13" s="132">
        <f>IF(SER_hh_tes!S13=0,0,11630*1000*SER_hh_tes!S13/SER_hh_num!S13)</f>
        <v>0</v>
      </c>
      <c r="T13" s="132">
        <f>IF(SER_hh_tes!T13=0,0,11630*1000*SER_hh_tes!T13/SER_hh_num!T13)</f>
        <v>0</v>
      </c>
      <c r="U13" s="132">
        <f>IF(SER_hh_tes!U13=0,0,11630*1000*SER_hh_tes!U13/SER_hh_num!U13)</f>
        <v>0</v>
      </c>
      <c r="V13" s="132">
        <f>IF(SER_hh_tes!V13=0,0,11630*1000*SER_hh_tes!V13/SER_hh_num!V13)</f>
        <v>0</v>
      </c>
      <c r="W13" s="132">
        <f>IF(SER_hh_tes!W13=0,0,11630*1000*SER_hh_tes!W13/SER_hh_num!W13)</f>
        <v>0</v>
      </c>
      <c r="X13" s="132">
        <f>IF(SER_hh_tes!X13=0,0,11630*1000*SER_hh_tes!X13/SER_hh_num!X13)</f>
        <v>0</v>
      </c>
      <c r="Y13" s="132">
        <f>IF(SER_hh_tes!Y13=0,0,11630*1000*SER_hh_tes!Y13/SER_hh_num!Y13)</f>
        <v>0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183434.56911125945</v>
      </c>
      <c r="C14" s="65">
        <f>IF(SER_hh_tes!C14=0,0,11630*1000*SER_hh_tes!C14/SER_hh_num!C14)</f>
        <v>270013.23242722859</v>
      </c>
      <c r="D14" s="65">
        <f>IF(SER_hh_tes!D14=0,0,11630*1000*SER_hh_tes!D14/SER_hh_num!D14)</f>
        <v>180467.15896980214</v>
      </c>
      <c r="E14" s="65">
        <f>IF(SER_hh_tes!E14=0,0,11630*1000*SER_hh_tes!E14/SER_hh_num!E14)</f>
        <v>228504.91265652844</v>
      </c>
      <c r="F14" s="65">
        <f>IF(SER_hh_tes!F14=0,0,11630*1000*SER_hh_tes!F14/SER_hh_num!F14)</f>
        <v>187938.66314522029</v>
      </c>
      <c r="G14" s="65">
        <f>IF(SER_hh_tes!G14=0,0,11630*1000*SER_hh_tes!G14/SER_hh_num!G14)</f>
        <v>218724.12455373575</v>
      </c>
      <c r="H14" s="65">
        <f>IF(SER_hh_tes!H14=0,0,11630*1000*SER_hh_tes!H14/SER_hh_num!H14)</f>
        <v>195175.0587844883</v>
      </c>
      <c r="I14" s="65">
        <f>IF(SER_hh_tes!I14=0,0,11630*1000*SER_hh_tes!I14/SER_hh_num!I14)</f>
        <v>261415.89068316077</v>
      </c>
      <c r="J14" s="65">
        <f>IF(SER_hh_tes!J14=0,0,11630*1000*SER_hh_tes!J14/SER_hh_num!J14)</f>
        <v>234227.09983930766</v>
      </c>
      <c r="K14" s="65">
        <f>IF(SER_hh_tes!K14=0,0,11630*1000*SER_hh_tes!K14/SER_hh_num!K14)</f>
        <v>215563.23586761899</v>
      </c>
      <c r="L14" s="65">
        <f>IF(SER_hh_tes!L14=0,0,11630*1000*SER_hh_tes!L14/SER_hh_num!L14)</f>
        <v>227397.7046251437</v>
      </c>
      <c r="M14" s="65">
        <f>IF(SER_hh_tes!M14=0,0,11630*1000*SER_hh_tes!M14/SER_hh_num!M14)</f>
        <v>197626.18738685158</v>
      </c>
      <c r="N14" s="65">
        <f>IF(SER_hh_tes!N14=0,0,11630*1000*SER_hh_tes!N14/SER_hh_num!N14)</f>
        <v>213244.08494229487</v>
      </c>
      <c r="O14" s="65">
        <f>IF(SER_hh_tes!O14=0,0,11630*1000*SER_hh_tes!O14/SER_hh_num!O14)</f>
        <v>222180.95364344318</v>
      </c>
      <c r="P14" s="65">
        <f>IF(SER_hh_tes!P14=0,0,11630*1000*SER_hh_tes!P14/SER_hh_num!P14)</f>
        <v>197475.66389820326</v>
      </c>
      <c r="Q14" s="65">
        <f>IF(SER_hh_tes!Q14=0,0,11630*1000*SER_hh_tes!Q14/SER_hh_num!Q14)</f>
        <v>199608.62330761048</v>
      </c>
      <c r="R14" s="65">
        <f>IF(SER_hh_tes!R14=0,0,11630*1000*SER_hh_tes!R14/SER_hh_num!R14)</f>
        <v>155110.31466149254</v>
      </c>
      <c r="S14" s="65">
        <f>IF(SER_hh_tes!S14=0,0,11630*1000*SER_hh_tes!S14/SER_hh_num!S14)</f>
        <v>291052.55319035263</v>
      </c>
      <c r="T14" s="65">
        <f>IF(SER_hh_tes!T14=0,0,11630*1000*SER_hh_tes!T14/SER_hh_num!T14)</f>
        <v>255355.4913139386</v>
      </c>
      <c r="U14" s="65">
        <f>IF(SER_hh_tes!U14=0,0,11630*1000*SER_hh_tes!U14/SER_hh_num!U14)</f>
        <v>301466.48570218508</v>
      </c>
      <c r="V14" s="65">
        <f>IF(SER_hh_tes!V14=0,0,11630*1000*SER_hh_tes!V14/SER_hh_num!V14)</f>
        <v>281279.81762229279</v>
      </c>
      <c r="W14" s="65">
        <f>IF(SER_hh_tes!W14=0,0,11630*1000*SER_hh_tes!W14/SER_hh_num!W14)</f>
        <v>362532.56700733944</v>
      </c>
      <c r="X14" s="65">
        <f>IF(SER_hh_tes!X14=0,0,11630*1000*SER_hh_tes!X14/SER_hh_num!X14)</f>
        <v>189986.24525469125</v>
      </c>
      <c r="Y14" s="65">
        <f>IF(SER_hh_tes!Y14=0,0,11630*1000*SER_hh_tes!Y14/SER_hh_num!Y14)</f>
        <v>238468.58820227606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4235.6868662500583</v>
      </c>
      <c r="C15" s="134">
        <f>IF(SER_hh_tes!C15=0,0,11630*1000*SER_hh_tes!C15/SER_hh_num!C15)</f>
        <v>3483.7975280651576</v>
      </c>
      <c r="D15" s="134">
        <f>IF(SER_hh_tes!D15=0,0,11630*1000*SER_hh_tes!D15/SER_hh_num!D15)</f>
        <v>3297.4213440973963</v>
      </c>
      <c r="E15" s="134">
        <f>IF(SER_hh_tes!E15=0,0,11630*1000*SER_hh_tes!E15/SER_hh_num!E15)</f>
        <v>3380.2245777791322</v>
      </c>
      <c r="F15" s="134">
        <f>IF(SER_hh_tes!F15=0,0,11630*1000*SER_hh_tes!F15/SER_hh_num!F15)</f>
        <v>3004.2580763722285</v>
      </c>
      <c r="G15" s="134">
        <f>IF(SER_hh_tes!G15=0,0,11630*1000*SER_hh_tes!G15/SER_hh_num!G15)</f>
        <v>2663.7984783268666</v>
      </c>
      <c r="H15" s="134">
        <f>IF(SER_hh_tes!H15=0,0,11630*1000*SER_hh_tes!H15/SER_hh_num!H15)</f>
        <v>2753.5322024142752</v>
      </c>
      <c r="I15" s="134">
        <f>IF(SER_hh_tes!I15=0,0,11630*1000*SER_hh_tes!I15/SER_hh_num!I15)</f>
        <v>2429.9884948300501</v>
      </c>
      <c r="J15" s="134">
        <f>IF(SER_hh_tes!J15=0,0,11630*1000*SER_hh_tes!J15/SER_hh_num!J15)</f>
        <v>2806.1911274756967</v>
      </c>
      <c r="K15" s="134">
        <f>IF(SER_hh_tes!K15=0,0,11630*1000*SER_hh_tes!K15/SER_hh_num!K15)</f>
        <v>2741.3095969659244</v>
      </c>
      <c r="L15" s="134">
        <f>IF(SER_hh_tes!L15=0,0,11630*1000*SER_hh_tes!L15/SER_hh_num!L15)</f>
        <v>3371.5904357253339</v>
      </c>
      <c r="M15" s="134">
        <f>IF(SER_hh_tes!M15=0,0,11630*1000*SER_hh_tes!M15/SER_hh_num!M15)</f>
        <v>1861.0878933095487</v>
      </c>
      <c r="N15" s="134">
        <f>IF(SER_hh_tes!N15=0,0,11630*1000*SER_hh_tes!N15/SER_hh_num!N15)</f>
        <v>2568.9094994037951</v>
      </c>
      <c r="O15" s="134">
        <f>IF(SER_hh_tes!O15=0,0,11630*1000*SER_hh_tes!O15/SER_hh_num!O15)</f>
        <v>2699.5495781042259</v>
      </c>
      <c r="P15" s="134">
        <f>IF(SER_hh_tes!P15=0,0,11630*1000*SER_hh_tes!P15/SER_hh_num!P15)</f>
        <v>2116.7308791986957</v>
      </c>
      <c r="Q15" s="134">
        <f>IF(SER_hh_tes!Q15=0,0,11630*1000*SER_hh_tes!Q15/SER_hh_num!Q15)</f>
        <v>2632.6637105305672</v>
      </c>
      <c r="R15" s="134">
        <f>IF(SER_hh_tes!R15=0,0,11630*1000*SER_hh_tes!R15/SER_hh_num!R15)</f>
        <v>2774.2533465158181</v>
      </c>
      <c r="S15" s="134">
        <f>IF(SER_hh_tes!S15=0,0,11630*1000*SER_hh_tes!S15/SER_hh_num!S15)</f>
        <v>2866.3968499290909</v>
      </c>
      <c r="T15" s="134">
        <f>IF(SER_hh_tes!T15=0,0,11630*1000*SER_hh_tes!T15/SER_hh_num!T15)</f>
        <v>3014.3825519118955</v>
      </c>
      <c r="U15" s="134">
        <f>IF(SER_hh_tes!U15=0,0,11630*1000*SER_hh_tes!U15/SER_hh_num!U15)</f>
        <v>3461.7387100151245</v>
      </c>
      <c r="V15" s="134">
        <f>IF(SER_hh_tes!V15=0,0,11630*1000*SER_hh_tes!V15/SER_hh_num!V15)</f>
        <v>2946.4898298081462</v>
      </c>
      <c r="W15" s="134">
        <f>IF(SER_hh_tes!W15=0,0,11630*1000*SER_hh_tes!W15/SER_hh_num!W15)</f>
        <v>3285.5526124279086</v>
      </c>
      <c r="X15" s="134">
        <f>IF(SER_hh_tes!X15=0,0,11630*1000*SER_hh_tes!X15/SER_hh_num!X15)</f>
        <v>2386.2595717167565</v>
      </c>
      <c r="Y15" s="134">
        <f>IF(SER_hh_tes!Y15=0,0,11630*1000*SER_hh_tes!Y15/SER_hh_num!Y15)</f>
        <v>2217.5084267153024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34482.498274324513</v>
      </c>
      <c r="C16" s="130">
        <f>IF(SER_hh_tes!C16=0,0,11630*1000*SER_hh_tes!C16/SER_hh_num!C16)</f>
        <v>35139.449735943737</v>
      </c>
      <c r="D16" s="130">
        <f>IF(SER_hh_tes!D16=0,0,11630*1000*SER_hh_tes!D16/SER_hh_num!D16)</f>
        <v>35675.152623184425</v>
      </c>
      <c r="E16" s="130">
        <f>IF(SER_hh_tes!E16=0,0,11630*1000*SER_hh_tes!E16/SER_hh_num!E16)</f>
        <v>45733.225668861181</v>
      </c>
      <c r="F16" s="130">
        <f>IF(SER_hh_tes!F16=0,0,11630*1000*SER_hh_tes!F16/SER_hh_num!F16)</f>
        <v>34959.41794770967</v>
      </c>
      <c r="G16" s="130">
        <f>IF(SER_hh_tes!G16=0,0,11630*1000*SER_hh_tes!G16/SER_hh_num!G16)</f>
        <v>36097.408923786388</v>
      </c>
      <c r="H16" s="130">
        <f>IF(SER_hh_tes!H16=0,0,11630*1000*SER_hh_tes!H16/SER_hh_num!H16)</f>
        <v>42514.976461436134</v>
      </c>
      <c r="I16" s="130">
        <f>IF(SER_hh_tes!I16=0,0,11630*1000*SER_hh_tes!I16/SER_hh_num!I16)</f>
        <v>35429.467274775729</v>
      </c>
      <c r="J16" s="130">
        <f>IF(SER_hh_tes!J16=0,0,11630*1000*SER_hh_tes!J16/SER_hh_num!J16)</f>
        <v>35422.490455129511</v>
      </c>
      <c r="K16" s="130">
        <f>IF(SER_hh_tes!K16=0,0,11630*1000*SER_hh_tes!K16/SER_hh_num!K16)</f>
        <v>35825.271711874964</v>
      </c>
      <c r="L16" s="130">
        <f>IF(SER_hh_tes!L16=0,0,11630*1000*SER_hh_tes!L16/SER_hh_num!L16)</f>
        <v>38464.146486721096</v>
      </c>
      <c r="M16" s="130">
        <f>IF(SER_hh_tes!M16=0,0,11630*1000*SER_hh_tes!M16/SER_hh_num!M16)</f>
        <v>36083.898244899923</v>
      </c>
      <c r="N16" s="130">
        <f>IF(SER_hh_tes!N16=0,0,11630*1000*SER_hh_tes!N16/SER_hh_num!N16)</f>
        <v>37179.703239054274</v>
      </c>
      <c r="O16" s="130">
        <f>IF(SER_hh_tes!O16=0,0,11630*1000*SER_hh_tes!O16/SER_hh_num!O16)</f>
        <v>37911.235819538982</v>
      </c>
      <c r="P16" s="130">
        <f>IF(SER_hh_tes!P16=0,0,11630*1000*SER_hh_tes!P16/SER_hh_num!P16)</f>
        <v>36511.341429068685</v>
      </c>
      <c r="Q16" s="130">
        <f>IF(SER_hh_tes!Q16=0,0,11630*1000*SER_hh_tes!Q16/SER_hh_num!Q16)</f>
        <v>41385.743292388586</v>
      </c>
      <c r="R16" s="130">
        <f>IF(SER_hh_tes!R16=0,0,11630*1000*SER_hh_tes!R16/SER_hh_num!R16)</f>
        <v>37672.742646762425</v>
      </c>
      <c r="S16" s="130">
        <f>IF(SER_hh_tes!S16=0,0,11630*1000*SER_hh_tes!S16/SER_hh_num!S16)</f>
        <v>37618.101155647382</v>
      </c>
      <c r="T16" s="130">
        <f>IF(SER_hh_tes!T16=0,0,11630*1000*SER_hh_tes!T16/SER_hh_num!T16)</f>
        <v>42415.747263895129</v>
      </c>
      <c r="U16" s="130">
        <f>IF(SER_hh_tes!U16=0,0,11630*1000*SER_hh_tes!U16/SER_hh_num!U16)</f>
        <v>42638.986780497311</v>
      </c>
      <c r="V16" s="130">
        <f>IF(SER_hh_tes!V16=0,0,11630*1000*SER_hh_tes!V16/SER_hh_num!V16)</f>
        <v>41964.713428769704</v>
      </c>
      <c r="W16" s="130">
        <f>IF(SER_hh_tes!W16=0,0,11630*1000*SER_hh_tes!W16/SER_hh_num!W16)</f>
        <v>36388.887274935885</v>
      </c>
      <c r="X16" s="130">
        <f>IF(SER_hh_tes!X16=0,0,11630*1000*SER_hh_tes!X16/SER_hh_num!X16)</f>
        <v>38616.847509625244</v>
      </c>
      <c r="Y16" s="130">
        <f>IF(SER_hh_tes!Y16=0,0,11630*1000*SER_hh_tes!Y16/SER_hh_num!Y16)</f>
        <v>36845.997625281816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34482.49827432452</v>
      </c>
      <c r="C17" s="132">
        <f>IF(SER_hh_tes!C17=0,0,11630*1000*SER_hh_tes!C17/SER_hh_num!C17)</f>
        <v>35139.449735691662</v>
      </c>
      <c r="D17" s="132">
        <f>IF(SER_hh_tes!D17=0,0,11630*1000*SER_hh_tes!D17/SER_hh_num!D17)</f>
        <v>35675.152595649357</v>
      </c>
      <c r="E17" s="132">
        <f>IF(SER_hh_tes!E17=0,0,11630*1000*SER_hh_tes!E17/SER_hh_num!E17)</f>
        <v>45733.225661263634</v>
      </c>
      <c r="F17" s="132">
        <f>IF(SER_hh_tes!F17=0,0,11630*1000*SER_hh_tes!F17/SER_hh_num!F17)</f>
        <v>34959.417962441483</v>
      </c>
      <c r="G17" s="132">
        <f>IF(SER_hh_tes!G17=0,0,11630*1000*SER_hh_tes!G17/SER_hh_num!G17)</f>
        <v>36097.408947320291</v>
      </c>
      <c r="H17" s="132">
        <f>IF(SER_hh_tes!H17=0,0,11630*1000*SER_hh_tes!H17/SER_hh_num!H17)</f>
        <v>42514.976484721425</v>
      </c>
      <c r="I17" s="132">
        <f>IF(SER_hh_tes!I17=0,0,11630*1000*SER_hh_tes!I17/SER_hh_num!I17)</f>
        <v>35429.467278402561</v>
      </c>
      <c r="J17" s="132">
        <f>IF(SER_hh_tes!J17=0,0,11630*1000*SER_hh_tes!J17/SER_hh_num!J17)</f>
        <v>35422.490446075833</v>
      </c>
      <c r="K17" s="132">
        <f>IF(SER_hh_tes!K17=0,0,11630*1000*SER_hh_tes!K17/SER_hh_num!K17)</f>
        <v>42191.328534010543</v>
      </c>
      <c r="L17" s="132">
        <f>IF(SER_hh_tes!L17=0,0,11630*1000*SER_hh_tes!L17/SER_hh_num!L17)</f>
        <v>38464.146456456052</v>
      </c>
      <c r="M17" s="132">
        <f>IF(SER_hh_tes!M17=0,0,11630*1000*SER_hh_tes!M17/SER_hh_num!M17)</f>
        <v>36083.898220116549</v>
      </c>
      <c r="N17" s="132">
        <f>IF(SER_hh_tes!N17=0,0,11630*1000*SER_hh_tes!N17/SER_hh_num!N17)</f>
        <v>37179.703214733097</v>
      </c>
      <c r="O17" s="132">
        <f>IF(SER_hh_tes!O17=0,0,11630*1000*SER_hh_tes!O17/SER_hh_num!O17)</f>
        <v>37911.235831375932</v>
      </c>
      <c r="P17" s="132">
        <f>IF(SER_hh_tes!P17=0,0,11630*1000*SER_hh_tes!P17/SER_hh_num!P17)</f>
        <v>36511.341501199153</v>
      </c>
      <c r="Q17" s="132">
        <f>IF(SER_hh_tes!Q17=0,0,11630*1000*SER_hh_tes!Q17/SER_hh_num!Q17)</f>
        <v>41385.743445855442</v>
      </c>
      <c r="R17" s="132">
        <f>IF(SER_hh_tes!R17=0,0,11630*1000*SER_hh_tes!R17/SER_hh_num!R17)</f>
        <v>37672.742777966247</v>
      </c>
      <c r="S17" s="132">
        <f>IF(SER_hh_tes!S17=0,0,11630*1000*SER_hh_tes!S17/SER_hh_num!S17)</f>
        <v>38897.889564591947</v>
      </c>
      <c r="T17" s="132">
        <f>IF(SER_hh_tes!T17=0,0,11630*1000*SER_hh_tes!T17/SER_hh_num!T17)</f>
        <v>42415.747248125335</v>
      </c>
      <c r="U17" s="132">
        <f>IF(SER_hh_tes!U17=0,0,11630*1000*SER_hh_tes!U17/SER_hh_num!U17)</f>
        <v>42638.986721250389</v>
      </c>
      <c r="V17" s="132">
        <f>IF(SER_hh_tes!V17=0,0,11630*1000*SER_hh_tes!V17/SER_hh_num!V17)</f>
        <v>42728.452006310603</v>
      </c>
      <c r="W17" s="132">
        <f>IF(SER_hh_tes!W17=0,0,11630*1000*SER_hh_tes!W17/SER_hh_num!W17)</f>
        <v>42435.35674538507</v>
      </c>
      <c r="X17" s="132">
        <f>IF(SER_hh_tes!X17=0,0,11630*1000*SER_hh_tes!X17/SER_hh_num!X17)</f>
        <v>38378.55586720346</v>
      </c>
      <c r="Y17" s="132">
        <f>IF(SER_hh_tes!Y17=0,0,11630*1000*SER_hh_tes!Y17/SER_hh_num!Y17)</f>
        <v>36845.997761760053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34482.49827432452</v>
      </c>
      <c r="C18" s="132">
        <f>IF(SER_hh_tes!C18=0,0,11630*1000*SER_hh_tes!C18/SER_hh_num!C18)</f>
        <v>35139.4497359448</v>
      </c>
      <c r="D18" s="132">
        <f>IF(SER_hh_tes!D18=0,0,11630*1000*SER_hh_tes!D18/SER_hh_num!D18)</f>
        <v>35675.152623327333</v>
      </c>
      <c r="E18" s="132">
        <f>IF(SER_hh_tes!E18=0,0,11630*1000*SER_hh_tes!E18/SER_hh_num!E18)</f>
        <v>45733.225668888357</v>
      </c>
      <c r="F18" s="132">
        <f>IF(SER_hh_tes!F18=0,0,11630*1000*SER_hh_tes!F18/SER_hh_num!F18)</f>
        <v>34959.417947614907</v>
      </c>
      <c r="G18" s="132">
        <f>IF(SER_hh_tes!G18=0,0,11630*1000*SER_hh_tes!G18/SER_hh_num!G18)</f>
        <v>36097.40892364578</v>
      </c>
      <c r="H18" s="132">
        <f>IF(SER_hh_tes!H18=0,0,11630*1000*SER_hh_tes!H18/SER_hh_num!H18)</f>
        <v>42514.976461289029</v>
      </c>
      <c r="I18" s="132">
        <f>IF(SER_hh_tes!I18=0,0,11630*1000*SER_hh_tes!I18/SER_hh_num!I18)</f>
        <v>35429.467274746305</v>
      </c>
      <c r="J18" s="132">
        <f>IF(SER_hh_tes!J18=0,0,11630*1000*SER_hh_tes!J18/SER_hh_num!J18)</f>
        <v>35422.490455203006</v>
      </c>
      <c r="K18" s="132">
        <f>IF(SER_hh_tes!K18=0,0,11630*1000*SER_hh_tes!K18/SER_hh_num!K18)</f>
        <v>35771.143113336024</v>
      </c>
      <c r="L18" s="132">
        <f>IF(SER_hh_tes!L18=0,0,11630*1000*SER_hh_tes!L18/SER_hh_num!L18)</f>
        <v>38464.14648698095</v>
      </c>
      <c r="M18" s="132">
        <f>IF(SER_hh_tes!M18=0,0,11630*1000*SER_hh_tes!M18/SER_hh_num!M18)</f>
        <v>36083.898245130804</v>
      </c>
      <c r="N18" s="132">
        <f>IF(SER_hh_tes!N18=0,0,11630*1000*SER_hh_tes!N18/SER_hh_num!N18)</f>
        <v>37179.7032392939</v>
      </c>
      <c r="O18" s="132">
        <f>IF(SER_hh_tes!O18=0,0,11630*1000*SER_hh_tes!O18/SER_hh_num!O18)</f>
        <v>37911.235819402202</v>
      </c>
      <c r="P18" s="132">
        <f>IF(SER_hh_tes!P18=0,0,11630*1000*SER_hh_tes!P18/SER_hh_num!P18)</f>
        <v>36511.341427946056</v>
      </c>
      <c r="Q18" s="132">
        <f>IF(SER_hh_tes!Q18=0,0,11630*1000*SER_hh_tes!Q18/SER_hh_num!Q18)</f>
        <v>41385.743289561324</v>
      </c>
      <c r="R18" s="132">
        <f>IF(SER_hh_tes!R18=0,0,11630*1000*SER_hh_tes!R18/SER_hh_num!R18)</f>
        <v>37672.742643396719</v>
      </c>
      <c r="S18" s="132">
        <f>IF(SER_hh_tes!S18=0,0,11630*1000*SER_hh_tes!S18/SER_hh_num!S18)</f>
        <v>37580.981820480061</v>
      </c>
      <c r="T18" s="132">
        <f>IF(SER_hh_tes!T18=0,0,11630*1000*SER_hh_tes!T18/SER_hh_num!T18)</f>
        <v>42415.747264356614</v>
      </c>
      <c r="U18" s="132">
        <f>IF(SER_hh_tes!U18=0,0,11630*1000*SER_hh_tes!U18/SER_hh_num!U18)</f>
        <v>42638.986782375105</v>
      </c>
      <c r="V18" s="132">
        <f>IF(SER_hh_tes!V18=0,0,11630*1000*SER_hh_tes!V18/SER_hh_num!V18)</f>
        <v>41938.880083905482</v>
      </c>
      <c r="W18" s="132">
        <f>IF(SER_hh_tes!W18=0,0,11630*1000*SER_hh_tes!W18/SER_hh_num!W18)</f>
        <v>36171.118759581317</v>
      </c>
      <c r="X18" s="132">
        <f>IF(SER_hh_tes!X18=0,0,11630*1000*SER_hh_tes!X18/SER_hh_num!X18)</f>
        <v>38625.652317815431</v>
      </c>
      <c r="Y18" s="132">
        <f>IF(SER_hh_tes!Y18=0,0,11630*1000*SER_hh_tes!Y18/SER_hh_num!Y18)</f>
        <v>36845.997620178256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29040.383482390593</v>
      </c>
      <c r="C19" s="130">
        <f>IF(SER_hh_tes!C19=0,0,11630*1000*SER_hh_tes!C19/SER_hh_num!C19)</f>
        <v>29436.980332834257</v>
      </c>
      <c r="D19" s="130">
        <f>IF(SER_hh_tes!D19=0,0,11630*1000*SER_hh_tes!D19/SER_hh_num!D19)</f>
        <v>29339.93960873361</v>
      </c>
      <c r="E19" s="130">
        <f>IF(SER_hh_tes!E19=0,0,11630*1000*SER_hh_tes!E19/SER_hh_num!E19)</f>
        <v>29255.587031860705</v>
      </c>
      <c r="F19" s="130">
        <f>IF(SER_hh_tes!F19=0,0,11630*1000*SER_hh_tes!F19/SER_hh_num!F19)</f>
        <v>28823.717945943219</v>
      </c>
      <c r="G19" s="130">
        <f>IF(SER_hh_tes!G19=0,0,11630*1000*SER_hh_tes!G19/SER_hh_num!G19)</f>
        <v>28746.672621554968</v>
      </c>
      <c r="H19" s="130">
        <f>IF(SER_hh_tes!H19=0,0,11630*1000*SER_hh_tes!H19/SER_hh_num!H19)</f>
        <v>28572.655004154127</v>
      </c>
      <c r="I19" s="130">
        <f>IF(SER_hh_tes!I19=0,0,11630*1000*SER_hh_tes!I19/SER_hh_num!I19)</f>
        <v>28847.527856935249</v>
      </c>
      <c r="J19" s="130">
        <f>IF(SER_hh_tes!J19=0,0,11630*1000*SER_hh_tes!J19/SER_hh_num!J19)</f>
        <v>29062.527627218587</v>
      </c>
      <c r="K19" s="130">
        <f>IF(SER_hh_tes!K19=0,0,11630*1000*SER_hh_tes!K19/SER_hh_num!K19)</f>
        <v>29343.720119984351</v>
      </c>
      <c r="L19" s="130">
        <f>IF(SER_hh_tes!L19=0,0,11630*1000*SER_hh_tes!L19/SER_hh_num!L19)</f>
        <v>29398.615097949114</v>
      </c>
      <c r="M19" s="130">
        <f>IF(SER_hh_tes!M19=0,0,11630*1000*SER_hh_tes!M19/SER_hh_num!M19)</f>
        <v>28716.733681494527</v>
      </c>
      <c r="N19" s="130">
        <f>IF(SER_hh_tes!N19=0,0,11630*1000*SER_hh_tes!N19/SER_hh_num!N19)</f>
        <v>28998.015297676462</v>
      </c>
      <c r="O19" s="130">
        <f>IF(SER_hh_tes!O19=0,0,11630*1000*SER_hh_tes!O19/SER_hh_num!O19)</f>
        <v>29378.970634478457</v>
      </c>
      <c r="P19" s="130">
        <f>IF(SER_hh_tes!P19=0,0,11630*1000*SER_hh_tes!P19/SER_hh_num!P19)</f>
        <v>29958.586692479603</v>
      </c>
      <c r="Q19" s="130">
        <f>IF(SER_hh_tes!Q19=0,0,11630*1000*SER_hh_tes!Q19/SER_hh_num!Q19)</f>
        <v>30172.644477700902</v>
      </c>
      <c r="R19" s="130">
        <f>IF(SER_hh_tes!R19=0,0,11630*1000*SER_hh_tes!R19/SER_hh_num!R19)</f>
        <v>29771.748309594535</v>
      </c>
      <c r="S19" s="130">
        <f>IF(SER_hh_tes!S19=0,0,11630*1000*SER_hh_tes!S19/SER_hh_num!S19)</f>
        <v>30520.386414613025</v>
      </c>
      <c r="T19" s="130">
        <f>IF(SER_hh_tes!T19=0,0,11630*1000*SER_hh_tes!T19/SER_hh_num!T19)</f>
        <v>30413.16460833836</v>
      </c>
      <c r="U19" s="130">
        <f>IF(SER_hh_tes!U19=0,0,11630*1000*SER_hh_tes!U19/SER_hh_num!U19)</f>
        <v>30381.695494462612</v>
      </c>
      <c r="V19" s="130">
        <f>IF(SER_hh_tes!V19=0,0,11630*1000*SER_hh_tes!V19/SER_hh_num!V19)</f>
        <v>27160.809190016895</v>
      </c>
      <c r="W19" s="130">
        <f>IF(SER_hh_tes!W19=0,0,11630*1000*SER_hh_tes!W19/SER_hh_num!W19)</f>
        <v>28620.776069252664</v>
      </c>
      <c r="X19" s="130">
        <f>IF(SER_hh_tes!X19=0,0,11630*1000*SER_hh_tes!X19/SER_hh_num!X19)</f>
        <v>30081.489845401022</v>
      </c>
      <c r="Y19" s="130">
        <f>IF(SER_hh_tes!Y19=0,0,11630*1000*SER_hh_tes!Y19/SER_hh_num!Y19)</f>
        <v>30909.415188906165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0</v>
      </c>
      <c r="C21" s="132">
        <f>IF(SER_hh_tes!C21=0,0,11630*1000*SER_hh_tes!C21/SER_hh_num!C21)</f>
        <v>0</v>
      </c>
      <c r="D21" s="132">
        <f>IF(SER_hh_tes!D21=0,0,11630*1000*SER_hh_tes!D21/SER_hh_num!D21)</f>
        <v>0</v>
      </c>
      <c r="E21" s="132">
        <f>IF(SER_hh_tes!E21=0,0,11630*1000*SER_hh_tes!E21/SER_hh_num!E21)</f>
        <v>0</v>
      </c>
      <c r="F21" s="132">
        <f>IF(SER_hh_tes!F21=0,0,11630*1000*SER_hh_tes!F21/SER_hh_num!F21)</f>
        <v>0</v>
      </c>
      <c r="G21" s="132">
        <f>IF(SER_hh_tes!G21=0,0,11630*1000*SER_hh_tes!G21/SER_hh_num!G21)</f>
        <v>0</v>
      </c>
      <c r="H21" s="132">
        <f>IF(SER_hh_tes!H21=0,0,11630*1000*SER_hh_tes!H21/SER_hh_num!H21)</f>
        <v>0</v>
      </c>
      <c r="I21" s="132">
        <f>IF(SER_hh_tes!I21=0,0,11630*1000*SER_hh_tes!I21/SER_hh_num!I21)</f>
        <v>0</v>
      </c>
      <c r="J21" s="132">
        <f>IF(SER_hh_tes!J21=0,0,11630*1000*SER_hh_tes!J21/SER_hh_num!J21)</f>
        <v>0</v>
      </c>
      <c r="K21" s="132">
        <f>IF(SER_hh_tes!K21=0,0,11630*1000*SER_hh_tes!K21/SER_hh_num!K21)</f>
        <v>0</v>
      </c>
      <c r="L21" s="132">
        <f>IF(SER_hh_tes!L21=0,0,11630*1000*SER_hh_tes!L21/SER_hh_num!L21)</f>
        <v>0</v>
      </c>
      <c r="M21" s="132">
        <f>IF(SER_hh_tes!M21=0,0,11630*1000*SER_hh_tes!M21/SER_hh_num!M21)</f>
        <v>0</v>
      </c>
      <c r="N21" s="132">
        <f>IF(SER_hh_tes!N21=0,0,11630*1000*SER_hh_tes!N21/SER_hh_num!N21)</f>
        <v>0</v>
      </c>
      <c r="O21" s="132">
        <f>IF(SER_hh_tes!O21=0,0,11630*1000*SER_hh_tes!O21/SER_hh_num!O21)</f>
        <v>0</v>
      </c>
      <c r="P21" s="132">
        <f>IF(SER_hh_tes!P21=0,0,11630*1000*SER_hh_tes!P21/SER_hh_num!P21)</f>
        <v>0</v>
      </c>
      <c r="Q21" s="132">
        <f>IF(SER_hh_tes!Q21=0,0,11630*1000*SER_hh_tes!Q21/SER_hh_num!Q21)</f>
        <v>0</v>
      </c>
      <c r="R21" s="132">
        <f>IF(SER_hh_tes!R21=0,0,11630*1000*SER_hh_tes!R21/SER_hh_num!R21)</f>
        <v>0</v>
      </c>
      <c r="S21" s="132">
        <f>IF(SER_hh_tes!S21=0,0,11630*1000*SER_hh_tes!S21/SER_hh_num!S21)</f>
        <v>0</v>
      </c>
      <c r="T21" s="132">
        <f>IF(SER_hh_tes!T21=0,0,11630*1000*SER_hh_tes!T21/SER_hh_num!T21)</f>
        <v>0</v>
      </c>
      <c r="U21" s="132">
        <f>IF(SER_hh_tes!U21=0,0,11630*1000*SER_hh_tes!U21/SER_hh_num!U21)</f>
        <v>0</v>
      </c>
      <c r="V21" s="132">
        <f>IF(SER_hh_tes!V21=0,0,11630*1000*SER_hh_tes!V21/SER_hh_num!V21)</f>
        <v>0</v>
      </c>
      <c r="W21" s="132">
        <f>IF(SER_hh_tes!W21=0,0,11630*1000*SER_hh_tes!W21/SER_hh_num!W21)</f>
        <v>0</v>
      </c>
      <c r="X21" s="132">
        <f>IF(SER_hh_tes!X21=0,0,11630*1000*SER_hh_tes!X21/SER_hh_num!X21)</f>
        <v>0</v>
      </c>
      <c r="Y21" s="132">
        <f>IF(SER_hh_tes!Y21=0,0,11630*1000*SER_hh_tes!Y21/SER_hh_num!Y21)</f>
        <v>0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29318.77146844257</v>
      </c>
      <c r="C22" s="132">
        <f>IF(SER_hh_tes!C22=0,0,11630*1000*SER_hh_tes!C22/SER_hh_num!C22)</f>
        <v>29022.5065401139</v>
      </c>
      <c r="D22" s="132">
        <f>IF(SER_hh_tes!D22=0,0,11630*1000*SER_hh_tes!D22/SER_hh_num!D22)</f>
        <v>29495.637322553066</v>
      </c>
      <c r="E22" s="132">
        <f>IF(SER_hh_tes!E22=0,0,11630*1000*SER_hh_tes!E22/SER_hh_num!E22)</f>
        <v>29455.701893707301</v>
      </c>
      <c r="F22" s="132">
        <f>IF(SER_hh_tes!F22=0,0,11630*1000*SER_hh_tes!F22/SER_hh_num!F22)</f>
        <v>30227.356689571956</v>
      </c>
      <c r="G22" s="132">
        <f>IF(SER_hh_tes!G22=0,0,11630*1000*SER_hh_tes!G22/SER_hh_num!G22)</f>
        <v>31546.198283580194</v>
      </c>
      <c r="H22" s="132">
        <f>IF(SER_hh_tes!H22=0,0,11630*1000*SER_hh_tes!H22/SER_hh_num!H22)</f>
        <v>26191.957488485285</v>
      </c>
      <c r="I22" s="132">
        <f>IF(SER_hh_tes!I22=0,0,11630*1000*SER_hh_tes!I22/SER_hh_num!I22)</f>
        <v>28717.860951541064</v>
      </c>
      <c r="J22" s="132">
        <f>IF(SER_hh_tes!J22=0,0,11630*1000*SER_hh_tes!J22/SER_hh_num!J22)</f>
        <v>23681.483876270107</v>
      </c>
      <c r="K22" s="132">
        <f>IF(SER_hh_tes!K22=0,0,11630*1000*SER_hh_tes!K22/SER_hh_num!K22)</f>
        <v>25321.136356329927</v>
      </c>
      <c r="L22" s="132">
        <f>IF(SER_hh_tes!L22=0,0,11630*1000*SER_hh_tes!L22/SER_hh_num!L22)</f>
        <v>34721.151683212986</v>
      </c>
      <c r="M22" s="132">
        <f>IF(SER_hh_tes!M22=0,0,11630*1000*SER_hh_tes!M22/SER_hh_num!M22)</f>
        <v>23394.135547708909</v>
      </c>
      <c r="N22" s="132">
        <f>IF(SER_hh_tes!N22=0,0,11630*1000*SER_hh_tes!N22/SER_hh_num!N22)</f>
        <v>31410.021937374091</v>
      </c>
      <c r="O22" s="132">
        <f>IF(SER_hh_tes!O22=0,0,11630*1000*SER_hh_tes!O22/SER_hh_num!O22)</f>
        <v>29878.075966251257</v>
      </c>
      <c r="P22" s="132">
        <f>IF(SER_hh_tes!P22=0,0,11630*1000*SER_hh_tes!P22/SER_hh_num!P22)</f>
        <v>30637.296394921959</v>
      </c>
      <c r="Q22" s="132">
        <f>IF(SER_hh_tes!Q22=0,0,11630*1000*SER_hh_tes!Q22/SER_hh_num!Q22)</f>
        <v>28523.851584945201</v>
      </c>
      <c r="R22" s="132">
        <f>IF(SER_hh_tes!R22=0,0,11630*1000*SER_hh_tes!R22/SER_hh_num!R22)</f>
        <v>24683.859278224762</v>
      </c>
      <c r="S22" s="132">
        <f>IF(SER_hh_tes!S22=0,0,11630*1000*SER_hh_tes!S22/SER_hh_num!S22)</f>
        <v>32709.051162881049</v>
      </c>
      <c r="T22" s="132">
        <f>IF(SER_hh_tes!T22=0,0,11630*1000*SER_hh_tes!T22/SER_hh_num!T22)</f>
        <v>31376.12141360663</v>
      </c>
      <c r="U22" s="132">
        <f>IF(SER_hh_tes!U22=0,0,11630*1000*SER_hh_tes!U22/SER_hh_num!U22)</f>
        <v>32492.966628001137</v>
      </c>
      <c r="V22" s="132">
        <f>IF(SER_hh_tes!V22=0,0,11630*1000*SER_hh_tes!V22/SER_hh_num!V22)</f>
        <v>26629.790456786352</v>
      </c>
      <c r="W22" s="132">
        <f>IF(SER_hh_tes!W22=0,0,11630*1000*SER_hh_tes!W22/SER_hh_num!W22)</f>
        <v>31784.188351650537</v>
      </c>
      <c r="X22" s="132">
        <f>IF(SER_hh_tes!X22=0,0,11630*1000*SER_hh_tes!X22/SER_hh_num!X22)</f>
        <v>28044.527040932524</v>
      </c>
      <c r="Y22" s="132">
        <f>IF(SER_hh_tes!Y22=0,0,11630*1000*SER_hh_tes!Y22/SER_hh_num!Y22)</f>
        <v>30364.388892390911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28778.513654429251</v>
      </c>
      <c r="C23" s="132">
        <f>IF(SER_hh_tes!C23=0,0,11630*1000*SER_hh_tes!C23/SER_hh_num!C23)</f>
        <v>29244.197528981575</v>
      </c>
      <c r="D23" s="132">
        <f>IF(SER_hh_tes!D23=0,0,11630*1000*SER_hh_tes!D23/SER_hh_num!D23)</f>
        <v>28783.221933929475</v>
      </c>
      <c r="E23" s="132">
        <f>IF(SER_hh_tes!E23=0,0,11630*1000*SER_hh_tes!E23/SER_hh_num!E23)</f>
        <v>29896.0924509383</v>
      </c>
      <c r="F23" s="132">
        <f>IF(SER_hh_tes!F23=0,0,11630*1000*SER_hh_tes!F23/SER_hh_num!F23)</f>
        <v>28927.21053064763</v>
      </c>
      <c r="G23" s="132">
        <f>IF(SER_hh_tes!G23=0,0,11630*1000*SER_hh_tes!G23/SER_hh_num!G23)</f>
        <v>28970.725663062018</v>
      </c>
      <c r="H23" s="132">
        <f>IF(SER_hh_tes!H23=0,0,11630*1000*SER_hh_tes!H23/SER_hh_num!H23)</f>
        <v>28229.474346014344</v>
      </c>
      <c r="I23" s="132">
        <f>IF(SER_hh_tes!I23=0,0,11630*1000*SER_hh_tes!I23/SER_hh_num!I23)</f>
        <v>27522.295125069115</v>
      </c>
      <c r="J23" s="132">
        <f>IF(SER_hh_tes!J23=0,0,11630*1000*SER_hh_tes!J23/SER_hh_num!J23)</f>
        <v>30795.527059882472</v>
      </c>
      <c r="K23" s="132">
        <f>IF(SER_hh_tes!K23=0,0,11630*1000*SER_hh_tes!K23/SER_hh_num!K23)</f>
        <v>27879.469194388774</v>
      </c>
      <c r="L23" s="132">
        <f>IF(SER_hh_tes!L23=0,0,11630*1000*SER_hh_tes!L23/SER_hh_num!L23)</f>
        <v>30726.558579971868</v>
      </c>
      <c r="M23" s="132">
        <f>IF(SER_hh_tes!M23=0,0,11630*1000*SER_hh_tes!M23/SER_hh_num!M23)</f>
        <v>29202.16293643547</v>
      </c>
      <c r="N23" s="132">
        <f>IF(SER_hh_tes!N23=0,0,11630*1000*SER_hh_tes!N23/SER_hh_num!N23)</f>
        <v>28009.676213997031</v>
      </c>
      <c r="O23" s="132">
        <f>IF(SER_hh_tes!O23=0,0,11630*1000*SER_hh_tes!O23/SER_hh_num!O23)</f>
        <v>28561.974794535636</v>
      </c>
      <c r="P23" s="132">
        <f>IF(SER_hh_tes!P23=0,0,11630*1000*SER_hh_tes!P23/SER_hh_num!P23)</f>
        <v>30213.087303182649</v>
      </c>
      <c r="Q23" s="132">
        <f>IF(SER_hh_tes!Q23=0,0,11630*1000*SER_hh_tes!Q23/SER_hh_num!Q23)</f>
        <v>34270.512485596046</v>
      </c>
      <c r="R23" s="132">
        <f>IF(SER_hh_tes!R23=0,0,11630*1000*SER_hh_tes!R23/SER_hh_num!R23)</f>
        <v>36652.834901301409</v>
      </c>
      <c r="S23" s="132">
        <f>IF(SER_hh_tes!S23=0,0,11630*1000*SER_hh_tes!S23/SER_hh_num!S23)</f>
        <v>27038.023510135052</v>
      </c>
      <c r="T23" s="132">
        <f>IF(SER_hh_tes!T23=0,0,11630*1000*SER_hh_tes!T23/SER_hh_num!T23)</f>
        <v>30540.309924638805</v>
      </c>
      <c r="U23" s="132">
        <f>IF(SER_hh_tes!U23=0,0,11630*1000*SER_hh_tes!U23/SER_hh_num!U23)</f>
        <v>31673.247232298781</v>
      </c>
      <c r="V23" s="132">
        <f>IF(SER_hh_tes!V23=0,0,11630*1000*SER_hh_tes!V23/SER_hh_num!V23)</f>
        <v>21250.760610521142</v>
      </c>
      <c r="W23" s="132">
        <f>IF(SER_hh_tes!W23=0,0,11630*1000*SER_hh_tes!W23/SER_hh_num!W23)</f>
        <v>30739.082302654384</v>
      </c>
      <c r="X23" s="132">
        <f>IF(SER_hh_tes!X23=0,0,11630*1000*SER_hh_tes!X23/SER_hh_num!X23)</f>
        <v>30615.428899330993</v>
      </c>
      <c r="Y23" s="132">
        <f>IF(SER_hh_tes!Y23=0,0,11630*1000*SER_hh_tes!Y23/SER_hh_num!Y23)</f>
        <v>30776.678489570524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27257.666694845746</v>
      </c>
      <c r="C25" s="132">
        <f>IF(SER_hh_tes!C25=0,0,11630*1000*SER_hh_tes!C25/SER_hh_num!C25)</f>
        <v>24539.742055376388</v>
      </c>
      <c r="D25" s="132">
        <f>IF(SER_hh_tes!D25=0,0,11630*1000*SER_hh_tes!D25/SER_hh_num!D25)</f>
        <v>27198.197816628981</v>
      </c>
      <c r="E25" s="132">
        <f>IF(SER_hh_tes!E25=0,0,11630*1000*SER_hh_tes!E25/SER_hh_num!E25)</f>
        <v>33650.27905975547</v>
      </c>
      <c r="F25" s="132">
        <f>IF(SER_hh_tes!F25=0,0,11630*1000*SER_hh_tes!F25/SER_hh_num!F25)</f>
        <v>30254.145215681521</v>
      </c>
      <c r="G25" s="132">
        <f>IF(SER_hh_tes!G25=0,0,11630*1000*SER_hh_tes!G25/SER_hh_num!G25)</f>
        <v>29038.634290405844</v>
      </c>
      <c r="H25" s="132">
        <f>IF(SER_hh_tes!H25=0,0,11630*1000*SER_hh_tes!H25/SER_hh_num!H25)</f>
        <v>28948.465478619644</v>
      </c>
      <c r="I25" s="132">
        <f>IF(SER_hh_tes!I25=0,0,11630*1000*SER_hh_tes!I25/SER_hh_num!I25)</f>
        <v>28924.732267247378</v>
      </c>
      <c r="J25" s="132">
        <f>IF(SER_hh_tes!J25=0,0,11630*1000*SER_hh_tes!J25/SER_hh_num!J25)</f>
        <v>28991.515424108053</v>
      </c>
      <c r="K25" s="132">
        <f>IF(SER_hh_tes!K25=0,0,11630*1000*SER_hh_tes!K25/SER_hh_num!K25)</f>
        <v>29985.739169479919</v>
      </c>
      <c r="L25" s="132">
        <f>IF(SER_hh_tes!L25=0,0,11630*1000*SER_hh_tes!L25/SER_hh_num!L25)</f>
        <v>28426.672421895841</v>
      </c>
      <c r="M25" s="132">
        <f>IF(SER_hh_tes!M25=0,0,11630*1000*SER_hh_tes!M25/SER_hh_num!M25)</f>
        <v>28798.892245190171</v>
      </c>
      <c r="N25" s="132">
        <f>IF(SER_hh_tes!N25=0,0,11630*1000*SER_hh_tes!N25/SER_hh_num!N25)</f>
        <v>29280.510665582522</v>
      </c>
      <c r="O25" s="132">
        <f>IF(SER_hh_tes!O25=0,0,11630*1000*SER_hh_tes!O25/SER_hh_num!O25)</f>
        <v>29699.774407981688</v>
      </c>
      <c r="P25" s="132">
        <f>IF(SER_hh_tes!P25=0,0,11630*1000*SER_hh_tes!P25/SER_hh_num!P25)</f>
        <v>29501.672063193226</v>
      </c>
      <c r="Q25" s="132">
        <f>IF(SER_hh_tes!Q25=0,0,11630*1000*SER_hh_tes!Q25/SER_hh_num!Q25)</f>
        <v>29724.851382183322</v>
      </c>
      <c r="R25" s="132">
        <f>IF(SER_hh_tes!R25=0,0,11630*1000*SER_hh_tes!R25/SER_hh_num!R25)</f>
        <v>29815.64830220411</v>
      </c>
      <c r="S25" s="132">
        <f>IF(SER_hh_tes!S25=0,0,11630*1000*SER_hh_tes!S25/SER_hh_num!S25)</f>
        <v>31447.139929765126</v>
      </c>
      <c r="T25" s="132">
        <f>IF(SER_hh_tes!T25=0,0,11630*1000*SER_hh_tes!T25/SER_hh_num!T25)</f>
        <v>28494.646014177164</v>
      </c>
      <c r="U25" s="132">
        <f>IF(SER_hh_tes!U25=0,0,11630*1000*SER_hh_tes!U25/SER_hh_num!U25)</f>
        <v>30444.613314972816</v>
      </c>
      <c r="V25" s="132">
        <f>IF(SER_hh_tes!V25=0,0,11630*1000*SER_hh_tes!V25/SER_hh_num!V25)</f>
        <v>31523.086078380795</v>
      </c>
      <c r="W25" s="132">
        <f>IF(SER_hh_tes!W25=0,0,11630*1000*SER_hh_tes!W25/SER_hh_num!W25)</f>
        <v>28930.731422286368</v>
      </c>
      <c r="X25" s="132">
        <f>IF(SER_hh_tes!X25=0,0,11630*1000*SER_hh_tes!X25/SER_hh_num!X25)</f>
        <v>28471.777955607373</v>
      </c>
      <c r="Y25" s="132">
        <f>IF(SER_hh_tes!Y25=0,0,11630*1000*SER_hh_tes!Y25/SER_hh_num!Y25)</f>
        <v>29322.732466559144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29234.285093665359</v>
      </c>
      <c r="C26" s="65">
        <f>IF(SER_hh_tes!C26=0,0,11630*1000*SER_hh_tes!C26/SER_hh_num!C26)</f>
        <v>30392.813161956612</v>
      </c>
      <c r="D26" s="65">
        <f>IF(SER_hh_tes!D26=0,0,11630*1000*SER_hh_tes!D26/SER_hh_num!D26)</f>
        <v>30176.440688515504</v>
      </c>
      <c r="E26" s="65">
        <f>IF(SER_hh_tes!E26=0,0,11630*1000*SER_hh_tes!E26/SER_hh_num!E26)</f>
        <v>26583.694441703428</v>
      </c>
      <c r="F26" s="65">
        <f>IF(SER_hh_tes!F26=0,0,11630*1000*SER_hh_tes!F26/SER_hh_num!F26)</f>
        <v>27205.804759712071</v>
      </c>
      <c r="G26" s="65">
        <f>IF(SER_hh_tes!G26=0,0,11630*1000*SER_hh_tes!G26/SER_hh_num!G26)</f>
        <v>27291.792101848063</v>
      </c>
      <c r="H26" s="65">
        <f>IF(SER_hh_tes!H26=0,0,11630*1000*SER_hh_tes!H26/SER_hh_num!H26)</f>
        <v>29240.404877918401</v>
      </c>
      <c r="I26" s="65">
        <f>IF(SER_hh_tes!I26=0,0,11630*1000*SER_hh_tes!I26/SER_hh_num!I26)</f>
        <v>29573.351344647115</v>
      </c>
      <c r="J26" s="65">
        <f>IF(SER_hh_tes!J26=0,0,11630*1000*SER_hh_tes!J26/SER_hh_num!J26)</f>
        <v>29150.027512234286</v>
      </c>
      <c r="K26" s="65">
        <f>IF(SER_hh_tes!K26=0,0,11630*1000*SER_hh_tes!K26/SER_hh_num!K26)</f>
        <v>30668.032227189065</v>
      </c>
      <c r="L26" s="65">
        <f>IF(SER_hh_tes!L26=0,0,11630*1000*SER_hh_tes!L26/SER_hh_num!L26)</f>
        <v>27796.456899042285</v>
      </c>
      <c r="M26" s="65">
        <f>IF(SER_hh_tes!M26=0,0,11630*1000*SER_hh_tes!M26/SER_hh_num!M26)</f>
        <v>29700.771473409171</v>
      </c>
      <c r="N26" s="65">
        <f>IF(SER_hh_tes!N26=0,0,11630*1000*SER_hh_tes!N26/SER_hh_num!N26)</f>
        <v>28781.589854469978</v>
      </c>
      <c r="O26" s="65">
        <f>IF(SER_hh_tes!O26=0,0,11630*1000*SER_hh_tes!O26/SER_hh_num!O26)</f>
        <v>29616.717304360718</v>
      </c>
      <c r="P26" s="65">
        <f>IF(SER_hh_tes!P26=0,0,11630*1000*SER_hh_tes!P26/SER_hh_num!P26)</f>
        <v>29823.325194159945</v>
      </c>
      <c r="Q26" s="65">
        <f>IF(SER_hh_tes!Q26=0,0,11630*1000*SER_hh_tes!Q26/SER_hh_num!Q26)</f>
        <v>27902.089812544778</v>
      </c>
      <c r="R26" s="65">
        <f>IF(SER_hh_tes!R26=0,0,11630*1000*SER_hh_tes!R26/SER_hh_num!R26)</f>
        <v>26525.577327219449</v>
      </c>
      <c r="S26" s="65">
        <f>IF(SER_hh_tes!S26=0,0,11630*1000*SER_hh_tes!S26/SER_hh_num!S26)</f>
        <v>31410.881845846463</v>
      </c>
      <c r="T26" s="65">
        <f>IF(SER_hh_tes!T26=0,0,11630*1000*SER_hh_tes!T26/SER_hh_num!T26)</f>
        <v>31007.047315819698</v>
      </c>
      <c r="U26" s="65">
        <f>IF(SER_hh_tes!U26=0,0,11630*1000*SER_hh_tes!U26/SER_hh_num!U26)</f>
        <v>28169.817678052063</v>
      </c>
      <c r="V26" s="65">
        <f>IF(SER_hh_tes!V26=0,0,11630*1000*SER_hh_tes!V26/SER_hh_num!V26)</f>
        <v>28234.077087021044</v>
      </c>
      <c r="W26" s="65">
        <f>IF(SER_hh_tes!W26=0,0,11630*1000*SER_hh_tes!W26/SER_hh_num!W26)</f>
        <v>25637.227118595521</v>
      </c>
      <c r="X26" s="65">
        <f>IF(SER_hh_tes!X26=0,0,11630*1000*SER_hh_tes!X26/SER_hh_num!X26)</f>
        <v>31381.123484583179</v>
      </c>
      <c r="Y26" s="65">
        <f>IF(SER_hh_tes!Y26=0,0,11630*1000*SER_hh_tes!Y26/SER_hh_num!Y26)</f>
        <v>31669.02253247318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0</v>
      </c>
      <c r="C27" s="145">
        <f>IF(SER_hh_tes!C27=0,0,11630*1000*SER_hh_tes!C27/SER_hh_num!C19)</f>
        <v>0</v>
      </c>
      <c r="D27" s="145">
        <f>IF(SER_hh_tes!D27=0,0,11630*1000*SER_hh_tes!D27/SER_hh_num!D19)</f>
        <v>0</v>
      </c>
      <c r="E27" s="145">
        <f>IF(SER_hh_tes!E27=0,0,11630*1000*SER_hh_tes!E27/SER_hh_num!E19)</f>
        <v>0</v>
      </c>
      <c r="F27" s="145">
        <f>IF(SER_hh_tes!F27=0,0,11630*1000*SER_hh_tes!F27/SER_hh_num!F19)</f>
        <v>0</v>
      </c>
      <c r="G27" s="145">
        <f>IF(SER_hh_tes!G27=0,0,11630*1000*SER_hh_tes!G27/SER_hh_num!G19)</f>
        <v>0</v>
      </c>
      <c r="H27" s="145">
        <f>IF(SER_hh_tes!H27=0,0,11630*1000*SER_hh_tes!H27/SER_hh_num!H19)</f>
        <v>0</v>
      </c>
      <c r="I27" s="145">
        <f>IF(SER_hh_tes!I27=0,0,11630*1000*SER_hh_tes!I27/SER_hh_num!I19)</f>
        <v>0</v>
      </c>
      <c r="J27" s="145">
        <f>IF(SER_hh_tes!J27=0,0,11630*1000*SER_hh_tes!J27/SER_hh_num!J19)</f>
        <v>0</v>
      </c>
      <c r="K27" s="145">
        <f>IF(SER_hh_tes!K27=0,0,11630*1000*SER_hh_tes!K27/SER_hh_num!K19)</f>
        <v>0</v>
      </c>
      <c r="L27" s="145">
        <f>IF(SER_hh_tes!L27=0,0,11630*1000*SER_hh_tes!L27/SER_hh_num!L19)</f>
        <v>0</v>
      </c>
      <c r="M27" s="145">
        <f>IF(SER_hh_tes!M27=0,0,11630*1000*SER_hh_tes!M27/SER_hh_num!M19)</f>
        <v>0</v>
      </c>
      <c r="N27" s="145">
        <f>IF(SER_hh_tes!N27=0,0,11630*1000*SER_hh_tes!N27/SER_hh_num!N19)</f>
        <v>0</v>
      </c>
      <c r="O27" s="145">
        <f>IF(SER_hh_tes!O27=0,0,11630*1000*SER_hh_tes!O27/SER_hh_num!O19)</f>
        <v>0</v>
      </c>
      <c r="P27" s="145">
        <f>IF(SER_hh_tes!P27=0,0,11630*1000*SER_hh_tes!P27/SER_hh_num!P19)</f>
        <v>0</v>
      </c>
      <c r="Q27" s="145">
        <f>IF(SER_hh_tes!Q27=0,0,11630*1000*SER_hh_tes!Q27/SER_hh_num!Q19)</f>
        <v>0</v>
      </c>
      <c r="R27" s="145">
        <f>IF(SER_hh_tes!R27=0,0,11630*1000*SER_hh_tes!R27/SER_hh_num!R19)</f>
        <v>0</v>
      </c>
      <c r="S27" s="145">
        <f>IF(SER_hh_tes!S27=0,0,11630*1000*SER_hh_tes!S27/SER_hh_num!S19)</f>
        <v>0</v>
      </c>
      <c r="T27" s="145">
        <f>IF(SER_hh_tes!T27=0,0,11630*1000*SER_hh_tes!T27/SER_hh_num!T19)</f>
        <v>0</v>
      </c>
      <c r="U27" s="145">
        <f>IF(SER_hh_tes!U27=0,0,11630*1000*SER_hh_tes!U27/SER_hh_num!U19)</f>
        <v>0</v>
      </c>
      <c r="V27" s="145">
        <f>IF(SER_hh_tes!V27=0,0,11630*1000*SER_hh_tes!V27/SER_hh_num!V19)</f>
        <v>0</v>
      </c>
      <c r="W27" s="145">
        <f>IF(SER_hh_tes!W27=0,0,11630*1000*SER_hh_tes!W27/SER_hh_num!W19)</f>
        <v>0</v>
      </c>
      <c r="X27" s="145">
        <f>IF(SER_hh_tes!X27=0,0,11630*1000*SER_hh_tes!X27/SER_hh_num!X19)</f>
        <v>0</v>
      </c>
      <c r="Y27" s="145">
        <f>IF(SER_hh_tes!Y27=0,0,11630*1000*SER_hh_tes!Y27/SER_hh_num!Y19)</f>
        <v>0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0</v>
      </c>
      <c r="C28" s="146">
        <f>IF(SER_hh_tes!C27=0,0,11630*1000*SER_hh_tes!C27/SER_hh_num!C27)</f>
        <v>0</v>
      </c>
      <c r="D28" s="146">
        <f>IF(SER_hh_tes!D27=0,0,11630*1000*SER_hh_tes!D27/SER_hh_num!D27)</f>
        <v>0</v>
      </c>
      <c r="E28" s="146">
        <f>IF(SER_hh_tes!E27=0,0,11630*1000*SER_hh_tes!E27/SER_hh_num!E27)</f>
        <v>0</v>
      </c>
      <c r="F28" s="146">
        <f>IF(SER_hh_tes!F27=0,0,11630*1000*SER_hh_tes!F27/SER_hh_num!F27)</f>
        <v>0</v>
      </c>
      <c r="G28" s="146">
        <f>IF(SER_hh_tes!G27=0,0,11630*1000*SER_hh_tes!G27/SER_hh_num!G27)</f>
        <v>0</v>
      </c>
      <c r="H28" s="146">
        <f>IF(SER_hh_tes!H27=0,0,11630*1000*SER_hh_tes!H27/SER_hh_num!H27)</f>
        <v>0</v>
      </c>
      <c r="I28" s="146">
        <f>IF(SER_hh_tes!I27=0,0,11630*1000*SER_hh_tes!I27/SER_hh_num!I27)</f>
        <v>0</v>
      </c>
      <c r="J28" s="146">
        <f>IF(SER_hh_tes!J27=0,0,11630*1000*SER_hh_tes!J27/SER_hh_num!J27)</f>
        <v>0</v>
      </c>
      <c r="K28" s="146">
        <f>IF(SER_hh_tes!K27=0,0,11630*1000*SER_hh_tes!K27/SER_hh_num!K27)</f>
        <v>0</v>
      </c>
      <c r="L28" s="146">
        <f>IF(SER_hh_tes!L27=0,0,11630*1000*SER_hh_tes!L27/SER_hh_num!L27)</f>
        <v>0</v>
      </c>
      <c r="M28" s="146">
        <f>IF(SER_hh_tes!M27=0,0,11630*1000*SER_hh_tes!M27/SER_hh_num!M27)</f>
        <v>0</v>
      </c>
      <c r="N28" s="146">
        <f>IF(SER_hh_tes!N27=0,0,11630*1000*SER_hh_tes!N27/SER_hh_num!N27)</f>
        <v>0</v>
      </c>
      <c r="O28" s="146">
        <f>IF(SER_hh_tes!O27=0,0,11630*1000*SER_hh_tes!O27/SER_hh_num!O27)</f>
        <v>0</v>
      </c>
      <c r="P28" s="146">
        <f>IF(SER_hh_tes!P27=0,0,11630*1000*SER_hh_tes!P27/SER_hh_num!P27)</f>
        <v>0</v>
      </c>
      <c r="Q28" s="146">
        <f>IF(SER_hh_tes!Q27=0,0,11630*1000*SER_hh_tes!Q27/SER_hh_num!Q27)</f>
        <v>0</v>
      </c>
      <c r="R28" s="146">
        <f>IF(SER_hh_tes!R27=0,0,11630*1000*SER_hh_tes!R27/SER_hh_num!R27)</f>
        <v>0</v>
      </c>
      <c r="S28" s="146">
        <f>IF(SER_hh_tes!S27=0,0,11630*1000*SER_hh_tes!S27/SER_hh_num!S27)</f>
        <v>0</v>
      </c>
      <c r="T28" s="146">
        <f>IF(SER_hh_tes!T27=0,0,11630*1000*SER_hh_tes!T27/SER_hh_num!T27)</f>
        <v>0</v>
      </c>
      <c r="U28" s="146">
        <f>IF(SER_hh_tes!U27=0,0,11630*1000*SER_hh_tes!U27/SER_hh_num!U27)</f>
        <v>0</v>
      </c>
      <c r="V28" s="146">
        <f>IF(SER_hh_tes!V27=0,0,11630*1000*SER_hh_tes!V27/SER_hh_num!V27)</f>
        <v>0</v>
      </c>
      <c r="W28" s="146">
        <f>IF(SER_hh_tes!W27=0,0,11630*1000*SER_hh_tes!W27/SER_hh_num!W27)</f>
        <v>0</v>
      </c>
      <c r="X28" s="146">
        <f>IF(SER_hh_tes!X27=0,0,11630*1000*SER_hh_tes!X27/SER_hh_num!X27)</f>
        <v>0</v>
      </c>
      <c r="Y28" s="146">
        <f>IF(SER_hh_tes!Y27=0,0,11630*1000*SER_hh_tes!Y27/SER_hh_num!Y27)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31212.957234559311</v>
      </c>
      <c r="C29" s="130">
        <f>IF(SER_hh_tes!C29=0,0,11630*1000*SER_hh_tes!C29/SER_hh_num!C29)</f>
        <v>31893.128868414675</v>
      </c>
      <c r="D29" s="130">
        <f>IF(SER_hh_tes!D29=0,0,11630*1000*SER_hh_tes!D29/SER_hh_num!D29)</f>
        <v>32786.871733281136</v>
      </c>
      <c r="E29" s="130">
        <f>IF(SER_hh_tes!E29=0,0,11630*1000*SER_hh_tes!E29/SER_hh_num!E29)</f>
        <v>33705.419271062507</v>
      </c>
      <c r="F29" s="130">
        <f>IF(SER_hh_tes!F29=0,0,11630*1000*SER_hh_tes!F29/SER_hh_num!F29)</f>
        <v>34072.709208431334</v>
      </c>
      <c r="G29" s="130">
        <f>IF(SER_hh_tes!G29=0,0,11630*1000*SER_hh_tes!G29/SER_hh_num!G29)</f>
        <v>34530.676644251864</v>
      </c>
      <c r="H29" s="130">
        <f>IF(SER_hh_tes!H29=0,0,11630*1000*SER_hh_tes!H29/SER_hh_num!H29)</f>
        <v>35170.601356338419</v>
      </c>
      <c r="I29" s="130">
        <f>IF(SER_hh_tes!I29=0,0,11630*1000*SER_hh_tes!I29/SER_hh_num!I29)</f>
        <v>35326.515786648721</v>
      </c>
      <c r="J29" s="130">
        <f>IF(SER_hh_tes!J29=0,0,11630*1000*SER_hh_tes!J29/SER_hh_num!J29)</f>
        <v>35857.923060389076</v>
      </c>
      <c r="K29" s="130">
        <f>IF(SER_hh_tes!K29=0,0,11630*1000*SER_hh_tes!K29/SER_hh_num!K29)</f>
        <v>36388.746897978446</v>
      </c>
      <c r="L29" s="130">
        <f>IF(SER_hh_tes!L29=0,0,11630*1000*SER_hh_tes!L29/SER_hh_num!L29)</f>
        <v>36885.995832958652</v>
      </c>
      <c r="M29" s="130">
        <f>IF(SER_hh_tes!M29=0,0,11630*1000*SER_hh_tes!M29/SER_hh_num!M29)</f>
        <v>36925.926348627327</v>
      </c>
      <c r="N29" s="130">
        <f>IF(SER_hh_tes!N29=0,0,11630*1000*SER_hh_tes!N29/SER_hh_num!N29)</f>
        <v>37352.215490894167</v>
      </c>
      <c r="O29" s="130">
        <f>IF(SER_hh_tes!O29=0,0,11630*1000*SER_hh_tes!O29/SER_hh_num!O29)</f>
        <v>37540.869675806847</v>
      </c>
      <c r="P29" s="130">
        <f>IF(SER_hh_tes!P29=0,0,11630*1000*SER_hh_tes!P29/SER_hh_num!P29)</f>
        <v>37739.229637782308</v>
      </c>
      <c r="Q29" s="130">
        <f>IF(SER_hh_tes!Q29=0,0,11630*1000*SER_hh_tes!Q29/SER_hh_num!Q29)</f>
        <v>38245.307211395302</v>
      </c>
      <c r="R29" s="130">
        <f>IF(SER_hh_tes!R29=0,0,11630*1000*SER_hh_tes!R29/SER_hh_num!R29)</f>
        <v>38395.960914744472</v>
      </c>
      <c r="S29" s="130">
        <f>IF(SER_hh_tes!S29=0,0,11630*1000*SER_hh_tes!S29/SER_hh_num!S29)</f>
        <v>38732.513522903639</v>
      </c>
      <c r="T29" s="130">
        <f>IF(SER_hh_tes!T29=0,0,11630*1000*SER_hh_tes!T29/SER_hh_num!T29)</f>
        <v>39088.429601993732</v>
      </c>
      <c r="U29" s="130">
        <f>IF(SER_hh_tes!U29=0,0,11630*1000*SER_hh_tes!U29/SER_hh_num!U29)</f>
        <v>39792.701429995112</v>
      </c>
      <c r="V29" s="130">
        <f>IF(SER_hh_tes!V29=0,0,11630*1000*SER_hh_tes!V29/SER_hh_num!V29)</f>
        <v>36922.475459612549</v>
      </c>
      <c r="W29" s="130">
        <f>IF(SER_hh_tes!W29=0,0,11630*1000*SER_hh_tes!W29/SER_hh_num!W29)</f>
        <v>41491.527588670717</v>
      </c>
      <c r="X29" s="130">
        <f>IF(SER_hh_tes!X29=0,0,11630*1000*SER_hh_tes!X29/SER_hh_num!X29)</f>
        <v>40406.546353861035</v>
      </c>
      <c r="Y29" s="130">
        <f>IF(SER_hh_tes!Y29=0,0,11630*1000*SER_hh_tes!Y29/SER_hh_num!Y29)</f>
        <v>41392.395805606771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21926.915178062191</v>
      </c>
      <c r="C30" s="132">
        <f>IF(SER_hh_tes!C30=0,0,11630*1000*SER_hh_tes!C30/SER_hh_num!C30)</f>
        <v>45812.055478785056</v>
      </c>
      <c r="D30" s="132">
        <f>IF(SER_hh_tes!D30=0,0,11630*1000*SER_hh_tes!D30/SER_hh_num!D30)</f>
        <v>33983.921989663126</v>
      </c>
      <c r="E30" s="132">
        <f>IF(SER_hh_tes!E30=0,0,11630*1000*SER_hh_tes!E30/SER_hh_num!E30)</f>
        <v>16300.378120307052</v>
      </c>
      <c r="F30" s="132">
        <f>IF(SER_hh_tes!F30=0,0,11630*1000*SER_hh_tes!F30/SER_hh_num!F30)</f>
        <v>0</v>
      </c>
      <c r="G30" s="132">
        <f>IF(SER_hh_tes!G30=0,0,11630*1000*SER_hh_tes!G30/SER_hh_num!G30)</f>
        <v>0</v>
      </c>
      <c r="H30" s="132">
        <f>IF(SER_hh_tes!H30=0,0,11630*1000*SER_hh_tes!H30/SER_hh_num!H30)</f>
        <v>0</v>
      </c>
      <c r="I30" s="132">
        <f>IF(SER_hh_tes!I30=0,0,11630*1000*SER_hh_tes!I30/SER_hh_num!I30)</f>
        <v>0</v>
      </c>
      <c r="J30" s="132">
        <f>IF(SER_hh_tes!J30=0,0,11630*1000*SER_hh_tes!J30/SER_hh_num!J30)</f>
        <v>0</v>
      </c>
      <c r="K30" s="132">
        <f>IF(SER_hh_tes!K30=0,0,11630*1000*SER_hh_tes!K30/SER_hh_num!K30)</f>
        <v>50492.806442687615</v>
      </c>
      <c r="L30" s="132">
        <f>IF(SER_hh_tes!L30=0,0,11630*1000*SER_hh_tes!L30/SER_hh_num!L30)</f>
        <v>41167.379539181828</v>
      </c>
      <c r="M30" s="132">
        <f>IF(SER_hh_tes!M30=0,0,11630*1000*SER_hh_tes!M30/SER_hh_num!M30)</f>
        <v>37271.235373236595</v>
      </c>
      <c r="N30" s="132">
        <f>IF(SER_hh_tes!N30=0,0,11630*1000*SER_hh_tes!N30/SER_hh_num!N30)</f>
        <v>37537.625453658635</v>
      </c>
      <c r="O30" s="132">
        <f>IF(SER_hh_tes!O30=0,0,11630*1000*SER_hh_tes!O30/SER_hh_num!O30)</f>
        <v>38925.469103459487</v>
      </c>
      <c r="P30" s="132">
        <f>IF(SER_hh_tes!P30=0,0,11630*1000*SER_hh_tes!P30/SER_hh_num!P30)</f>
        <v>35379.155765041323</v>
      </c>
      <c r="Q30" s="132">
        <f>IF(SER_hh_tes!Q30=0,0,11630*1000*SER_hh_tes!Q30/SER_hh_num!Q30)</f>
        <v>38434.20568976325</v>
      </c>
      <c r="R30" s="132">
        <f>IF(SER_hh_tes!R30=0,0,11630*1000*SER_hh_tes!R30/SER_hh_num!R30)</f>
        <v>41614.399831852083</v>
      </c>
      <c r="S30" s="132">
        <f>IF(SER_hh_tes!S30=0,0,11630*1000*SER_hh_tes!S30/SER_hh_num!S30)</f>
        <v>38033.30132133235</v>
      </c>
      <c r="T30" s="132">
        <f>IF(SER_hh_tes!T30=0,0,11630*1000*SER_hh_tes!T30/SER_hh_num!T30)</f>
        <v>33536.61218419981</v>
      </c>
      <c r="U30" s="132">
        <f>IF(SER_hh_tes!U30=0,0,11630*1000*SER_hh_tes!U30/SER_hh_num!U30)</f>
        <v>41984.512846698599</v>
      </c>
      <c r="V30" s="132">
        <f>IF(SER_hh_tes!V30=0,0,11630*1000*SER_hh_tes!V30/SER_hh_num!V30)</f>
        <v>33142.023639510247</v>
      </c>
      <c r="W30" s="132">
        <f>IF(SER_hh_tes!W30=0,0,11630*1000*SER_hh_tes!W30/SER_hh_num!W30)</f>
        <v>49526.153121239964</v>
      </c>
      <c r="X30" s="132">
        <f>IF(SER_hh_tes!X30=0,0,11630*1000*SER_hh_tes!X30/SER_hh_num!X30)</f>
        <v>35160.470642416425</v>
      </c>
      <c r="Y30" s="132">
        <f>IF(SER_hh_tes!Y30=0,0,11630*1000*SER_hh_tes!Y30/SER_hh_num!Y30)</f>
        <v>44893.391726275018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31400.168984246739</v>
      </c>
      <c r="C31" s="132">
        <f>IF(SER_hh_tes!C31=0,0,11630*1000*SER_hh_tes!C31/SER_hh_num!C31)</f>
        <v>31784.384970584517</v>
      </c>
      <c r="D31" s="132">
        <f>IF(SER_hh_tes!D31=0,0,11630*1000*SER_hh_tes!D31/SER_hh_num!D31)</f>
        <v>33130.544933367557</v>
      </c>
      <c r="E31" s="132">
        <f>IF(SER_hh_tes!E31=0,0,11630*1000*SER_hh_tes!E31/SER_hh_num!E31)</f>
        <v>33739.073440588159</v>
      </c>
      <c r="F31" s="132">
        <f>IF(SER_hh_tes!F31=0,0,11630*1000*SER_hh_tes!F31/SER_hh_num!F31)</f>
        <v>34678.684186308834</v>
      </c>
      <c r="G31" s="132">
        <f>IF(SER_hh_tes!G31=0,0,11630*1000*SER_hh_tes!G31/SER_hh_num!G31)</f>
        <v>34022.288749299951</v>
      </c>
      <c r="H31" s="132">
        <f>IF(SER_hh_tes!H31=0,0,11630*1000*SER_hh_tes!H31/SER_hh_num!H31)</f>
        <v>35678.91961729389</v>
      </c>
      <c r="I31" s="132">
        <f>IF(SER_hh_tes!I31=0,0,11630*1000*SER_hh_tes!I31/SER_hh_num!I31)</f>
        <v>35887.297923866478</v>
      </c>
      <c r="J31" s="132">
        <f>IF(SER_hh_tes!J31=0,0,11630*1000*SER_hh_tes!J31/SER_hh_num!J31)</f>
        <v>36565.818239024018</v>
      </c>
      <c r="K31" s="132">
        <f>IF(SER_hh_tes!K31=0,0,11630*1000*SER_hh_tes!K31/SER_hh_num!K31)</f>
        <v>34947.437934135683</v>
      </c>
      <c r="L31" s="132">
        <f>IF(SER_hh_tes!L31=0,0,11630*1000*SER_hh_tes!L31/SER_hh_num!L31)</f>
        <v>35874.680661747479</v>
      </c>
      <c r="M31" s="132">
        <f>IF(SER_hh_tes!M31=0,0,11630*1000*SER_hh_tes!M31/SER_hh_num!M31)</f>
        <v>37754.437367711864</v>
      </c>
      <c r="N31" s="132">
        <f>IF(SER_hh_tes!N31=0,0,11630*1000*SER_hh_tes!N31/SER_hh_num!N31)</f>
        <v>38256.478087609255</v>
      </c>
      <c r="O31" s="132">
        <f>IF(SER_hh_tes!O31=0,0,11630*1000*SER_hh_tes!O31/SER_hh_num!O31)</f>
        <v>37493.867956704788</v>
      </c>
      <c r="P31" s="132">
        <f>IF(SER_hh_tes!P31=0,0,11630*1000*SER_hh_tes!P31/SER_hh_num!P31)</f>
        <v>37344.656706666567</v>
      </c>
      <c r="Q31" s="132">
        <f>IF(SER_hh_tes!Q31=0,0,11630*1000*SER_hh_tes!Q31/SER_hh_num!Q31)</f>
        <v>38161.633898353546</v>
      </c>
      <c r="R31" s="132">
        <f>IF(SER_hh_tes!R31=0,0,11630*1000*SER_hh_tes!R31/SER_hh_num!R31)</f>
        <v>38885.596109755788</v>
      </c>
      <c r="S31" s="132">
        <f>IF(SER_hh_tes!S31=0,0,11630*1000*SER_hh_tes!S31/SER_hh_num!S31)</f>
        <v>37586.731195889479</v>
      </c>
      <c r="T31" s="132">
        <f>IF(SER_hh_tes!T31=0,0,11630*1000*SER_hh_tes!T31/SER_hh_num!T31)</f>
        <v>40155.409661312333</v>
      </c>
      <c r="U31" s="132">
        <f>IF(SER_hh_tes!U31=0,0,11630*1000*SER_hh_tes!U31/SER_hh_num!U31)</f>
        <v>39615.302769311726</v>
      </c>
      <c r="V31" s="132">
        <f>IF(SER_hh_tes!V31=0,0,11630*1000*SER_hh_tes!V31/SER_hh_num!V31)</f>
        <v>29851.945349233945</v>
      </c>
      <c r="W31" s="132">
        <f>IF(SER_hh_tes!W31=0,0,11630*1000*SER_hh_tes!W31/SER_hh_num!W31)</f>
        <v>32880.235475538851</v>
      </c>
      <c r="X31" s="132">
        <f>IF(SER_hh_tes!X31=0,0,11630*1000*SER_hh_tes!X31/SER_hh_num!X31)</f>
        <v>46222.422177515458</v>
      </c>
      <c r="Y31" s="132">
        <f>IF(SER_hh_tes!Y31=0,0,11630*1000*SER_hh_tes!Y31/SER_hh_num!Y31)</f>
        <v>40901.832685748181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35127.928873687219</v>
      </c>
      <c r="C33" s="68">
        <f>IF(SER_hh_tes!C33=0,0,11630*1000*SER_hh_tes!C33/SER_hh_num!C33)</f>
        <v>26251.41099004191</v>
      </c>
      <c r="D33" s="68">
        <f>IF(SER_hh_tes!D33=0,0,11630*1000*SER_hh_tes!D33/SER_hh_num!D33)</f>
        <v>32165.399422088223</v>
      </c>
      <c r="E33" s="68">
        <f>IF(SER_hh_tes!E33=0,0,11630*1000*SER_hh_tes!E33/SER_hh_num!E33)</f>
        <v>35611.072833930877</v>
      </c>
      <c r="F33" s="68">
        <f>IF(SER_hh_tes!F33=0,0,11630*1000*SER_hh_tes!F33/SER_hh_num!F33)</f>
        <v>33630.751236990596</v>
      </c>
      <c r="G33" s="68">
        <f>IF(SER_hh_tes!G33=0,0,11630*1000*SER_hh_tes!G33/SER_hh_num!G33)</f>
        <v>34875.061506882594</v>
      </c>
      <c r="H33" s="68">
        <f>IF(SER_hh_tes!H33=0,0,11630*1000*SER_hh_tes!H33/SER_hh_num!H33)</f>
        <v>34846.370159724196</v>
      </c>
      <c r="I33" s="68">
        <f>IF(SER_hh_tes!I33=0,0,11630*1000*SER_hh_tes!I33/SER_hh_num!I33)</f>
        <v>35002.154770494984</v>
      </c>
      <c r="J33" s="68">
        <f>IF(SER_hh_tes!J33=0,0,11630*1000*SER_hh_tes!J33/SER_hh_num!J33)</f>
        <v>35492.935843270512</v>
      </c>
      <c r="K33" s="68">
        <f>IF(SER_hh_tes!K33=0,0,11630*1000*SER_hh_tes!K33/SER_hh_num!K33)</f>
        <v>33836.072355450393</v>
      </c>
      <c r="L33" s="68">
        <f>IF(SER_hh_tes!L33=0,0,11630*1000*SER_hh_tes!L33/SER_hh_num!L33)</f>
        <v>36043.509935099217</v>
      </c>
      <c r="M33" s="68">
        <f>IF(SER_hh_tes!M33=0,0,11630*1000*SER_hh_tes!M33/SER_hh_num!M33)</f>
        <v>36373.888931188623</v>
      </c>
      <c r="N33" s="68">
        <f>IF(SER_hh_tes!N33=0,0,11630*1000*SER_hh_tes!N33/SER_hh_num!N33)</f>
        <v>36870.822899706283</v>
      </c>
      <c r="O33" s="68">
        <f>IF(SER_hh_tes!O33=0,0,11630*1000*SER_hh_tes!O33/SER_hh_num!O33)</f>
        <v>37113.183838253033</v>
      </c>
      <c r="P33" s="68">
        <f>IF(SER_hh_tes!P33=0,0,11630*1000*SER_hh_tes!P33/SER_hh_num!P33)</f>
        <v>38559.487975933574</v>
      </c>
      <c r="Q33" s="68">
        <f>IF(SER_hh_tes!Q33=0,0,11630*1000*SER_hh_tes!Q33/SER_hh_num!Q33)</f>
        <v>38216.436111811534</v>
      </c>
      <c r="R33" s="68">
        <f>IF(SER_hh_tes!R33=0,0,11630*1000*SER_hh_tes!R33/SER_hh_num!R33)</f>
        <v>37448.193457026107</v>
      </c>
      <c r="S33" s="68">
        <f>IF(SER_hh_tes!S33=0,0,11630*1000*SER_hh_tes!S33/SER_hh_num!S33)</f>
        <v>39118.449618597006</v>
      </c>
      <c r="T33" s="68">
        <f>IF(SER_hh_tes!T33=0,0,11630*1000*SER_hh_tes!T33/SER_hh_num!T33)</f>
        <v>40138.827205420748</v>
      </c>
      <c r="U33" s="68">
        <f>IF(SER_hh_tes!U33=0,0,11630*1000*SER_hh_tes!U33/SER_hh_num!U33)</f>
        <v>39380.053247070435</v>
      </c>
      <c r="V33" s="68">
        <f>IF(SER_hh_tes!V33=0,0,11630*1000*SER_hh_tes!V33/SER_hh_num!V33)</f>
        <v>38506.708724073775</v>
      </c>
      <c r="W33" s="68">
        <f>IF(SER_hh_tes!W33=0,0,11630*1000*SER_hh_tes!W33/SER_hh_num!W33)</f>
        <v>41121.092137968088</v>
      </c>
      <c r="X33" s="68">
        <f>IF(SER_hh_tes!X33=0,0,11630*1000*SER_hh_tes!X33/SER_hh_num!X33)</f>
        <v>40447.689345283361</v>
      </c>
      <c r="Y33" s="68">
        <f>IF(SER_hh_tes!Y33=0,0,11630*1000*SER_hh_tes!Y33/SER_hh_num!Y33)</f>
        <v>40721.453506929247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69051.166870685498</v>
      </c>
      <c r="C3" s="125">
        <f>IF(SER_hh_emi!C3=0,0,1000000*SER_hh_emi!C3/SER_hh_num!C3)</f>
        <v>63777.221086460064</v>
      </c>
      <c r="D3" s="125">
        <f>IF(SER_hh_emi!D3=0,0,1000000*SER_hh_emi!D3/SER_hh_num!D3)</f>
        <v>62425.547886075015</v>
      </c>
      <c r="E3" s="125">
        <f>IF(SER_hh_emi!E3=0,0,1000000*SER_hh_emi!E3/SER_hh_num!E3)</f>
        <v>60965.80454091807</v>
      </c>
      <c r="F3" s="125">
        <f>IF(SER_hh_emi!F3=0,0,1000000*SER_hh_emi!F3/SER_hh_num!F3)</f>
        <v>55945.682729106549</v>
      </c>
      <c r="G3" s="125">
        <f>IF(SER_hh_emi!G3=0,0,1000000*SER_hh_emi!G3/SER_hh_num!G3)</f>
        <v>49318.222058998799</v>
      </c>
      <c r="H3" s="125">
        <f>IF(SER_hh_emi!H3=0,0,1000000*SER_hh_emi!H3/SER_hh_num!H3)</f>
        <v>46193.893413820573</v>
      </c>
      <c r="I3" s="125">
        <f>IF(SER_hh_emi!I3=0,0,1000000*SER_hh_emi!I3/SER_hh_num!I3)</f>
        <v>40768.235740359414</v>
      </c>
      <c r="J3" s="125">
        <f>IF(SER_hh_emi!J3=0,0,1000000*SER_hh_emi!J3/SER_hh_num!J3)</f>
        <v>43890.224512770867</v>
      </c>
      <c r="K3" s="125">
        <f>IF(SER_hh_emi!K3=0,0,1000000*SER_hh_emi!K3/SER_hh_num!K3)</f>
        <v>46106.229907157984</v>
      </c>
      <c r="L3" s="125">
        <f>IF(SER_hh_emi!L3=0,0,1000000*SER_hh_emi!L3/SER_hh_num!L3)</f>
        <v>58034.558779980558</v>
      </c>
      <c r="M3" s="125">
        <f>IF(SER_hh_emi!M3=0,0,1000000*SER_hh_emi!M3/SER_hh_num!M3)</f>
        <v>34599.150754514754</v>
      </c>
      <c r="N3" s="125">
        <f>IF(SER_hh_emi!N3=0,0,1000000*SER_hh_emi!N3/SER_hh_num!N3)</f>
        <v>45630.572716575625</v>
      </c>
      <c r="O3" s="125">
        <f>IF(SER_hh_emi!O3=0,0,1000000*SER_hh_emi!O3/SER_hh_num!O3)</f>
        <v>47705.331958348572</v>
      </c>
      <c r="P3" s="125">
        <f>IF(SER_hh_emi!P3=0,0,1000000*SER_hh_emi!P3/SER_hh_num!P3)</f>
        <v>40646.491900718545</v>
      </c>
      <c r="Q3" s="125">
        <f>IF(SER_hh_emi!Q3=0,0,1000000*SER_hh_emi!Q3/SER_hh_num!Q3)</f>
        <v>50559.864686254587</v>
      </c>
      <c r="R3" s="125">
        <f>IF(SER_hh_emi!R3=0,0,1000000*SER_hh_emi!R3/SER_hh_num!R3)</f>
        <v>52339.601459020858</v>
      </c>
      <c r="S3" s="125">
        <f>IF(SER_hh_emi!S3=0,0,1000000*SER_hh_emi!S3/SER_hh_num!S3)</f>
        <v>54957.427368257988</v>
      </c>
      <c r="T3" s="125">
        <f>IF(SER_hh_emi!T3=0,0,1000000*SER_hh_emi!T3/SER_hh_num!T3)</f>
        <v>56244.621320285463</v>
      </c>
      <c r="U3" s="125">
        <f>IF(SER_hh_emi!U3=0,0,1000000*SER_hh_emi!U3/SER_hh_num!U3)</f>
        <v>64150.775505030928</v>
      </c>
      <c r="V3" s="125">
        <f>IF(SER_hh_emi!V3=0,0,1000000*SER_hh_emi!V3/SER_hh_num!V3)</f>
        <v>52004.389808852262</v>
      </c>
      <c r="W3" s="125">
        <f>IF(SER_hh_emi!W3=0,0,1000000*SER_hh_emi!W3/SER_hh_num!W3)</f>
        <v>58257.769717914423</v>
      </c>
      <c r="X3" s="125">
        <f>IF(SER_hh_emi!X3=0,0,1000000*SER_hh_emi!X3/SER_hh_num!X3)</f>
        <v>43756.482595610229</v>
      </c>
      <c r="Y3" s="125">
        <f>IF(SER_hh_emi!Y3=0,0,1000000*SER_hh_emi!Y3/SER_hh_num!Y3)</f>
        <v>41440.827995365762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58449.174707580525</v>
      </c>
      <c r="C4" s="130">
        <f>IF(SER_hh_emi!C4=0,0,1000000*SER_hh_emi!C4/SER_hh_num!C4)</f>
        <v>51716.512387463968</v>
      </c>
      <c r="D4" s="130">
        <f>IF(SER_hh_emi!D4=0,0,1000000*SER_hh_emi!D4/SER_hh_num!D4)</f>
        <v>51579.518412147729</v>
      </c>
      <c r="E4" s="130">
        <f>IF(SER_hh_emi!E4=0,0,1000000*SER_hh_emi!E4/SER_hh_num!E4)</f>
        <v>51037.769912506315</v>
      </c>
      <c r="F4" s="130">
        <f>IF(SER_hh_emi!F4=0,0,1000000*SER_hh_emi!F4/SER_hh_num!F4)</f>
        <v>46431.522032151377</v>
      </c>
      <c r="G4" s="130">
        <f>IF(SER_hh_emi!G4=0,0,1000000*SER_hh_emi!G4/SER_hh_num!G4)</f>
        <v>40233.534081838006</v>
      </c>
      <c r="H4" s="130">
        <f>IF(SER_hh_emi!H4=0,0,1000000*SER_hh_emi!H4/SER_hh_num!H4)</f>
        <v>37834.572009347408</v>
      </c>
      <c r="I4" s="130">
        <f>IF(SER_hh_emi!I4=0,0,1000000*SER_hh_emi!I4/SER_hh_num!I4)</f>
        <v>32844.248675802177</v>
      </c>
      <c r="J4" s="130">
        <f>IF(SER_hh_emi!J4=0,0,1000000*SER_hh_emi!J4/SER_hh_num!J4)</f>
        <v>36226.653093429872</v>
      </c>
      <c r="K4" s="130">
        <f>IF(SER_hh_emi!K4=0,0,1000000*SER_hh_emi!K4/SER_hh_num!K4)</f>
        <v>36571.203432906004</v>
      </c>
      <c r="L4" s="130">
        <f>IF(SER_hh_emi!L4=0,0,1000000*SER_hh_emi!L4/SER_hh_num!L4)</f>
        <v>47561.223803238026</v>
      </c>
      <c r="M4" s="130">
        <f>IF(SER_hh_emi!M4=0,0,1000000*SER_hh_emi!M4/SER_hh_num!M4)</f>
        <v>24825.88934151893</v>
      </c>
      <c r="N4" s="130">
        <f>IF(SER_hh_emi!N4=0,0,1000000*SER_hh_emi!N4/SER_hh_num!N4)</f>
        <v>35637.050850365944</v>
      </c>
      <c r="O4" s="130">
        <f>IF(SER_hh_emi!O4=0,0,1000000*SER_hh_emi!O4/SER_hh_num!O4)</f>
        <v>38045.633994419957</v>
      </c>
      <c r="P4" s="130">
        <f>IF(SER_hh_emi!P4=0,0,1000000*SER_hh_emi!P4/SER_hh_num!P4)</f>
        <v>31452.5190764689</v>
      </c>
      <c r="Q4" s="130">
        <f>IF(SER_hh_emi!Q4=0,0,1000000*SER_hh_emi!Q4/SER_hh_num!Q4)</f>
        <v>41168.018414559665</v>
      </c>
      <c r="R4" s="130">
        <f>IF(SER_hh_emi!R4=0,0,1000000*SER_hh_emi!R4/SER_hh_num!R4)</f>
        <v>43052.888326953129</v>
      </c>
      <c r="S4" s="130">
        <f>IF(SER_hh_emi!S4=0,0,1000000*SER_hh_emi!S4/SER_hh_num!S4)</f>
        <v>46468.76891405951</v>
      </c>
      <c r="T4" s="130">
        <f>IF(SER_hh_emi!T4=0,0,1000000*SER_hh_emi!T4/SER_hh_num!T4)</f>
        <v>48042.240246803573</v>
      </c>
      <c r="U4" s="130">
        <f>IF(SER_hh_emi!U4=0,0,1000000*SER_hh_emi!U4/SER_hh_num!U4)</f>
        <v>55732.321335193214</v>
      </c>
      <c r="V4" s="130">
        <f>IF(SER_hh_emi!V4=0,0,1000000*SER_hh_emi!V4/SER_hh_num!V4)</f>
        <v>45815.399387962883</v>
      </c>
      <c r="W4" s="130">
        <f>IF(SER_hh_emi!W4=0,0,1000000*SER_hh_emi!W4/SER_hh_num!W4)</f>
        <v>50225.009316726369</v>
      </c>
      <c r="X4" s="130">
        <f>IF(SER_hh_emi!X4=0,0,1000000*SER_hh_emi!X4/SER_hh_num!X4)</f>
        <v>36222.760049715791</v>
      </c>
      <c r="Y4" s="130">
        <f>IF(SER_hh_emi!Y4=0,0,1000000*SER_hh_emi!Y4/SER_hh_num!Y4)</f>
        <v>33466.248719885298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0</v>
      </c>
      <c r="C5" s="132">
        <f>IF(SER_hh_emi!C5=0,0,1000000*SER_hh_emi!C5/SER_hh_num!C5)</f>
        <v>0</v>
      </c>
      <c r="D5" s="132">
        <f>IF(SER_hh_emi!D5=0,0,1000000*SER_hh_emi!D5/SER_hh_num!D5)</f>
        <v>0</v>
      </c>
      <c r="E5" s="132">
        <f>IF(SER_hh_emi!E5=0,0,1000000*SER_hh_emi!E5/SER_hh_num!E5)</f>
        <v>0</v>
      </c>
      <c r="F5" s="132">
        <f>IF(SER_hh_emi!F5=0,0,1000000*SER_hh_emi!F5/SER_hh_num!F5)</f>
        <v>0</v>
      </c>
      <c r="G5" s="132">
        <f>IF(SER_hh_emi!G5=0,0,1000000*SER_hh_emi!G5/SER_hh_num!G5)</f>
        <v>0</v>
      </c>
      <c r="H5" s="132">
        <f>IF(SER_hh_emi!H5=0,0,1000000*SER_hh_emi!H5/SER_hh_num!H5)</f>
        <v>0</v>
      </c>
      <c r="I5" s="132">
        <f>IF(SER_hh_emi!I5=0,0,1000000*SER_hh_emi!I5/SER_hh_num!I5)</f>
        <v>0</v>
      </c>
      <c r="J5" s="132">
        <f>IF(SER_hh_emi!J5=0,0,1000000*SER_hh_emi!J5/SER_hh_num!J5)</f>
        <v>0</v>
      </c>
      <c r="K5" s="132">
        <f>IF(SER_hh_emi!K5=0,0,1000000*SER_hh_emi!K5/SER_hh_num!K5)</f>
        <v>0</v>
      </c>
      <c r="L5" s="132">
        <f>IF(SER_hh_emi!L5=0,0,1000000*SER_hh_emi!L5/SER_hh_num!L5)</f>
        <v>0</v>
      </c>
      <c r="M5" s="132">
        <f>IF(SER_hh_emi!M5=0,0,1000000*SER_hh_emi!M5/SER_hh_num!M5)</f>
        <v>0</v>
      </c>
      <c r="N5" s="132">
        <f>IF(SER_hh_emi!N5=0,0,1000000*SER_hh_emi!N5/SER_hh_num!N5)</f>
        <v>0</v>
      </c>
      <c r="O5" s="132">
        <f>IF(SER_hh_emi!O5=0,0,1000000*SER_hh_emi!O5/SER_hh_num!O5)</f>
        <v>0</v>
      </c>
      <c r="P5" s="132">
        <f>IF(SER_hh_emi!P5=0,0,1000000*SER_hh_emi!P5/SER_hh_num!P5)</f>
        <v>0</v>
      </c>
      <c r="Q5" s="132">
        <f>IF(SER_hh_emi!Q5=0,0,1000000*SER_hh_emi!Q5/SER_hh_num!Q5)</f>
        <v>0</v>
      </c>
      <c r="R5" s="132">
        <f>IF(SER_hh_emi!R5=0,0,1000000*SER_hh_emi!R5/SER_hh_num!R5)</f>
        <v>0</v>
      </c>
      <c r="S5" s="132">
        <f>IF(SER_hh_emi!S5=0,0,1000000*SER_hh_emi!S5/SER_hh_num!S5)</f>
        <v>0</v>
      </c>
      <c r="T5" s="132">
        <f>IF(SER_hh_emi!T5=0,0,1000000*SER_hh_emi!T5/SER_hh_num!T5)</f>
        <v>0</v>
      </c>
      <c r="U5" s="132">
        <f>IF(SER_hh_emi!U5=0,0,1000000*SER_hh_emi!U5/SER_hh_num!U5)</f>
        <v>0</v>
      </c>
      <c r="V5" s="132">
        <f>IF(SER_hh_emi!V5=0,0,1000000*SER_hh_emi!V5/SER_hh_num!V5)</f>
        <v>0</v>
      </c>
      <c r="W5" s="132">
        <f>IF(SER_hh_emi!W5=0,0,1000000*SER_hh_emi!W5/SER_hh_num!W5)</f>
        <v>0</v>
      </c>
      <c r="X5" s="132">
        <f>IF(SER_hh_emi!X5=0,0,1000000*SER_hh_emi!X5/SER_hh_num!X5)</f>
        <v>0</v>
      </c>
      <c r="Y5" s="132">
        <f>IF(SER_hh_emi!Y5=0,0,1000000*SER_hh_emi!Y5/SER_hh_num!Y5)</f>
        <v>0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97532.614476555304</v>
      </c>
      <c r="C7" s="132">
        <f>IF(SER_hh_emi!C7=0,0,1000000*SER_hh_emi!C7/SER_hh_num!C7)</f>
        <v>128165.83864369076</v>
      </c>
      <c r="D7" s="132">
        <f>IF(SER_hh_emi!D7=0,0,1000000*SER_hh_emi!D7/SER_hh_num!D7)</f>
        <v>120769.32887265515</v>
      </c>
      <c r="E7" s="132">
        <f>IF(SER_hh_emi!E7=0,0,1000000*SER_hh_emi!E7/SER_hh_num!E7)</f>
        <v>117769.17525973667</v>
      </c>
      <c r="F7" s="132">
        <f>IF(SER_hh_emi!F7=0,0,1000000*SER_hh_emi!F7/SER_hh_num!F7)</f>
        <v>127765.98852137548</v>
      </c>
      <c r="G7" s="132">
        <f>IF(SER_hh_emi!G7=0,0,1000000*SER_hh_emi!G7/SER_hh_num!G7)</f>
        <v>133134.80760645054</v>
      </c>
      <c r="H7" s="132">
        <f>IF(SER_hh_emi!H7=0,0,1000000*SER_hh_emi!H7/SER_hh_num!H7)</f>
        <v>99265.413085218897</v>
      </c>
      <c r="I7" s="132">
        <f>IF(SER_hh_emi!I7=0,0,1000000*SER_hh_emi!I7/SER_hh_num!I7)</f>
        <v>117016.98199553885</v>
      </c>
      <c r="J7" s="132">
        <f>IF(SER_hh_emi!J7=0,0,1000000*SER_hh_emi!J7/SER_hh_num!J7)</f>
        <v>104458.81511497285</v>
      </c>
      <c r="K7" s="132">
        <f>IF(SER_hh_emi!K7=0,0,1000000*SER_hh_emi!K7/SER_hh_num!K7)</f>
        <v>88257.186667231144</v>
      </c>
      <c r="L7" s="132">
        <f>IF(SER_hh_emi!L7=0,0,1000000*SER_hh_emi!L7/SER_hh_num!L7)</f>
        <v>146578.59164551928</v>
      </c>
      <c r="M7" s="132">
        <f>IF(SER_hh_emi!M7=0,0,1000000*SER_hh_emi!M7/SER_hh_num!M7)</f>
        <v>95727.954928181673</v>
      </c>
      <c r="N7" s="132">
        <f>IF(SER_hh_emi!N7=0,0,1000000*SER_hh_emi!N7/SER_hh_num!N7)</f>
        <v>91368.997578152921</v>
      </c>
      <c r="O7" s="132">
        <f>IF(SER_hh_emi!O7=0,0,1000000*SER_hh_emi!O7/SER_hh_num!O7)</f>
        <v>98689.130243246094</v>
      </c>
      <c r="P7" s="132">
        <f>IF(SER_hh_emi!P7=0,0,1000000*SER_hh_emi!P7/SER_hh_num!P7)</f>
        <v>75304.640439989438</v>
      </c>
      <c r="Q7" s="132">
        <f>IF(SER_hh_emi!Q7=0,0,1000000*SER_hh_emi!Q7/SER_hh_num!Q7)</f>
        <v>95145.953910142984</v>
      </c>
      <c r="R7" s="132">
        <f>IF(SER_hh_emi!R7=0,0,1000000*SER_hh_emi!R7/SER_hh_num!R7)</f>
        <v>82623.605550525754</v>
      </c>
      <c r="S7" s="132">
        <f>IF(SER_hh_emi!S7=0,0,1000000*SER_hh_emi!S7/SER_hh_num!S7)</f>
        <v>109901.38031958792</v>
      </c>
      <c r="T7" s="132">
        <f>IF(SER_hh_emi!T7=0,0,1000000*SER_hh_emi!T7/SER_hh_num!T7)</f>
        <v>104088.73096602742</v>
      </c>
      <c r="U7" s="132">
        <f>IF(SER_hh_emi!U7=0,0,1000000*SER_hh_emi!U7/SER_hh_num!U7)</f>
        <v>127221.81968897911</v>
      </c>
      <c r="V7" s="132">
        <f>IF(SER_hh_emi!V7=0,0,1000000*SER_hh_emi!V7/SER_hh_num!V7)</f>
        <v>118128.23823667457</v>
      </c>
      <c r="W7" s="132">
        <f>IF(SER_hh_emi!W7=0,0,1000000*SER_hh_emi!W7/SER_hh_num!W7)</f>
        <v>106425.55848281014</v>
      </c>
      <c r="X7" s="132">
        <f>IF(SER_hh_emi!X7=0,0,1000000*SER_hh_emi!X7/SER_hh_num!X7)</f>
        <v>86010.19345614007</v>
      </c>
      <c r="Y7" s="132">
        <f>IF(SER_hh_emi!Y7=0,0,1000000*SER_hh_emi!Y7/SER_hh_num!Y7)</f>
        <v>89859.005268682129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0</v>
      </c>
      <c r="C8" s="132">
        <f>IF(SER_hh_emi!C8=0,0,1000000*SER_hh_emi!C8/SER_hh_num!C8)</f>
        <v>0</v>
      </c>
      <c r="D8" s="132">
        <f>IF(SER_hh_emi!D8=0,0,1000000*SER_hh_emi!D8/SER_hh_num!D8)</f>
        <v>0</v>
      </c>
      <c r="E8" s="132">
        <f>IF(SER_hh_emi!E8=0,0,1000000*SER_hh_emi!E8/SER_hh_num!E8)</f>
        <v>0</v>
      </c>
      <c r="F8" s="132">
        <f>IF(SER_hh_emi!F8=0,0,1000000*SER_hh_emi!F8/SER_hh_num!F8)</f>
        <v>0</v>
      </c>
      <c r="G8" s="132">
        <f>IF(SER_hh_emi!G8=0,0,1000000*SER_hh_emi!G8/SER_hh_num!G8)</f>
        <v>0</v>
      </c>
      <c r="H8" s="132">
        <f>IF(SER_hh_emi!H8=0,0,1000000*SER_hh_emi!H8/SER_hh_num!H8)</f>
        <v>0</v>
      </c>
      <c r="I8" s="132">
        <f>IF(SER_hh_emi!I8=0,0,1000000*SER_hh_emi!I8/SER_hh_num!I8)</f>
        <v>0</v>
      </c>
      <c r="J8" s="132">
        <f>IF(SER_hh_emi!J8=0,0,1000000*SER_hh_emi!J8/SER_hh_num!J8)</f>
        <v>0</v>
      </c>
      <c r="K8" s="132">
        <f>IF(SER_hh_emi!K8=0,0,1000000*SER_hh_emi!K8/SER_hh_num!K8)</f>
        <v>0</v>
      </c>
      <c r="L8" s="132">
        <f>IF(SER_hh_emi!L8=0,0,1000000*SER_hh_emi!L8/SER_hh_num!L8)</f>
        <v>0</v>
      </c>
      <c r="M8" s="132">
        <f>IF(SER_hh_emi!M8=0,0,1000000*SER_hh_emi!M8/SER_hh_num!M8)</f>
        <v>0</v>
      </c>
      <c r="N8" s="132">
        <f>IF(SER_hh_emi!N8=0,0,1000000*SER_hh_emi!N8/SER_hh_num!N8)</f>
        <v>0</v>
      </c>
      <c r="O8" s="132">
        <f>IF(SER_hh_emi!O8=0,0,1000000*SER_hh_emi!O8/SER_hh_num!O8)</f>
        <v>0</v>
      </c>
      <c r="P8" s="132">
        <f>IF(SER_hh_emi!P8=0,0,1000000*SER_hh_emi!P8/SER_hh_num!P8)</f>
        <v>0</v>
      </c>
      <c r="Q8" s="132">
        <f>IF(SER_hh_emi!Q8=0,0,1000000*SER_hh_emi!Q8/SER_hh_num!Q8)</f>
        <v>0</v>
      </c>
      <c r="R8" s="132">
        <f>IF(SER_hh_emi!R8=0,0,1000000*SER_hh_emi!R8/SER_hh_num!R8)</f>
        <v>0</v>
      </c>
      <c r="S8" s="132">
        <f>IF(SER_hh_emi!S8=0,0,1000000*SER_hh_emi!S8/SER_hh_num!S8)</f>
        <v>0</v>
      </c>
      <c r="T8" s="132">
        <f>IF(SER_hh_emi!T8=0,0,1000000*SER_hh_emi!T8/SER_hh_num!T8)</f>
        <v>0</v>
      </c>
      <c r="U8" s="132">
        <f>IF(SER_hh_emi!U8=0,0,1000000*SER_hh_emi!U8/SER_hh_num!U8)</f>
        <v>0</v>
      </c>
      <c r="V8" s="132">
        <f>IF(SER_hh_emi!V8=0,0,1000000*SER_hh_emi!V8/SER_hh_num!V8)</f>
        <v>0</v>
      </c>
      <c r="W8" s="132">
        <f>IF(SER_hh_emi!W8=0,0,1000000*SER_hh_emi!W8/SER_hh_num!W8)</f>
        <v>0</v>
      </c>
      <c r="X8" s="132">
        <f>IF(SER_hh_emi!X8=0,0,1000000*SER_hh_emi!X8/SER_hh_num!X8)</f>
        <v>0</v>
      </c>
      <c r="Y8" s="132">
        <f>IF(SER_hh_emi!Y8=0,0,1000000*SER_hh_emi!Y8/SER_hh_num!Y8)</f>
        <v>0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104512.20515961183</v>
      </c>
      <c r="C9" s="132">
        <f>IF(SER_hh_emi!C9=0,0,1000000*SER_hh_emi!C9/SER_hh_num!C9)</f>
        <v>70392.544830277198</v>
      </c>
      <c r="D9" s="132">
        <f>IF(SER_hh_emi!D9=0,0,1000000*SER_hh_emi!D9/SER_hh_num!D9)</f>
        <v>79789.579649647028</v>
      </c>
      <c r="E9" s="132">
        <f>IF(SER_hh_emi!E9=0,0,1000000*SER_hh_emi!E9/SER_hh_num!E9)</f>
        <v>94069.268066852295</v>
      </c>
      <c r="F9" s="132">
        <f>IF(SER_hh_emi!F9=0,0,1000000*SER_hh_emi!F9/SER_hh_num!F9)</f>
        <v>85572.988714386665</v>
      </c>
      <c r="G9" s="132">
        <f>IF(SER_hh_emi!G9=0,0,1000000*SER_hh_emi!G9/SER_hh_num!G9)</f>
        <v>72362.612952137424</v>
      </c>
      <c r="H9" s="132">
        <f>IF(SER_hh_emi!H9=0,0,1000000*SER_hh_emi!H9/SER_hh_num!H9)</f>
        <v>87496.027387082329</v>
      </c>
      <c r="I9" s="132">
        <f>IF(SER_hh_emi!I9=0,0,1000000*SER_hh_emi!I9/SER_hh_num!I9)</f>
        <v>69096.897457093597</v>
      </c>
      <c r="J9" s="132">
        <f>IF(SER_hh_emi!J9=0,0,1000000*SER_hh_emi!J9/SER_hh_num!J9)</f>
        <v>83151.840957357301</v>
      </c>
      <c r="K9" s="132">
        <f>IF(SER_hh_emi!K9=0,0,1000000*SER_hh_emi!K9/SER_hh_num!K9)</f>
        <v>85353.823771364652</v>
      </c>
      <c r="L9" s="132">
        <f>IF(SER_hh_emi!L9=0,0,1000000*SER_hh_emi!L9/SER_hh_num!L9)</f>
        <v>101907.34449868697</v>
      </c>
      <c r="M9" s="132">
        <f>IF(SER_hh_emi!M9=0,0,1000000*SER_hh_emi!M9/SER_hh_num!M9)</f>
        <v>41402.034786332501</v>
      </c>
      <c r="N9" s="132">
        <f>IF(SER_hh_emi!N9=0,0,1000000*SER_hh_emi!N9/SER_hh_num!N9)</f>
        <v>75182.144089096226</v>
      </c>
      <c r="O9" s="132">
        <f>IF(SER_hh_emi!O9=0,0,1000000*SER_hh_emi!O9/SER_hh_num!O9)</f>
        <v>71929.350296255914</v>
      </c>
      <c r="P9" s="132">
        <f>IF(SER_hh_emi!P9=0,0,1000000*SER_hh_emi!P9/SER_hh_num!P9)</f>
        <v>55506.666255369782</v>
      </c>
      <c r="Q9" s="132">
        <f>IF(SER_hh_emi!Q9=0,0,1000000*SER_hh_emi!Q9/SER_hh_num!Q9)</f>
        <v>65257.960872205957</v>
      </c>
      <c r="R9" s="132">
        <f>IF(SER_hh_emi!R9=0,0,1000000*SER_hh_emi!R9/SER_hh_num!R9)</f>
        <v>77521.606791982107</v>
      </c>
      <c r="S9" s="132">
        <f>IF(SER_hh_emi!S9=0,0,1000000*SER_hh_emi!S9/SER_hh_num!S9)</f>
        <v>62824.022500070809</v>
      </c>
      <c r="T9" s="132">
        <f>IF(SER_hh_emi!T9=0,0,1000000*SER_hh_emi!T9/SER_hh_num!T9)</f>
        <v>79498.862332921664</v>
      </c>
      <c r="U9" s="132">
        <f>IF(SER_hh_emi!U9=0,0,1000000*SER_hh_emi!U9/SER_hh_num!U9)</f>
        <v>94773.798955603474</v>
      </c>
      <c r="V9" s="132">
        <f>IF(SER_hh_emi!V9=0,0,1000000*SER_hh_emi!V9/SER_hh_num!V9)</f>
        <v>73118.182742306162</v>
      </c>
      <c r="W9" s="132">
        <f>IF(SER_hh_emi!W9=0,0,1000000*SER_hh_emi!W9/SER_hh_num!W9)</f>
        <v>117220.08047187378</v>
      </c>
      <c r="X9" s="132">
        <f>IF(SER_hh_emi!X9=0,0,1000000*SER_hh_emi!X9/SER_hh_num!X9)</f>
        <v>73405.97453601248</v>
      </c>
      <c r="Y9" s="132">
        <f>IF(SER_hh_emi!Y9=0,0,1000000*SER_hh_emi!Y9/SER_hh_num!Y9)</f>
        <v>59837.746491095284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0</v>
      </c>
      <c r="O10" s="132">
        <f>IF(SER_hh_emi!O10=0,0,1000000*SER_hh_emi!O10/SER_hh_num!O10)</f>
        <v>0</v>
      </c>
      <c r="P10" s="132">
        <f>IF(SER_hh_emi!P10=0,0,1000000*SER_hh_emi!P10/SER_hh_num!P10)</f>
        <v>0</v>
      </c>
      <c r="Q10" s="132">
        <f>IF(SER_hh_emi!Q10=0,0,1000000*SER_hh_emi!Q10/SER_hh_num!Q10)</f>
        <v>0</v>
      </c>
      <c r="R10" s="132">
        <f>IF(SER_hh_emi!R10=0,0,1000000*SER_hh_emi!R10/SER_hh_num!R10)</f>
        <v>0</v>
      </c>
      <c r="S10" s="132">
        <f>IF(SER_hh_emi!S10=0,0,1000000*SER_hh_emi!S10/SER_hh_num!S10)</f>
        <v>0</v>
      </c>
      <c r="T10" s="132">
        <f>IF(SER_hh_emi!T10=0,0,1000000*SER_hh_emi!T10/SER_hh_num!T10)</f>
        <v>0</v>
      </c>
      <c r="U10" s="132">
        <f>IF(SER_hh_emi!U10=0,0,1000000*SER_hh_emi!U10/SER_hh_num!U10)</f>
        <v>0</v>
      </c>
      <c r="V10" s="132">
        <f>IF(SER_hh_emi!V10=0,0,1000000*SER_hh_emi!V10/SER_hh_num!V10)</f>
        <v>0</v>
      </c>
      <c r="W10" s="132">
        <f>IF(SER_hh_emi!W10=0,0,1000000*SER_hh_emi!W10/SER_hh_num!W10)</f>
        <v>0</v>
      </c>
      <c r="X10" s="132">
        <f>IF(SER_hh_emi!X10=0,0,1000000*SER_hh_emi!X10/SER_hh_num!X10)</f>
        <v>0</v>
      </c>
      <c r="Y10" s="132">
        <f>IF(SER_hh_emi!Y10=0,0,1000000*SER_hh_emi!Y10/SER_hh_num!Y10)</f>
        <v>0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23.944391124111871</v>
      </c>
      <c r="C16" s="130">
        <f>IF(SER_hh_emi!C16=0,0,1000000*SER_hh_emi!C16/SER_hh_num!C16)</f>
        <v>25.815185535967423</v>
      </c>
      <c r="D16" s="130">
        <f>IF(SER_hh_emi!D16=0,0,1000000*SER_hh_emi!D16/SER_hh_num!D16)</f>
        <v>31.395240836674478</v>
      </c>
      <c r="E16" s="130">
        <f>IF(SER_hh_emi!E16=0,0,1000000*SER_hh_emi!E16/SER_hh_num!E16)</f>
        <v>27.658437097103132</v>
      </c>
      <c r="F16" s="130">
        <f>IF(SER_hh_emi!F16=0,0,1000000*SER_hh_emi!F16/SER_hh_num!F16)</f>
        <v>36.535614399624258</v>
      </c>
      <c r="G16" s="130">
        <f>IF(SER_hh_emi!G16=0,0,1000000*SER_hh_emi!G16/SER_hh_num!G16)</f>
        <v>34.656473346860857</v>
      </c>
      <c r="H16" s="130">
        <f>IF(SER_hh_emi!H16=0,0,1000000*SER_hh_emi!H16/SER_hh_num!H16)</f>
        <v>42.602481738205917</v>
      </c>
      <c r="I16" s="130">
        <f>IF(SER_hh_emi!I16=0,0,1000000*SER_hh_emi!I16/SER_hh_num!I16)</f>
        <v>44.510397761024116</v>
      </c>
      <c r="J16" s="130">
        <f>IF(SER_hh_emi!J16=0,0,1000000*SER_hh_emi!J16/SER_hh_num!J16)</f>
        <v>44.099352711637842</v>
      </c>
      <c r="K16" s="130">
        <f>IF(SER_hh_emi!K16=0,0,1000000*SER_hh_emi!K16/SER_hh_num!K16)</f>
        <v>54.404068801063353</v>
      </c>
      <c r="L16" s="130">
        <f>IF(SER_hh_emi!L16=0,0,1000000*SER_hh_emi!L16/SER_hh_num!L16)</f>
        <v>49.648466959013327</v>
      </c>
      <c r="M16" s="130">
        <f>IF(SER_hh_emi!M16=0,0,1000000*SER_hh_emi!M16/SER_hh_num!M16)</f>
        <v>49.358897199173683</v>
      </c>
      <c r="N16" s="130">
        <f>IF(SER_hh_emi!N16=0,0,1000000*SER_hh_emi!N16/SER_hh_num!N16)</f>
        <v>53.085139977085589</v>
      </c>
      <c r="O16" s="130">
        <f>IF(SER_hh_emi!O16=0,0,1000000*SER_hh_emi!O16/SER_hh_num!O16)</f>
        <v>62.106692565207823</v>
      </c>
      <c r="P16" s="130">
        <f>IF(SER_hh_emi!P16=0,0,1000000*SER_hh_emi!P16/SER_hh_num!P16)</f>
        <v>77.960170439688525</v>
      </c>
      <c r="Q16" s="130">
        <f>IF(SER_hh_emi!Q16=0,0,1000000*SER_hh_emi!Q16/SER_hh_num!Q16)</f>
        <v>102.67056485689349</v>
      </c>
      <c r="R16" s="130">
        <f>IF(SER_hh_emi!R16=0,0,1000000*SER_hh_emi!R16/SER_hh_num!R16)</f>
        <v>126.168780132023</v>
      </c>
      <c r="S16" s="130">
        <f>IF(SER_hh_emi!S16=0,0,1000000*SER_hh_emi!S16/SER_hh_num!S16)</f>
        <v>144.58853046425648</v>
      </c>
      <c r="T16" s="130">
        <f>IF(SER_hh_emi!T16=0,0,1000000*SER_hh_emi!T16/SER_hh_num!T16)</f>
        <v>158.15613412672499</v>
      </c>
      <c r="U16" s="130">
        <f>IF(SER_hh_emi!U16=0,0,1000000*SER_hh_emi!U16/SER_hh_num!U16)</f>
        <v>169.99201545063318</v>
      </c>
      <c r="V16" s="130">
        <f>IF(SER_hh_emi!V16=0,0,1000000*SER_hh_emi!V16/SER_hh_num!V16)</f>
        <v>178.44518399770791</v>
      </c>
      <c r="W16" s="130">
        <f>IF(SER_hh_emi!W16=0,0,1000000*SER_hh_emi!W16/SER_hh_num!W16)</f>
        <v>187.10177186070965</v>
      </c>
      <c r="X16" s="130">
        <f>IF(SER_hh_emi!X16=0,0,1000000*SER_hh_emi!X16/SER_hh_num!X16)</f>
        <v>169.68954483899387</v>
      </c>
      <c r="Y16" s="130">
        <f>IF(SER_hh_emi!Y16=0,0,1000000*SER_hh_emi!Y16/SER_hh_num!Y16)</f>
        <v>163.51366276582664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6280.0381158274613</v>
      </c>
      <c r="C17" s="132">
        <f>IF(SER_hh_emi!C17=0,0,1000000*SER_hh_emi!C17/SER_hh_num!C17)</f>
        <v>6182.8951948334188</v>
      </c>
      <c r="D17" s="132">
        <f>IF(SER_hh_emi!D17=0,0,1000000*SER_hh_emi!D17/SER_hh_num!D17)</f>
        <v>6080.4100761386089</v>
      </c>
      <c r="E17" s="132">
        <f>IF(SER_hh_emi!E17=0,0,1000000*SER_hh_emi!E17/SER_hh_num!E17)</f>
        <v>7759.1334892388113</v>
      </c>
      <c r="F17" s="132">
        <f>IF(SER_hh_emi!F17=0,0,1000000*SER_hh_emi!F17/SER_hh_num!F17)</f>
        <v>5716.2629791732379</v>
      </c>
      <c r="G17" s="132">
        <f>IF(SER_hh_emi!G17=0,0,1000000*SER_hh_emi!G17/SER_hh_num!G17)</f>
        <v>5835.1379628860113</v>
      </c>
      <c r="H17" s="132">
        <f>IF(SER_hh_emi!H17=0,0,1000000*SER_hh_emi!H17/SER_hh_num!H17)</f>
        <v>6786.2797927358361</v>
      </c>
      <c r="I17" s="132">
        <f>IF(SER_hh_emi!I17=0,0,1000000*SER_hh_emi!I17/SER_hh_num!I17)</f>
        <v>5531.4521557704757</v>
      </c>
      <c r="J17" s="132">
        <f>IF(SER_hh_emi!J17=0,0,1000000*SER_hh_emi!J17/SER_hh_num!J17)</f>
        <v>5476.5730282672512</v>
      </c>
      <c r="K17" s="132">
        <f>IF(SER_hh_emi!K17=0,0,1000000*SER_hh_emi!K17/SER_hh_num!K17)</f>
        <v>6452.8589095217467</v>
      </c>
      <c r="L17" s="132">
        <f>IF(SER_hh_emi!L17=0,0,1000000*SER_hh_emi!L17/SER_hh_num!L17)</f>
        <v>5832.2737269132376</v>
      </c>
      <c r="M17" s="132">
        <f>IF(SER_hh_emi!M17=0,0,1000000*SER_hh_emi!M17/SER_hh_num!M17)</f>
        <v>5347.6809370799037</v>
      </c>
      <c r="N17" s="132">
        <f>IF(SER_hh_emi!N17=0,0,1000000*SER_hh_emi!N17/SER_hh_num!N17)</f>
        <v>5441.1549975624375</v>
      </c>
      <c r="O17" s="132">
        <f>IF(SER_hh_emi!O17=0,0,1000000*SER_hh_emi!O17/SER_hh_num!O17)</f>
        <v>5436.7965746669215</v>
      </c>
      <c r="P17" s="132">
        <f>IF(SER_hh_emi!P17=0,0,1000000*SER_hh_emi!P17/SER_hh_num!P17)</f>
        <v>5087.0091971296661</v>
      </c>
      <c r="Q17" s="132">
        <f>IF(SER_hh_emi!Q17=0,0,1000000*SER_hh_emi!Q17/SER_hh_num!Q17)</f>
        <v>5675.7418960208151</v>
      </c>
      <c r="R17" s="132">
        <f>IF(SER_hh_emi!R17=0,0,1000000*SER_hh_emi!R17/SER_hh_num!R17)</f>
        <v>5044.5548877696356</v>
      </c>
      <c r="S17" s="132">
        <f>IF(SER_hh_emi!S17=0,0,1000000*SER_hh_emi!S17/SER_hh_num!S17)</f>
        <v>5129.6650282076434</v>
      </c>
      <c r="T17" s="132">
        <f>IF(SER_hh_emi!T17=0,0,1000000*SER_hh_emi!T17/SER_hh_num!T17)</f>
        <v>5562.6006153692788</v>
      </c>
      <c r="U17" s="132">
        <f>IF(SER_hh_emi!U17=0,0,1000000*SER_hh_emi!U17/SER_hh_num!U17)</f>
        <v>5533.4920002875915</v>
      </c>
      <c r="V17" s="132">
        <f>IF(SER_hh_emi!V17=0,0,1000000*SER_hh_emi!V17/SER_hh_num!V17)</f>
        <v>5454.0094483918174</v>
      </c>
      <c r="W17" s="132">
        <f>IF(SER_hh_emi!W17=0,0,1000000*SER_hh_emi!W17/SER_hh_num!W17)</f>
        <v>5382.0912751907026</v>
      </c>
      <c r="X17" s="132">
        <f>IF(SER_hh_emi!X17=0,0,1000000*SER_hh_emi!X17/SER_hh_num!X17)</f>
        <v>4762.1348847117533</v>
      </c>
      <c r="Y17" s="132">
        <f>IF(SER_hh_emi!Y17=0,0,1000000*SER_hh_emi!Y17/SER_hh_num!Y17)</f>
        <v>4536.1627328256354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4453.7056292894604</v>
      </c>
      <c r="C19" s="130">
        <f>IF(SER_hh_emi!C19=0,0,1000000*SER_hh_emi!C19/SER_hh_num!C19)</f>
        <v>4429.1729396016199</v>
      </c>
      <c r="D19" s="130">
        <f>IF(SER_hh_emi!D19=0,0,1000000*SER_hh_emi!D19/SER_hh_num!D19)</f>
        <v>4511.0941062603615</v>
      </c>
      <c r="E19" s="130">
        <f>IF(SER_hh_emi!E19=0,0,1000000*SER_hh_emi!E19/SER_hh_num!E19)</f>
        <v>4660.3231081712174</v>
      </c>
      <c r="F19" s="130">
        <f>IF(SER_hh_emi!F19=0,0,1000000*SER_hh_emi!F19/SER_hh_num!F19)</f>
        <v>4587.4800032483436</v>
      </c>
      <c r="G19" s="130">
        <f>IF(SER_hh_emi!G19=0,0,1000000*SER_hh_emi!G19/SER_hh_num!G19)</f>
        <v>4462.6848155426032</v>
      </c>
      <c r="H19" s="130">
        <f>IF(SER_hh_emi!H19=0,0,1000000*SER_hh_emi!H19/SER_hh_num!H19)</f>
        <v>3685.0527920314798</v>
      </c>
      <c r="I19" s="130">
        <f>IF(SER_hh_emi!I19=0,0,1000000*SER_hh_emi!I19/SER_hh_num!I19)</f>
        <v>3505.4625607137846</v>
      </c>
      <c r="J19" s="130">
        <f>IF(SER_hh_emi!J19=0,0,1000000*SER_hh_emi!J19/SER_hh_num!J19)</f>
        <v>3486.9421625050545</v>
      </c>
      <c r="K19" s="130">
        <f>IF(SER_hh_emi!K19=0,0,1000000*SER_hh_emi!K19/SER_hh_num!K19)</f>
        <v>3344.9495801432663</v>
      </c>
      <c r="L19" s="130">
        <f>IF(SER_hh_emi!L19=0,0,1000000*SER_hh_emi!L19/SER_hh_num!L19)</f>
        <v>4245.1611814075704</v>
      </c>
      <c r="M19" s="130">
        <f>IF(SER_hh_emi!M19=0,0,1000000*SER_hh_emi!M19/SER_hh_num!M19)</f>
        <v>3576.0081442257479</v>
      </c>
      <c r="N19" s="130">
        <f>IF(SER_hh_emi!N19=0,0,1000000*SER_hh_emi!N19/SER_hh_num!N19)</f>
        <v>3991.3486114471102</v>
      </c>
      <c r="O19" s="130">
        <f>IF(SER_hh_emi!O19=0,0,1000000*SER_hh_emi!O19/SER_hh_num!O19)</f>
        <v>3992.5655369847809</v>
      </c>
      <c r="P19" s="130">
        <f>IF(SER_hh_emi!P19=0,0,1000000*SER_hh_emi!P19/SER_hh_num!P19)</f>
        <v>4216.2257733974111</v>
      </c>
      <c r="Q19" s="130">
        <f>IF(SER_hh_emi!Q19=0,0,1000000*SER_hh_emi!Q19/SER_hh_num!Q19)</f>
        <v>4465.1334096652863</v>
      </c>
      <c r="R19" s="130">
        <f>IF(SER_hh_emi!R19=0,0,1000000*SER_hh_emi!R19/SER_hh_num!R19)</f>
        <v>4459.2768056197119</v>
      </c>
      <c r="S19" s="130">
        <f>IF(SER_hh_emi!S19=0,0,1000000*SER_hh_emi!S19/SER_hh_num!S19)</f>
        <v>4384.2063149456417</v>
      </c>
      <c r="T19" s="130">
        <f>IF(SER_hh_emi!T19=0,0,1000000*SER_hh_emi!T19/SER_hh_num!T19)</f>
        <v>4527.2192060301486</v>
      </c>
      <c r="U19" s="130">
        <f>IF(SER_hh_emi!U19=0,0,1000000*SER_hh_emi!U19/SER_hh_num!U19)</f>
        <v>4646.3469741840518</v>
      </c>
      <c r="V19" s="130">
        <f>IF(SER_hh_emi!V19=0,0,1000000*SER_hh_emi!V19/SER_hh_num!V19)</f>
        <v>3381.4176383901995</v>
      </c>
      <c r="W19" s="130">
        <f>IF(SER_hh_emi!W19=0,0,1000000*SER_hh_emi!W19/SER_hh_num!W19)</f>
        <v>4180.6425475015503</v>
      </c>
      <c r="X19" s="130">
        <f>IF(SER_hh_emi!X19=0,0,1000000*SER_hh_emi!X19/SER_hh_num!X19)</f>
        <v>3549.13673742225</v>
      </c>
      <c r="Y19" s="130">
        <f>IF(SER_hh_emi!Y19=0,0,1000000*SER_hh_emi!Y19/SER_hh_num!Y19)</f>
        <v>3430.3582570106728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0</v>
      </c>
      <c r="C21" s="132">
        <f>IF(SER_hh_emi!C21=0,0,1000000*SER_hh_emi!C21/SER_hh_num!C21)</f>
        <v>0</v>
      </c>
      <c r="D21" s="132">
        <f>IF(SER_hh_emi!D21=0,0,1000000*SER_hh_emi!D21/SER_hh_num!D21)</f>
        <v>0</v>
      </c>
      <c r="E21" s="132">
        <f>IF(SER_hh_emi!E21=0,0,1000000*SER_hh_emi!E21/SER_hh_num!E21)</f>
        <v>0</v>
      </c>
      <c r="F21" s="132">
        <f>IF(SER_hh_emi!F21=0,0,1000000*SER_hh_emi!F21/SER_hh_num!F21)</f>
        <v>0</v>
      </c>
      <c r="G21" s="132">
        <f>IF(SER_hh_emi!G21=0,0,1000000*SER_hh_emi!G21/SER_hh_num!G21)</f>
        <v>0</v>
      </c>
      <c r="H21" s="132">
        <f>IF(SER_hh_emi!H21=0,0,1000000*SER_hh_emi!H21/SER_hh_num!H21)</f>
        <v>0</v>
      </c>
      <c r="I21" s="132">
        <f>IF(SER_hh_emi!I21=0,0,1000000*SER_hh_emi!I21/SER_hh_num!I21)</f>
        <v>0</v>
      </c>
      <c r="J21" s="132">
        <f>IF(SER_hh_emi!J21=0,0,1000000*SER_hh_emi!J21/SER_hh_num!J21)</f>
        <v>0</v>
      </c>
      <c r="K21" s="132">
        <f>IF(SER_hh_emi!K21=0,0,1000000*SER_hh_emi!K21/SER_hh_num!K21)</f>
        <v>0</v>
      </c>
      <c r="L21" s="132">
        <f>IF(SER_hh_emi!L21=0,0,1000000*SER_hh_emi!L21/SER_hh_num!L21)</f>
        <v>0</v>
      </c>
      <c r="M21" s="132">
        <f>IF(SER_hh_emi!M21=0,0,1000000*SER_hh_emi!M21/SER_hh_num!M21)</f>
        <v>0</v>
      </c>
      <c r="N21" s="132">
        <f>IF(SER_hh_emi!N21=0,0,1000000*SER_hh_emi!N21/SER_hh_num!N21)</f>
        <v>0</v>
      </c>
      <c r="O21" s="132">
        <f>IF(SER_hh_emi!O21=0,0,1000000*SER_hh_emi!O21/SER_hh_num!O21)</f>
        <v>0</v>
      </c>
      <c r="P21" s="132">
        <f>IF(SER_hh_emi!P21=0,0,1000000*SER_hh_emi!P21/SER_hh_num!P21)</f>
        <v>0</v>
      </c>
      <c r="Q21" s="132">
        <f>IF(SER_hh_emi!Q21=0,0,1000000*SER_hh_emi!Q21/SER_hh_num!Q21)</f>
        <v>0</v>
      </c>
      <c r="R21" s="132">
        <f>IF(SER_hh_emi!R21=0,0,1000000*SER_hh_emi!R21/SER_hh_num!R21)</f>
        <v>0</v>
      </c>
      <c r="S21" s="132">
        <f>IF(SER_hh_emi!S21=0,0,1000000*SER_hh_emi!S21/SER_hh_num!S21)</f>
        <v>0</v>
      </c>
      <c r="T21" s="132">
        <f>IF(SER_hh_emi!T21=0,0,1000000*SER_hh_emi!T21/SER_hh_num!T21)</f>
        <v>0</v>
      </c>
      <c r="U21" s="132">
        <f>IF(SER_hh_emi!U21=0,0,1000000*SER_hh_emi!U21/SER_hh_num!U21)</f>
        <v>0</v>
      </c>
      <c r="V21" s="132">
        <f>IF(SER_hh_emi!V21=0,0,1000000*SER_hh_emi!V21/SER_hh_num!V21)</f>
        <v>0</v>
      </c>
      <c r="W21" s="132">
        <f>IF(SER_hh_emi!W21=0,0,1000000*SER_hh_emi!W21/SER_hh_num!W21)</f>
        <v>0</v>
      </c>
      <c r="X21" s="132">
        <f>IF(SER_hh_emi!X21=0,0,1000000*SER_hh_emi!X21/SER_hh_num!X21)</f>
        <v>0</v>
      </c>
      <c r="Y21" s="132">
        <f>IF(SER_hh_emi!Y21=0,0,1000000*SER_hh_emi!Y21/SER_hh_num!Y21)</f>
        <v>0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14614.708280738792</v>
      </c>
      <c r="C22" s="132">
        <f>IF(SER_hh_emi!C22=0,0,1000000*SER_hh_emi!C22/SER_hh_num!C22)</f>
        <v>14427.672062927624</v>
      </c>
      <c r="D22" s="132">
        <f>IF(SER_hh_emi!D22=0,0,1000000*SER_hh_emi!D22/SER_hh_num!D22)</f>
        <v>14609.488372866355</v>
      </c>
      <c r="E22" s="132">
        <f>IF(SER_hh_emi!E22=0,0,1000000*SER_hh_emi!E22/SER_hh_num!E22)</f>
        <v>14536.825013654134</v>
      </c>
      <c r="F22" s="132">
        <f>IF(SER_hh_emi!F22=0,0,1000000*SER_hh_emi!F22/SER_hh_num!F22)</f>
        <v>14879.863302006963</v>
      </c>
      <c r="G22" s="132">
        <f>IF(SER_hh_emi!G22=0,0,1000000*SER_hh_emi!G22/SER_hh_num!G22)</f>
        <v>15512.785613869946</v>
      </c>
      <c r="H22" s="132">
        <f>IF(SER_hh_emi!H22=0,0,1000000*SER_hh_emi!H22/SER_hh_num!H22)</f>
        <v>12862.45900456595</v>
      </c>
      <c r="I22" s="132">
        <f>IF(SER_hh_emi!I22=0,0,1000000*SER_hh_emi!I22/SER_hh_num!I22)</f>
        <v>14096.694781517072</v>
      </c>
      <c r="J22" s="132">
        <f>IF(SER_hh_emi!J22=0,0,1000000*SER_hh_emi!J22/SER_hh_num!J22)</f>
        <v>11622.214050606613</v>
      </c>
      <c r="K22" s="132">
        <f>IF(SER_hh_emi!K22=0,0,1000000*SER_hh_emi!K22/SER_hh_num!K22)</f>
        <v>12367.63672113698</v>
      </c>
      <c r="L22" s="132">
        <f>IF(SER_hh_emi!L22=0,0,1000000*SER_hh_emi!L22/SER_hh_num!L22)</f>
        <v>16577.338796337248</v>
      </c>
      <c r="M22" s="132">
        <f>IF(SER_hh_emi!M22=0,0,1000000*SER_hh_emi!M22/SER_hh_num!M22)</f>
        <v>10956.868238104284</v>
      </c>
      <c r="N22" s="132">
        <f>IF(SER_hh_emi!N22=0,0,1000000*SER_hh_emi!N22/SER_hh_num!N22)</f>
        <v>14292.800398139058</v>
      </c>
      <c r="O22" s="132">
        <f>IF(SER_hh_emi!O22=0,0,1000000*SER_hh_emi!O22/SER_hh_num!O22)</f>
        <v>13284.603395330192</v>
      </c>
      <c r="P22" s="132">
        <f>IF(SER_hh_emi!P22=0,0,1000000*SER_hh_emi!P22/SER_hh_num!P22)</f>
        <v>13474.381781653259</v>
      </c>
      <c r="Q22" s="132">
        <f>IF(SER_hh_emi!Q22=0,0,1000000*SER_hh_emi!Q22/SER_hh_num!Q22)</f>
        <v>12321.072923307276</v>
      </c>
      <c r="R22" s="132">
        <f>IF(SER_hh_emi!R22=0,0,1000000*SER_hh_emi!R22/SER_hh_num!R22)</f>
        <v>10338.763456849729</v>
      </c>
      <c r="S22" s="132">
        <f>IF(SER_hh_emi!S22=0,0,1000000*SER_hh_emi!S22/SER_hh_num!S22)</f>
        <v>13092.890404571453</v>
      </c>
      <c r="T22" s="132">
        <f>IF(SER_hh_emi!T22=0,0,1000000*SER_hh_emi!T22/SER_hh_num!T22)</f>
        <v>12199.6480945066</v>
      </c>
      <c r="U22" s="132">
        <f>IF(SER_hh_emi!U22=0,0,1000000*SER_hh_emi!U22/SER_hh_num!U22)</f>
        <v>12371.711270652877</v>
      </c>
      <c r="V22" s="132">
        <f>IF(SER_hh_emi!V22=0,0,1000000*SER_hh_emi!V22/SER_hh_num!V22)</f>
        <v>10077.882074114481</v>
      </c>
      <c r="W22" s="132">
        <f>IF(SER_hh_emi!W22=0,0,1000000*SER_hh_emi!W22/SER_hh_num!W22)</f>
        <v>11974.353310704926</v>
      </c>
      <c r="X22" s="132">
        <f>IF(SER_hh_emi!X22=0,0,1000000*SER_hh_emi!X22/SER_hh_num!X22)</f>
        <v>10515.309194281652</v>
      </c>
      <c r="Y22" s="132">
        <f>IF(SER_hh_emi!Y22=0,0,1000000*SER_hh_emi!Y22/SER_hh_num!Y22)</f>
        <v>11346.020510113636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10598.557109210926</v>
      </c>
      <c r="C23" s="132">
        <f>IF(SER_hh_emi!C23=0,0,1000000*SER_hh_emi!C23/SER_hh_num!C23)</f>
        <v>10645.162561247402</v>
      </c>
      <c r="D23" s="132">
        <f>IF(SER_hh_emi!D23=0,0,1000000*SER_hh_emi!D23/SER_hh_num!D23)</f>
        <v>10347.700948365135</v>
      </c>
      <c r="E23" s="132">
        <f>IF(SER_hh_emi!E23=0,0,1000000*SER_hh_emi!E23/SER_hh_num!E23)</f>
        <v>10600.918440680758</v>
      </c>
      <c r="F23" s="132">
        <f>IF(SER_hh_emi!F23=0,0,1000000*SER_hh_emi!F23/SER_hh_num!F23)</f>
        <v>10134.966049042452</v>
      </c>
      <c r="G23" s="132">
        <f>IF(SER_hh_emi!G23=0,0,1000000*SER_hh_emi!G23/SER_hh_num!G23)</f>
        <v>10031.329526379803</v>
      </c>
      <c r="H23" s="132">
        <f>IF(SER_hh_emi!H23=0,0,1000000*SER_hh_emi!H23/SER_hh_num!H23)</f>
        <v>9665.2804556596893</v>
      </c>
      <c r="I23" s="132">
        <f>IF(SER_hh_emi!I23=0,0,1000000*SER_hh_emi!I23/SER_hh_num!I23)</f>
        <v>9302.2921156551893</v>
      </c>
      <c r="J23" s="132">
        <f>IF(SER_hh_emi!J23=0,0,1000000*SER_hh_emi!J23/SER_hh_num!J23)</f>
        <v>10254.753928285132</v>
      </c>
      <c r="K23" s="132">
        <f>IF(SER_hh_emi!K23=0,0,1000000*SER_hh_emi!K23/SER_hh_num!K23)</f>
        <v>9161.3399160471527</v>
      </c>
      <c r="L23" s="132">
        <f>IF(SER_hh_emi!L23=0,0,1000000*SER_hh_emi!L23/SER_hh_num!L23)</f>
        <v>9959.8859438026975</v>
      </c>
      <c r="M23" s="132">
        <f>IF(SER_hh_emi!M23=0,0,1000000*SER_hh_emi!M23/SER_hh_num!M23)</f>
        <v>9276.8588694643004</v>
      </c>
      <c r="N23" s="132">
        <f>IF(SER_hh_emi!N23=0,0,1000000*SER_hh_emi!N23/SER_hh_num!N23)</f>
        <v>8776.9045525049278</v>
      </c>
      <c r="O23" s="132">
        <f>IF(SER_hh_emi!O23=0,0,1000000*SER_hh_emi!O23/SER_hh_num!O23)</f>
        <v>8762.6164202565378</v>
      </c>
      <c r="P23" s="132">
        <f>IF(SER_hh_emi!P23=0,0,1000000*SER_hh_emi!P23/SER_hh_num!P23)</f>
        <v>9140.8340855417318</v>
      </c>
      <c r="Q23" s="132">
        <f>IF(SER_hh_emi!Q23=0,0,1000000*SER_hh_emi!Q23/SER_hh_num!Q23)</f>
        <v>10229.733458935216</v>
      </c>
      <c r="R23" s="132">
        <f>IF(SER_hh_emi!R23=0,0,1000000*SER_hh_emi!R23/SER_hh_num!R23)</f>
        <v>10755.767574552767</v>
      </c>
      <c r="S23" s="132">
        <f>IF(SER_hh_emi!S23=0,0,1000000*SER_hh_emi!S23/SER_hh_num!S23)</f>
        <v>7826.6229069916008</v>
      </c>
      <c r="T23" s="132">
        <f>IF(SER_hh_emi!T23=0,0,1000000*SER_hh_emi!T23/SER_hh_num!T23)</f>
        <v>8802.0983932127256</v>
      </c>
      <c r="U23" s="132">
        <f>IF(SER_hh_emi!U23=0,0,1000000*SER_hh_emi!U23/SER_hh_num!U23)</f>
        <v>9057.9474242938886</v>
      </c>
      <c r="V23" s="132">
        <f>IF(SER_hh_emi!V23=0,0,1000000*SER_hh_emi!V23/SER_hh_num!V23)</f>
        <v>5927.2043391838206</v>
      </c>
      <c r="W23" s="132">
        <f>IF(SER_hh_emi!W23=0,0,1000000*SER_hh_emi!W23/SER_hh_num!W23)</f>
        <v>8435.0323742106393</v>
      </c>
      <c r="X23" s="132">
        <f>IF(SER_hh_emi!X23=0,0,1000000*SER_hh_emi!X23/SER_hh_num!X23)</f>
        <v>8117.0769754114481</v>
      </c>
      <c r="Y23" s="132">
        <f>IF(SER_hh_emi!Y23=0,0,1000000*SER_hh_emi!Y23/SER_hh_num!Y23)</f>
        <v>8011.3223961994918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6146.0968423969152</v>
      </c>
      <c r="C29" s="130">
        <f>IF(SER_hh_emi!C29=0,0,1000000*SER_hh_emi!C29/SER_hh_num!C29)</f>
        <v>7628.5538231712035</v>
      </c>
      <c r="D29" s="130">
        <f>IF(SER_hh_emi!D29=0,0,1000000*SER_hh_emi!D29/SER_hh_num!D29)</f>
        <v>6330.3471450591396</v>
      </c>
      <c r="E29" s="130">
        <f>IF(SER_hh_emi!E29=0,0,1000000*SER_hh_emi!E29/SER_hh_num!E29)</f>
        <v>5263.1160036738675</v>
      </c>
      <c r="F29" s="130">
        <f>IF(SER_hh_emi!F29=0,0,1000000*SER_hh_emi!F29/SER_hh_num!F29)</f>
        <v>4919.6236430343151</v>
      </c>
      <c r="G29" s="130">
        <f>IF(SER_hh_emi!G29=0,0,1000000*SER_hh_emi!G29/SER_hh_num!G29)</f>
        <v>4613.8125889234771</v>
      </c>
      <c r="H29" s="130">
        <f>IF(SER_hh_emi!H29=0,0,1000000*SER_hh_emi!H29/SER_hh_num!H29)</f>
        <v>4662.8239064437821</v>
      </c>
      <c r="I29" s="130">
        <f>IF(SER_hh_emi!I29=0,0,1000000*SER_hh_emi!I29/SER_hh_num!I29)</f>
        <v>4404.4947964294097</v>
      </c>
      <c r="J29" s="130">
        <f>IF(SER_hh_emi!J29=0,0,1000000*SER_hh_emi!J29/SER_hh_num!J29)</f>
        <v>4161.055632354728</v>
      </c>
      <c r="K29" s="130">
        <f>IF(SER_hh_emi!K29=0,0,1000000*SER_hh_emi!K29/SER_hh_num!K29)</f>
        <v>6168.9365209772996</v>
      </c>
      <c r="L29" s="130">
        <f>IF(SER_hh_emi!L29=0,0,1000000*SER_hh_emi!L29/SER_hh_num!L29)</f>
        <v>6207.4265551048402</v>
      </c>
      <c r="M29" s="130">
        <f>IF(SER_hh_emi!M29=0,0,1000000*SER_hh_emi!M29/SER_hh_num!M29)</f>
        <v>6175.2022438437043</v>
      </c>
      <c r="N29" s="130">
        <f>IF(SER_hh_emi!N29=0,0,1000000*SER_hh_emi!N29/SER_hh_num!N29)</f>
        <v>5977.3201726658044</v>
      </c>
      <c r="O29" s="130">
        <f>IF(SER_hh_emi!O29=0,0,1000000*SER_hh_emi!O29/SER_hh_num!O29)</f>
        <v>5637.4356784156844</v>
      </c>
      <c r="P29" s="130">
        <f>IF(SER_hh_emi!P29=0,0,1000000*SER_hh_emi!P29/SER_hh_num!P29)</f>
        <v>4939.4190220755236</v>
      </c>
      <c r="Q29" s="130">
        <f>IF(SER_hh_emi!Q29=0,0,1000000*SER_hh_emi!Q29/SER_hh_num!Q29)</f>
        <v>4875.1534016405612</v>
      </c>
      <c r="R29" s="130">
        <f>IF(SER_hh_emi!R29=0,0,1000000*SER_hh_emi!R29/SER_hh_num!R29)</f>
        <v>4763.6366448215867</v>
      </c>
      <c r="S29" s="130">
        <f>IF(SER_hh_emi!S29=0,0,1000000*SER_hh_emi!S29/SER_hh_num!S29)</f>
        <v>4029.8327974216604</v>
      </c>
      <c r="T29" s="130">
        <f>IF(SER_hh_emi!T29=0,0,1000000*SER_hh_emi!T29/SER_hh_num!T29)</f>
        <v>3591.2762833043585</v>
      </c>
      <c r="U29" s="130">
        <f>IF(SER_hh_emi!U29=0,0,1000000*SER_hh_emi!U29/SER_hh_num!U29)</f>
        <v>3680.917379255955</v>
      </c>
      <c r="V29" s="130">
        <f>IF(SER_hh_emi!V29=0,0,1000000*SER_hh_emi!V29/SER_hh_num!V29)</f>
        <v>2711.4395272981792</v>
      </c>
      <c r="W29" s="130">
        <f>IF(SER_hh_emi!W29=0,0,1000000*SER_hh_emi!W29/SER_hh_num!W29)</f>
        <v>3751.5051714225669</v>
      </c>
      <c r="X29" s="130">
        <f>IF(SER_hh_emi!X29=0,0,1000000*SER_hh_emi!X29/SER_hh_num!X29)</f>
        <v>3892.6372748957269</v>
      </c>
      <c r="Y29" s="130">
        <f>IF(SER_hh_emi!Y29=0,0,1000000*SER_hh_emi!Y29/SER_hh_num!Y29)</f>
        <v>4455.7230089049744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8477.5809092572708</v>
      </c>
      <c r="C30" s="132">
        <f>IF(SER_hh_emi!C30=0,0,1000000*SER_hh_emi!C30/SER_hh_num!C30)</f>
        <v>17700.223023999752</v>
      </c>
      <c r="D30" s="132">
        <f>IF(SER_hh_emi!D30=0,0,1000000*SER_hh_emi!D30/SER_hh_num!D30)</f>
        <v>13129.148933542474</v>
      </c>
      <c r="E30" s="132">
        <f>IF(SER_hh_emi!E30=0,0,1000000*SER_hh_emi!E30/SER_hh_num!E30)</f>
        <v>6297.3923986661612</v>
      </c>
      <c r="F30" s="132">
        <f>IF(SER_hh_emi!F30=0,0,1000000*SER_hh_emi!F30/SER_hh_num!F30)</f>
        <v>0</v>
      </c>
      <c r="G30" s="132">
        <f>IF(SER_hh_emi!G30=0,0,1000000*SER_hh_emi!G30/SER_hh_num!G30)</f>
        <v>0</v>
      </c>
      <c r="H30" s="132">
        <f>IF(SER_hh_emi!H30=0,0,1000000*SER_hh_emi!H30/SER_hh_num!H30)</f>
        <v>0</v>
      </c>
      <c r="I30" s="132">
        <f>IF(SER_hh_emi!I30=0,0,1000000*SER_hh_emi!I30/SER_hh_num!I30)</f>
        <v>0</v>
      </c>
      <c r="J30" s="132">
        <f>IF(SER_hh_emi!J30=0,0,1000000*SER_hh_emi!J30/SER_hh_num!J30)</f>
        <v>0</v>
      </c>
      <c r="K30" s="132">
        <f>IF(SER_hh_emi!K30=0,0,1000000*SER_hh_emi!K30/SER_hh_num!K30)</f>
        <v>19240.193004101344</v>
      </c>
      <c r="L30" s="132">
        <f>IF(SER_hh_emi!L30=0,0,1000000*SER_hh_emi!L30/SER_hh_num!L30)</f>
        <v>15684.867013588475</v>
      </c>
      <c r="M30" s="132">
        <f>IF(SER_hh_emi!M30=0,0,1000000*SER_hh_emi!M30/SER_hh_num!M30)</f>
        <v>14199.137378513336</v>
      </c>
      <c r="N30" s="132">
        <f>IF(SER_hh_emi!N30=0,0,1000000*SER_hh_emi!N30/SER_hh_num!N30)</f>
        <v>14300.43560848159</v>
      </c>
      <c r="O30" s="132">
        <f>IF(SER_hh_emi!O30=0,0,1000000*SER_hh_emi!O30/SER_hh_num!O30)</f>
        <v>14828.878500226698</v>
      </c>
      <c r="P30" s="132">
        <f>IF(SER_hh_emi!P30=0,0,1000000*SER_hh_emi!P30/SER_hh_num!P30)</f>
        <v>13477.638075764911</v>
      </c>
      <c r="Q30" s="132">
        <f>IF(SER_hh_emi!Q30=0,0,1000000*SER_hh_emi!Q30/SER_hh_num!Q30)</f>
        <v>14639.161511078903</v>
      </c>
      <c r="R30" s="132">
        <f>IF(SER_hh_emi!R30=0,0,1000000*SER_hh_emi!R30/SER_hh_num!R30)</f>
        <v>15844.492368662623</v>
      </c>
      <c r="S30" s="132">
        <f>IF(SER_hh_emi!S30=0,0,1000000*SER_hh_emi!S30/SER_hh_num!S30)</f>
        <v>14472.589010005668</v>
      </c>
      <c r="T30" s="132">
        <f>IF(SER_hh_emi!T30=0,0,1000000*SER_hh_emi!T30/SER_hh_num!T30)</f>
        <v>12732.996508162098</v>
      </c>
      <c r="U30" s="132">
        <f>IF(SER_hh_emi!U30=0,0,1000000*SER_hh_emi!U30/SER_hh_num!U30)</f>
        <v>15896.101876043445</v>
      </c>
      <c r="V30" s="132">
        <f>IF(SER_hh_emi!V30=0,0,1000000*SER_hh_emi!V30/SER_hh_num!V30)</f>
        <v>12484.197017584898</v>
      </c>
      <c r="W30" s="132">
        <f>IF(SER_hh_emi!W30=0,0,1000000*SER_hh_emi!W30/SER_hh_num!W30)</f>
        <v>18522.114029187287</v>
      </c>
      <c r="X30" s="132">
        <f>IF(SER_hh_emi!X30=0,0,1000000*SER_hh_emi!X30/SER_hh_num!X30)</f>
        <v>13108.140616337863</v>
      </c>
      <c r="Y30" s="132">
        <f>IF(SER_hh_emi!Y30=0,0,1000000*SER_hh_emi!Y30/SER_hh_num!Y30)</f>
        <v>16709.343211572806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10639.242306857039</v>
      </c>
      <c r="C31" s="132">
        <f>IF(SER_hh_emi!C31=0,0,1000000*SER_hh_emi!C31/SER_hh_num!C31)</f>
        <v>10731.193469335447</v>
      </c>
      <c r="D31" s="132">
        <f>IF(SER_hh_emi!D31=0,0,1000000*SER_hh_emi!D31/SER_hh_num!D31)</f>
        <v>11179.158918262259</v>
      </c>
      <c r="E31" s="132">
        <f>IF(SER_hh_emi!E31=0,0,1000000*SER_hh_emi!E31/SER_hh_num!E31)</f>
        <v>11364.848687466823</v>
      </c>
      <c r="F31" s="132">
        <f>IF(SER_hh_emi!F31=0,0,1000000*SER_hh_emi!F31/SER_hh_num!F31)</f>
        <v>11664.990897153542</v>
      </c>
      <c r="G31" s="132">
        <f>IF(SER_hh_emi!G31=0,0,1000000*SER_hh_emi!G31/SER_hh_num!G31)</f>
        <v>11424.815987468615</v>
      </c>
      <c r="H31" s="132">
        <f>IF(SER_hh_emi!H31=0,0,1000000*SER_hh_emi!H31/SER_hh_num!H31)</f>
        <v>11973.03515081463</v>
      </c>
      <c r="I31" s="132">
        <f>IF(SER_hh_emi!I31=0,0,1000000*SER_hh_emi!I31/SER_hh_num!I31)</f>
        <v>12019.349487029845</v>
      </c>
      <c r="J31" s="132">
        <f>IF(SER_hh_emi!J31=0,0,1000000*SER_hh_emi!J31/SER_hh_num!J31)</f>
        <v>12231.451202451706</v>
      </c>
      <c r="K31" s="132">
        <f>IF(SER_hh_emi!K31=0,0,1000000*SER_hh_emi!K31/SER_hh_num!K31)</f>
        <v>11660.268848868716</v>
      </c>
      <c r="L31" s="132">
        <f>IF(SER_hh_emi!L31=0,0,1000000*SER_hh_emi!L31/SER_hh_num!L31)</f>
        <v>11963.272445306888</v>
      </c>
      <c r="M31" s="132">
        <f>IF(SER_hh_emi!M31=0,0,1000000*SER_hh_emi!M31/SER_hh_num!M31)</f>
        <v>12497.163336194657</v>
      </c>
      <c r="N31" s="132">
        <f>IF(SER_hh_emi!N31=0,0,1000000*SER_hh_emi!N31/SER_hh_num!N31)</f>
        <v>12680.426676059958</v>
      </c>
      <c r="O31" s="132">
        <f>IF(SER_hh_emi!O31=0,0,1000000*SER_hh_emi!O31/SER_hh_num!O31)</f>
        <v>12393.922361114022</v>
      </c>
      <c r="P31" s="132">
        <f>IF(SER_hh_emi!P31=0,0,1000000*SER_hh_emi!P31/SER_hh_num!P31)</f>
        <v>12309.076920078003</v>
      </c>
      <c r="Q31" s="132">
        <f>IF(SER_hh_emi!Q31=0,0,1000000*SER_hh_emi!Q31/SER_hh_num!Q31)</f>
        <v>12568.952616313754</v>
      </c>
      <c r="R31" s="132">
        <f>IF(SER_hh_emi!R31=0,0,1000000*SER_hh_emi!R31/SER_hh_num!R31)</f>
        <v>12758.496763580968</v>
      </c>
      <c r="S31" s="132">
        <f>IF(SER_hh_emi!S31=0,0,1000000*SER_hh_emi!S31/SER_hh_num!S31)</f>
        <v>12301.122722954113</v>
      </c>
      <c r="T31" s="132">
        <f>IF(SER_hh_emi!T31=0,0,1000000*SER_hh_emi!T31/SER_hh_num!T31)</f>
        <v>13160.962396542291</v>
      </c>
      <c r="U31" s="132">
        <f>IF(SER_hh_emi!U31=0,0,1000000*SER_hh_emi!U31/SER_hh_num!U31)</f>
        <v>12994.358207872958</v>
      </c>
      <c r="V31" s="132">
        <f>IF(SER_hh_emi!V31=0,0,1000000*SER_hh_emi!V31/SER_hh_num!V31)</f>
        <v>9709.7168561428025</v>
      </c>
      <c r="W31" s="132">
        <f>IF(SER_hh_emi!W31=0,0,1000000*SER_hh_emi!W31/SER_hh_num!W31)</f>
        <v>10686.817709332225</v>
      </c>
      <c r="X31" s="132">
        <f>IF(SER_hh_emi!X31=0,0,1000000*SER_hh_emi!X31/SER_hh_num!X31)</f>
        <v>14762.776567092726</v>
      </c>
      <c r="Y31" s="132">
        <f>IF(SER_hh_emi!Y31=0,0,1000000*SER_hh_emi!Y31/SER_hh_num!Y31)</f>
        <v>13070.011030022546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523.67456566357055</v>
      </c>
      <c r="C3" s="125">
        <f>IF(SER_hh_fech!C3=0,0,SER_hh_fech!C3/SER_summary!C$26)</f>
        <v>530.41605732423625</v>
      </c>
      <c r="D3" s="125">
        <f>IF(SER_hh_fech!D3=0,0,SER_hh_fech!D3/SER_summary!D$26)</f>
        <v>483.17777097141646</v>
      </c>
      <c r="E3" s="125">
        <f>IF(SER_hh_fech!E3=0,0,SER_hh_fech!E3/SER_summary!E$26)</f>
        <v>545.4652345594576</v>
      </c>
      <c r="F3" s="125">
        <f>IF(SER_hh_fech!F3=0,0,SER_hh_fech!F3/SER_summary!F$26)</f>
        <v>500.04514114104865</v>
      </c>
      <c r="G3" s="125">
        <f>IF(SER_hh_fech!G3=0,0,SER_hh_fech!G3/SER_summary!G$26)</f>
        <v>484.705161108222</v>
      </c>
      <c r="H3" s="125">
        <f>IF(SER_hh_fech!H3=0,0,SER_hh_fech!H3/SER_summary!H$26)</f>
        <v>479.19804426541799</v>
      </c>
      <c r="I3" s="125">
        <f>IF(SER_hh_fech!I3=0,0,SER_hh_fech!I3/SER_summary!I$26)</f>
        <v>473.21444135194298</v>
      </c>
      <c r="J3" s="125">
        <f>IF(SER_hh_fech!J3=0,0,SER_hh_fech!J3/SER_summary!J$26)</f>
        <v>495.31797125864159</v>
      </c>
      <c r="K3" s="125">
        <f>IF(SER_hh_fech!K3=0,0,SER_hh_fech!K3/SER_summary!K$26)</f>
        <v>474.1751317843183</v>
      </c>
      <c r="L3" s="125">
        <f>IF(SER_hh_fech!L3=0,0,SER_hh_fech!L3/SER_summary!L$26)</f>
        <v>542.67190059207871</v>
      </c>
      <c r="M3" s="125">
        <f>IF(SER_hh_fech!M3=0,0,SER_hh_fech!M3/SER_summary!M$26)</f>
        <v>404.97863405364183</v>
      </c>
      <c r="N3" s="125">
        <f>IF(SER_hh_fech!N3=0,0,SER_hh_fech!N3/SER_summary!N$26)</f>
        <v>460.61718584119126</v>
      </c>
      <c r="O3" s="125">
        <f>IF(SER_hh_fech!O3=0,0,SER_hh_fech!O3/SER_summary!O$26)</f>
        <v>472.34905632083115</v>
      </c>
      <c r="P3" s="125">
        <f>IF(SER_hh_fech!P3=0,0,SER_hh_fech!P3/SER_summary!P$26)</f>
        <v>394.94296136354757</v>
      </c>
      <c r="Q3" s="125">
        <f>IF(SER_hh_fech!Q3=0,0,SER_hh_fech!Q3/SER_summary!Q$26)</f>
        <v>445.41092382139141</v>
      </c>
      <c r="R3" s="125">
        <f>IF(SER_hh_fech!R3=0,0,SER_hh_fech!R3/SER_summary!R$26)</f>
        <v>439.46779845399595</v>
      </c>
      <c r="S3" s="125">
        <f>IF(SER_hh_fech!S3=0,0,SER_hh_fech!S3/SER_summary!S$26)</f>
        <v>494.59777535048175</v>
      </c>
      <c r="T3" s="125">
        <f>IF(SER_hh_fech!T3=0,0,SER_hh_fech!T3/SER_summary!T$26)</f>
        <v>499.47337288277697</v>
      </c>
      <c r="U3" s="125">
        <f>IF(SER_hh_fech!U3=0,0,SER_hh_fech!U3/SER_summary!U$26)</f>
        <v>563.22809528849268</v>
      </c>
      <c r="V3" s="125">
        <f>IF(SER_hh_fech!V3=0,0,SER_hh_fech!V3/SER_summary!V$26)</f>
        <v>525.2523539361091</v>
      </c>
      <c r="W3" s="125">
        <f>IF(SER_hh_fech!W3=0,0,SER_hh_fech!W3/SER_summary!W$26)</f>
        <v>583.13941701977319</v>
      </c>
      <c r="X3" s="125">
        <f>IF(SER_hh_fech!X3=0,0,SER_hh_fech!X3/SER_summary!X$26)</f>
        <v>443.57424372515982</v>
      </c>
      <c r="Y3" s="125">
        <f>IF(SER_hh_fech!Y3=0,0,SER_hh_fech!Y3/SER_summary!Y$26)</f>
        <v>425.44605521781324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418.02712506742296</v>
      </c>
      <c r="C4" s="130">
        <f>IF(SER_hh_fech!C4=0,0,SER_hh_fech!C4/SER_summary!C$26)</f>
        <v>421.33990041695341</v>
      </c>
      <c r="D4" s="130">
        <f>IF(SER_hh_fech!D4=0,0,SER_hh_fech!D4/SER_summary!D$26)</f>
        <v>374.89315579208545</v>
      </c>
      <c r="E4" s="130">
        <f>IF(SER_hh_fech!E4=0,0,SER_hh_fech!E4/SER_summary!E$26)</f>
        <v>437.3318879858802</v>
      </c>
      <c r="F4" s="130">
        <f>IF(SER_hh_fech!F4=0,0,SER_hh_fech!F4/SER_summary!F$26)</f>
        <v>393.51855345455357</v>
      </c>
      <c r="G4" s="130">
        <f>IF(SER_hh_fech!G4=0,0,SER_hh_fech!G4/SER_summary!G$26)</f>
        <v>377.83673543259198</v>
      </c>
      <c r="H4" s="130">
        <f>IF(SER_hh_fech!H4=0,0,SER_hh_fech!H4/SER_summary!H$26)</f>
        <v>371.63123682768895</v>
      </c>
      <c r="I4" s="130">
        <f>IF(SER_hh_fech!I4=0,0,SER_hh_fech!I4/SER_summary!I$26)</f>
        <v>366.15891481220621</v>
      </c>
      <c r="J4" s="130">
        <f>IF(SER_hh_fech!J4=0,0,SER_hh_fech!J4/SER_summary!J$26)</f>
        <v>387.61681572729572</v>
      </c>
      <c r="K4" s="130">
        <f>IF(SER_hh_fech!K4=0,0,SER_hh_fech!K4/SER_summary!K$26)</f>
        <v>362.98527267327114</v>
      </c>
      <c r="L4" s="130">
        <f>IF(SER_hh_fech!L4=0,0,SER_hh_fech!L4/SER_summary!L$26)</f>
        <v>429.60425871330159</v>
      </c>
      <c r="M4" s="130">
        <f>IF(SER_hh_fech!M4=0,0,SER_hh_fech!M4/SER_summary!M$26)</f>
        <v>294.12353941425448</v>
      </c>
      <c r="N4" s="130">
        <f>IF(SER_hh_fech!N4=0,0,SER_hh_fech!N4/SER_summary!N$26)</f>
        <v>349.00638573756117</v>
      </c>
      <c r="O4" s="130">
        <f>IF(SER_hh_fech!O4=0,0,SER_hh_fech!O4/SER_summary!O$26)</f>
        <v>360.98241910264261</v>
      </c>
      <c r="P4" s="130">
        <f>IF(SER_hh_fech!P4=0,0,SER_hh_fech!P4/SER_summary!P$26)</f>
        <v>283.82333238408211</v>
      </c>
      <c r="Q4" s="130">
        <f>IF(SER_hh_fech!Q4=0,0,SER_hh_fech!Q4/SER_summary!Q$26)</f>
        <v>333.14499375905774</v>
      </c>
      <c r="R4" s="130">
        <f>IF(SER_hh_fech!R4=0,0,SER_hh_fech!R4/SER_summary!R$26)</f>
        <v>329.1698695461202</v>
      </c>
      <c r="S4" s="130">
        <f>IF(SER_hh_fech!S4=0,0,SER_hh_fech!S4/SER_summary!S$26)</f>
        <v>384.71920444131649</v>
      </c>
      <c r="T4" s="130">
        <f>IF(SER_hh_fech!T4=0,0,SER_hh_fech!T4/SER_summary!T$26)</f>
        <v>389.90656270318453</v>
      </c>
      <c r="U4" s="130">
        <f>IF(SER_hh_fech!U4=0,0,SER_hh_fech!U4/SER_summary!U$26)</f>
        <v>453.7475170034985</v>
      </c>
      <c r="V4" s="130">
        <f>IF(SER_hh_fech!V4=0,0,SER_hh_fech!V4/SER_summary!V$26)</f>
        <v>427.32850178381392</v>
      </c>
      <c r="W4" s="130">
        <f>IF(SER_hh_fech!W4=0,0,SER_hh_fech!W4/SER_summary!W$26)</f>
        <v>476.95905134414198</v>
      </c>
      <c r="X4" s="130">
        <f>IF(SER_hh_fech!X4=0,0,SER_hh_fech!X4/SER_summary!X$26)</f>
        <v>337.74561834215672</v>
      </c>
      <c r="Y4" s="130">
        <f>IF(SER_hh_fech!Y4=0,0,SER_hh_fech!Y4/SER_summary!Y$26)</f>
        <v>318.02430305622471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0</v>
      </c>
      <c r="C5" s="132">
        <f>IF(SER_hh_fech!C5=0,0,SER_hh_fech!C5/SER_summary!C$26)</f>
        <v>0</v>
      </c>
      <c r="D5" s="132">
        <f>IF(SER_hh_fech!D5=0,0,SER_hh_fech!D5/SER_summary!D$26)</f>
        <v>0</v>
      </c>
      <c r="E5" s="132">
        <f>IF(SER_hh_fech!E5=0,0,SER_hh_fech!E5/SER_summary!E$26)</f>
        <v>0</v>
      </c>
      <c r="F5" s="132">
        <f>IF(SER_hh_fech!F5=0,0,SER_hh_fech!F5/SER_summary!F$26)</f>
        <v>0</v>
      </c>
      <c r="G5" s="132">
        <f>IF(SER_hh_fech!G5=0,0,SER_hh_fech!G5/SER_summary!G$26)</f>
        <v>0</v>
      </c>
      <c r="H5" s="132">
        <f>IF(SER_hh_fech!H5=0,0,SER_hh_fech!H5/SER_summary!H$26)</f>
        <v>0</v>
      </c>
      <c r="I5" s="132">
        <f>IF(SER_hh_fech!I5=0,0,SER_hh_fech!I5/SER_summary!I$26)</f>
        <v>0</v>
      </c>
      <c r="J5" s="132">
        <f>IF(SER_hh_fech!J5=0,0,SER_hh_fech!J5/SER_summary!J$26)</f>
        <v>0</v>
      </c>
      <c r="K5" s="132">
        <f>IF(SER_hh_fech!K5=0,0,SER_hh_fech!K5/SER_summary!K$26)</f>
        <v>0</v>
      </c>
      <c r="L5" s="132">
        <f>IF(SER_hh_fech!L5=0,0,SER_hh_fech!L5/SER_summary!L$26)</f>
        <v>0</v>
      </c>
      <c r="M5" s="132">
        <f>IF(SER_hh_fech!M5=0,0,SER_hh_fech!M5/SER_summary!M$26)</f>
        <v>0</v>
      </c>
      <c r="N5" s="132">
        <f>IF(SER_hh_fech!N5=0,0,SER_hh_fech!N5/SER_summary!N$26)</f>
        <v>0</v>
      </c>
      <c r="O5" s="132">
        <f>IF(SER_hh_fech!O5=0,0,SER_hh_fech!O5/SER_summary!O$26)</f>
        <v>0</v>
      </c>
      <c r="P5" s="132">
        <f>IF(SER_hh_fech!P5=0,0,SER_hh_fech!P5/SER_summary!P$26)</f>
        <v>0</v>
      </c>
      <c r="Q5" s="132">
        <f>IF(SER_hh_fech!Q5=0,0,SER_hh_fech!Q5/SER_summary!Q$26)</f>
        <v>0</v>
      </c>
      <c r="R5" s="132">
        <f>IF(SER_hh_fech!R5=0,0,SER_hh_fech!R5/SER_summary!R$26)</f>
        <v>0</v>
      </c>
      <c r="S5" s="132">
        <f>IF(SER_hh_fech!S5=0,0,SER_hh_fech!S5/SER_summary!S$26)</f>
        <v>0</v>
      </c>
      <c r="T5" s="132">
        <f>IF(SER_hh_fech!T5=0,0,SER_hh_fech!T5/SER_summary!T$26)</f>
        <v>0</v>
      </c>
      <c r="U5" s="132">
        <f>IF(SER_hh_fech!U5=0,0,SER_hh_fech!U5/SER_summary!U$26)</f>
        <v>0</v>
      </c>
      <c r="V5" s="132">
        <f>IF(SER_hh_fech!V5=0,0,SER_hh_fech!V5/SER_summary!V$26)</f>
        <v>0</v>
      </c>
      <c r="W5" s="132">
        <f>IF(SER_hh_fech!W5=0,0,SER_hh_fech!W5/SER_summary!W$26)</f>
        <v>0</v>
      </c>
      <c r="X5" s="132">
        <f>IF(SER_hh_fech!X5=0,0,SER_hh_fech!X5/SER_summary!X$26)</f>
        <v>0</v>
      </c>
      <c r="Y5" s="132">
        <f>IF(SER_hh_fech!Y5=0,0,SER_hh_fech!Y5/SER_summary!Y$26)</f>
        <v>0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406.34503168006137</v>
      </c>
      <c r="C7" s="132">
        <f>IF(SER_hh_fech!C7=0,0,SER_hh_fech!C7/SER_summary!C$26)</f>
        <v>533.92775063355646</v>
      </c>
      <c r="D7" s="132">
        <f>IF(SER_hh_fech!D7=0,0,SER_hh_fech!D7/SER_summary!D$26)</f>
        <v>503.12765812189247</v>
      </c>
      <c r="E7" s="132">
        <f>IF(SER_hh_fech!E7=0,0,SER_hh_fech!E7/SER_summary!E$26)</f>
        <v>490.64701360026476</v>
      </c>
      <c r="F7" s="132">
        <f>IF(SER_hh_fech!F7=0,0,SER_hh_fech!F7/SER_summary!F$26)</f>
        <v>532.26746755379224</v>
      </c>
      <c r="G7" s="132">
        <f>IF(SER_hh_fech!G7=0,0,SER_hh_fech!G7/SER_summary!G$26)</f>
        <v>554.61466790042869</v>
      </c>
      <c r="H7" s="132">
        <f>IF(SER_hh_fech!H7=0,0,SER_hh_fech!H7/SER_summary!H$26)</f>
        <v>413.57571743802737</v>
      </c>
      <c r="I7" s="132">
        <f>IF(SER_hh_fech!I7=0,0,SER_hh_fech!I7/SER_summary!I$26)</f>
        <v>487.58156459333179</v>
      </c>
      <c r="J7" s="132">
        <f>IF(SER_hh_fech!J7=0,0,SER_hh_fech!J7/SER_summary!J$26)</f>
        <v>435.28818914493002</v>
      </c>
      <c r="K7" s="132">
        <f>IF(SER_hh_fech!K7=0,0,SER_hh_fech!K7/SER_summary!K$26)</f>
        <v>367.9747444341416</v>
      </c>
      <c r="L7" s="132">
        <f>IF(SER_hh_fech!L7=0,0,SER_hh_fech!L7/SER_summary!L$26)</f>
        <v>610.78267242238576</v>
      </c>
      <c r="M7" s="132">
        <f>IF(SER_hh_fech!M7=0,0,SER_hh_fech!M7/SER_summary!M$26)</f>
        <v>398.89873462473849</v>
      </c>
      <c r="N7" s="132">
        <f>IF(SER_hh_fech!N7=0,0,SER_hh_fech!N7/SER_summary!N$26)</f>
        <v>380.66791976294542</v>
      </c>
      <c r="O7" s="132">
        <f>IF(SER_hh_fech!O7=0,0,SER_hh_fech!O7/SER_summary!O$26)</f>
        <v>411.15467523372268</v>
      </c>
      <c r="P7" s="132">
        <f>IF(SER_hh_fech!P7=0,0,SER_hh_fech!P7/SER_summary!P$26)</f>
        <v>313.7315086760849</v>
      </c>
      <c r="Q7" s="132">
        <f>IF(SER_hh_fech!Q7=0,0,SER_hh_fech!Q7/SER_summary!Q$26)</f>
        <v>396.37694842772459</v>
      </c>
      <c r="R7" s="132">
        <f>IF(SER_hh_fech!R7=0,0,SER_hh_fech!R7/SER_summary!R$26)</f>
        <v>344.21120243061551</v>
      </c>
      <c r="S7" s="132">
        <f>IF(SER_hh_fech!S7=0,0,SER_hh_fech!S7/SER_summary!S$26)</f>
        <v>457.82072053780655</v>
      </c>
      <c r="T7" s="132">
        <f>IF(SER_hh_fech!T7=0,0,SER_hh_fech!T7/SER_summary!T$26)</f>
        <v>433.61019007868708</v>
      </c>
      <c r="U7" s="132">
        <f>IF(SER_hh_fech!U7=0,0,SER_hh_fech!U7/SER_summary!U$26)</f>
        <v>529.95736754646907</v>
      </c>
      <c r="V7" s="132">
        <f>IF(SER_hh_fech!V7=0,0,SER_hh_fech!V7/SER_summary!V$26)</f>
        <v>492.07593736171202</v>
      </c>
      <c r="W7" s="132">
        <f>IF(SER_hh_fech!W7=0,0,SER_hh_fech!W7/SER_summary!W$26)</f>
        <v>443.34306493605476</v>
      </c>
      <c r="X7" s="132">
        <f>IF(SER_hh_fech!X7=0,0,SER_hh_fech!X7/SER_summary!X$26)</f>
        <v>358.30037369524842</v>
      </c>
      <c r="Y7" s="132">
        <f>IF(SER_hh_fech!Y7=0,0,SER_hh_fech!Y7/SER_summary!Y$26)</f>
        <v>374.32873300756364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0</v>
      </c>
      <c r="C8" s="132">
        <f>IF(SER_hh_fech!C8=0,0,SER_hh_fech!C8/SER_summary!C$26)</f>
        <v>0</v>
      </c>
      <c r="D8" s="132">
        <f>IF(SER_hh_fech!D8=0,0,SER_hh_fech!D8/SER_summary!D$26)</f>
        <v>0</v>
      </c>
      <c r="E8" s="132">
        <f>IF(SER_hh_fech!E8=0,0,SER_hh_fech!E8/SER_summary!E$26)</f>
        <v>0</v>
      </c>
      <c r="F8" s="132">
        <f>IF(SER_hh_fech!F8=0,0,SER_hh_fech!F8/SER_summary!F$26)</f>
        <v>0</v>
      </c>
      <c r="G8" s="132">
        <f>IF(SER_hh_fech!G8=0,0,SER_hh_fech!G8/SER_summary!G$26)</f>
        <v>0</v>
      </c>
      <c r="H8" s="132">
        <f>IF(SER_hh_fech!H8=0,0,SER_hh_fech!H8/SER_summary!H$26)</f>
        <v>0</v>
      </c>
      <c r="I8" s="132">
        <f>IF(SER_hh_fech!I8=0,0,SER_hh_fech!I8/SER_summary!I$26)</f>
        <v>0</v>
      </c>
      <c r="J8" s="132">
        <f>IF(SER_hh_fech!J8=0,0,SER_hh_fech!J8/SER_summary!J$26)</f>
        <v>0</v>
      </c>
      <c r="K8" s="132">
        <f>IF(SER_hh_fech!K8=0,0,SER_hh_fech!K8/SER_summary!K$26)</f>
        <v>0</v>
      </c>
      <c r="L8" s="132">
        <f>IF(SER_hh_fech!L8=0,0,SER_hh_fech!L8/SER_summary!L$26)</f>
        <v>0</v>
      </c>
      <c r="M8" s="132">
        <f>IF(SER_hh_fech!M8=0,0,SER_hh_fech!M8/SER_summary!M$26)</f>
        <v>0</v>
      </c>
      <c r="N8" s="132">
        <f>IF(SER_hh_fech!N8=0,0,SER_hh_fech!N8/SER_summary!N$26)</f>
        <v>0</v>
      </c>
      <c r="O8" s="132">
        <f>IF(SER_hh_fech!O8=0,0,SER_hh_fech!O8/SER_summary!O$26)</f>
        <v>0</v>
      </c>
      <c r="P8" s="132">
        <f>IF(SER_hh_fech!P8=0,0,SER_hh_fech!P8/SER_summary!P$26)</f>
        <v>0</v>
      </c>
      <c r="Q8" s="132">
        <f>IF(SER_hh_fech!Q8=0,0,SER_hh_fech!Q8/SER_summary!Q$26)</f>
        <v>0</v>
      </c>
      <c r="R8" s="132">
        <f>IF(SER_hh_fech!R8=0,0,SER_hh_fech!R8/SER_summary!R$26)</f>
        <v>0</v>
      </c>
      <c r="S8" s="132">
        <f>IF(SER_hh_fech!S8=0,0,SER_hh_fech!S8/SER_summary!S$26)</f>
        <v>0</v>
      </c>
      <c r="T8" s="132">
        <f>IF(SER_hh_fech!T8=0,0,SER_hh_fech!T8/SER_summary!T$26)</f>
        <v>0</v>
      </c>
      <c r="U8" s="132">
        <f>IF(SER_hh_fech!U8=0,0,SER_hh_fech!U8/SER_summary!U$26)</f>
        <v>0</v>
      </c>
      <c r="V8" s="132">
        <f>IF(SER_hh_fech!V8=0,0,SER_hh_fech!V8/SER_summary!V$26)</f>
        <v>0</v>
      </c>
      <c r="W8" s="132">
        <f>IF(SER_hh_fech!W8=0,0,SER_hh_fech!W8/SER_summary!W$26)</f>
        <v>0</v>
      </c>
      <c r="X8" s="132">
        <f>IF(SER_hh_fech!X8=0,0,SER_hh_fech!X8/SER_summary!X$26)</f>
        <v>0</v>
      </c>
      <c r="Y8" s="132">
        <f>IF(SER_hh_fech!Y8=0,0,SER_hh_fech!Y8/SER_summary!Y$26)</f>
        <v>0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576.40619902189383</v>
      </c>
      <c r="C9" s="132">
        <f>IF(SER_hh_fech!C9=0,0,SER_hh_fech!C9/SER_summary!C$26)</f>
        <v>389.15094029107462</v>
      </c>
      <c r="D9" s="132">
        <f>IF(SER_hh_fech!D9=0,0,SER_hh_fech!D9/SER_summary!D$26)</f>
        <v>440.83618984956621</v>
      </c>
      <c r="E9" s="132">
        <f>IF(SER_hh_fech!E9=0,0,SER_hh_fech!E9/SER_summary!E$26)</f>
        <v>520.03619754083979</v>
      </c>
      <c r="F9" s="132">
        <f>IF(SER_hh_fech!F9=0,0,SER_hh_fech!F9/SER_summary!F$26)</f>
        <v>473.15995510562641</v>
      </c>
      <c r="G9" s="132">
        <f>IF(SER_hh_fech!G9=0,0,SER_hh_fech!G9/SER_summary!G$26)</f>
        <v>400.32328422223225</v>
      </c>
      <c r="H9" s="132">
        <f>IF(SER_hh_fech!H9=0,0,SER_hh_fech!H9/SER_summary!H$26)</f>
        <v>483.71659148508161</v>
      </c>
      <c r="I9" s="132">
        <f>IF(SER_hh_fech!I9=0,0,SER_hh_fech!I9/SER_summary!I$26)</f>
        <v>382.22051230475716</v>
      </c>
      <c r="J9" s="132">
        <f>IF(SER_hh_fech!J9=0,0,SER_hh_fech!J9/SER_summary!J$26)</f>
        <v>459.81782000475863</v>
      </c>
      <c r="K9" s="132">
        <f>IF(SER_hh_fech!K9=0,0,SER_hh_fech!K9/SER_summary!K$26)</f>
        <v>472.32288544715749</v>
      </c>
      <c r="L9" s="132">
        <f>IF(SER_hh_fech!L9=0,0,SER_hh_fech!L9/SER_summary!L$26)</f>
        <v>563.40102967177052</v>
      </c>
      <c r="M9" s="132">
        <f>IF(SER_hh_fech!M9=0,0,SER_hh_fech!M9/SER_summary!M$26)</f>
        <v>230.53336265454641</v>
      </c>
      <c r="N9" s="132">
        <f>IF(SER_hh_fech!N9=0,0,SER_hh_fech!N9/SER_summary!N$26)</f>
        <v>417.88982526204563</v>
      </c>
      <c r="O9" s="132">
        <f>IF(SER_hh_fech!O9=0,0,SER_hh_fech!O9/SER_summary!O$26)</f>
        <v>400.66637092121556</v>
      </c>
      <c r="P9" s="132">
        <f>IF(SER_hh_fech!P9=0,0,SER_hh_fech!P9/SER_summary!P$26)</f>
        <v>309.91762253825397</v>
      </c>
      <c r="Q9" s="132">
        <f>IF(SER_hh_fech!Q9=0,0,SER_hh_fech!Q9/SER_summary!Q$26)</f>
        <v>364.42903650799161</v>
      </c>
      <c r="R9" s="132">
        <f>IF(SER_hh_fech!R9=0,0,SER_hh_fech!R9/SER_summary!R$26)</f>
        <v>434.20793536408343</v>
      </c>
      <c r="S9" s="132">
        <f>IF(SER_hh_fech!S9=0,0,SER_hh_fech!S9/SER_summary!S$26)</f>
        <v>352.42076019393494</v>
      </c>
      <c r="T9" s="132">
        <f>IF(SER_hh_fech!T9=0,0,SER_hh_fech!T9/SER_summary!T$26)</f>
        <v>444.60327894902809</v>
      </c>
      <c r="U9" s="132">
        <f>IF(SER_hh_fech!U9=0,0,SER_hh_fech!U9/SER_summary!U$26)</f>
        <v>528.75781226673769</v>
      </c>
      <c r="V9" s="132">
        <f>IF(SER_hh_fech!V9=0,0,SER_hh_fech!V9/SER_summary!V$26)</f>
        <v>409.52083407033331</v>
      </c>
      <c r="W9" s="132">
        <f>IF(SER_hh_fech!W9=0,0,SER_hh_fech!W9/SER_summary!W$26)</f>
        <v>651.93685630512971</v>
      </c>
      <c r="X9" s="132">
        <f>IF(SER_hh_fech!X9=0,0,SER_hh_fech!X9/SER_summary!X$26)</f>
        <v>412.19620210314321</v>
      </c>
      <c r="Y9" s="132">
        <f>IF(SER_hh_fech!Y9=0,0,SER_hh_fech!Y9/SER_summary!Y$26)</f>
        <v>334.63171240750427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230.52343049091462</v>
      </c>
      <c r="C10" s="132">
        <f>IF(SER_hh_fech!C10=0,0,SER_hh_fech!C10/SER_summary!C$26)</f>
        <v>363.52206549685104</v>
      </c>
      <c r="D10" s="132">
        <f>IF(SER_hh_fech!D10=0,0,SER_hh_fech!D10/SER_summary!D$26)</f>
        <v>489.62184726805987</v>
      </c>
      <c r="E10" s="132">
        <f>IF(SER_hh_fech!E10=0,0,SER_hh_fech!E10/SER_summary!E$26)</f>
        <v>315.27660181084087</v>
      </c>
      <c r="F10" s="132">
        <f>IF(SER_hh_fech!F10=0,0,SER_hh_fech!F10/SER_summary!F$26)</f>
        <v>418.48510501176656</v>
      </c>
      <c r="G10" s="132">
        <f>IF(SER_hh_fech!G10=0,0,SER_hh_fech!G10/SER_summary!G$26)</f>
        <v>435.47754057528431</v>
      </c>
      <c r="H10" s="132">
        <f>IF(SER_hh_fech!H10=0,0,SER_hh_fech!H10/SER_summary!H$26)</f>
        <v>221.4383015872335</v>
      </c>
      <c r="I10" s="132">
        <f>IF(SER_hh_fech!I10=0,0,SER_hh_fech!I10/SER_summary!I$26)</f>
        <v>196.9270660296838</v>
      </c>
      <c r="J10" s="132">
        <f>IF(SER_hh_fech!J10=0,0,SER_hh_fech!J10/SER_summary!J$26)</f>
        <v>356.81603445128849</v>
      </c>
      <c r="K10" s="132">
        <f>IF(SER_hh_fech!K10=0,0,SER_hh_fech!K10/SER_summary!K$26)</f>
        <v>538.59014055156604</v>
      </c>
      <c r="L10" s="132">
        <f>IF(SER_hh_fech!L10=0,0,SER_hh_fech!L10/SER_summary!L$26)</f>
        <v>391.14506317756974</v>
      </c>
      <c r="M10" s="132">
        <f>IF(SER_hh_fech!M10=0,0,SER_hh_fech!M10/SER_summary!M$26)</f>
        <v>156.26806733119622</v>
      </c>
      <c r="N10" s="132">
        <f>IF(SER_hh_fech!N10=0,0,SER_hh_fech!N10/SER_summary!N$26)</f>
        <v>282.10037182669777</v>
      </c>
      <c r="O10" s="132">
        <f>IF(SER_hh_fech!O10=0,0,SER_hh_fech!O10/SER_summary!O$26)</f>
        <v>402.52076962665029</v>
      </c>
      <c r="P10" s="132">
        <f>IF(SER_hh_fech!P10=0,0,SER_hh_fech!P10/SER_summary!P$26)</f>
        <v>518.64579963697452</v>
      </c>
      <c r="Q10" s="132">
        <f>IF(SER_hh_fech!Q10=0,0,SER_hh_fech!Q10/SER_summary!Q$26)</f>
        <v>216.91723573310813</v>
      </c>
      <c r="R10" s="132">
        <f>IF(SER_hh_fech!R10=0,0,SER_hh_fech!R10/SER_summary!R$26)</f>
        <v>554.30995790817929</v>
      </c>
      <c r="S10" s="132">
        <f>IF(SER_hh_fech!S10=0,0,SER_hh_fech!S10/SER_summary!S$26)</f>
        <v>44.849706627249837</v>
      </c>
      <c r="T10" s="132">
        <f>IF(SER_hh_fech!T10=0,0,SER_hh_fech!T10/SER_summary!T$26)</f>
        <v>124.55774615296031</v>
      </c>
      <c r="U10" s="132">
        <f>IF(SER_hh_fech!U10=0,0,SER_hh_fech!U10/SER_summary!U$26)</f>
        <v>87.044562392378339</v>
      </c>
      <c r="V10" s="132">
        <f>IF(SER_hh_fech!V10=0,0,SER_hh_fech!V10/SER_summary!V$26)</f>
        <v>285.06925440958526</v>
      </c>
      <c r="W10" s="132">
        <f>IF(SER_hh_fech!W10=0,0,SER_hh_fech!W10/SER_summary!W$26)</f>
        <v>616.17027372671294</v>
      </c>
      <c r="X10" s="132">
        <f>IF(SER_hh_fech!X10=0,0,SER_hh_fech!X10/SER_summary!X$26)</f>
        <v>371.10314209010687</v>
      </c>
      <c r="Y10" s="132">
        <f>IF(SER_hh_fech!Y10=0,0,SER_hh_fech!Y10/SER_summary!Y$26)</f>
        <v>404.71319586606978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0</v>
      </c>
      <c r="F11" s="132">
        <f>IF(SER_hh_fech!F11=0,0,SER_hh_fech!F11/SER_summary!F$26)</f>
        <v>0</v>
      </c>
      <c r="G11" s="132">
        <f>IF(SER_hh_fech!G11=0,0,SER_hh_fech!G11/SER_summary!G$26)</f>
        <v>0</v>
      </c>
      <c r="H11" s="132">
        <f>IF(SER_hh_fech!H11=0,0,SER_hh_fech!H11/SER_summary!H$26)</f>
        <v>0</v>
      </c>
      <c r="I11" s="132">
        <f>IF(SER_hh_fech!I11=0,0,SER_hh_fech!I11/SER_summary!I$26)</f>
        <v>0</v>
      </c>
      <c r="J11" s="132">
        <f>IF(SER_hh_fech!J11=0,0,SER_hh_fech!J11/SER_summary!J$26)</f>
        <v>0</v>
      </c>
      <c r="K11" s="132">
        <f>IF(SER_hh_fech!K11=0,0,SER_hh_fech!K11/SER_summary!K$26)</f>
        <v>0</v>
      </c>
      <c r="L11" s="132">
        <f>IF(SER_hh_fech!L11=0,0,SER_hh_fech!L11/SER_summary!L$26)</f>
        <v>0</v>
      </c>
      <c r="M11" s="132">
        <f>IF(SER_hh_fech!M11=0,0,SER_hh_fech!M11/SER_summary!M$26)</f>
        <v>0</v>
      </c>
      <c r="N11" s="132">
        <f>IF(SER_hh_fech!N11=0,0,SER_hh_fech!N11/SER_summary!N$26)</f>
        <v>0</v>
      </c>
      <c r="O11" s="132">
        <f>IF(SER_hh_fech!O11=0,0,SER_hh_fech!O11/SER_summary!O$26)</f>
        <v>0</v>
      </c>
      <c r="P11" s="132">
        <f>IF(SER_hh_fech!P11=0,0,SER_hh_fech!P11/SER_summary!P$26)</f>
        <v>0</v>
      </c>
      <c r="Q11" s="132">
        <f>IF(SER_hh_fech!Q11=0,0,SER_hh_fech!Q11/SER_summary!Q$26)</f>
        <v>0</v>
      </c>
      <c r="R11" s="132">
        <f>IF(SER_hh_fech!R11=0,0,SER_hh_fech!R11/SER_summary!R$26)</f>
        <v>0</v>
      </c>
      <c r="S11" s="132">
        <f>IF(SER_hh_fech!S11=0,0,SER_hh_fech!S11/SER_summary!S$26)</f>
        <v>0</v>
      </c>
      <c r="T11" s="132">
        <f>IF(SER_hh_fech!T11=0,0,SER_hh_fech!T11/SER_summary!T$26)</f>
        <v>0</v>
      </c>
      <c r="U11" s="132">
        <f>IF(SER_hh_fech!U11=0,0,SER_hh_fech!U11/SER_summary!U$26)</f>
        <v>0</v>
      </c>
      <c r="V11" s="132">
        <f>IF(SER_hh_fech!V11=0,0,SER_hh_fech!V11/SER_summary!V$26)</f>
        <v>0</v>
      </c>
      <c r="W11" s="132">
        <f>IF(SER_hh_fech!W11=0,0,SER_hh_fech!W11/SER_summary!W$26)</f>
        <v>0</v>
      </c>
      <c r="X11" s="132">
        <f>IF(SER_hh_fech!X11=0,0,SER_hh_fech!X11/SER_summary!X$26)</f>
        <v>0</v>
      </c>
      <c r="Y11" s="132">
        <f>IF(SER_hh_fech!Y11=0,0,SER_hh_fech!Y11/SER_summary!Y$26)</f>
        <v>0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275.12212593609411</v>
      </c>
      <c r="C12" s="132">
        <f>IF(SER_hh_fech!C12=0,0,SER_hh_fech!C12/SER_summary!C$26)</f>
        <v>253.09309148246396</v>
      </c>
      <c r="D12" s="132">
        <f>IF(SER_hh_fech!D12=0,0,SER_hh_fech!D12/SER_summary!D$26)</f>
        <v>230.29775841541101</v>
      </c>
      <c r="E12" s="132">
        <f>IF(SER_hh_fech!E12=0,0,SER_hh_fech!E12/SER_summary!E$26)</f>
        <v>369.241429015265</v>
      </c>
      <c r="F12" s="132">
        <f>IF(SER_hh_fech!F12=0,0,SER_hh_fech!F12/SER_summary!F$26)</f>
        <v>314.23589231844085</v>
      </c>
      <c r="G12" s="132">
        <f>IF(SER_hh_fech!G12=0,0,SER_hh_fech!G12/SER_summary!G$26)</f>
        <v>299.29191041387986</v>
      </c>
      <c r="H12" s="132">
        <f>IF(SER_hh_fech!H12=0,0,SER_hh_fech!H12/SER_summary!H$26)</f>
        <v>307.11265623129555</v>
      </c>
      <c r="I12" s="132">
        <f>IF(SER_hh_fech!I12=0,0,SER_hh_fech!I12/SER_summary!I$26)</f>
        <v>261.59262250731604</v>
      </c>
      <c r="J12" s="132">
        <f>IF(SER_hh_fech!J12=0,0,SER_hh_fech!J12/SER_summary!J$26)</f>
        <v>319.19870691191801</v>
      </c>
      <c r="K12" s="132">
        <f>IF(SER_hh_fech!K12=0,0,SER_hh_fech!K12/SER_summary!K$26)</f>
        <v>261.11979515235652</v>
      </c>
      <c r="L12" s="132">
        <f>IF(SER_hh_fech!L12=0,0,SER_hh_fech!L12/SER_summary!L$26)</f>
        <v>303.06309570570238</v>
      </c>
      <c r="M12" s="132">
        <f>IF(SER_hh_fech!M12=0,0,SER_hh_fech!M12/SER_summary!M$26)</f>
        <v>320.09274918965144</v>
      </c>
      <c r="N12" s="132">
        <f>IF(SER_hh_fech!N12=0,0,SER_hh_fech!N12/SER_summary!N$26)</f>
        <v>290.31318654253562</v>
      </c>
      <c r="O12" s="132">
        <f>IF(SER_hh_fech!O12=0,0,SER_hh_fech!O12/SER_summary!O$26)</f>
        <v>318.42595390413095</v>
      </c>
      <c r="P12" s="132">
        <f>IF(SER_hh_fech!P12=0,0,SER_hh_fech!P12/SER_summary!P$26)</f>
        <v>216.56722966236205</v>
      </c>
      <c r="Q12" s="132">
        <f>IF(SER_hh_fech!Q12=0,0,SER_hh_fech!Q12/SER_summary!Q$26)</f>
        <v>270.41473045218487</v>
      </c>
      <c r="R12" s="132">
        <f>IF(SER_hh_fech!R12=0,0,SER_hh_fech!R12/SER_summary!R$26)</f>
        <v>272.88750592861123</v>
      </c>
      <c r="S12" s="132">
        <f>IF(SER_hh_fech!S12=0,0,SER_hh_fech!S12/SER_summary!S$26)</f>
        <v>298.83328875253977</v>
      </c>
      <c r="T12" s="132">
        <f>IF(SER_hh_fech!T12=0,0,SER_hh_fech!T12/SER_summary!T$26)</f>
        <v>305.34878002214316</v>
      </c>
      <c r="U12" s="132">
        <f>IF(SER_hh_fech!U12=0,0,SER_hh_fech!U12/SER_summary!U$26)</f>
        <v>336.31465908205962</v>
      </c>
      <c r="V12" s="132">
        <f>IF(SER_hh_fech!V12=0,0,SER_hh_fech!V12/SER_summary!V$26)</f>
        <v>399.6040200409974</v>
      </c>
      <c r="W12" s="132">
        <f>IF(SER_hh_fech!W12=0,0,SER_hh_fech!W12/SER_summary!W$26)</f>
        <v>392.88124248380893</v>
      </c>
      <c r="X12" s="132">
        <f>IF(SER_hh_fech!X12=0,0,SER_hh_fech!X12/SER_summary!X$26)</f>
        <v>308.55034664951984</v>
      </c>
      <c r="Y12" s="132">
        <f>IF(SER_hh_fech!Y12=0,0,SER_hh_fech!Y12/SER_summary!Y$26)</f>
        <v>273.73907161822109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0</v>
      </c>
      <c r="C13" s="132">
        <f>IF(SER_hh_fech!C13=0,0,SER_hh_fech!C13/SER_summary!C$26)</f>
        <v>0</v>
      </c>
      <c r="D13" s="132">
        <f>IF(SER_hh_fech!D13=0,0,SER_hh_fech!D13/SER_summary!D$26)</f>
        <v>0</v>
      </c>
      <c r="E13" s="132">
        <f>IF(SER_hh_fech!E13=0,0,SER_hh_fech!E13/SER_summary!E$26)</f>
        <v>0</v>
      </c>
      <c r="F13" s="132">
        <f>IF(SER_hh_fech!F13=0,0,SER_hh_fech!F13/SER_summary!F$26)</f>
        <v>0</v>
      </c>
      <c r="G13" s="132">
        <f>IF(SER_hh_fech!G13=0,0,SER_hh_fech!G13/SER_summary!G$26)</f>
        <v>0</v>
      </c>
      <c r="H13" s="132">
        <f>IF(SER_hh_fech!H13=0,0,SER_hh_fech!H13/SER_summary!H$26)</f>
        <v>0</v>
      </c>
      <c r="I13" s="132">
        <f>IF(SER_hh_fech!I13=0,0,SER_hh_fech!I13/SER_summary!I$26)</f>
        <v>0</v>
      </c>
      <c r="J13" s="132">
        <f>IF(SER_hh_fech!J13=0,0,SER_hh_fech!J13/SER_summary!J$26)</f>
        <v>0</v>
      </c>
      <c r="K13" s="132">
        <f>IF(SER_hh_fech!K13=0,0,SER_hh_fech!K13/SER_summary!K$26)</f>
        <v>0</v>
      </c>
      <c r="L13" s="132">
        <f>IF(SER_hh_fech!L13=0,0,SER_hh_fech!L13/SER_summary!L$26)</f>
        <v>0</v>
      </c>
      <c r="M13" s="132">
        <f>IF(SER_hh_fech!M13=0,0,SER_hh_fech!M13/SER_summary!M$26)</f>
        <v>0</v>
      </c>
      <c r="N13" s="132">
        <f>IF(SER_hh_fech!N13=0,0,SER_hh_fech!N13/SER_summary!N$26)</f>
        <v>0</v>
      </c>
      <c r="O13" s="132">
        <f>IF(SER_hh_fech!O13=0,0,SER_hh_fech!O13/SER_summary!O$26)</f>
        <v>0</v>
      </c>
      <c r="P13" s="132">
        <f>IF(SER_hh_fech!P13=0,0,SER_hh_fech!P13/SER_summary!P$26)</f>
        <v>0</v>
      </c>
      <c r="Q13" s="132">
        <f>IF(SER_hh_fech!Q13=0,0,SER_hh_fech!Q13/SER_summary!Q$26)</f>
        <v>0</v>
      </c>
      <c r="R13" s="132">
        <f>IF(SER_hh_fech!R13=0,0,SER_hh_fech!R13/SER_summary!R$26)</f>
        <v>0</v>
      </c>
      <c r="S13" s="132">
        <f>IF(SER_hh_fech!S13=0,0,SER_hh_fech!S13/SER_summary!S$26)</f>
        <v>0</v>
      </c>
      <c r="T13" s="132">
        <f>IF(SER_hh_fech!T13=0,0,SER_hh_fech!T13/SER_summary!T$26)</f>
        <v>0</v>
      </c>
      <c r="U13" s="132">
        <f>IF(SER_hh_fech!U13=0,0,SER_hh_fech!U13/SER_summary!U$26)</f>
        <v>0</v>
      </c>
      <c r="V13" s="132">
        <f>IF(SER_hh_fech!V13=0,0,SER_hh_fech!V13/SER_summary!V$26)</f>
        <v>0</v>
      </c>
      <c r="W13" s="132">
        <f>IF(SER_hh_fech!W13=0,0,SER_hh_fech!W13/SER_summary!W$26)</f>
        <v>0</v>
      </c>
      <c r="X13" s="132">
        <f>IF(SER_hh_fech!X13=0,0,SER_hh_fech!X13/SER_summary!X$26)</f>
        <v>0</v>
      </c>
      <c r="Y13" s="132">
        <f>IF(SER_hh_fech!Y13=0,0,SER_hh_fech!Y13/SER_summary!Y$26)</f>
        <v>0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285.89758302830836</v>
      </c>
      <c r="C14" s="65">
        <f>IF(SER_hh_fech!C14=0,0,SER_hh_fech!C14/SER_summary!C$26)</f>
        <v>419.48571643994495</v>
      </c>
      <c r="D14" s="65">
        <f>IF(SER_hh_fech!D14=0,0,SER_hh_fech!D14/SER_summary!D$26)</f>
        <v>280.29105045949439</v>
      </c>
      <c r="E14" s="65">
        <f>IF(SER_hh_fech!E14=0,0,SER_hh_fech!E14/SER_summary!E$26)</f>
        <v>354.86481551849675</v>
      </c>
      <c r="F14" s="65">
        <f>IF(SER_hh_fech!F14=0,0,SER_hh_fech!F14/SER_summary!F$26)</f>
        <v>291.28094292334328</v>
      </c>
      <c r="G14" s="65">
        <f>IF(SER_hh_fech!G14=0,0,SER_hh_fech!G14/SER_summary!G$26)</f>
        <v>335.50223885759414</v>
      </c>
      <c r="H14" s="65">
        <f>IF(SER_hh_fech!H14=0,0,SER_hh_fech!H14/SER_summary!H$26)</f>
        <v>295.85780585595791</v>
      </c>
      <c r="I14" s="65">
        <f>IF(SER_hh_fech!I14=0,0,SER_hh_fech!I14/SER_summary!I$26)</f>
        <v>391.73131760991208</v>
      </c>
      <c r="J14" s="65">
        <f>IF(SER_hh_fech!J14=0,0,SER_hh_fech!J14/SER_summary!J$26)</f>
        <v>348.25774662255321</v>
      </c>
      <c r="K14" s="65">
        <f>IF(SER_hh_fech!K14=0,0,SER_hh_fech!K14/SER_summary!K$26)</f>
        <v>318.4817528617337</v>
      </c>
      <c r="L14" s="65">
        <f>IF(SER_hh_fech!L14=0,0,SER_hh_fech!L14/SER_summary!L$26)</f>
        <v>333.59480175770483</v>
      </c>
      <c r="M14" s="65">
        <f>IF(SER_hh_fech!M14=0,0,SER_hh_fech!M14/SER_summary!M$26)</f>
        <v>287.83613570527712</v>
      </c>
      <c r="N14" s="65">
        <f>IF(SER_hh_fech!N14=0,0,SER_hh_fech!N14/SER_summary!N$26)</f>
        <v>307.85466364339999</v>
      </c>
      <c r="O14" s="65">
        <f>IF(SER_hh_fech!O14=0,0,SER_hh_fech!O14/SER_summary!O$26)</f>
        <v>318.32841821289594</v>
      </c>
      <c r="P14" s="65">
        <f>IF(SER_hh_fech!P14=0,0,SER_hh_fech!P14/SER_summary!P$26)</f>
        <v>282.82725992599057</v>
      </c>
      <c r="Q14" s="65">
        <f>IF(SER_hh_fech!Q14=0,0,SER_hh_fech!Q14/SER_summary!Q$26)</f>
        <v>285.74950876514015</v>
      </c>
      <c r="R14" s="65">
        <f>IF(SER_hh_fech!R14=0,0,SER_hh_fech!R14/SER_summary!R$26)</f>
        <v>221.71292713434386</v>
      </c>
      <c r="S14" s="65">
        <f>IF(SER_hh_fech!S14=0,0,SER_hh_fech!S14/SER_summary!S$26)</f>
        <v>413.86340945801641</v>
      </c>
      <c r="T14" s="65">
        <f>IF(SER_hh_fech!T14=0,0,SER_hh_fech!T14/SER_summary!T$26)</f>
        <v>360.72439984624236</v>
      </c>
      <c r="U14" s="65">
        <f>IF(SER_hh_fech!U14=0,0,SER_hh_fech!U14/SER_summary!U$26)</f>
        <v>422.57674031405082</v>
      </c>
      <c r="V14" s="65">
        <f>IF(SER_hh_fech!V14=0,0,SER_hh_fech!V14/SER_summary!V$26)</f>
        <v>392.7621485387005</v>
      </c>
      <c r="W14" s="65">
        <f>IF(SER_hh_fech!W14=0,0,SER_hh_fech!W14/SER_summary!W$26)</f>
        <v>500.68894620812688</v>
      </c>
      <c r="X14" s="65">
        <f>IF(SER_hh_fech!X14=0,0,SER_hh_fech!X14/SER_summary!X$26)</f>
        <v>260.54817660643801</v>
      </c>
      <c r="Y14" s="65">
        <f>IF(SER_hh_fech!Y14=0,0,SER_hh_fech!Y14/SER_summary!Y$26)</f>
        <v>322.61844711028328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4.7063187402778421</v>
      </c>
      <c r="C15" s="134">
        <f>IF(SER_hh_fech!C15=0,0,SER_hh_fech!C15/SER_summary!C$26)</f>
        <v>3.8708861422946201</v>
      </c>
      <c r="D15" s="134">
        <f>IF(SER_hh_fech!D15=0,0,SER_hh_fech!D15/SER_summary!D$26)</f>
        <v>3.6638014934415519</v>
      </c>
      <c r="E15" s="134">
        <f>IF(SER_hh_fech!E15=0,0,SER_hh_fech!E15/SER_summary!E$26)</f>
        <v>3.7558050864212582</v>
      </c>
      <c r="F15" s="134">
        <f>IF(SER_hh_fech!F15=0,0,SER_hh_fech!F15/SER_summary!F$26)</f>
        <v>3.3380645293024758</v>
      </c>
      <c r="G15" s="134">
        <f>IF(SER_hh_fech!G15=0,0,SER_hh_fech!G15/SER_summary!G$26)</f>
        <v>2.959776087029852</v>
      </c>
      <c r="H15" s="134">
        <f>IF(SER_hh_fech!H15=0,0,SER_hh_fech!H15/SER_summary!H$26)</f>
        <v>3.0594802249047506</v>
      </c>
      <c r="I15" s="134">
        <f>IF(SER_hh_fech!I15=0,0,SER_hh_fech!I15/SER_summary!I$26)</f>
        <v>2.6999872164778331</v>
      </c>
      <c r="J15" s="134">
        <f>IF(SER_hh_fech!J15=0,0,SER_hh_fech!J15/SER_summary!J$26)</f>
        <v>3.1179901416396629</v>
      </c>
      <c r="K15" s="134">
        <f>IF(SER_hh_fech!K15=0,0,SER_hh_fech!K15/SER_summary!K$26)</f>
        <v>3.0458995521843599</v>
      </c>
      <c r="L15" s="134">
        <f>IF(SER_hh_fech!L15=0,0,SER_hh_fech!L15/SER_summary!L$26)</f>
        <v>3.746211595250371</v>
      </c>
      <c r="M15" s="134">
        <f>IF(SER_hh_fech!M15=0,0,SER_hh_fech!M15/SER_summary!M$26)</f>
        <v>2.0678754370106098</v>
      </c>
      <c r="N15" s="134">
        <f>IF(SER_hh_fech!N15=0,0,SER_hh_fech!N15/SER_summary!N$26)</f>
        <v>2.8543438882264387</v>
      </c>
      <c r="O15" s="134">
        <f>IF(SER_hh_fech!O15=0,0,SER_hh_fech!O15/SER_summary!O$26)</f>
        <v>2.9994995312269177</v>
      </c>
      <c r="P15" s="134">
        <f>IF(SER_hh_fech!P15=0,0,SER_hh_fech!P15/SER_summary!P$26)</f>
        <v>2.3519231991096619</v>
      </c>
      <c r="Q15" s="134">
        <f>IF(SER_hh_fech!Q15=0,0,SER_hh_fech!Q15/SER_summary!Q$26)</f>
        <v>2.9251819005895188</v>
      </c>
      <c r="R15" s="134">
        <f>IF(SER_hh_fech!R15=0,0,SER_hh_fech!R15/SER_summary!R$26)</f>
        <v>3.082503718350909</v>
      </c>
      <c r="S15" s="134">
        <f>IF(SER_hh_fech!S15=0,0,SER_hh_fech!S15/SER_summary!S$26)</f>
        <v>3.1848853888101005</v>
      </c>
      <c r="T15" s="134">
        <f>IF(SER_hh_fech!T15=0,0,SER_hh_fech!T15/SER_summary!T$26)</f>
        <v>3.3493139465687727</v>
      </c>
      <c r="U15" s="134">
        <f>IF(SER_hh_fech!U15=0,0,SER_hh_fech!U15/SER_summary!U$26)</f>
        <v>3.8463763444612495</v>
      </c>
      <c r="V15" s="134">
        <f>IF(SER_hh_fech!V15=0,0,SER_hh_fech!V15/SER_summary!V$26)</f>
        <v>3.2738775886757181</v>
      </c>
      <c r="W15" s="134">
        <f>IF(SER_hh_fech!W15=0,0,SER_hh_fech!W15/SER_summary!W$26)</f>
        <v>3.6506140138087879</v>
      </c>
      <c r="X15" s="134">
        <f>IF(SER_hh_fech!X15=0,0,SER_hh_fech!X15/SER_summary!X$26)</f>
        <v>2.6513995241297299</v>
      </c>
      <c r="Y15" s="134">
        <f>IF(SER_hh_fech!Y15=0,0,SER_hh_fech!Y15/SER_summary!Y$26)</f>
        <v>2.4638982519058921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20.62024847982758</v>
      </c>
      <c r="C16" s="130">
        <f>IF(SER_hh_fech!C16=0,0,SER_hh_fech!C16/SER_summary!C$26)</f>
        <v>19.471662839845845</v>
      </c>
      <c r="D16" s="130">
        <f>IF(SER_hh_fech!D16=0,0,SER_hh_fech!D16/SER_summary!D$26)</f>
        <v>18.445934272222377</v>
      </c>
      <c r="E16" s="130">
        <f>IF(SER_hh_fech!E16=0,0,SER_hh_fech!E16/SER_summary!E$26)</f>
        <v>22.509836770352656</v>
      </c>
      <c r="F16" s="130">
        <f>IF(SER_hh_fech!F16=0,0,SER_hh_fech!F16/SER_summary!F$26)</f>
        <v>16.39311371863365</v>
      </c>
      <c r="G16" s="130">
        <f>IF(SER_hh_fech!G16=0,0,SER_hh_fech!G16/SER_summary!G$26)</f>
        <v>15.985602078538056</v>
      </c>
      <c r="H16" s="130">
        <f>IF(SER_hh_fech!H16=0,0,SER_hh_fech!H16/SER_summary!H$26)</f>
        <v>18.018963102006598</v>
      </c>
      <c r="I16" s="130">
        <f>IF(SER_hh_fech!I16=0,0,SER_hh_fech!I16/SER_summary!I$26)</f>
        <v>14.330944872790651</v>
      </c>
      <c r="J16" s="130">
        <f>IF(SER_hh_fech!J16=0,0,SER_hh_fech!J16/SER_summary!J$26)</f>
        <v>13.713697237076611</v>
      </c>
      <c r="K16" s="130">
        <f>IF(SER_hh_fech!K16=0,0,SER_hh_fech!K16/SER_summary!K$26)</f>
        <v>13.554394997482234</v>
      </c>
      <c r="L16" s="130">
        <f>IF(SER_hh_fech!L16=0,0,SER_hh_fech!L16/SER_summary!L$26)</f>
        <v>14.111618473093323</v>
      </c>
      <c r="M16" s="130">
        <f>IF(SER_hh_fech!M16=0,0,SER_hh_fech!M16/SER_summary!M$26)</f>
        <v>12.754480766630067</v>
      </c>
      <c r="N16" s="130">
        <f>IF(SER_hh_fech!N16=0,0,SER_hh_fech!N16/SER_summary!N$26)</f>
        <v>12.684575099105937</v>
      </c>
      <c r="O16" s="130">
        <f>IF(SER_hh_fech!O16=0,0,SER_hh_fech!O16/SER_summary!O$26)</f>
        <v>12.541726687012485</v>
      </c>
      <c r="P16" s="130">
        <f>IF(SER_hh_fech!P16=0,0,SER_hh_fech!P16/SER_summary!P$26)</f>
        <v>11.685760040605899</v>
      </c>
      <c r="Q16" s="130">
        <f>IF(SER_hh_fech!Q16=0,0,SER_hh_fech!Q16/SER_summary!Q$26)</f>
        <v>12.785316005938283</v>
      </c>
      <c r="R16" s="130">
        <f>IF(SER_hh_fech!R16=0,0,SER_hh_fech!R16/SER_summary!R$26)</f>
        <v>11.351998885741606</v>
      </c>
      <c r="S16" s="130">
        <f>IF(SER_hh_fech!S16=0,0,SER_hh_fech!S16/SER_summary!S$26)</f>
        <v>10.996102305724946</v>
      </c>
      <c r="T16" s="130">
        <f>IF(SER_hh_fech!T16=0,0,SER_hh_fech!T16/SER_summary!T$26)</f>
        <v>11.988166207571668</v>
      </c>
      <c r="U16" s="130">
        <f>IF(SER_hh_fech!U16=0,0,SER_hh_fech!U16/SER_summary!U$26)</f>
        <v>11.78052217124155</v>
      </c>
      <c r="V16" s="130">
        <f>IF(SER_hh_fech!V16=0,0,SER_hh_fech!V16/SER_summary!V$26)</f>
        <v>11.377179003673035</v>
      </c>
      <c r="W16" s="130">
        <f>IF(SER_hh_fech!W16=0,0,SER_hh_fech!W16/SER_summary!W$26)</f>
        <v>9.78776647174268</v>
      </c>
      <c r="X16" s="130">
        <f>IF(SER_hh_fech!X16=0,0,SER_hh_fech!X16/SER_summary!X$26)</f>
        <v>10.133656078285075</v>
      </c>
      <c r="Y16" s="130">
        <f>IF(SER_hh_fech!Y16=0,0,SER_hh_fech!Y16/SER_summary!Y$26)</f>
        <v>9.5658951296878332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34.635695367143548</v>
      </c>
      <c r="C17" s="132">
        <f>IF(SER_hh_fech!C17=0,0,SER_hh_fech!C17/SER_summary!C$26)</f>
        <v>34.180884987065994</v>
      </c>
      <c r="D17" s="132">
        <f>IF(SER_hh_fech!D17=0,0,SER_hh_fech!D17/SER_summary!D$26)</f>
        <v>33.594171349914035</v>
      </c>
      <c r="E17" s="132">
        <f>IF(SER_hh_fech!E17=0,0,SER_hh_fech!E17/SER_summary!E$26)</f>
        <v>42.894245473324638</v>
      </c>
      <c r="F17" s="132">
        <f>IF(SER_hh_fech!F17=0,0,SER_hh_fech!F17/SER_summary!F$26)</f>
        <v>31.60701496151955</v>
      </c>
      <c r="G17" s="132">
        <f>IF(SER_hh_fech!G17=0,0,SER_hh_fech!G17/SER_summary!G$26)</f>
        <v>32.281056444678256</v>
      </c>
      <c r="H17" s="132">
        <f>IF(SER_hh_fech!H17=0,0,SER_hh_fech!H17/SER_summary!H$26)</f>
        <v>37.517544833022946</v>
      </c>
      <c r="I17" s="132">
        <f>IF(SER_hh_fech!I17=0,0,SER_hh_fech!I17/SER_summary!I$26)</f>
        <v>30.598110111683379</v>
      </c>
      <c r="J17" s="132">
        <f>IF(SER_hh_fech!J17=0,0,SER_hh_fech!J17/SER_summary!J$26)</f>
        <v>30.284667686986346</v>
      </c>
      <c r="K17" s="132">
        <f>IF(SER_hh_fech!K17=0,0,SER_hh_fech!K17/SER_summary!K$26)</f>
        <v>35.708217919947792</v>
      </c>
      <c r="L17" s="132">
        <f>IF(SER_hh_fech!L17=0,0,SER_hh_fech!L17/SER_summary!L$26)</f>
        <v>32.244084459612921</v>
      </c>
      <c r="M17" s="132">
        <f>IF(SER_hh_fech!M17=0,0,SER_hh_fech!M17/SER_summary!M$26)</f>
        <v>29.776770035361153</v>
      </c>
      <c r="N17" s="132">
        <f>IF(SER_hh_fech!N17=0,0,SER_hh_fech!N17/SER_summary!N$26)</f>
        <v>30.243927447193489</v>
      </c>
      <c r="O17" s="132">
        <f>IF(SER_hh_fech!O17=0,0,SER_hh_fech!O17/SER_summary!O$26)</f>
        <v>30.284460293840276</v>
      </c>
      <c r="P17" s="132">
        <f>IF(SER_hh_fech!P17=0,0,SER_hh_fech!P17/SER_summary!P$26)</f>
        <v>28.402963149532347</v>
      </c>
      <c r="Q17" s="132">
        <f>IF(SER_hh_fech!Q17=0,0,SER_hh_fech!Q17/SER_summary!Q$26)</f>
        <v>31.695828723264054</v>
      </c>
      <c r="R17" s="132">
        <f>IF(SER_hh_fech!R17=0,0,SER_hh_fech!R17/SER_summary!R$26)</f>
        <v>28.255164634639588</v>
      </c>
      <c r="S17" s="132">
        <f>IF(SER_hh_fech!S17=0,0,SER_hh_fech!S17/SER_summary!S$26)</f>
        <v>28.775623986495663</v>
      </c>
      <c r="T17" s="132">
        <f>IF(SER_hh_fech!T17=0,0,SER_hh_fech!T17/SER_summary!T$26)</f>
        <v>31.109256164196626</v>
      </c>
      <c r="U17" s="132">
        <f>IF(SER_hh_fech!U17=0,0,SER_hh_fech!U17/SER_summary!U$26)</f>
        <v>30.872215280071025</v>
      </c>
      <c r="V17" s="132">
        <f>IF(SER_hh_fech!V17=0,0,SER_hh_fech!V17/SER_summary!V$26)</f>
        <v>30.546854620342963</v>
      </c>
      <c r="W17" s="132">
        <f>IF(SER_hh_fech!W17=0,0,SER_hh_fech!W17/SER_summary!W$26)</f>
        <v>29.933298562587183</v>
      </c>
      <c r="X17" s="132">
        <f>IF(SER_hh_fech!X17=0,0,SER_hh_fech!X17/SER_summary!X$26)</f>
        <v>26.740792228268457</v>
      </c>
      <c r="Y17" s="132">
        <f>IF(SER_hh_fech!Y17=0,0,SER_hh_fech!Y17/SER_summary!Y$26)</f>
        <v>25.367664928197765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20.566606166138452</v>
      </c>
      <c r="C18" s="132">
        <f>IF(SER_hh_fech!C18=0,0,SER_hh_fech!C18/SER_summary!C$26)</f>
        <v>19.409990537675522</v>
      </c>
      <c r="D18" s="132">
        <f>IF(SER_hh_fech!D18=0,0,SER_hh_fech!D18/SER_summary!D$26)</f>
        <v>18.367312783557857</v>
      </c>
      <c r="E18" s="132">
        <f>IF(SER_hh_fech!E18=0,0,SER_hh_fech!E18/SER_summary!E$26)</f>
        <v>22.436913960401068</v>
      </c>
      <c r="F18" s="132">
        <f>IF(SER_hh_fech!F18=0,0,SER_hh_fech!F18/SER_summary!F$26)</f>
        <v>16.295248241362422</v>
      </c>
      <c r="G18" s="132">
        <f>IF(SER_hh_fech!G18=0,0,SER_hh_fech!G18/SER_summary!G$26)</f>
        <v>15.888240681741324</v>
      </c>
      <c r="H18" s="132">
        <f>IF(SER_hh_fech!H18=0,0,SER_hh_fech!H18/SER_summary!H$26)</f>
        <v>17.895782834949362</v>
      </c>
      <c r="I18" s="132">
        <f>IF(SER_hh_fech!I18=0,0,SER_hh_fech!I18/SER_summary!I$26)</f>
        <v>14.198984661226445</v>
      </c>
      <c r="J18" s="132">
        <f>IF(SER_hh_fech!J18=0,0,SER_hh_fech!J18/SER_summary!J$26)</f>
        <v>13.579178578673732</v>
      </c>
      <c r="K18" s="132">
        <f>IF(SER_hh_fech!K18=0,0,SER_hh_fech!K18/SER_summary!K$26)</f>
        <v>13.3660279406719</v>
      </c>
      <c r="L18" s="132">
        <f>IF(SER_hh_fech!L18=0,0,SER_hh_fech!L18/SER_summary!L$26)</f>
        <v>13.955936737212641</v>
      </c>
      <c r="M18" s="132">
        <f>IF(SER_hh_fech!M18=0,0,SER_hh_fech!M18/SER_summary!M$26)</f>
        <v>12.595901990220167</v>
      </c>
      <c r="N18" s="132">
        <f>IF(SER_hh_fech!N18=0,0,SER_hh_fech!N18/SER_summary!N$26)</f>
        <v>12.511574246863288</v>
      </c>
      <c r="O18" s="132">
        <f>IF(SER_hh_fech!O18=0,0,SER_hh_fech!O18/SER_summary!O$26)</f>
        <v>12.336702299455688</v>
      </c>
      <c r="P18" s="132">
        <f>IF(SER_hh_fech!P18=0,0,SER_hh_fech!P18/SER_summary!P$26)</f>
        <v>11.425575722843689</v>
      </c>
      <c r="Q18" s="132">
        <f>IF(SER_hh_fech!Q18=0,0,SER_hh_fech!Q18/SER_summary!Q$26)</f>
        <v>12.436934851804404</v>
      </c>
      <c r="R18" s="132">
        <f>IF(SER_hh_fech!R18=0,0,SER_hh_fech!R18/SER_summary!R$26)</f>
        <v>10.918390837037149</v>
      </c>
      <c r="S18" s="132">
        <f>IF(SER_hh_fech!S18=0,0,SER_hh_fech!S18/SER_summary!S$26)</f>
        <v>10.480420166575485</v>
      </c>
      <c r="T18" s="132">
        <f>IF(SER_hh_fech!T18=0,0,SER_hh_fech!T18/SER_summary!T$26)</f>
        <v>11.428604965278387</v>
      </c>
      <c r="U18" s="132">
        <f>IF(SER_hh_fech!U18=0,0,SER_hh_fech!U18/SER_summary!U$26)</f>
        <v>11.175425611325455</v>
      </c>
      <c r="V18" s="132">
        <f>IF(SER_hh_fech!V18=0,0,SER_hh_fech!V18/SER_summary!V$26)</f>
        <v>10.728767550194911</v>
      </c>
      <c r="W18" s="132">
        <f>IF(SER_hh_fech!W18=0,0,SER_hh_fech!W18/SER_summary!W$26)</f>
        <v>9.0622087498535997</v>
      </c>
      <c r="X18" s="132">
        <f>IF(SER_hh_fech!X18=0,0,SER_hh_fech!X18/SER_summary!X$26)</f>
        <v>9.5200271364438311</v>
      </c>
      <c r="Y18" s="132">
        <f>IF(SER_hh_fech!Y18=0,0,SER_hh_fech!Y18/SER_summary!Y$26)</f>
        <v>8.9749935465654911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51.322112490162844</v>
      </c>
      <c r="C19" s="130">
        <f>IF(SER_hh_fech!C19=0,0,SER_hh_fech!C19/SER_summary!C$26)</f>
        <v>51.689075900829693</v>
      </c>
      <c r="D19" s="130">
        <f>IF(SER_hh_fech!D19=0,0,SER_hh_fech!D19/SER_summary!D$26)</f>
        <v>50.818881436879735</v>
      </c>
      <c r="E19" s="130">
        <f>IF(SER_hh_fech!E19=0,0,SER_hh_fech!E19/SER_summary!E$26)</f>
        <v>49.707104505614474</v>
      </c>
      <c r="F19" s="130">
        <f>IF(SER_hh_fech!F19=0,0,SER_hh_fech!F19/SER_summary!F$26)</f>
        <v>48.67198176762448</v>
      </c>
      <c r="G19" s="130">
        <f>IF(SER_hh_fech!G19=0,0,SER_hh_fech!G19/SER_summary!G$26)</f>
        <v>48.233912268972105</v>
      </c>
      <c r="H19" s="130">
        <f>IF(SER_hh_fech!H19=0,0,SER_hh_fech!H19/SER_summary!H$26)</f>
        <v>46.985452722435646</v>
      </c>
      <c r="I19" s="130">
        <f>IF(SER_hh_fech!I19=0,0,SER_hh_fech!I19/SER_summary!I$26)</f>
        <v>47.005101645008828</v>
      </c>
      <c r="J19" s="130">
        <f>IF(SER_hh_fech!J19=0,0,SER_hh_fech!J19/SER_summary!J$26)</f>
        <v>46.99921330895021</v>
      </c>
      <c r="K19" s="130">
        <f>IF(SER_hh_fech!K19=0,0,SER_hh_fech!K19/SER_summary!K$26)</f>
        <v>47.015673015132833</v>
      </c>
      <c r="L19" s="130">
        <f>IF(SER_hh_fech!L19=0,0,SER_hh_fech!L19/SER_summary!L$26)</f>
        <v>47.592144840213614</v>
      </c>
      <c r="M19" s="130">
        <f>IF(SER_hh_fech!M19=0,0,SER_hh_fech!M19/SER_summary!M$26)</f>
        <v>45.56792389799957</v>
      </c>
      <c r="N19" s="130">
        <f>IF(SER_hh_fech!N19=0,0,SER_hh_fech!N19/SER_summary!N$26)</f>
        <v>45.827412384386051</v>
      </c>
      <c r="O19" s="130">
        <f>IF(SER_hh_fech!O19=0,0,SER_hh_fech!O19/SER_summary!O$26)</f>
        <v>45.827976227210236</v>
      </c>
      <c r="P19" s="130">
        <f>IF(SER_hh_fech!P19=0,0,SER_hh_fech!P19/SER_summary!P$26)</f>
        <v>46.61137765602372</v>
      </c>
      <c r="Q19" s="130">
        <f>IF(SER_hh_fech!Q19=0,0,SER_hh_fech!Q19/SER_summary!Q$26)</f>
        <v>46.659525283746291</v>
      </c>
      <c r="R19" s="130">
        <f>IF(SER_hh_fech!R19=0,0,SER_hh_fech!R19/SER_summary!R$26)</f>
        <v>45.527101172185482</v>
      </c>
      <c r="S19" s="130">
        <f>IF(SER_hh_fech!S19=0,0,SER_hh_fech!S19/SER_summary!S$26)</f>
        <v>45.941125073239547</v>
      </c>
      <c r="T19" s="130">
        <f>IF(SER_hh_fech!T19=0,0,SER_hh_fech!T19/SER_summary!T$26)</f>
        <v>45.340458049757025</v>
      </c>
      <c r="U19" s="130">
        <f>IF(SER_hh_fech!U19=0,0,SER_hh_fech!U19/SER_summary!U$26)</f>
        <v>44.595758536257044</v>
      </c>
      <c r="V19" s="130">
        <f>IF(SER_hh_fech!V19=0,0,SER_hh_fech!V19/SER_summary!V$26)</f>
        <v>38.750757602362249</v>
      </c>
      <c r="W19" s="130">
        <f>IF(SER_hh_fech!W19=0,0,SER_hh_fech!W19/SER_summary!W$26)</f>
        <v>40.669447892464284</v>
      </c>
      <c r="X19" s="130">
        <f>IF(SER_hh_fech!X19=0,0,SER_hh_fech!X19/SER_summary!X$26)</f>
        <v>41.484838374019958</v>
      </c>
      <c r="Y19" s="130">
        <f>IF(SER_hh_fech!Y19=0,0,SER_hh_fech!Y19/SER_summary!Y$26)</f>
        <v>41.727698287008813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0</v>
      </c>
      <c r="C21" s="132">
        <f>IF(SER_hh_fech!C21=0,0,SER_hh_fech!C21/SER_summary!C$26)</f>
        <v>0</v>
      </c>
      <c r="D21" s="132">
        <f>IF(SER_hh_fech!D21=0,0,SER_hh_fech!D21/SER_summary!D$26)</f>
        <v>0</v>
      </c>
      <c r="E21" s="132">
        <f>IF(SER_hh_fech!E21=0,0,SER_hh_fech!E21/SER_summary!E$26)</f>
        <v>0</v>
      </c>
      <c r="F21" s="132">
        <f>IF(SER_hh_fech!F21=0,0,SER_hh_fech!F21/SER_summary!F$26)</f>
        <v>0</v>
      </c>
      <c r="G21" s="132">
        <f>IF(SER_hh_fech!G21=0,0,SER_hh_fech!G21/SER_summary!G$26)</f>
        <v>0</v>
      </c>
      <c r="H21" s="132">
        <f>IF(SER_hh_fech!H21=0,0,SER_hh_fech!H21/SER_summary!H$26)</f>
        <v>0</v>
      </c>
      <c r="I21" s="132">
        <f>IF(SER_hh_fech!I21=0,0,SER_hh_fech!I21/SER_summary!I$26)</f>
        <v>0</v>
      </c>
      <c r="J21" s="132">
        <f>IF(SER_hh_fech!J21=0,0,SER_hh_fech!J21/SER_summary!J$26)</f>
        <v>0</v>
      </c>
      <c r="K21" s="132">
        <f>IF(SER_hh_fech!K21=0,0,SER_hh_fech!K21/SER_summary!K$26)</f>
        <v>0</v>
      </c>
      <c r="L21" s="132">
        <f>IF(SER_hh_fech!L21=0,0,SER_hh_fech!L21/SER_summary!L$26)</f>
        <v>0</v>
      </c>
      <c r="M21" s="132">
        <f>IF(SER_hh_fech!M21=0,0,SER_hh_fech!M21/SER_summary!M$26)</f>
        <v>0</v>
      </c>
      <c r="N21" s="132">
        <f>IF(SER_hh_fech!N21=0,0,SER_hh_fech!N21/SER_summary!N$26)</f>
        <v>0</v>
      </c>
      <c r="O21" s="132">
        <f>IF(SER_hh_fech!O21=0,0,SER_hh_fech!O21/SER_summary!O$26)</f>
        <v>0</v>
      </c>
      <c r="P21" s="132">
        <f>IF(SER_hh_fech!P21=0,0,SER_hh_fech!P21/SER_summary!P$26)</f>
        <v>0</v>
      </c>
      <c r="Q21" s="132">
        <f>IF(SER_hh_fech!Q21=0,0,SER_hh_fech!Q21/SER_summary!Q$26)</f>
        <v>0</v>
      </c>
      <c r="R21" s="132">
        <f>IF(SER_hh_fech!R21=0,0,SER_hh_fech!R21/SER_summary!R$26)</f>
        <v>0</v>
      </c>
      <c r="S21" s="132">
        <f>IF(SER_hh_fech!S21=0,0,SER_hh_fech!S21/SER_summary!S$26)</f>
        <v>0</v>
      </c>
      <c r="T21" s="132">
        <f>IF(SER_hh_fech!T21=0,0,SER_hh_fech!T21/SER_summary!T$26)</f>
        <v>0</v>
      </c>
      <c r="U21" s="132">
        <f>IF(SER_hh_fech!U21=0,0,SER_hh_fech!U21/SER_summary!U$26)</f>
        <v>0</v>
      </c>
      <c r="V21" s="132">
        <f>IF(SER_hh_fech!V21=0,0,SER_hh_fech!V21/SER_summary!V$26)</f>
        <v>0</v>
      </c>
      <c r="W21" s="132">
        <f>IF(SER_hh_fech!W21=0,0,SER_hh_fech!W21/SER_summary!W$26)</f>
        <v>0</v>
      </c>
      <c r="X21" s="132">
        <f>IF(SER_hh_fech!X21=0,0,SER_hh_fech!X21/SER_summary!X$26)</f>
        <v>0</v>
      </c>
      <c r="Y21" s="132">
        <f>IF(SER_hh_fech!Y21=0,0,SER_hh_fech!Y21/SER_summary!Y$26)</f>
        <v>0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60.888494901971193</v>
      </c>
      <c r="C22" s="132">
        <f>IF(SER_hh_fech!C22=0,0,SER_hh_fech!C22/SER_summary!C$26)</f>
        <v>60.104428550990981</v>
      </c>
      <c r="D22" s="132">
        <f>IF(SER_hh_fech!D22=0,0,SER_hh_fech!D22/SER_summary!D$26)</f>
        <v>60.863447201482032</v>
      </c>
      <c r="E22" s="132">
        <f>IF(SER_hh_fech!E22=0,0,SER_hh_fech!E22/SER_summary!E$26)</f>
        <v>60.562959402989861</v>
      </c>
      <c r="F22" s="132">
        <f>IF(SER_hh_fech!F22=0,0,SER_hh_fech!F22/SER_summary!F$26)</f>
        <v>61.988853598395728</v>
      </c>
      <c r="G22" s="132">
        <f>IF(SER_hh_fech!G22=0,0,SER_hh_fech!G22/SER_summary!G$26)</f>
        <v>64.623358805456178</v>
      </c>
      <c r="H22" s="132">
        <f>IF(SER_hh_fech!H22=0,0,SER_hh_fech!H22/SER_summary!H$26)</f>
        <v>53.589669810407436</v>
      </c>
      <c r="I22" s="132">
        <f>IF(SER_hh_fech!I22=0,0,SER_hh_fech!I22/SER_summary!I$26)</f>
        <v>58.737530057208154</v>
      </c>
      <c r="J22" s="132">
        <f>IF(SER_hh_fech!J22=0,0,SER_hh_fech!J22/SER_summary!J$26)</f>
        <v>48.430690146878469</v>
      </c>
      <c r="K22" s="132">
        <f>IF(SER_hh_fech!K22=0,0,SER_hh_fech!K22/SER_summary!K$26)</f>
        <v>51.564956164690564</v>
      </c>
      <c r="L22" s="132">
        <f>IF(SER_hh_fech!L22=0,0,SER_hh_fech!L22/SER_summary!L$26)</f>
        <v>69.076603738726632</v>
      </c>
      <c r="M22" s="132">
        <f>IF(SER_hh_fech!M22=0,0,SER_hh_fech!M22/SER_summary!M$26)</f>
        <v>45.657309601033674</v>
      </c>
      <c r="N22" s="132">
        <f>IF(SER_hh_fech!N22=0,0,SER_hh_fech!N22/SER_summary!N$26)</f>
        <v>59.547666488217388</v>
      </c>
      <c r="O22" s="132">
        <f>IF(SER_hh_fech!O22=0,0,SER_hh_fech!O22/SER_summary!O$26)</f>
        <v>55.345779025037011</v>
      </c>
      <c r="P22" s="132">
        <f>IF(SER_hh_fech!P22=0,0,SER_hh_fech!P22/SER_summary!P$26)</f>
        <v>56.136489068086213</v>
      </c>
      <c r="Q22" s="132">
        <f>IF(SER_hh_fech!Q22=0,0,SER_hh_fech!Q22/SER_summary!Q$26)</f>
        <v>51.329447927006044</v>
      </c>
      <c r="R22" s="132">
        <f>IF(SER_hh_fech!R22=0,0,SER_hh_fech!R22/SER_summary!R$26)</f>
        <v>43.071446439743369</v>
      </c>
      <c r="S22" s="132">
        <f>IF(SER_hh_fech!S22=0,0,SER_hh_fech!S22/SER_summary!S$26)</f>
        <v>54.541594486917298</v>
      </c>
      <c r="T22" s="132">
        <f>IF(SER_hh_fech!T22=0,0,SER_hh_fech!T22/SER_summary!T$26)</f>
        <v>50.820983982200907</v>
      </c>
      <c r="U22" s="132">
        <f>IF(SER_hh_fech!U22=0,0,SER_hh_fech!U22/SER_summary!U$26)</f>
        <v>51.53581007620307</v>
      </c>
      <c r="V22" s="132">
        <f>IF(SER_hh_fech!V22=0,0,SER_hh_fech!V22/SER_summary!V$26)</f>
        <v>41.980506458624738</v>
      </c>
      <c r="W22" s="132">
        <f>IF(SER_hh_fech!W22=0,0,SER_hh_fech!W22/SER_summary!W$26)</f>
        <v>49.882251717312656</v>
      </c>
      <c r="X22" s="132">
        <f>IF(SER_hh_fech!X22=0,0,SER_hh_fech!X22/SER_summary!X$26)</f>
        <v>43.804566208230455</v>
      </c>
      <c r="Y22" s="132">
        <f>IF(SER_hh_fech!Y22=0,0,SER_hh_fech!Y22/SER_summary!Y$26)</f>
        <v>47.26450587261165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58.453211365188572</v>
      </c>
      <c r="C23" s="132">
        <f>IF(SER_hh_fech!C23=0,0,SER_hh_fech!C23/SER_summary!C$26)</f>
        <v>58.849627190619323</v>
      </c>
      <c r="D23" s="132">
        <f>IF(SER_hh_fech!D23=0,0,SER_hh_fech!D23/SER_summary!D$26)</f>
        <v>57.170887223745495</v>
      </c>
      <c r="E23" s="132">
        <f>IF(SER_hh_fech!E23=0,0,SER_hh_fech!E23/SER_summary!E$26)</f>
        <v>58.604275653706161</v>
      </c>
      <c r="F23" s="132">
        <f>IF(SER_hh_fech!F23=0,0,SER_hh_fech!F23/SER_summary!F$26)</f>
        <v>56.039413286914368</v>
      </c>
      <c r="G23" s="132">
        <f>IF(SER_hh_fech!G23=0,0,SER_hh_fech!G23/SER_summary!G$26)</f>
        <v>55.495159962948733</v>
      </c>
      <c r="H23" s="132">
        <f>IF(SER_hh_fech!H23=0,0,SER_hh_fech!H23/SER_summary!H$26)</f>
        <v>53.433929029437564</v>
      </c>
      <c r="I23" s="132">
        <f>IF(SER_hh_fech!I23=0,0,SER_hh_fech!I23/SER_summary!I$26)</f>
        <v>51.457112966064365</v>
      </c>
      <c r="J23" s="132">
        <f>IF(SER_hh_fech!J23=0,0,SER_hh_fech!J23/SER_summary!J$26)</f>
        <v>56.707326520978135</v>
      </c>
      <c r="K23" s="132">
        <f>IF(SER_hh_fech!K23=0,0,SER_hh_fech!K23/SER_summary!K$26)</f>
        <v>50.696152937454151</v>
      </c>
      <c r="L23" s="132">
        <f>IF(SER_hh_fech!L23=0,0,SER_hh_fech!L23/SER_summary!L$26)</f>
        <v>55.063842785385638</v>
      </c>
      <c r="M23" s="132">
        <f>IF(SER_hh_fech!M23=0,0,SER_hh_fech!M23/SER_summary!M$26)</f>
        <v>51.655081231786575</v>
      </c>
      <c r="N23" s="132">
        <f>IF(SER_hh_fech!N23=0,0,SER_hh_fech!N23/SER_summary!N$26)</f>
        <v>48.78524221710618</v>
      </c>
      <c r="O23" s="132">
        <f>IF(SER_hh_fech!O23=0,0,SER_hh_fech!O23/SER_summary!O$26)</f>
        <v>48.810196483334416</v>
      </c>
      <c r="P23" s="132">
        <f>IF(SER_hh_fech!P23=0,0,SER_hh_fech!P23/SER_summary!P$26)</f>
        <v>51.037213346129747</v>
      </c>
      <c r="Q23" s="132">
        <f>IF(SER_hh_fech!Q23=0,0,SER_hh_fech!Q23/SER_summary!Q$26)</f>
        <v>57.127312259631516</v>
      </c>
      <c r="R23" s="132">
        <f>IF(SER_hh_fech!R23=0,0,SER_hh_fech!R23/SER_summary!R$26)</f>
        <v>60.244360573361391</v>
      </c>
      <c r="S23" s="132">
        <f>IF(SER_hh_fech!S23=0,0,SER_hh_fech!S23/SER_summary!S$26)</f>
        <v>43.904612994657207</v>
      </c>
      <c r="T23" s="132">
        <f>IF(SER_hh_fech!T23=0,0,SER_hh_fech!T23/SER_summary!T$26)</f>
        <v>49.226387553394389</v>
      </c>
      <c r="U23" s="132">
        <f>IF(SER_hh_fech!U23=0,0,SER_hh_fech!U23/SER_summary!U$26)</f>
        <v>50.53570202393572</v>
      </c>
      <c r="V23" s="132">
        <f>IF(SER_hh_fech!V23=0,0,SER_hh_fech!V23/SER_summary!V$26)</f>
        <v>33.197127905141627</v>
      </c>
      <c r="W23" s="132">
        <f>IF(SER_hh_fech!W23=0,0,SER_hh_fech!W23/SER_summary!W$26)</f>
        <v>46.912683106324565</v>
      </c>
      <c r="X23" s="132">
        <f>IF(SER_hh_fech!X23=0,0,SER_hh_fech!X23/SER_summary!X$26)</f>
        <v>45.579781790132451</v>
      </c>
      <c r="Y23" s="132">
        <f>IF(SER_hh_fech!Y23=0,0,SER_hh_fech!Y23/SER_summary!Y$26)</f>
        <v>44.80186319329011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37.101174949756533</v>
      </c>
      <c r="C25" s="132">
        <f>IF(SER_hh_fech!C25=0,0,SER_hh_fech!C25/SER_summary!C$26)</f>
        <v>33.064400109202928</v>
      </c>
      <c r="D25" s="132">
        <f>IF(SER_hh_fech!D25=0,0,SER_hh_fech!D25/SER_summary!D$26)</f>
        <v>36.217031499066429</v>
      </c>
      <c r="E25" s="132">
        <f>IF(SER_hh_fech!E25=0,0,SER_hh_fech!E25/SER_summary!E$26)</f>
        <v>44.574009823927064</v>
      </c>
      <c r="F25" s="132">
        <f>IF(SER_hh_fech!F25=0,0,SER_hh_fech!F25/SER_summary!F$26)</f>
        <v>39.969559262095686</v>
      </c>
      <c r="G25" s="132">
        <f>IF(SER_hh_fech!G25=0,0,SER_hh_fech!G25/SER_summary!G$26)</f>
        <v>38.300520459813093</v>
      </c>
      <c r="H25" s="132">
        <f>IF(SER_hh_fech!H25=0,0,SER_hh_fech!H25/SER_summary!H$26)</f>
        <v>38.138780734399234</v>
      </c>
      <c r="I25" s="132">
        <f>IF(SER_hh_fech!I25=0,0,SER_hh_fech!I25/SER_summary!I$26)</f>
        <v>38.068240296551188</v>
      </c>
      <c r="J25" s="132">
        <f>IF(SER_hh_fech!J25=0,0,SER_hh_fech!J25/SER_summary!J$26)</f>
        <v>38.118421872480454</v>
      </c>
      <c r="K25" s="132">
        <f>IF(SER_hh_fech!K25=0,0,SER_hh_fech!K25/SER_summary!K$26)</f>
        <v>39.378529901497416</v>
      </c>
      <c r="L25" s="132">
        <f>IF(SER_hh_fech!L25=0,0,SER_hh_fech!L25/SER_summary!L$26)</f>
        <v>37.284692778313101</v>
      </c>
      <c r="M25" s="132">
        <f>IF(SER_hh_fech!M25=0,0,SER_hh_fech!M25/SER_summary!M$26)</f>
        <v>37.693750396264917</v>
      </c>
      <c r="N25" s="132">
        <f>IF(SER_hh_fech!N25=0,0,SER_hh_fech!N25/SER_summary!N$26)</f>
        <v>38.224406549747648</v>
      </c>
      <c r="O25" s="132">
        <f>IF(SER_hh_fech!O25=0,0,SER_hh_fech!O25/SER_summary!O$26)</f>
        <v>38.647382139374862</v>
      </c>
      <c r="P25" s="132">
        <f>IF(SER_hh_fech!P25=0,0,SER_hh_fech!P25/SER_summary!P$26)</f>
        <v>38.27771637369105</v>
      </c>
      <c r="Q25" s="132">
        <f>IF(SER_hh_fech!Q25=0,0,SER_hh_fech!Q25/SER_summary!Q$26)</f>
        <v>38.380696152524713</v>
      </c>
      <c r="R25" s="132">
        <f>IF(SER_hh_fech!R25=0,0,SER_hh_fech!R25/SER_summary!R$26)</f>
        <v>38.24685383422193</v>
      </c>
      <c r="S25" s="132">
        <f>IF(SER_hh_fech!S25=0,0,SER_hh_fech!S25/SER_summary!S$26)</f>
        <v>39.990945970555551</v>
      </c>
      <c r="T25" s="132">
        <f>IF(SER_hh_fech!T25=0,0,SER_hh_fech!T25/SER_summary!T$26)</f>
        <v>35.909362880739927</v>
      </c>
      <c r="U25" s="132">
        <f>IF(SER_hh_fech!U25=0,0,SER_hh_fech!U25/SER_summary!U$26)</f>
        <v>38.069506989639081</v>
      </c>
      <c r="V25" s="132">
        <f>IF(SER_hh_fech!V25=0,0,SER_hh_fech!V25/SER_summary!V$26)</f>
        <v>39.268639151548982</v>
      </c>
      <c r="W25" s="132">
        <f>IF(SER_hh_fech!W25=0,0,SER_hh_fech!W25/SER_summary!W$26)</f>
        <v>35.94856357750885</v>
      </c>
      <c r="X25" s="132">
        <f>IF(SER_hh_fech!X25=0,0,SER_hh_fech!X25/SER_summary!X$26)</f>
        <v>35.328832262077661</v>
      </c>
      <c r="Y25" s="132">
        <f>IF(SER_hh_fech!Y25=0,0,SER_hh_fech!Y25/SER_summary!Y$26)</f>
        <v>36.341691649843064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47.847936191915252</v>
      </c>
      <c r="C26" s="65">
        <f>IF(SER_hh_fech!C26=0,0,SER_hh_fech!C26/SER_summary!C$26)</f>
        <v>49.670475632704537</v>
      </c>
      <c r="D26" s="65">
        <f>IF(SER_hh_fech!D26=0,0,SER_hh_fech!D26/SER_summary!D$26)</f>
        <v>49.310460413116438</v>
      </c>
      <c r="E26" s="65">
        <f>IF(SER_hh_fech!E26=0,0,SER_hh_fech!E26/SER_summary!E$26)</f>
        <v>43.436589392037064</v>
      </c>
      <c r="F26" s="65">
        <f>IF(SER_hh_fech!F26=0,0,SER_hh_fech!F26/SER_summary!F$26)</f>
        <v>44.453090333964049</v>
      </c>
      <c r="G26" s="65">
        <f>IF(SER_hh_fech!G26=0,0,SER_hh_fech!G26/SER_summary!G$26)</f>
        <v>44.531182333166122</v>
      </c>
      <c r="H26" s="65">
        <f>IF(SER_hh_fech!H26=0,0,SER_hh_fech!H26/SER_summary!H$26)</f>
        <v>47.342630140293096</v>
      </c>
      <c r="I26" s="65">
        <f>IF(SER_hh_fech!I26=0,0,SER_hh_fech!I26/SER_summary!I$26)</f>
        <v>47.5258477302011</v>
      </c>
      <c r="J26" s="65">
        <f>IF(SER_hh_fech!J26=0,0,SER_hh_fech!J26/SER_summary!J$26)</f>
        <v>46.54903621820111</v>
      </c>
      <c r="K26" s="65">
        <f>IF(SER_hh_fech!K26=0,0,SER_hh_fech!K26/SER_summary!K$26)</f>
        <v>48.659096306250298</v>
      </c>
      <c r="L26" s="65">
        <f>IF(SER_hh_fech!L26=0,0,SER_hh_fech!L26/SER_summary!L$26)</f>
        <v>43.848420457741668</v>
      </c>
      <c r="M26" s="65">
        <f>IF(SER_hh_fech!M26=0,0,SER_hh_fech!M26/SER_summary!M$26)</f>
        <v>46.407524440866737</v>
      </c>
      <c r="N26" s="65">
        <f>IF(SER_hh_fech!N26=0,0,SER_hh_fech!N26/SER_summary!N$26)</f>
        <v>44.478429058012601</v>
      </c>
      <c r="O26" s="65">
        <f>IF(SER_hh_fech!O26=0,0,SER_hh_fech!O26/SER_summary!O$26)</f>
        <v>45.175946490936042</v>
      </c>
      <c r="P26" s="65">
        <f>IF(SER_hh_fech!P26=0,0,SER_hh_fech!P26/SER_summary!P$26)</f>
        <v>45.276852433675607</v>
      </c>
      <c r="Q26" s="65">
        <f>IF(SER_hh_fech!Q26=0,0,SER_hh_fech!Q26/SER_summary!Q$26)</f>
        <v>42.123647022174957</v>
      </c>
      <c r="R26" s="65">
        <f>IF(SER_hh_fech!R26=0,0,SER_hh_fech!R26/SER_summary!R$26)</f>
        <v>39.779343356768528</v>
      </c>
      <c r="S26" s="65">
        <f>IF(SER_hh_fech!S26=0,0,SER_hh_fech!S26/SER_summary!S$26)</f>
        <v>46.871408176539553</v>
      </c>
      <c r="T26" s="65">
        <f>IF(SER_hh_fech!T26=0,0,SER_hh_fech!T26/SER_summary!T$26)</f>
        <v>45.589823606155875</v>
      </c>
      <c r="U26" s="65">
        <f>IF(SER_hh_fech!U26=0,0,SER_hh_fech!U26/SER_summary!U$26)</f>
        <v>40.759435938773549</v>
      </c>
      <c r="V26" s="65">
        <f>IF(SER_hh_fech!V26=0,0,SER_hh_fech!V26/SER_summary!V$26)</f>
        <v>39.696577105807755</v>
      </c>
      <c r="W26" s="65">
        <f>IF(SER_hh_fech!W26=0,0,SER_hh_fech!W26/SER_summary!W$26)</f>
        <v>34.962773096082636</v>
      </c>
      <c r="X26" s="65">
        <f>IF(SER_hh_fech!X26=0,0,SER_hh_fech!X26/SER_summary!X$26)</f>
        <v>41.245079652187833</v>
      </c>
      <c r="Y26" s="65">
        <f>IF(SER_hh_fech!Y26=0,0,SER_hh_fech!Y26/SER_summary!Y$26)</f>
        <v>40.368181758154499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</v>
      </c>
      <c r="C27" s="145">
        <f>IF(SER_hh_fech!C27=0,0,SER_hh_fech!C27/SER_summary!C$26)</f>
        <v>0</v>
      </c>
      <c r="D27" s="145">
        <f>IF(SER_hh_fech!D27=0,0,SER_hh_fech!D27/SER_summary!D$26)</f>
        <v>0</v>
      </c>
      <c r="E27" s="145">
        <f>IF(SER_hh_fech!E27=0,0,SER_hh_fech!E27/SER_summary!E$26)</f>
        <v>0</v>
      </c>
      <c r="F27" s="145">
        <f>IF(SER_hh_fech!F27=0,0,SER_hh_fech!F27/SER_summary!F$26)</f>
        <v>0</v>
      </c>
      <c r="G27" s="145">
        <f>IF(SER_hh_fech!G27=0,0,SER_hh_fech!G27/SER_summary!G$26)</f>
        <v>0</v>
      </c>
      <c r="H27" s="145">
        <f>IF(SER_hh_fech!H27=0,0,SER_hh_fech!H27/SER_summary!H$26)</f>
        <v>0</v>
      </c>
      <c r="I27" s="145">
        <f>IF(SER_hh_fech!I27=0,0,SER_hh_fech!I27/SER_summary!I$26)</f>
        <v>0</v>
      </c>
      <c r="J27" s="145">
        <f>IF(SER_hh_fech!J27=0,0,SER_hh_fech!J27/SER_summary!J$26)</f>
        <v>0</v>
      </c>
      <c r="K27" s="145">
        <f>IF(SER_hh_fech!K27=0,0,SER_hh_fech!K27/SER_summary!K$26)</f>
        <v>0</v>
      </c>
      <c r="L27" s="145">
        <f>IF(SER_hh_fech!L27=0,0,SER_hh_fech!L27/SER_summary!L$26)</f>
        <v>0</v>
      </c>
      <c r="M27" s="145">
        <f>IF(SER_hh_fech!M27=0,0,SER_hh_fech!M27/SER_summary!M$26)</f>
        <v>0</v>
      </c>
      <c r="N27" s="145">
        <f>IF(SER_hh_fech!N27=0,0,SER_hh_fech!N27/SER_summary!N$26)</f>
        <v>0</v>
      </c>
      <c r="O27" s="145">
        <f>IF(SER_hh_fech!O27=0,0,SER_hh_fech!O27/SER_summary!O$26)</f>
        <v>0</v>
      </c>
      <c r="P27" s="145">
        <f>IF(SER_hh_fech!P27=0,0,SER_hh_fech!P27/SER_summary!P$26)</f>
        <v>0</v>
      </c>
      <c r="Q27" s="145">
        <f>IF(SER_hh_fech!Q27=0,0,SER_hh_fech!Q27/SER_summary!Q$26)</f>
        <v>0</v>
      </c>
      <c r="R27" s="145">
        <f>IF(SER_hh_fech!R27=0,0,SER_hh_fech!R27/SER_summary!R$26)</f>
        <v>0</v>
      </c>
      <c r="S27" s="145">
        <f>IF(SER_hh_fech!S27=0,0,SER_hh_fech!S27/SER_summary!S$26)</f>
        <v>0</v>
      </c>
      <c r="T27" s="145">
        <f>IF(SER_hh_fech!T27=0,0,SER_hh_fech!T27/SER_summary!T$26)</f>
        <v>0</v>
      </c>
      <c r="U27" s="145">
        <f>IF(SER_hh_fech!U27=0,0,SER_hh_fech!U27/SER_summary!U$26)</f>
        <v>0</v>
      </c>
      <c r="V27" s="145">
        <f>IF(SER_hh_fech!V27=0,0,SER_hh_fech!V27/SER_summary!V$26)</f>
        <v>0</v>
      </c>
      <c r="W27" s="145">
        <f>IF(SER_hh_fech!W27=0,0,SER_hh_fech!W27/SER_summary!W$26)</f>
        <v>0</v>
      </c>
      <c r="X27" s="145">
        <f>IF(SER_hh_fech!X27=0,0,SER_hh_fech!X27/SER_summary!X$26)</f>
        <v>0</v>
      </c>
      <c r="Y27" s="145">
        <f>IF(SER_hh_fech!Y27=0,0,SER_hh_fech!Y27/SER_summary!Y$26)</f>
        <v>0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0</v>
      </c>
      <c r="C28" s="146">
        <f>IF(SER_hh_fech!C28=0,0,SER_hh_fech!C28/SER_summary!C$26)</f>
        <v>0</v>
      </c>
      <c r="D28" s="146">
        <f>IF(SER_hh_fech!D28=0,0,SER_hh_fech!D28/SER_summary!D$26)</f>
        <v>0</v>
      </c>
      <c r="E28" s="146">
        <f>IF(SER_hh_fech!E28=0,0,SER_hh_fech!E28/SER_summary!E$26)</f>
        <v>0</v>
      </c>
      <c r="F28" s="146">
        <f>IF(SER_hh_fech!F28=0,0,SER_hh_fech!F28/SER_summary!F$26)</f>
        <v>0</v>
      </c>
      <c r="G28" s="146">
        <f>IF(SER_hh_fech!G28=0,0,SER_hh_fech!G28/SER_summary!G$26)</f>
        <v>0</v>
      </c>
      <c r="H28" s="146">
        <f>IF(SER_hh_fech!H28=0,0,SER_hh_fech!H28/SER_summary!H$26)</f>
        <v>0</v>
      </c>
      <c r="I28" s="146">
        <f>IF(SER_hh_fech!I28=0,0,SER_hh_fech!I28/SER_summary!I$26)</f>
        <v>0</v>
      </c>
      <c r="J28" s="146">
        <f>IF(SER_hh_fech!J28=0,0,SER_hh_fech!J28/SER_summary!J$26)</f>
        <v>0</v>
      </c>
      <c r="K28" s="146">
        <f>IF(SER_hh_fech!K28=0,0,SER_hh_fech!K28/SER_summary!K$26)</f>
        <v>0</v>
      </c>
      <c r="L28" s="146">
        <f>IF(SER_hh_fech!L28=0,0,SER_hh_fech!L28/SER_summary!L$26)</f>
        <v>0</v>
      </c>
      <c r="M28" s="146">
        <f>IF(SER_hh_fech!M28=0,0,SER_hh_fech!M28/SER_summary!M$26)</f>
        <v>0</v>
      </c>
      <c r="N28" s="146">
        <f>IF(SER_hh_fech!N28=0,0,SER_hh_fech!N28/SER_summary!N$26)</f>
        <v>0</v>
      </c>
      <c r="O28" s="146">
        <f>IF(SER_hh_fech!O28=0,0,SER_hh_fech!O28/SER_summary!O$26)</f>
        <v>0</v>
      </c>
      <c r="P28" s="146">
        <f>IF(SER_hh_fech!P28=0,0,SER_hh_fech!P28/SER_summary!P$26)</f>
        <v>0</v>
      </c>
      <c r="Q28" s="146">
        <f>IF(SER_hh_fech!Q28=0,0,SER_hh_fech!Q28/SER_summary!Q$26)</f>
        <v>0</v>
      </c>
      <c r="R28" s="146">
        <f>IF(SER_hh_fech!R28=0,0,SER_hh_fech!R28/SER_summary!R$26)</f>
        <v>0</v>
      </c>
      <c r="S28" s="146">
        <f>IF(SER_hh_fech!S28=0,0,SER_hh_fech!S28/SER_summary!S$26)</f>
        <v>0</v>
      </c>
      <c r="T28" s="146">
        <f>IF(SER_hh_fech!T28=0,0,SER_hh_fech!T28/SER_summary!T$26)</f>
        <v>0</v>
      </c>
      <c r="U28" s="146">
        <f>IF(SER_hh_fech!U28=0,0,SER_hh_fech!U28/SER_summary!U$26)</f>
        <v>0</v>
      </c>
      <c r="V28" s="146">
        <f>IF(SER_hh_fech!V28=0,0,SER_hh_fech!V28/SER_summary!V$26)</f>
        <v>0</v>
      </c>
      <c r="W28" s="146">
        <f>IF(SER_hh_fech!W28=0,0,SER_hh_fech!W28/SER_summary!W$26)</f>
        <v>0</v>
      </c>
      <c r="X28" s="146">
        <f>IF(SER_hh_fech!X28=0,0,SER_hh_fech!X28/SER_summary!X$26)</f>
        <v>0</v>
      </c>
      <c r="Y28" s="146">
        <f>IF(SER_hh_fech!Y28=0,0,SER_hh_fech!Y28/SER_summary!Y$26)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52.439626318394055</v>
      </c>
      <c r="C29" s="130">
        <f>IF(SER_hh_fech!C29=0,0,SER_hh_fech!C29/SER_summary!C$26)</f>
        <v>55.137891022194033</v>
      </c>
      <c r="D29" s="130">
        <f>IF(SER_hh_fech!D29=0,0,SER_hh_fech!D29/SER_summary!D$26)</f>
        <v>54.769973162374725</v>
      </c>
      <c r="E29" s="130">
        <f>IF(SER_hh_fech!E29=0,0,SER_hh_fech!E29/SER_summary!E$26)</f>
        <v>54.686177962822462</v>
      </c>
      <c r="F29" s="130">
        <f>IF(SER_hh_fech!F29=0,0,SER_hh_fech!F29/SER_summary!F$26)</f>
        <v>54.688187724081949</v>
      </c>
      <c r="G29" s="130">
        <f>IF(SER_hh_fech!G29=0,0,SER_hh_fech!G29/SER_summary!G$26)</f>
        <v>54.856539964797655</v>
      </c>
      <c r="H29" s="130">
        <f>IF(SER_hh_fech!H29=0,0,SER_hh_fech!H29/SER_summary!H$26)</f>
        <v>55.740750912989405</v>
      </c>
      <c r="I29" s="130">
        <f>IF(SER_hh_fech!I29=0,0,SER_hh_fech!I29/SER_summary!I$26)</f>
        <v>55.533301398963481</v>
      </c>
      <c r="J29" s="130">
        <f>IF(SER_hh_fech!J29=0,0,SER_hh_fech!J29/SER_summary!J$26)</f>
        <v>55.858969301322333</v>
      </c>
      <c r="K29" s="130">
        <f>IF(SER_hh_fech!K29=0,0,SER_hh_fech!K29/SER_summary!K$26)</f>
        <v>58.907209302963075</v>
      </c>
      <c r="L29" s="130">
        <f>IF(SER_hh_fech!L29=0,0,SER_hh_fech!L29/SER_summary!L$26)</f>
        <v>59.578494443525337</v>
      </c>
      <c r="M29" s="130">
        <f>IF(SER_hh_fech!M29=0,0,SER_hh_fech!M29/SER_summary!M$26)</f>
        <v>59.589122582552712</v>
      </c>
      <c r="N29" s="130">
        <f>IF(SER_hh_fech!N29=0,0,SER_hh_fech!N29/SER_summary!N$26)</f>
        <v>59.844799511006634</v>
      </c>
      <c r="O29" s="130">
        <f>IF(SER_hh_fech!O29=0,0,SER_hh_fech!O29/SER_summary!O$26)</f>
        <v>59.541746839706953</v>
      </c>
      <c r="P29" s="130">
        <f>IF(SER_hh_fech!P29=0,0,SER_hh_fech!P29/SER_summary!P$26)</f>
        <v>58.763110637010911</v>
      </c>
      <c r="Q29" s="130">
        <f>IF(SER_hh_fech!Q29=0,0,SER_hh_fech!Q29/SER_summary!Q$26)</f>
        <v>59.185830438815771</v>
      </c>
      <c r="R29" s="130">
        <f>IF(SER_hh_fech!R29=0,0,SER_hh_fech!R29/SER_summary!R$26)</f>
        <v>59.03047014504083</v>
      </c>
      <c r="S29" s="130">
        <f>IF(SER_hh_fech!S29=0,0,SER_hh_fech!S29/SER_summary!S$26)</f>
        <v>58.262570283025234</v>
      </c>
      <c r="T29" s="130">
        <f>IF(SER_hh_fech!T29=0,0,SER_hh_fech!T29/SER_summary!T$26)</f>
        <v>57.86786132117431</v>
      </c>
      <c r="U29" s="130">
        <f>IF(SER_hh_fech!U29=0,0,SER_hh_fech!U29/SER_summary!U$26)</f>
        <v>58.565324971192865</v>
      </c>
      <c r="V29" s="130">
        <f>IF(SER_hh_fech!V29=0,0,SER_hh_fech!V29/SER_summary!V$26)</f>
        <v>53.043899980907526</v>
      </c>
      <c r="W29" s="130">
        <f>IF(SER_hh_fech!W29=0,0,SER_hh_fech!W29/SER_summary!W$26)</f>
        <v>60.247614136699283</v>
      </c>
      <c r="X29" s="130">
        <f>IF(SER_hh_fech!X29=0,0,SER_hh_fech!X29/SER_summary!X$26)</f>
        <v>58.85273087437816</v>
      </c>
      <c r="Y29" s="130">
        <f>IF(SER_hh_fech!Y29=0,0,SER_hh_fech!Y29/SER_summary!Y$26)</f>
        <v>60.516733127410561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41.466518505102954</v>
      </c>
      <c r="C30" s="132">
        <f>IF(SER_hh_fech!C30=0,0,SER_hh_fech!C30/SER_summary!C$26)</f>
        <v>86.577366046446727</v>
      </c>
      <c r="D30" s="132">
        <f>IF(SER_hh_fech!D30=0,0,SER_hh_fech!D30/SER_summary!D$26)</f>
        <v>64.21880286798573</v>
      </c>
      <c r="E30" s="132">
        <f>IF(SER_hh_fech!E30=0,0,SER_hh_fech!E30/SER_summary!E$26)</f>
        <v>30.802529781584006</v>
      </c>
      <c r="F30" s="132">
        <f>IF(SER_hh_fech!F30=0,0,SER_hh_fech!F30/SER_summary!F$26)</f>
        <v>0</v>
      </c>
      <c r="G30" s="132">
        <f>IF(SER_hh_fech!G30=0,0,SER_hh_fech!G30/SER_summary!G$26)</f>
        <v>0</v>
      </c>
      <c r="H30" s="132">
        <f>IF(SER_hh_fech!H30=0,0,SER_hh_fech!H30/SER_summary!H$26)</f>
        <v>0</v>
      </c>
      <c r="I30" s="132">
        <f>IF(SER_hh_fech!I30=0,0,SER_hh_fech!I30/SER_summary!I$26)</f>
        <v>0</v>
      </c>
      <c r="J30" s="132">
        <f>IF(SER_hh_fech!J30=0,0,SER_hh_fech!J30/SER_summary!J$26)</f>
        <v>0</v>
      </c>
      <c r="K30" s="132">
        <f>IF(SER_hh_fech!K30=0,0,SER_hh_fech!K30/SER_summary!K$26)</f>
        <v>94.109844280591943</v>
      </c>
      <c r="L30" s="132">
        <f>IF(SER_hh_fech!L30=0,0,SER_hh_fech!L30/SER_summary!L$26)</f>
        <v>76.719625000432742</v>
      </c>
      <c r="M30" s="132">
        <f>IF(SER_hh_fech!M30=0,0,SER_hh_fech!M30/SER_summary!M$26)</f>
        <v>69.452453378496486</v>
      </c>
      <c r="N30" s="132">
        <f>IF(SER_hh_fech!N30=0,0,SER_hh_fech!N30/SER_summary!N$26)</f>
        <v>69.947934928301081</v>
      </c>
      <c r="O30" s="132">
        <f>IF(SER_hh_fech!O30=0,0,SER_hh_fech!O30/SER_summary!O$26)</f>
        <v>72.532715561360064</v>
      </c>
      <c r="P30" s="132">
        <f>IF(SER_hh_fech!P30=0,0,SER_hh_fech!P30/SER_summary!P$26)</f>
        <v>65.923373030095817</v>
      </c>
      <c r="Q30" s="132">
        <f>IF(SER_hh_fech!Q30=0,0,SER_hh_fech!Q30/SER_summary!Q$26)</f>
        <v>71.604750010168544</v>
      </c>
      <c r="R30" s="132">
        <f>IF(SER_hh_fech!R30=0,0,SER_hh_fech!R30/SER_summary!R$26)</f>
        <v>77.500402891073449</v>
      </c>
      <c r="S30" s="132">
        <f>IF(SER_hh_fech!S30=0,0,SER_hh_fech!S30/SER_summary!S$26)</f>
        <v>70.789991440226501</v>
      </c>
      <c r="T30" s="132">
        <f>IF(SER_hh_fech!T30=0,0,SER_hh_fech!T30/SER_summary!T$26)</f>
        <v>62.281096574915857</v>
      </c>
      <c r="U30" s="132">
        <f>IF(SER_hh_fech!U30=0,0,SER_hh_fech!U30/SER_summary!U$26)</f>
        <v>77.752841247693468</v>
      </c>
      <c r="V30" s="132">
        <f>IF(SER_hh_fech!V30=0,0,SER_hh_fech!V30/SER_summary!V$26)</f>
        <v>61.064139899360676</v>
      </c>
      <c r="W30" s="132">
        <f>IF(SER_hh_fech!W30=0,0,SER_hh_fech!W30/SER_summary!W$26)</f>
        <v>90.597493832967885</v>
      </c>
      <c r="X30" s="132">
        <f>IF(SER_hh_fech!X30=0,0,SER_hh_fech!X30/SER_summary!X$26)</f>
        <v>64.116044571314703</v>
      </c>
      <c r="Y30" s="132">
        <f>IF(SER_hh_fech!Y30=0,0,SER_hh_fech!Y30/SER_summary!Y$26)</f>
        <v>81.730660775433876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58.677598556099291</v>
      </c>
      <c r="C31" s="132">
        <f>IF(SER_hh_fech!C31=0,0,SER_hh_fech!C31/SER_summary!C$26)</f>
        <v>59.325231657786674</v>
      </c>
      <c r="D31" s="132">
        <f>IF(SER_hh_fech!D31=0,0,SER_hh_fech!D31/SER_summary!D$26)</f>
        <v>61.764679609655452</v>
      </c>
      <c r="E31" s="132">
        <f>IF(SER_hh_fech!E31=0,0,SER_hh_fech!E31/SER_summary!E$26)</f>
        <v>62.827454901180829</v>
      </c>
      <c r="F31" s="132">
        <f>IF(SER_hh_fech!F31=0,0,SER_hh_fech!F31/SER_summary!F$26)</f>
        <v>64.499401646781322</v>
      </c>
      <c r="G31" s="132">
        <f>IF(SER_hh_fech!G31=0,0,SER_hh_fech!G31/SER_summary!G$26)</f>
        <v>63.204183364180288</v>
      </c>
      <c r="H31" s="132">
        <f>IF(SER_hh_fech!H31=0,0,SER_hh_fech!H31/SER_summary!H$26)</f>
        <v>66.192213816306051</v>
      </c>
      <c r="I31" s="132">
        <f>IF(SER_hh_fech!I31=0,0,SER_hh_fech!I31/SER_summary!I$26)</f>
        <v>66.48694930702473</v>
      </c>
      <c r="J31" s="132">
        <f>IF(SER_hh_fech!J31=0,0,SER_hh_fech!J31/SER_summary!J$26)</f>
        <v>67.638180497894211</v>
      </c>
      <c r="K31" s="132">
        <f>IF(SER_hh_fech!K31=0,0,SER_hh_fech!K31/SER_summary!K$26)</f>
        <v>64.524488586942013</v>
      </c>
      <c r="L31" s="132">
        <f>IF(SER_hh_fech!L31=0,0,SER_hh_fech!L31/SER_summary!L$26)</f>
        <v>66.139688430569038</v>
      </c>
      <c r="M31" s="132">
        <f>IF(SER_hh_fech!M31=0,0,SER_hh_fech!M31/SER_summary!M$26)</f>
        <v>69.586267979445651</v>
      </c>
      <c r="N31" s="132">
        <f>IF(SER_hh_fech!N31=0,0,SER_hh_fech!N31/SER_summary!N$26)</f>
        <v>70.482444363746239</v>
      </c>
      <c r="O31" s="132">
        <f>IF(SER_hh_fech!O31=0,0,SER_hh_fech!O31/SER_summary!O$26)</f>
        <v>69.037574695921336</v>
      </c>
      <c r="P31" s="132">
        <f>IF(SER_hh_fech!P31=0,0,SER_hh_fech!P31/SER_summary!P$26)</f>
        <v>68.726877545848282</v>
      </c>
      <c r="Q31" s="132">
        <f>IF(SER_hh_fech!Q31=0,0,SER_hh_fech!Q31/SER_summary!Q$26)</f>
        <v>70.190536612808884</v>
      </c>
      <c r="R31" s="132">
        <f>IF(SER_hh_fech!R31=0,0,SER_hh_fech!R31/SER_summary!R$26)</f>
        <v>71.461890011247874</v>
      </c>
      <c r="S31" s="132">
        <f>IF(SER_hh_fech!S31=0,0,SER_hh_fech!S31/SER_summary!S$26)</f>
        <v>69.004989632070902</v>
      </c>
      <c r="T31" s="132">
        <f>IF(SER_hh_fech!T31=0,0,SER_hh_fech!T31/SER_summary!T$26)</f>
        <v>73.603657510510132</v>
      </c>
      <c r="U31" s="132">
        <f>IF(SER_hh_fech!U31=0,0,SER_hh_fech!U31/SER_summary!U$26)</f>
        <v>72.497551997719</v>
      </c>
      <c r="V31" s="132">
        <f>IF(SER_hh_fech!V31=0,0,SER_hh_fech!V31/SER_summary!V$26)</f>
        <v>54.382250712224987</v>
      </c>
      <c r="W31" s="132">
        <f>IF(SER_hh_fech!W31=0,0,SER_hh_fech!W31/SER_summary!W$26)</f>
        <v>59.436321091758316</v>
      </c>
      <c r="X31" s="132">
        <f>IF(SER_hh_fech!X31=0,0,SER_hh_fech!X31/SER_summary!X$26)</f>
        <v>82.89734550785866</v>
      </c>
      <c r="Y31" s="132">
        <f>IF(SER_hh_fech!Y31=0,0,SER_hh_fech!Y31/SER_summary!Y$26)</f>
        <v>73.091659172229583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50.22349363699923</v>
      </c>
      <c r="C33" s="68">
        <f>IF(SER_hh_fech!C33=0,0,SER_hh_fech!C33/SER_summary!C$26)</f>
        <v>37.453179590053999</v>
      </c>
      <c r="D33" s="68">
        <f>IF(SER_hh_fech!D33=0,0,SER_hh_fech!D33/SER_summary!D$26)</f>
        <v>45.724764827523366</v>
      </c>
      <c r="E33" s="68">
        <f>IF(SER_hh_fech!E33=0,0,SER_hh_fech!E33/SER_summary!E$26)</f>
        <v>50.471126716818773</v>
      </c>
      <c r="F33" s="68">
        <f>IF(SER_hh_fech!F33=0,0,SER_hh_fech!F33/SER_summary!F$26)</f>
        <v>47.532538793105878</v>
      </c>
      <c r="G33" s="68">
        <f>IF(SER_hh_fech!G33=0,0,SER_hh_fech!G33/SER_summary!G$26)</f>
        <v>49.201798666013012</v>
      </c>
      <c r="H33" s="68">
        <f>IF(SER_hh_fech!H33=0,0,SER_hh_fech!H33/SER_summary!H$26)</f>
        <v>49.074277201929164</v>
      </c>
      <c r="I33" s="68">
        <f>IF(SER_hh_fech!I33=0,0,SER_hh_fech!I33/SER_summary!I$26)</f>
        <v>49.197621051375449</v>
      </c>
      <c r="J33" s="68">
        <f>IF(SER_hh_fech!J33=0,0,SER_hh_fech!J33/SER_summary!J$26)</f>
        <v>49.785666862988165</v>
      </c>
      <c r="K33" s="68">
        <f>IF(SER_hh_fech!K33=0,0,SER_hh_fech!K33/SER_summary!K$26)</f>
        <v>47.402691978178211</v>
      </c>
      <c r="L33" s="68">
        <f>IF(SER_hh_fech!L33=0,0,SER_hh_fech!L33/SER_summary!L$26)</f>
        <v>50.44227233418556</v>
      </c>
      <c r="M33" s="68">
        <f>IF(SER_hh_fech!M33=0,0,SER_hh_fech!M33/SER_summary!M$26)</f>
        <v>50.853088829403099</v>
      </c>
      <c r="N33" s="68">
        <f>IF(SER_hh_fech!N33=0,0,SER_hh_fech!N33/SER_summary!N$26)</f>
        <v>51.435490552260788</v>
      </c>
      <c r="O33" s="68">
        <f>IF(SER_hh_fech!O33=0,0,SER_hh_fech!O33/SER_summary!O$26)</f>
        <v>51.595159862764</v>
      </c>
      <c r="P33" s="68">
        <f>IF(SER_hh_fech!P33=0,0,SER_hh_fech!P33/SER_summary!P$26)</f>
        <v>53.3653060078869</v>
      </c>
      <c r="Q33" s="68">
        <f>IF(SER_hh_fech!Q33=0,0,SER_hh_fech!Q33/SER_summary!Q$26)</f>
        <v>52.642010225495319</v>
      </c>
      <c r="R33" s="68">
        <f>IF(SER_hh_fech!R33=0,0,SER_hh_fech!R33/SER_summary!R$26)</f>
        <v>51.303072599090832</v>
      </c>
      <c r="S33" s="68">
        <f>IF(SER_hh_fech!S33=0,0,SER_hh_fech!S33/SER_summary!S$26)</f>
        <v>53.267440139237834</v>
      </c>
      <c r="T33" s="68">
        <f>IF(SER_hh_fech!T33=0,0,SER_hh_fech!T33/SER_summary!T$26)</f>
        <v>54.30709310729177</v>
      </c>
      <c r="U33" s="68">
        <f>IF(SER_hh_fech!U33=0,0,SER_hh_fech!U33/SER_summary!U$26)</f>
        <v>52.876848433008774</v>
      </c>
      <c r="V33" s="68">
        <f>IF(SER_hh_fech!V33=0,0,SER_hh_fech!V33/SER_summary!V$26)</f>
        <v>51.359150052769586</v>
      </c>
      <c r="W33" s="68">
        <f>IF(SER_hh_fech!W33=0,0,SER_hh_fech!W33/SER_summary!W$26)</f>
        <v>54.570609812833375</v>
      </c>
      <c r="X33" s="68">
        <f>IF(SER_hh_fech!X33=0,0,SER_hh_fech!X33/SER_summary!X$26)</f>
        <v>53.398012665365272</v>
      </c>
      <c r="Y33" s="68">
        <f>IF(SER_hh_fech!Y33=0,0,SER_hh_fech!Y33/SER_summary!Y$26)</f>
        <v>53.27982139486334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307.67434730800824</v>
      </c>
      <c r="C3" s="125">
        <f>IF(SER_hh_tesh!C3=0,0,SER_hh_tesh!C3/SER_summary!C$26)</f>
        <v>321.91368947006384</v>
      </c>
      <c r="D3" s="125">
        <f>IF(SER_hh_tesh!D3=0,0,SER_hh_tesh!D3/SER_summary!D$26)</f>
        <v>293.31403643078545</v>
      </c>
      <c r="E3" s="125">
        <f>IF(SER_hh_tesh!E3=0,0,SER_hh_tesh!E3/SER_summary!E$26)</f>
        <v>347.63487286174632</v>
      </c>
      <c r="F3" s="125">
        <f>IF(SER_hh_tesh!F3=0,0,SER_hh_tesh!F3/SER_summary!F$26)</f>
        <v>321.14265794091273</v>
      </c>
      <c r="G3" s="125">
        <f>IF(SER_hh_tesh!G3=0,0,SER_hh_tesh!G3/SER_summary!G$26)</f>
        <v>320.36600690142797</v>
      </c>
      <c r="H3" s="125">
        <f>IF(SER_hh_tesh!H3=0,0,SER_hh_tesh!H3/SER_summary!H$26)</f>
        <v>323.87270302190211</v>
      </c>
      <c r="I3" s="125">
        <f>IF(SER_hh_tesh!I3=0,0,SER_hh_tesh!I3/SER_summary!I$26)</f>
        <v>325.85250600846604</v>
      </c>
      <c r="J3" s="125">
        <f>IF(SER_hh_tesh!J3=0,0,SER_hh_tesh!J3/SER_summary!J$26)</f>
        <v>343.66724949624546</v>
      </c>
      <c r="K3" s="125">
        <f>IF(SER_hh_tesh!K3=0,0,SER_hh_tesh!K3/SER_summary!K$26)</f>
        <v>328.34922366953327</v>
      </c>
      <c r="L3" s="125">
        <f>IF(SER_hh_tesh!L3=0,0,SER_hh_tesh!L3/SER_summary!L$26)</f>
        <v>374.48149656774956</v>
      </c>
      <c r="M3" s="125">
        <f>IF(SER_hh_tesh!M3=0,0,SER_hh_tesh!M3/SER_summary!M$26)</f>
        <v>297.55675435502809</v>
      </c>
      <c r="N3" s="125">
        <f>IF(SER_hh_tesh!N3=0,0,SER_hh_tesh!N3/SER_summary!N$26)</f>
        <v>333.79629140468057</v>
      </c>
      <c r="O3" s="125">
        <f>IF(SER_hh_tesh!O3=0,0,SER_hh_tesh!O3/SER_summary!O$26)</f>
        <v>346.78626534162493</v>
      </c>
      <c r="P3" s="125">
        <f>IF(SER_hh_tesh!P3=0,0,SER_hh_tesh!P3/SER_summary!P$26)</f>
        <v>292.96527017558901</v>
      </c>
      <c r="Q3" s="125">
        <f>IF(SER_hh_tesh!Q3=0,0,SER_hh_tesh!Q3/SER_summary!Q$26)</f>
        <v>330.66292119281241</v>
      </c>
      <c r="R3" s="125">
        <f>IF(SER_hh_tesh!R3=0,0,SER_hh_tesh!R3/SER_summary!R$26)</f>
        <v>325.55305314859123</v>
      </c>
      <c r="S3" s="125">
        <f>IF(SER_hh_tesh!S3=0,0,SER_hh_tesh!S3/SER_summary!S$26)</f>
        <v>372.26178827481971</v>
      </c>
      <c r="T3" s="125">
        <f>IF(SER_hh_tesh!T3=0,0,SER_hh_tesh!T3/SER_summary!T$26)</f>
        <v>381.43760347194961</v>
      </c>
      <c r="U3" s="125">
        <f>IF(SER_hh_tesh!U3=0,0,SER_hh_tesh!U3/SER_summary!U$26)</f>
        <v>431.46906838976344</v>
      </c>
      <c r="V3" s="125">
        <f>IF(SER_hh_tesh!V3=0,0,SER_hh_tesh!V3/SER_summary!V$26)</f>
        <v>416.4488324252344</v>
      </c>
      <c r="W3" s="125">
        <f>IF(SER_hh_tesh!W3=0,0,SER_hh_tesh!W3/SER_summary!W$26)</f>
        <v>460.27906755091556</v>
      </c>
      <c r="X3" s="125">
        <f>IF(SER_hh_tesh!X3=0,0,SER_hh_tesh!X3/SER_summary!X$26)</f>
        <v>361.88599053700653</v>
      </c>
      <c r="Y3" s="125">
        <f>IF(SER_hh_tesh!Y3=0,0,SER_hh_tesh!Y3/SER_summary!Y$26)</f>
        <v>351.36997464057282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237.22242303459979</v>
      </c>
      <c r="C4" s="130">
        <f>IF(SER_hh_tesh!C4=0,0,SER_hh_tesh!C4/SER_summary!C$26)</f>
        <v>249.25913402320504</v>
      </c>
      <c r="D4" s="130">
        <f>IF(SER_hh_tesh!D4=0,0,SER_hh_tesh!D4/SER_summary!D$26)</f>
        <v>218.49123986965941</v>
      </c>
      <c r="E4" s="130">
        <f>IF(SER_hh_tesh!E4=0,0,SER_hh_tesh!E4/SER_summary!E$26)</f>
        <v>269.23521404610239</v>
      </c>
      <c r="F4" s="130">
        <f>IF(SER_hh_tesh!F4=0,0,SER_hh_tesh!F4/SER_summary!F$26)</f>
        <v>243.75485016970381</v>
      </c>
      <c r="G4" s="130">
        <f>IF(SER_hh_tesh!G4=0,0,SER_hh_tesh!G4/SER_summary!G$26)</f>
        <v>240.57882142580073</v>
      </c>
      <c r="H4" s="130">
        <f>IF(SER_hh_tesh!H4=0,0,SER_hh_tesh!H4/SER_summary!H$26)</f>
        <v>240.35664192015665</v>
      </c>
      <c r="I4" s="130">
        <f>IF(SER_hh_tesh!I4=0,0,SER_hh_tesh!I4/SER_summary!I$26)</f>
        <v>242.13979974212285</v>
      </c>
      <c r="J4" s="130">
        <f>IF(SER_hh_tesh!J4=0,0,SER_hh_tesh!J4/SER_summary!J$26)</f>
        <v>257.63407899858936</v>
      </c>
      <c r="K4" s="130">
        <f>IF(SER_hh_tesh!K4=0,0,SER_hh_tesh!K4/SER_summary!K$26)</f>
        <v>239.84535979130112</v>
      </c>
      <c r="L4" s="130">
        <f>IF(SER_hh_tesh!L4=0,0,SER_hh_tesh!L4/SER_summary!L$26)</f>
        <v>282.97247874369288</v>
      </c>
      <c r="M4" s="130">
        <f>IF(SER_hh_tesh!M4=0,0,SER_hh_tesh!M4/SER_summary!M$26)</f>
        <v>206.70886996020101</v>
      </c>
      <c r="N4" s="130">
        <f>IF(SER_hh_tesh!N4=0,0,SER_hh_tesh!N4/SER_summary!N$26)</f>
        <v>240.73317916699989</v>
      </c>
      <c r="O4" s="130">
        <f>IF(SER_hh_tesh!O4=0,0,SER_hh_tesh!O4/SER_summary!O$26)</f>
        <v>252.28919609543203</v>
      </c>
      <c r="P4" s="130">
        <f>IF(SER_hh_tesh!P4=0,0,SER_hh_tesh!P4/SER_summary!P$26)</f>
        <v>197.80070648715841</v>
      </c>
      <c r="Q4" s="130">
        <f>IF(SER_hh_tesh!Q4=0,0,SER_hh_tesh!Q4/SER_summary!Q$26)</f>
        <v>231.55049029422926</v>
      </c>
      <c r="R4" s="130">
        <f>IF(SER_hh_tesh!R4=0,0,SER_hh_tesh!R4/SER_summary!R$26)</f>
        <v>228.64454260182649</v>
      </c>
      <c r="S4" s="130">
        <f>IF(SER_hh_tesh!S4=0,0,SER_hh_tesh!S4/SER_summary!S$26)</f>
        <v>273.74303962410016</v>
      </c>
      <c r="T4" s="130">
        <f>IF(SER_hh_tesh!T4=0,0,SER_hh_tesh!T4/SER_summary!T$26)</f>
        <v>279.21672413808625</v>
      </c>
      <c r="U4" s="130">
        <f>IF(SER_hh_tesh!U4=0,0,SER_hh_tesh!U4/SER_summary!U$26)</f>
        <v>328.08298025701401</v>
      </c>
      <c r="V4" s="130">
        <f>IF(SER_hh_tesh!V4=0,0,SER_hh_tesh!V4/SER_summary!V$26)</f>
        <v>320.12570718556043</v>
      </c>
      <c r="W4" s="130">
        <f>IF(SER_hh_tesh!W4=0,0,SER_hh_tesh!W4/SER_summary!W$26)</f>
        <v>360.63442774935538</v>
      </c>
      <c r="X4" s="130">
        <f>IF(SER_hh_tesh!X4=0,0,SER_hh_tesh!X4/SER_summary!X$26)</f>
        <v>260.31589286362697</v>
      </c>
      <c r="Y4" s="130">
        <f>IF(SER_hh_tesh!Y4=0,0,SER_hh_tesh!Y4/SER_summary!Y$26)</f>
        <v>248.87679703726459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0</v>
      </c>
      <c r="C5" s="132">
        <f>IF(SER_hh_tesh!C5=0,0,SER_hh_tesh!C5/SER_summary!C$26)</f>
        <v>0</v>
      </c>
      <c r="D5" s="132">
        <f>IF(SER_hh_tesh!D5=0,0,SER_hh_tesh!D5/SER_summary!D$26)</f>
        <v>0</v>
      </c>
      <c r="E5" s="132">
        <f>IF(SER_hh_tesh!E5=0,0,SER_hh_tesh!E5/SER_summary!E$26)</f>
        <v>0</v>
      </c>
      <c r="F5" s="132">
        <f>IF(SER_hh_tesh!F5=0,0,SER_hh_tesh!F5/SER_summary!F$26)</f>
        <v>0</v>
      </c>
      <c r="G5" s="132">
        <f>IF(SER_hh_tesh!G5=0,0,SER_hh_tesh!G5/SER_summary!G$26)</f>
        <v>0</v>
      </c>
      <c r="H5" s="132">
        <f>IF(SER_hh_tesh!H5=0,0,SER_hh_tesh!H5/SER_summary!H$26)</f>
        <v>0</v>
      </c>
      <c r="I5" s="132">
        <f>IF(SER_hh_tesh!I5=0,0,SER_hh_tesh!I5/SER_summary!I$26)</f>
        <v>0</v>
      </c>
      <c r="J5" s="132">
        <f>IF(SER_hh_tesh!J5=0,0,SER_hh_tesh!J5/SER_summary!J$26)</f>
        <v>0</v>
      </c>
      <c r="K5" s="132">
        <f>IF(SER_hh_tesh!K5=0,0,SER_hh_tesh!K5/SER_summary!K$26)</f>
        <v>0</v>
      </c>
      <c r="L5" s="132">
        <f>IF(SER_hh_tesh!L5=0,0,SER_hh_tesh!L5/SER_summary!L$26)</f>
        <v>0</v>
      </c>
      <c r="M5" s="132">
        <f>IF(SER_hh_tesh!M5=0,0,SER_hh_tesh!M5/SER_summary!M$26)</f>
        <v>0</v>
      </c>
      <c r="N5" s="132">
        <f>IF(SER_hh_tesh!N5=0,0,SER_hh_tesh!N5/SER_summary!N$26)</f>
        <v>0</v>
      </c>
      <c r="O5" s="132">
        <f>IF(SER_hh_tesh!O5=0,0,SER_hh_tesh!O5/SER_summary!O$26)</f>
        <v>0</v>
      </c>
      <c r="P5" s="132">
        <f>IF(SER_hh_tesh!P5=0,0,SER_hh_tesh!P5/SER_summary!P$26)</f>
        <v>0</v>
      </c>
      <c r="Q5" s="132">
        <f>IF(SER_hh_tesh!Q5=0,0,SER_hh_tesh!Q5/SER_summary!Q$26)</f>
        <v>0</v>
      </c>
      <c r="R5" s="132">
        <f>IF(SER_hh_tesh!R5=0,0,SER_hh_tesh!R5/SER_summary!R$26)</f>
        <v>0</v>
      </c>
      <c r="S5" s="132">
        <f>IF(SER_hh_tesh!S5=0,0,SER_hh_tesh!S5/SER_summary!S$26)</f>
        <v>0</v>
      </c>
      <c r="T5" s="132">
        <f>IF(SER_hh_tesh!T5=0,0,SER_hh_tesh!T5/SER_summary!T$26)</f>
        <v>0</v>
      </c>
      <c r="U5" s="132">
        <f>IF(SER_hh_tesh!U5=0,0,SER_hh_tesh!U5/SER_summary!U$26)</f>
        <v>0</v>
      </c>
      <c r="V5" s="132">
        <f>IF(SER_hh_tesh!V5=0,0,SER_hh_tesh!V5/SER_summary!V$26)</f>
        <v>0</v>
      </c>
      <c r="W5" s="132">
        <f>IF(SER_hh_tesh!W5=0,0,SER_hh_tesh!W5/SER_summary!W$26)</f>
        <v>0</v>
      </c>
      <c r="X5" s="132">
        <f>IF(SER_hh_tesh!X5=0,0,SER_hh_tesh!X5/SER_summary!X$26)</f>
        <v>0</v>
      </c>
      <c r="Y5" s="132">
        <f>IF(SER_hh_tesh!Y5=0,0,SER_hh_tesh!Y5/SER_summary!Y$26)</f>
        <v>0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191.38084913339233</v>
      </c>
      <c r="C7" s="132">
        <f>IF(SER_hh_tesh!C7=0,0,SER_hh_tesh!C7/SER_summary!C$26)</f>
        <v>252.8102099451979</v>
      </c>
      <c r="D7" s="132">
        <f>IF(SER_hh_tesh!D7=0,0,SER_hh_tesh!D7/SER_summary!D$26)</f>
        <v>239.65045370263417</v>
      </c>
      <c r="E7" s="132">
        <f>IF(SER_hh_tesh!E7=0,0,SER_hh_tesh!E7/SER_summary!E$26)</f>
        <v>233.97156700087299</v>
      </c>
      <c r="F7" s="132">
        <f>IF(SER_hh_tesh!F7=0,0,SER_hh_tesh!F7/SER_summary!F$26)</f>
        <v>254.56433695894597</v>
      </c>
      <c r="G7" s="132">
        <f>IF(SER_hh_tesh!G7=0,0,SER_hh_tesh!G7/SER_summary!G$26)</f>
        <v>265.67297675008865</v>
      </c>
      <c r="H7" s="132">
        <f>IF(SER_hh_tesh!H7=0,0,SER_hh_tesh!H7/SER_summary!H$26)</f>
        <v>198.39329512780532</v>
      </c>
      <c r="I7" s="132">
        <f>IF(SER_hh_tesh!I7=0,0,SER_hh_tesh!I7/SER_summary!I$26)</f>
        <v>233.89408314993003</v>
      </c>
      <c r="J7" s="132">
        <f>IF(SER_hh_tesh!J7=0,0,SER_hh_tesh!J7/SER_summary!J$26)</f>
        <v>208.80882153730033</v>
      </c>
      <c r="K7" s="132">
        <f>IF(SER_hh_tesh!K7=0,0,SER_hh_tesh!K7/SER_summary!K$26)</f>
        <v>180.93761144247526</v>
      </c>
      <c r="L7" s="132">
        <f>IF(SER_hh_tesh!L7=0,0,SER_hh_tesh!L7/SER_summary!L$26)</f>
        <v>317.44010191235509</v>
      </c>
      <c r="M7" s="132">
        <f>IF(SER_hh_tesh!M7=0,0,SER_hh_tesh!M7/SER_summary!M$26)</f>
        <v>215.97737470907225</v>
      </c>
      <c r="N7" s="132">
        <f>IF(SER_hh_tesh!N7=0,0,SER_hh_tesh!N7/SER_summary!N$26)</f>
        <v>214.05521153947731</v>
      </c>
      <c r="O7" s="132">
        <f>IF(SER_hh_tesh!O7=0,0,SER_hh_tesh!O7/SER_summary!O$26)</f>
        <v>240.1809818422204</v>
      </c>
      <c r="P7" s="132">
        <f>IF(SER_hh_tesh!P7=0,0,SER_hh_tesh!P7/SER_summary!P$26)</f>
        <v>186.43877696658527</v>
      </c>
      <c r="Q7" s="132">
        <f>IF(SER_hh_tesh!Q7=0,0,SER_hh_tesh!Q7/SER_summary!Q$26)</f>
        <v>241.57515093744368</v>
      </c>
      <c r="R7" s="132">
        <f>IF(SER_hh_tesh!R7=0,0,SER_hh_tesh!R7/SER_summary!R$26)</f>
        <v>213.33910493469818</v>
      </c>
      <c r="S7" s="132">
        <f>IF(SER_hh_tesh!S7=0,0,SER_hh_tesh!S7/SER_summary!S$26)</f>
        <v>288.87492700933802</v>
      </c>
      <c r="T7" s="132">
        <f>IF(SER_hh_tesh!T7=0,0,SER_hh_tesh!T7/SER_summary!T$26)</f>
        <v>275.95584907535613</v>
      </c>
      <c r="U7" s="132">
        <f>IF(SER_hh_tesh!U7=0,0,SER_hh_tesh!U7/SER_summary!U$26)</f>
        <v>338.88559799045487</v>
      </c>
      <c r="V7" s="132">
        <f>IF(SER_hh_tesh!V7=0,0,SER_hh_tesh!V7/SER_summary!V$26)</f>
        <v>316.09428432103357</v>
      </c>
      <c r="W7" s="132">
        <f>IF(SER_hh_tesh!W7=0,0,SER_hh_tesh!W7/SER_summary!W$26)</f>
        <v>286.56963546658847</v>
      </c>
      <c r="X7" s="132">
        <f>IF(SER_hh_tesh!X7=0,0,SER_hh_tesh!X7/SER_summary!X$26)</f>
        <v>232.84162250726334</v>
      </c>
      <c r="Y7" s="132">
        <f>IF(SER_hh_tesh!Y7=0,0,SER_hh_tesh!Y7/SER_summary!Y$26)</f>
        <v>244.50450696810677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0</v>
      </c>
      <c r="C8" s="132">
        <f>IF(SER_hh_tesh!C8=0,0,SER_hh_tesh!C8/SER_summary!C$26)</f>
        <v>0</v>
      </c>
      <c r="D8" s="132">
        <f>IF(SER_hh_tesh!D8=0,0,SER_hh_tesh!D8/SER_summary!D$26)</f>
        <v>0</v>
      </c>
      <c r="E8" s="132">
        <f>IF(SER_hh_tesh!E8=0,0,SER_hh_tesh!E8/SER_summary!E$26)</f>
        <v>0</v>
      </c>
      <c r="F8" s="132">
        <f>IF(SER_hh_tesh!F8=0,0,SER_hh_tesh!F8/SER_summary!F$26)</f>
        <v>0</v>
      </c>
      <c r="G8" s="132">
        <f>IF(SER_hh_tesh!G8=0,0,SER_hh_tesh!G8/SER_summary!G$26)</f>
        <v>0</v>
      </c>
      <c r="H8" s="132">
        <f>IF(SER_hh_tesh!H8=0,0,SER_hh_tesh!H8/SER_summary!H$26)</f>
        <v>0</v>
      </c>
      <c r="I8" s="132">
        <f>IF(SER_hh_tesh!I8=0,0,SER_hh_tesh!I8/SER_summary!I$26)</f>
        <v>0</v>
      </c>
      <c r="J8" s="132">
        <f>IF(SER_hh_tesh!J8=0,0,SER_hh_tesh!J8/SER_summary!J$26)</f>
        <v>0</v>
      </c>
      <c r="K8" s="132">
        <f>IF(SER_hh_tesh!K8=0,0,SER_hh_tesh!K8/SER_summary!K$26)</f>
        <v>0</v>
      </c>
      <c r="L8" s="132">
        <f>IF(SER_hh_tesh!L8=0,0,SER_hh_tesh!L8/SER_summary!L$26)</f>
        <v>0</v>
      </c>
      <c r="M8" s="132">
        <f>IF(SER_hh_tesh!M8=0,0,SER_hh_tesh!M8/SER_summary!M$26)</f>
        <v>0</v>
      </c>
      <c r="N8" s="132">
        <f>IF(SER_hh_tesh!N8=0,0,SER_hh_tesh!N8/SER_summary!N$26)</f>
        <v>0</v>
      </c>
      <c r="O8" s="132">
        <f>IF(SER_hh_tesh!O8=0,0,SER_hh_tesh!O8/SER_summary!O$26)</f>
        <v>0</v>
      </c>
      <c r="P8" s="132">
        <f>IF(SER_hh_tesh!P8=0,0,SER_hh_tesh!P8/SER_summary!P$26)</f>
        <v>0</v>
      </c>
      <c r="Q8" s="132">
        <f>IF(SER_hh_tesh!Q8=0,0,SER_hh_tesh!Q8/SER_summary!Q$26)</f>
        <v>0</v>
      </c>
      <c r="R8" s="132">
        <f>IF(SER_hh_tesh!R8=0,0,SER_hh_tesh!R8/SER_summary!R$26)</f>
        <v>0</v>
      </c>
      <c r="S8" s="132">
        <f>IF(SER_hh_tesh!S8=0,0,SER_hh_tesh!S8/SER_summary!S$26)</f>
        <v>0</v>
      </c>
      <c r="T8" s="132">
        <f>IF(SER_hh_tesh!T8=0,0,SER_hh_tesh!T8/SER_summary!T$26)</f>
        <v>0</v>
      </c>
      <c r="U8" s="132">
        <f>IF(SER_hh_tesh!U8=0,0,SER_hh_tesh!U8/SER_summary!U$26)</f>
        <v>0</v>
      </c>
      <c r="V8" s="132">
        <f>IF(SER_hh_tesh!V8=0,0,SER_hh_tesh!V8/SER_summary!V$26)</f>
        <v>0</v>
      </c>
      <c r="W8" s="132">
        <f>IF(SER_hh_tesh!W8=0,0,SER_hh_tesh!W8/SER_summary!W$26)</f>
        <v>0</v>
      </c>
      <c r="X8" s="132">
        <f>IF(SER_hh_tesh!X8=0,0,SER_hh_tesh!X8/SER_summary!X$26)</f>
        <v>0</v>
      </c>
      <c r="Y8" s="132">
        <f>IF(SER_hh_tesh!Y8=0,0,SER_hh_tesh!Y8/SER_summary!Y$26)</f>
        <v>0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293.43737869643934</v>
      </c>
      <c r="C9" s="132">
        <f>IF(SER_hh_tesh!C9=0,0,SER_hh_tesh!C9/SER_summary!C$26)</f>
        <v>199.50356569181946</v>
      </c>
      <c r="D9" s="132">
        <f>IF(SER_hh_tesh!D9=0,0,SER_hh_tesh!D9/SER_summary!D$26)</f>
        <v>227.26483874996717</v>
      </c>
      <c r="E9" s="132">
        <f>IF(SER_hh_tesh!E9=0,0,SER_hh_tesh!E9/SER_summary!E$26)</f>
        <v>268.38895704146728</v>
      </c>
      <c r="F9" s="132">
        <f>IF(SER_hh_tesh!F9=0,0,SER_hh_tesh!F9/SER_summary!F$26)</f>
        <v>245.13925686424781</v>
      </c>
      <c r="G9" s="132">
        <f>IF(SER_hh_tesh!G9=0,0,SER_hh_tesh!G9/SER_summary!G$26)</f>
        <v>210.05137427141435</v>
      </c>
      <c r="H9" s="132">
        <f>IF(SER_hh_tesh!H9=0,0,SER_hh_tesh!H9/SER_summary!H$26)</f>
        <v>258.39234565291241</v>
      </c>
      <c r="I9" s="132">
        <f>IF(SER_hh_tesh!I9=0,0,SER_hh_tesh!I9/SER_summary!I$26)</f>
        <v>207.92860391600215</v>
      </c>
      <c r="J9" s="132">
        <f>IF(SER_hh_tesh!J9=0,0,SER_hh_tesh!J9/SER_summary!J$26)</f>
        <v>254.38325858109098</v>
      </c>
      <c r="K9" s="132">
        <f>IF(SER_hh_tesh!K9=0,0,SER_hh_tesh!K9/SER_summary!K$26)</f>
        <v>265.1756308483549</v>
      </c>
      <c r="L9" s="132">
        <f>IF(SER_hh_tesh!L9=0,0,SER_hh_tesh!L9/SER_summary!L$26)</f>
        <v>319.10017114455565</v>
      </c>
      <c r="M9" s="132">
        <f>IF(SER_hh_tesh!M9=0,0,SER_hh_tesh!M9/SER_summary!M$26)</f>
        <v>133.24323181352821</v>
      </c>
      <c r="N9" s="132">
        <f>IF(SER_hh_tesh!N9=0,0,SER_hh_tesh!N9/SER_summary!N$26)</f>
        <v>247.51282735008675</v>
      </c>
      <c r="O9" s="132">
        <f>IF(SER_hh_tesh!O9=0,0,SER_hh_tesh!O9/SER_summary!O$26)</f>
        <v>244.11990294420019</v>
      </c>
      <c r="P9" s="132">
        <f>IF(SER_hh_tesh!P9=0,0,SER_hh_tesh!P9/SER_summary!P$26)</f>
        <v>191.37287601635074</v>
      </c>
      <c r="Q9" s="132">
        <f>IF(SER_hh_tesh!Q9=0,0,SER_hh_tesh!Q9/SER_summary!Q$26)</f>
        <v>227.4833944225507</v>
      </c>
      <c r="R9" s="132">
        <f>IF(SER_hh_tesh!R9=0,0,SER_hh_tesh!R9/SER_summary!R$26)</f>
        <v>273.5826421955876</v>
      </c>
      <c r="S9" s="132">
        <f>IF(SER_hh_tesh!S9=0,0,SER_hh_tesh!S9/SER_summary!S$26)</f>
        <v>223.33866453405921</v>
      </c>
      <c r="T9" s="132">
        <f>IF(SER_hh_tesh!T9=0,0,SER_hh_tesh!T9/SER_summary!T$26)</f>
        <v>283.3000460350878</v>
      </c>
      <c r="U9" s="132">
        <f>IF(SER_hh_tesh!U9=0,0,SER_hh_tesh!U9/SER_summary!U$26)</f>
        <v>338.86570143296967</v>
      </c>
      <c r="V9" s="132">
        <f>IF(SER_hh_tesh!V9=0,0,SER_hh_tesh!V9/SER_summary!V$26)</f>
        <v>265.39399401434207</v>
      </c>
      <c r="W9" s="132">
        <f>IF(SER_hh_tesh!W9=0,0,SER_hh_tesh!W9/SER_summary!W$26)</f>
        <v>436.17193185583551</v>
      </c>
      <c r="X9" s="132">
        <f>IF(SER_hh_tesh!X9=0,0,SER_hh_tesh!X9/SER_summary!X$26)</f>
        <v>289.28511389722013</v>
      </c>
      <c r="Y9" s="132">
        <f>IF(SER_hh_tesh!Y9=0,0,SER_hh_tesh!Y9/SER_summary!Y$26)</f>
        <v>246.40522547746778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142.63362620936954</v>
      </c>
      <c r="C10" s="132">
        <f>IF(SER_hh_tesh!C10=0,0,SER_hh_tesh!C10/SER_summary!C$26)</f>
        <v>231.94276542247897</v>
      </c>
      <c r="D10" s="132">
        <f>IF(SER_hh_tesh!D10=0,0,SER_hh_tesh!D10/SER_summary!D$26)</f>
        <v>314.84817910487658</v>
      </c>
      <c r="E10" s="132">
        <f>IF(SER_hh_tesh!E10=0,0,SER_hh_tesh!E10/SER_summary!E$26)</f>
        <v>203.00755157651528</v>
      </c>
      <c r="F10" s="132">
        <f>IF(SER_hh_tesh!F10=0,0,SER_hh_tesh!F10/SER_summary!F$26)</f>
        <v>269.72370000578729</v>
      </c>
      <c r="G10" s="132">
        <f>IF(SER_hh_tesh!G10=0,0,SER_hh_tesh!G10/SER_summary!G$26)</f>
        <v>281.01416648076713</v>
      </c>
      <c r="H10" s="132">
        <f>IF(SER_hh_tesh!H10=0,0,SER_hh_tesh!H10/SER_summary!H$26)</f>
        <v>142.89439511679117</v>
      </c>
      <c r="I10" s="132">
        <f>IF(SER_hh_tesh!I10=0,0,SER_hh_tesh!I10/SER_summary!I$26)</f>
        <v>127.5842430638945</v>
      </c>
      <c r="J10" s="132">
        <f>IF(SER_hh_tesh!J10=0,0,SER_hh_tesh!J10/SER_summary!J$26)</f>
        <v>232.73527032451042</v>
      </c>
      <c r="K10" s="132">
        <f>IF(SER_hh_tesh!K10=0,0,SER_hh_tesh!K10/SER_summary!K$26)</f>
        <v>352.95315074051854</v>
      </c>
      <c r="L10" s="132">
        <f>IF(SER_hh_tesh!L10=0,0,SER_hh_tesh!L10/SER_summary!L$26)</f>
        <v>256.75486080695697</v>
      </c>
      <c r="M10" s="132">
        <f>IF(SER_hh_tesh!M10=0,0,SER_hh_tesh!M10/SER_summary!M$26)</f>
        <v>102.81806402886804</v>
      </c>
      <c r="N10" s="132">
        <f>IF(SER_hh_tesh!N10=0,0,SER_hh_tesh!N10/SER_summary!N$26)</f>
        <v>186.10774033065624</v>
      </c>
      <c r="O10" s="132">
        <f>IF(SER_hh_tesh!O10=0,0,SER_hh_tesh!O10/SER_summary!O$26)</f>
        <v>265.86760033109363</v>
      </c>
      <c r="P10" s="132">
        <f>IF(SER_hh_tesh!P10=0,0,SER_hh_tesh!P10/SER_summary!P$26)</f>
        <v>342.63621909195058</v>
      </c>
      <c r="Q10" s="132">
        <f>IF(SER_hh_tesh!Q10=0,0,SER_hh_tesh!Q10/SER_summary!Q$26)</f>
        <v>143.31812711155442</v>
      </c>
      <c r="R10" s="132">
        <f>IF(SER_hh_tesh!R10=0,0,SER_hh_tesh!R10/SER_summary!R$26)</f>
        <v>366.27865589952529</v>
      </c>
      <c r="S10" s="132">
        <f>IF(SER_hh_tesh!S10=0,0,SER_hh_tesh!S10/SER_summary!S$26)</f>
        <v>29.639810429744934</v>
      </c>
      <c r="T10" s="132">
        <f>IF(SER_hh_tesh!T10=0,0,SER_hh_tesh!T10/SER_summary!T$26)</f>
        <v>82.320665793352262</v>
      </c>
      <c r="U10" s="132">
        <f>IF(SER_hh_tesh!U10=0,0,SER_hh_tesh!U10/SER_summary!U$26)</f>
        <v>57.528066709171739</v>
      </c>
      <c r="V10" s="132">
        <f>IF(SER_hh_tesh!V10=0,0,SER_hh_tesh!V10/SER_summary!V$26)</f>
        <v>188.48227384053965</v>
      </c>
      <c r="W10" s="132">
        <f>IF(SER_hh_tesh!W10=0,0,SER_hh_tesh!W10/SER_summary!W$26)</f>
        <v>407.7230339709165</v>
      </c>
      <c r="X10" s="132">
        <f>IF(SER_hh_tesh!X10=0,0,SER_hh_tesh!X10/SER_summary!X$26)</f>
        <v>246.34266190119013</v>
      </c>
      <c r="Y10" s="132">
        <f>IF(SER_hh_tesh!Y10=0,0,SER_hh_tesh!Y10/SER_summary!Y$26)</f>
        <v>269.35459666535303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0</v>
      </c>
      <c r="F11" s="132">
        <f>IF(SER_hh_tesh!F11=0,0,SER_hh_tesh!F11/SER_summary!F$26)</f>
        <v>0</v>
      </c>
      <c r="G11" s="132">
        <f>IF(SER_hh_tesh!G11=0,0,SER_hh_tesh!G11/SER_summary!G$26)</f>
        <v>0</v>
      </c>
      <c r="H11" s="132">
        <f>IF(SER_hh_tesh!H11=0,0,SER_hh_tesh!H11/SER_summary!H$26)</f>
        <v>0</v>
      </c>
      <c r="I11" s="132">
        <f>IF(SER_hh_tesh!I11=0,0,SER_hh_tesh!I11/SER_summary!I$26)</f>
        <v>0</v>
      </c>
      <c r="J11" s="132">
        <f>IF(SER_hh_tesh!J11=0,0,SER_hh_tesh!J11/SER_summary!J$26)</f>
        <v>0</v>
      </c>
      <c r="K11" s="132">
        <f>IF(SER_hh_tesh!K11=0,0,SER_hh_tesh!K11/SER_summary!K$26)</f>
        <v>0</v>
      </c>
      <c r="L11" s="132">
        <f>IF(SER_hh_tesh!L11=0,0,SER_hh_tesh!L11/SER_summary!L$26)</f>
        <v>0</v>
      </c>
      <c r="M11" s="132">
        <f>IF(SER_hh_tesh!M11=0,0,SER_hh_tesh!M11/SER_summary!M$26)</f>
        <v>0</v>
      </c>
      <c r="N11" s="132">
        <f>IF(SER_hh_tesh!N11=0,0,SER_hh_tesh!N11/SER_summary!N$26)</f>
        <v>0</v>
      </c>
      <c r="O11" s="132">
        <f>IF(SER_hh_tesh!O11=0,0,SER_hh_tesh!O11/SER_summary!O$26)</f>
        <v>0</v>
      </c>
      <c r="P11" s="132">
        <f>IF(SER_hh_tesh!P11=0,0,SER_hh_tesh!P11/SER_summary!P$26)</f>
        <v>0</v>
      </c>
      <c r="Q11" s="132">
        <f>IF(SER_hh_tesh!Q11=0,0,SER_hh_tesh!Q11/SER_summary!Q$26)</f>
        <v>0</v>
      </c>
      <c r="R11" s="132">
        <f>IF(SER_hh_tesh!R11=0,0,SER_hh_tesh!R11/SER_summary!R$26)</f>
        <v>0</v>
      </c>
      <c r="S11" s="132">
        <f>IF(SER_hh_tesh!S11=0,0,SER_hh_tesh!S11/SER_summary!S$26)</f>
        <v>0</v>
      </c>
      <c r="T11" s="132">
        <f>IF(SER_hh_tesh!T11=0,0,SER_hh_tesh!T11/SER_summary!T$26)</f>
        <v>0</v>
      </c>
      <c r="U11" s="132">
        <f>IF(SER_hh_tesh!U11=0,0,SER_hh_tesh!U11/SER_summary!U$26)</f>
        <v>0</v>
      </c>
      <c r="V11" s="132">
        <f>IF(SER_hh_tesh!V11=0,0,SER_hh_tesh!V11/SER_summary!V$26)</f>
        <v>0</v>
      </c>
      <c r="W11" s="132">
        <f>IF(SER_hh_tesh!W11=0,0,SER_hh_tesh!W11/SER_summary!W$26)</f>
        <v>0</v>
      </c>
      <c r="X11" s="132">
        <f>IF(SER_hh_tesh!X11=0,0,SER_hh_tesh!X11/SER_summary!X$26)</f>
        <v>0</v>
      </c>
      <c r="Y11" s="132">
        <f>IF(SER_hh_tesh!Y11=0,0,SER_hh_tesh!Y11/SER_summary!Y$26)</f>
        <v>0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221.85286535148404</v>
      </c>
      <c r="C12" s="132">
        <f>IF(SER_hh_tesh!C12=0,0,SER_hh_tesh!C12/SER_summary!C$26)</f>
        <v>206.15005461525095</v>
      </c>
      <c r="D12" s="132">
        <f>IF(SER_hh_tesh!D12=0,0,SER_hh_tesh!D12/SER_summary!D$26)</f>
        <v>189.89319312808368</v>
      </c>
      <c r="E12" s="132">
        <f>IF(SER_hh_tesh!E12=0,0,SER_hh_tesh!E12/SER_summary!E$26)</f>
        <v>306.02939688063185</v>
      </c>
      <c r="F12" s="132">
        <f>IF(SER_hh_tesh!F12=0,0,SER_hh_tesh!F12/SER_summary!F$26)</f>
        <v>261.09903618035742</v>
      </c>
      <c r="G12" s="132">
        <f>IF(SER_hh_tesh!G12=0,0,SER_hh_tesh!G12/SER_summary!G$26)</f>
        <v>248.99371164722936</v>
      </c>
      <c r="H12" s="132">
        <f>IF(SER_hh_tesh!H12=0,0,SER_hh_tesh!H12/SER_summary!H$26)</f>
        <v>255.64811074882695</v>
      </c>
      <c r="I12" s="132">
        <f>IF(SER_hh_tesh!I12=0,0,SER_hh_tesh!I12/SER_summary!I$26)</f>
        <v>217.87127898459863</v>
      </c>
      <c r="J12" s="132">
        <f>IF(SER_hh_tesh!J12=0,0,SER_hh_tesh!J12/SER_summary!J$26)</f>
        <v>265.95628256509337</v>
      </c>
      <c r="K12" s="132">
        <f>IF(SER_hh_tesh!K12=0,0,SER_hh_tesh!K12/SER_summary!K$26)</f>
        <v>217.75939128990461</v>
      </c>
      <c r="L12" s="132">
        <f>IF(SER_hh_tesh!L12=0,0,SER_hh_tesh!L12/SER_summary!L$26)</f>
        <v>253.3123525296966</v>
      </c>
      <c r="M12" s="132">
        <f>IF(SER_hh_tesh!M12=0,0,SER_hh_tesh!M12/SER_summary!M$26)</f>
        <v>268.09875244209945</v>
      </c>
      <c r="N12" s="132">
        <f>IF(SER_hh_tesh!N12=0,0,SER_hh_tesh!N12/SER_summary!N$26)</f>
        <v>243.72882317364926</v>
      </c>
      <c r="O12" s="132">
        <f>IF(SER_hh_tesh!O12=0,0,SER_hh_tesh!O12/SER_summary!O$26)</f>
        <v>267.84455263444482</v>
      </c>
      <c r="P12" s="132">
        <f>IF(SER_hh_tesh!P12=0,0,SER_hh_tesh!P12/SER_summary!P$26)</f>
        <v>182.49960093816108</v>
      </c>
      <c r="Q12" s="132">
        <f>IF(SER_hh_tesh!Q12=0,0,SER_hh_tesh!Q12/SER_summary!Q$26)</f>
        <v>228.74788211255512</v>
      </c>
      <c r="R12" s="132">
        <f>IF(SER_hh_tesh!R12=0,0,SER_hh_tesh!R12/SER_summary!R$26)</f>
        <v>232.17582239821812</v>
      </c>
      <c r="S12" s="132">
        <f>IF(SER_hh_tesh!S12=0,0,SER_hh_tesh!S12/SER_summary!S$26)</f>
        <v>256.28154602809849</v>
      </c>
      <c r="T12" s="132">
        <f>IF(SER_hh_tesh!T12=0,0,SER_hh_tesh!T12/SER_summary!T$26)</f>
        <v>264.61168264415079</v>
      </c>
      <c r="U12" s="132">
        <f>IF(SER_hh_tesh!U12=0,0,SER_hh_tesh!U12/SER_summary!U$26)</f>
        <v>293.85388909499198</v>
      </c>
      <c r="V12" s="132">
        <f>IF(SER_hh_tesh!V12=0,0,SER_hh_tesh!V12/SER_summary!V$26)</f>
        <v>351.43354194731478</v>
      </c>
      <c r="W12" s="132">
        <f>IF(SER_hh_tesh!W12=0,0,SER_hh_tesh!W12/SER_summary!W$26)</f>
        <v>346.61589398695764</v>
      </c>
      <c r="X12" s="132">
        <f>IF(SER_hh_tesh!X12=0,0,SER_hh_tesh!X12/SER_summary!X$26)</f>
        <v>273.04769029198468</v>
      </c>
      <c r="Y12" s="132">
        <f>IF(SER_hh_tesh!Y12=0,0,SER_hh_tesh!Y12/SER_summary!Y$26)</f>
        <v>242.79009861704574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0</v>
      </c>
      <c r="C13" s="132">
        <f>IF(SER_hh_tesh!C13=0,0,SER_hh_tesh!C13/SER_summary!C$26)</f>
        <v>0</v>
      </c>
      <c r="D13" s="132">
        <f>IF(SER_hh_tesh!D13=0,0,SER_hh_tesh!D13/SER_summary!D$26)</f>
        <v>0</v>
      </c>
      <c r="E13" s="132">
        <f>IF(SER_hh_tesh!E13=0,0,SER_hh_tesh!E13/SER_summary!E$26)</f>
        <v>0</v>
      </c>
      <c r="F13" s="132">
        <f>IF(SER_hh_tesh!F13=0,0,SER_hh_tesh!F13/SER_summary!F$26)</f>
        <v>0</v>
      </c>
      <c r="G13" s="132">
        <f>IF(SER_hh_tesh!G13=0,0,SER_hh_tesh!G13/SER_summary!G$26)</f>
        <v>0</v>
      </c>
      <c r="H13" s="132">
        <f>IF(SER_hh_tesh!H13=0,0,SER_hh_tesh!H13/SER_summary!H$26)</f>
        <v>0</v>
      </c>
      <c r="I13" s="132">
        <f>IF(SER_hh_tesh!I13=0,0,SER_hh_tesh!I13/SER_summary!I$26)</f>
        <v>0</v>
      </c>
      <c r="J13" s="132">
        <f>IF(SER_hh_tesh!J13=0,0,SER_hh_tesh!J13/SER_summary!J$26)</f>
        <v>0</v>
      </c>
      <c r="K13" s="132">
        <f>IF(SER_hh_tesh!K13=0,0,SER_hh_tesh!K13/SER_summary!K$26)</f>
        <v>0</v>
      </c>
      <c r="L13" s="132">
        <f>IF(SER_hh_tesh!L13=0,0,SER_hh_tesh!L13/SER_summary!L$26)</f>
        <v>0</v>
      </c>
      <c r="M13" s="132">
        <f>IF(SER_hh_tesh!M13=0,0,SER_hh_tesh!M13/SER_summary!M$26)</f>
        <v>0</v>
      </c>
      <c r="N13" s="132">
        <f>IF(SER_hh_tesh!N13=0,0,SER_hh_tesh!N13/SER_summary!N$26)</f>
        <v>0</v>
      </c>
      <c r="O13" s="132">
        <f>IF(SER_hh_tesh!O13=0,0,SER_hh_tesh!O13/SER_summary!O$26)</f>
        <v>0</v>
      </c>
      <c r="P13" s="132">
        <f>IF(SER_hh_tesh!P13=0,0,SER_hh_tesh!P13/SER_summary!P$26)</f>
        <v>0</v>
      </c>
      <c r="Q13" s="132">
        <f>IF(SER_hh_tesh!Q13=0,0,SER_hh_tesh!Q13/SER_summary!Q$26)</f>
        <v>0</v>
      </c>
      <c r="R13" s="132">
        <f>IF(SER_hh_tesh!R13=0,0,SER_hh_tesh!R13/SER_summary!R$26)</f>
        <v>0</v>
      </c>
      <c r="S13" s="132">
        <f>IF(SER_hh_tesh!S13=0,0,SER_hh_tesh!S13/SER_summary!S$26)</f>
        <v>0</v>
      </c>
      <c r="T13" s="132">
        <f>IF(SER_hh_tesh!T13=0,0,SER_hh_tesh!T13/SER_summary!T$26)</f>
        <v>0</v>
      </c>
      <c r="U13" s="132">
        <f>IF(SER_hh_tesh!U13=0,0,SER_hh_tesh!U13/SER_summary!U$26)</f>
        <v>0</v>
      </c>
      <c r="V13" s="132">
        <f>IF(SER_hh_tesh!V13=0,0,SER_hh_tesh!V13/SER_summary!V$26)</f>
        <v>0</v>
      </c>
      <c r="W13" s="132">
        <f>IF(SER_hh_tesh!W13=0,0,SER_hh_tesh!W13/SER_summary!W$26)</f>
        <v>0</v>
      </c>
      <c r="X13" s="132">
        <f>IF(SER_hh_tesh!X13=0,0,SER_hh_tesh!X13/SER_summary!X$26)</f>
        <v>0</v>
      </c>
      <c r="Y13" s="132">
        <f>IF(SER_hh_tesh!Y13=0,0,SER_hh_tesh!Y13/SER_summary!Y$26)</f>
        <v>0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203.81618790139939</v>
      </c>
      <c r="C14" s="65">
        <f>IF(SER_hh_tesh!C14=0,0,SER_hh_tesh!C14/SER_summary!C$26)</f>
        <v>300.01470269692072</v>
      </c>
      <c r="D14" s="65">
        <f>IF(SER_hh_tesh!D14=0,0,SER_hh_tesh!D14/SER_summary!D$26)</f>
        <v>200.51906552200239</v>
      </c>
      <c r="E14" s="65">
        <f>IF(SER_hh_tesh!E14=0,0,SER_hh_tesh!E14/SER_summary!E$26)</f>
        <v>253.89434739614271</v>
      </c>
      <c r="F14" s="65">
        <f>IF(SER_hh_tesh!F14=0,0,SER_hh_tesh!F14/SER_summary!F$26)</f>
        <v>208.82073682802252</v>
      </c>
      <c r="G14" s="65">
        <f>IF(SER_hh_tesh!G14=0,0,SER_hh_tesh!G14/SER_summary!G$26)</f>
        <v>243.02680505970639</v>
      </c>
      <c r="H14" s="65">
        <f>IF(SER_hh_tesh!H14=0,0,SER_hh_tesh!H14/SER_summary!H$26)</f>
        <v>216.86117642720924</v>
      </c>
      <c r="I14" s="65">
        <f>IF(SER_hh_tesh!I14=0,0,SER_hh_tesh!I14/SER_summary!I$26)</f>
        <v>290.46210075906748</v>
      </c>
      <c r="J14" s="65">
        <f>IF(SER_hh_tesh!J14=0,0,SER_hh_tesh!J14/SER_summary!J$26)</f>
        <v>260.2523331547863</v>
      </c>
      <c r="K14" s="65">
        <f>IF(SER_hh_tesh!K14=0,0,SER_hh_tesh!K14/SER_summary!K$26)</f>
        <v>239.51470651957663</v>
      </c>
      <c r="L14" s="65">
        <f>IF(SER_hh_tesh!L14=0,0,SER_hh_tesh!L14/SER_summary!L$26)</f>
        <v>252.66411625015965</v>
      </c>
      <c r="M14" s="65">
        <f>IF(SER_hh_tesh!M14=0,0,SER_hh_tesh!M14/SER_summary!M$26)</f>
        <v>219.58465265205731</v>
      </c>
      <c r="N14" s="65">
        <f>IF(SER_hh_tesh!N14=0,0,SER_hh_tesh!N14/SER_summary!N$26)</f>
        <v>236.93787215810536</v>
      </c>
      <c r="O14" s="65">
        <f>IF(SER_hh_tesh!O14=0,0,SER_hh_tesh!O14/SER_summary!O$26)</f>
        <v>246.86772627049243</v>
      </c>
      <c r="P14" s="65">
        <f>IF(SER_hh_tesh!P14=0,0,SER_hh_tesh!P14/SER_summary!P$26)</f>
        <v>219.41740433133697</v>
      </c>
      <c r="Q14" s="65">
        <f>IF(SER_hh_tesh!Q14=0,0,SER_hh_tesh!Q14/SER_summary!Q$26)</f>
        <v>221.78735923067828</v>
      </c>
      <c r="R14" s="65">
        <f>IF(SER_hh_tesh!R14=0,0,SER_hh_tesh!R14/SER_summary!R$26)</f>
        <v>172.34479406832503</v>
      </c>
      <c r="S14" s="65">
        <f>IF(SER_hh_tesh!S14=0,0,SER_hh_tesh!S14/SER_summary!S$26)</f>
        <v>323.39172576705846</v>
      </c>
      <c r="T14" s="65">
        <f>IF(SER_hh_tesh!T14=0,0,SER_hh_tesh!T14/SER_summary!T$26)</f>
        <v>283.72832368215398</v>
      </c>
      <c r="U14" s="65">
        <f>IF(SER_hh_tesh!U14=0,0,SER_hh_tesh!U14/SER_summary!U$26)</f>
        <v>334.96276189131675</v>
      </c>
      <c r="V14" s="65">
        <f>IF(SER_hh_tesh!V14=0,0,SER_hh_tesh!V14/SER_summary!V$26)</f>
        <v>312.53313069143644</v>
      </c>
      <c r="W14" s="65">
        <f>IF(SER_hh_tesh!W14=0,0,SER_hh_tesh!W14/SER_summary!W$26)</f>
        <v>402.81396334148832</v>
      </c>
      <c r="X14" s="65">
        <f>IF(SER_hh_tesh!X14=0,0,SER_hh_tesh!X14/SER_summary!X$26)</f>
        <v>211.0958280607681</v>
      </c>
      <c r="Y14" s="65">
        <f>IF(SER_hh_tesh!Y14=0,0,SER_hh_tesh!Y14/SER_summary!Y$26)</f>
        <v>264.96509800252898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4.7063187402778421</v>
      </c>
      <c r="C15" s="134">
        <f>IF(SER_hh_tesh!C15=0,0,SER_hh_tesh!C15/SER_summary!C$26)</f>
        <v>3.8708861422946201</v>
      </c>
      <c r="D15" s="134">
        <f>IF(SER_hh_tesh!D15=0,0,SER_hh_tesh!D15/SER_summary!D$26)</f>
        <v>3.6638014934415519</v>
      </c>
      <c r="E15" s="134">
        <f>IF(SER_hh_tesh!E15=0,0,SER_hh_tesh!E15/SER_summary!E$26)</f>
        <v>3.7558050864212582</v>
      </c>
      <c r="F15" s="134">
        <f>IF(SER_hh_tesh!F15=0,0,SER_hh_tesh!F15/SER_summary!F$26)</f>
        <v>3.3380645293024758</v>
      </c>
      <c r="G15" s="134">
        <f>IF(SER_hh_tesh!G15=0,0,SER_hh_tesh!G15/SER_summary!G$26)</f>
        <v>2.959776087029852</v>
      </c>
      <c r="H15" s="134">
        <f>IF(SER_hh_tesh!H15=0,0,SER_hh_tesh!H15/SER_summary!H$26)</f>
        <v>3.0594802249047506</v>
      </c>
      <c r="I15" s="134">
        <f>IF(SER_hh_tesh!I15=0,0,SER_hh_tesh!I15/SER_summary!I$26)</f>
        <v>2.6999872164778331</v>
      </c>
      <c r="J15" s="134">
        <f>IF(SER_hh_tesh!J15=0,0,SER_hh_tesh!J15/SER_summary!J$26)</f>
        <v>3.1179901416396629</v>
      </c>
      <c r="K15" s="134">
        <f>IF(SER_hh_tesh!K15=0,0,SER_hh_tesh!K15/SER_summary!K$26)</f>
        <v>3.0458995521843599</v>
      </c>
      <c r="L15" s="134">
        <f>IF(SER_hh_tesh!L15=0,0,SER_hh_tesh!L15/SER_summary!L$26)</f>
        <v>3.746211595250371</v>
      </c>
      <c r="M15" s="134">
        <f>IF(SER_hh_tesh!M15=0,0,SER_hh_tesh!M15/SER_summary!M$26)</f>
        <v>2.0678754370106098</v>
      </c>
      <c r="N15" s="134">
        <f>IF(SER_hh_tesh!N15=0,0,SER_hh_tesh!N15/SER_summary!N$26)</f>
        <v>2.8543438882264387</v>
      </c>
      <c r="O15" s="134">
        <f>IF(SER_hh_tesh!O15=0,0,SER_hh_tesh!O15/SER_summary!O$26)</f>
        <v>2.9994995312269177</v>
      </c>
      <c r="P15" s="134">
        <f>IF(SER_hh_tesh!P15=0,0,SER_hh_tesh!P15/SER_summary!P$26)</f>
        <v>2.3519231991096619</v>
      </c>
      <c r="Q15" s="134">
        <f>IF(SER_hh_tesh!Q15=0,0,SER_hh_tesh!Q15/SER_summary!Q$26)</f>
        <v>2.9251819005895188</v>
      </c>
      <c r="R15" s="134">
        <f>IF(SER_hh_tesh!R15=0,0,SER_hh_tesh!R15/SER_summary!R$26)</f>
        <v>3.082503718350909</v>
      </c>
      <c r="S15" s="134">
        <f>IF(SER_hh_tesh!S15=0,0,SER_hh_tesh!S15/SER_summary!S$26)</f>
        <v>3.1848853888101005</v>
      </c>
      <c r="T15" s="134">
        <f>IF(SER_hh_tesh!T15=0,0,SER_hh_tesh!T15/SER_summary!T$26)</f>
        <v>3.3493139465687727</v>
      </c>
      <c r="U15" s="134">
        <f>IF(SER_hh_tesh!U15=0,0,SER_hh_tesh!U15/SER_summary!U$26)</f>
        <v>3.8463763444612495</v>
      </c>
      <c r="V15" s="134">
        <f>IF(SER_hh_tesh!V15=0,0,SER_hh_tesh!V15/SER_summary!V$26)</f>
        <v>3.2738775886757181</v>
      </c>
      <c r="W15" s="134">
        <f>IF(SER_hh_tesh!W15=0,0,SER_hh_tesh!W15/SER_summary!W$26)</f>
        <v>3.6506140138087879</v>
      </c>
      <c r="X15" s="134">
        <f>IF(SER_hh_tesh!X15=0,0,SER_hh_tesh!X15/SER_summary!X$26)</f>
        <v>2.6513995241297299</v>
      </c>
      <c r="Y15" s="134">
        <f>IF(SER_hh_tesh!Y15=0,0,SER_hh_tesh!Y15/SER_summary!Y$26)</f>
        <v>2.4638982519058921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38.313886971471682</v>
      </c>
      <c r="C16" s="130">
        <f>IF(SER_hh_tesh!C16=0,0,SER_hh_tesh!C16/SER_summary!C$26)</f>
        <v>39.043833039937489</v>
      </c>
      <c r="D16" s="130">
        <f>IF(SER_hh_tesh!D16=0,0,SER_hh_tesh!D16/SER_summary!D$26)</f>
        <v>39.639058470204922</v>
      </c>
      <c r="E16" s="130">
        <f>IF(SER_hh_tesh!E16=0,0,SER_hh_tesh!E16/SER_summary!E$26)</f>
        <v>50.814695187623535</v>
      </c>
      <c r="F16" s="130">
        <f>IF(SER_hh_tesh!F16=0,0,SER_hh_tesh!F16/SER_summary!F$26)</f>
        <v>38.843797719677404</v>
      </c>
      <c r="G16" s="130">
        <f>IF(SER_hh_tesh!G16=0,0,SER_hh_tesh!G16/SER_summary!G$26)</f>
        <v>40.108232137540433</v>
      </c>
      <c r="H16" s="130">
        <f>IF(SER_hh_tesh!H16=0,0,SER_hh_tesh!H16/SER_summary!H$26)</f>
        <v>47.238862734929043</v>
      </c>
      <c r="I16" s="130">
        <f>IF(SER_hh_tesh!I16=0,0,SER_hh_tesh!I16/SER_summary!I$26)</f>
        <v>39.366074749750801</v>
      </c>
      <c r="J16" s="130">
        <f>IF(SER_hh_tesh!J16=0,0,SER_hh_tesh!J16/SER_summary!J$26)</f>
        <v>39.358322727921681</v>
      </c>
      <c r="K16" s="130">
        <f>IF(SER_hh_tesh!K16=0,0,SER_hh_tesh!K16/SER_summary!K$26)</f>
        <v>39.805857457638844</v>
      </c>
      <c r="L16" s="130">
        <f>IF(SER_hh_tesh!L16=0,0,SER_hh_tesh!L16/SER_summary!L$26)</f>
        <v>42.737940540801219</v>
      </c>
      <c r="M16" s="130">
        <f>IF(SER_hh_tesh!M16=0,0,SER_hh_tesh!M16/SER_summary!M$26)</f>
        <v>40.093220272111026</v>
      </c>
      <c r="N16" s="130">
        <f>IF(SER_hh_tesh!N16=0,0,SER_hh_tesh!N16/SER_summary!N$26)</f>
        <v>41.310781376726965</v>
      </c>
      <c r="O16" s="130">
        <f>IF(SER_hh_tesh!O16=0,0,SER_hh_tesh!O16/SER_summary!O$26)</f>
        <v>42.123595355043314</v>
      </c>
      <c r="P16" s="130">
        <f>IF(SER_hh_tesh!P16=0,0,SER_hh_tesh!P16/SER_summary!P$26)</f>
        <v>40.56815714340965</v>
      </c>
      <c r="Q16" s="130">
        <f>IF(SER_hh_tesh!Q16=0,0,SER_hh_tesh!Q16/SER_summary!Q$26)</f>
        <v>45.984159213765089</v>
      </c>
      <c r="R16" s="130">
        <f>IF(SER_hh_tesh!R16=0,0,SER_hh_tesh!R16/SER_summary!R$26)</f>
        <v>41.858602940847142</v>
      </c>
      <c r="S16" s="130">
        <f>IF(SER_hh_tesh!S16=0,0,SER_hh_tesh!S16/SER_summary!S$26)</f>
        <v>41.797890172941528</v>
      </c>
      <c r="T16" s="130">
        <f>IF(SER_hh_tesh!T16=0,0,SER_hh_tesh!T16/SER_summary!T$26)</f>
        <v>47.128608070994588</v>
      </c>
      <c r="U16" s="130">
        <f>IF(SER_hh_tesh!U16=0,0,SER_hh_tesh!U16/SER_summary!U$26)</f>
        <v>47.376651978330344</v>
      </c>
      <c r="V16" s="130">
        <f>IF(SER_hh_tesh!V16=0,0,SER_hh_tesh!V16/SER_summary!V$26)</f>
        <v>46.627459365299671</v>
      </c>
      <c r="W16" s="130">
        <f>IF(SER_hh_tesh!W16=0,0,SER_hh_tesh!W16/SER_summary!W$26)</f>
        <v>40.432096972150987</v>
      </c>
      <c r="X16" s="130">
        <f>IF(SER_hh_tesh!X16=0,0,SER_hh_tesh!X16/SER_summary!X$26)</f>
        <v>42.907608344028056</v>
      </c>
      <c r="Y16" s="130">
        <f>IF(SER_hh_tesh!Y16=0,0,SER_hh_tesh!Y16/SER_summary!Y$26)</f>
        <v>40.939997361424247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38.313886971471689</v>
      </c>
      <c r="C17" s="132">
        <f>IF(SER_hh_tesh!C17=0,0,SER_hh_tesh!C17/SER_summary!C$26)</f>
        <v>39.043833039657407</v>
      </c>
      <c r="D17" s="132">
        <f>IF(SER_hh_tesh!D17=0,0,SER_hh_tesh!D17/SER_summary!D$26)</f>
        <v>39.639058439610402</v>
      </c>
      <c r="E17" s="132">
        <f>IF(SER_hh_tesh!E17=0,0,SER_hh_tesh!E17/SER_summary!E$26)</f>
        <v>50.814695179181818</v>
      </c>
      <c r="F17" s="132">
        <f>IF(SER_hh_tesh!F17=0,0,SER_hh_tesh!F17/SER_summary!F$26)</f>
        <v>38.843797736046085</v>
      </c>
      <c r="G17" s="132">
        <f>IF(SER_hh_tesh!G17=0,0,SER_hh_tesh!G17/SER_summary!G$26)</f>
        <v>40.108232163689209</v>
      </c>
      <c r="H17" s="132">
        <f>IF(SER_hh_tesh!H17=0,0,SER_hh_tesh!H17/SER_summary!H$26)</f>
        <v>47.238862760801588</v>
      </c>
      <c r="I17" s="132">
        <f>IF(SER_hh_tesh!I17=0,0,SER_hh_tesh!I17/SER_summary!I$26)</f>
        <v>39.366074753780616</v>
      </c>
      <c r="J17" s="132">
        <f>IF(SER_hh_tesh!J17=0,0,SER_hh_tesh!J17/SER_summary!J$26)</f>
        <v>39.358322717862038</v>
      </c>
      <c r="K17" s="132">
        <f>IF(SER_hh_tesh!K17=0,0,SER_hh_tesh!K17/SER_summary!K$26)</f>
        <v>46.879253926678373</v>
      </c>
      <c r="L17" s="132">
        <f>IF(SER_hh_tesh!L17=0,0,SER_hh_tesh!L17/SER_summary!L$26)</f>
        <v>42.737940507173391</v>
      </c>
      <c r="M17" s="132">
        <f>IF(SER_hh_tesh!M17=0,0,SER_hh_tesh!M17/SER_summary!M$26)</f>
        <v>40.093220244573942</v>
      </c>
      <c r="N17" s="132">
        <f>IF(SER_hh_tesh!N17=0,0,SER_hh_tesh!N17/SER_summary!N$26)</f>
        <v>41.310781349703433</v>
      </c>
      <c r="O17" s="132">
        <f>IF(SER_hh_tesh!O17=0,0,SER_hh_tesh!O17/SER_summary!O$26)</f>
        <v>42.123595368195481</v>
      </c>
      <c r="P17" s="132">
        <f>IF(SER_hh_tesh!P17=0,0,SER_hh_tesh!P17/SER_summary!P$26)</f>
        <v>40.568157223554614</v>
      </c>
      <c r="Q17" s="132">
        <f>IF(SER_hh_tesh!Q17=0,0,SER_hh_tesh!Q17/SER_summary!Q$26)</f>
        <v>45.984159384283821</v>
      </c>
      <c r="R17" s="132">
        <f>IF(SER_hh_tesh!R17=0,0,SER_hh_tesh!R17/SER_summary!R$26)</f>
        <v>41.858603086629159</v>
      </c>
      <c r="S17" s="132">
        <f>IF(SER_hh_tesh!S17=0,0,SER_hh_tesh!S17/SER_summary!S$26)</f>
        <v>43.219877293991047</v>
      </c>
      <c r="T17" s="132">
        <f>IF(SER_hh_tesh!T17=0,0,SER_hh_tesh!T17/SER_summary!T$26)</f>
        <v>47.128608053472597</v>
      </c>
      <c r="U17" s="132">
        <f>IF(SER_hh_tesh!U17=0,0,SER_hh_tesh!U17/SER_summary!U$26)</f>
        <v>47.376651912500435</v>
      </c>
      <c r="V17" s="132">
        <f>IF(SER_hh_tesh!V17=0,0,SER_hh_tesh!V17/SER_summary!V$26)</f>
        <v>47.47605778478956</v>
      </c>
      <c r="W17" s="132">
        <f>IF(SER_hh_tesh!W17=0,0,SER_hh_tesh!W17/SER_summary!W$26)</f>
        <v>47.150396383761198</v>
      </c>
      <c r="X17" s="132">
        <f>IF(SER_hh_tesh!X17=0,0,SER_hh_tesh!X17/SER_summary!X$26)</f>
        <v>42.642839852448297</v>
      </c>
      <c r="Y17" s="132">
        <f>IF(SER_hh_tesh!Y17=0,0,SER_hh_tesh!Y17/SER_summary!Y$26)</f>
        <v>40.939997513066729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38.313886971471689</v>
      </c>
      <c r="C18" s="132">
        <f>IF(SER_hh_tesh!C18=0,0,SER_hh_tesh!C18/SER_summary!C$26)</f>
        <v>39.043833039938669</v>
      </c>
      <c r="D18" s="132">
        <f>IF(SER_hh_tesh!D18=0,0,SER_hh_tesh!D18/SER_summary!D$26)</f>
        <v>39.639058470363707</v>
      </c>
      <c r="E18" s="132">
        <f>IF(SER_hh_tesh!E18=0,0,SER_hh_tesh!E18/SER_summary!E$26)</f>
        <v>50.814695187653733</v>
      </c>
      <c r="F18" s="132">
        <f>IF(SER_hh_tesh!F18=0,0,SER_hh_tesh!F18/SER_summary!F$26)</f>
        <v>38.843797719572116</v>
      </c>
      <c r="G18" s="132">
        <f>IF(SER_hh_tesh!G18=0,0,SER_hh_tesh!G18/SER_summary!G$26)</f>
        <v>40.108232137384199</v>
      </c>
      <c r="H18" s="132">
        <f>IF(SER_hh_tesh!H18=0,0,SER_hh_tesh!H18/SER_summary!H$26)</f>
        <v>47.23886273476559</v>
      </c>
      <c r="I18" s="132">
        <f>IF(SER_hh_tesh!I18=0,0,SER_hh_tesh!I18/SER_summary!I$26)</f>
        <v>39.366074749718109</v>
      </c>
      <c r="J18" s="132">
        <f>IF(SER_hh_tesh!J18=0,0,SER_hh_tesh!J18/SER_summary!J$26)</f>
        <v>39.358322728003337</v>
      </c>
      <c r="K18" s="132">
        <f>IF(SER_hh_tesh!K18=0,0,SER_hh_tesh!K18/SER_summary!K$26)</f>
        <v>39.745714570373352</v>
      </c>
      <c r="L18" s="132">
        <f>IF(SER_hh_tesh!L18=0,0,SER_hh_tesh!L18/SER_summary!L$26)</f>
        <v>42.737940541089941</v>
      </c>
      <c r="M18" s="132">
        <f>IF(SER_hh_tesh!M18=0,0,SER_hh_tesh!M18/SER_summary!M$26)</f>
        <v>40.09322027236756</v>
      </c>
      <c r="N18" s="132">
        <f>IF(SER_hh_tesh!N18=0,0,SER_hh_tesh!N18/SER_summary!N$26)</f>
        <v>41.310781376993219</v>
      </c>
      <c r="O18" s="132">
        <f>IF(SER_hh_tesh!O18=0,0,SER_hh_tesh!O18/SER_summary!O$26)</f>
        <v>42.123595354891336</v>
      </c>
      <c r="P18" s="132">
        <f>IF(SER_hh_tesh!P18=0,0,SER_hh_tesh!P18/SER_summary!P$26)</f>
        <v>40.568157142162285</v>
      </c>
      <c r="Q18" s="132">
        <f>IF(SER_hh_tesh!Q18=0,0,SER_hh_tesh!Q18/SER_summary!Q$26)</f>
        <v>45.984159210623687</v>
      </c>
      <c r="R18" s="132">
        <f>IF(SER_hh_tesh!R18=0,0,SER_hh_tesh!R18/SER_summary!R$26)</f>
        <v>41.858602937107463</v>
      </c>
      <c r="S18" s="132">
        <f>IF(SER_hh_tesh!S18=0,0,SER_hh_tesh!S18/SER_summary!S$26)</f>
        <v>41.756646467200063</v>
      </c>
      <c r="T18" s="132">
        <f>IF(SER_hh_tesh!T18=0,0,SER_hh_tesh!T18/SER_summary!T$26)</f>
        <v>47.128608071507351</v>
      </c>
      <c r="U18" s="132">
        <f>IF(SER_hh_tesh!U18=0,0,SER_hh_tesh!U18/SER_summary!U$26)</f>
        <v>47.376651980416781</v>
      </c>
      <c r="V18" s="132">
        <f>IF(SER_hh_tesh!V18=0,0,SER_hh_tesh!V18/SER_summary!V$26)</f>
        <v>46.598755648783872</v>
      </c>
      <c r="W18" s="132">
        <f>IF(SER_hh_tesh!W18=0,0,SER_hh_tesh!W18/SER_summary!W$26)</f>
        <v>40.190131955090358</v>
      </c>
      <c r="X18" s="132">
        <f>IF(SER_hh_tesh!X18=0,0,SER_hh_tesh!X18/SER_summary!X$26)</f>
        <v>42.917391464239373</v>
      </c>
      <c r="Y18" s="132">
        <f>IF(SER_hh_tesh!Y18=0,0,SER_hh_tesh!Y18/SER_summary!Y$26)</f>
        <v>40.939997355753626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32.267092758211767</v>
      </c>
      <c r="C19" s="130">
        <f>IF(SER_hh_tesh!C19=0,0,SER_hh_tesh!C19/SER_summary!C$26)</f>
        <v>32.707755925371401</v>
      </c>
      <c r="D19" s="130">
        <f>IF(SER_hh_tesh!D19=0,0,SER_hh_tesh!D19/SER_summary!D$26)</f>
        <v>32.599932898592904</v>
      </c>
      <c r="E19" s="130">
        <f>IF(SER_hh_tesh!E19=0,0,SER_hh_tesh!E19/SER_summary!E$26)</f>
        <v>32.506207813178563</v>
      </c>
      <c r="F19" s="130">
        <f>IF(SER_hh_tesh!F19=0,0,SER_hh_tesh!F19/SER_summary!F$26)</f>
        <v>32.026353273270239</v>
      </c>
      <c r="G19" s="130">
        <f>IF(SER_hh_tesh!G19=0,0,SER_hh_tesh!G19/SER_summary!G$26)</f>
        <v>31.940747357283296</v>
      </c>
      <c r="H19" s="130">
        <f>IF(SER_hh_tesh!H19=0,0,SER_hh_tesh!H19/SER_summary!H$26)</f>
        <v>31.747394449060145</v>
      </c>
      <c r="I19" s="130">
        <f>IF(SER_hh_tesh!I19=0,0,SER_hh_tesh!I19/SER_summary!I$26)</f>
        <v>32.052808729928053</v>
      </c>
      <c r="J19" s="130">
        <f>IF(SER_hh_tesh!J19=0,0,SER_hh_tesh!J19/SER_summary!J$26)</f>
        <v>32.291697363576205</v>
      </c>
      <c r="K19" s="130">
        <f>IF(SER_hh_tesh!K19=0,0,SER_hh_tesh!K19/SER_summary!K$26)</f>
        <v>32.604133466649273</v>
      </c>
      <c r="L19" s="130">
        <f>IF(SER_hh_tesh!L19=0,0,SER_hh_tesh!L19/SER_summary!L$26)</f>
        <v>32.665127886610129</v>
      </c>
      <c r="M19" s="130">
        <f>IF(SER_hh_tesh!M19=0,0,SER_hh_tesh!M19/SER_summary!M$26)</f>
        <v>31.907481868327253</v>
      </c>
      <c r="N19" s="130">
        <f>IF(SER_hh_tesh!N19=0,0,SER_hh_tesh!N19/SER_summary!N$26)</f>
        <v>32.220016997418284</v>
      </c>
      <c r="O19" s="130">
        <f>IF(SER_hh_tesh!O19=0,0,SER_hh_tesh!O19/SER_summary!O$26)</f>
        <v>32.643300704976063</v>
      </c>
      <c r="P19" s="130">
        <f>IF(SER_hh_tesh!P19=0,0,SER_hh_tesh!P19/SER_summary!P$26)</f>
        <v>33.287318547199561</v>
      </c>
      <c r="Q19" s="130">
        <f>IF(SER_hh_tesh!Q19=0,0,SER_hh_tesh!Q19/SER_summary!Q$26)</f>
        <v>33.525160530778777</v>
      </c>
      <c r="R19" s="130">
        <f>IF(SER_hh_tesh!R19=0,0,SER_hh_tesh!R19/SER_summary!R$26)</f>
        <v>33.079720343993927</v>
      </c>
      <c r="S19" s="130">
        <f>IF(SER_hh_tesh!S19=0,0,SER_hh_tesh!S19/SER_summary!S$26)</f>
        <v>33.911540460681138</v>
      </c>
      <c r="T19" s="130">
        <f>IF(SER_hh_tesh!T19=0,0,SER_hh_tesh!T19/SER_summary!T$26)</f>
        <v>33.792405120375953</v>
      </c>
      <c r="U19" s="130">
        <f>IF(SER_hh_tesh!U19=0,0,SER_hh_tesh!U19/SER_summary!U$26)</f>
        <v>33.75743943829179</v>
      </c>
      <c r="V19" s="130">
        <f>IF(SER_hh_tesh!V19=0,0,SER_hh_tesh!V19/SER_summary!V$26)</f>
        <v>30.178676877796551</v>
      </c>
      <c r="W19" s="130">
        <f>IF(SER_hh_tesh!W19=0,0,SER_hh_tesh!W19/SER_summary!W$26)</f>
        <v>31.80086229916963</v>
      </c>
      <c r="X19" s="130">
        <f>IF(SER_hh_tesh!X19=0,0,SER_hh_tesh!X19/SER_summary!X$26)</f>
        <v>33.423877606001142</v>
      </c>
      <c r="Y19" s="130">
        <f>IF(SER_hh_tesh!Y19=0,0,SER_hh_tesh!Y19/SER_summary!Y$26)</f>
        <v>34.343794654340186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0</v>
      </c>
      <c r="C21" s="132">
        <f>IF(SER_hh_tesh!C21=0,0,SER_hh_tesh!C21/SER_summary!C$26)</f>
        <v>0</v>
      </c>
      <c r="D21" s="132">
        <f>IF(SER_hh_tesh!D21=0,0,SER_hh_tesh!D21/SER_summary!D$26)</f>
        <v>0</v>
      </c>
      <c r="E21" s="132">
        <f>IF(SER_hh_tesh!E21=0,0,SER_hh_tesh!E21/SER_summary!E$26)</f>
        <v>0</v>
      </c>
      <c r="F21" s="132">
        <f>IF(SER_hh_tesh!F21=0,0,SER_hh_tesh!F21/SER_summary!F$26)</f>
        <v>0</v>
      </c>
      <c r="G21" s="132">
        <f>IF(SER_hh_tesh!G21=0,0,SER_hh_tesh!G21/SER_summary!G$26)</f>
        <v>0</v>
      </c>
      <c r="H21" s="132">
        <f>IF(SER_hh_tesh!H21=0,0,SER_hh_tesh!H21/SER_summary!H$26)</f>
        <v>0</v>
      </c>
      <c r="I21" s="132">
        <f>IF(SER_hh_tesh!I21=0,0,SER_hh_tesh!I21/SER_summary!I$26)</f>
        <v>0</v>
      </c>
      <c r="J21" s="132">
        <f>IF(SER_hh_tesh!J21=0,0,SER_hh_tesh!J21/SER_summary!J$26)</f>
        <v>0</v>
      </c>
      <c r="K21" s="132">
        <f>IF(SER_hh_tesh!K21=0,0,SER_hh_tesh!K21/SER_summary!K$26)</f>
        <v>0</v>
      </c>
      <c r="L21" s="132">
        <f>IF(SER_hh_tesh!L21=0,0,SER_hh_tesh!L21/SER_summary!L$26)</f>
        <v>0</v>
      </c>
      <c r="M21" s="132">
        <f>IF(SER_hh_tesh!M21=0,0,SER_hh_tesh!M21/SER_summary!M$26)</f>
        <v>0</v>
      </c>
      <c r="N21" s="132">
        <f>IF(SER_hh_tesh!N21=0,0,SER_hh_tesh!N21/SER_summary!N$26)</f>
        <v>0</v>
      </c>
      <c r="O21" s="132">
        <f>IF(SER_hh_tesh!O21=0,0,SER_hh_tesh!O21/SER_summary!O$26)</f>
        <v>0</v>
      </c>
      <c r="P21" s="132">
        <f>IF(SER_hh_tesh!P21=0,0,SER_hh_tesh!P21/SER_summary!P$26)</f>
        <v>0</v>
      </c>
      <c r="Q21" s="132">
        <f>IF(SER_hh_tesh!Q21=0,0,SER_hh_tesh!Q21/SER_summary!Q$26)</f>
        <v>0</v>
      </c>
      <c r="R21" s="132">
        <f>IF(SER_hh_tesh!R21=0,0,SER_hh_tesh!R21/SER_summary!R$26)</f>
        <v>0</v>
      </c>
      <c r="S21" s="132">
        <f>IF(SER_hh_tesh!S21=0,0,SER_hh_tesh!S21/SER_summary!S$26)</f>
        <v>0</v>
      </c>
      <c r="T21" s="132">
        <f>IF(SER_hh_tesh!T21=0,0,SER_hh_tesh!T21/SER_summary!T$26)</f>
        <v>0</v>
      </c>
      <c r="U21" s="132">
        <f>IF(SER_hh_tesh!U21=0,0,SER_hh_tesh!U21/SER_summary!U$26)</f>
        <v>0</v>
      </c>
      <c r="V21" s="132">
        <f>IF(SER_hh_tesh!V21=0,0,SER_hh_tesh!V21/SER_summary!V$26)</f>
        <v>0</v>
      </c>
      <c r="W21" s="132">
        <f>IF(SER_hh_tesh!W21=0,0,SER_hh_tesh!W21/SER_summary!W$26)</f>
        <v>0</v>
      </c>
      <c r="X21" s="132">
        <f>IF(SER_hh_tesh!X21=0,0,SER_hh_tesh!X21/SER_summary!X$26)</f>
        <v>0</v>
      </c>
      <c r="Y21" s="132">
        <f>IF(SER_hh_tesh!Y21=0,0,SER_hh_tesh!Y21/SER_summary!Y$26)</f>
        <v>0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32.57641274271397</v>
      </c>
      <c r="C22" s="132">
        <f>IF(SER_hh_tesh!C22=0,0,SER_hh_tesh!C22/SER_summary!C$26)</f>
        <v>32.247229489015446</v>
      </c>
      <c r="D22" s="132">
        <f>IF(SER_hh_tesh!D22=0,0,SER_hh_tesh!D22/SER_summary!D$26)</f>
        <v>32.772930358392301</v>
      </c>
      <c r="E22" s="132">
        <f>IF(SER_hh_tesh!E22=0,0,SER_hh_tesh!E22/SER_summary!E$26)</f>
        <v>32.728557659674777</v>
      </c>
      <c r="F22" s="132">
        <f>IF(SER_hh_tesh!F22=0,0,SER_hh_tesh!F22/SER_summary!F$26)</f>
        <v>33.585951877302172</v>
      </c>
      <c r="G22" s="132">
        <f>IF(SER_hh_tesh!G22=0,0,SER_hh_tesh!G22/SER_summary!G$26)</f>
        <v>35.051331426200214</v>
      </c>
      <c r="H22" s="132">
        <f>IF(SER_hh_tesh!H22=0,0,SER_hh_tesh!H22/SER_summary!H$26)</f>
        <v>29.102174987205874</v>
      </c>
      <c r="I22" s="132">
        <f>IF(SER_hh_tesh!I22=0,0,SER_hh_tesh!I22/SER_summary!I$26)</f>
        <v>31.908734390601179</v>
      </c>
      <c r="J22" s="132">
        <f>IF(SER_hh_tesh!J22=0,0,SER_hh_tesh!J22/SER_summary!J$26)</f>
        <v>26.312759862522341</v>
      </c>
      <c r="K22" s="132">
        <f>IF(SER_hh_tesh!K22=0,0,SER_hh_tesh!K22/SER_summary!K$26)</f>
        <v>28.134595951477692</v>
      </c>
      <c r="L22" s="132">
        <f>IF(SER_hh_tesh!L22=0,0,SER_hh_tesh!L22/SER_summary!L$26)</f>
        <v>38.579057425792207</v>
      </c>
      <c r="M22" s="132">
        <f>IF(SER_hh_tesh!M22=0,0,SER_hh_tesh!M22/SER_summary!M$26)</f>
        <v>25.993483941898788</v>
      </c>
      <c r="N22" s="132">
        <f>IF(SER_hh_tesh!N22=0,0,SER_hh_tesh!N22/SER_summary!N$26)</f>
        <v>34.900024374860095</v>
      </c>
      <c r="O22" s="132">
        <f>IF(SER_hh_tesh!O22=0,0,SER_hh_tesh!O22/SER_summary!O$26)</f>
        <v>33.197862184723618</v>
      </c>
      <c r="P22" s="132">
        <f>IF(SER_hh_tesh!P22=0,0,SER_hh_tesh!P22/SER_summary!P$26)</f>
        <v>34.041440438802177</v>
      </c>
      <c r="Q22" s="132">
        <f>IF(SER_hh_tesh!Q22=0,0,SER_hh_tesh!Q22/SER_summary!Q$26)</f>
        <v>31.693168427716888</v>
      </c>
      <c r="R22" s="132">
        <f>IF(SER_hh_tesh!R22=0,0,SER_hh_tesh!R22/SER_summary!R$26)</f>
        <v>27.426510309138624</v>
      </c>
      <c r="S22" s="132">
        <f>IF(SER_hh_tesh!S22=0,0,SER_hh_tesh!S22/SER_summary!S$26)</f>
        <v>36.343390180978936</v>
      </c>
      <c r="T22" s="132">
        <f>IF(SER_hh_tesh!T22=0,0,SER_hh_tesh!T22/SER_summary!T$26)</f>
        <v>34.86235712622959</v>
      </c>
      <c r="U22" s="132">
        <f>IF(SER_hh_tesh!U22=0,0,SER_hh_tesh!U22/SER_summary!U$26)</f>
        <v>36.103296253334598</v>
      </c>
      <c r="V22" s="132">
        <f>IF(SER_hh_tesh!V22=0,0,SER_hh_tesh!V22/SER_summary!V$26)</f>
        <v>29.588656063095947</v>
      </c>
      <c r="W22" s="132">
        <f>IF(SER_hh_tesh!W22=0,0,SER_hh_tesh!W22/SER_summary!W$26)</f>
        <v>35.315764835167265</v>
      </c>
      <c r="X22" s="132">
        <f>IF(SER_hh_tesh!X22=0,0,SER_hh_tesh!X22/SER_summary!X$26)</f>
        <v>31.160585601036143</v>
      </c>
      <c r="Y22" s="132">
        <f>IF(SER_hh_tesh!Y22=0,0,SER_hh_tesh!Y22/SER_summary!Y$26)</f>
        <v>33.738209880434347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31.976126282699166</v>
      </c>
      <c r="C23" s="132">
        <f>IF(SER_hh_tesh!C23=0,0,SER_hh_tesh!C23/SER_summary!C$26)</f>
        <v>32.493552809979533</v>
      </c>
      <c r="D23" s="132">
        <f>IF(SER_hh_tesh!D23=0,0,SER_hh_tesh!D23/SER_summary!D$26)</f>
        <v>31.981357704366086</v>
      </c>
      <c r="E23" s="132">
        <f>IF(SER_hh_tesh!E23=0,0,SER_hh_tesh!E23/SER_summary!E$26)</f>
        <v>33.217880501042558</v>
      </c>
      <c r="F23" s="132">
        <f>IF(SER_hh_tesh!F23=0,0,SER_hh_tesh!F23/SER_summary!F$26)</f>
        <v>32.141345034052918</v>
      </c>
      <c r="G23" s="132">
        <f>IF(SER_hh_tesh!G23=0,0,SER_hh_tesh!G23/SER_summary!G$26)</f>
        <v>32.189695181180021</v>
      </c>
      <c r="H23" s="132">
        <f>IF(SER_hh_tesh!H23=0,0,SER_hh_tesh!H23/SER_summary!H$26)</f>
        <v>31.366082606682607</v>
      </c>
      <c r="I23" s="132">
        <f>IF(SER_hh_tesh!I23=0,0,SER_hh_tesh!I23/SER_summary!I$26)</f>
        <v>30.580327916743457</v>
      </c>
      <c r="J23" s="132">
        <f>IF(SER_hh_tesh!J23=0,0,SER_hh_tesh!J23/SER_summary!J$26)</f>
        <v>34.217252288758303</v>
      </c>
      <c r="K23" s="132">
        <f>IF(SER_hh_tesh!K23=0,0,SER_hh_tesh!K23/SER_summary!K$26)</f>
        <v>30.977187993765302</v>
      </c>
      <c r="L23" s="132">
        <f>IF(SER_hh_tesh!L23=0,0,SER_hh_tesh!L23/SER_summary!L$26)</f>
        <v>34.14062064441319</v>
      </c>
      <c r="M23" s="132">
        <f>IF(SER_hh_tesh!M23=0,0,SER_hh_tesh!M23/SER_summary!M$26)</f>
        <v>32.446847707150525</v>
      </c>
      <c r="N23" s="132">
        <f>IF(SER_hh_tesh!N23=0,0,SER_hh_tesh!N23/SER_summary!N$26)</f>
        <v>31.121862459996695</v>
      </c>
      <c r="O23" s="132">
        <f>IF(SER_hh_tesh!O23=0,0,SER_hh_tesh!O23/SER_summary!O$26)</f>
        <v>31.73552754948404</v>
      </c>
      <c r="P23" s="132">
        <f>IF(SER_hh_tesh!P23=0,0,SER_hh_tesh!P23/SER_summary!P$26)</f>
        <v>33.570097003536276</v>
      </c>
      <c r="Q23" s="132">
        <f>IF(SER_hh_tesh!Q23=0,0,SER_hh_tesh!Q23/SER_summary!Q$26)</f>
        <v>38.078347206217821</v>
      </c>
      <c r="R23" s="132">
        <f>IF(SER_hh_tesh!R23=0,0,SER_hh_tesh!R23/SER_summary!R$26)</f>
        <v>40.725372112557118</v>
      </c>
      <c r="S23" s="132">
        <f>IF(SER_hh_tesh!S23=0,0,SER_hh_tesh!S23/SER_summary!S$26)</f>
        <v>30.042248344594498</v>
      </c>
      <c r="T23" s="132">
        <f>IF(SER_hh_tesh!T23=0,0,SER_hh_tesh!T23/SER_summary!T$26)</f>
        <v>33.933677694043119</v>
      </c>
      <c r="U23" s="132">
        <f>IF(SER_hh_tesh!U23=0,0,SER_hh_tesh!U23/SER_summary!U$26)</f>
        <v>35.192496924776421</v>
      </c>
      <c r="V23" s="132">
        <f>IF(SER_hh_tesh!V23=0,0,SER_hh_tesh!V23/SER_summary!V$26)</f>
        <v>23.61195623391238</v>
      </c>
      <c r="W23" s="132">
        <f>IF(SER_hh_tesh!W23=0,0,SER_hh_tesh!W23/SER_summary!W$26)</f>
        <v>34.154535891838208</v>
      </c>
      <c r="X23" s="132">
        <f>IF(SER_hh_tesh!X23=0,0,SER_hh_tesh!X23/SER_summary!X$26)</f>
        <v>34.017143221478882</v>
      </c>
      <c r="Y23" s="132">
        <f>IF(SER_hh_tesh!Y23=0,0,SER_hh_tesh!Y23/SER_summary!Y$26)</f>
        <v>34.19630943285614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30.286296327606383</v>
      </c>
      <c r="C25" s="132">
        <f>IF(SER_hh_tesh!C25=0,0,SER_hh_tesh!C25/SER_summary!C$26)</f>
        <v>27.266380061529322</v>
      </c>
      <c r="D25" s="132">
        <f>IF(SER_hh_tesh!D25=0,0,SER_hh_tesh!D25/SER_summary!D$26)</f>
        <v>30.220219796254426</v>
      </c>
      <c r="E25" s="132">
        <f>IF(SER_hh_tesh!E25=0,0,SER_hh_tesh!E25/SER_summary!E$26)</f>
        <v>37.38919895528386</v>
      </c>
      <c r="F25" s="132">
        <f>IF(SER_hh_tesh!F25=0,0,SER_hh_tesh!F25/SER_summary!F$26)</f>
        <v>33.615716906312798</v>
      </c>
      <c r="G25" s="132">
        <f>IF(SER_hh_tesh!G25=0,0,SER_hh_tesh!G25/SER_summary!G$26)</f>
        <v>32.265149211562047</v>
      </c>
      <c r="H25" s="132">
        <f>IF(SER_hh_tesh!H25=0,0,SER_hh_tesh!H25/SER_summary!H$26)</f>
        <v>32.164961642910718</v>
      </c>
      <c r="I25" s="132">
        <f>IF(SER_hh_tesh!I25=0,0,SER_hh_tesh!I25/SER_summary!I$26)</f>
        <v>32.13859140805264</v>
      </c>
      <c r="J25" s="132">
        <f>IF(SER_hh_tesh!J25=0,0,SER_hh_tesh!J25/SER_summary!J$26)</f>
        <v>32.212794915675616</v>
      </c>
      <c r="K25" s="132">
        <f>IF(SER_hh_tesh!K25=0,0,SER_hh_tesh!K25/SER_summary!K$26)</f>
        <v>33.317487966088798</v>
      </c>
      <c r="L25" s="132">
        <f>IF(SER_hh_tesh!L25=0,0,SER_hh_tesh!L25/SER_summary!L$26)</f>
        <v>31.585191579884267</v>
      </c>
      <c r="M25" s="132">
        <f>IF(SER_hh_tesh!M25=0,0,SER_hh_tesh!M25/SER_summary!M$26)</f>
        <v>31.998769161322411</v>
      </c>
      <c r="N25" s="132">
        <f>IF(SER_hh_tesh!N25=0,0,SER_hh_tesh!N25/SER_summary!N$26)</f>
        <v>32.533900739536129</v>
      </c>
      <c r="O25" s="132">
        <f>IF(SER_hh_tesh!O25=0,0,SER_hh_tesh!O25/SER_summary!O$26)</f>
        <v>32.999749342201874</v>
      </c>
      <c r="P25" s="132">
        <f>IF(SER_hh_tesh!P25=0,0,SER_hh_tesh!P25/SER_summary!P$26)</f>
        <v>32.779635625770254</v>
      </c>
      <c r="Q25" s="132">
        <f>IF(SER_hh_tesh!Q25=0,0,SER_hh_tesh!Q25/SER_summary!Q$26)</f>
        <v>33.027612646870352</v>
      </c>
      <c r="R25" s="132">
        <f>IF(SER_hh_tesh!R25=0,0,SER_hh_tesh!R25/SER_summary!R$26)</f>
        <v>33.12849811356012</v>
      </c>
      <c r="S25" s="132">
        <f>IF(SER_hh_tesh!S25=0,0,SER_hh_tesh!S25/SER_summary!S$26)</f>
        <v>34.941266588627911</v>
      </c>
      <c r="T25" s="132">
        <f>IF(SER_hh_tesh!T25=0,0,SER_hh_tesh!T25/SER_summary!T$26)</f>
        <v>31.660717793530182</v>
      </c>
      <c r="U25" s="132">
        <f>IF(SER_hh_tesh!U25=0,0,SER_hh_tesh!U25/SER_summary!U$26)</f>
        <v>33.82734812774757</v>
      </c>
      <c r="V25" s="132">
        <f>IF(SER_hh_tesh!V25=0,0,SER_hh_tesh!V25/SER_summary!V$26)</f>
        <v>35.025651198200883</v>
      </c>
      <c r="W25" s="132">
        <f>IF(SER_hh_tesh!W25=0,0,SER_hh_tesh!W25/SER_summary!W$26)</f>
        <v>32.145257135873749</v>
      </c>
      <c r="X25" s="132">
        <f>IF(SER_hh_tesh!X25=0,0,SER_hh_tesh!X25/SER_summary!X$26)</f>
        <v>31.635308839563752</v>
      </c>
      <c r="Y25" s="132">
        <f>IF(SER_hh_tesh!Y25=0,0,SER_hh_tesh!Y25/SER_summary!Y$26)</f>
        <v>32.580813851732387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32.482538992961508</v>
      </c>
      <c r="C26" s="65">
        <f>IF(SER_hh_tesh!C26=0,0,SER_hh_tesh!C26/SER_summary!C$26)</f>
        <v>33.769792402174019</v>
      </c>
      <c r="D26" s="65">
        <f>IF(SER_hh_tesh!D26=0,0,SER_hh_tesh!D26/SER_summary!D$26)</f>
        <v>33.529378542795008</v>
      </c>
      <c r="E26" s="65">
        <f>IF(SER_hh_tesh!E26=0,0,SER_hh_tesh!E26/SER_summary!E$26)</f>
        <v>29.537438268559363</v>
      </c>
      <c r="F26" s="65">
        <f>IF(SER_hh_tesh!F26=0,0,SER_hh_tesh!F26/SER_summary!F$26)</f>
        <v>30.22867195523563</v>
      </c>
      <c r="G26" s="65">
        <f>IF(SER_hh_tesh!G26=0,0,SER_hh_tesh!G26/SER_summary!G$26)</f>
        <v>30.324213446497847</v>
      </c>
      <c r="H26" s="65">
        <f>IF(SER_hh_tesh!H26=0,0,SER_hh_tesh!H26/SER_summary!H$26)</f>
        <v>32.48933875324267</v>
      </c>
      <c r="I26" s="65">
        <f>IF(SER_hh_tesh!I26=0,0,SER_hh_tesh!I26/SER_summary!I$26)</f>
        <v>32.859279271830125</v>
      </c>
      <c r="J26" s="65">
        <f>IF(SER_hh_tesh!J26=0,0,SER_hh_tesh!J26/SER_summary!J$26)</f>
        <v>32.388919458038096</v>
      </c>
      <c r="K26" s="65">
        <f>IF(SER_hh_tesh!K26=0,0,SER_hh_tesh!K26/SER_summary!K$26)</f>
        <v>34.075591363543403</v>
      </c>
      <c r="L26" s="65">
        <f>IF(SER_hh_tesh!L26=0,0,SER_hh_tesh!L26/SER_summary!L$26)</f>
        <v>30.884952110046981</v>
      </c>
      <c r="M26" s="65">
        <f>IF(SER_hh_tesh!M26=0,0,SER_hh_tesh!M26/SER_summary!M$26)</f>
        <v>33.000857192676854</v>
      </c>
      <c r="N26" s="65">
        <f>IF(SER_hh_tesh!N26=0,0,SER_hh_tesh!N26/SER_summary!N$26)</f>
        <v>31.979544282744417</v>
      </c>
      <c r="O26" s="65">
        <f>IF(SER_hh_tesh!O26=0,0,SER_hh_tesh!O26/SER_summary!O$26)</f>
        <v>32.907463671511906</v>
      </c>
      <c r="P26" s="65">
        <f>IF(SER_hh_tesh!P26=0,0,SER_hh_tesh!P26/SER_summary!P$26)</f>
        <v>33.137027993511047</v>
      </c>
      <c r="Q26" s="65">
        <f>IF(SER_hh_tesh!Q26=0,0,SER_hh_tesh!Q26/SER_summary!Q$26)</f>
        <v>31.002322013938638</v>
      </c>
      <c r="R26" s="65">
        <f>IF(SER_hh_tesh!R26=0,0,SER_hh_tesh!R26/SER_summary!R$26)</f>
        <v>29.472863696910498</v>
      </c>
      <c r="S26" s="65">
        <f>IF(SER_hh_tesh!S26=0,0,SER_hh_tesh!S26/SER_summary!S$26)</f>
        <v>34.900979828718285</v>
      </c>
      <c r="T26" s="65">
        <f>IF(SER_hh_tesh!T26=0,0,SER_hh_tesh!T26/SER_summary!T$26)</f>
        <v>34.452274795355223</v>
      </c>
      <c r="U26" s="65">
        <f>IF(SER_hh_tesh!U26=0,0,SER_hh_tesh!U26/SER_summary!U$26)</f>
        <v>31.299797420057846</v>
      </c>
      <c r="V26" s="65">
        <f>IF(SER_hh_tesh!V26=0,0,SER_hh_tesh!V26/SER_summary!V$26)</f>
        <v>31.371196763356714</v>
      </c>
      <c r="W26" s="65">
        <f>IF(SER_hh_tesh!W26=0,0,SER_hh_tesh!W26/SER_summary!W$26)</f>
        <v>28.485807909550584</v>
      </c>
      <c r="X26" s="65">
        <f>IF(SER_hh_tesh!X26=0,0,SER_hh_tesh!X26/SER_summary!X$26)</f>
        <v>34.867914982870204</v>
      </c>
      <c r="Y26" s="65">
        <f>IF(SER_hh_tesh!Y26=0,0,SER_hh_tesh!Y26/SER_summary!Y$26)</f>
        <v>35.187802813859093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</v>
      </c>
      <c r="C27" s="145">
        <f>IF(SER_hh_tesh!C27=0,0,SER_hh_tesh!C27/SER_summary!C$26)</f>
        <v>0</v>
      </c>
      <c r="D27" s="145">
        <f>IF(SER_hh_tesh!D27=0,0,SER_hh_tesh!D27/SER_summary!D$26)</f>
        <v>0</v>
      </c>
      <c r="E27" s="145">
        <f>IF(SER_hh_tesh!E27=0,0,SER_hh_tesh!E27/SER_summary!E$26)</f>
        <v>0</v>
      </c>
      <c r="F27" s="145">
        <f>IF(SER_hh_tesh!F27=0,0,SER_hh_tesh!F27/SER_summary!F$26)</f>
        <v>0</v>
      </c>
      <c r="G27" s="145">
        <f>IF(SER_hh_tesh!G27=0,0,SER_hh_tesh!G27/SER_summary!G$26)</f>
        <v>0</v>
      </c>
      <c r="H27" s="145">
        <f>IF(SER_hh_tesh!H27=0,0,SER_hh_tesh!H27/SER_summary!H$26)</f>
        <v>0</v>
      </c>
      <c r="I27" s="145">
        <f>IF(SER_hh_tesh!I27=0,0,SER_hh_tesh!I27/SER_summary!I$26)</f>
        <v>0</v>
      </c>
      <c r="J27" s="145">
        <f>IF(SER_hh_tesh!J27=0,0,SER_hh_tesh!J27/SER_summary!J$26)</f>
        <v>0</v>
      </c>
      <c r="K27" s="145">
        <f>IF(SER_hh_tesh!K27=0,0,SER_hh_tesh!K27/SER_summary!K$26)</f>
        <v>0</v>
      </c>
      <c r="L27" s="145">
        <f>IF(SER_hh_tesh!L27=0,0,SER_hh_tesh!L27/SER_summary!L$26)</f>
        <v>0</v>
      </c>
      <c r="M27" s="145">
        <f>IF(SER_hh_tesh!M27=0,0,SER_hh_tesh!M27/SER_summary!M$26)</f>
        <v>0</v>
      </c>
      <c r="N27" s="145">
        <f>IF(SER_hh_tesh!N27=0,0,SER_hh_tesh!N27/SER_summary!N$26)</f>
        <v>0</v>
      </c>
      <c r="O27" s="145">
        <f>IF(SER_hh_tesh!O27=0,0,SER_hh_tesh!O27/SER_summary!O$26)</f>
        <v>0</v>
      </c>
      <c r="P27" s="145">
        <f>IF(SER_hh_tesh!P27=0,0,SER_hh_tesh!P27/SER_summary!P$26)</f>
        <v>0</v>
      </c>
      <c r="Q27" s="145">
        <f>IF(SER_hh_tesh!Q27=0,0,SER_hh_tesh!Q27/SER_summary!Q$26)</f>
        <v>0</v>
      </c>
      <c r="R27" s="145">
        <f>IF(SER_hh_tesh!R27=0,0,SER_hh_tesh!R27/SER_summary!R$26)</f>
        <v>0</v>
      </c>
      <c r="S27" s="145">
        <f>IF(SER_hh_tesh!S27=0,0,SER_hh_tesh!S27/SER_summary!S$26)</f>
        <v>0</v>
      </c>
      <c r="T27" s="145">
        <f>IF(SER_hh_tesh!T27=0,0,SER_hh_tesh!T27/SER_summary!T$26)</f>
        <v>0</v>
      </c>
      <c r="U27" s="145">
        <f>IF(SER_hh_tesh!U27=0,0,SER_hh_tesh!U27/SER_summary!U$26)</f>
        <v>0</v>
      </c>
      <c r="V27" s="145">
        <f>IF(SER_hh_tesh!V27=0,0,SER_hh_tesh!V27/SER_summary!V$26)</f>
        <v>0</v>
      </c>
      <c r="W27" s="145">
        <f>IF(SER_hh_tesh!W27=0,0,SER_hh_tesh!W27/SER_summary!W$26)</f>
        <v>0</v>
      </c>
      <c r="X27" s="145">
        <f>IF(SER_hh_tesh!X27=0,0,SER_hh_tesh!X27/SER_summary!X$26)</f>
        <v>0</v>
      </c>
      <c r="Y27" s="145">
        <f>IF(SER_hh_tesh!Y27=0,0,SER_hh_tesh!Y27/SER_summary!Y$26)</f>
        <v>0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0</v>
      </c>
      <c r="C28" s="146">
        <f>IF(SER_hh_tesh!C28=0,0,SER_hh_tesh!C28/SER_summary!C$26)</f>
        <v>0</v>
      </c>
      <c r="D28" s="146">
        <f>IF(SER_hh_tesh!D28=0,0,SER_hh_tesh!D28/SER_summary!D$26)</f>
        <v>0</v>
      </c>
      <c r="E28" s="146">
        <f>IF(SER_hh_tesh!E28=0,0,SER_hh_tesh!E28/SER_summary!E$26)</f>
        <v>0</v>
      </c>
      <c r="F28" s="146">
        <f>IF(SER_hh_tesh!F28=0,0,SER_hh_tesh!F28/SER_summary!F$26)</f>
        <v>0</v>
      </c>
      <c r="G28" s="146">
        <f>IF(SER_hh_tesh!G28=0,0,SER_hh_tesh!G28/SER_summary!G$26)</f>
        <v>0</v>
      </c>
      <c r="H28" s="146">
        <f>IF(SER_hh_tesh!H28=0,0,SER_hh_tesh!H28/SER_summary!H$26)</f>
        <v>0</v>
      </c>
      <c r="I28" s="146">
        <f>IF(SER_hh_tesh!I28=0,0,SER_hh_tesh!I28/SER_summary!I$26)</f>
        <v>0</v>
      </c>
      <c r="J28" s="146">
        <f>IF(SER_hh_tesh!J28=0,0,SER_hh_tesh!J28/SER_summary!J$26)</f>
        <v>0</v>
      </c>
      <c r="K28" s="146">
        <f>IF(SER_hh_tesh!K28=0,0,SER_hh_tesh!K28/SER_summary!K$26)</f>
        <v>0</v>
      </c>
      <c r="L28" s="146">
        <f>IF(SER_hh_tesh!L28=0,0,SER_hh_tesh!L28/SER_summary!L$26)</f>
        <v>0</v>
      </c>
      <c r="M28" s="146">
        <f>IF(SER_hh_tesh!M28=0,0,SER_hh_tesh!M28/SER_summary!M$26)</f>
        <v>0</v>
      </c>
      <c r="N28" s="146">
        <f>IF(SER_hh_tesh!N28=0,0,SER_hh_tesh!N28/SER_summary!N$26)</f>
        <v>0</v>
      </c>
      <c r="O28" s="146">
        <f>IF(SER_hh_tesh!O28=0,0,SER_hh_tesh!O28/SER_summary!O$26)</f>
        <v>0</v>
      </c>
      <c r="P28" s="146">
        <f>IF(SER_hh_tesh!P28=0,0,SER_hh_tesh!P28/SER_summary!P$26)</f>
        <v>0</v>
      </c>
      <c r="Q28" s="146">
        <f>IF(SER_hh_tesh!Q28=0,0,SER_hh_tesh!Q28/SER_summary!Q$26)</f>
        <v>0</v>
      </c>
      <c r="R28" s="146">
        <f>IF(SER_hh_tesh!R28=0,0,SER_hh_tesh!R28/SER_summary!R$26)</f>
        <v>0</v>
      </c>
      <c r="S28" s="146">
        <f>IF(SER_hh_tesh!S28=0,0,SER_hh_tesh!S28/SER_summary!S$26)</f>
        <v>0</v>
      </c>
      <c r="T28" s="146">
        <f>IF(SER_hh_tesh!T28=0,0,SER_hh_tesh!T28/SER_summary!T$26)</f>
        <v>0</v>
      </c>
      <c r="U28" s="146">
        <f>IF(SER_hh_tesh!U28=0,0,SER_hh_tesh!U28/SER_summary!U$26)</f>
        <v>0</v>
      </c>
      <c r="V28" s="146">
        <f>IF(SER_hh_tesh!V28=0,0,SER_hh_tesh!V28/SER_summary!V$26)</f>
        <v>0</v>
      </c>
      <c r="W28" s="146">
        <f>IF(SER_hh_tesh!W28=0,0,SER_hh_tesh!W28/SER_summary!W$26)</f>
        <v>0</v>
      </c>
      <c r="X28" s="146">
        <f>IF(SER_hh_tesh!X28=0,0,SER_hh_tesh!X28/SER_summary!X$26)</f>
        <v>0</v>
      </c>
      <c r="Y28" s="146">
        <f>IF(SER_hh_tesh!Y28=0,0,SER_hh_tesh!Y28/SER_summary!Y$26)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34.681063593954789</v>
      </c>
      <c r="C29" s="130">
        <f>IF(SER_hh_tesh!C29=0,0,SER_hh_tesh!C29/SER_summary!C$26)</f>
        <v>35.436809853794088</v>
      </c>
      <c r="D29" s="130">
        <f>IF(SER_hh_tesh!D29=0,0,SER_hh_tesh!D29/SER_summary!D$26)</f>
        <v>36.42985748142349</v>
      </c>
      <c r="E29" s="130">
        <f>IF(SER_hh_tesh!E29=0,0,SER_hh_tesh!E29/SER_summary!E$26)</f>
        <v>37.450465856736116</v>
      </c>
      <c r="F29" s="130">
        <f>IF(SER_hh_tesh!F29=0,0,SER_hh_tesh!F29/SER_summary!F$26)</f>
        <v>37.85856578714592</v>
      </c>
      <c r="G29" s="130">
        <f>IF(SER_hh_tesh!G29=0,0,SER_hh_tesh!G29/SER_summary!G$26)</f>
        <v>38.367418493613179</v>
      </c>
      <c r="H29" s="130">
        <f>IF(SER_hh_tesh!H29=0,0,SER_hh_tesh!H29/SER_summary!H$26)</f>
        <v>39.07844595148714</v>
      </c>
      <c r="I29" s="130">
        <f>IF(SER_hh_tesh!I29=0,0,SER_hh_tesh!I29/SER_summary!I$26)</f>
        <v>39.251684207387463</v>
      </c>
      <c r="J29" s="130">
        <f>IF(SER_hh_tesh!J29=0,0,SER_hh_tesh!J29/SER_summary!J$26)</f>
        <v>39.842136733765642</v>
      </c>
      <c r="K29" s="130">
        <f>IF(SER_hh_tesh!K29=0,0,SER_hh_tesh!K29/SER_summary!K$26)</f>
        <v>40.431940997753827</v>
      </c>
      <c r="L29" s="130">
        <f>IF(SER_hh_tesh!L29=0,0,SER_hh_tesh!L29/SER_summary!L$26)</f>
        <v>40.984439814398499</v>
      </c>
      <c r="M29" s="130">
        <f>IF(SER_hh_tesh!M29=0,0,SER_hh_tesh!M29/SER_summary!M$26)</f>
        <v>41.028807054030366</v>
      </c>
      <c r="N29" s="130">
        <f>IF(SER_hh_tesh!N29=0,0,SER_hh_tesh!N29/SER_summary!N$26)</f>
        <v>41.502461656549066</v>
      </c>
      <c r="O29" s="130">
        <f>IF(SER_hh_tesh!O29=0,0,SER_hh_tesh!O29/SER_summary!O$26)</f>
        <v>41.712077417563165</v>
      </c>
      <c r="P29" s="130">
        <f>IF(SER_hh_tesh!P29=0,0,SER_hh_tesh!P29/SER_summary!P$26)</f>
        <v>41.932477375313674</v>
      </c>
      <c r="Q29" s="130">
        <f>IF(SER_hh_tesh!Q29=0,0,SER_hh_tesh!Q29/SER_summary!Q$26)</f>
        <v>42.494785790439217</v>
      </c>
      <c r="R29" s="130">
        <f>IF(SER_hh_tesh!R29=0,0,SER_hh_tesh!R29/SER_summary!R$26)</f>
        <v>42.662178794160525</v>
      </c>
      <c r="S29" s="130">
        <f>IF(SER_hh_tesh!S29=0,0,SER_hh_tesh!S29/SER_summary!S$26)</f>
        <v>43.036126136559595</v>
      </c>
      <c r="T29" s="130">
        <f>IF(SER_hh_tesh!T29=0,0,SER_hh_tesh!T29/SER_summary!T$26)</f>
        <v>43.431588446659703</v>
      </c>
      <c r="U29" s="130">
        <f>IF(SER_hh_tesh!U29=0,0,SER_hh_tesh!U29/SER_summary!U$26)</f>
        <v>44.214112699994566</v>
      </c>
      <c r="V29" s="130">
        <f>IF(SER_hh_tesh!V29=0,0,SER_hh_tesh!V29/SER_summary!V$26)</f>
        <v>41.024972732902832</v>
      </c>
      <c r="W29" s="130">
        <f>IF(SER_hh_tesh!W29=0,0,SER_hh_tesh!W29/SER_summary!W$26)</f>
        <v>46.101697320745245</v>
      </c>
      <c r="X29" s="130">
        <f>IF(SER_hh_tesh!X29=0,0,SER_hh_tesh!X29/SER_summary!X$26)</f>
        <v>44.896162615401153</v>
      </c>
      <c r="Y29" s="130">
        <f>IF(SER_hh_tesh!Y29=0,0,SER_hh_tesh!Y29/SER_summary!Y$26)</f>
        <v>45.991550895118642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24.363239086735767</v>
      </c>
      <c r="C30" s="132">
        <f>IF(SER_hh_tesh!C30=0,0,SER_hh_tesh!C30/SER_summary!C$26)</f>
        <v>50.902283865316733</v>
      </c>
      <c r="D30" s="132">
        <f>IF(SER_hh_tesh!D30=0,0,SER_hh_tesh!D30/SER_summary!D$26)</f>
        <v>37.759913321847925</v>
      </c>
      <c r="E30" s="132">
        <f>IF(SER_hh_tesh!E30=0,0,SER_hh_tesh!E30/SER_summary!E$26)</f>
        <v>18.111531244785613</v>
      </c>
      <c r="F30" s="132">
        <f>IF(SER_hh_tesh!F30=0,0,SER_hh_tesh!F30/SER_summary!F$26)</f>
        <v>0</v>
      </c>
      <c r="G30" s="132">
        <f>IF(SER_hh_tesh!G30=0,0,SER_hh_tesh!G30/SER_summary!G$26)</f>
        <v>0</v>
      </c>
      <c r="H30" s="132">
        <f>IF(SER_hh_tesh!H30=0,0,SER_hh_tesh!H30/SER_summary!H$26)</f>
        <v>0</v>
      </c>
      <c r="I30" s="132">
        <f>IF(SER_hh_tesh!I30=0,0,SER_hh_tesh!I30/SER_summary!I$26)</f>
        <v>0</v>
      </c>
      <c r="J30" s="132">
        <f>IF(SER_hh_tesh!J30=0,0,SER_hh_tesh!J30/SER_summary!J$26)</f>
        <v>0</v>
      </c>
      <c r="K30" s="132">
        <f>IF(SER_hh_tesh!K30=0,0,SER_hh_tesh!K30/SER_summary!K$26)</f>
        <v>56.103118269652896</v>
      </c>
      <c r="L30" s="132">
        <f>IF(SER_hh_tesh!L30=0,0,SER_hh_tesh!L30/SER_summary!L$26)</f>
        <v>45.741532821313143</v>
      </c>
      <c r="M30" s="132">
        <f>IF(SER_hh_tesh!M30=0,0,SER_hh_tesh!M30/SER_summary!M$26)</f>
        <v>41.412483748040664</v>
      </c>
      <c r="N30" s="132">
        <f>IF(SER_hh_tesh!N30=0,0,SER_hh_tesh!N30/SER_summary!N$26)</f>
        <v>41.708472726287368</v>
      </c>
      <c r="O30" s="132">
        <f>IF(SER_hh_tesh!O30=0,0,SER_hh_tesh!O30/SER_summary!O$26)</f>
        <v>43.250521226066098</v>
      </c>
      <c r="P30" s="132">
        <f>IF(SER_hh_tesh!P30=0,0,SER_hh_tesh!P30/SER_summary!P$26)</f>
        <v>39.310173072268135</v>
      </c>
      <c r="Q30" s="132">
        <f>IF(SER_hh_tesh!Q30=0,0,SER_hh_tesh!Q30/SER_summary!Q$26)</f>
        <v>42.70467298862583</v>
      </c>
      <c r="R30" s="132">
        <f>IF(SER_hh_tesh!R30=0,0,SER_hh_tesh!R30/SER_summary!R$26)</f>
        <v>46.238222035391203</v>
      </c>
      <c r="S30" s="132">
        <f>IF(SER_hh_tesh!S30=0,0,SER_hh_tesh!S30/SER_summary!S$26)</f>
        <v>42.259223690369275</v>
      </c>
      <c r="T30" s="132">
        <f>IF(SER_hh_tesh!T30=0,0,SER_hh_tesh!T30/SER_summary!T$26)</f>
        <v>37.262902426888679</v>
      </c>
      <c r="U30" s="132">
        <f>IF(SER_hh_tesh!U30=0,0,SER_hh_tesh!U30/SER_summary!U$26)</f>
        <v>46.649458718554001</v>
      </c>
      <c r="V30" s="132">
        <f>IF(SER_hh_tesh!V30=0,0,SER_hh_tesh!V30/SER_summary!V$26)</f>
        <v>36.824470710566942</v>
      </c>
      <c r="W30" s="132">
        <f>IF(SER_hh_tesh!W30=0,0,SER_hh_tesh!W30/SER_summary!W$26)</f>
        <v>55.02905902359997</v>
      </c>
      <c r="X30" s="132">
        <f>IF(SER_hh_tesh!X30=0,0,SER_hh_tesh!X30/SER_summary!X$26)</f>
        <v>39.06718960268492</v>
      </c>
      <c r="Y30" s="132">
        <f>IF(SER_hh_tesh!Y30=0,0,SER_hh_tesh!Y30/SER_summary!Y$26)</f>
        <v>49.881546362527807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34.889076649163044</v>
      </c>
      <c r="C31" s="132">
        <f>IF(SER_hh_tesh!C31=0,0,SER_hh_tesh!C31/SER_summary!C$26)</f>
        <v>35.315983300649471</v>
      </c>
      <c r="D31" s="132">
        <f>IF(SER_hh_tesh!D31=0,0,SER_hh_tesh!D31/SER_summary!D$26)</f>
        <v>36.811716592630624</v>
      </c>
      <c r="E31" s="132">
        <f>IF(SER_hh_tesh!E31=0,0,SER_hh_tesh!E31/SER_summary!E$26)</f>
        <v>37.487859378431288</v>
      </c>
      <c r="F31" s="132">
        <f>IF(SER_hh_tesh!F31=0,0,SER_hh_tesh!F31/SER_summary!F$26)</f>
        <v>38.53187131812092</v>
      </c>
      <c r="G31" s="132">
        <f>IF(SER_hh_tesh!G31=0,0,SER_hh_tesh!G31/SER_summary!G$26)</f>
        <v>37.802543054777722</v>
      </c>
      <c r="H31" s="132">
        <f>IF(SER_hh_tesh!H31=0,0,SER_hh_tesh!H31/SER_summary!H$26)</f>
        <v>39.643244019215437</v>
      </c>
      <c r="I31" s="132">
        <f>IF(SER_hh_tesh!I31=0,0,SER_hh_tesh!I31/SER_summary!I$26)</f>
        <v>39.874775470962746</v>
      </c>
      <c r="J31" s="132">
        <f>IF(SER_hh_tesh!J31=0,0,SER_hh_tesh!J31/SER_summary!J$26)</f>
        <v>40.628686932248911</v>
      </c>
      <c r="K31" s="132">
        <f>IF(SER_hh_tesh!K31=0,0,SER_hh_tesh!K31/SER_summary!K$26)</f>
        <v>38.830486593484089</v>
      </c>
      <c r="L31" s="132">
        <f>IF(SER_hh_tesh!L31=0,0,SER_hh_tesh!L31/SER_summary!L$26)</f>
        <v>39.86075629083053</v>
      </c>
      <c r="M31" s="132">
        <f>IF(SER_hh_tesh!M31=0,0,SER_hh_tesh!M31/SER_summary!M$26)</f>
        <v>41.949374853013182</v>
      </c>
      <c r="N31" s="132">
        <f>IF(SER_hh_tesh!N31=0,0,SER_hh_tesh!N31/SER_summary!N$26)</f>
        <v>42.507197875121392</v>
      </c>
      <c r="O31" s="132">
        <f>IF(SER_hh_tesh!O31=0,0,SER_hh_tesh!O31/SER_summary!O$26)</f>
        <v>41.659853285227541</v>
      </c>
      <c r="P31" s="132">
        <f>IF(SER_hh_tesh!P31=0,0,SER_hh_tesh!P31/SER_summary!P$26)</f>
        <v>41.494063007407298</v>
      </c>
      <c r="Q31" s="132">
        <f>IF(SER_hh_tesh!Q31=0,0,SER_hh_tesh!Q31/SER_summary!Q$26)</f>
        <v>42.401815442615046</v>
      </c>
      <c r="R31" s="132">
        <f>IF(SER_hh_tesh!R31=0,0,SER_hh_tesh!R31/SER_summary!R$26)</f>
        <v>43.206217899728657</v>
      </c>
      <c r="S31" s="132">
        <f>IF(SER_hh_tesh!S31=0,0,SER_hh_tesh!S31/SER_summary!S$26)</f>
        <v>41.763034662099415</v>
      </c>
      <c r="T31" s="132">
        <f>IF(SER_hh_tesh!T31=0,0,SER_hh_tesh!T31/SER_summary!T$26)</f>
        <v>44.617121845902595</v>
      </c>
      <c r="U31" s="132">
        <f>IF(SER_hh_tesh!U31=0,0,SER_hh_tesh!U31/SER_summary!U$26)</f>
        <v>44.01700307701303</v>
      </c>
      <c r="V31" s="132">
        <f>IF(SER_hh_tesh!V31=0,0,SER_hh_tesh!V31/SER_summary!V$26)</f>
        <v>33.168828165815498</v>
      </c>
      <c r="W31" s="132">
        <f>IF(SER_hh_tesh!W31=0,0,SER_hh_tesh!W31/SER_summary!W$26)</f>
        <v>36.53359497282095</v>
      </c>
      <c r="X31" s="132">
        <f>IF(SER_hh_tesh!X31=0,0,SER_hh_tesh!X31/SER_summary!X$26)</f>
        <v>51.358246863906068</v>
      </c>
      <c r="Y31" s="132">
        <f>IF(SER_hh_tesh!Y31=0,0,SER_hh_tesh!Y31/SER_summary!Y$26)</f>
        <v>45.446480761942432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39.031032081874685</v>
      </c>
      <c r="C33" s="68">
        <f>IF(SER_hh_tesh!C33=0,0,SER_hh_tesh!C33/SER_summary!C$26)</f>
        <v>29.168234433379904</v>
      </c>
      <c r="D33" s="68">
        <f>IF(SER_hh_tesh!D33=0,0,SER_hh_tesh!D33/SER_summary!D$26)</f>
        <v>35.739332691209142</v>
      </c>
      <c r="E33" s="68">
        <f>IF(SER_hh_tesh!E33=0,0,SER_hh_tesh!E33/SER_summary!E$26)</f>
        <v>39.567858704367644</v>
      </c>
      <c r="F33" s="68">
        <f>IF(SER_hh_tesh!F33=0,0,SER_hh_tesh!F33/SER_summary!F$26)</f>
        <v>37.367501374433992</v>
      </c>
      <c r="G33" s="68">
        <f>IF(SER_hh_tesh!G33=0,0,SER_hh_tesh!G33/SER_summary!G$26)</f>
        <v>38.750068340980661</v>
      </c>
      <c r="H33" s="68">
        <f>IF(SER_hh_tesh!H33=0,0,SER_hh_tesh!H33/SER_summary!H$26)</f>
        <v>38.718189066360225</v>
      </c>
      <c r="I33" s="68">
        <f>IF(SER_hh_tesh!I33=0,0,SER_hh_tesh!I33/SER_summary!I$26)</f>
        <v>38.891283078327753</v>
      </c>
      <c r="J33" s="68">
        <f>IF(SER_hh_tesh!J33=0,0,SER_hh_tesh!J33/SER_summary!J$26)</f>
        <v>39.436595381411678</v>
      </c>
      <c r="K33" s="68">
        <f>IF(SER_hh_tesh!K33=0,0,SER_hh_tesh!K33/SER_summary!K$26)</f>
        <v>37.59563595050043</v>
      </c>
      <c r="L33" s="68">
        <f>IF(SER_hh_tesh!L33=0,0,SER_hh_tesh!L33/SER_summary!L$26)</f>
        <v>40.048344372332465</v>
      </c>
      <c r="M33" s="68">
        <f>IF(SER_hh_tesh!M33=0,0,SER_hh_tesh!M33/SER_summary!M$26)</f>
        <v>40.415432145765138</v>
      </c>
      <c r="N33" s="68">
        <f>IF(SER_hh_tesh!N33=0,0,SER_hh_tesh!N33/SER_summary!N$26)</f>
        <v>40.967580999673643</v>
      </c>
      <c r="O33" s="68">
        <f>IF(SER_hh_tesh!O33=0,0,SER_hh_tesh!O33/SER_summary!O$26)</f>
        <v>41.236870931392261</v>
      </c>
      <c r="P33" s="68">
        <f>IF(SER_hh_tesh!P33=0,0,SER_hh_tesh!P33/SER_summary!P$26)</f>
        <v>42.843875528815083</v>
      </c>
      <c r="Q33" s="68">
        <f>IF(SER_hh_tesh!Q33=0,0,SER_hh_tesh!Q33/SER_summary!Q$26)</f>
        <v>42.462706790901699</v>
      </c>
      <c r="R33" s="68">
        <f>IF(SER_hh_tesh!R33=0,0,SER_hh_tesh!R33/SER_summary!R$26)</f>
        <v>41.609103841140119</v>
      </c>
      <c r="S33" s="68">
        <f>IF(SER_hh_tesh!S33=0,0,SER_hh_tesh!S33/SER_summary!S$26)</f>
        <v>43.464944020663332</v>
      </c>
      <c r="T33" s="68">
        <f>IF(SER_hh_tesh!T33=0,0,SER_hh_tesh!T33/SER_summary!T$26)</f>
        <v>44.598696894911946</v>
      </c>
      <c r="U33" s="68">
        <f>IF(SER_hh_tesh!U33=0,0,SER_hh_tesh!U33/SER_summary!U$26)</f>
        <v>43.755614718967152</v>
      </c>
      <c r="V33" s="68">
        <f>IF(SER_hh_tesh!V33=0,0,SER_hh_tesh!V33/SER_summary!V$26)</f>
        <v>42.785231915637524</v>
      </c>
      <c r="W33" s="68">
        <f>IF(SER_hh_tesh!W33=0,0,SER_hh_tesh!W33/SER_summary!W$26)</f>
        <v>45.690102375520105</v>
      </c>
      <c r="X33" s="68">
        <f>IF(SER_hh_tesh!X33=0,0,SER_hh_tesh!X33/SER_summary!X$26)</f>
        <v>44.941877050314851</v>
      </c>
      <c r="Y33" s="68">
        <f>IF(SER_hh_tesh!Y33=0,0,SER_hh_tesh!Y33/SER_summary!Y$26)</f>
        <v>45.246059452143612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76.723518745206107</v>
      </c>
      <c r="C3" s="125">
        <f>IF(SER_hh_emih!C3=0,0,SER_hh_emih!C3/SER_summary!C$26)</f>
        <v>70.863578984955637</v>
      </c>
      <c r="D3" s="125">
        <f>IF(SER_hh_emih!D3=0,0,SER_hh_emih!D3/SER_summary!D$26)</f>
        <v>69.361719873416689</v>
      </c>
      <c r="E3" s="125">
        <f>IF(SER_hh_emih!E3=0,0,SER_hh_emih!E3/SER_summary!E$26)</f>
        <v>67.739782823242294</v>
      </c>
      <c r="F3" s="125">
        <f>IF(SER_hh_emih!F3=0,0,SER_hh_emih!F3/SER_summary!F$26)</f>
        <v>62.161869699007269</v>
      </c>
      <c r="G3" s="125">
        <f>IF(SER_hh_emih!G3=0,0,SER_hh_emih!G3/SER_summary!G$26)</f>
        <v>54.798024509998669</v>
      </c>
      <c r="H3" s="125">
        <f>IF(SER_hh_emih!H3=0,0,SER_hh_emih!H3/SER_summary!H$26)</f>
        <v>51.326548237578422</v>
      </c>
      <c r="I3" s="125">
        <f>IF(SER_hh_emih!I3=0,0,SER_hh_emih!I3/SER_summary!I$26)</f>
        <v>45.298039711510455</v>
      </c>
      <c r="J3" s="125">
        <f>IF(SER_hh_emih!J3=0,0,SER_hh_emih!J3/SER_summary!J$26)</f>
        <v>48.766916125300966</v>
      </c>
      <c r="K3" s="125">
        <f>IF(SER_hh_emih!K3=0,0,SER_hh_emih!K3/SER_summary!K$26)</f>
        <v>51.229144341286641</v>
      </c>
      <c r="L3" s="125">
        <f>IF(SER_hh_emih!L3=0,0,SER_hh_emih!L3/SER_summary!L$26)</f>
        <v>64.482843088867284</v>
      </c>
      <c r="M3" s="125">
        <f>IF(SER_hh_emih!M3=0,0,SER_hh_emih!M3/SER_summary!M$26)</f>
        <v>38.443500838349728</v>
      </c>
      <c r="N3" s="125">
        <f>IF(SER_hh_emih!N3=0,0,SER_hh_emih!N3/SER_summary!N$26)</f>
        <v>50.700636351750688</v>
      </c>
      <c r="O3" s="125">
        <f>IF(SER_hh_emih!O3=0,0,SER_hh_emih!O3/SER_summary!O$26)</f>
        <v>53.005924398165078</v>
      </c>
      <c r="P3" s="125">
        <f>IF(SER_hh_emih!P3=0,0,SER_hh_emih!P3/SER_summary!P$26)</f>
        <v>45.162768778576158</v>
      </c>
      <c r="Q3" s="125">
        <f>IF(SER_hh_emih!Q3=0,0,SER_hh_emih!Q3/SER_summary!Q$26)</f>
        <v>56.177627429171757</v>
      </c>
      <c r="R3" s="125">
        <f>IF(SER_hh_emih!R3=0,0,SER_hh_emih!R3/SER_summary!R$26)</f>
        <v>58.155112732245399</v>
      </c>
      <c r="S3" s="125">
        <f>IF(SER_hh_emih!S3=0,0,SER_hh_emih!S3/SER_summary!S$26)</f>
        <v>61.06380818695331</v>
      </c>
      <c r="T3" s="125">
        <f>IF(SER_hh_emih!T3=0,0,SER_hh_emih!T3/SER_summary!T$26)</f>
        <v>62.494023689206074</v>
      </c>
      <c r="U3" s="125">
        <f>IF(SER_hh_emih!U3=0,0,SER_hh_emih!U3/SER_summary!U$26)</f>
        <v>71.278639450034362</v>
      </c>
      <c r="V3" s="125">
        <f>IF(SER_hh_emih!V3=0,0,SER_hh_emih!V3/SER_summary!V$26)</f>
        <v>57.782655343169182</v>
      </c>
      <c r="W3" s="125">
        <f>IF(SER_hh_emih!W3=0,0,SER_hh_emih!W3/SER_summary!W$26)</f>
        <v>64.730855242127149</v>
      </c>
      <c r="X3" s="125">
        <f>IF(SER_hh_emih!X3=0,0,SER_hh_emih!X3/SER_summary!X$26)</f>
        <v>48.618313995122485</v>
      </c>
      <c r="Y3" s="125">
        <f>IF(SER_hh_emih!Y3=0,0,SER_hh_emih!Y3/SER_summary!Y$26)</f>
        <v>46.045364439295298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64.943527452867244</v>
      </c>
      <c r="C4" s="130">
        <f>IF(SER_hh_emih!C4=0,0,SER_hh_emih!C4/SER_summary!C$26)</f>
        <v>57.462791541626636</v>
      </c>
      <c r="D4" s="130">
        <f>IF(SER_hh_emih!D4=0,0,SER_hh_emih!D4/SER_summary!D$26)</f>
        <v>57.310576013497482</v>
      </c>
      <c r="E4" s="130">
        <f>IF(SER_hh_emih!E4=0,0,SER_hh_emih!E4/SER_summary!E$26)</f>
        <v>56.708633236118125</v>
      </c>
      <c r="F4" s="130">
        <f>IF(SER_hh_emih!F4=0,0,SER_hh_emih!F4/SER_summary!F$26)</f>
        <v>51.590580035723747</v>
      </c>
      <c r="G4" s="130">
        <f>IF(SER_hh_emih!G4=0,0,SER_hh_emih!G4/SER_summary!G$26)</f>
        <v>44.703926757597785</v>
      </c>
      <c r="H4" s="130">
        <f>IF(SER_hh_emih!H4=0,0,SER_hh_emih!H4/SER_summary!H$26)</f>
        <v>42.038413343719348</v>
      </c>
      <c r="I4" s="130">
        <f>IF(SER_hh_emih!I4=0,0,SER_hh_emih!I4/SER_summary!I$26)</f>
        <v>36.493609639780189</v>
      </c>
      <c r="J4" s="130">
        <f>IF(SER_hh_emih!J4=0,0,SER_hh_emih!J4/SER_summary!J$26)</f>
        <v>40.251836770477638</v>
      </c>
      <c r="K4" s="130">
        <f>IF(SER_hh_emih!K4=0,0,SER_hh_emih!K4/SER_summary!K$26)</f>
        <v>40.634670481006665</v>
      </c>
      <c r="L4" s="130">
        <f>IF(SER_hh_emih!L4=0,0,SER_hh_emih!L4/SER_summary!L$26)</f>
        <v>52.845804225820032</v>
      </c>
      <c r="M4" s="130">
        <f>IF(SER_hh_emih!M4=0,0,SER_hh_emih!M4/SER_summary!M$26)</f>
        <v>27.584321490576588</v>
      </c>
      <c r="N4" s="130">
        <f>IF(SER_hh_emih!N4=0,0,SER_hh_emih!N4/SER_summary!N$26)</f>
        <v>39.596723167073264</v>
      </c>
      <c r="O4" s="130">
        <f>IF(SER_hh_emih!O4=0,0,SER_hh_emih!O4/SER_summary!O$26)</f>
        <v>42.272926660466617</v>
      </c>
      <c r="P4" s="130">
        <f>IF(SER_hh_emih!P4=0,0,SER_hh_emih!P4/SER_summary!P$26)</f>
        <v>34.947243418298775</v>
      </c>
      <c r="Q4" s="130">
        <f>IF(SER_hh_emih!Q4=0,0,SER_hh_emih!Q4/SER_summary!Q$26)</f>
        <v>45.742242682844065</v>
      </c>
      <c r="R4" s="130">
        <f>IF(SER_hh_emih!R4=0,0,SER_hh_emih!R4/SER_summary!R$26)</f>
        <v>47.83654258550348</v>
      </c>
      <c r="S4" s="130">
        <f>IF(SER_hh_emih!S4=0,0,SER_hh_emih!S4/SER_summary!S$26)</f>
        <v>51.63196546006612</v>
      </c>
      <c r="T4" s="130">
        <f>IF(SER_hh_emih!T4=0,0,SER_hh_emih!T4/SER_summary!T$26)</f>
        <v>53.380266940892859</v>
      </c>
      <c r="U4" s="130">
        <f>IF(SER_hh_emih!U4=0,0,SER_hh_emih!U4/SER_summary!U$26)</f>
        <v>61.924801483548016</v>
      </c>
      <c r="V4" s="130">
        <f>IF(SER_hh_emih!V4=0,0,SER_hh_emih!V4/SER_summary!V$26)</f>
        <v>50.905999319958759</v>
      </c>
      <c r="W4" s="130">
        <f>IF(SER_hh_emih!W4=0,0,SER_hh_emih!W4/SER_summary!W$26)</f>
        <v>55.805565907473749</v>
      </c>
      <c r="X4" s="130">
        <f>IF(SER_hh_emih!X4=0,0,SER_hh_emih!X4/SER_summary!X$26)</f>
        <v>40.247511166350883</v>
      </c>
      <c r="Y4" s="130">
        <f>IF(SER_hh_emih!Y4=0,0,SER_hh_emih!Y4/SER_summary!Y$26)</f>
        <v>37.184720799872558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0</v>
      </c>
      <c r="C5" s="132">
        <f>IF(SER_hh_emih!C5=0,0,SER_hh_emih!C5/SER_summary!C$26)</f>
        <v>0</v>
      </c>
      <c r="D5" s="132">
        <f>IF(SER_hh_emih!D5=0,0,SER_hh_emih!D5/SER_summary!D$26)</f>
        <v>0</v>
      </c>
      <c r="E5" s="132">
        <f>IF(SER_hh_emih!E5=0,0,SER_hh_emih!E5/SER_summary!E$26)</f>
        <v>0</v>
      </c>
      <c r="F5" s="132">
        <f>IF(SER_hh_emih!F5=0,0,SER_hh_emih!F5/SER_summary!F$26)</f>
        <v>0</v>
      </c>
      <c r="G5" s="132">
        <f>IF(SER_hh_emih!G5=0,0,SER_hh_emih!G5/SER_summary!G$26)</f>
        <v>0</v>
      </c>
      <c r="H5" s="132">
        <f>IF(SER_hh_emih!H5=0,0,SER_hh_emih!H5/SER_summary!H$26)</f>
        <v>0</v>
      </c>
      <c r="I5" s="132">
        <f>IF(SER_hh_emih!I5=0,0,SER_hh_emih!I5/SER_summary!I$26)</f>
        <v>0</v>
      </c>
      <c r="J5" s="132">
        <f>IF(SER_hh_emih!J5=0,0,SER_hh_emih!J5/SER_summary!J$26)</f>
        <v>0</v>
      </c>
      <c r="K5" s="132">
        <f>IF(SER_hh_emih!K5=0,0,SER_hh_emih!K5/SER_summary!K$26)</f>
        <v>0</v>
      </c>
      <c r="L5" s="132">
        <f>IF(SER_hh_emih!L5=0,0,SER_hh_emih!L5/SER_summary!L$26)</f>
        <v>0</v>
      </c>
      <c r="M5" s="132">
        <f>IF(SER_hh_emih!M5=0,0,SER_hh_emih!M5/SER_summary!M$26)</f>
        <v>0</v>
      </c>
      <c r="N5" s="132">
        <f>IF(SER_hh_emih!N5=0,0,SER_hh_emih!N5/SER_summary!N$26)</f>
        <v>0</v>
      </c>
      <c r="O5" s="132">
        <f>IF(SER_hh_emih!O5=0,0,SER_hh_emih!O5/SER_summary!O$26)</f>
        <v>0</v>
      </c>
      <c r="P5" s="132">
        <f>IF(SER_hh_emih!P5=0,0,SER_hh_emih!P5/SER_summary!P$26)</f>
        <v>0</v>
      </c>
      <c r="Q5" s="132">
        <f>IF(SER_hh_emih!Q5=0,0,SER_hh_emih!Q5/SER_summary!Q$26)</f>
        <v>0</v>
      </c>
      <c r="R5" s="132">
        <f>IF(SER_hh_emih!R5=0,0,SER_hh_emih!R5/SER_summary!R$26)</f>
        <v>0</v>
      </c>
      <c r="S5" s="132">
        <f>IF(SER_hh_emih!S5=0,0,SER_hh_emih!S5/SER_summary!S$26)</f>
        <v>0</v>
      </c>
      <c r="T5" s="132">
        <f>IF(SER_hh_emih!T5=0,0,SER_hh_emih!T5/SER_summary!T$26)</f>
        <v>0</v>
      </c>
      <c r="U5" s="132">
        <f>IF(SER_hh_emih!U5=0,0,SER_hh_emih!U5/SER_summary!U$26)</f>
        <v>0</v>
      </c>
      <c r="V5" s="132">
        <f>IF(SER_hh_emih!V5=0,0,SER_hh_emih!V5/SER_summary!V$26)</f>
        <v>0</v>
      </c>
      <c r="W5" s="132">
        <f>IF(SER_hh_emih!W5=0,0,SER_hh_emih!W5/SER_summary!W$26)</f>
        <v>0</v>
      </c>
      <c r="X5" s="132">
        <f>IF(SER_hh_emih!X5=0,0,SER_hh_emih!X5/SER_summary!X$26)</f>
        <v>0</v>
      </c>
      <c r="Y5" s="132">
        <f>IF(SER_hh_emih!Y5=0,0,SER_hh_emih!Y5/SER_summary!Y$26)</f>
        <v>0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108.36957164061701</v>
      </c>
      <c r="C7" s="132">
        <f>IF(SER_hh_emih!C7=0,0,SER_hh_emih!C7/SER_summary!C$26)</f>
        <v>142.40648738187863</v>
      </c>
      <c r="D7" s="132">
        <f>IF(SER_hh_emih!D7=0,0,SER_hh_emih!D7/SER_summary!D$26)</f>
        <v>134.18814319183909</v>
      </c>
      <c r="E7" s="132">
        <f>IF(SER_hh_emih!E7=0,0,SER_hh_emih!E7/SER_summary!E$26)</f>
        <v>130.85463917748518</v>
      </c>
      <c r="F7" s="132">
        <f>IF(SER_hh_emih!F7=0,0,SER_hh_emih!F7/SER_summary!F$26)</f>
        <v>141.96220946819494</v>
      </c>
      <c r="G7" s="132">
        <f>IF(SER_hh_emih!G7=0,0,SER_hh_emih!G7/SER_summary!G$26)</f>
        <v>147.92756400716726</v>
      </c>
      <c r="H7" s="132">
        <f>IF(SER_hh_emih!H7=0,0,SER_hh_emih!H7/SER_summary!H$26)</f>
        <v>110.29490342802102</v>
      </c>
      <c r="I7" s="132">
        <f>IF(SER_hh_emih!I7=0,0,SER_hh_emih!I7/SER_summary!I$26)</f>
        <v>130.01886888393204</v>
      </c>
      <c r="J7" s="132">
        <f>IF(SER_hh_emih!J7=0,0,SER_hh_emih!J7/SER_summary!J$26)</f>
        <v>116.06535012774761</v>
      </c>
      <c r="K7" s="132">
        <f>IF(SER_hh_emih!K7=0,0,SER_hh_emih!K7/SER_summary!K$26)</f>
        <v>98.06354074136793</v>
      </c>
      <c r="L7" s="132">
        <f>IF(SER_hh_emih!L7=0,0,SER_hh_emih!L7/SER_summary!L$26)</f>
        <v>162.86510182835477</v>
      </c>
      <c r="M7" s="132">
        <f>IF(SER_hh_emih!M7=0,0,SER_hh_emih!M7/SER_summary!M$26)</f>
        <v>106.3643943646463</v>
      </c>
      <c r="N7" s="132">
        <f>IF(SER_hh_emih!N7=0,0,SER_hh_emih!N7/SER_summary!N$26)</f>
        <v>101.5211084201699</v>
      </c>
      <c r="O7" s="132">
        <f>IF(SER_hh_emih!O7=0,0,SER_hh_emih!O7/SER_summary!O$26)</f>
        <v>109.65458915916233</v>
      </c>
      <c r="P7" s="132">
        <f>IF(SER_hh_emih!P7=0,0,SER_hh_emih!P7/SER_summary!P$26)</f>
        <v>83.671822711099381</v>
      </c>
      <c r="Q7" s="132">
        <f>IF(SER_hh_emih!Q7=0,0,SER_hh_emih!Q7/SER_summary!Q$26)</f>
        <v>105.71772656682552</v>
      </c>
      <c r="R7" s="132">
        <f>IF(SER_hh_emih!R7=0,0,SER_hh_emih!R7/SER_summary!R$26)</f>
        <v>91.804006167250833</v>
      </c>
      <c r="S7" s="132">
        <f>IF(SER_hh_emih!S7=0,0,SER_hh_emih!S7/SER_summary!S$26)</f>
        <v>122.11264479954211</v>
      </c>
      <c r="T7" s="132">
        <f>IF(SER_hh_emih!T7=0,0,SER_hh_emih!T7/SER_summary!T$26)</f>
        <v>115.65414551780825</v>
      </c>
      <c r="U7" s="132">
        <f>IF(SER_hh_emih!U7=0,0,SER_hh_emih!U7/SER_summary!U$26)</f>
        <v>141.35757743219901</v>
      </c>
      <c r="V7" s="132">
        <f>IF(SER_hh_emih!V7=0,0,SER_hh_emih!V7/SER_summary!V$26)</f>
        <v>131.25359804074952</v>
      </c>
      <c r="W7" s="132">
        <f>IF(SER_hh_emih!W7=0,0,SER_hh_emih!W7/SER_summary!W$26)</f>
        <v>118.25062053645573</v>
      </c>
      <c r="X7" s="132">
        <f>IF(SER_hh_emih!X7=0,0,SER_hh_emih!X7/SER_summary!X$26)</f>
        <v>95.566881617933419</v>
      </c>
      <c r="Y7" s="132">
        <f>IF(SER_hh_emih!Y7=0,0,SER_hh_emih!Y7/SER_summary!Y$26)</f>
        <v>99.843339187424604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0</v>
      </c>
      <c r="C8" s="132">
        <f>IF(SER_hh_emih!C8=0,0,SER_hh_emih!C8/SER_summary!C$26)</f>
        <v>0</v>
      </c>
      <c r="D8" s="132">
        <f>IF(SER_hh_emih!D8=0,0,SER_hh_emih!D8/SER_summary!D$26)</f>
        <v>0</v>
      </c>
      <c r="E8" s="132">
        <f>IF(SER_hh_emih!E8=0,0,SER_hh_emih!E8/SER_summary!E$26)</f>
        <v>0</v>
      </c>
      <c r="F8" s="132">
        <f>IF(SER_hh_emih!F8=0,0,SER_hh_emih!F8/SER_summary!F$26)</f>
        <v>0</v>
      </c>
      <c r="G8" s="132">
        <f>IF(SER_hh_emih!G8=0,0,SER_hh_emih!G8/SER_summary!G$26)</f>
        <v>0</v>
      </c>
      <c r="H8" s="132">
        <f>IF(SER_hh_emih!H8=0,0,SER_hh_emih!H8/SER_summary!H$26)</f>
        <v>0</v>
      </c>
      <c r="I8" s="132">
        <f>IF(SER_hh_emih!I8=0,0,SER_hh_emih!I8/SER_summary!I$26)</f>
        <v>0</v>
      </c>
      <c r="J8" s="132">
        <f>IF(SER_hh_emih!J8=0,0,SER_hh_emih!J8/SER_summary!J$26)</f>
        <v>0</v>
      </c>
      <c r="K8" s="132">
        <f>IF(SER_hh_emih!K8=0,0,SER_hh_emih!K8/SER_summary!K$26)</f>
        <v>0</v>
      </c>
      <c r="L8" s="132">
        <f>IF(SER_hh_emih!L8=0,0,SER_hh_emih!L8/SER_summary!L$26)</f>
        <v>0</v>
      </c>
      <c r="M8" s="132">
        <f>IF(SER_hh_emih!M8=0,0,SER_hh_emih!M8/SER_summary!M$26)</f>
        <v>0</v>
      </c>
      <c r="N8" s="132">
        <f>IF(SER_hh_emih!N8=0,0,SER_hh_emih!N8/SER_summary!N$26)</f>
        <v>0</v>
      </c>
      <c r="O8" s="132">
        <f>IF(SER_hh_emih!O8=0,0,SER_hh_emih!O8/SER_summary!O$26)</f>
        <v>0</v>
      </c>
      <c r="P8" s="132">
        <f>IF(SER_hh_emih!P8=0,0,SER_hh_emih!P8/SER_summary!P$26)</f>
        <v>0</v>
      </c>
      <c r="Q8" s="132">
        <f>IF(SER_hh_emih!Q8=0,0,SER_hh_emih!Q8/SER_summary!Q$26)</f>
        <v>0</v>
      </c>
      <c r="R8" s="132">
        <f>IF(SER_hh_emih!R8=0,0,SER_hh_emih!R8/SER_summary!R$26)</f>
        <v>0</v>
      </c>
      <c r="S8" s="132">
        <f>IF(SER_hh_emih!S8=0,0,SER_hh_emih!S8/SER_summary!S$26)</f>
        <v>0</v>
      </c>
      <c r="T8" s="132">
        <f>IF(SER_hh_emih!T8=0,0,SER_hh_emih!T8/SER_summary!T$26)</f>
        <v>0</v>
      </c>
      <c r="U8" s="132">
        <f>IF(SER_hh_emih!U8=0,0,SER_hh_emih!U8/SER_summary!U$26)</f>
        <v>0</v>
      </c>
      <c r="V8" s="132">
        <f>IF(SER_hh_emih!V8=0,0,SER_hh_emih!V8/SER_summary!V$26)</f>
        <v>0</v>
      </c>
      <c r="W8" s="132">
        <f>IF(SER_hh_emih!W8=0,0,SER_hh_emih!W8/SER_summary!W$26)</f>
        <v>0</v>
      </c>
      <c r="X8" s="132">
        <f>IF(SER_hh_emih!X8=0,0,SER_hh_emih!X8/SER_summary!X$26)</f>
        <v>0</v>
      </c>
      <c r="Y8" s="132">
        <f>IF(SER_hh_emih!Y8=0,0,SER_hh_emih!Y8/SER_summary!Y$26)</f>
        <v>0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116.12467239956869</v>
      </c>
      <c r="C9" s="132">
        <f>IF(SER_hh_emih!C9=0,0,SER_hh_emih!C9/SER_summary!C$26)</f>
        <v>78.213938700308006</v>
      </c>
      <c r="D9" s="132">
        <f>IF(SER_hh_emih!D9=0,0,SER_hh_emih!D9/SER_summary!D$26)</f>
        <v>88.655088499607814</v>
      </c>
      <c r="E9" s="132">
        <f>IF(SER_hh_emih!E9=0,0,SER_hh_emih!E9/SER_summary!E$26)</f>
        <v>104.52140896316922</v>
      </c>
      <c r="F9" s="132">
        <f>IF(SER_hh_emih!F9=0,0,SER_hh_emih!F9/SER_summary!F$26)</f>
        <v>95.081098571540721</v>
      </c>
      <c r="G9" s="132">
        <f>IF(SER_hh_emih!G9=0,0,SER_hh_emih!G9/SER_summary!G$26)</f>
        <v>80.402903280152699</v>
      </c>
      <c r="H9" s="132">
        <f>IF(SER_hh_emih!H9=0,0,SER_hh_emih!H9/SER_summary!H$26)</f>
        <v>97.217808207869268</v>
      </c>
      <c r="I9" s="132">
        <f>IF(SER_hh_emih!I9=0,0,SER_hh_emih!I9/SER_summary!I$26)</f>
        <v>76.774330507881771</v>
      </c>
      <c r="J9" s="132">
        <f>IF(SER_hh_emih!J9=0,0,SER_hh_emih!J9/SER_summary!J$26)</f>
        <v>92.390934397063674</v>
      </c>
      <c r="K9" s="132">
        <f>IF(SER_hh_emih!K9=0,0,SER_hh_emih!K9/SER_summary!K$26)</f>
        <v>94.837581968182931</v>
      </c>
      <c r="L9" s="132">
        <f>IF(SER_hh_emih!L9=0,0,SER_hh_emih!L9/SER_summary!L$26)</f>
        <v>113.23038277631886</v>
      </c>
      <c r="M9" s="132">
        <f>IF(SER_hh_emih!M9=0,0,SER_hh_emih!M9/SER_summary!M$26)</f>
        <v>46.002260873702781</v>
      </c>
      <c r="N9" s="132">
        <f>IF(SER_hh_emih!N9=0,0,SER_hh_emih!N9/SER_summary!N$26)</f>
        <v>83.535715654551353</v>
      </c>
      <c r="O9" s="132">
        <f>IF(SER_hh_emih!O9=0,0,SER_hh_emih!O9/SER_summary!O$26)</f>
        <v>79.921500329173242</v>
      </c>
      <c r="P9" s="132">
        <f>IF(SER_hh_emih!P9=0,0,SER_hh_emih!P9/SER_summary!P$26)</f>
        <v>61.674073617077539</v>
      </c>
      <c r="Q9" s="132">
        <f>IF(SER_hh_emih!Q9=0,0,SER_hh_emih!Q9/SER_summary!Q$26)</f>
        <v>72.50884541356217</v>
      </c>
      <c r="R9" s="132">
        <f>IF(SER_hh_emih!R9=0,0,SER_hh_emih!R9/SER_summary!R$26)</f>
        <v>86.1351186577579</v>
      </c>
      <c r="S9" s="132">
        <f>IF(SER_hh_emih!S9=0,0,SER_hh_emih!S9/SER_summary!S$26)</f>
        <v>69.804469444523107</v>
      </c>
      <c r="T9" s="132">
        <f>IF(SER_hh_emih!T9=0,0,SER_hh_emih!T9/SER_summary!T$26)</f>
        <v>88.332069258801852</v>
      </c>
      <c r="U9" s="132">
        <f>IF(SER_hh_emih!U9=0,0,SER_hh_emih!U9/SER_summary!U$26)</f>
        <v>105.30422106178163</v>
      </c>
      <c r="V9" s="132">
        <f>IF(SER_hh_emih!V9=0,0,SER_hh_emih!V9/SER_summary!V$26)</f>
        <v>81.242425269229074</v>
      </c>
      <c r="W9" s="132">
        <f>IF(SER_hh_emih!W9=0,0,SER_hh_emih!W9/SER_summary!W$26)</f>
        <v>130.24453385763755</v>
      </c>
      <c r="X9" s="132">
        <f>IF(SER_hh_emih!X9=0,0,SER_hh_emih!X9/SER_summary!X$26)</f>
        <v>81.562193928902772</v>
      </c>
      <c r="Y9" s="132">
        <f>IF(SER_hh_emih!Y9=0,0,SER_hh_emih!Y9/SER_summary!Y$26)</f>
        <v>66.486384990105876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0</v>
      </c>
      <c r="O10" s="132">
        <f>IF(SER_hh_emih!O10=0,0,SER_hh_emih!O10/SER_summary!O$26)</f>
        <v>0</v>
      </c>
      <c r="P10" s="132">
        <f>IF(SER_hh_emih!P10=0,0,SER_hh_emih!P10/SER_summary!P$26)</f>
        <v>0</v>
      </c>
      <c r="Q10" s="132">
        <f>IF(SER_hh_emih!Q10=0,0,SER_hh_emih!Q10/SER_summary!Q$26)</f>
        <v>0</v>
      </c>
      <c r="R10" s="132">
        <f>IF(SER_hh_emih!R10=0,0,SER_hh_emih!R10/SER_summary!R$26)</f>
        <v>0</v>
      </c>
      <c r="S10" s="132">
        <f>IF(SER_hh_emih!S10=0,0,SER_hh_emih!S10/SER_summary!S$26)</f>
        <v>0</v>
      </c>
      <c r="T10" s="132">
        <f>IF(SER_hh_emih!T10=0,0,SER_hh_emih!T10/SER_summary!T$26)</f>
        <v>0</v>
      </c>
      <c r="U10" s="132">
        <f>IF(SER_hh_emih!U10=0,0,SER_hh_emih!U10/SER_summary!U$26)</f>
        <v>0</v>
      </c>
      <c r="V10" s="132">
        <f>IF(SER_hh_emih!V10=0,0,SER_hh_emih!V10/SER_summary!V$26)</f>
        <v>0</v>
      </c>
      <c r="W10" s="132">
        <f>IF(SER_hh_emih!W10=0,0,SER_hh_emih!W10/SER_summary!W$26)</f>
        <v>0</v>
      </c>
      <c r="X10" s="132">
        <f>IF(SER_hh_emih!X10=0,0,SER_hh_emih!X10/SER_summary!X$26)</f>
        <v>0</v>
      </c>
      <c r="Y10" s="132">
        <f>IF(SER_hh_emih!Y10=0,0,SER_hh_emih!Y10/SER_summary!Y$26)</f>
        <v>0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2.6604879026790967E-2</v>
      </c>
      <c r="C16" s="130">
        <f>IF(SER_hh_emih!C16=0,0,SER_hh_emih!C16/SER_summary!C$26)</f>
        <v>2.8683539484408251E-2</v>
      </c>
      <c r="D16" s="130">
        <f>IF(SER_hh_emih!D16=0,0,SER_hh_emih!D16/SER_summary!D$26)</f>
        <v>3.4883600929638311E-2</v>
      </c>
      <c r="E16" s="130">
        <f>IF(SER_hh_emih!E16=0,0,SER_hh_emih!E16/SER_summary!E$26)</f>
        <v>3.0731596774559035E-2</v>
      </c>
      <c r="F16" s="130">
        <f>IF(SER_hh_emih!F16=0,0,SER_hh_emih!F16/SER_summary!F$26)</f>
        <v>4.0595127110693616E-2</v>
      </c>
      <c r="G16" s="130">
        <f>IF(SER_hh_emih!G16=0,0,SER_hh_emih!G16/SER_summary!G$26)</f>
        <v>3.8507192607623177E-2</v>
      </c>
      <c r="H16" s="130">
        <f>IF(SER_hh_emih!H16=0,0,SER_hh_emih!H16/SER_summary!H$26)</f>
        <v>4.7336090820228806E-2</v>
      </c>
      <c r="I16" s="130">
        <f>IF(SER_hh_emih!I16=0,0,SER_hh_emih!I16/SER_summary!I$26)</f>
        <v>4.9455997512249009E-2</v>
      </c>
      <c r="J16" s="130">
        <f>IF(SER_hh_emih!J16=0,0,SER_hh_emih!J16/SER_summary!J$26)</f>
        <v>4.8999280790708713E-2</v>
      </c>
      <c r="K16" s="130">
        <f>IF(SER_hh_emih!K16=0,0,SER_hh_emih!K16/SER_summary!K$26)</f>
        <v>6.0448965334514826E-2</v>
      </c>
      <c r="L16" s="130">
        <f>IF(SER_hh_emih!L16=0,0,SER_hh_emih!L16/SER_summary!L$26)</f>
        <v>5.5164963287792586E-2</v>
      </c>
      <c r="M16" s="130">
        <f>IF(SER_hh_emih!M16=0,0,SER_hh_emih!M16/SER_summary!M$26)</f>
        <v>5.4843219110192978E-2</v>
      </c>
      <c r="N16" s="130">
        <f>IF(SER_hh_emih!N16=0,0,SER_hh_emih!N16/SER_summary!N$26)</f>
        <v>5.8983488863428427E-2</v>
      </c>
      <c r="O16" s="130">
        <f>IF(SER_hh_emih!O16=0,0,SER_hh_emih!O16/SER_summary!O$26)</f>
        <v>6.9007436183564252E-2</v>
      </c>
      <c r="P16" s="130">
        <f>IF(SER_hh_emih!P16=0,0,SER_hh_emih!P16/SER_summary!P$26)</f>
        <v>8.662241159965392E-2</v>
      </c>
      <c r="Q16" s="130">
        <f>IF(SER_hh_emih!Q16=0,0,SER_hh_emih!Q16/SER_summary!Q$26)</f>
        <v>0.11407840539654832</v>
      </c>
      <c r="R16" s="130">
        <f>IF(SER_hh_emih!R16=0,0,SER_hh_emih!R16/SER_summary!R$26)</f>
        <v>0.14018753348002555</v>
      </c>
      <c r="S16" s="130">
        <f>IF(SER_hh_emih!S16=0,0,SER_hh_emih!S16/SER_summary!S$26)</f>
        <v>0.16065392273806273</v>
      </c>
      <c r="T16" s="130">
        <f>IF(SER_hh_emih!T16=0,0,SER_hh_emih!T16/SER_summary!T$26)</f>
        <v>0.17572903791858333</v>
      </c>
      <c r="U16" s="130">
        <f>IF(SER_hh_emih!U16=0,0,SER_hh_emih!U16/SER_summary!U$26)</f>
        <v>0.18888001716737018</v>
      </c>
      <c r="V16" s="130">
        <f>IF(SER_hh_emih!V16=0,0,SER_hh_emih!V16/SER_summary!V$26)</f>
        <v>0.1982724266641199</v>
      </c>
      <c r="W16" s="130">
        <f>IF(SER_hh_emih!W16=0,0,SER_hh_emih!W16/SER_summary!W$26)</f>
        <v>0.20789085762301074</v>
      </c>
      <c r="X16" s="130">
        <f>IF(SER_hh_emih!X16=0,0,SER_hh_emih!X16/SER_summary!X$26)</f>
        <v>0.1885439387099932</v>
      </c>
      <c r="Y16" s="130">
        <f>IF(SER_hh_emih!Y16=0,0,SER_hh_emih!Y16/SER_summary!Y$26)</f>
        <v>0.18168184751758518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6.9778201286971795</v>
      </c>
      <c r="C17" s="132">
        <f>IF(SER_hh_emih!C17=0,0,SER_hh_emih!C17/SER_summary!C$26)</f>
        <v>6.8698835498149107</v>
      </c>
      <c r="D17" s="132">
        <f>IF(SER_hh_emih!D17=0,0,SER_hh_emih!D17/SER_summary!D$26)</f>
        <v>6.7560111957095668</v>
      </c>
      <c r="E17" s="132">
        <f>IF(SER_hh_emih!E17=0,0,SER_hh_emih!E17/SER_summary!E$26)</f>
        <v>8.6212594324875678</v>
      </c>
      <c r="F17" s="132">
        <f>IF(SER_hh_emih!F17=0,0,SER_hh_emih!F17/SER_summary!F$26)</f>
        <v>6.3514033101924854</v>
      </c>
      <c r="G17" s="132">
        <f>IF(SER_hh_emih!G17=0,0,SER_hh_emih!G17/SER_summary!G$26)</f>
        <v>6.4834866254289016</v>
      </c>
      <c r="H17" s="132">
        <f>IF(SER_hh_emih!H17=0,0,SER_hh_emih!H17/SER_summary!H$26)</f>
        <v>7.5403108808175965</v>
      </c>
      <c r="I17" s="132">
        <f>IF(SER_hh_emih!I17=0,0,SER_hh_emih!I17/SER_summary!I$26)</f>
        <v>6.1460579508560835</v>
      </c>
      <c r="J17" s="132">
        <f>IF(SER_hh_emih!J17=0,0,SER_hh_emih!J17/SER_summary!J$26)</f>
        <v>6.0850811425191678</v>
      </c>
      <c r="K17" s="132">
        <f>IF(SER_hh_emih!K17=0,0,SER_hh_emih!K17/SER_summary!K$26)</f>
        <v>7.1698432328019397</v>
      </c>
      <c r="L17" s="132">
        <f>IF(SER_hh_emih!L17=0,0,SER_hh_emih!L17/SER_summary!L$26)</f>
        <v>6.4803041410147086</v>
      </c>
      <c r="M17" s="132">
        <f>IF(SER_hh_emih!M17=0,0,SER_hh_emih!M17/SER_summary!M$26)</f>
        <v>5.9418677078665594</v>
      </c>
      <c r="N17" s="132">
        <f>IF(SER_hh_emih!N17=0,0,SER_hh_emih!N17/SER_summary!N$26)</f>
        <v>6.0457277750693743</v>
      </c>
      <c r="O17" s="132">
        <f>IF(SER_hh_emih!O17=0,0,SER_hh_emih!O17/SER_summary!O$26)</f>
        <v>6.0408850829632463</v>
      </c>
      <c r="P17" s="132">
        <f>IF(SER_hh_emih!P17=0,0,SER_hh_emih!P17/SER_summary!P$26)</f>
        <v>5.6522324412551841</v>
      </c>
      <c r="Q17" s="132">
        <f>IF(SER_hh_emih!Q17=0,0,SER_hh_emih!Q17/SER_summary!Q$26)</f>
        <v>6.3063798844675718</v>
      </c>
      <c r="R17" s="132">
        <f>IF(SER_hh_emih!R17=0,0,SER_hh_emih!R17/SER_summary!R$26)</f>
        <v>5.6050609864107059</v>
      </c>
      <c r="S17" s="132">
        <f>IF(SER_hh_emih!S17=0,0,SER_hh_emih!S17/SER_summary!S$26)</f>
        <v>5.6996278091196029</v>
      </c>
      <c r="T17" s="132">
        <f>IF(SER_hh_emih!T17=0,0,SER_hh_emih!T17/SER_summary!T$26)</f>
        <v>6.1806673504103093</v>
      </c>
      <c r="U17" s="132">
        <f>IF(SER_hh_emih!U17=0,0,SER_hh_emih!U17/SER_summary!U$26)</f>
        <v>6.1483244447639906</v>
      </c>
      <c r="V17" s="132">
        <f>IF(SER_hh_emih!V17=0,0,SER_hh_emih!V17/SER_summary!V$26)</f>
        <v>6.0600104982131304</v>
      </c>
      <c r="W17" s="132">
        <f>IF(SER_hh_emih!W17=0,0,SER_hh_emih!W17/SER_summary!W$26)</f>
        <v>5.9801014168785596</v>
      </c>
      <c r="X17" s="132">
        <f>IF(SER_hh_emih!X17=0,0,SER_hh_emih!X17/SER_summary!X$26)</f>
        <v>5.2912609830130597</v>
      </c>
      <c r="Y17" s="132">
        <f>IF(SER_hh_emih!Y17=0,0,SER_hh_emih!Y17/SER_summary!Y$26)</f>
        <v>5.0401808142507063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4.9485618103216229</v>
      </c>
      <c r="C19" s="130">
        <f>IF(SER_hh_emih!C19=0,0,SER_hh_emih!C19/SER_summary!C$26)</f>
        <v>4.9213032662240224</v>
      </c>
      <c r="D19" s="130">
        <f>IF(SER_hh_emih!D19=0,0,SER_hh_emih!D19/SER_summary!D$26)</f>
        <v>5.0123267847337356</v>
      </c>
      <c r="E19" s="130">
        <f>IF(SER_hh_emih!E19=0,0,SER_hh_emih!E19/SER_summary!E$26)</f>
        <v>5.1781367868569079</v>
      </c>
      <c r="F19" s="130">
        <f>IF(SER_hh_emih!F19=0,0,SER_hh_emih!F19/SER_summary!F$26)</f>
        <v>5.0972000036092702</v>
      </c>
      <c r="G19" s="130">
        <f>IF(SER_hh_emih!G19=0,0,SER_hh_emih!G19/SER_summary!G$26)</f>
        <v>4.9585386839362258</v>
      </c>
      <c r="H19" s="130">
        <f>IF(SER_hh_emih!H19=0,0,SER_hh_emih!H19/SER_summary!H$26)</f>
        <v>4.0945031022572005</v>
      </c>
      <c r="I19" s="130">
        <f>IF(SER_hh_emih!I19=0,0,SER_hh_emih!I19/SER_summary!I$26)</f>
        <v>3.8949584007930933</v>
      </c>
      <c r="J19" s="130">
        <f>IF(SER_hh_emih!J19=0,0,SER_hh_emih!J19/SER_summary!J$26)</f>
        <v>3.8743801805611717</v>
      </c>
      <c r="K19" s="130">
        <f>IF(SER_hh_emih!K19=0,0,SER_hh_emih!K19/SER_summary!K$26)</f>
        <v>3.7166106446036289</v>
      </c>
      <c r="L19" s="130">
        <f>IF(SER_hh_emih!L19=0,0,SER_hh_emih!L19/SER_summary!L$26)</f>
        <v>4.7168457571195228</v>
      </c>
      <c r="M19" s="130">
        <f>IF(SER_hh_emih!M19=0,0,SER_hh_emih!M19/SER_summary!M$26)</f>
        <v>3.9733423824730534</v>
      </c>
      <c r="N19" s="130">
        <f>IF(SER_hh_emih!N19=0,0,SER_hh_emih!N19/SER_summary!N$26)</f>
        <v>4.4348317904967889</v>
      </c>
      <c r="O19" s="130">
        <f>IF(SER_hh_emih!O19=0,0,SER_hh_emih!O19/SER_summary!O$26)</f>
        <v>4.4361839299830903</v>
      </c>
      <c r="P19" s="130">
        <f>IF(SER_hh_emih!P19=0,0,SER_hh_emih!P19/SER_summary!P$26)</f>
        <v>4.6846953037749008</v>
      </c>
      <c r="Q19" s="130">
        <f>IF(SER_hh_emih!Q19=0,0,SER_hh_emih!Q19/SER_summary!Q$26)</f>
        <v>4.9612593440725394</v>
      </c>
      <c r="R19" s="130">
        <f>IF(SER_hh_emih!R19=0,0,SER_hh_emih!R19/SER_summary!R$26)</f>
        <v>4.9547520062441244</v>
      </c>
      <c r="S19" s="130">
        <f>IF(SER_hh_emih!S19=0,0,SER_hh_emih!S19/SER_summary!S$26)</f>
        <v>4.8713403499396009</v>
      </c>
      <c r="T19" s="130">
        <f>IF(SER_hh_emih!T19=0,0,SER_hh_emih!T19/SER_summary!T$26)</f>
        <v>5.0302435622557207</v>
      </c>
      <c r="U19" s="130">
        <f>IF(SER_hh_emih!U19=0,0,SER_hh_emih!U19/SER_summary!U$26)</f>
        <v>5.1626077490933913</v>
      </c>
      <c r="V19" s="130">
        <f>IF(SER_hh_emih!V19=0,0,SER_hh_emih!V19/SER_summary!V$26)</f>
        <v>3.757130709322444</v>
      </c>
      <c r="W19" s="130">
        <f>IF(SER_hh_emih!W19=0,0,SER_hh_emih!W19/SER_summary!W$26)</f>
        <v>4.6451583861128345</v>
      </c>
      <c r="X19" s="130">
        <f>IF(SER_hh_emih!X19=0,0,SER_hh_emih!X19/SER_summary!X$26)</f>
        <v>3.9434852638025006</v>
      </c>
      <c r="Y19" s="130">
        <f>IF(SER_hh_emih!Y19=0,0,SER_hh_emih!Y19/SER_summary!Y$26)</f>
        <v>3.8115091744563037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0</v>
      </c>
      <c r="C21" s="132">
        <f>IF(SER_hh_emih!C21=0,0,SER_hh_emih!C21/SER_summary!C$26)</f>
        <v>0</v>
      </c>
      <c r="D21" s="132">
        <f>IF(SER_hh_emih!D21=0,0,SER_hh_emih!D21/SER_summary!D$26)</f>
        <v>0</v>
      </c>
      <c r="E21" s="132">
        <f>IF(SER_hh_emih!E21=0,0,SER_hh_emih!E21/SER_summary!E$26)</f>
        <v>0</v>
      </c>
      <c r="F21" s="132">
        <f>IF(SER_hh_emih!F21=0,0,SER_hh_emih!F21/SER_summary!F$26)</f>
        <v>0</v>
      </c>
      <c r="G21" s="132">
        <f>IF(SER_hh_emih!G21=0,0,SER_hh_emih!G21/SER_summary!G$26)</f>
        <v>0</v>
      </c>
      <c r="H21" s="132">
        <f>IF(SER_hh_emih!H21=0,0,SER_hh_emih!H21/SER_summary!H$26)</f>
        <v>0</v>
      </c>
      <c r="I21" s="132">
        <f>IF(SER_hh_emih!I21=0,0,SER_hh_emih!I21/SER_summary!I$26)</f>
        <v>0</v>
      </c>
      <c r="J21" s="132">
        <f>IF(SER_hh_emih!J21=0,0,SER_hh_emih!J21/SER_summary!J$26)</f>
        <v>0</v>
      </c>
      <c r="K21" s="132">
        <f>IF(SER_hh_emih!K21=0,0,SER_hh_emih!K21/SER_summary!K$26)</f>
        <v>0</v>
      </c>
      <c r="L21" s="132">
        <f>IF(SER_hh_emih!L21=0,0,SER_hh_emih!L21/SER_summary!L$26)</f>
        <v>0</v>
      </c>
      <c r="M21" s="132">
        <f>IF(SER_hh_emih!M21=0,0,SER_hh_emih!M21/SER_summary!M$26)</f>
        <v>0</v>
      </c>
      <c r="N21" s="132">
        <f>IF(SER_hh_emih!N21=0,0,SER_hh_emih!N21/SER_summary!N$26)</f>
        <v>0</v>
      </c>
      <c r="O21" s="132">
        <f>IF(SER_hh_emih!O21=0,0,SER_hh_emih!O21/SER_summary!O$26)</f>
        <v>0</v>
      </c>
      <c r="P21" s="132">
        <f>IF(SER_hh_emih!P21=0,0,SER_hh_emih!P21/SER_summary!P$26)</f>
        <v>0</v>
      </c>
      <c r="Q21" s="132">
        <f>IF(SER_hh_emih!Q21=0,0,SER_hh_emih!Q21/SER_summary!Q$26)</f>
        <v>0</v>
      </c>
      <c r="R21" s="132">
        <f>IF(SER_hh_emih!R21=0,0,SER_hh_emih!R21/SER_summary!R$26)</f>
        <v>0</v>
      </c>
      <c r="S21" s="132">
        <f>IF(SER_hh_emih!S21=0,0,SER_hh_emih!S21/SER_summary!S$26)</f>
        <v>0</v>
      </c>
      <c r="T21" s="132">
        <f>IF(SER_hh_emih!T21=0,0,SER_hh_emih!T21/SER_summary!T$26)</f>
        <v>0</v>
      </c>
      <c r="U21" s="132">
        <f>IF(SER_hh_emih!U21=0,0,SER_hh_emih!U21/SER_summary!U$26)</f>
        <v>0</v>
      </c>
      <c r="V21" s="132">
        <f>IF(SER_hh_emih!V21=0,0,SER_hh_emih!V21/SER_summary!V$26)</f>
        <v>0</v>
      </c>
      <c r="W21" s="132">
        <f>IF(SER_hh_emih!W21=0,0,SER_hh_emih!W21/SER_summary!W$26)</f>
        <v>0</v>
      </c>
      <c r="X21" s="132">
        <f>IF(SER_hh_emih!X21=0,0,SER_hh_emih!X21/SER_summary!X$26)</f>
        <v>0</v>
      </c>
      <c r="Y21" s="132">
        <f>IF(SER_hh_emih!Y21=0,0,SER_hh_emih!Y21/SER_summary!Y$26)</f>
        <v>0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16.238564756376437</v>
      </c>
      <c r="C22" s="132">
        <f>IF(SER_hh_emih!C22=0,0,SER_hh_emih!C22/SER_summary!C$26)</f>
        <v>16.030746736586252</v>
      </c>
      <c r="D22" s="132">
        <f>IF(SER_hh_emih!D22=0,0,SER_hh_emih!D22/SER_summary!D$26)</f>
        <v>16.232764858740396</v>
      </c>
      <c r="E22" s="132">
        <f>IF(SER_hh_emih!E22=0,0,SER_hh_emih!E22/SER_summary!E$26)</f>
        <v>16.152027792949038</v>
      </c>
      <c r="F22" s="132">
        <f>IF(SER_hh_emih!F22=0,0,SER_hh_emih!F22/SER_summary!F$26)</f>
        <v>16.533181446674401</v>
      </c>
      <c r="G22" s="132">
        <f>IF(SER_hh_emih!G22=0,0,SER_hh_emih!G22/SER_summary!G$26)</f>
        <v>17.236428459855496</v>
      </c>
      <c r="H22" s="132">
        <f>IF(SER_hh_emih!H22=0,0,SER_hh_emih!H22/SER_summary!H$26)</f>
        <v>14.291621116184391</v>
      </c>
      <c r="I22" s="132">
        <f>IF(SER_hh_emih!I22=0,0,SER_hh_emih!I22/SER_summary!I$26)</f>
        <v>15.662994201685633</v>
      </c>
      <c r="J22" s="132">
        <f>IF(SER_hh_emih!J22=0,0,SER_hh_emih!J22/SER_summary!J$26)</f>
        <v>12.913571167340681</v>
      </c>
      <c r="K22" s="132">
        <f>IF(SER_hh_emih!K22=0,0,SER_hh_emih!K22/SER_summary!K$26)</f>
        <v>13.741818579041087</v>
      </c>
      <c r="L22" s="132">
        <f>IF(SER_hh_emih!L22=0,0,SER_hh_emih!L22/SER_summary!L$26)</f>
        <v>18.419265329263609</v>
      </c>
      <c r="M22" s="132">
        <f>IF(SER_hh_emih!M22=0,0,SER_hh_emih!M22/SER_summary!M$26)</f>
        <v>12.174298042338092</v>
      </c>
      <c r="N22" s="132">
        <f>IF(SER_hh_emih!N22=0,0,SER_hh_emih!N22/SER_summary!N$26)</f>
        <v>15.880889331265617</v>
      </c>
      <c r="O22" s="132">
        <f>IF(SER_hh_emih!O22=0,0,SER_hh_emih!O22/SER_summary!O$26)</f>
        <v>14.760670439255769</v>
      </c>
      <c r="P22" s="132">
        <f>IF(SER_hh_emih!P22=0,0,SER_hh_emih!P22/SER_summary!P$26)</f>
        <v>14.971535312948065</v>
      </c>
      <c r="Q22" s="132">
        <f>IF(SER_hh_emih!Q22=0,0,SER_hh_emih!Q22/SER_summary!Q$26)</f>
        <v>13.690081025896971</v>
      </c>
      <c r="R22" s="132">
        <f>IF(SER_hh_emih!R22=0,0,SER_hh_emih!R22/SER_summary!R$26)</f>
        <v>11.487514952055253</v>
      </c>
      <c r="S22" s="132">
        <f>IF(SER_hh_emih!S22=0,0,SER_hh_emih!S22/SER_summary!S$26)</f>
        <v>14.547656005079391</v>
      </c>
      <c r="T22" s="132">
        <f>IF(SER_hh_emih!T22=0,0,SER_hh_emih!T22/SER_summary!T$26)</f>
        <v>13.555164549451778</v>
      </c>
      <c r="U22" s="132">
        <f>IF(SER_hh_emih!U22=0,0,SER_hh_emih!U22/SER_summary!U$26)</f>
        <v>13.746345856280975</v>
      </c>
      <c r="V22" s="132">
        <f>IF(SER_hh_emih!V22=0,0,SER_hh_emih!V22/SER_summary!V$26)</f>
        <v>11.197646749016091</v>
      </c>
      <c r="W22" s="132">
        <f>IF(SER_hh_emih!W22=0,0,SER_hh_emih!W22/SER_summary!W$26)</f>
        <v>13.304837011894364</v>
      </c>
      <c r="X22" s="132">
        <f>IF(SER_hh_emih!X22=0,0,SER_hh_emih!X22/SER_summary!X$26)</f>
        <v>11.68367688253517</v>
      </c>
      <c r="Y22" s="132">
        <f>IF(SER_hh_emih!Y22=0,0,SER_hh_emih!Y22/SER_summary!Y$26)</f>
        <v>12.606689455681819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11.776174565789917</v>
      </c>
      <c r="C23" s="132">
        <f>IF(SER_hh_emih!C23=0,0,SER_hh_emih!C23/SER_summary!C$26)</f>
        <v>11.827958401386004</v>
      </c>
      <c r="D23" s="132">
        <f>IF(SER_hh_emih!D23=0,0,SER_hh_emih!D23/SER_summary!D$26)</f>
        <v>11.497445498183485</v>
      </c>
      <c r="E23" s="132">
        <f>IF(SER_hh_emih!E23=0,0,SER_hh_emih!E23/SER_summary!E$26)</f>
        <v>11.778798267423065</v>
      </c>
      <c r="F23" s="132">
        <f>IF(SER_hh_emih!F23=0,0,SER_hh_emih!F23/SER_summary!F$26)</f>
        <v>11.261073387824945</v>
      </c>
      <c r="G23" s="132">
        <f>IF(SER_hh_emih!G23=0,0,SER_hh_emih!G23/SER_summary!G$26)</f>
        <v>11.145921695977558</v>
      </c>
      <c r="H23" s="132">
        <f>IF(SER_hh_emih!H23=0,0,SER_hh_emih!H23/SER_summary!H$26)</f>
        <v>10.739200506288546</v>
      </c>
      <c r="I23" s="132">
        <f>IF(SER_hh_emih!I23=0,0,SER_hh_emih!I23/SER_summary!I$26)</f>
        <v>10.335880128505764</v>
      </c>
      <c r="J23" s="132">
        <f>IF(SER_hh_emih!J23=0,0,SER_hh_emih!J23/SER_summary!J$26)</f>
        <v>11.394171031427925</v>
      </c>
      <c r="K23" s="132">
        <f>IF(SER_hh_emih!K23=0,0,SER_hh_emih!K23/SER_summary!K$26)</f>
        <v>10.179266573385723</v>
      </c>
      <c r="L23" s="132">
        <f>IF(SER_hh_emih!L23=0,0,SER_hh_emih!L23/SER_summary!L$26)</f>
        <v>11.066539937558552</v>
      </c>
      <c r="M23" s="132">
        <f>IF(SER_hh_emih!M23=0,0,SER_hh_emih!M23/SER_summary!M$26)</f>
        <v>10.307620966071445</v>
      </c>
      <c r="N23" s="132">
        <f>IF(SER_hh_emih!N23=0,0,SER_hh_emih!N23/SER_summary!N$26)</f>
        <v>9.7521161694499181</v>
      </c>
      <c r="O23" s="132">
        <f>IF(SER_hh_emih!O23=0,0,SER_hh_emih!O23/SER_summary!O$26)</f>
        <v>9.736240466951708</v>
      </c>
      <c r="P23" s="132">
        <f>IF(SER_hh_emih!P23=0,0,SER_hh_emih!P23/SER_summary!P$26)</f>
        <v>10.156482317268591</v>
      </c>
      <c r="Q23" s="132">
        <f>IF(SER_hh_emih!Q23=0,0,SER_hh_emih!Q23/SER_summary!Q$26)</f>
        <v>11.366370509928016</v>
      </c>
      <c r="R23" s="132">
        <f>IF(SER_hh_emih!R23=0,0,SER_hh_emih!R23/SER_summary!R$26)</f>
        <v>11.950852860614186</v>
      </c>
      <c r="S23" s="132">
        <f>IF(SER_hh_emih!S23=0,0,SER_hh_emih!S23/SER_summary!S$26)</f>
        <v>8.69624767443511</v>
      </c>
      <c r="T23" s="132">
        <f>IF(SER_hh_emih!T23=0,0,SER_hh_emih!T23/SER_summary!T$26)</f>
        <v>9.7801093257919174</v>
      </c>
      <c r="U23" s="132">
        <f>IF(SER_hh_emih!U23=0,0,SER_hh_emih!U23/SER_summary!U$26)</f>
        <v>10.06438602699321</v>
      </c>
      <c r="V23" s="132">
        <f>IF(SER_hh_emih!V23=0,0,SER_hh_emih!V23/SER_summary!V$26)</f>
        <v>6.5857825990931342</v>
      </c>
      <c r="W23" s="132">
        <f>IF(SER_hh_emih!W23=0,0,SER_hh_emih!W23/SER_summary!W$26)</f>
        <v>9.3722581935673777</v>
      </c>
      <c r="X23" s="132">
        <f>IF(SER_hh_emih!X23=0,0,SER_hh_emih!X23/SER_summary!X$26)</f>
        <v>9.0189744171238324</v>
      </c>
      <c r="Y23" s="132">
        <f>IF(SER_hh_emih!Y23=0,0,SER_hh_emih!Y23/SER_summary!Y$26)</f>
        <v>8.9014693291105473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6.828996491552128</v>
      </c>
      <c r="C29" s="130">
        <f>IF(SER_hh_emih!C29=0,0,SER_hh_emih!C29/SER_summary!C$26)</f>
        <v>8.4761709146346718</v>
      </c>
      <c r="D29" s="130">
        <f>IF(SER_hh_emih!D29=0,0,SER_hh_emih!D29/SER_summary!D$26)</f>
        <v>7.0337190500657112</v>
      </c>
      <c r="E29" s="130">
        <f>IF(SER_hh_emih!E29=0,0,SER_hh_emih!E29/SER_summary!E$26)</f>
        <v>5.8479066707487419</v>
      </c>
      <c r="F29" s="130">
        <f>IF(SER_hh_emih!F29=0,0,SER_hh_emih!F29/SER_summary!F$26)</f>
        <v>5.4662484922603491</v>
      </c>
      <c r="G29" s="130">
        <f>IF(SER_hh_emih!G29=0,0,SER_hh_emih!G29/SER_summary!G$26)</f>
        <v>5.1264584321371967</v>
      </c>
      <c r="H29" s="130">
        <f>IF(SER_hh_emih!H29=0,0,SER_hh_emih!H29/SER_summary!H$26)</f>
        <v>5.1809154516042026</v>
      </c>
      <c r="I29" s="130">
        <f>IF(SER_hh_emih!I29=0,0,SER_hh_emih!I29/SER_summary!I$26)</f>
        <v>4.8938831071437878</v>
      </c>
      <c r="J29" s="130">
        <f>IF(SER_hh_emih!J29=0,0,SER_hh_emih!J29/SER_summary!J$26)</f>
        <v>4.6233951470608092</v>
      </c>
      <c r="K29" s="130">
        <f>IF(SER_hh_emih!K29=0,0,SER_hh_emih!K29/SER_summary!K$26)</f>
        <v>6.8543739121969987</v>
      </c>
      <c r="L29" s="130">
        <f>IF(SER_hh_emih!L29=0,0,SER_hh_emih!L29/SER_summary!L$26)</f>
        <v>6.8971406167831555</v>
      </c>
      <c r="M29" s="130">
        <f>IF(SER_hh_emih!M29=0,0,SER_hh_emih!M29/SER_summary!M$26)</f>
        <v>6.8613358264930051</v>
      </c>
      <c r="N29" s="130">
        <f>IF(SER_hh_emih!N29=0,0,SER_hh_emih!N29/SER_summary!N$26)</f>
        <v>6.6414668585175596</v>
      </c>
      <c r="O29" s="130">
        <f>IF(SER_hh_emih!O29=0,0,SER_hh_emih!O29/SER_summary!O$26)</f>
        <v>6.263817420461872</v>
      </c>
      <c r="P29" s="130">
        <f>IF(SER_hh_emih!P29=0,0,SER_hh_emih!P29/SER_summary!P$26)</f>
        <v>5.4882433578616929</v>
      </c>
      <c r="Q29" s="130">
        <f>IF(SER_hh_emih!Q29=0,0,SER_hh_emih!Q29/SER_summary!Q$26)</f>
        <v>5.4168371129339565</v>
      </c>
      <c r="R29" s="130">
        <f>IF(SER_hh_emih!R29=0,0,SER_hh_emih!R29/SER_summary!R$26)</f>
        <v>5.2929296053573189</v>
      </c>
      <c r="S29" s="130">
        <f>IF(SER_hh_emih!S29=0,0,SER_hh_emih!S29/SER_summary!S$26)</f>
        <v>4.4775919971351774</v>
      </c>
      <c r="T29" s="130">
        <f>IF(SER_hh_emih!T29=0,0,SER_hh_emih!T29/SER_summary!T$26)</f>
        <v>3.9903069814492871</v>
      </c>
      <c r="U29" s="130">
        <f>IF(SER_hh_emih!U29=0,0,SER_hh_emih!U29/SER_summary!U$26)</f>
        <v>4.0899081991732835</v>
      </c>
      <c r="V29" s="130">
        <f>IF(SER_hh_emih!V29=0,0,SER_hh_emih!V29/SER_summary!V$26)</f>
        <v>3.0127105858868659</v>
      </c>
      <c r="W29" s="130">
        <f>IF(SER_hh_emih!W29=0,0,SER_hh_emih!W29/SER_summary!W$26)</f>
        <v>4.1683390793584083</v>
      </c>
      <c r="X29" s="130">
        <f>IF(SER_hh_emih!X29=0,0,SER_hh_emih!X29/SER_summary!X$26)</f>
        <v>4.3251525276619196</v>
      </c>
      <c r="Y29" s="130">
        <f>IF(SER_hh_emih!Y29=0,0,SER_hh_emih!Y29/SER_summary!Y$26)</f>
        <v>4.9508033432277498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9.4195343436191905</v>
      </c>
      <c r="C30" s="132">
        <f>IF(SER_hh_emih!C30=0,0,SER_hh_emih!C30/SER_summary!C$26)</f>
        <v>19.666914471110836</v>
      </c>
      <c r="D30" s="132">
        <f>IF(SER_hh_emih!D30=0,0,SER_hh_emih!D30/SER_summary!D$26)</f>
        <v>14.58794325949164</v>
      </c>
      <c r="E30" s="132">
        <f>IF(SER_hh_emih!E30=0,0,SER_hh_emih!E30/SER_summary!E$26)</f>
        <v>6.9971026651846238</v>
      </c>
      <c r="F30" s="132">
        <f>IF(SER_hh_emih!F30=0,0,SER_hh_emih!F30/SER_summary!F$26)</f>
        <v>0</v>
      </c>
      <c r="G30" s="132">
        <f>IF(SER_hh_emih!G30=0,0,SER_hh_emih!G30/SER_summary!G$26)</f>
        <v>0</v>
      </c>
      <c r="H30" s="132">
        <f>IF(SER_hh_emih!H30=0,0,SER_hh_emih!H30/SER_summary!H$26)</f>
        <v>0</v>
      </c>
      <c r="I30" s="132">
        <f>IF(SER_hh_emih!I30=0,0,SER_hh_emih!I30/SER_summary!I$26)</f>
        <v>0</v>
      </c>
      <c r="J30" s="132">
        <f>IF(SER_hh_emih!J30=0,0,SER_hh_emih!J30/SER_summary!J$26)</f>
        <v>0</v>
      </c>
      <c r="K30" s="132">
        <f>IF(SER_hh_emih!K30=0,0,SER_hh_emih!K30/SER_summary!K$26)</f>
        <v>21.37799222677927</v>
      </c>
      <c r="L30" s="132">
        <f>IF(SER_hh_emih!L30=0,0,SER_hh_emih!L30/SER_summary!L$26)</f>
        <v>17.427630015098305</v>
      </c>
      <c r="M30" s="132">
        <f>IF(SER_hh_emih!M30=0,0,SER_hh_emih!M30/SER_summary!M$26)</f>
        <v>15.776819309459263</v>
      </c>
      <c r="N30" s="132">
        <f>IF(SER_hh_emih!N30=0,0,SER_hh_emih!N30/SER_summary!N$26)</f>
        <v>15.889372898312876</v>
      </c>
      <c r="O30" s="132">
        <f>IF(SER_hh_emih!O30=0,0,SER_hh_emih!O30/SER_summary!O$26)</f>
        <v>16.476531666918554</v>
      </c>
      <c r="P30" s="132">
        <f>IF(SER_hh_emih!P30=0,0,SER_hh_emih!P30/SER_summary!P$26)</f>
        <v>14.975153417516568</v>
      </c>
      <c r="Q30" s="132">
        <f>IF(SER_hh_emih!Q30=0,0,SER_hh_emih!Q30/SER_summary!Q$26)</f>
        <v>16.265735012309889</v>
      </c>
      <c r="R30" s="132">
        <f>IF(SER_hh_emih!R30=0,0,SER_hh_emih!R30/SER_summary!R$26)</f>
        <v>17.604991520736249</v>
      </c>
      <c r="S30" s="132">
        <f>IF(SER_hh_emih!S30=0,0,SER_hh_emih!S30/SER_summary!S$26)</f>
        <v>16.080654455561852</v>
      </c>
      <c r="T30" s="132">
        <f>IF(SER_hh_emih!T30=0,0,SER_hh_emih!T30/SER_summary!T$26)</f>
        <v>14.147773897957887</v>
      </c>
      <c r="U30" s="132">
        <f>IF(SER_hh_emih!U30=0,0,SER_hh_emih!U30/SER_summary!U$26)</f>
        <v>17.66233541782605</v>
      </c>
      <c r="V30" s="132">
        <f>IF(SER_hh_emih!V30=0,0,SER_hh_emih!V30/SER_summary!V$26)</f>
        <v>13.871330019538776</v>
      </c>
      <c r="W30" s="132">
        <f>IF(SER_hh_emih!W30=0,0,SER_hh_emih!W30/SER_summary!W$26)</f>
        <v>20.58012669909699</v>
      </c>
      <c r="X30" s="132">
        <f>IF(SER_hh_emih!X30=0,0,SER_hh_emih!X30/SER_summary!X$26)</f>
        <v>14.564600684819849</v>
      </c>
      <c r="Y30" s="132">
        <f>IF(SER_hh_emih!Y30=0,0,SER_hh_emih!Y30/SER_summary!Y$26)</f>
        <v>18.565936901747566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11.821380340952265</v>
      </c>
      <c r="C31" s="132">
        <f>IF(SER_hh_emih!C31=0,0,SER_hh_emih!C31/SER_summary!C$26)</f>
        <v>11.92354829926161</v>
      </c>
      <c r="D31" s="132">
        <f>IF(SER_hh_emih!D31=0,0,SER_hh_emih!D31/SER_summary!D$26)</f>
        <v>12.421287686958067</v>
      </c>
      <c r="E31" s="132">
        <f>IF(SER_hh_emih!E31=0,0,SER_hh_emih!E31/SER_summary!E$26)</f>
        <v>12.627609652740915</v>
      </c>
      <c r="F31" s="132">
        <f>IF(SER_hh_emih!F31=0,0,SER_hh_emih!F31/SER_summary!F$26)</f>
        <v>12.961100996837267</v>
      </c>
      <c r="G31" s="132">
        <f>IF(SER_hh_emih!G31=0,0,SER_hh_emih!G31/SER_summary!G$26)</f>
        <v>12.694239986076239</v>
      </c>
      <c r="H31" s="132">
        <f>IF(SER_hh_emih!H31=0,0,SER_hh_emih!H31/SER_summary!H$26)</f>
        <v>13.303372389794035</v>
      </c>
      <c r="I31" s="132">
        <f>IF(SER_hh_emih!I31=0,0,SER_hh_emih!I31/SER_summary!I$26)</f>
        <v>13.354832763366494</v>
      </c>
      <c r="J31" s="132">
        <f>IF(SER_hh_emih!J31=0,0,SER_hh_emih!J31/SER_summary!J$26)</f>
        <v>13.590501336057452</v>
      </c>
      <c r="K31" s="132">
        <f>IF(SER_hh_emih!K31=0,0,SER_hh_emih!K31/SER_summary!K$26)</f>
        <v>12.955854276520794</v>
      </c>
      <c r="L31" s="132">
        <f>IF(SER_hh_emih!L31=0,0,SER_hh_emih!L31/SER_summary!L$26)</f>
        <v>13.292524939229875</v>
      </c>
      <c r="M31" s="132">
        <f>IF(SER_hh_emih!M31=0,0,SER_hh_emih!M31/SER_summary!M$26)</f>
        <v>13.885737040216286</v>
      </c>
      <c r="N31" s="132">
        <f>IF(SER_hh_emih!N31=0,0,SER_hh_emih!N31/SER_summary!N$26)</f>
        <v>14.089362973399952</v>
      </c>
      <c r="O31" s="132">
        <f>IF(SER_hh_emih!O31=0,0,SER_hh_emih!O31/SER_summary!O$26)</f>
        <v>13.771024845682247</v>
      </c>
      <c r="P31" s="132">
        <f>IF(SER_hh_emih!P31=0,0,SER_hh_emih!P31/SER_summary!P$26)</f>
        <v>13.676752133420004</v>
      </c>
      <c r="Q31" s="132">
        <f>IF(SER_hh_emih!Q31=0,0,SER_hh_emih!Q31/SER_summary!Q$26)</f>
        <v>13.965502907015281</v>
      </c>
      <c r="R31" s="132">
        <f>IF(SER_hh_emih!R31=0,0,SER_hh_emih!R31/SER_summary!R$26)</f>
        <v>14.176107515089965</v>
      </c>
      <c r="S31" s="132">
        <f>IF(SER_hh_emih!S31=0,0,SER_hh_emih!S31/SER_summary!S$26)</f>
        <v>13.667914136615678</v>
      </c>
      <c r="T31" s="132">
        <f>IF(SER_hh_emih!T31=0,0,SER_hh_emih!T31/SER_summary!T$26)</f>
        <v>14.623291551713656</v>
      </c>
      <c r="U31" s="132">
        <f>IF(SER_hh_emih!U31=0,0,SER_hh_emih!U31/SER_summary!U$26)</f>
        <v>14.438175786525509</v>
      </c>
      <c r="V31" s="132">
        <f>IF(SER_hh_emih!V31=0,0,SER_hh_emih!V31/SER_summary!V$26)</f>
        <v>10.788574284603113</v>
      </c>
      <c r="W31" s="132">
        <f>IF(SER_hh_emih!W31=0,0,SER_hh_emih!W31/SER_summary!W$26)</f>
        <v>11.874241899258029</v>
      </c>
      <c r="X31" s="132">
        <f>IF(SER_hh_emih!X31=0,0,SER_hh_emih!X31/SER_summary!X$26)</f>
        <v>16.403085074547477</v>
      </c>
      <c r="Y31" s="132">
        <f>IF(SER_hh_emih!Y31=0,0,SER_hh_emih!Y31/SER_summary!Y$26)</f>
        <v>14.522234477802831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90.01191351154398</v>
      </c>
      <c r="D3" s="124">
        <f t="shared" si="0"/>
        <v>102.45704484217244</v>
      </c>
      <c r="E3" s="124">
        <f t="shared" si="0"/>
        <v>58.210960517751623</v>
      </c>
      <c r="F3" s="124">
        <f t="shared" si="0"/>
        <v>104.23019235905188</v>
      </c>
      <c r="G3" s="124">
        <f t="shared" si="0"/>
        <v>122.44196009085994</v>
      </c>
      <c r="H3" s="124">
        <f t="shared" si="0"/>
        <v>94.026983806567245</v>
      </c>
      <c r="I3" s="124">
        <f t="shared" si="0"/>
        <v>102.06422964686647</v>
      </c>
      <c r="J3" s="124">
        <f t="shared" si="0"/>
        <v>87.600498397584857</v>
      </c>
      <c r="K3" s="124">
        <f t="shared" si="0"/>
        <v>82.976984529320205</v>
      </c>
      <c r="L3" s="124">
        <f t="shared" si="0"/>
        <v>69.60738940661227</v>
      </c>
      <c r="M3" s="124">
        <f t="shared" si="0"/>
        <v>175.04604930579143</v>
      </c>
      <c r="N3" s="124">
        <f t="shared" si="0"/>
        <v>177.85421914015168</v>
      </c>
      <c r="O3" s="124">
        <f t="shared" si="0"/>
        <v>224.27454599059823</v>
      </c>
      <c r="P3" s="124">
        <f t="shared" si="0"/>
        <v>251.27591703956458</v>
      </c>
      <c r="Q3" s="124">
        <f t="shared" si="0"/>
        <v>221.60350930175781</v>
      </c>
      <c r="R3" s="124">
        <f t="shared" si="0"/>
        <v>250.35669673456101</v>
      </c>
      <c r="S3" s="124">
        <f t="shared" si="0"/>
        <v>240.74874234415427</v>
      </c>
      <c r="T3" s="124">
        <f t="shared" si="0"/>
        <v>242.10797494074126</v>
      </c>
      <c r="U3" s="124">
        <f t="shared" si="0"/>
        <v>242.1108260258201</v>
      </c>
      <c r="V3" s="124">
        <f t="shared" si="0"/>
        <v>240.35589195706535</v>
      </c>
      <c r="W3" s="124">
        <f t="shared" si="0"/>
        <v>238.05026643808981</v>
      </c>
      <c r="X3" s="124">
        <f t="shared" si="0"/>
        <v>237.28423413755769</v>
      </c>
      <c r="Y3" s="124">
        <f t="shared" si="0"/>
        <v>236.37961993962466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90.01191351154398</v>
      </c>
      <c r="D4" s="139">
        <f t="shared" si="1"/>
        <v>102.45704484217244</v>
      </c>
      <c r="E4" s="139">
        <f t="shared" si="1"/>
        <v>58.210960517751623</v>
      </c>
      <c r="F4" s="139">
        <f t="shared" si="1"/>
        <v>104.23019235905188</v>
      </c>
      <c r="G4" s="139">
        <f t="shared" si="1"/>
        <v>122.44196009085994</v>
      </c>
      <c r="H4" s="139">
        <f t="shared" si="1"/>
        <v>94.026983806567245</v>
      </c>
      <c r="I4" s="139">
        <f t="shared" si="1"/>
        <v>102.06422964686647</v>
      </c>
      <c r="J4" s="139">
        <f t="shared" si="1"/>
        <v>87.600498397584857</v>
      </c>
      <c r="K4" s="139">
        <f t="shared" si="1"/>
        <v>82.976984529320205</v>
      </c>
      <c r="L4" s="139">
        <f t="shared" si="1"/>
        <v>69.60738940661227</v>
      </c>
      <c r="M4" s="139">
        <f t="shared" si="1"/>
        <v>175.04604930579143</v>
      </c>
      <c r="N4" s="139">
        <f t="shared" si="1"/>
        <v>177.85421914015168</v>
      </c>
      <c r="O4" s="139">
        <f t="shared" si="1"/>
        <v>224.27454599059823</v>
      </c>
      <c r="P4" s="139">
        <f t="shared" si="1"/>
        <v>251.27591703956458</v>
      </c>
      <c r="Q4" s="139">
        <f t="shared" si="1"/>
        <v>221.60350930175781</v>
      </c>
      <c r="R4" s="139">
        <f t="shared" ref="R4:W4" si="2">SUM(R5:R14)</f>
        <v>250.35669673456101</v>
      </c>
      <c r="S4" s="139">
        <f t="shared" si="2"/>
        <v>240.74874234415427</v>
      </c>
      <c r="T4" s="139">
        <f t="shared" si="2"/>
        <v>242.10797494074126</v>
      </c>
      <c r="U4" s="139">
        <f t="shared" si="2"/>
        <v>242.1108260258201</v>
      </c>
      <c r="V4" s="139">
        <f t="shared" si="2"/>
        <v>240.35589195706535</v>
      </c>
      <c r="W4" s="139">
        <f t="shared" si="2"/>
        <v>238.05026643808981</v>
      </c>
      <c r="X4" s="139">
        <f t="shared" ref="X4:Y4" si="3">SUM(X5:X14)</f>
        <v>237.28423413755769</v>
      </c>
      <c r="Y4" s="139">
        <f t="shared" si="3"/>
        <v>236.37961993962466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11.667759355131428</v>
      </c>
      <c r="D7" s="140">
        <v>10.343074569393121</v>
      </c>
      <c r="E7" s="140">
        <v>0.16792735057125341</v>
      </c>
      <c r="F7" s="140">
        <v>3.9713883385746747</v>
      </c>
      <c r="G7" s="140">
        <v>0</v>
      </c>
      <c r="H7" s="140">
        <v>0</v>
      </c>
      <c r="I7" s="140">
        <v>0</v>
      </c>
      <c r="J7" s="140">
        <v>0</v>
      </c>
      <c r="K7" s="140">
        <v>16.472425939908266</v>
      </c>
      <c r="L7" s="140">
        <v>31.640985138832963</v>
      </c>
      <c r="M7" s="140">
        <v>55.727575509273322</v>
      </c>
      <c r="N7" s="140">
        <v>46.723572896752401</v>
      </c>
      <c r="O7" s="140">
        <v>73.772344628367421</v>
      </c>
      <c r="P7" s="140">
        <v>110.58859504655864</v>
      </c>
      <c r="Q7" s="140">
        <v>119.0054460666785</v>
      </c>
      <c r="R7" s="140">
        <v>101.97705682882145</v>
      </c>
      <c r="S7" s="140">
        <v>96.493519806648436</v>
      </c>
      <c r="T7" s="140">
        <v>45.755726538999234</v>
      </c>
      <c r="U7" s="140">
        <v>26.206530496192769</v>
      </c>
      <c r="V7" s="140">
        <v>18.433041262059746</v>
      </c>
      <c r="W7" s="140">
        <v>31.297117806085218</v>
      </c>
      <c r="X7" s="140">
        <v>13.812734046117892</v>
      </c>
      <c r="Y7" s="140">
        <v>0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28.453604101402306</v>
      </c>
      <c r="D9" s="140">
        <v>17.610403084259726</v>
      </c>
      <c r="E9" s="140">
        <v>0</v>
      </c>
      <c r="F9" s="140">
        <v>11.052124691731263</v>
      </c>
      <c r="G9" s="140">
        <v>39.344800331472236</v>
      </c>
      <c r="H9" s="140">
        <v>42.2261540689409</v>
      </c>
      <c r="I9" s="140">
        <v>45.331540275001664</v>
      </c>
      <c r="J9" s="140">
        <v>47.959572882065217</v>
      </c>
      <c r="K9" s="140">
        <v>37.256934838122071</v>
      </c>
      <c r="L9" s="140">
        <v>0.45478802080268221</v>
      </c>
      <c r="M9" s="140">
        <v>57.8590053362608</v>
      </c>
      <c r="N9" s="140">
        <v>56.79594541514814</v>
      </c>
      <c r="O9" s="140">
        <v>82.551047854741597</v>
      </c>
      <c r="P9" s="140">
        <v>97.659685002575088</v>
      </c>
      <c r="Q9" s="140">
        <v>42.150864396912425</v>
      </c>
      <c r="R9" s="140">
        <v>29.683618086824254</v>
      </c>
      <c r="S9" s="140">
        <v>0</v>
      </c>
      <c r="T9" s="140">
        <v>0</v>
      </c>
      <c r="U9" s="140">
        <v>0.14077559271844917</v>
      </c>
      <c r="V9" s="140">
        <v>8.581939189231985</v>
      </c>
      <c r="W9" s="140">
        <v>56.499408995214338</v>
      </c>
      <c r="X9" s="140">
        <v>97.516883695020908</v>
      </c>
      <c r="Y9" s="140">
        <v>134.59694524849007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0.17358593948531312</v>
      </c>
      <c r="D10" s="140">
        <v>8.4625114039584295E-2</v>
      </c>
      <c r="E10" s="140">
        <v>0</v>
      </c>
      <c r="F10" s="140">
        <v>0</v>
      </c>
      <c r="G10" s="140">
        <v>0</v>
      </c>
      <c r="H10" s="140">
        <v>0</v>
      </c>
      <c r="I10" s="140">
        <v>4.7581611685079676E-2</v>
      </c>
      <c r="J10" s="140">
        <v>0.14880228602327039</v>
      </c>
      <c r="K10" s="140">
        <v>0.17913323251342425</v>
      </c>
      <c r="L10" s="140">
        <v>1.6886812574908198E-2</v>
      </c>
      <c r="M10" s="140">
        <v>0.18988893076184676</v>
      </c>
      <c r="N10" s="140">
        <v>0.70277496172127585</v>
      </c>
      <c r="O10" s="140">
        <v>0.99274708398977718</v>
      </c>
      <c r="P10" s="140">
        <v>0.59105413150980102</v>
      </c>
      <c r="Q10" s="140">
        <v>1.7790636417602233E-2</v>
      </c>
      <c r="R10" s="140">
        <v>0</v>
      </c>
      <c r="S10" s="140">
        <v>0</v>
      </c>
      <c r="T10" s="140">
        <v>0</v>
      </c>
      <c r="U10" s="140">
        <v>0</v>
      </c>
      <c r="V10" s="140">
        <v>6.9747914968610797E-2</v>
      </c>
      <c r="W10" s="140">
        <v>0.1666495325726102</v>
      </c>
      <c r="X10" s="140">
        <v>0.25565718973419865</v>
      </c>
      <c r="Y10" s="140">
        <v>0.17027309579352032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27.942218105611278</v>
      </c>
      <c r="D12" s="140">
        <v>74.41894207448</v>
      </c>
      <c r="E12" s="140">
        <v>58.043033167180369</v>
      </c>
      <c r="F12" s="140">
        <v>77.653119083257835</v>
      </c>
      <c r="G12" s="140">
        <v>27.864696289139729</v>
      </c>
      <c r="H12" s="140">
        <v>1.5240418120459702</v>
      </c>
      <c r="I12" s="140">
        <v>0</v>
      </c>
      <c r="J12" s="140">
        <v>0</v>
      </c>
      <c r="K12" s="140">
        <v>5.621667015594582</v>
      </c>
      <c r="L12" s="140">
        <v>19.796074734752725</v>
      </c>
      <c r="M12" s="140">
        <v>33.111688063750044</v>
      </c>
      <c r="N12" s="140">
        <v>31.107586142385149</v>
      </c>
      <c r="O12" s="140">
        <v>21.923531357614266</v>
      </c>
      <c r="P12" s="140">
        <v>42.436582858921071</v>
      </c>
      <c r="Q12" s="140">
        <v>60.429408201749268</v>
      </c>
      <c r="R12" s="140">
        <v>97.358409198413455</v>
      </c>
      <c r="S12" s="140">
        <v>96.757717420980114</v>
      </c>
      <c r="T12" s="140">
        <v>149.90478658497261</v>
      </c>
      <c r="U12" s="140">
        <v>171.81683281161128</v>
      </c>
      <c r="V12" s="140">
        <v>211.02667556214666</v>
      </c>
      <c r="W12" s="140">
        <v>123.0829938243735</v>
      </c>
      <c r="X12" s="140">
        <v>125.69895920668469</v>
      </c>
      <c r="Y12" s="140">
        <v>80.986778039897388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21.774746009913653</v>
      </c>
      <c r="D14" s="141">
        <v>0</v>
      </c>
      <c r="E14" s="141">
        <v>0</v>
      </c>
      <c r="F14" s="141">
        <v>11.553560245488111</v>
      </c>
      <c r="G14" s="141">
        <v>55.232463470247971</v>
      </c>
      <c r="H14" s="141">
        <v>50.276787925580379</v>
      </c>
      <c r="I14" s="141">
        <v>56.685107760179712</v>
      </c>
      <c r="J14" s="141">
        <v>39.492123229496372</v>
      </c>
      <c r="K14" s="141">
        <v>23.446823503181864</v>
      </c>
      <c r="L14" s="141">
        <v>17.698654699648991</v>
      </c>
      <c r="M14" s="141">
        <v>28.157891465745415</v>
      </c>
      <c r="N14" s="141">
        <v>42.524339724144717</v>
      </c>
      <c r="O14" s="141">
        <v>45.034875065885196</v>
      </c>
      <c r="P14" s="141">
        <v>0</v>
      </c>
      <c r="Q14" s="141">
        <v>0</v>
      </c>
      <c r="R14" s="141">
        <v>21.337612620501847</v>
      </c>
      <c r="S14" s="141">
        <v>47.497505116525709</v>
      </c>
      <c r="T14" s="141">
        <v>46.447461816769419</v>
      </c>
      <c r="U14" s="141">
        <v>43.946687125297622</v>
      </c>
      <c r="V14" s="141">
        <v>2.2444880286583411</v>
      </c>
      <c r="W14" s="141">
        <v>27.004096279844124</v>
      </c>
      <c r="X14" s="141">
        <v>0</v>
      </c>
      <c r="Y14" s="141">
        <v>20.625623555443667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68.237167501630324</v>
      </c>
      <c r="D15" s="143">
        <f t="shared" si="4"/>
        <v>102.45704484217244</v>
      </c>
      <c r="E15" s="143">
        <f t="shared" si="4"/>
        <v>58.210960517751623</v>
      </c>
      <c r="F15" s="143">
        <f t="shared" si="4"/>
        <v>92.67663211356377</v>
      </c>
      <c r="G15" s="143">
        <f t="shared" si="4"/>
        <v>67.209496620611958</v>
      </c>
      <c r="H15" s="143">
        <f t="shared" si="4"/>
        <v>43.750195880986873</v>
      </c>
      <c r="I15" s="143">
        <f t="shared" si="4"/>
        <v>45.379121886686747</v>
      </c>
      <c r="J15" s="143">
        <f t="shared" si="4"/>
        <v>48.108375168088486</v>
      </c>
      <c r="K15" s="143">
        <f t="shared" si="4"/>
        <v>59.530161026138344</v>
      </c>
      <c r="L15" s="143">
        <f t="shared" si="4"/>
        <v>51.908734706963287</v>
      </c>
      <c r="M15" s="143">
        <f t="shared" si="4"/>
        <v>146.88815784004601</v>
      </c>
      <c r="N15" s="143">
        <f t="shared" si="4"/>
        <v>135.32987941600697</v>
      </c>
      <c r="O15" s="143">
        <f t="shared" si="4"/>
        <v>179.23967092471304</v>
      </c>
      <c r="P15" s="143">
        <f t="shared" si="4"/>
        <v>251.27591703956458</v>
      </c>
      <c r="Q15" s="143">
        <f t="shared" si="4"/>
        <v>221.60350930175781</v>
      </c>
      <c r="R15" s="143">
        <f t="shared" ref="R15:W15" si="5">SUM(R5:R12)</f>
        <v>229.01908411405915</v>
      </c>
      <c r="S15" s="143">
        <f t="shared" si="5"/>
        <v>193.25123722762856</v>
      </c>
      <c r="T15" s="143">
        <f t="shared" si="5"/>
        <v>195.66051312397184</v>
      </c>
      <c r="U15" s="143">
        <f t="shared" si="5"/>
        <v>198.16413890052249</v>
      </c>
      <c r="V15" s="143">
        <f t="shared" si="5"/>
        <v>238.11140392840701</v>
      </c>
      <c r="W15" s="143">
        <f t="shared" si="5"/>
        <v>211.04617015824567</v>
      </c>
      <c r="X15" s="143">
        <f t="shared" ref="X15:Y15" si="6">SUM(X5:X12)</f>
        <v>237.28423413755769</v>
      </c>
      <c r="Y15" s="143">
        <f t="shared" si="6"/>
        <v>215.75399638418099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90.011913511543966</v>
      </c>
      <c r="D16" s="139">
        <f t="shared" si="7"/>
        <v>102.45704484217239</v>
      </c>
      <c r="E16" s="139">
        <f t="shared" si="7"/>
        <v>58.210960517751616</v>
      </c>
      <c r="F16" s="139">
        <f t="shared" si="7"/>
        <v>104.23019235905187</v>
      </c>
      <c r="G16" s="139">
        <f t="shared" si="7"/>
        <v>122.44196009085994</v>
      </c>
      <c r="H16" s="139">
        <f t="shared" si="7"/>
        <v>94.026983806567259</v>
      </c>
      <c r="I16" s="139">
        <f t="shared" si="7"/>
        <v>102.06422964686644</v>
      </c>
      <c r="J16" s="139">
        <f t="shared" si="7"/>
        <v>87.600498397584857</v>
      </c>
      <c r="K16" s="139">
        <f t="shared" si="7"/>
        <v>82.976984529320191</v>
      </c>
      <c r="L16" s="139">
        <f t="shared" si="7"/>
        <v>69.60738940661227</v>
      </c>
      <c r="M16" s="139">
        <f t="shared" si="7"/>
        <v>175.04604930579143</v>
      </c>
      <c r="N16" s="139">
        <f t="shared" si="7"/>
        <v>177.85421914015168</v>
      </c>
      <c r="O16" s="139">
        <f t="shared" si="7"/>
        <v>224.27454599059826</v>
      </c>
      <c r="P16" s="139">
        <f t="shared" si="7"/>
        <v>251.27591703956458</v>
      </c>
      <c r="Q16" s="139">
        <f t="shared" si="7"/>
        <v>221.60350930175781</v>
      </c>
      <c r="R16" s="139">
        <f t="shared" ref="R16:W16" si="8">SUM(R17:R18)</f>
        <v>250.35669673456101</v>
      </c>
      <c r="S16" s="139">
        <f t="shared" si="8"/>
        <v>240.74874234415429</v>
      </c>
      <c r="T16" s="139">
        <f t="shared" si="8"/>
        <v>242.10797494074126</v>
      </c>
      <c r="U16" s="139">
        <f t="shared" si="8"/>
        <v>242.11082602582013</v>
      </c>
      <c r="V16" s="139">
        <f t="shared" si="8"/>
        <v>240.35589195706532</v>
      </c>
      <c r="W16" s="139">
        <f t="shared" si="8"/>
        <v>238.05026643808978</v>
      </c>
      <c r="X16" s="139">
        <f t="shared" ref="X16:Y16" si="9">SUM(X17:X18)</f>
        <v>237.28423413755772</v>
      </c>
      <c r="Y16" s="139">
        <f t="shared" si="9"/>
        <v>236.37961993962466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0.44766704894853415</v>
      </c>
      <c r="D17" s="140">
        <v>0.76278896974631627</v>
      </c>
      <c r="E17" s="140">
        <v>0</v>
      </c>
      <c r="F17" s="140">
        <v>1.6848449568902626</v>
      </c>
      <c r="G17" s="140">
        <v>0.47021123465684223</v>
      </c>
      <c r="H17" s="140">
        <v>0.64453530590638752</v>
      </c>
      <c r="I17" s="140">
        <v>1.4002632249752567</v>
      </c>
      <c r="J17" s="140">
        <v>0.59616263836492567</v>
      </c>
      <c r="K17" s="140">
        <v>0.83628287017092284</v>
      </c>
      <c r="L17" s="140">
        <v>0.56817507588110072</v>
      </c>
      <c r="M17" s="140">
        <v>2.0849370548699353</v>
      </c>
      <c r="N17" s="140">
        <v>2.0859058037932243</v>
      </c>
      <c r="O17" s="140">
        <v>4.7069578030319903</v>
      </c>
      <c r="P17" s="140">
        <v>9.1114486968062298</v>
      </c>
      <c r="Q17" s="140">
        <v>6.4481744978048523</v>
      </c>
      <c r="R17" s="140">
        <v>15.952398547774568</v>
      </c>
      <c r="S17" s="140">
        <v>8.8046594875988067</v>
      </c>
      <c r="T17" s="140">
        <v>4.5195844717082316</v>
      </c>
      <c r="U17" s="140">
        <v>8.5785082673547954</v>
      </c>
      <c r="V17" s="140">
        <v>8.6199357791169771</v>
      </c>
      <c r="W17" s="140">
        <v>9.4571153033431656</v>
      </c>
      <c r="X17" s="140">
        <v>8.3845316999223769</v>
      </c>
      <c r="Y17" s="140">
        <v>8.758732935298001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89.564246462595435</v>
      </c>
      <c r="D18" s="140">
        <v>101.69425587242608</v>
      </c>
      <c r="E18" s="140">
        <v>58.210960517751616</v>
      </c>
      <c r="F18" s="140">
        <v>102.54534740216161</v>
      </c>
      <c r="G18" s="140">
        <v>121.97174885620309</v>
      </c>
      <c r="H18" s="140">
        <v>93.382448500660871</v>
      </c>
      <c r="I18" s="140">
        <v>100.66396642189117</v>
      </c>
      <c r="J18" s="140">
        <v>87.004335759219927</v>
      </c>
      <c r="K18" s="140">
        <v>82.140701659149272</v>
      </c>
      <c r="L18" s="140">
        <v>69.03921433073117</v>
      </c>
      <c r="M18" s="140">
        <v>172.9611122509215</v>
      </c>
      <c r="N18" s="140">
        <v>175.76831333635846</v>
      </c>
      <c r="O18" s="140">
        <v>219.56758818756626</v>
      </c>
      <c r="P18" s="140">
        <v>242.16446834275834</v>
      </c>
      <c r="Q18" s="140">
        <v>215.15533480395297</v>
      </c>
      <c r="R18" s="140">
        <v>234.40429818678643</v>
      </c>
      <c r="S18" s="140">
        <v>231.9440828565555</v>
      </c>
      <c r="T18" s="140">
        <v>237.58839046903302</v>
      </c>
      <c r="U18" s="140">
        <v>233.53231775846533</v>
      </c>
      <c r="V18" s="140">
        <v>231.73595617794834</v>
      </c>
      <c r="W18" s="140">
        <v>228.59315113474662</v>
      </c>
      <c r="X18" s="140">
        <v>228.89970243763534</v>
      </c>
      <c r="Y18" s="140">
        <v>227.62088700432665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90.01191351154398</v>
      </c>
      <c r="D19" s="139">
        <f t="shared" si="10"/>
        <v>102.45704484217239</v>
      </c>
      <c r="E19" s="139">
        <f t="shared" si="10"/>
        <v>58.210960517751616</v>
      </c>
      <c r="F19" s="139">
        <f t="shared" si="10"/>
        <v>104.23019235905187</v>
      </c>
      <c r="G19" s="139">
        <f t="shared" si="10"/>
        <v>122.44196009085994</v>
      </c>
      <c r="H19" s="139">
        <f t="shared" si="10"/>
        <v>94.026983806567245</v>
      </c>
      <c r="I19" s="139">
        <f t="shared" si="10"/>
        <v>102.06422964686644</v>
      </c>
      <c r="J19" s="139">
        <f t="shared" si="10"/>
        <v>87.600498397584857</v>
      </c>
      <c r="K19" s="139">
        <f t="shared" si="10"/>
        <v>82.976984529320191</v>
      </c>
      <c r="L19" s="139">
        <f t="shared" si="10"/>
        <v>69.60738940661227</v>
      </c>
      <c r="M19" s="139">
        <f t="shared" si="10"/>
        <v>175.04604930579143</v>
      </c>
      <c r="N19" s="139">
        <f t="shared" si="10"/>
        <v>177.85421914015166</v>
      </c>
      <c r="O19" s="139">
        <f t="shared" si="10"/>
        <v>224.27454599059826</v>
      </c>
      <c r="P19" s="139">
        <f t="shared" si="10"/>
        <v>251.2759170395646</v>
      </c>
      <c r="Q19" s="139">
        <f t="shared" si="10"/>
        <v>221.60350930175781</v>
      </c>
      <c r="R19" s="139">
        <f t="shared" ref="R19:W19" si="11">SUM(R20:R26)</f>
        <v>250.35669673456101</v>
      </c>
      <c r="S19" s="139">
        <f t="shared" si="11"/>
        <v>240.74874234415427</v>
      </c>
      <c r="T19" s="139">
        <f t="shared" si="11"/>
        <v>242.10797494074131</v>
      </c>
      <c r="U19" s="139">
        <f t="shared" si="11"/>
        <v>242.11082602582013</v>
      </c>
      <c r="V19" s="139">
        <f t="shared" si="11"/>
        <v>240.35589195706535</v>
      </c>
      <c r="W19" s="139">
        <f t="shared" si="11"/>
        <v>238.05026643808981</v>
      </c>
      <c r="X19" s="139">
        <f t="shared" ref="X19:Y19" si="12">SUM(X20:X26)</f>
        <v>237.28423413755769</v>
      </c>
      <c r="Y19" s="139">
        <f t="shared" si="12"/>
        <v>236.37961993962463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13.645443209375143</v>
      </c>
      <c r="D22" s="140">
        <v>13.83405571503325</v>
      </c>
      <c r="E22" s="140">
        <v>7.2888607415775928</v>
      </c>
      <c r="F22" s="140">
        <v>10.202903667760854</v>
      </c>
      <c r="G22" s="140">
        <v>0</v>
      </c>
      <c r="H22" s="140">
        <v>0</v>
      </c>
      <c r="I22" s="140">
        <v>0</v>
      </c>
      <c r="J22" s="140">
        <v>0</v>
      </c>
      <c r="K22" s="140">
        <v>4.3270357028776596</v>
      </c>
      <c r="L22" s="140">
        <v>20.288015228705522</v>
      </c>
      <c r="M22" s="140">
        <v>30.95639666066516</v>
      </c>
      <c r="N22" s="140">
        <v>47.406620350600079</v>
      </c>
      <c r="O22" s="140">
        <v>37.614787966294067</v>
      </c>
      <c r="P22" s="140">
        <v>38.111499525392389</v>
      </c>
      <c r="Q22" s="140">
        <v>41.192825032034733</v>
      </c>
      <c r="R22" s="140">
        <v>71.022397782304225</v>
      </c>
      <c r="S22" s="140">
        <v>112.44941185024604</v>
      </c>
      <c r="T22" s="140">
        <v>85.538823106103536</v>
      </c>
      <c r="U22" s="140">
        <v>73.596647997972681</v>
      </c>
      <c r="V22" s="140">
        <v>10.077414166391904</v>
      </c>
      <c r="W22" s="140">
        <v>3.4415074447862199</v>
      </c>
      <c r="X22" s="140">
        <v>0</v>
      </c>
      <c r="Y22" s="140">
        <v>0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19.003486808062014</v>
      </c>
      <c r="D23" s="140">
        <v>23.185830295671124</v>
      </c>
      <c r="E23" s="140">
        <v>14.437495221302708</v>
      </c>
      <c r="F23" s="140">
        <v>33.370308108871427</v>
      </c>
      <c r="G23" s="140">
        <v>45.815489616743292</v>
      </c>
      <c r="H23" s="140">
        <v>21.585174963369433</v>
      </c>
      <c r="I23" s="140">
        <v>25.483055249938271</v>
      </c>
      <c r="J23" s="140">
        <v>33.725641286795444</v>
      </c>
      <c r="K23" s="140">
        <v>26.238791617835208</v>
      </c>
      <c r="L23" s="140">
        <v>24.692074639102028</v>
      </c>
      <c r="M23" s="140">
        <v>36.509845017860741</v>
      </c>
      <c r="N23" s="140">
        <v>37.434000907231798</v>
      </c>
      <c r="O23" s="140">
        <v>62.256721955369031</v>
      </c>
      <c r="P23" s="140">
        <v>83.16556089847019</v>
      </c>
      <c r="Q23" s="140">
        <v>62.390426076296613</v>
      </c>
      <c r="R23" s="140">
        <v>53.497251717441628</v>
      </c>
      <c r="S23" s="140">
        <v>25.449707049473542</v>
      </c>
      <c r="T23" s="140">
        <v>0</v>
      </c>
      <c r="U23" s="140">
        <v>9.5878636052634114</v>
      </c>
      <c r="V23" s="140">
        <v>50.763907568507911</v>
      </c>
      <c r="W23" s="140">
        <v>58.119392512532805</v>
      </c>
      <c r="X23" s="140">
        <v>52.147966221476374</v>
      </c>
      <c r="Y23" s="140">
        <v>45.699719323059327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29.206908688066562</v>
      </c>
      <c r="D25" s="140">
        <v>65.437158831468025</v>
      </c>
      <c r="E25" s="140">
        <v>36.484604554871318</v>
      </c>
      <c r="F25" s="140">
        <v>60.6569805824196</v>
      </c>
      <c r="G25" s="140">
        <v>51.072054348564073</v>
      </c>
      <c r="H25" s="140">
        <v>10.856794993033816</v>
      </c>
      <c r="I25" s="140">
        <v>9.0726130972891728</v>
      </c>
      <c r="J25" s="140">
        <v>6.4661418643957136</v>
      </c>
      <c r="K25" s="140">
        <v>8.7911424943956025</v>
      </c>
      <c r="L25" s="140">
        <v>5.7324153482367937</v>
      </c>
      <c r="M25" s="140">
        <v>25.430395806471211</v>
      </c>
      <c r="N25" s="140">
        <v>26.54256301200131</v>
      </c>
      <c r="O25" s="140">
        <v>37.66267958332196</v>
      </c>
      <c r="P25" s="140">
        <v>60.566757312647624</v>
      </c>
      <c r="Q25" s="140">
        <v>69.661009354930272</v>
      </c>
      <c r="R25" s="140">
        <v>80.15047246781053</v>
      </c>
      <c r="S25" s="140">
        <v>83.93465348007598</v>
      </c>
      <c r="T25" s="140">
        <v>81.137420793495963</v>
      </c>
      <c r="U25" s="140">
        <v>81.272278574674374</v>
      </c>
      <c r="V25" s="140">
        <v>23.901414444415085</v>
      </c>
      <c r="W25" s="140">
        <v>13.135135750863546</v>
      </c>
      <c r="X25" s="140">
        <v>0</v>
      </c>
      <c r="Y25" s="140">
        <v>0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28.156074806040262</v>
      </c>
      <c r="D26" s="141">
        <v>0</v>
      </c>
      <c r="E26" s="141">
        <v>0</v>
      </c>
      <c r="F26" s="141">
        <v>0</v>
      </c>
      <c r="G26" s="141">
        <v>25.554416125552567</v>
      </c>
      <c r="H26" s="141">
        <v>61.585013850164003</v>
      </c>
      <c r="I26" s="141">
        <v>67.508561299638998</v>
      </c>
      <c r="J26" s="141">
        <v>47.408715246393697</v>
      </c>
      <c r="K26" s="141">
        <v>43.620014714211727</v>
      </c>
      <c r="L26" s="141">
        <v>18.894884190567929</v>
      </c>
      <c r="M26" s="141">
        <v>82.149411820794313</v>
      </c>
      <c r="N26" s="141">
        <v>66.471034870318476</v>
      </c>
      <c r="O26" s="141">
        <v>86.740356485613205</v>
      </c>
      <c r="P26" s="141">
        <v>69.4320993030544</v>
      </c>
      <c r="Q26" s="141">
        <v>48.359248838496171</v>
      </c>
      <c r="R26" s="141">
        <v>45.686574767004643</v>
      </c>
      <c r="S26" s="141">
        <v>18.914969964358711</v>
      </c>
      <c r="T26" s="141">
        <v>75.431731041141788</v>
      </c>
      <c r="U26" s="141">
        <v>77.654035847909654</v>
      </c>
      <c r="V26" s="141">
        <v>155.61315577775045</v>
      </c>
      <c r="W26" s="141">
        <v>163.35423072990724</v>
      </c>
      <c r="X26" s="141">
        <v>185.13626791608132</v>
      </c>
      <c r="Y26" s="141">
        <v>190.67990061656531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90.01191351154398</v>
      </c>
      <c r="D29" s="139">
        <f t="shared" si="13"/>
        <v>102.45704484217242</v>
      </c>
      <c r="E29" s="139">
        <f t="shared" si="13"/>
        <v>58.210960517751616</v>
      </c>
      <c r="F29" s="139">
        <f t="shared" si="13"/>
        <v>104.23019235905187</v>
      </c>
      <c r="G29" s="139">
        <f t="shared" si="13"/>
        <v>122.44196009085994</v>
      </c>
      <c r="H29" s="139">
        <f t="shared" si="13"/>
        <v>94.026983806567245</v>
      </c>
      <c r="I29" s="139">
        <f t="shared" si="13"/>
        <v>102.06422964686644</v>
      </c>
      <c r="J29" s="139">
        <f t="shared" si="13"/>
        <v>87.600498397584857</v>
      </c>
      <c r="K29" s="139">
        <f t="shared" si="13"/>
        <v>82.976984529320205</v>
      </c>
      <c r="L29" s="139">
        <f t="shared" si="13"/>
        <v>69.60738940661227</v>
      </c>
      <c r="M29" s="139">
        <f t="shared" si="13"/>
        <v>175.04604930579143</v>
      </c>
      <c r="N29" s="139">
        <f t="shared" si="13"/>
        <v>177.85421914015168</v>
      </c>
      <c r="O29" s="139">
        <f t="shared" si="13"/>
        <v>224.27454599059828</v>
      </c>
      <c r="P29" s="139">
        <f t="shared" si="13"/>
        <v>251.2759170395646</v>
      </c>
      <c r="Q29" s="139">
        <f t="shared" si="13"/>
        <v>221.60350930175778</v>
      </c>
      <c r="R29" s="139">
        <f t="shared" ref="R29:W29" si="14">SUM(R30:R33)</f>
        <v>250.35669673456101</v>
      </c>
      <c r="S29" s="139">
        <f t="shared" si="14"/>
        <v>240.74874234415427</v>
      </c>
      <c r="T29" s="139">
        <f t="shared" si="14"/>
        <v>242.10797494074126</v>
      </c>
      <c r="U29" s="139">
        <f t="shared" si="14"/>
        <v>242.11082602582013</v>
      </c>
      <c r="V29" s="139">
        <f t="shared" si="14"/>
        <v>240.35589195706535</v>
      </c>
      <c r="W29" s="139">
        <f t="shared" si="14"/>
        <v>238.05026643808984</v>
      </c>
      <c r="X29" s="139">
        <f t="shared" ref="X29:Y29" si="15">SUM(X30:X33)</f>
        <v>237.28423413755769</v>
      </c>
      <c r="Y29" s="139">
        <f t="shared" si="15"/>
        <v>236.37961993962463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8.6283435603428735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68.788616824967036</v>
      </c>
      <c r="L30" s="140">
        <v>37.539455844488913</v>
      </c>
      <c r="M30" s="140">
        <v>53.218634079823268</v>
      </c>
      <c r="N30" s="140">
        <v>4.6403778052046354</v>
      </c>
      <c r="O30" s="140">
        <v>5.3058763595439471</v>
      </c>
      <c r="P30" s="140">
        <v>3.723848734671539</v>
      </c>
      <c r="Q30" s="140">
        <v>17.204761335214734</v>
      </c>
      <c r="R30" s="140">
        <v>20.22614015414527</v>
      </c>
      <c r="S30" s="140">
        <v>16.471447997200166</v>
      </c>
      <c r="T30" s="140">
        <v>44.455435285264187</v>
      </c>
      <c r="U30" s="140">
        <v>37.261558568967736</v>
      </c>
      <c r="V30" s="140">
        <v>58.694694415936517</v>
      </c>
      <c r="W30" s="140">
        <v>79.659958745377878</v>
      </c>
      <c r="X30" s="140">
        <v>53.056545492280556</v>
      </c>
      <c r="Y30" s="140">
        <v>33.737563308411239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39.916174396525861</v>
      </c>
      <c r="D31" s="140">
        <v>32.153314832246444</v>
      </c>
      <c r="E31" s="140">
        <v>16.766393508205287</v>
      </c>
      <c r="F31" s="140">
        <v>27.161557392556634</v>
      </c>
      <c r="G31" s="140">
        <v>40.573604014932542</v>
      </c>
      <c r="H31" s="140">
        <v>34.065186550277026</v>
      </c>
      <c r="I31" s="140">
        <v>28.315485903917452</v>
      </c>
      <c r="J31" s="140">
        <v>21.795659858767845</v>
      </c>
      <c r="K31" s="140">
        <v>14.188367704353171</v>
      </c>
      <c r="L31" s="140">
        <v>21.828329509880152</v>
      </c>
      <c r="M31" s="140">
        <v>24.245234545232368</v>
      </c>
      <c r="N31" s="140">
        <v>26.858215079521383</v>
      </c>
      <c r="O31" s="140">
        <v>29.755116686349858</v>
      </c>
      <c r="P31" s="140">
        <v>22.805530925747519</v>
      </c>
      <c r="Q31" s="140">
        <v>17.622377925761981</v>
      </c>
      <c r="R31" s="140">
        <v>19.509507272080135</v>
      </c>
      <c r="S31" s="140">
        <v>13.065833445498873</v>
      </c>
      <c r="T31" s="140">
        <v>13.611618209497223</v>
      </c>
      <c r="U31" s="140">
        <v>7.6330977152156647</v>
      </c>
      <c r="V31" s="140">
        <v>25.52208269745848</v>
      </c>
      <c r="W31" s="140">
        <v>52.493585144151687</v>
      </c>
      <c r="X31" s="140">
        <v>98.868949141340082</v>
      </c>
      <c r="Y31" s="140">
        <v>54.62398479780353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41.467395554675242</v>
      </c>
      <c r="D33" s="152">
        <v>70.303730009925971</v>
      </c>
      <c r="E33" s="152">
        <v>41.444567009546326</v>
      </c>
      <c r="F33" s="152">
        <v>77.068634966495239</v>
      </c>
      <c r="G33" s="152">
        <v>81.868356075927394</v>
      </c>
      <c r="H33" s="152">
        <v>59.961797256290218</v>
      </c>
      <c r="I33" s="152">
        <v>73.748743742948989</v>
      </c>
      <c r="J33" s="152">
        <v>65.804838538817009</v>
      </c>
      <c r="K33" s="152">
        <v>0</v>
      </c>
      <c r="L33" s="152">
        <v>10.239604052243211</v>
      </c>
      <c r="M33" s="152">
        <v>97.582180680735789</v>
      </c>
      <c r="N33" s="152">
        <v>146.35562625542568</v>
      </c>
      <c r="O33" s="152">
        <v>189.21355294470447</v>
      </c>
      <c r="P33" s="152">
        <v>224.74653737914554</v>
      </c>
      <c r="Q33" s="152">
        <v>186.77637004078107</v>
      </c>
      <c r="R33" s="152">
        <v>210.62104930833561</v>
      </c>
      <c r="S33" s="152">
        <v>211.21146090145524</v>
      </c>
      <c r="T33" s="152">
        <v>184.04092144597985</v>
      </c>
      <c r="U33" s="152">
        <v>197.21616974163672</v>
      </c>
      <c r="V33" s="152">
        <v>156.13911484367034</v>
      </c>
      <c r="W33" s="152">
        <v>105.89672254856026</v>
      </c>
      <c r="X33" s="152">
        <v>85.358739503937059</v>
      </c>
      <c r="Y33" s="152">
        <v>148.01807183340986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3.2064420274757417</v>
      </c>
      <c r="D3" s="125">
        <f t="shared" si="0"/>
        <v>3.0505819271993162</v>
      </c>
      <c r="E3" s="125">
        <f t="shared" si="0"/>
        <v>2.1433489634785765</v>
      </c>
      <c r="F3" s="125">
        <f t="shared" si="0"/>
        <v>3.4046640660406888</v>
      </c>
      <c r="G3" s="125">
        <f t="shared" si="0"/>
        <v>3.9519763358329003</v>
      </c>
      <c r="H3" s="125">
        <f t="shared" si="0"/>
        <v>3.2082272554353679</v>
      </c>
      <c r="I3" s="125">
        <f t="shared" si="0"/>
        <v>3.4711797017210424</v>
      </c>
      <c r="J3" s="125">
        <f t="shared" si="0"/>
        <v>3.0571523694044758</v>
      </c>
      <c r="K3" s="125">
        <f t="shared" si="0"/>
        <v>2.9492611609512025</v>
      </c>
      <c r="L3" s="125">
        <f t="shared" si="0"/>
        <v>2.6022900803440794</v>
      </c>
      <c r="M3" s="125">
        <f t="shared" si="0"/>
        <v>4.7062284478601049</v>
      </c>
      <c r="N3" s="125">
        <f t="shared" si="0"/>
        <v>5.1001897628277444</v>
      </c>
      <c r="O3" s="125">
        <f t="shared" si="0"/>
        <v>6.3998521744367478</v>
      </c>
      <c r="P3" s="125">
        <f t="shared" si="0"/>
        <v>5.7177088806651364</v>
      </c>
      <c r="Q3" s="125">
        <f t="shared" si="0"/>
        <v>5.5244271938277034</v>
      </c>
      <c r="R3" s="125">
        <f t="shared" ref="R3:W3" si="1">SUM(R4,R16,R19,R29)</f>
        <v>5.5170888806998146</v>
      </c>
      <c r="S3" s="125">
        <f t="shared" si="1"/>
        <v>5.8936453849087034</v>
      </c>
      <c r="T3" s="125">
        <f t="shared" si="1"/>
        <v>5.1862880211639979</v>
      </c>
      <c r="U3" s="125">
        <f t="shared" si="1"/>
        <v>5.1675301572143137</v>
      </c>
      <c r="V3" s="125">
        <f t="shared" si="1"/>
        <v>4.9133401451630103</v>
      </c>
      <c r="W3" s="125">
        <f t="shared" si="1"/>
        <v>4.2194988450381841</v>
      </c>
      <c r="X3" s="125">
        <f t="shared" ref="X3:Y3" si="2">SUM(X4,X16,X19,X29)</f>
        <v>3.2734644594710116</v>
      </c>
      <c r="Y3" s="125">
        <f t="shared" si="2"/>
        <v>3.0053792740601324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2.4201161926091448</v>
      </c>
      <c r="D4" s="130">
        <f t="shared" si="3"/>
        <v>2.1933636987064462</v>
      </c>
      <c r="E4" s="130">
        <f t="shared" si="3"/>
        <v>1.6019807269950948</v>
      </c>
      <c r="F4" s="130">
        <f t="shared" si="3"/>
        <v>2.5147818121231165</v>
      </c>
      <c r="G4" s="130">
        <f t="shared" si="3"/>
        <v>2.9083421892408148</v>
      </c>
      <c r="H4" s="130">
        <f t="shared" si="3"/>
        <v>2.3739534463966603</v>
      </c>
      <c r="I4" s="130">
        <f t="shared" si="3"/>
        <v>2.6002263783364343</v>
      </c>
      <c r="J4" s="130">
        <f t="shared" si="3"/>
        <v>2.3016377870550411</v>
      </c>
      <c r="K4" s="130">
        <f t="shared" si="3"/>
        <v>2.0195135487750591</v>
      </c>
      <c r="L4" s="130">
        <f t="shared" si="3"/>
        <v>1.900106519607331</v>
      </c>
      <c r="M4" s="130">
        <f t="shared" si="3"/>
        <v>3.2058392764578825</v>
      </c>
      <c r="N4" s="130">
        <f t="shared" si="3"/>
        <v>3.6211604420115546</v>
      </c>
      <c r="O4" s="130">
        <f t="shared" si="3"/>
        <v>4.5904495752192656</v>
      </c>
      <c r="P4" s="130">
        <f t="shared" si="3"/>
        <v>3.716799171101183</v>
      </c>
      <c r="Q4" s="130">
        <f t="shared" si="3"/>
        <v>3.7641685146107715</v>
      </c>
      <c r="R4" s="130">
        <f t="shared" ref="R4:W4" si="4">SUM(R5:R15)</f>
        <v>3.602485327218377</v>
      </c>
      <c r="S4" s="130">
        <f t="shared" si="4"/>
        <v>4.0175749460735357</v>
      </c>
      <c r="T4" s="130">
        <f t="shared" si="4"/>
        <v>3.3359065371399792</v>
      </c>
      <c r="U4" s="130">
        <f t="shared" si="4"/>
        <v>3.3344969792347783</v>
      </c>
      <c r="V4" s="130">
        <f t="shared" si="4"/>
        <v>3.264843141319806</v>
      </c>
      <c r="W4" s="130">
        <f t="shared" si="4"/>
        <v>2.3777734722038537</v>
      </c>
      <c r="X4" s="130">
        <f t="shared" ref="X4:Y4" si="5">SUM(X5:X15)</f>
        <v>1.3702798101067977</v>
      </c>
      <c r="Y4" s="130">
        <f t="shared" si="5"/>
        <v>1.2302439587400054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0.43135937101858773</v>
      </c>
      <c r="D7" s="132">
        <v>0.35544361511062156</v>
      </c>
      <c r="E7" s="132">
        <v>5.5118492108020087E-3</v>
      </c>
      <c r="F7" s="132">
        <v>0.13850401283178718</v>
      </c>
      <c r="G7" s="132">
        <v>0</v>
      </c>
      <c r="H7" s="132">
        <v>0</v>
      </c>
      <c r="I7" s="132">
        <v>0</v>
      </c>
      <c r="J7" s="132">
        <v>0</v>
      </c>
      <c r="K7" s="132">
        <v>0.34841904045278455</v>
      </c>
      <c r="L7" s="132">
        <v>1.1294044960609262</v>
      </c>
      <c r="M7" s="132">
        <v>1.2900346394501716</v>
      </c>
      <c r="N7" s="132">
        <v>1.0039748129216652</v>
      </c>
      <c r="O7" s="132">
        <v>1.6438190356202735</v>
      </c>
      <c r="P7" s="132">
        <v>1.7580625348979892</v>
      </c>
      <c r="Q7" s="132">
        <v>2.2534222717801029</v>
      </c>
      <c r="R7" s="132">
        <v>1.5859575236185115</v>
      </c>
      <c r="S7" s="132">
        <v>1.8759728034129031</v>
      </c>
      <c r="T7" s="132">
        <v>0.77323918333854036</v>
      </c>
      <c r="U7" s="132">
        <v>0.48540944390301249</v>
      </c>
      <c r="V7" s="132">
        <v>0.27635909098670902</v>
      </c>
      <c r="W7" s="132">
        <v>0.2917800919745035</v>
      </c>
      <c r="X7" s="132">
        <v>7.8747862195564289E-2</v>
      </c>
      <c r="Y7" s="132">
        <v>0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0.77555176933215697</v>
      </c>
      <c r="D9" s="132">
        <v>0.53599572677804286</v>
      </c>
      <c r="E9" s="132">
        <v>0</v>
      </c>
      <c r="F9" s="132">
        <v>0.34638158889104526</v>
      </c>
      <c r="G9" s="132">
        <v>1.0297360367976192</v>
      </c>
      <c r="H9" s="132">
        <v>1.3217232399828156</v>
      </c>
      <c r="I9" s="132">
        <v>1.1071587412231201</v>
      </c>
      <c r="J9" s="132">
        <v>1.3847588166493521</v>
      </c>
      <c r="K9" s="132">
        <v>1.0786925692674432</v>
      </c>
      <c r="L9" s="132">
        <v>1.5149740037682165E-2</v>
      </c>
      <c r="M9" s="132">
        <v>0.76095808534711218</v>
      </c>
      <c r="N9" s="132">
        <v>1.2898707845718222</v>
      </c>
      <c r="O9" s="132">
        <v>1.6914522942616654</v>
      </c>
      <c r="P9" s="132">
        <v>1.4200851630999201</v>
      </c>
      <c r="Q9" s="132">
        <v>0.65866406441788861</v>
      </c>
      <c r="R9" s="132">
        <v>0.51095458831861962</v>
      </c>
      <c r="S9" s="132">
        <v>0</v>
      </c>
      <c r="T9" s="132">
        <v>0</v>
      </c>
      <c r="U9" s="132">
        <v>2.1570733359560835E-3</v>
      </c>
      <c r="V9" s="132">
        <v>8.8805014142129032E-2</v>
      </c>
      <c r="W9" s="132">
        <v>0.66606269381413019</v>
      </c>
      <c r="X9" s="132">
        <v>0.59065588299724181</v>
      </c>
      <c r="Y9" s="132">
        <v>0.72105296613561154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4.6952777801670476E-3</v>
      </c>
      <c r="D10" s="132">
        <v>3.0705664616395936E-3</v>
      </c>
      <c r="E10" s="132">
        <v>0</v>
      </c>
      <c r="F10" s="132">
        <v>0</v>
      </c>
      <c r="G10" s="132">
        <v>0</v>
      </c>
      <c r="H10" s="132">
        <v>0</v>
      </c>
      <c r="I10" s="132">
        <v>6.3909022477138166E-4</v>
      </c>
      <c r="J10" s="132">
        <v>3.5686917270713E-3</v>
      </c>
      <c r="K10" s="132">
        <v>6.3517279141740756E-3</v>
      </c>
      <c r="L10" s="132">
        <v>4.2161876010897545E-4</v>
      </c>
      <c r="M10" s="132">
        <v>1.8393682371100728E-3</v>
      </c>
      <c r="N10" s="132">
        <v>1.1958543403626386E-2</v>
      </c>
      <c r="O10" s="132">
        <v>2.3305524820403538E-2</v>
      </c>
      <c r="P10" s="132">
        <v>1.7120335622771182E-2</v>
      </c>
      <c r="Q10" s="132">
        <v>2.0295348651879134E-4</v>
      </c>
      <c r="R10" s="132">
        <v>0</v>
      </c>
      <c r="S10" s="132">
        <v>0</v>
      </c>
      <c r="T10" s="132">
        <v>0</v>
      </c>
      <c r="U10" s="132">
        <v>0</v>
      </c>
      <c r="V10" s="132">
        <v>6.375851895218872E-4</v>
      </c>
      <c r="W10" s="132">
        <v>2.3264726776895494E-3</v>
      </c>
      <c r="X10" s="132">
        <v>1.6599630799684919E-3</v>
      </c>
      <c r="Y10" s="132">
        <v>1.2209862812659076E-3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0.5301667016551328</v>
      </c>
      <c r="D12" s="132">
        <v>1.2842702380907112</v>
      </c>
      <c r="E12" s="132">
        <v>1.5901534929830272</v>
      </c>
      <c r="F12" s="132">
        <v>1.7856797261205977</v>
      </c>
      <c r="G12" s="132">
        <v>0.59937074602211859</v>
      </c>
      <c r="H12" s="132">
        <v>3.2919324448479531E-2</v>
      </c>
      <c r="I12" s="132">
        <v>0</v>
      </c>
      <c r="J12" s="132">
        <v>0</v>
      </c>
      <c r="K12" s="132">
        <v>9.5134096663711629E-2</v>
      </c>
      <c r="L12" s="132">
        <v>0.37678020851371669</v>
      </c>
      <c r="M12" s="132">
        <v>0.64261593416781804</v>
      </c>
      <c r="N12" s="132">
        <v>0.52576421337725876</v>
      </c>
      <c r="O12" s="132">
        <v>0.38733297064114597</v>
      </c>
      <c r="P12" s="132">
        <v>0.48409817595347743</v>
      </c>
      <c r="Q12" s="132">
        <v>0.81603184648541316</v>
      </c>
      <c r="R12" s="132">
        <v>1.2600079301145397</v>
      </c>
      <c r="S12" s="132">
        <v>1.2915140092501969</v>
      </c>
      <c r="T12" s="132">
        <v>1.9141729270817955</v>
      </c>
      <c r="U12" s="132">
        <v>2.2113966703371606</v>
      </c>
      <c r="V12" s="132">
        <v>2.8593364319378978</v>
      </c>
      <c r="W12" s="132">
        <v>1.1329299632811436</v>
      </c>
      <c r="X12" s="132">
        <v>0.68814763305879967</v>
      </c>
      <c r="Y12" s="132">
        <v>0.39575876497772494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0.66320728988359057</v>
      </c>
      <c r="D14" s="65">
        <v>0</v>
      </c>
      <c r="E14" s="65">
        <v>0</v>
      </c>
      <c r="F14" s="65">
        <v>0.2322357920631225</v>
      </c>
      <c r="G14" s="65">
        <v>1.2660747999518196</v>
      </c>
      <c r="H14" s="65">
        <v>1.0053241430891251</v>
      </c>
      <c r="I14" s="65">
        <v>1.4808736135129537</v>
      </c>
      <c r="J14" s="65">
        <v>0.89889153263710708</v>
      </c>
      <c r="K14" s="65">
        <v>0.47596814743785792</v>
      </c>
      <c r="L14" s="65">
        <v>0.36593382934468599</v>
      </c>
      <c r="M14" s="65">
        <v>0.48749671566026637</v>
      </c>
      <c r="N14" s="65">
        <v>0.76370561881738941</v>
      </c>
      <c r="O14" s="65">
        <v>0.80704211965722494</v>
      </c>
      <c r="P14" s="65">
        <v>0</v>
      </c>
      <c r="Q14" s="65">
        <v>0</v>
      </c>
      <c r="R14" s="65">
        <v>0.21710229359571434</v>
      </c>
      <c r="S14" s="65">
        <v>0.82462921078493501</v>
      </c>
      <c r="T14" s="65">
        <v>0.63312960830061615</v>
      </c>
      <c r="U14" s="65">
        <v>0.62229180963128594</v>
      </c>
      <c r="V14" s="65">
        <v>2.5341569347710362E-2</v>
      </c>
      <c r="W14" s="65">
        <v>0.26872331978882086</v>
      </c>
      <c r="X14" s="65">
        <v>0</v>
      </c>
      <c r="Y14" s="65">
        <v>0.10131414781031386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1.5135782939509462E-2</v>
      </c>
      <c r="D15" s="134">
        <v>1.4583552265431305E-2</v>
      </c>
      <c r="E15" s="134">
        <v>6.3153848012655715E-3</v>
      </c>
      <c r="F15" s="134">
        <v>1.1980692216563754E-2</v>
      </c>
      <c r="G15" s="134">
        <v>1.3160606469257629E-2</v>
      </c>
      <c r="H15" s="134">
        <v>1.3986738876240074E-2</v>
      </c>
      <c r="I15" s="134">
        <v>1.1554933375589049E-2</v>
      </c>
      <c r="J15" s="134">
        <v>1.4418746041510883E-2</v>
      </c>
      <c r="K15" s="134">
        <v>1.4947967039087793E-2</v>
      </c>
      <c r="L15" s="134">
        <v>1.2416626890211384E-2</v>
      </c>
      <c r="M15" s="134">
        <v>2.2894533595404189E-2</v>
      </c>
      <c r="N15" s="134">
        <v>2.5886468919792131E-2</v>
      </c>
      <c r="O15" s="134">
        <v>3.7497630218551903E-2</v>
      </c>
      <c r="P15" s="134">
        <v>3.7432961527024848E-2</v>
      </c>
      <c r="Q15" s="134">
        <v>3.5847378440848107E-2</v>
      </c>
      <c r="R15" s="134">
        <v>2.8462991570991195E-2</v>
      </c>
      <c r="S15" s="134">
        <v>2.5458922625500445E-2</v>
      </c>
      <c r="T15" s="134">
        <v>1.5364818419026531E-2</v>
      </c>
      <c r="U15" s="134">
        <v>1.3241982027363229E-2</v>
      </c>
      <c r="V15" s="134">
        <v>1.4363449715837672E-2</v>
      </c>
      <c r="W15" s="134">
        <v>1.5950930667565835E-2</v>
      </c>
      <c r="X15" s="134">
        <v>1.1068468775223278E-2</v>
      </c>
      <c r="Y15" s="134">
        <v>1.0897093535089079E-2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0.11112242162361066</v>
      </c>
      <c r="D16" s="130">
        <f t="shared" si="6"/>
        <v>0.12228582898935503</v>
      </c>
      <c r="E16" s="130">
        <f t="shared" si="6"/>
        <v>8.3843092716579817E-2</v>
      </c>
      <c r="F16" s="130">
        <f t="shared" si="6"/>
        <v>0.11111166848426815</v>
      </c>
      <c r="G16" s="130">
        <f t="shared" si="6"/>
        <v>0.12616182307441237</v>
      </c>
      <c r="H16" s="130">
        <f t="shared" si="6"/>
        <v>0.10866919376684012</v>
      </c>
      <c r="I16" s="130">
        <f t="shared" si="6"/>
        <v>9.4019098287829936E-2</v>
      </c>
      <c r="J16" s="130">
        <f t="shared" si="6"/>
        <v>7.5649367896520672E-2</v>
      </c>
      <c r="K16" s="130">
        <f t="shared" si="6"/>
        <v>6.8984277177123993E-2</v>
      </c>
      <c r="L16" s="130">
        <f t="shared" si="6"/>
        <v>5.8240567241938351E-2</v>
      </c>
      <c r="M16" s="130">
        <f t="shared" si="6"/>
        <v>0.13001452648490522</v>
      </c>
      <c r="N16" s="130">
        <f t="shared" si="6"/>
        <v>0.12714869991449448</v>
      </c>
      <c r="O16" s="130">
        <f t="shared" si="6"/>
        <v>0.15459873400386326</v>
      </c>
      <c r="P16" s="130">
        <f t="shared" si="6"/>
        <v>0.15946927137610245</v>
      </c>
      <c r="Q16" s="130">
        <f t="shared" si="6"/>
        <v>0.14741761551110569</v>
      </c>
      <c r="R16" s="130">
        <f t="shared" ref="R16:W16" si="7">SUM(R17:R18)</f>
        <v>0.15156659689108359</v>
      </c>
      <c r="S16" s="130">
        <f t="shared" si="7"/>
        <v>0.13103900614132619</v>
      </c>
      <c r="T16" s="130">
        <f t="shared" si="7"/>
        <v>0.134868962546247</v>
      </c>
      <c r="U16" s="130">
        <f t="shared" si="7"/>
        <v>0.1307940003414059</v>
      </c>
      <c r="V16" s="130">
        <f t="shared" si="7"/>
        <v>0.11859829962912291</v>
      </c>
      <c r="W16" s="130">
        <f t="shared" si="7"/>
        <v>8.5254153396113724E-2</v>
      </c>
      <c r="X16" s="130">
        <f t="shared" ref="X16:Y16" si="8">SUM(X17:X18)</f>
        <v>7.8764620376160679E-2</v>
      </c>
      <c r="Y16" s="130">
        <f t="shared" si="8"/>
        <v>7.6957962098593305E-2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1.1108644804579528E-3</v>
      </c>
      <c r="D17" s="132">
        <v>1.8748634866788201E-3</v>
      </c>
      <c r="E17" s="132">
        <v>0</v>
      </c>
      <c r="F17" s="132">
        <v>3.8591205542137705E-3</v>
      </c>
      <c r="G17" s="132">
        <v>1.0810338249561369E-3</v>
      </c>
      <c r="H17" s="132">
        <v>1.6950582803019758E-3</v>
      </c>
      <c r="I17" s="132">
        <v>2.9773500507805748E-3</v>
      </c>
      <c r="J17" s="132">
        <v>1.2261062375642951E-3</v>
      </c>
      <c r="K17" s="132">
        <v>1.9791814080394959E-3</v>
      </c>
      <c r="L17" s="132">
        <v>1.1808351666033347E-3</v>
      </c>
      <c r="M17" s="132">
        <v>3.9206642104892223E-3</v>
      </c>
      <c r="N17" s="132">
        <v>3.878368079646801E-3</v>
      </c>
      <c r="O17" s="132">
        <v>8.6008719729485685E-3</v>
      </c>
      <c r="P17" s="132">
        <v>1.5481437971776433E-2</v>
      </c>
      <c r="Q17" s="132">
        <v>1.1849517882469403E-2</v>
      </c>
      <c r="R17" s="132">
        <v>2.5610256259955784E-2</v>
      </c>
      <c r="S17" s="132">
        <v>1.3649312866940872E-2</v>
      </c>
      <c r="T17" s="132">
        <v>7.0522523830254796E-3</v>
      </c>
      <c r="U17" s="132">
        <v>1.2416963162145802E-2</v>
      </c>
      <c r="V17" s="132">
        <v>1.1435830107006894E-2</v>
      </c>
      <c r="W17" s="132">
        <v>1.0180988004817891E-2</v>
      </c>
      <c r="X17" s="132">
        <v>7.2478694664613649E-3</v>
      </c>
      <c r="Y17" s="132">
        <v>7.4670167137145813E-3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0.11001155714315271</v>
      </c>
      <c r="D18" s="132">
        <v>0.1204109655026762</v>
      </c>
      <c r="E18" s="132">
        <v>8.3843092716579817E-2</v>
      </c>
      <c r="F18" s="132">
        <v>0.10725254793005438</v>
      </c>
      <c r="G18" s="132">
        <v>0.12508078924945623</v>
      </c>
      <c r="H18" s="132">
        <v>0.10697413548653814</v>
      </c>
      <c r="I18" s="132">
        <v>9.1041748237049358E-2</v>
      </c>
      <c r="J18" s="132">
        <v>7.442326165895638E-2</v>
      </c>
      <c r="K18" s="132">
        <v>6.7005095769084491E-2</v>
      </c>
      <c r="L18" s="132">
        <v>5.7059732075335018E-2</v>
      </c>
      <c r="M18" s="132">
        <v>0.12609386227441599</v>
      </c>
      <c r="N18" s="132">
        <v>0.12327033183484767</v>
      </c>
      <c r="O18" s="132">
        <v>0.14599786203091469</v>
      </c>
      <c r="P18" s="132">
        <v>0.14398783340432603</v>
      </c>
      <c r="Q18" s="132">
        <v>0.13556809762863628</v>
      </c>
      <c r="R18" s="132">
        <v>0.12595634063112782</v>
      </c>
      <c r="S18" s="132">
        <v>0.11738969327438532</v>
      </c>
      <c r="T18" s="132">
        <v>0.12781671016322152</v>
      </c>
      <c r="U18" s="132">
        <v>0.1183770371792601</v>
      </c>
      <c r="V18" s="132">
        <v>0.10716246952211601</v>
      </c>
      <c r="W18" s="132">
        <v>7.5073165391295826E-2</v>
      </c>
      <c r="X18" s="132">
        <v>7.151675090969932E-2</v>
      </c>
      <c r="Y18" s="132">
        <v>6.9490945384878725E-2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0.31797503872418997</v>
      </c>
      <c r="D19" s="130">
        <f t="shared" si="9"/>
        <v>0.33680955295673826</v>
      </c>
      <c r="E19" s="130">
        <f t="shared" si="9"/>
        <v>0.21646144696035852</v>
      </c>
      <c r="F19" s="130">
        <f t="shared" si="9"/>
        <v>0.36321817744519336</v>
      </c>
      <c r="G19" s="130">
        <f t="shared" si="9"/>
        <v>0.41128017336286382</v>
      </c>
      <c r="H19" s="130">
        <f t="shared" si="9"/>
        <v>0.32629279427671026</v>
      </c>
      <c r="I19" s="130">
        <f t="shared" si="9"/>
        <v>0.35331399205556402</v>
      </c>
      <c r="J19" s="130">
        <f t="shared" si="9"/>
        <v>0.3144722858595706</v>
      </c>
      <c r="K19" s="130">
        <f t="shared" si="9"/>
        <v>0.28921148448180967</v>
      </c>
      <c r="L19" s="130">
        <f t="shared" si="9"/>
        <v>0.27009368062742484</v>
      </c>
      <c r="M19" s="130">
        <f t="shared" si="9"/>
        <v>0.57384458094078183</v>
      </c>
      <c r="N19" s="130">
        <f t="shared" si="9"/>
        <v>0.60416623988402129</v>
      </c>
      <c r="O19" s="130">
        <f t="shared" si="9"/>
        <v>0.71973349035130996</v>
      </c>
      <c r="P19" s="130">
        <f t="shared" si="9"/>
        <v>0.78563146982129461</v>
      </c>
      <c r="Q19" s="130">
        <f t="shared" si="9"/>
        <v>0.6740497833110255</v>
      </c>
      <c r="R19" s="130">
        <f t="shared" ref="R19:W19" si="10">SUM(R20:R27)</f>
        <v>0.71734316866710268</v>
      </c>
      <c r="S19" s="130">
        <f t="shared" si="10"/>
        <v>0.74132190192715208</v>
      </c>
      <c r="T19" s="130">
        <f t="shared" si="10"/>
        <v>0.68279721109205371</v>
      </c>
      <c r="U19" s="130">
        <f t="shared" si="10"/>
        <v>0.66662939703734259</v>
      </c>
      <c r="V19" s="130">
        <f t="shared" si="10"/>
        <v>0.55978002863725351</v>
      </c>
      <c r="W19" s="130">
        <f t="shared" si="10"/>
        <v>0.54111227917095583</v>
      </c>
      <c r="X19" s="130">
        <f t="shared" ref="X19:Y19" si="11">SUM(X20:X27)</f>
        <v>0.60194061319899628</v>
      </c>
      <c r="Y19" s="130">
        <f t="shared" si="11"/>
        <v>0.60036756251109979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6.1094366987394684E-2</v>
      </c>
      <c r="D22" s="132">
        <v>6.2538253342058717E-2</v>
      </c>
      <c r="E22" s="132">
        <v>3.2661010816035826E-2</v>
      </c>
      <c r="F22" s="132">
        <v>4.6550687069232939E-2</v>
      </c>
      <c r="G22" s="132">
        <v>0</v>
      </c>
      <c r="H22" s="132">
        <v>0</v>
      </c>
      <c r="I22" s="132">
        <v>0</v>
      </c>
      <c r="J22" s="132">
        <v>0</v>
      </c>
      <c r="K22" s="132">
        <v>1.5658467153517801E-2</v>
      </c>
      <c r="L22" s="132">
        <v>9.9186893609387899E-2</v>
      </c>
      <c r="M22" s="132">
        <v>9.9450247942110687E-2</v>
      </c>
      <c r="N22" s="132">
        <v>0.19696189737125958</v>
      </c>
      <c r="O22" s="132">
        <v>0.14118267462389791</v>
      </c>
      <c r="P22" s="132">
        <v>0.13824265042070247</v>
      </c>
      <c r="Q22" s="132">
        <v>0.13202729159255142</v>
      </c>
      <c r="R22" s="132">
        <v>0.19022520942935975</v>
      </c>
      <c r="S22" s="132">
        <v>0.38624589849451313</v>
      </c>
      <c r="T22" s="132">
        <v>0.27309169375742776</v>
      </c>
      <c r="U22" s="132">
        <v>0.23635074840218051</v>
      </c>
      <c r="V22" s="132">
        <v>2.5804034262778653E-2</v>
      </c>
      <c r="W22" s="132">
        <v>1.0138458880236158E-2</v>
      </c>
      <c r="X22" s="132">
        <v>0</v>
      </c>
      <c r="Y22" s="132">
        <v>0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7.9145026835632667E-2</v>
      </c>
      <c r="D23" s="132">
        <v>9.3960349327587123E-2</v>
      </c>
      <c r="E23" s="132">
        <v>6.0038206479779081E-2</v>
      </c>
      <c r="F23" s="132">
        <v>0.13262868673918102</v>
      </c>
      <c r="G23" s="132">
        <v>0.18004120877433508</v>
      </c>
      <c r="H23" s="132">
        <v>8.1535976286621722E-2</v>
      </c>
      <c r="I23" s="132">
        <v>9.2521750866031593E-2</v>
      </c>
      <c r="J23" s="132">
        <v>0.13495076032154868</v>
      </c>
      <c r="K23" s="132">
        <v>9.3502998259588688E-2</v>
      </c>
      <c r="L23" s="132">
        <v>9.5270782143073843E-2</v>
      </c>
      <c r="M23" s="132">
        <v>0.13065100463075804</v>
      </c>
      <c r="N23" s="132">
        <v>0.12435671747165213</v>
      </c>
      <c r="O23" s="132">
        <v>0.20240211268504354</v>
      </c>
      <c r="P23" s="132">
        <v>0.27332397522492841</v>
      </c>
      <c r="Q23" s="132">
        <v>0.22339030435931817</v>
      </c>
      <c r="R23" s="132">
        <v>0.19926735838454113</v>
      </c>
      <c r="S23" s="132">
        <v>6.8152004680162512E-2</v>
      </c>
      <c r="T23" s="132">
        <v>0</v>
      </c>
      <c r="U23" s="132">
        <v>2.8701704863761991E-2</v>
      </c>
      <c r="V23" s="132">
        <v>9.9977375241216929E-2</v>
      </c>
      <c r="W23" s="132">
        <v>0.16061303075468072</v>
      </c>
      <c r="X23" s="132">
        <v>0.14139835366817957</v>
      </c>
      <c r="Y23" s="132">
        <v>0.12478020642006601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7.2937962889093877E-2</v>
      </c>
      <c r="D25" s="132">
        <v>0.18031095028709243</v>
      </c>
      <c r="E25" s="132">
        <v>0.1237622296645436</v>
      </c>
      <c r="F25" s="132">
        <v>0.18403880363677944</v>
      </c>
      <c r="G25" s="132">
        <v>0.14790517211395601</v>
      </c>
      <c r="H25" s="132">
        <v>3.1149559123947821E-2</v>
      </c>
      <c r="I25" s="132">
        <v>2.5836191999503842E-2</v>
      </c>
      <c r="J25" s="132">
        <v>1.8323450421053294E-2</v>
      </c>
      <c r="K25" s="132">
        <v>2.5566289803361817E-2</v>
      </c>
      <c r="L25" s="132">
        <v>1.5670958454485712E-2</v>
      </c>
      <c r="M25" s="132">
        <v>6.974700623657433E-2</v>
      </c>
      <c r="N25" s="132">
        <v>7.3158511077967989E-2</v>
      </c>
      <c r="O25" s="132">
        <v>0.1038794684250383</v>
      </c>
      <c r="P25" s="132">
        <v>0.16355688142685584</v>
      </c>
      <c r="Q25" s="132">
        <v>0.18687563966799597</v>
      </c>
      <c r="R25" s="132">
        <v>0.21300293757493291</v>
      </c>
      <c r="S25" s="132">
        <v>0.23228328200630091</v>
      </c>
      <c r="T25" s="132">
        <v>0.20078976612800006</v>
      </c>
      <c r="U25" s="132">
        <v>0.21186996264484559</v>
      </c>
      <c r="V25" s="132">
        <v>6.3448397195983802E-2</v>
      </c>
      <c r="W25" s="132">
        <v>3.1006373240361096E-2</v>
      </c>
      <c r="X25" s="132">
        <v>0</v>
      </c>
      <c r="Y25" s="132">
        <v>0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0.10479768201206871</v>
      </c>
      <c r="D26" s="65">
        <v>0</v>
      </c>
      <c r="E26" s="65">
        <v>0</v>
      </c>
      <c r="F26" s="65">
        <v>0</v>
      </c>
      <c r="G26" s="65">
        <v>8.3333792474572746E-2</v>
      </c>
      <c r="H26" s="65">
        <v>0.21360725886614071</v>
      </c>
      <c r="I26" s="65">
        <v>0.23495604919002858</v>
      </c>
      <c r="J26" s="65">
        <v>0.16119807511696863</v>
      </c>
      <c r="K26" s="65">
        <v>0.15448372926534135</v>
      </c>
      <c r="L26" s="65">
        <v>5.9965046420477355E-2</v>
      </c>
      <c r="M26" s="65">
        <v>0.27399632213133879</v>
      </c>
      <c r="N26" s="65">
        <v>0.20968911396314155</v>
      </c>
      <c r="O26" s="65">
        <v>0.27226923461733016</v>
      </c>
      <c r="P26" s="65">
        <v>0.21050796274880793</v>
      </c>
      <c r="Q26" s="65">
        <v>0.13175654769115996</v>
      </c>
      <c r="R26" s="65">
        <v>0.1148476632782689</v>
      </c>
      <c r="S26" s="65">
        <v>5.4640716746175516E-2</v>
      </c>
      <c r="T26" s="65">
        <v>0.20891575120662589</v>
      </c>
      <c r="U26" s="65">
        <v>0.18970698112655451</v>
      </c>
      <c r="V26" s="65">
        <v>0.37055022193727416</v>
      </c>
      <c r="W26" s="65">
        <v>0.33935441629567786</v>
      </c>
      <c r="X26" s="65">
        <v>0.46054225953081668</v>
      </c>
      <c r="Y26" s="65">
        <v>0.47558735609103381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0.35722837451879663</v>
      </c>
      <c r="D29" s="130">
        <f t="shared" si="12"/>
        <v>0.39812284654677665</v>
      </c>
      <c r="E29" s="130">
        <f t="shared" si="12"/>
        <v>0.24106369680654333</v>
      </c>
      <c r="F29" s="130">
        <f t="shared" si="12"/>
        <v>0.41555240798811077</v>
      </c>
      <c r="G29" s="130">
        <f t="shared" si="12"/>
        <v>0.50619215015480923</v>
      </c>
      <c r="H29" s="130">
        <f t="shared" si="12"/>
        <v>0.39931182099515738</v>
      </c>
      <c r="I29" s="130">
        <f t="shared" si="12"/>
        <v>0.42362023304121432</v>
      </c>
      <c r="J29" s="130">
        <f t="shared" si="12"/>
        <v>0.3653929285933436</v>
      </c>
      <c r="K29" s="130">
        <f t="shared" si="12"/>
        <v>0.57155185051720969</v>
      </c>
      <c r="L29" s="130">
        <f t="shared" si="12"/>
        <v>0.37384931286738532</v>
      </c>
      <c r="M29" s="130">
        <f t="shared" si="12"/>
        <v>0.79653006397653559</v>
      </c>
      <c r="N29" s="130">
        <f t="shared" si="12"/>
        <v>0.74771438101767451</v>
      </c>
      <c r="O29" s="130">
        <f t="shared" si="12"/>
        <v>0.93507037486230871</v>
      </c>
      <c r="P29" s="130">
        <f t="shared" si="12"/>
        <v>1.0558089683665568</v>
      </c>
      <c r="Q29" s="130">
        <f t="shared" si="12"/>
        <v>0.93879128039480064</v>
      </c>
      <c r="R29" s="130">
        <f t="shared" ref="R29:W29" si="13">SUM(R30:R33)</f>
        <v>1.0456937879232511</v>
      </c>
      <c r="S29" s="130">
        <f t="shared" si="13"/>
        <v>1.0037095307666903</v>
      </c>
      <c r="T29" s="130">
        <f t="shared" si="13"/>
        <v>1.0327153103857181</v>
      </c>
      <c r="U29" s="130">
        <f t="shared" si="13"/>
        <v>1.0356097806007871</v>
      </c>
      <c r="V29" s="130">
        <f t="shared" si="13"/>
        <v>0.97011867557682807</v>
      </c>
      <c r="W29" s="130">
        <f t="shared" si="13"/>
        <v>1.2153589402672611</v>
      </c>
      <c r="X29" s="130">
        <f t="shared" ref="X29:Y29" si="14">SUM(X30:X33)</f>
        <v>1.2224794157890568</v>
      </c>
      <c r="Y29" s="130">
        <f t="shared" si="14"/>
        <v>1.0978097907104338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5.7241133262184114E-2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0.50097312260597238</v>
      </c>
      <c r="L30" s="132">
        <v>0.22278876494442335</v>
      </c>
      <c r="M30" s="132">
        <v>0.28584160613016757</v>
      </c>
      <c r="N30" s="132">
        <v>2.5096683868712829E-2</v>
      </c>
      <c r="O30" s="132">
        <v>2.9753110023783249E-2</v>
      </c>
      <c r="P30" s="132">
        <v>1.8972648843273085E-2</v>
      </c>
      <c r="Q30" s="132">
        <v>9.5089636497902558E-2</v>
      </c>
      <c r="R30" s="132">
        <v>0.12058521535303782</v>
      </c>
      <c r="S30" s="132">
        <v>8.9278189670522798E-2</v>
      </c>
      <c r="T30" s="132">
        <v>0.21125023622016231</v>
      </c>
      <c r="U30" s="132">
        <v>0.22051559663224066</v>
      </c>
      <c r="V30" s="132">
        <v>0.27319186392276373</v>
      </c>
      <c r="W30" s="132">
        <v>0.55309282937491555</v>
      </c>
      <c r="X30" s="132">
        <v>0.26135763498082915</v>
      </c>
      <c r="Y30" s="132">
        <v>0.21218247032297124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0.18151865596145508</v>
      </c>
      <c r="D31" s="132">
        <v>0.15231169944395798</v>
      </c>
      <c r="E31" s="132">
        <v>8.0829944566780373E-2</v>
      </c>
      <c r="F31" s="132">
        <v>0.13450470374376178</v>
      </c>
      <c r="G31" s="132">
        <v>0.19699181496541684</v>
      </c>
      <c r="H31" s="132">
        <v>0.17333432352372311</v>
      </c>
      <c r="I31" s="132">
        <v>0.14482651137962962</v>
      </c>
      <c r="J31" s="132">
        <v>0.1135141312016473</v>
      </c>
      <c r="K31" s="132">
        <v>7.0578727911237343E-2</v>
      </c>
      <c r="L31" s="132">
        <v>0.11139254935722964</v>
      </c>
      <c r="M31" s="132">
        <v>0.13014594544443853</v>
      </c>
      <c r="N31" s="132">
        <v>0.14604957409820135</v>
      </c>
      <c r="O31" s="132">
        <v>0.1585511883284963</v>
      </c>
      <c r="P31" s="132">
        <v>0.12098162742516848</v>
      </c>
      <c r="Q31" s="132">
        <v>9.5354675242523931E-2</v>
      </c>
      <c r="R31" s="132">
        <v>0.10705095297222152</v>
      </c>
      <c r="S31" s="132">
        <v>6.8831768958607861E-2</v>
      </c>
      <c r="T31" s="132">
        <v>7.6044879866250081E-2</v>
      </c>
      <c r="U31" s="132">
        <v>4.1790869161714886E-2</v>
      </c>
      <c r="V31" s="132">
        <v>0.10480001296557755</v>
      </c>
      <c r="W31" s="132">
        <v>0.2368832247766936</v>
      </c>
      <c r="X31" s="132">
        <v>0.62678761810284789</v>
      </c>
      <c r="Y31" s="132">
        <v>0.30641174704521545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0.11846858529515746</v>
      </c>
      <c r="D33" s="68">
        <v>0.24581114710281865</v>
      </c>
      <c r="E33" s="68">
        <v>0.16023375223976297</v>
      </c>
      <c r="F33" s="68">
        <v>0.28104770424434899</v>
      </c>
      <c r="G33" s="68">
        <v>0.30920033518939238</v>
      </c>
      <c r="H33" s="68">
        <v>0.22597749747143425</v>
      </c>
      <c r="I33" s="68">
        <v>0.27879372166158473</v>
      </c>
      <c r="J33" s="68">
        <v>0.25187879739169627</v>
      </c>
      <c r="K33" s="68">
        <v>0</v>
      </c>
      <c r="L33" s="68">
        <v>3.9667998565732325E-2</v>
      </c>
      <c r="M33" s="68">
        <v>0.38054251240192954</v>
      </c>
      <c r="N33" s="68">
        <v>0.57656812305076033</v>
      </c>
      <c r="O33" s="68">
        <v>0.74676607651002913</v>
      </c>
      <c r="P33" s="68">
        <v>0.91585469209811532</v>
      </c>
      <c r="Q33" s="68">
        <v>0.74834696865437422</v>
      </c>
      <c r="R33" s="68">
        <v>0.81805761959799161</v>
      </c>
      <c r="S33" s="68">
        <v>0.84559957213755976</v>
      </c>
      <c r="T33" s="68">
        <v>0.74542019429930573</v>
      </c>
      <c r="U33" s="68">
        <v>0.77330331480683157</v>
      </c>
      <c r="V33" s="68">
        <v>0.59212679868848672</v>
      </c>
      <c r="W33" s="68">
        <v>0.42538288611565178</v>
      </c>
      <c r="X33" s="68">
        <v>0.33433416270537986</v>
      </c>
      <c r="Y33" s="68">
        <v>0.57921557334224705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2.3444820012576795</v>
      </c>
      <c r="D3" s="125">
        <f t="shared" si="0"/>
        <v>2.4190201759963168</v>
      </c>
      <c r="E3" s="125">
        <f t="shared" si="0"/>
        <v>1.8975312449584751</v>
      </c>
      <c r="F3" s="125">
        <f t="shared" si="0"/>
        <v>2.8300892635120718</v>
      </c>
      <c r="G3" s="125">
        <f t="shared" si="0"/>
        <v>3.1100041038921429</v>
      </c>
      <c r="H3" s="125">
        <f t="shared" si="0"/>
        <v>2.4285331481756591</v>
      </c>
      <c r="I3" s="125">
        <f t="shared" si="0"/>
        <v>2.658976997046711</v>
      </c>
      <c r="J3" s="125">
        <f t="shared" si="0"/>
        <v>2.2735398608423978</v>
      </c>
      <c r="K3" s="125">
        <f t="shared" si="0"/>
        <v>2.0923864492341337</v>
      </c>
      <c r="L3" s="125">
        <f t="shared" si="0"/>
        <v>1.8819648151446258</v>
      </c>
      <c r="M3" s="125">
        <f t="shared" si="0"/>
        <v>3.6087112293115284</v>
      </c>
      <c r="N3" s="125">
        <f t="shared" si="0"/>
        <v>3.9964662560496751</v>
      </c>
      <c r="O3" s="125">
        <f t="shared" si="0"/>
        <v>5.058346622976738</v>
      </c>
      <c r="P3" s="125">
        <f t="shared" si="0"/>
        <v>4.7150694711068164</v>
      </c>
      <c r="Q3" s="125">
        <f t="shared" si="0"/>
        <v>4.6548914148539478</v>
      </c>
      <c r="R3" s="125">
        <f t="shared" ref="R3:W3" si="1">SUM(R4,R16,R19,R29)</f>
        <v>4.7995152029209693</v>
      </c>
      <c r="S3" s="125">
        <f t="shared" si="1"/>
        <v>5.1103311529668929</v>
      </c>
      <c r="T3" s="125">
        <f t="shared" si="1"/>
        <v>4.7661327085527363</v>
      </c>
      <c r="U3" s="125">
        <f t="shared" si="1"/>
        <v>4.82417341133847</v>
      </c>
      <c r="V3" s="125">
        <f t="shared" si="1"/>
        <v>4.6194102959900132</v>
      </c>
      <c r="W3" s="125">
        <f t="shared" si="1"/>
        <v>3.7374319558458096</v>
      </c>
      <c r="X3" s="125">
        <f t="shared" ref="X3:Y3" si="2">SUM(X4,X16,X19,X29)</f>
        <v>2.9202094898810711</v>
      </c>
      <c r="Y3" s="125">
        <f t="shared" si="2"/>
        <v>2.7937656054224451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1.6211833598848753</v>
      </c>
      <c r="D4" s="130">
        <f t="shared" si="3"/>
        <v>1.5789871643227891</v>
      </c>
      <c r="E4" s="130">
        <f t="shared" si="3"/>
        <v>1.3387327452751201</v>
      </c>
      <c r="F4" s="130">
        <f t="shared" si="3"/>
        <v>1.9590695659343615</v>
      </c>
      <c r="G4" s="130">
        <f t="shared" si="3"/>
        <v>2.0855213813715081</v>
      </c>
      <c r="H4" s="130">
        <f t="shared" si="3"/>
        <v>1.5906525126187665</v>
      </c>
      <c r="I4" s="130">
        <f t="shared" si="3"/>
        <v>1.8124613934415377</v>
      </c>
      <c r="J4" s="130">
        <f t="shared" si="3"/>
        <v>1.542915484566449</v>
      </c>
      <c r="K4" s="130">
        <f t="shared" si="3"/>
        <v>1.3195501634565237</v>
      </c>
      <c r="L4" s="130">
        <f t="shared" si="3"/>
        <v>1.2711427141185907</v>
      </c>
      <c r="M4" s="130">
        <f t="shared" si="3"/>
        <v>2.1820006646857752</v>
      </c>
      <c r="N4" s="130">
        <f t="shared" si="3"/>
        <v>2.5272736680848666</v>
      </c>
      <c r="O4" s="130">
        <f t="shared" si="3"/>
        <v>3.2100335533058733</v>
      </c>
      <c r="P4" s="130">
        <f t="shared" si="3"/>
        <v>2.6511185162779083</v>
      </c>
      <c r="Q4" s="130">
        <f t="shared" si="3"/>
        <v>2.7816584234855686</v>
      </c>
      <c r="R4" s="130">
        <f t="shared" ref="R4:W4" si="4">SUM(R5:R15)</f>
        <v>2.7996345871274646</v>
      </c>
      <c r="S4" s="130">
        <f t="shared" si="4"/>
        <v>3.1489574400030533</v>
      </c>
      <c r="T4" s="130">
        <f t="shared" si="4"/>
        <v>2.7851542764323356</v>
      </c>
      <c r="U4" s="130">
        <f t="shared" si="4"/>
        <v>2.8596942850615115</v>
      </c>
      <c r="V4" s="130">
        <f t="shared" si="4"/>
        <v>2.8570464160402773</v>
      </c>
      <c r="W4" s="130">
        <f t="shared" si="4"/>
        <v>2.0248160132837172</v>
      </c>
      <c r="X4" s="130">
        <f t="shared" ref="X4:Y4" si="5">SUM(X5:X15)</f>
        <v>1.1743354397455459</v>
      </c>
      <c r="Y4" s="130">
        <f t="shared" si="5"/>
        <v>1.059957759979189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0.22600095420947983</v>
      </c>
      <c r="D7" s="132">
        <v>0.18771179289125953</v>
      </c>
      <c r="E7" s="132">
        <v>2.9350954960395822E-3</v>
      </c>
      <c r="F7" s="132">
        <v>7.436048604515183E-2</v>
      </c>
      <c r="G7" s="132">
        <v>0</v>
      </c>
      <c r="H7" s="132">
        <v>0</v>
      </c>
      <c r="I7" s="132">
        <v>0</v>
      </c>
      <c r="J7" s="132">
        <v>0</v>
      </c>
      <c r="K7" s="132">
        <v>0.1959999604453182</v>
      </c>
      <c r="L7" s="132">
        <v>0.64285367511873759</v>
      </c>
      <c r="M7" s="132">
        <v>0.74982036872586089</v>
      </c>
      <c r="N7" s="132">
        <v>0.6024731317826143</v>
      </c>
      <c r="O7" s="132">
        <v>1.029787284771166</v>
      </c>
      <c r="P7" s="132">
        <v>1.1547889684442509</v>
      </c>
      <c r="Q7" s="132">
        <v>1.5348561524534514</v>
      </c>
      <c r="R7" s="132">
        <v>1.0948947286189097</v>
      </c>
      <c r="S7" s="132">
        <v>1.3032762986994939</v>
      </c>
      <c r="T7" s="132">
        <v>0.53830196886123483</v>
      </c>
      <c r="U7" s="132">
        <v>0.33813053702492191</v>
      </c>
      <c r="V7" s="132">
        <v>0.19284454223979139</v>
      </c>
      <c r="W7" s="132">
        <v>0.20409630356346484</v>
      </c>
      <c r="X7" s="132">
        <v>5.5171719569186144E-2</v>
      </c>
      <c r="Y7" s="132">
        <v>0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0.43494021313759157</v>
      </c>
      <c r="D9" s="132">
        <v>0.30309532240937065</v>
      </c>
      <c r="E9" s="132">
        <v>0</v>
      </c>
      <c r="F9" s="132">
        <v>0.1993023506991691</v>
      </c>
      <c r="G9" s="132">
        <v>0.59785351180352075</v>
      </c>
      <c r="H9" s="132">
        <v>0.77455811189611234</v>
      </c>
      <c r="I9" s="132">
        <v>0.65515941372802011</v>
      </c>
      <c r="J9" s="132">
        <v>0.8281561691013597</v>
      </c>
      <c r="K9" s="132">
        <v>0.65278712173738707</v>
      </c>
      <c r="L9" s="132">
        <v>9.2890673652565123E-3</v>
      </c>
      <c r="M9" s="132">
        <v>0.47782100092054508</v>
      </c>
      <c r="N9" s="132">
        <v>0.84011115848182027</v>
      </c>
      <c r="O9" s="132">
        <v>1.1578926487669881</v>
      </c>
      <c r="P9" s="132">
        <v>1.027716635479343</v>
      </c>
      <c r="Q9" s="132">
        <v>0.49840775576921048</v>
      </c>
      <c r="R9" s="132">
        <v>0.39518278052692468</v>
      </c>
      <c r="S9" s="132">
        <v>0</v>
      </c>
      <c r="T9" s="132">
        <v>0</v>
      </c>
      <c r="U9" s="132">
        <v>1.737651739593166E-3</v>
      </c>
      <c r="V9" s="132">
        <v>7.2262490830845502E-2</v>
      </c>
      <c r="W9" s="132">
        <v>0.5460321104471979</v>
      </c>
      <c r="X9" s="132">
        <v>0.48647754794602399</v>
      </c>
      <c r="Y9" s="132">
        <v>0.59576152648589376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3.0866654286809958E-3</v>
      </c>
      <c r="D10" s="132">
        <v>2.0196033053955123E-3</v>
      </c>
      <c r="E10" s="132">
        <v>0</v>
      </c>
      <c r="F10" s="132">
        <v>0</v>
      </c>
      <c r="G10" s="132">
        <v>0</v>
      </c>
      <c r="H10" s="132">
        <v>0</v>
      </c>
      <c r="I10" s="132">
        <v>4.2143562155241263E-4</v>
      </c>
      <c r="J10" s="132">
        <v>2.3545345171687975E-3</v>
      </c>
      <c r="K10" s="132">
        <v>4.1928960095414169E-3</v>
      </c>
      <c r="L10" s="132">
        <v>2.7846246537573349E-4</v>
      </c>
      <c r="M10" s="132">
        <v>1.215406538973438E-3</v>
      </c>
      <c r="N10" s="132">
        <v>7.9051443708786952E-3</v>
      </c>
      <c r="O10" s="132">
        <v>1.541119371008255E-2</v>
      </c>
      <c r="P10" s="132">
        <v>1.1324406105463378E-2</v>
      </c>
      <c r="Q10" s="132">
        <v>1.3429186207748623E-4</v>
      </c>
      <c r="R10" s="132">
        <v>0</v>
      </c>
      <c r="S10" s="132">
        <v>0</v>
      </c>
      <c r="T10" s="132">
        <v>0</v>
      </c>
      <c r="U10" s="132">
        <v>0</v>
      </c>
      <c r="V10" s="132">
        <v>4.2301490503098238E-4</v>
      </c>
      <c r="W10" s="132">
        <v>1.5440939350701492E-3</v>
      </c>
      <c r="X10" s="132">
        <v>1.1123221475613115E-3</v>
      </c>
      <c r="Y10" s="132">
        <v>8.2551290211593082E-4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0.44149331343719761</v>
      </c>
      <c r="D12" s="132">
        <v>1.0715768934513319</v>
      </c>
      <c r="E12" s="132">
        <v>1.3294822649778149</v>
      </c>
      <c r="F12" s="132">
        <v>1.4959773371313279</v>
      </c>
      <c r="G12" s="132">
        <v>0.50316946425574804</v>
      </c>
      <c r="H12" s="132">
        <v>2.7693889868350613E-2</v>
      </c>
      <c r="I12" s="132">
        <v>0</v>
      </c>
      <c r="J12" s="132">
        <v>0</v>
      </c>
      <c r="K12" s="132">
        <v>8.0576584501948975E-2</v>
      </c>
      <c r="L12" s="132">
        <v>0.31992472252674131</v>
      </c>
      <c r="M12" s="132">
        <v>0.54753502778503804</v>
      </c>
      <c r="N12" s="132">
        <v>0.45006323055576847</v>
      </c>
      <c r="O12" s="132">
        <v>0.33358062570967872</v>
      </c>
      <c r="P12" s="132">
        <v>0.41985554472182601</v>
      </c>
      <c r="Q12" s="132">
        <v>0.71241284495998103</v>
      </c>
      <c r="R12" s="132">
        <v>1.1055423556770594</v>
      </c>
      <c r="S12" s="132">
        <v>1.138699479010024</v>
      </c>
      <c r="T12" s="132">
        <v>1.6955728514785995</v>
      </c>
      <c r="U12" s="132">
        <v>1.9675772534343947</v>
      </c>
      <c r="V12" s="132">
        <v>2.5547722578485446</v>
      </c>
      <c r="W12" s="132">
        <v>1.0161585658977912</v>
      </c>
      <c r="X12" s="132">
        <v>0.62050538130755106</v>
      </c>
      <c r="Y12" s="132">
        <v>0.35867282498263497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0.50052643073241576</v>
      </c>
      <c r="D14" s="65">
        <v>0</v>
      </c>
      <c r="E14" s="65">
        <v>0</v>
      </c>
      <c r="F14" s="65">
        <v>0.17744869984214887</v>
      </c>
      <c r="G14" s="65">
        <v>0.97133779884298144</v>
      </c>
      <c r="H14" s="65">
        <v>0.77441377197806349</v>
      </c>
      <c r="I14" s="65">
        <v>1.1453256107163761</v>
      </c>
      <c r="J14" s="65">
        <v>0.69798603490640976</v>
      </c>
      <c r="K14" s="65">
        <v>0.37104563372324029</v>
      </c>
      <c r="L14" s="65">
        <v>0.28638015975226838</v>
      </c>
      <c r="M14" s="65">
        <v>0.38271432711995379</v>
      </c>
      <c r="N14" s="65">
        <v>0.600834533973993</v>
      </c>
      <c r="O14" s="65">
        <v>0.6358641701294061</v>
      </c>
      <c r="P14" s="65">
        <v>0</v>
      </c>
      <c r="Q14" s="65">
        <v>0</v>
      </c>
      <c r="R14" s="65">
        <v>0.17555173073357994</v>
      </c>
      <c r="S14" s="65">
        <v>0.68152273966803478</v>
      </c>
      <c r="T14" s="65">
        <v>0.53591463767347458</v>
      </c>
      <c r="U14" s="65">
        <v>0.53900686083523808</v>
      </c>
      <c r="V14" s="65">
        <v>2.2380660500227044E-2</v>
      </c>
      <c r="W14" s="65">
        <v>0.24103400877262721</v>
      </c>
      <c r="X14" s="65">
        <v>0</v>
      </c>
      <c r="Y14" s="65">
        <v>9.3800802073455092E-2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1.5135782939509462E-2</v>
      </c>
      <c r="D15" s="134">
        <v>1.4583552265431305E-2</v>
      </c>
      <c r="E15" s="134">
        <v>6.3153848012655715E-3</v>
      </c>
      <c r="F15" s="134">
        <v>1.1980692216563754E-2</v>
      </c>
      <c r="G15" s="134">
        <v>1.3160606469257629E-2</v>
      </c>
      <c r="H15" s="134">
        <v>1.3986738876240074E-2</v>
      </c>
      <c r="I15" s="134">
        <v>1.1554933375589049E-2</v>
      </c>
      <c r="J15" s="134">
        <v>1.4418746041510883E-2</v>
      </c>
      <c r="K15" s="134">
        <v>1.4947967039087793E-2</v>
      </c>
      <c r="L15" s="134">
        <v>1.2416626890211384E-2</v>
      </c>
      <c r="M15" s="134">
        <v>2.2894533595404189E-2</v>
      </c>
      <c r="N15" s="134">
        <v>2.5886468919792131E-2</v>
      </c>
      <c r="O15" s="134">
        <v>3.7497630218551903E-2</v>
      </c>
      <c r="P15" s="134">
        <v>3.7432961527024848E-2</v>
      </c>
      <c r="Q15" s="134">
        <v>3.5847378440848107E-2</v>
      </c>
      <c r="R15" s="134">
        <v>2.8462991570991195E-2</v>
      </c>
      <c r="S15" s="134">
        <v>2.5458922625500445E-2</v>
      </c>
      <c r="T15" s="134">
        <v>1.5364818419026531E-2</v>
      </c>
      <c r="U15" s="134">
        <v>1.3241982027363229E-2</v>
      </c>
      <c r="V15" s="134">
        <v>1.4363449715837672E-2</v>
      </c>
      <c r="W15" s="134">
        <v>1.5950930667565835E-2</v>
      </c>
      <c r="X15" s="134">
        <v>1.1068468775223278E-2</v>
      </c>
      <c r="Y15" s="134">
        <v>1.0897093535089079E-2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0.27000076275573803</v>
      </c>
      <c r="D16" s="130">
        <f t="shared" si="6"/>
        <v>0.30950677087321765</v>
      </c>
      <c r="E16" s="130">
        <f t="shared" si="6"/>
        <v>0.22319765470207892</v>
      </c>
      <c r="F16" s="130">
        <f t="shared" si="6"/>
        <v>0.30239747849810139</v>
      </c>
      <c r="G16" s="130">
        <f t="shared" si="6"/>
        <v>0.36250439445073041</v>
      </c>
      <c r="H16" s="130">
        <f t="shared" si="6"/>
        <v>0.32332081631709531</v>
      </c>
      <c r="I16" s="130">
        <f t="shared" si="6"/>
        <v>0.28781436701361174</v>
      </c>
      <c r="J16" s="130">
        <f t="shared" si="6"/>
        <v>0.24250912099201069</v>
      </c>
      <c r="K16" s="130">
        <f t="shared" si="6"/>
        <v>0.22766664304926079</v>
      </c>
      <c r="L16" s="130">
        <f t="shared" si="6"/>
        <v>0.20027239599277427</v>
      </c>
      <c r="M16" s="130">
        <f t="shared" si="6"/>
        <v>0.46237955237354006</v>
      </c>
      <c r="N16" s="130">
        <f t="shared" si="6"/>
        <v>0.47249375978527963</v>
      </c>
      <c r="O16" s="130">
        <f t="shared" si="6"/>
        <v>0.59291643612513234</v>
      </c>
      <c r="P16" s="130">
        <f t="shared" si="6"/>
        <v>0.6229566955752851</v>
      </c>
      <c r="Q16" s="130">
        <f t="shared" si="6"/>
        <v>0.60262785200901214</v>
      </c>
      <c r="R16" s="130">
        <f t="shared" ref="R16:W16" si="7">SUM(R17:R18)</f>
        <v>0.59919051433642767</v>
      </c>
      <c r="S16" s="130">
        <f t="shared" si="7"/>
        <v>0.55115111670484307</v>
      </c>
      <c r="T16" s="130">
        <f t="shared" si="7"/>
        <v>0.59370049041157957</v>
      </c>
      <c r="U16" s="130">
        <f t="shared" si="7"/>
        <v>0.56328770522462879</v>
      </c>
      <c r="V16" s="130">
        <f t="shared" si="7"/>
        <v>0.51382273962641889</v>
      </c>
      <c r="W16" s="130">
        <f t="shared" si="7"/>
        <v>0.36609014984921984</v>
      </c>
      <c r="X16" s="130">
        <f t="shared" ref="X16:Y16" si="8">SUM(X17:X18)</f>
        <v>0.3463517560070869</v>
      </c>
      <c r="Y16" s="130">
        <f t="shared" si="8"/>
        <v>0.33866015817891215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1.343026936857745E-3</v>
      </c>
      <c r="D17" s="132">
        <v>2.3057434689441373E-3</v>
      </c>
      <c r="E17" s="132">
        <v>0</v>
      </c>
      <c r="F17" s="132">
        <v>4.9020651004559245E-3</v>
      </c>
      <c r="G17" s="132">
        <v>1.3944288053621891E-3</v>
      </c>
      <c r="H17" s="132">
        <v>2.2192370920891824E-3</v>
      </c>
      <c r="I17" s="132">
        <v>3.9548699519022026E-3</v>
      </c>
      <c r="J17" s="132">
        <v>1.6519241844891433E-3</v>
      </c>
      <c r="K17" s="132">
        <v>2.7041203390049682E-3</v>
      </c>
      <c r="L17" s="132">
        <v>1.6358314718089421E-3</v>
      </c>
      <c r="M17" s="132">
        <v>5.5179979754862024E-3</v>
      </c>
      <c r="N17" s="132">
        <v>5.5561302075789873E-3</v>
      </c>
      <c r="O17" s="132">
        <v>1.2560255653995519E-2</v>
      </c>
      <c r="P17" s="132">
        <v>2.3033255373114039E-2</v>
      </c>
      <c r="Q17" s="132">
        <v>1.7874860323732745E-2</v>
      </c>
      <c r="R17" s="132">
        <v>3.9267136153746086E-2</v>
      </c>
      <c r="S17" s="132">
        <v>2.134690898932539E-2</v>
      </c>
      <c r="T17" s="132">
        <v>1.1260169208324802E-2</v>
      </c>
      <c r="U17" s="132">
        <v>2.0197524754088755E-2</v>
      </c>
      <c r="V17" s="132">
        <v>1.8911855334466824E-2</v>
      </c>
      <c r="W17" s="132">
        <v>1.7050519972841845E-2</v>
      </c>
      <c r="X17" s="132">
        <v>1.2196540965586495E-2</v>
      </c>
      <c r="Y17" s="132">
        <v>1.2575070164003502E-2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0.26865773581888031</v>
      </c>
      <c r="D18" s="132">
        <v>0.30720102740427352</v>
      </c>
      <c r="E18" s="132">
        <v>0.22319765470207892</v>
      </c>
      <c r="F18" s="132">
        <v>0.29749541339764546</v>
      </c>
      <c r="G18" s="132">
        <v>0.36110996564536824</v>
      </c>
      <c r="H18" s="132">
        <v>0.3211015792250061</v>
      </c>
      <c r="I18" s="132">
        <v>0.28385949706170954</v>
      </c>
      <c r="J18" s="132">
        <v>0.24085719680752155</v>
      </c>
      <c r="K18" s="132">
        <v>0.22496252271025582</v>
      </c>
      <c r="L18" s="132">
        <v>0.19863656452096534</v>
      </c>
      <c r="M18" s="132">
        <v>0.45686155439805387</v>
      </c>
      <c r="N18" s="132">
        <v>0.46693762957770063</v>
      </c>
      <c r="O18" s="132">
        <v>0.5803561804711368</v>
      </c>
      <c r="P18" s="132">
        <v>0.59992344020217103</v>
      </c>
      <c r="Q18" s="132">
        <v>0.58475299168527939</v>
      </c>
      <c r="R18" s="132">
        <v>0.55992337818268156</v>
      </c>
      <c r="S18" s="132">
        <v>0.52980420771551773</v>
      </c>
      <c r="T18" s="132">
        <v>0.58244032120325473</v>
      </c>
      <c r="U18" s="132">
        <v>0.54309018047054003</v>
      </c>
      <c r="V18" s="132">
        <v>0.49491088429195207</v>
      </c>
      <c r="W18" s="132">
        <v>0.34903962987637799</v>
      </c>
      <c r="X18" s="132">
        <v>0.33415521504150042</v>
      </c>
      <c r="Y18" s="132">
        <v>0.32608508801490865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0.21661938757312577</v>
      </c>
      <c r="D19" s="130">
        <f t="shared" si="9"/>
        <v>0.24448974910311511</v>
      </c>
      <c r="E19" s="130">
        <f t="shared" si="9"/>
        <v>0.16005758820958038</v>
      </c>
      <c r="F19" s="130">
        <f t="shared" si="9"/>
        <v>0.26476984061379555</v>
      </c>
      <c r="G19" s="130">
        <f t="shared" si="9"/>
        <v>0.29778479195544855</v>
      </c>
      <c r="H19" s="130">
        <f t="shared" si="9"/>
        <v>0.23039300622943773</v>
      </c>
      <c r="I19" s="130">
        <f t="shared" si="9"/>
        <v>0.24936923133677227</v>
      </c>
      <c r="J19" s="130">
        <f t="shared" si="9"/>
        <v>0.21876159670867573</v>
      </c>
      <c r="K19" s="130">
        <f t="shared" si="9"/>
        <v>0.2038818168867465</v>
      </c>
      <c r="L19" s="130">
        <f t="shared" si="9"/>
        <v>0.17860158402042403</v>
      </c>
      <c r="M19" s="130">
        <f t="shared" si="9"/>
        <v>0.40987419128239655</v>
      </c>
      <c r="N19" s="130">
        <f t="shared" si="9"/>
        <v>0.42937794626064235</v>
      </c>
      <c r="O19" s="130">
        <f t="shared" si="9"/>
        <v>0.53790002842962004</v>
      </c>
      <c r="P19" s="130">
        <f t="shared" si="9"/>
        <v>0.6112846501763598</v>
      </c>
      <c r="Q19" s="130">
        <f t="shared" si="9"/>
        <v>0.54217201092584477</v>
      </c>
      <c r="R19" s="130">
        <f t="shared" ref="R19:W19" si="10">SUM(R20:R27)</f>
        <v>0.58489342870277605</v>
      </c>
      <c r="S19" s="130">
        <f t="shared" si="10"/>
        <v>0.6037023549360182</v>
      </c>
      <c r="T19" s="130">
        <f t="shared" si="10"/>
        <v>0.57690377639119161</v>
      </c>
      <c r="U19" s="130">
        <f t="shared" si="10"/>
        <v>0.57288711089826305</v>
      </c>
      <c r="V19" s="130">
        <f t="shared" si="10"/>
        <v>0.49879495086073156</v>
      </c>
      <c r="W19" s="130">
        <f t="shared" si="10"/>
        <v>0.48445858377234002</v>
      </c>
      <c r="X19" s="130">
        <f t="shared" ref="X19:Y19" si="11">SUM(X20:X27)</f>
        <v>0.54930568226361465</v>
      </c>
      <c r="Y19" s="130">
        <f t="shared" si="11"/>
        <v>0.5545349819614529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3.3984573684957227E-2</v>
      </c>
      <c r="D22" s="132">
        <v>3.4935976929427445E-2</v>
      </c>
      <c r="E22" s="132">
        <v>1.8333711982885522E-2</v>
      </c>
      <c r="F22" s="132">
        <v>2.6258206691445986E-2</v>
      </c>
      <c r="G22" s="132">
        <v>0</v>
      </c>
      <c r="H22" s="132">
        <v>0</v>
      </c>
      <c r="I22" s="132">
        <v>0</v>
      </c>
      <c r="J22" s="132">
        <v>0</v>
      </c>
      <c r="K22" s="132">
        <v>9.1354885695159021E-3</v>
      </c>
      <c r="L22" s="132">
        <v>5.8457674681158159E-2</v>
      </c>
      <c r="M22" s="132">
        <v>5.9818618097478821E-2</v>
      </c>
      <c r="N22" s="132">
        <v>0.12240746284734398</v>
      </c>
      <c r="O22" s="132">
        <v>9.1866824507057576E-2</v>
      </c>
      <c r="P22" s="132">
        <v>9.4851509549439619E-2</v>
      </c>
      <c r="Q22" s="132">
        <v>9.4798485782208675E-2</v>
      </c>
      <c r="R22" s="132">
        <v>0.14052258979381976</v>
      </c>
      <c r="S22" s="132">
        <v>0.29276900447486881</v>
      </c>
      <c r="T22" s="132">
        <v>0.21171733662759187</v>
      </c>
      <c r="U22" s="132">
        <v>0.18671085364044446</v>
      </c>
      <c r="V22" s="132">
        <v>2.0683372008118182E-2</v>
      </c>
      <c r="W22" s="132">
        <v>8.1987156605768524E-3</v>
      </c>
      <c r="X22" s="132">
        <v>0</v>
      </c>
      <c r="Y22" s="132">
        <v>0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4.7690884369646747E-2</v>
      </c>
      <c r="D23" s="132">
        <v>5.7140020644539546E-2</v>
      </c>
      <c r="E23" s="132">
        <v>3.6859484351802682E-2</v>
      </c>
      <c r="F23" s="132">
        <v>8.2201037942327582E-2</v>
      </c>
      <c r="G23" s="132">
        <v>0.11268104699245354</v>
      </c>
      <c r="H23" s="132">
        <v>5.1542729825210909E-2</v>
      </c>
      <c r="I23" s="132">
        <v>5.9091842911369145E-2</v>
      </c>
      <c r="J23" s="132">
        <v>8.7130444130573179E-2</v>
      </c>
      <c r="K23" s="132">
        <v>6.1075899966098426E-2</v>
      </c>
      <c r="L23" s="132">
        <v>6.3009246653859485E-2</v>
      </c>
      <c r="M23" s="132">
        <v>8.8056083202107116E-2</v>
      </c>
      <c r="N23" s="132">
        <v>8.6080079658103617E-2</v>
      </c>
      <c r="O23" s="132">
        <v>0.14509828759963597</v>
      </c>
      <c r="P23" s="132">
        <v>0.20378371624828934</v>
      </c>
      <c r="Q23" s="132">
        <v>0.17216654486972677</v>
      </c>
      <c r="R23" s="132">
        <v>0.15663514129988018</v>
      </c>
      <c r="S23" s="132">
        <v>5.4462533224690836E-2</v>
      </c>
      <c r="T23" s="132">
        <v>0</v>
      </c>
      <c r="U23" s="132">
        <v>2.3514286215618838E-2</v>
      </c>
      <c r="V23" s="132">
        <v>8.2649746192790349E-2</v>
      </c>
      <c r="W23" s="132">
        <v>0.13356501468916557</v>
      </c>
      <c r="X23" s="132">
        <v>0.11796890685574794</v>
      </c>
      <c r="Y23" s="132">
        <v>0.10430238460520788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6.1509572341591656E-2</v>
      </c>
      <c r="D25" s="132">
        <v>0.15241375152914813</v>
      </c>
      <c r="E25" s="132">
        <v>0.10486439187489217</v>
      </c>
      <c r="F25" s="132">
        <v>0.15631059598002198</v>
      </c>
      <c r="G25" s="132">
        <v>0.12592848368468784</v>
      </c>
      <c r="H25" s="132">
        <v>2.6587275741185631E-2</v>
      </c>
      <c r="I25" s="132">
        <v>2.2108361213697053E-2</v>
      </c>
      <c r="J25" s="132">
        <v>1.5721259132440473E-2</v>
      </c>
      <c r="K25" s="132">
        <v>2.1996997411487442E-2</v>
      </c>
      <c r="L25" s="132">
        <v>1.3523053584629336E-2</v>
      </c>
      <c r="M25" s="132">
        <v>6.0433218775631771E-2</v>
      </c>
      <c r="N25" s="132">
        <v>6.3738158193680922E-2</v>
      </c>
      <c r="O25" s="132">
        <v>9.1152226370027428E-2</v>
      </c>
      <c r="P25" s="132">
        <v>0.14470898923186618</v>
      </c>
      <c r="Q25" s="132">
        <v>0.1666244236793013</v>
      </c>
      <c r="R25" s="132">
        <v>0.19104170905507381</v>
      </c>
      <c r="S25" s="132">
        <v>0.20952380518344174</v>
      </c>
      <c r="T25" s="132">
        <v>0.18210880683635342</v>
      </c>
      <c r="U25" s="132">
        <v>0.19316084530207808</v>
      </c>
      <c r="V25" s="132">
        <v>5.8130298191358301E-2</v>
      </c>
      <c r="W25" s="132">
        <v>2.8535652094069334E-2</v>
      </c>
      <c r="X25" s="132">
        <v>0</v>
      </c>
      <c r="Y25" s="132">
        <v>0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7.3434357176930129E-2</v>
      </c>
      <c r="D26" s="65">
        <v>0</v>
      </c>
      <c r="E26" s="65">
        <v>0</v>
      </c>
      <c r="F26" s="65">
        <v>0</v>
      </c>
      <c r="G26" s="65">
        <v>5.9175261278307162E-2</v>
      </c>
      <c r="H26" s="65">
        <v>0.15226300066304119</v>
      </c>
      <c r="I26" s="65">
        <v>0.16816902721170607</v>
      </c>
      <c r="J26" s="65">
        <v>0.11590989344566208</v>
      </c>
      <c r="K26" s="65">
        <v>0.11167343093964474</v>
      </c>
      <c r="L26" s="65">
        <v>4.3611609100777063E-2</v>
      </c>
      <c r="M26" s="65">
        <v>0.20156627120717888</v>
      </c>
      <c r="N26" s="65">
        <v>0.1571522455615138</v>
      </c>
      <c r="O26" s="65">
        <v>0.20978268995289912</v>
      </c>
      <c r="P26" s="65">
        <v>0.16794043514676474</v>
      </c>
      <c r="Q26" s="65">
        <v>0.10858255659460798</v>
      </c>
      <c r="R26" s="65">
        <v>9.6693988554002394E-2</v>
      </c>
      <c r="S26" s="65">
        <v>4.6947012053016733E-2</v>
      </c>
      <c r="T26" s="65">
        <v>0.18307763292724633</v>
      </c>
      <c r="U26" s="65">
        <v>0.16950112574012166</v>
      </c>
      <c r="V26" s="65">
        <v>0.3373315344684647</v>
      </c>
      <c r="W26" s="65">
        <v>0.31415920132852826</v>
      </c>
      <c r="X26" s="65">
        <v>0.43133677540786675</v>
      </c>
      <c r="Y26" s="65">
        <v>0.45023259735624499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0.23667849104394056</v>
      </c>
      <c r="D29" s="130">
        <f t="shared" si="12"/>
        <v>0.28603649169719458</v>
      </c>
      <c r="E29" s="130">
        <f t="shared" si="12"/>
        <v>0.17554325677169572</v>
      </c>
      <c r="F29" s="130">
        <f t="shared" si="12"/>
        <v>0.30385237846581337</v>
      </c>
      <c r="G29" s="130">
        <f t="shared" si="12"/>
        <v>0.36419353611445598</v>
      </c>
      <c r="H29" s="130">
        <f t="shared" si="12"/>
        <v>0.28416681301035918</v>
      </c>
      <c r="I29" s="130">
        <f t="shared" si="12"/>
        <v>0.30933200525478943</v>
      </c>
      <c r="J29" s="130">
        <f t="shared" si="12"/>
        <v>0.26935365857526261</v>
      </c>
      <c r="K29" s="130">
        <f t="shared" si="12"/>
        <v>0.34128782584160289</v>
      </c>
      <c r="L29" s="130">
        <f t="shared" si="12"/>
        <v>0.23194812101283677</v>
      </c>
      <c r="M29" s="130">
        <f t="shared" si="12"/>
        <v>0.55445682096981652</v>
      </c>
      <c r="N29" s="130">
        <f t="shared" si="12"/>
        <v>0.56732088191888652</v>
      </c>
      <c r="O29" s="130">
        <f t="shared" si="12"/>
        <v>0.71749660511611268</v>
      </c>
      <c r="P29" s="130">
        <f t="shared" si="12"/>
        <v>0.82970960907726321</v>
      </c>
      <c r="Q29" s="130">
        <f t="shared" si="12"/>
        <v>0.72843312843352259</v>
      </c>
      <c r="R29" s="130">
        <f t="shared" ref="R29:W29" si="13">SUM(R30:R33)</f>
        <v>0.8157966727543009</v>
      </c>
      <c r="S29" s="130">
        <f t="shared" si="13"/>
        <v>0.80652024132297873</v>
      </c>
      <c r="T29" s="130">
        <f t="shared" si="13"/>
        <v>0.81037416531763007</v>
      </c>
      <c r="U29" s="130">
        <f t="shared" si="13"/>
        <v>0.82830431015406658</v>
      </c>
      <c r="V29" s="130">
        <f t="shared" si="13"/>
        <v>0.74974618946258564</v>
      </c>
      <c r="W29" s="130">
        <f t="shared" si="13"/>
        <v>0.86206720894053235</v>
      </c>
      <c r="X29" s="130">
        <f t="shared" ref="X29:Y29" si="14">SUM(X30:X33)</f>
        <v>0.85021661186482389</v>
      </c>
      <c r="Y29" s="130">
        <f t="shared" si="14"/>
        <v>0.84061270530289101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3.3988147366848277E-2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0.2986526495961534</v>
      </c>
      <c r="L30" s="132">
        <v>0.13288056977166229</v>
      </c>
      <c r="M30" s="132">
        <v>0.17055238495539496</v>
      </c>
      <c r="N30" s="132">
        <v>1.4977537748516095E-2</v>
      </c>
      <c r="O30" s="132">
        <v>1.7758703895116443E-2</v>
      </c>
      <c r="P30" s="132">
        <v>1.1328170630214655E-2</v>
      </c>
      <c r="Q30" s="132">
        <v>5.6857380567577727E-2</v>
      </c>
      <c r="R30" s="132">
        <v>7.2373059624220082E-2</v>
      </c>
      <c r="S30" s="132">
        <v>5.3866168948939863E-2</v>
      </c>
      <c r="T30" s="132">
        <v>0.12819300882559745</v>
      </c>
      <c r="U30" s="132">
        <v>0.13451490837720018</v>
      </c>
      <c r="V30" s="132">
        <v>0.16726233446662037</v>
      </c>
      <c r="W30" s="132">
        <v>0.33923055154387327</v>
      </c>
      <c r="X30" s="132">
        <v>0.16040353483829445</v>
      </c>
      <c r="Y30" s="132">
        <v>0.13023161182239978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0.10908951449459732</v>
      </c>
      <c r="D31" s="132">
        <v>9.1595601187141412E-2</v>
      </c>
      <c r="E31" s="132">
        <v>4.8639946853580279E-2</v>
      </c>
      <c r="F31" s="132">
        <v>8.0991149683987407E-2</v>
      </c>
      <c r="G31" s="132">
        <v>0.11869362608734223</v>
      </c>
      <c r="H31" s="132">
        <v>0.10450636738396003</v>
      </c>
      <c r="I31" s="132">
        <v>8.7374572527336825E-2</v>
      </c>
      <c r="J31" s="132">
        <v>6.8527612794092654E-2</v>
      </c>
      <c r="K31" s="132">
        <v>4.2635176245449498E-2</v>
      </c>
      <c r="L31" s="132">
        <v>6.7333134182833126E-2</v>
      </c>
      <c r="M31" s="132">
        <v>7.870723895988474E-2</v>
      </c>
      <c r="N31" s="132">
        <v>8.8349158784351331E-2</v>
      </c>
      <c r="O31" s="132">
        <v>9.5927292869677133E-2</v>
      </c>
      <c r="P31" s="132">
        <v>7.3229984818169294E-2</v>
      </c>
      <c r="Q31" s="132">
        <v>5.7824482787734825E-2</v>
      </c>
      <c r="R31" s="132">
        <v>6.5231196911646763E-2</v>
      </c>
      <c r="S31" s="132">
        <v>4.2227168492367011E-2</v>
      </c>
      <c r="T31" s="132">
        <v>4.6997429523279406E-2</v>
      </c>
      <c r="U31" s="132">
        <v>2.6000642911092872E-2</v>
      </c>
      <c r="V31" s="132">
        <v>6.5510216498981907E-2</v>
      </c>
      <c r="W31" s="132">
        <v>0.14840941018873238</v>
      </c>
      <c r="X31" s="132">
        <v>0.39294602815634788</v>
      </c>
      <c r="Y31" s="132">
        <v>0.19210843394914964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9.3600829182494974E-2</v>
      </c>
      <c r="D33" s="68">
        <v>0.19444089051005317</v>
      </c>
      <c r="E33" s="68">
        <v>0.12690330991811544</v>
      </c>
      <c r="F33" s="68">
        <v>0.22286122878182599</v>
      </c>
      <c r="G33" s="68">
        <v>0.24549991002711377</v>
      </c>
      <c r="H33" s="68">
        <v>0.17966044562639916</v>
      </c>
      <c r="I33" s="68">
        <v>0.22195743272745258</v>
      </c>
      <c r="J33" s="68">
        <v>0.20082604578116994</v>
      </c>
      <c r="K33" s="68">
        <v>0</v>
      </c>
      <c r="L33" s="68">
        <v>3.1734417058341347E-2</v>
      </c>
      <c r="M33" s="68">
        <v>0.3051971970545368</v>
      </c>
      <c r="N33" s="68">
        <v>0.46399418538601905</v>
      </c>
      <c r="O33" s="68">
        <v>0.60381060835131906</v>
      </c>
      <c r="P33" s="68">
        <v>0.74515145362887925</v>
      </c>
      <c r="Q33" s="68">
        <v>0.6137512650782101</v>
      </c>
      <c r="R33" s="68">
        <v>0.67819241621843407</v>
      </c>
      <c r="S33" s="68">
        <v>0.71042690388167185</v>
      </c>
      <c r="T33" s="68">
        <v>0.63518372696875325</v>
      </c>
      <c r="U33" s="68">
        <v>0.66778875886577349</v>
      </c>
      <c r="V33" s="68">
        <v>0.5169736384969833</v>
      </c>
      <c r="W33" s="68">
        <v>0.37442724720792675</v>
      </c>
      <c r="X33" s="68">
        <v>0.29686704887018156</v>
      </c>
      <c r="Y33" s="68">
        <v>0.51827265953134161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0.73117866506489226</v>
      </c>
      <c r="D3" s="126">
        <f>IF(SER_hh_tes_in!D3=0,"",SER_hh_tes_in!D3/SER_hh_fec_in!D3)</f>
        <v>0.79297007381708817</v>
      </c>
      <c r="E3" s="126">
        <f>IF(SER_hh_tes_in!E3=0,"",SER_hh_tes_in!E3/SER_hh_fec_in!E3)</f>
        <v>0.88531138759544392</v>
      </c>
      <c r="F3" s="126">
        <f>IF(SER_hh_tes_in!F3=0,"",SER_hh_tes_in!F3/SER_hh_fec_in!F3)</f>
        <v>0.83123891479936973</v>
      </c>
      <c r="G3" s="126">
        <f>IF(SER_hh_tes_in!G3=0,"",SER_hh_tes_in!G3/SER_hh_fec_in!G3)</f>
        <v>0.7869490704419142</v>
      </c>
      <c r="H3" s="126">
        <f>IF(SER_hh_tes_in!H3=0,"",SER_hh_tes_in!H3/SER_hh_fec_in!H3)</f>
        <v>0.75697042472949705</v>
      </c>
      <c r="I3" s="126">
        <f>IF(SER_hh_tes_in!I3=0,"",SER_hh_tes_in!I3/SER_hh_fec_in!I3)</f>
        <v>0.76601536812639404</v>
      </c>
      <c r="J3" s="126">
        <f>IF(SER_hh_tes_in!J3=0,"",SER_hh_tes_in!J3/SER_hh_fec_in!J3)</f>
        <v>0.74367894894466013</v>
      </c>
      <c r="K3" s="126">
        <f>IF(SER_hh_tes_in!K3=0,"",SER_hh_tes_in!K3/SER_hh_fec_in!K3)</f>
        <v>0.70946122945561474</v>
      </c>
      <c r="L3" s="126">
        <f>IF(SER_hh_tes_in!L3=0,"",SER_hh_tes_in!L3/SER_hh_fec_in!L3)</f>
        <v>0.72319563040250645</v>
      </c>
      <c r="M3" s="126">
        <f>IF(SER_hh_tes_in!M3=0,"",SER_hh_tes_in!M3/SER_hh_fec_in!M3)</f>
        <v>0.76679474217882237</v>
      </c>
      <c r="N3" s="126">
        <f>IF(SER_hh_tes_in!N3=0,"",SER_hh_tes_in!N3/SER_hh_fec_in!N3)</f>
        <v>0.78359167832882326</v>
      </c>
      <c r="O3" s="126">
        <f>IF(SER_hh_tes_in!O3=0,"",SER_hh_tes_in!O3/SER_hh_fec_in!O3)</f>
        <v>0.79038491594876936</v>
      </c>
      <c r="P3" s="126">
        <f>IF(SER_hh_tes_in!P3=0,"",SER_hh_tes_in!P3/SER_hh_fec_in!P3)</f>
        <v>0.82464315156918522</v>
      </c>
      <c r="Q3" s="126">
        <f>IF(SER_hh_tes_in!Q3=0,"",SER_hh_tes_in!Q3/SER_hh_fec_in!Q3)</f>
        <v>0.84260164023063511</v>
      </c>
      <c r="R3" s="126">
        <f>IF(SER_hh_tes_in!R3=0,"",SER_hh_tes_in!R3/SER_hh_fec_in!R3)</f>
        <v>0.86993617588995142</v>
      </c>
      <c r="S3" s="126">
        <f>IF(SER_hh_tes_in!S3=0,"",SER_hh_tes_in!S3/SER_hh_fec_in!S3)</f>
        <v>0.86709172663364364</v>
      </c>
      <c r="T3" s="126">
        <f>IF(SER_hh_tes_in!T3=0,"",SER_hh_tes_in!T3/SER_hh_fec_in!T3)</f>
        <v>0.91898727743297159</v>
      </c>
      <c r="U3" s="126">
        <f>IF(SER_hh_tes_in!U3=0,"",SER_hh_tes_in!U3/SER_hh_fec_in!U3)</f>
        <v>0.93355496041053798</v>
      </c>
      <c r="V3" s="126">
        <f>IF(SER_hh_tes_in!V3=0,"",SER_hh_tes_in!V3/SER_hh_fec_in!V3)</f>
        <v>0.94017718283511076</v>
      </c>
      <c r="W3" s="126">
        <f>IF(SER_hh_tes_in!W3=0,"",SER_hh_tes_in!W3/SER_hh_fec_in!W3)</f>
        <v>0.88575257230861693</v>
      </c>
      <c r="X3" s="126">
        <f>IF(SER_hh_tes_in!X3=0,"",SER_hh_tes_in!X3/SER_hh_fec_in!X3)</f>
        <v>0.89208528946514787</v>
      </c>
      <c r="Y3" s="126">
        <f>IF(SER_hh_tes_in!Y3=0,"",SER_hh_tes_in!Y3/SER_hh_fec_in!Y3)</f>
        <v>0.92958836494809294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0.66987831610558568</v>
      </c>
      <c r="D4" s="135">
        <f>IF(SER_hh_tes_in!D4=0,"",SER_hh_tes_in!D4/SER_hh_fec_in!D4)</f>
        <v>0.71989299597417855</v>
      </c>
      <c r="E4" s="135">
        <f>IF(SER_hh_tes_in!E4=0,"",SER_hh_tes_in!E4/SER_hh_fec_in!E4)</f>
        <v>0.83567344020813505</v>
      </c>
      <c r="F4" s="135">
        <f>IF(SER_hh_tes_in!F4=0,"",SER_hh_tes_in!F4/SER_hh_fec_in!F4)</f>
        <v>0.77902168549581152</v>
      </c>
      <c r="G4" s="135">
        <f>IF(SER_hh_tes_in!G4=0,"",SER_hh_tes_in!G4/SER_hh_fec_in!G4)</f>
        <v>0.71708253213350615</v>
      </c>
      <c r="H4" s="135">
        <f>IF(SER_hh_tes_in!H4=0,"",SER_hh_tes_in!H4/SER_hh_fec_in!H4)</f>
        <v>0.67004368389496494</v>
      </c>
      <c r="I4" s="135">
        <f>IF(SER_hh_tes_in!I4=0,"",SER_hh_tes_in!I4/SER_hh_fec_in!I4)</f>
        <v>0.69703984566186472</v>
      </c>
      <c r="J4" s="135">
        <f>IF(SER_hh_tes_in!J4=0,"",SER_hh_tes_in!J4/SER_hh_fec_in!J4)</f>
        <v>0.67035547176196575</v>
      </c>
      <c r="K4" s="135">
        <f>IF(SER_hh_tes_in!K4=0,"",SER_hh_tes_in!K4/SER_hh_fec_in!K4)</f>
        <v>0.65340000529181896</v>
      </c>
      <c r="L4" s="135">
        <f>IF(SER_hh_tes_in!L4=0,"",SER_hh_tes_in!L4/SER_hh_fec_in!L4)</f>
        <v>0.66898497584297556</v>
      </c>
      <c r="M4" s="135">
        <f>IF(SER_hh_tes_in!M4=0,"",SER_hh_tes_in!M4/SER_hh_fec_in!M4)</f>
        <v>0.68063320600921018</v>
      </c>
      <c r="N4" s="135">
        <f>IF(SER_hh_tes_in!N4=0,"",SER_hh_tes_in!N4/SER_hh_fec_in!N4)</f>
        <v>0.69791816975692078</v>
      </c>
      <c r="O4" s="135">
        <f>IF(SER_hh_tes_in!O4=0,"",SER_hh_tes_in!O4/SER_hh_fec_in!O4)</f>
        <v>0.69928522265764004</v>
      </c>
      <c r="P4" s="135">
        <f>IF(SER_hh_tes_in!P4=0,"",SER_hh_tes_in!P4/SER_hh_fec_in!P4)</f>
        <v>0.71328000094566757</v>
      </c>
      <c r="Q4" s="135">
        <f>IF(SER_hh_tes_in!Q4=0,"",SER_hh_tes_in!Q4/SER_hh_fec_in!Q4)</f>
        <v>0.73898349999168467</v>
      </c>
      <c r="R4" s="135">
        <f>IF(SER_hh_tes_in!R4=0,"",SER_hh_tes_in!R4/SER_hh_fec_in!R4)</f>
        <v>0.77713976125731354</v>
      </c>
      <c r="S4" s="135">
        <f>IF(SER_hh_tes_in!S4=0,"",SER_hh_tes_in!S4/SER_hh_fec_in!S4)</f>
        <v>0.78379556878723533</v>
      </c>
      <c r="T4" s="135">
        <f>IF(SER_hh_tes_in!T4=0,"",SER_hh_tes_in!T4/SER_hh_fec_in!T4)</f>
        <v>0.83490177120494868</v>
      </c>
      <c r="U4" s="135">
        <f>IF(SER_hh_tes_in!U4=0,"",SER_hh_tes_in!U4/SER_hh_fec_in!U4)</f>
        <v>0.85760889959413678</v>
      </c>
      <c r="V4" s="135">
        <f>IF(SER_hh_tes_in!V4=0,"",SER_hh_tes_in!V4/SER_hh_fec_in!V4)</f>
        <v>0.87509454279182375</v>
      </c>
      <c r="W4" s="135">
        <f>IF(SER_hh_tes_in!W4=0,"",SER_hh_tes_in!W4/SER_hh_fec_in!W4)</f>
        <v>0.85155967839400792</v>
      </c>
      <c r="X4" s="135">
        <f>IF(SER_hh_tes_in!X4=0,"",SER_hh_tes_in!X4/SER_hh_fec_in!X4)</f>
        <v>0.85700411776045937</v>
      </c>
      <c r="Y4" s="135">
        <f>IF(SER_hh_tes_in!Y4=0,"",SER_hh_tes_in!Y4/SER_hh_fec_in!Y4)</f>
        <v>0.86158338957809588</v>
      </c>
      <c r="DA4" s="162" t="s">
        <v>663</v>
      </c>
    </row>
    <row r="5" spans="1:105" ht="12" customHeight="1" x14ac:dyDescent="0.25">
      <c r="A5" s="131" t="s">
        <v>29</v>
      </c>
      <c r="B5" s="136"/>
      <c r="C5" s="136" t="str">
        <f>IF(SER_hh_tes_in!C5=0,"",SER_hh_tes_in!C5/SER_hh_fec_in!C5)</f>
        <v/>
      </c>
      <c r="D5" s="136" t="str">
        <f>IF(SER_hh_tes_in!D5=0,"",SER_hh_tes_in!D5/SER_hh_fec_in!D5)</f>
        <v/>
      </c>
      <c r="E5" s="136" t="str">
        <f>IF(SER_hh_tes_in!E5=0,"",SER_hh_tes_in!E5/SER_hh_fec_in!E5)</f>
        <v/>
      </c>
      <c r="F5" s="136" t="str">
        <f>IF(SER_hh_tes_in!F5=0,"",SER_hh_tes_in!F5/SER_hh_fec_in!F5)</f>
        <v/>
      </c>
      <c r="G5" s="136" t="str">
        <f>IF(SER_hh_tes_in!G5=0,"",SER_hh_tes_in!G5/SER_hh_fec_in!G5)</f>
        <v/>
      </c>
      <c r="H5" s="136" t="str">
        <f>IF(SER_hh_tes_in!H5=0,"",SER_hh_tes_in!H5/SER_hh_fec_in!H5)</f>
        <v/>
      </c>
      <c r="I5" s="136" t="str">
        <f>IF(SER_hh_tes_in!I5=0,"",SER_hh_tes_in!I5/SER_hh_fec_in!I5)</f>
        <v/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 t="str">
        <f>IF(SER_hh_tes_in!M5=0,"",SER_hh_tes_in!M5/SER_hh_fec_in!M5)</f>
        <v/>
      </c>
      <c r="N5" s="136" t="str">
        <f>IF(SER_hh_tes_in!N5=0,"",SER_hh_tes_in!N5/SER_hh_fec_in!N5)</f>
        <v/>
      </c>
      <c r="O5" s="136" t="str">
        <f>IF(SER_hh_tes_in!O5=0,"",SER_hh_tes_in!O5/SER_hh_fec_in!O5)</f>
        <v/>
      </c>
      <c r="P5" s="136" t="str">
        <f>IF(SER_hh_tes_in!P5=0,"",SER_hh_tes_in!P5/SER_hh_fec_in!P5)</f>
        <v/>
      </c>
      <c r="Q5" s="136" t="str">
        <f>IF(SER_hh_tes_in!Q5=0,"",SER_hh_tes_in!Q5/SER_hh_fec_in!Q5)</f>
        <v/>
      </c>
      <c r="R5" s="136" t="str">
        <f>IF(SER_hh_tes_in!R5=0,"",SER_hh_tes_in!R5/SER_hh_fec_in!R5)</f>
        <v/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 t="str">
        <f>IF(SER_hh_tes_in!U5=0,"",SER_hh_tes_in!U5/SER_hh_fec_in!U5)</f>
        <v/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0.52392730839674095</v>
      </c>
      <c r="D7" s="136">
        <f>IF(SER_hh_tes_in!D7=0,"",SER_hh_tes_in!D7/SER_hh_fec_in!D7)</f>
        <v>0.52810568233962973</v>
      </c>
      <c r="E7" s="136">
        <f>IF(SER_hh_tes_in!E7=0,"",SER_hh_tes_in!E7/SER_hh_fec_in!E7)</f>
        <v>0.53250649351717427</v>
      </c>
      <c r="F7" s="136">
        <f>IF(SER_hh_tes_in!F7=0,"",SER_hh_tes_in!F7/SER_hh_fec_in!F7)</f>
        <v>0.53688326081542836</v>
      </c>
      <c r="G7" s="136" t="str">
        <f>IF(SER_hh_tes_in!G7=0,"",SER_hh_tes_in!G7/SER_hh_fec_in!G7)</f>
        <v/>
      </c>
      <c r="H7" s="136" t="str">
        <f>IF(SER_hh_tes_in!H7=0,"",SER_hh_tes_in!H7/SER_hh_fec_in!H7)</f>
        <v/>
      </c>
      <c r="I7" s="136" t="str">
        <f>IF(SER_hh_tes_in!I7=0,"",SER_hh_tes_in!I7/SER_hh_fec_in!I7)</f>
        <v/>
      </c>
      <c r="J7" s="136" t="str">
        <f>IF(SER_hh_tes_in!J7=0,"",SER_hh_tes_in!J7/SER_hh_fec_in!J7)</f>
        <v/>
      </c>
      <c r="K7" s="136">
        <f>IF(SER_hh_tes_in!K7=0,"",SER_hh_tes_in!K7/SER_hh_fec_in!K7)</f>
        <v>0.56254089957485787</v>
      </c>
      <c r="L7" s="136">
        <f>IF(SER_hh_tes_in!L7=0,"",SER_hh_tes_in!L7/SER_hh_fec_in!L7)</f>
        <v>0.56919702140450712</v>
      </c>
      <c r="M7" s="136">
        <f>IF(SER_hh_tes_in!M7=0,"",SER_hh_tes_in!M7/SER_hh_fec_in!M7)</f>
        <v>0.58124049215100415</v>
      </c>
      <c r="N7" s="136">
        <f>IF(SER_hh_tes_in!N7=0,"",SER_hh_tes_in!N7/SER_hh_fec_in!N7)</f>
        <v>0.60008789466476586</v>
      </c>
      <c r="O7" s="136">
        <f>IF(SER_hh_tes_in!O7=0,"",SER_hh_tes_in!O7/SER_hh_fec_in!O7)</f>
        <v>0.62646025046339071</v>
      </c>
      <c r="P7" s="136">
        <f>IF(SER_hh_tes_in!P7=0,"",SER_hh_tes_in!P7/SER_hh_fec_in!P7)</f>
        <v>0.65685318099976286</v>
      </c>
      <c r="Q7" s="136">
        <f>IF(SER_hh_tes_in!Q7=0,"",SER_hh_tes_in!Q7/SER_hh_fec_in!Q7)</f>
        <v>0.68112229637323307</v>
      </c>
      <c r="R7" s="136">
        <f>IF(SER_hh_tes_in!R7=0,"",SER_hh_tes_in!R7/SER_hh_fec_in!R7)</f>
        <v>0.69036825533687951</v>
      </c>
      <c r="S7" s="136">
        <f>IF(SER_hh_tes_in!S7=0,"",SER_hh_tes_in!S7/SER_hh_fec_in!S7)</f>
        <v>0.69472025198258791</v>
      </c>
      <c r="T7" s="136">
        <f>IF(SER_hh_tes_in!T7=0,"",SER_hh_tes_in!T7/SER_hh_fec_in!T7)</f>
        <v>0.69616488721776904</v>
      </c>
      <c r="U7" s="136">
        <f>IF(SER_hh_tes_in!U7=0,"",SER_hh_tes_in!U7/SER_hh_fec_in!U7)</f>
        <v>0.69658829524643995</v>
      </c>
      <c r="V7" s="136">
        <f>IF(SER_hh_tes_in!V7=0,"",SER_hh_tes_in!V7/SER_hh_fec_in!V7)</f>
        <v>0.69780422837280898</v>
      </c>
      <c r="W7" s="136">
        <f>IF(SER_hh_tes_in!W7=0,"",SER_hh_tes_in!W7/SER_hh_fec_in!W7)</f>
        <v>0.69948673393830896</v>
      </c>
      <c r="X7" s="136">
        <f>IF(SER_hh_tes_in!X7=0,"",SER_hh_tes_in!X7/SER_hh_fec_in!X7)</f>
        <v>0.70061228369820883</v>
      </c>
      <c r="Y7" s="136" t="str">
        <f>IF(SER_hh_tes_in!Y7=0,"",SER_hh_tes_in!Y7/SER_hh_fec_in!Y7)</f>
        <v/>
      </c>
      <c r="DA7" s="163" t="s">
        <v>666</v>
      </c>
    </row>
    <row r="8" spans="1:105" ht="12" customHeight="1" x14ac:dyDescent="0.25">
      <c r="A8" s="131" t="s">
        <v>73</v>
      </c>
      <c r="B8" s="136"/>
      <c r="C8" s="136" t="str">
        <f>IF(SER_hh_tes_in!C8=0,"",SER_hh_tes_in!C8/SER_hh_fec_in!C8)</f>
        <v/>
      </c>
      <c r="D8" s="136" t="str">
        <f>IF(SER_hh_tes_in!D8=0,"",SER_hh_tes_in!D8/SER_hh_fec_in!D8)</f>
        <v/>
      </c>
      <c r="E8" s="136" t="str">
        <f>IF(SER_hh_tes_in!E8=0,"",SER_hh_tes_in!E8/SER_hh_fec_in!E8)</f>
        <v/>
      </c>
      <c r="F8" s="136" t="str">
        <f>IF(SER_hh_tes_in!F8=0,"",SER_hh_tes_in!F8/SER_hh_fec_in!F8)</f>
        <v/>
      </c>
      <c r="G8" s="136" t="str">
        <f>IF(SER_hh_tes_in!G8=0,"",SER_hh_tes_in!G8/SER_hh_fec_in!G8)</f>
        <v/>
      </c>
      <c r="H8" s="136" t="str">
        <f>IF(SER_hh_tes_in!H8=0,"",SER_hh_tes_in!H8/SER_hh_fec_in!H8)</f>
        <v/>
      </c>
      <c r="I8" s="136" t="str">
        <f>IF(SER_hh_tes_in!I8=0,"",SER_hh_tes_in!I8/SER_hh_fec_in!I8)</f>
        <v/>
      </c>
      <c r="J8" s="136" t="str">
        <f>IF(SER_hh_tes_in!J8=0,"",SER_hh_tes_in!J8/SER_hh_fec_in!J8)</f>
        <v/>
      </c>
      <c r="K8" s="136" t="str">
        <f>IF(SER_hh_tes_in!K8=0,"",SER_hh_tes_in!K8/SER_hh_fec_in!K8)</f>
        <v/>
      </c>
      <c r="L8" s="136" t="str">
        <f>IF(SER_hh_tes_in!L8=0,"",SER_hh_tes_in!L8/SER_hh_fec_in!L8)</f>
        <v/>
      </c>
      <c r="M8" s="136" t="str">
        <f>IF(SER_hh_tes_in!M8=0,"",SER_hh_tes_in!M8/SER_hh_fec_in!M8)</f>
        <v/>
      </c>
      <c r="N8" s="136" t="str">
        <f>IF(SER_hh_tes_in!N8=0,"",SER_hh_tes_in!N8/SER_hh_fec_in!N8)</f>
        <v/>
      </c>
      <c r="O8" s="136" t="str">
        <f>IF(SER_hh_tes_in!O8=0,"",SER_hh_tes_in!O8/SER_hh_fec_in!O8)</f>
        <v/>
      </c>
      <c r="P8" s="136" t="str">
        <f>IF(SER_hh_tes_in!P8=0,"",SER_hh_tes_in!P8/SER_hh_fec_in!P8)</f>
        <v/>
      </c>
      <c r="Q8" s="136" t="str">
        <f>IF(SER_hh_tes_in!Q8=0,"",SER_hh_tes_in!Q8/SER_hh_fec_in!Q8)</f>
        <v/>
      </c>
      <c r="R8" s="136" t="str">
        <f>IF(SER_hh_tes_in!R8=0,"",SER_hh_tes_in!R8/SER_hh_fec_in!R8)</f>
        <v/>
      </c>
      <c r="S8" s="136" t="str">
        <f>IF(SER_hh_tes_in!S8=0,"",SER_hh_tes_in!S8/SER_hh_fec_in!S8)</f>
        <v/>
      </c>
      <c r="T8" s="136" t="str">
        <f>IF(SER_hh_tes_in!T8=0,"",SER_hh_tes_in!T8/SER_hh_fec_in!T8)</f>
        <v/>
      </c>
      <c r="U8" s="136" t="str">
        <f>IF(SER_hh_tes_in!U8=0,"",SER_hh_tes_in!U8/SER_hh_fec_in!U8)</f>
        <v/>
      </c>
      <c r="V8" s="136" t="str">
        <f>IF(SER_hh_tes_in!V8=0,"",SER_hh_tes_in!V8/SER_hh_fec_in!V8)</f>
        <v/>
      </c>
      <c r="W8" s="136" t="str">
        <f>IF(SER_hh_tes_in!W8=0,"",SER_hh_tes_in!W8/SER_hh_fec_in!W8)</f>
        <v/>
      </c>
      <c r="X8" s="136" t="str">
        <f>IF(SER_hh_tes_in!X8=0,"",SER_hh_tes_in!X8/SER_hh_fec_in!X8)</f>
        <v/>
      </c>
      <c r="Y8" s="136" t="str">
        <f>IF(SER_hh_tes_in!Y8=0,"",SER_hh_tes_in!Y8/SER_hh_fec_in!Y8)</f>
        <v/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0.56081390093678363</v>
      </c>
      <c r="D9" s="136">
        <f>IF(SER_hh_tes_in!D9=0,"",SER_hh_tes_in!D9/SER_hh_fec_in!D9)</f>
        <v>0.56548085603466602</v>
      </c>
      <c r="E9" s="136" t="str">
        <f>IF(SER_hh_tes_in!E9=0,"",SER_hh_tes_in!E9/SER_hh_fec_in!E9)</f>
        <v/>
      </c>
      <c r="F9" s="136">
        <f>IF(SER_hh_tes_in!F9=0,"",SER_hh_tes_in!F9/SER_hh_fec_in!F9)</f>
        <v>0.57538378796991974</v>
      </c>
      <c r="G9" s="136">
        <f>IF(SER_hh_tes_in!G9=0,"",SER_hh_tes_in!G9/SER_hh_fec_in!G9)</f>
        <v>0.58058909316487373</v>
      </c>
      <c r="H9" s="136">
        <f>IF(SER_hh_tes_in!H9=0,"",SER_hh_tes_in!H9/SER_hh_fec_in!H9)</f>
        <v>0.58602140634690114</v>
      </c>
      <c r="I9" s="136">
        <f>IF(SER_hh_tes_in!I9=0,"",SER_hh_tes_in!I9/SER_hh_fec_in!I9)</f>
        <v>0.59174840005710538</v>
      </c>
      <c r="J9" s="136">
        <f>IF(SER_hh_tes_in!J9=0,"",SER_hh_tes_in!J9/SER_hh_fec_in!J9)</f>
        <v>0.59805083682746829</v>
      </c>
      <c r="K9" s="136">
        <f>IF(SER_hh_tes_in!K9=0,"",SER_hh_tes_in!K9/SER_hh_fec_in!K9)</f>
        <v>0.60516512334993178</v>
      </c>
      <c r="L9" s="136">
        <f>IF(SER_hh_tes_in!L9=0,"",SER_hh_tes_in!L9/SER_hh_fec_in!L9)</f>
        <v>0.61315028126896454</v>
      </c>
      <c r="M9" s="136">
        <f>IF(SER_hh_tes_in!M9=0,"",SER_hh_tes_in!M9/SER_hh_fec_in!M9)</f>
        <v>0.62792026278633506</v>
      </c>
      <c r="N9" s="136">
        <f>IF(SER_hh_tes_in!N9=0,"",SER_hh_tes_in!N9/SER_hh_fec_in!N9)</f>
        <v>0.65131420025200315</v>
      </c>
      <c r="O9" s="136">
        <f>IF(SER_hh_tes_in!O9=0,"",SER_hh_tes_in!O9/SER_hh_fec_in!O9)</f>
        <v>0.6845553094788398</v>
      </c>
      <c r="P9" s="136">
        <f>IF(SER_hh_tes_in!P9=0,"",SER_hh_tes_in!P9/SER_hh_fec_in!P9)</f>
        <v>0.72370070625618588</v>
      </c>
      <c r="Q9" s="136">
        <f>IF(SER_hh_tes_in!Q9=0,"",SER_hh_tes_in!Q9/SER_hh_fec_in!Q9)</f>
        <v>0.75669492643369152</v>
      </c>
      <c r="R9" s="136">
        <f>IF(SER_hh_tes_in!R9=0,"",SER_hh_tes_in!R9/SER_hh_fec_in!R9)</f>
        <v>0.77342055353165307</v>
      </c>
      <c r="S9" s="136" t="str">
        <f>IF(SER_hh_tes_in!S9=0,"",SER_hh_tes_in!S9/SER_hh_fec_in!S9)</f>
        <v/>
      </c>
      <c r="T9" s="136" t="str">
        <f>IF(SER_hh_tes_in!T9=0,"",SER_hh_tes_in!T9/SER_hh_fec_in!T9)</f>
        <v/>
      </c>
      <c r="U9" s="136">
        <f>IF(SER_hh_tes_in!U9=0,"",SER_hh_tes_in!U9/SER_hh_fec_in!U9)</f>
        <v>0.80555988089435238</v>
      </c>
      <c r="V9" s="136">
        <f>IF(SER_hh_tes_in!V9=0,"",SER_hh_tes_in!V9/SER_hh_fec_in!V9)</f>
        <v>0.81372084142897771</v>
      </c>
      <c r="W9" s="136">
        <f>IF(SER_hh_tes_in!W9=0,"",SER_hh_tes_in!W9/SER_hh_fec_in!W9)</f>
        <v>0.81979086280963853</v>
      </c>
      <c r="X9" s="136">
        <f>IF(SER_hh_tes_in!X9=0,"",SER_hh_tes_in!X9/SER_hh_fec_in!X9)</f>
        <v>0.82362262351037263</v>
      </c>
      <c r="Y9" s="136">
        <f>IF(SER_hh_tes_in!Y9=0,"",SER_hh_tes_in!Y9/SER_hh_fec_in!Y9)</f>
        <v>0.82623823001353036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0.6573978310120725</v>
      </c>
      <c r="D10" s="136">
        <f>IF(SER_hh_tes_in!D10=0,"",SER_hh_tes_in!D10/SER_hh_fec_in!D10)</f>
        <v>0.65772987838768437</v>
      </c>
      <c r="E10" s="136" t="str">
        <f>IF(SER_hh_tes_in!E10=0,"",SER_hh_tes_in!E10/SER_hh_fec_in!E10)</f>
        <v/>
      </c>
      <c r="F10" s="136" t="str">
        <f>IF(SER_hh_tes_in!F10=0,"",SER_hh_tes_in!F10/SER_hh_fec_in!F10)</f>
        <v/>
      </c>
      <c r="G10" s="136" t="str">
        <f>IF(SER_hh_tes_in!G10=0,"",SER_hh_tes_in!G10/SER_hh_fec_in!G10)</f>
        <v/>
      </c>
      <c r="H10" s="136" t="str">
        <f>IF(SER_hh_tes_in!H10=0,"",SER_hh_tes_in!H10/SER_hh_fec_in!H10)</f>
        <v/>
      </c>
      <c r="I10" s="136">
        <f>IF(SER_hh_tes_in!I10=0,"",SER_hh_tes_in!I10/SER_hh_fec_in!I10)</f>
        <v>0.65943055490039848</v>
      </c>
      <c r="J10" s="136">
        <f>IF(SER_hh_tes_in!J10=0,"",SER_hh_tes_in!J10/SER_hh_fec_in!J10)</f>
        <v>0.65977526142362575</v>
      </c>
      <c r="K10" s="136">
        <f>IF(SER_hh_tes_in!K10=0,"",SER_hh_tes_in!K10/SER_hh_fec_in!K10)</f>
        <v>0.6601189575807932</v>
      </c>
      <c r="L10" s="136">
        <f>IF(SER_hh_tes_in!L10=0,"",SER_hh_tes_in!L10/SER_hh_fec_in!L10)</f>
        <v>0.66046032985761716</v>
      </c>
      <c r="M10" s="136">
        <f>IF(SER_hh_tes_in!M10=0,"",SER_hh_tes_in!M10/SER_hh_fec_in!M10)</f>
        <v>0.66077390837357641</v>
      </c>
      <c r="N10" s="136">
        <f>IF(SER_hh_tes_in!N10=0,"",SER_hh_tes_in!N10/SER_hh_fec_in!N10)</f>
        <v>0.66104575649919772</v>
      </c>
      <c r="O10" s="136">
        <f>IF(SER_hh_tes_in!O10=0,"",SER_hh_tes_in!O10/SER_hh_fec_in!O10)</f>
        <v>0.66126782506911608</v>
      </c>
      <c r="P10" s="136">
        <f>IF(SER_hh_tes_in!P10=0,"",SER_hh_tes_in!P10/SER_hh_fec_in!P10)</f>
        <v>0.6614593519066978</v>
      </c>
      <c r="Q10" s="136">
        <f>IF(SER_hh_tes_in!Q10=0,"",SER_hh_tes_in!Q10/SER_hh_fec_in!Q10)</f>
        <v>0.66168787923262518</v>
      </c>
      <c r="R10" s="136" t="str">
        <f>IF(SER_hh_tes_in!R10=0,"",SER_hh_tes_in!R10/SER_hh_fec_in!R10)</f>
        <v/>
      </c>
      <c r="S10" s="136" t="str">
        <f>IF(SER_hh_tes_in!S10=0,"",SER_hh_tes_in!S10/SER_hh_fec_in!S10)</f>
        <v/>
      </c>
      <c r="T10" s="136" t="str">
        <f>IF(SER_hh_tes_in!T10=0,"",SER_hh_tes_in!T10/SER_hh_fec_in!T10)</f>
        <v/>
      </c>
      <c r="U10" s="136" t="str">
        <f>IF(SER_hh_tes_in!U10=0,"",SER_hh_tes_in!U10/SER_hh_fec_in!U10)</f>
        <v/>
      </c>
      <c r="V10" s="136">
        <f>IF(SER_hh_tes_in!V10=0,"",SER_hh_tes_in!V10/SER_hh_fec_in!V10)</f>
        <v>0.66346413308030738</v>
      </c>
      <c r="W10" s="136">
        <f>IF(SER_hh_tes_in!W10=0,"",SER_hh_tes_in!W10/SER_hh_fec_in!W10)</f>
        <v>0.6637060258122649</v>
      </c>
      <c r="X10" s="136">
        <f>IF(SER_hh_tes_in!X10=0,"",SER_hh_tes_in!X10/SER_hh_fec_in!X10)</f>
        <v>0.67008848629478235</v>
      </c>
      <c r="Y10" s="136">
        <f>IF(SER_hh_tes_in!Y10=0,"",SER_hh_tes_in!Y10/SER_hh_fec_in!Y10)</f>
        <v>0.67610333939218914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 t="str">
        <f>IF(SER_hh_tes_in!I11=0,"",SER_hh_tes_in!I11/SER_hh_fec_in!I11)</f>
        <v/>
      </c>
      <c r="J11" s="136" t="str">
        <f>IF(SER_hh_tes_in!J11=0,"",SER_hh_tes_in!J11/SER_hh_fec_in!J11)</f>
        <v/>
      </c>
      <c r="K11" s="136" t="str">
        <f>IF(SER_hh_tes_in!K11=0,"",SER_hh_tes_in!K11/SER_hh_fec_in!K11)</f>
        <v/>
      </c>
      <c r="L11" s="136" t="str">
        <f>IF(SER_hh_tes_in!L11=0,"",SER_hh_tes_in!L11/SER_hh_fec_in!L11)</f>
        <v/>
      </c>
      <c r="M11" s="136" t="str">
        <f>IF(SER_hh_tes_in!M11=0,"",SER_hh_tes_in!M11/SER_hh_fec_in!M11)</f>
        <v/>
      </c>
      <c r="N11" s="136" t="str">
        <f>IF(SER_hh_tes_in!N11=0,"",SER_hh_tes_in!N11/SER_hh_fec_in!N11)</f>
        <v/>
      </c>
      <c r="O11" s="136" t="str">
        <f>IF(SER_hh_tes_in!O11=0,"",SER_hh_tes_in!O11/SER_hh_fec_in!O11)</f>
        <v/>
      </c>
      <c r="P11" s="136" t="str">
        <f>IF(SER_hh_tes_in!P11=0,"",SER_hh_tes_in!P11/SER_hh_fec_in!P11)</f>
        <v/>
      </c>
      <c r="Q11" s="136" t="str">
        <f>IF(SER_hh_tes_in!Q11=0,"",SER_hh_tes_in!Q11/SER_hh_fec_in!Q11)</f>
        <v/>
      </c>
      <c r="R11" s="136" t="str">
        <f>IF(SER_hh_tes_in!R11=0,"",SER_hh_tes_in!R11/SER_hh_fec_in!R11)</f>
        <v/>
      </c>
      <c r="S11" s="136" t="str">
        <f>IF(SER_hh_tes_in!S11=0,"",SER_hh_tes_in!S11/SER_hh_fec_in!S11)</f>
        <v/>
      </c>
      <c r="T11" s="136" t="str">
        <f>IF(SER_hh_tes_in!T11=0,"",SER_hh_tes_in!T11/SER_hh_fec_in!T11)</f>
        <v/>
      </c>
      <c r="U11" s="136" t="str">
        <f>IF(SER_hh_tes_in!U11=0,"",SER_hh_tes_in!U11/SER_hh_fec_in!U11)</f>
        <v/>
      </c>
      <c r="V11" s="136" t="str">
        <f>IF(SER_hh_tes_in!V11=0,"",SER_hh_tes_in!V11/SER_hh_fec_in!V11)</f>
        <v/>
      </c>
      <c r="W11" s="136" t="str">
        <f>IF(SER_hh_tes_in!W11=0,"",SER_hh_tes_in!W11/SER_hh_fec_in!W11)</f>
        <v/>
      </c>
      <c r="X11" s="136" t="str">
        <f>IF(SER_hh_tes_in!X11=0,"",SER_hh_tes_in!X11/SER_hh_fec_in!X11)</f>
        <v/>
      </c>
      <c r="Y11" s="136" t="str">
        <f>IF(SER_hh_tes_in!Y11=0,"",SER_hh_tes_in!Y11/SER_hh_fec_in!Y11)</f>
        <v/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0.83274432750848959</v>
      </c>
      <c r="D12" s="136">
        <f>IF(SER_hh_tes_in!D12=0,"",SER_hh_tes_in!D12/SER_hh_fec_in!D12)</f>
        <v>0.83438583381361808</v>
      </c>
      <c r="E12" s="136">
        <f>IF(SER_hh_tes_in!E12=0,"",SER_hh_tes_in!E12/SER_hh_fec_in!E12)</f>
        <v>0.836071656506436</v>
      </c>
      <c r="F12" s="136">
        <f>IF(SER_hh_tes_in!F12=0,"",SER_hh_tes_in!F12/SER_hh_fec_in!F12)</f>
        <v>0.83776352234302931</v>
      </c>
      <c r="G12" s="136">
        <f>IF(SER_hh_tes_in!G12=0,"",SER_hh_tes_in!G12/SER_hh_fec_in!G12)</f>
        <v>0.83949620096603705</v>
      </c>
      <c r="H12" s="136">
        <f>IF(SER_hh_tes_in!H12=0,"",SER_hh_tes_in!H12/SER_hh_fec_in!H12)</f>
        <v>0.84126543701384282</v>
      </c>
      <c r="I12" s="136" t="str">
        <f>IF(SER_hh_tes_in!I12=0,"",SER_hh_tes_in!I12/SER_hh_fec_in!I12)</f>
        <v/>
      </c>
      <c r="J12" s="136" t="str">
        <f>IF(SER_hh_tes_in!J12=0,"",SER_hh_tes_in!J12/SER_hh_fec_in!J12)</f>
        <v/>
      </c>
      <c r="K12" s="136">
        <f>IF(SER_hh_tes_in!K12=0,"",SER_hh_tes_in!K12/SER_hh_fec_in!K12)</f>
        <v>0.84697902568811023</v>
      </c>
      <c r="L12" s="136">
        <f>IF(SER_hh_tes_in!L12=0,"",SER_hh_tes_in!L12/SER_hh_fec_in!L12)</f>
        <v>0.84910171844945637</v>
      </c>
      <c r="M12" s="136">
        <f>IF(SER_hh_tes_in!M12=0,"",SER_hh_tes_in!M12/SER_hh_fec_in!M12)</f>
        <v>0.85204085157659692</v>
      </c>
      <c r="N12" s="136">
        <f>IF(SER_hh_tes_in!N12=0,"",SER_hh_tes_in!N12/SER_hh_fec_in!N12)</f>
        <v>0.85601723948607444</v>
      </c>
      <c r="O12" s="136">
        <f>IF(SER_hh_tes_in!O12=0,"",SER_hh_tes_in!O12/SER_hh_fec_in!O12)</f>
        <v>0.86122445284610849</v>
      </c>
      <c r="P12" s="136">
        <f>IF(SER_hh_tes_in!P12=0,"",SER_hh_tes_in!P12/SER_hh_fec_in!P12)</f>
        <v>0.86729420926835876</v>
      </c>
      <c r="Q12" s="136">
        <f>IF(SER_hh_tes_in!Q12=0,"",SER_hh_tes_in!Q12/SER_hh_fec_in!Q12)</f>
        <v>0.873020885187617</v>
      </c>
      <c r="R12" s="136">
        <f>IF(SER_hh_tes_in!R12=0,"",SER_hh_tes_in!R12/SER_hh_fec_in!R12)</f>
        <v>0.87740904581176815</v>
      </c>
      <c r="S12" s="136">
        <f>IF(SER_hh_tes_in!S12=0,"",SER_hh_tes_in!S12/SER_hh_fec_in!S12)</f>
        <v>0.8816779925376953</v>
      </c>
      <c r="T12" s="136">
        <f>IF(SER_hh_tes_in!T12=0,"",SER_hh_tes_in!T12/SER_hh_fec_in!T12)</f>
        <v>0.88579920209379548</v>
      </c>
      <c r="U12" s="136">
        <f>IF(SER_hh_tes_in!U12=0,"",SER_hh_tes_in!U12/SER_hh_fec_in!U12)</f>
        <v>0.88974415120847949</v>
      </c>
      <c r="V12" s="136">
        <f>IF(SER_hh_tes_in!V12=0,"",SER_hh_tes_in!V12/SER_hh_fec_in!V12)</f>
        <v>0.8934843166101526</v>
      </c>
      <c r="W12" s="136">
        <f>IF(SER_hh_tes_in!W12=0,"",SER_hh_tes_in!W12/SER_hh_fec_in!W12)</f>
        <v>0.89692972984387842</v>
      </c>
      <c r="X12" s="136">
        <f>IF(SER_hh_tes_in!X12=0,"",SER_hh_tes_in!X12/SER_hh_fec_in!X12)</f>
        <v>0.90170386629017318</v>
      </c>
      <c r="Y12" s="136">
        <f>IF(SER_hh_tes_in!Y12=0,"",SER_hh_tes_in!Y12/SER_hh_fec_in!Y12)</f>
        <v>0.90629155112413662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 t="str">
        <f>IF(SER_hh_tes_in!C13=0,"",SER_hh_tes_in!C13/SER_hh_fec_in!C13)</f>
        <v/>
      </c>
      <c r="D13" s="136" t="str">
        <f>IF(SER_hh_tes_in!D13=0,"",SER_hh_tes_in!D13/SER_hh_fec_in!D13)</f>
        <v/>
      </c>
      <c r="E13" s="136" t="str">
        <f>IF(SER_hh_tes_in!E13=0,"",SER_hh_tes_in!E13/SER_hh_fec_in!E13)</f>
        <v/>
      </c>
      <c r="F13" s="136" t="str">
        <f>IF(SER_hh_tes_in!F13=0,"",SER_hh_tes_in!F13/SER_hh_fec_in!F13)</f>
        <v/>
      </c>
      <c r="G13" s="136" t="str">
        <f>IF(SER_hh_tes_in!G13=0,"",SER_hh_tes_in!G13/SER_hh_fec_in!G13)</f>
        <v/>
      </c>
      <c r="H13" s="136" t="str">
        <f>IF(SER_hh_tes_in!H13=0,"",SER_hh_tes_in!H13/SER_hh_fec_in!H13)</f>
        <v/>
      </c>
      <c r="I13" s="136" t="str">
        <f>IF(SER_hh_tes_in!I13=0,"",SER_hh_tes_in!I13/SER_hh_fec_in!I13)</f>
        <v/>
      </c>
      <c r="J13" s="136" t="str">
        <f>IF(SER_hh_tes_in!J13=0,"",SER_hh_tes_in!J13/SER_hh_fec_in!J13)</f>
        <v/>
      </c>
      <c r="K13" s="136" t="str">
        <f>IF(SER_hh_tes_in!K13=0,"",SER_hh_tes_in!K13/SER_hh_fec_in!K13)</f>
        <v/>
      </c>
      <c r="L13" s="136" t="str">
        <f>IF(SER_hh_tes_in!L13=0,"",SER_hh_tes_in!L13/SER_hh_fec_in!L13)</f>
        <v/>
      </c>
      <c r="M13" s="136" t="str">
        <f>IF(SER_hh_tes_in!M13=0,"",SER_hh_tes_in!M13/SER_hh_fec_in!M13)</f>
        <v/>
      </c>
      <c r="N13" s="136" t="str">
        <f>IF(SER_hh_tes_in!N13=0,"",SER_hh_tes_in!N13/SER_hh_fec_in!N13)</f>
        <v/>
      </c>
      <c r="O13" s="136" t="str">
        <f>IF(SER_hh_tes_in!O13=0,"",SER_hh_tes_in!O13/SER_hh_fec_in!O13)</f>
        <v/>
      </c>
      <c r="P13" s="136" t="str">
        <f>IF(SER_hh_tes_in!P13=0,"",SER_hh_tes_in!P13/SER_hh_fec_in!P13)</f>
        <v/>
      </c>
      <c r="Q13" s="136" t="str">
        <f>IF(SER_hh_tes_in!Q13=0,"",SER_hh_tes_in!Q13/SER_hh_fec_in!Q13)</f>
        <v/>
      </c>
      <c r="R13" s="136" t="str">
        <f>IF(SER_hh_tes_in!R13=0,"",SER_hh_tes_in!R13/SER_hh_fec_in!R13)</f>
        <v/>
      </c>
      <c r="S13" s="136" t="str">
        <f>IF(SER_hh_tes_in!S13=0,"",SER_hh_tes_in!S13/SER_hh_fec_in!S13)</f>
        <v/>
      </c>
      <c r="T13" s="136" t="str">
        <f>IF(SER_hh_tes_in!T13=0,"",SER_hh_tes_in!T13/SER_hh_fec_in!T13)</f>
        <v/>
      </c>
      <c r="U13" s="136" t="str">
        <f>IF(SER_hh_tes_in!U13=0,"",SER_hh_tes_in!U13/SER_hh_fec_in!U13)</f>
        <v/>
      </c>
      <c r="V13" s="136" t="str">
        <f>IF(SER_hh_tes_in!V13=0,"",SER_hh_tes_in!V13/SER_hh_fec_in!V13)</f>
        <v/>
      </c>
      <c r="W13" s="136" t="str">
        <f>IF(SER_hh_tes_in!W13=0,"",SER_hh_tes_in!W13/SER_hh_fec_in!W13)</f>
        <v/>
      </c>
      <c r="X13" s="136" t="str">
        <f>IF(SER_hh_tes_in!X13=0,"",SER_hh_tes_in!X13/SER_hh_fec_in!X13)</f>
        <v/>
      </c>
      <c r="Y13" s="136" t="str">
        <f>IF(SER_hh_tes_in!Y13=0,"",SER_hh_tes_in!Y13/SER_hh_fec_in!Y13)</f>
        <v/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0.75470586401465922</v>
      </c>
      <c r="D14" s="137" t="str">
        <f>IF(SER_hh_tes_in!D14=0,"",SER_hh_tes_in!D14/SER_hh_fec_in!D14)</f>
        <v/>
      </c>
      <c r="E14" s="137" t="str">
        <f>IF(SER_hh_tes_in!E14=0,"",SER_hh_tes_in!E14/SER_hh_fec_in!E14)</f>
        <v/>
      </c>
      <c r="F14" s="137">
        <f>IF(SER_hh_tes_in!F14=0,"",SER_hh_tes_in!F14/SER_hh_fec_in!F14)</f>
        <v>0.76408850791577243</v>
      </c>
      <c r="G14" s="137">
        <f>IF(SER_hh_tes_in!G14=0,"",SER_hh_tes_in!G14/SER_hh_fec_in!G14)</f>
        <v>0.76720411691311263</v>
      </c>
      <c r="H14" s="137">
        <f>IF(SER_hh_tes_in!H14=0,"",SER_hh_tes_in!H14/SER_hh_fec_in!H14)</f>
        <v>0.77031251790936972</v>
      </c>
      <c r="I14" s="137">
        <f>IF(SER_hh_tes_in!I14=0,"",SER_hh_tes_in!I14/SER_hh_fec_in!I14)</f>
        <v>0.7734121266428774</v>
      </c>
      <c r="J14" s="137">
        <f>IF(SER_hh_tes_in!J14=0,"",SER_hh_tes_in!J14/SER_hh_fec_in!J14)</f>
        <v>0.77649639535340331</v>
      </c>
      <c r="K14" s="137">
        <f>IF(SER_hh_tes_in!K14=0,"",SER_hh_tes_in!K14/SER_hh_fec_in!K14)</f>
        <v>0.77955979979034995</v>
      </c>
      <c r="L14" s="137">
        <f>IF(SER_hh_tes_in!L14=0,"",SER_hh_tes_in!L14/SER_hh_fec_in!L14)</f>
        <v>0.78260094253957813</v>
      </c>
      <c r="M14" s="137">
        <f>IF(SER_hh_tes_in!M14=0,"",SER_hh_tes_in!M14/SER_hh_fec_in!M14)</f>
        <v>0.78506031902513407</v>
      </c>
      <c r="N14" s="137">
        <f>IF(SER_hh_tes_in!N14=0,"",SER_hh_tes_in!N14/SER_hh_fec_in!N14)</f>
        <v>0.78673577772597125</v>
      </c>
      <c r="O14" s="137">
        <f>IF(SER_hh_tes_in!O14=0,"",SER_hh_tes_in!O14/SER_hh_fec_in!O14)</f>
        <v>0.78789465213968846</v>
      </c>
      <c r="P14" s="137" t="str">
        <f>IF(SER_hh_tes_in!P14=0,"",SER_hh_tes_in!P14/SER_hh_fec_in!P14)</f>
        <v/>
      </c>
      <c r="Q14" s="137" t="str">
        <f>IF(SER_hh_tes_in!Q14=0,"",SER_hh_tes_in!Q14/SER_hh_fec_in!Q14)</f>
        <v/>
      </c>
      <c r="R14" s="137">
        <f>IF(SER_hh_tes_in!R14=0,"",SER_hh_tes_in!R14/SER_hh_fec_in!R14)</f>
        <v>0.80861297145248301</v>
      </c>
      <c r="S14" s="137">
        <f>IF(SER_hh_tes_in!S14=0,"",SER_hh_tes_in!S14/SER_hh_fec_in!S14)</f>
        <v>0.82645961452095262</v>
      </c>
      <c r="T14" s="137">
        <f>IF(SER_hh_tes_in!T14=0,"",SER_hh_tes_in!T14/SER_hh_fec_in!T14)</f>
        <v>0.8464532864162263</v>
      </c>
      <c r="U14" s="137">
        <f>IF(SER_hh_tes_in!U14=0,"",SER_hh_tes_in!U14/SER_hh_fec_in!U14)</f>
        <v>0.86616415722168183</v>
      </c>
      <c r="V14" s="137">
        <f>IF(SER_hh_tes_in!V14=0,"",SER_hh_tes_in!V14/SER_hh_fec_in!V14)</f>
        <v>0.88316000454206922</v>
      </c>
      <c r="W14" s="137">
        <f>IF(SER_hh_tes_in!W14=0,"",SER_hh_tes_in!W14/SER_hh_fec_in!W14)</f>
        <v>0.89695977618186018</v>
      </c>
      <c r="X14" s="137" t="str">
        <f>IF(SER_hh_tes_in!X14=0,"",SER_hh_tes_in!X14/SER_hh_fec_in!X14)</f>
        <v/>
      </c>
      <c r="Y14" s="137">
        <f>IF(SER_hh_tes_in!Y14=0,"",SER_hh_tes_in!Y14/SER_hh_fec_in!Y14)</f>
        <v>0.92584110018942578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2.4297595283719935</v>
      </c>
      <c r="D16" s="135">
        <f>IF(SER_hh_tes_in!D16=0,"",SER_hh_tes_in!D16/SER_hh_fec_in!D16)</f>
        <v>2.53101093913474</v>
      </c>
      <c r="E16" s="135">
        <f>IF(SER_hh_tes_in!E16=0,"",SER_hh_tes_in!E16/SER_hh_fec_in!E16)</f>
        <v>2.6620875670291442</v>
      </c>
      <c r="F16" s="135">
        <f>IF(SER_hh_tes_in!F16=0,"",SER_hh_tes_in!F16/SER_hh_fec_in!F16)</f>
        <v>2.7215636541441786</v>
      </c>
      <c r="G16" s="135">
        <f>IF(SER_hh_tes_in!G16=0,"",SER_hh_tes_in!G16/SER_hh_fec_in!G16)</f>
        <v>2.873328758390874</v>
      </c>
      <c r="H16" s="135">
        <f>IF(SER_hh_tes_in!H16=0,"",SER_hh_tes_in!H16/SER_hh_fec_in!H16)</f>
        <v>2.9752757438396964</v>
      </c>
      <c r="I16" s="135">
        <f>IF(SER_hh_tes_in!I16=0,"",SER_hh_tes_in!I16/SER_hh_fec_in!I16)</f>
        <v>3.0612330074948946</v>
      </c>
      <c r="J16" s="135">
        <f>IF(SER_hh_tes_in!J16=0,"",SER_hh_tes_in!J16/SER_hh_fec_in!J16)</f>
        <v>3.2056992376160274</v>
      </c>
      <c r="K16" s="135">
        <f>IF(SER_hh_tes_in!K16=0,"",SER_hh_tes_in!K16/SER_hh_fec_in!K16)</f>
        <v>3.3002685882277789</v>
      </c>
      <c r="L16" s="135">
        <f>IF(SER_hh_tes_in!L16=0,"",SER_hh_tes_in!L16/SER_hh_fec_in!L16)</f>
        <v>3.438709570956247</v>
      </c>
      <c r="M16" s="135">
        <f>IF(SER_hh_tes_in!M16=0,"",SER_hh_tes_in!M16/SER_hh_fec_in!M16)</f>
        <v>3.5563683910906883</v>
      </c>
      <c r="N16" s="135">
        <f>IF(SER_hh_tes_in!N16=0,"",SER_hh_tes_in!N16/SER_hh_fec_in!N16)</f>
        <v>3.7160722846794685</v>
      </c>
      <c r="O16" s="135">
        <f>IF(SER_hh_tes_in!O16=0,"",SER_hh_tes_in!O16/SER_hh_fec_in!O16)</f>
        <v>3.8351959344655175</v>
      </c>
      <c r="P16" s="135">
        <f>IF(SER_hh_tes_in!P16=0,"",SER_hh_tes_in!P16/SER_hh_fec_in!P16)</f>
        <v>3.9064372101259841</v>
      </c>
      <c r="Q16" s="135">
        <f>IF(SER_hh_tes_in!Q16=0,"",SER_hh_tes_in!Q16/SER_hh_fec_in!Q16)</f>
        <v>4.0878958048511729</v>
      </c>
      <c r="R16" s="135">
        <f>IF(SER_hh_tes_in!R16=0,"",SER_hh_tes_in!R16/SER_hh_fec_in!R16)</f>
        <v>3.9533150880665913</v>
      </c>
      <c r="S16" s="135">
        <f>IF(SER_hh_tes_in!S16=0,"",SER_hh_tes_in!S16/SER_hh_fec_in!S16)</f>
        <v>4.2060080653421927</v>
      </c>
      <c r="T16" s="135">
        <f>IF(SER_hh_tes_in!T16=0,"",SER_hh_tes_in!T16/SER_hh_fec_in!T16)</f>
        <v>4.4020542547585606</v>
      </c>
      <c r="U16" s="135">
        <f>IF(SER_hh_tes_in!U16=0,"",SER_hh_tes_in!U16/SER_hh_fec_in!U16)</f>
        <v>4.3066784696110174</v>
      </c>
      <c r="V16" s="135">
        <f>IF(SER_hh_tes_in!V16=0,"",SER_hh_tes_in!V16/SER_hh_fec_in!V16)</f>
        <v>4.3324629546395705</v>
      </c>
      <c r="W16" s="135">
        <f>IF(SER_hh_tes_in!W16=0,"",SER_hh_tes_in!W16/SER_hh_fec_in!W16)</f>
        <v>4.2941033986727488</v>
      </c>
      <c r="X16" s="135">
        <f>IF(SER_hh_tes_in!X16=0,"",SER_hh_tes_in!X16/SER_hh_fec_in!X16)</f>
        <v>4.3973011531445856</v>
      </c>
      <c r="Y16" s="135">
        <f>IF(SER_hh_tes_in!Y16=0,"",SER_hh_tes_in!Y16/SER_hh_fec_in!Y16)</f>
        <v>4.400586358368531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>
        <f>IF(SER_hh_tes_in!C17=0,"",SER_hh_tes_in!C17/SER_hh_fec_in!C17)</f>
        <v>1.2089926003431881</v>
      </c>
      <c r="D17" s="136">
        <f>IF(SER_hh_tes_in!D17=0,"",SER_hh_tes_in!D17/SER_hh_fec_in!D17)</f>
        <v>1.2298193896925202</v>
      </c>
      <c r="E17" s="136" t="str">
        <f>IF(SER_hh_tes_in!E17=0,"",SER_hh_tes_in!E17/SER_hh_fec_in!E17)</f>
        <v/>
      </c>
      <c r="F17" s="136">
        <f>IF(SER_hh_tes_in!F17=0,"",SER_hh_tes_in!F17/SER_hh_fec_in!F17)</f>
        <v>1.2702544612407518</v>
      </c>
      <c r="G17" s="136">
        <f>IF(SER_hh_tes_in!G17=0,"",SER_hh_tes_in!G17/SER_hh_fec_in!G17)</f>
        <v>1.2899030290923303</v>
      </c>
      <c r="H17" s="136">
        <f>IF(SER_hh_tes_in!H17=0,"",SER_hh_tes_in!H17/SER_hh_fec_in!H17)</f>
        <v>1.3092394036704293</v>
      </c>
      <c r="I17" s="136">
        <f>IF(SER_hh_tes_in!I17=0,"",SER_hh_tes_in!I17/SER_hh_fec_in!I17)</f>
        <v>1.3283187681829185</v>
      </c>
      <c r="J17" s="136">
        <f>IF(SER_hh_tes_in!J17=0,"",SER_hh_tes_in!J17/SER_hh_fec_in!J17)</f>
        <v>1.3472928640920636</v>
      </c>
      <c r="K17" s="136">
        <f>IF(SER_hh_tes_in!K17=0,"",SER_hh_tes_in!K17/SER_hh_fec_in!K17)</f>
        <v>1.3662822053707397</v>
      </c>
      <c r="L17" s="136">
        <f>IF(SER_hh_tes_in!L17=0,"",SER_hh_tes_in!L17/SER_hh_fec_in!L17)</f>
        <v>1.3853173737316797</v>
      </c>
      <c r="M17" s="136">
        <f>IF(SER_hh_tes_in!M17=0,"",SER_hh_tes_in!M17/SER_hh_fec_in!M17)</f>
        <v>1.4074140704841602</v>
      </c>
      <c r="N17" s="136">
        <f>IF(SER_hh_tes_in!N17=0,"",SER_hh_tes_in!N17/SER_hh_fec_in!N17)</f>
        <v>1.4325948681191132</v>
      </c>
      <c r="O17" s="136">
        <f>IF(SER_hh_tes_in!O17=0,"",SER_hh_tes_in!O17/SER_hh_fec_in!O17)</f>
        <v>1.4603467757106476</v>
      </c>
      <c r="P17" s="136">
        <f>IF(SER_hh_tes_in!P17=0,"",SER_hh_tes_in!P17/SER_hh_fec_in!P17)</f>
        <v>1.4877981887150931</v>
      </c>
      <c r="Q17" s="136">
        <f>IF(SER_hh_tes_in!Q17=0,"",SER_hh_tes_in!Q17/SER_hh_fec_in!Q17)</f>
        <v>1.5084884044250819</v>
      </c>
      <c r="R17" s="136">
        <f>IF(SER_hh_tes_in!R17=0,"",SER_hh_tes_in!R17/SER_hh_fec_in!R17)</f>
        <v>1.5332582288582646</v>
      </c>
      <c r="S17" s="136">
        <f>IF(SER_hh_tes_in!S17=0,"",SER_hh_tes_in!S17/SER_hh_fec_in!S17)</f>
        <v>1.5639548450111636</v>
      </c>
      <c r="T17" s="136">
        <f>IF(SER_hh_tes_in!T17=0,"",SER_hh_tes_in!T17/SER_hh_fec_in!T17)</f>
        <v>1.5966770042756309</v>
      </c>
      <c r="U17" s="136">
        <f>IF(SER_hh_tes_in!U17=0,"",SER_hh_tes_in!U17/SER_hh_fec_in!U17)</f>
        <v>1.6266074474363164</v>
      </c>
      <c r="V17" s="136">
        <f>IF(SER_hh_tes_in!V17=0,"",SER_hh_tes_in!V17/SER_hh_fec_in!V17)</f>
        <v>1.6537369965717892</v>
      </c>
      <c r="W17" s="136">
        <f>IF(SER_hh_tes_in!W17=0,"",SER_hh_tes_in!W17/SER_hh_fec_in!W17)</f>
        <v>1.674741190616581</v>
      </c>
      <c r="X17" s="136">
        <f>IF(SER_hh_tes_in!X17=0,"",SER_hh_tes_in!X17/SER_hh_fec_in!X17)</f>
        <v>1.6827760243233554</v>
      </c>
      <c r="Y17" s="136">
        <f>IF(SER_hh_tes_in!Y17=0,"",SER_hh_tes_in!Y17/SER_hh_fec_in!Y17)</f>
        <v>1.6840822307129726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2.4420864752354063</v>
      </c>
      <c r="D18" s="136">
        <f>IF(SER_hh_tes_in!D18=0,"",SER_hh_tes_in!D18/SER_hh_fec_in!D18)</f>
        <v>2.5512711913056276</v>
      </c>
      <c r="E18" s="136">
        <f>IF(SER_hh_tes_in!E18=0,"",SER_hh_tes_in!E18/SER_hh_fec_in!E18)</f>
        <v>2.6620875670291442</v>
      </c>
      <c r="F18" s="136">
        <f>IF(SER_hh_tes_in!F18=0,"",SER_hh_tes_in!F18/SER_hh_fec_in!F18)</f>
        <v>2.7737841117924722</v>
      </c>
      <c r="G18" s="136">
        <f>IF(SER_hh_tes_in!G18=0,"",SER_hh_tes_in!G18/SER_hh_fec_in!G18)</f>
        <v>2.8870138077333736</v>
      </c>
      <c r="H18" s="136">
        <f>IF(SER_hh_tes_in!H18=0,"",SER_hh_tes_in!H18/SER_hh_fec_in!H18)</f>
        <v>3.0016749166943653</v>
      </c>
      <c r="I18" s="136">
        <f>IF(SER_hh_tes_in!I18=0,"",SER_hh_tes_in!I18/SER_hh_fec_in!I18)</f>
        <v>3.1179047256717021</v>
      </c>
      <c r="J18" s="136">
        <f>IF(SER_hh_tes_in!J18=0,"",SER_hh_tes_in!J18/SER_hh_fec_in!J18)</f>
        <v>3.2363160581599675</v>
      </c>
      <c r="K18" s="136">
        <f>IF(SER_hh_tes_in!K18=0,"",SER_hh_tes_in!K18/SER_hh_fec_in!K18)</f>
        <v>3.3573942418578167</v>
      </c>
      <c r="L18" s="136">
        <f>IF(SER_hh_tes_in!L18=0,"",SER_hh_tes_in!L18/SER_hh_fec_in!L18)</f>
        <v>3.4812039470972067</v>
      </c>
      <c r="M18" s="136">
        <f>IF(SER_hh_tes_in!M18=0,"",SER_hh_tes_in!M18/SER_hh_fec_in!M18)</f>
        <v>3.6231863007240879</v>
      </c>
      <c r="N18" s="136">
        <f>IF(SER_hh_tes_in!N18=0,"",SER_hh_tes_in!N18/SER_hh_fec_in!N18)</f>
        <v>3.7879157346901908</v>
      </c>
      <c r="O18" s="136">
        <f>IF(SER_hh_tes_in!O18=0,"",SER_hh_tes_in!O18/SER_hh_fec_in!O18)</f>
        <v>3.9751005418712761</v>
      </c>
      <c r="P18" s="136">
        <f>IF(SER_hh_tes_in!P18=0,"",SER_hh_tes_in!P18/SER_hh_fec_in!P18)</f>
        <v>4.1664870289252276</v>
      </c>
      <c r="Q18" s="136">
        <f>IF(SER_hh_tes_in!Q18=0,"",SER_hh_tes_in!Q18/SER_hh_fec_in!Q18)</f>
        <v>4.3133524915802983</v>
      </c>
      <c r="R18" s="136">
        <f>IF(SER_hh_tes_in!R18=0,"",SER_hh_tes_in!R18/SER_hh_fec_in!R18)</f>
        <v>4.4453766708137179</v>
      </c>
      <c r="S18" s="136">
        <f>IF(SER_hh_tes_in!S18=0,"",SER_hh_tes_in!S18/SER_hh_fec_in!S18)</f>
        <v>4.5132088937072137</v>
      </c>
      <c r="T18" s="136">
        <f>IF(SER_hh_tes_in!T18=0,"",SER_hh_tes_in!T18/SER_hh_fec_in!T18)</f>
        <v>4.5568401851329172</v>
      </c>
      <c r="U18" s="136">
        <f>IF(SER_hh_tes_in!U18=0,"",SER_hh_tes_in!U18/SER_hh_fec_in!U18)</f>
        <v>4.5878000785585682</v>
      </c>
      <c r="V18" s="136">
        <f>IF(SER_hh_tes_in!V18=0,"",SER_hh_tes_in!V18/SER_hh_fec_in!V18)</f>
        <v>4.6183228745938258</v>
      </c>
      <c r="W18" s="136">
        <f>IF(SER_hh_tes_in!W18=0,"",SER_hh_tes_in!W18/SER_hh_fec_in!W18)</f>
        <v>4.6493261348061727</v>
      </c>
      <c r="X18" s="136">
        <f>IF(SER_hh_tes_in!X18=0,"",SER_hh_tes_in!X18/SER_hh_fec_in!X18)</f>
        <v>4.6724048672655973</v>
      </c>
      <c r="Y18" s="136">
        <f>IF(SER_hh_tes_in!Y18=0,"",SER_hh_tes_in!Y18/SER_hh_fec_in!Y18)</f>
        <v>4.6924831171726291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0.68124651684065174</v>
      </c>
      <c r="D19" s="135">
        <f>IF(SER_hh_tes_in!D19=0,"",SER_hh_tes_in!D19/SER_hh_fec_in!D19)</f>
        <v>0.72589909329121305</v>
      </c>
      <c r="E19" s="135">
        <f>IF(SER_hh_tes_in!E19=0,"",SER_hh_tes_in!E19/SER_hh_fec_in!E19)</f>
        <v>0.73942769235434513</v>
      </c>
      <c r="F19" s="135">
        <f>IF(SER_hh_tes_in!F19=0,"",SER_hh_tes_in!F19/SER_hh_fec_in!F19)</f>
        <v>0.72895536912864756</v>
      </c>
      <c r="G19" s="135">
        <f>IF(SER_hh_tes_in!G19=0,"",SER_hh_tes_in!G19/SER_hh_fec_in!G19)</f>
        <v>0.72404363556013018</v>
      </c>
      <c r="H19" s="135">
        <f>IF(SER_hh_tes_in!H19=0,"",SER_hh_tes_in!H19/SER_hh_fec_in!H19)</f>
        <v>0.70609284137011796</v>
      </c>
      <c r="I19" s="135">
        <f>IF(SER_hh_tes_in!I19=0,"",SER_hh_tes_in!I19/SER_hh_fec_in!I19)</f>
        <v>0.70580061062952515</v>
      </c>
      <c r="J19" s="135">
        <f>IF(SER_hh_tes_in!J19=0,"",SER_hh_tes_in!J19/SER_hh_fec_in!J19)</f>
        <v>0.69564666441342615</v>
      </c>
      <c r="K19" s="135">
        <f>IF(SER_hh_tes_in!K19=0,"",SER_hh_tes_in!K19/SER_hh_fec_in!K19)</f>
        <v>0.70495754085301521</v>
      </c>
      <c r="L19" s="135">
        <f>IF(SER_hh_tes_in!L19=0,"",SER_hh_tes_in!L19/SER_hh_fec_in!L19)</f>
        <v>0.66125791468180373</v>
      </c>
      <c r="M19" s="135">
        <f>IF(SER_hh_tes_in!M19=0,"",SER_hh_tes_in!M19/SER_hh_fec_in!M19)</f>
        <v>0.71425993186244574</v>
      </c>
      <c r="N19" s="135">
        <f>IF(SER_hh_tes_in!N19=0,"",SER_hh_tes_in!N19/SER_hh_fec_in!N19)</f>
        <v>0.71069503377591547</v>
      </c>
      <c r="O19" s="135">
        <f>IF(SER_hh_tes_in!O19=0,"",SER_hh_tes_in!O19/SER_hh_fec_in!O19)</f>
        <v>0.74736000983789852</v>
      </c>
      <c r="P19" s="135">
        <f>IF(SER_hh_tes_in!P19=0,"",SER_hh_tes_in!P19/SER_hh_fec_in!P19)</f>
        <v>0.77808065697190953</v>
      </c>
      <c r="Q19" s="135">
        <f>IF(SER_hh_tes_in!Q19=0,"",SER_hh_tes_in!Q19/SER_hh_fec_in!Q19)</f>
        <v>0.804350100466795</v>
      </c>
      <c r="R19" s="135">
        <f>IF(SER_hh_tes_in!R19=0,"",SER_hh_tes_in!R19/SER_hh_fec_in!R19)</f>
        <v>0.81536070077807832</v>
      </c>
      <c r="S19" s="135">
        <f>IF(SER_hh_tes_in!S19=0,"",SER_hh_tes_in!S19/SER_hh_fec_in!S19)</f>
        <v>0.81435925927269115</v>
      </c>
      <c r="T19" s="135">
        <f>IF(SER_hh_tes_in!T19=0,"",SER_hh_tes_in!T19/SER_hh_fec_in!T19)</f>
        <v>0.84491232099279079</v>
      </c>
      <c r="U19" s="135">
        <f>IF(SER_hh_tes_in!U19=0,"",SER_hh_tes_in!U19/SER_hh_fec_in!U19)</f>
        <v>0.85937870943631911</v>
      </c>
      <c r="V19" s="135">
        <f>IF(SER_hh_tes_in!V19=0,"",SER_hh_tes_in!V19/SER_hh_fec_in!V19)</f>
        <v>0.89105528125934397</v>
      </c>
      <c r="W19" s="135">
        <f>IF(SER_hh_tes_in!W19=0,"",SER_hh_tes_in!W19/SER_hh_fec_in!W19)</f>
        <v>0.89530140494055033</v>
      </c>
      <c r="X19" s="135">
        <f>IF(SER_hh_tes_in!X19=0,"",SER_hh_tes_in!X19/SER_hh_fec_in!X19)</f>
        <v>0.91255793382065586</v>
      </c>
      <c r="Y19" s="135">
        <f>IF(SER_hh_tes_in!Y19=0,"",SER_hh_tes_in!Y19/SER_hh_fec_in!Y19)</f>
        <v>0.92365913248552711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 t="str">
        <f>IF(SER_hh_tes_in!C21=0,"",SER_hh_tes_in!C21/SER_hh_fec_in!C21)</f>
        <v/>
      </c>
      <c r="D21" s="136" t="str">
        <f>IF(SER_hh_tes_in!D21=0,"",SER_hh_tes_in!D21/SER_hh_fec_in!D21)</f>
        <v/>
      </c>
      <c r="E21" s="136" t="str">
        <f>IF(SER_hh_tes_in!E21=0,"",SER_hh_tes_in!E21/SER_hh_fec_in!E21)</f>
        <v/>
      </c>
      <c r="F21" s="136" t="str">
        <f>IF(SER_hh_tes_in!F21=0,"",SER_hh_tes_in!F21/SER_hh_fec_in!F21)</f>
        <v/>
      </c>
      <c r="G21" s="136" t="str">
        <f>IF(SER_hh_tes_in!G21=0,"",SER_hh_tes_in!G21/SER_hh_fec_in!G21)</f>
        <v/>
      </c>
      <c r="H21" s="136" t="str">
        <f>IF(SER_hh_tes_in!H21=0,"",SER_hh_tes_in!H21/SER_hh_fec_in!H21)</f>
        <v/>
      </c>
      <c r="I21" s="136" t="str">
        <f>IF(SER_hh_tes_in!I21=0,"",SER_hh_tes_in!I21/SER_hh_fec_in!I21)</f>
        <v/>
      </c>
      <c r="J21" s="136" t="str">
        <f>IF(SER_hh_tes_in!J21=0,"",SER_hh_tes_in!J21/SER_hh_fec_in!J21)</f>
        <v/>
      </c>
      <c r="K21" s="136" t="str">
        <f>IF(SER_hh_tes_in!K21=0,"",SER_hh_tes_in!K21/SER_hh_fec_in!K21)</f>
        <v/>
      </c>
      <c r="L21" s="136" t="str">
        <f>IF(SER_hh_tes_in!L21=0,"",SER_hh_tes_in!L21/SER_hh_fec_in!L21)</f>
        <v/>
      </c>
      <c r="M21" s="136" t="str">
        <f>IF(SER_hh_tes_in!M21=0,"",SER_hh_tes_in!M21/SER_hh_fec_in!M21)</f>
        <v/>
      </c>
      <c r="N21" s="136" t="str">
        <f>IF(SER_hh_tes_in!N21=0,"",SER_hh_tes_in!N21/SER_hh_fec_in!N21)</f>
        <v/>
      </c>
      <c r="O21" s="136" t="str">
        <f>IF(SER_hh_tes_in!O21=0,"",SER_hh_tes_in!O21/SER_hh_fec_in!O21)</f>
        <v/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 t="str">
        <f>IF(SER_hh_tes_in!R21=0,"",SER_hh_tes_in!R21/SER_hh_fec_in!R21)</f>
        <v/>
      </c>
      <c r="S21" s="136" t="str">
        <f>IF(SER_hh_tes_in!S21=0,"",SER_hh_tes_in!S21/SER_hh_fec_in!S21)</f>
        <v/>
      </c>
      <c r="T21" s="136" t="str">
        <f>IF(SER_hh_tes_in!T21=0,"",SER_hh_tes_in!T21/SER_hh_fec_in!T21)</f>
        <v/>
      </c>
      <c r="U21" s="136" t="str">
        <f>IF(SER_hh_tes_in!U21=0,"",SER_hh_tes_in!U21/SER_hh_fec_in!U21)</f>
        <v/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 t="str">
        <f>IF(SER_hh_tes_in!X21=0,"",SER_hh_tes_in!X21/SER_hh_fec_in!X21)</f>
        <v/>
      </c>
      <c r="Y21" s="136" t="str">
        <f>IF(SER_hh_tes_in!Y21=0,"",SER_hh_tes_in!Y21/SER_hh_fec_in!Y21)</f>
        <v/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0.55626361906604427</v>
      </c>
      <c r="D22" s="136">
        <f>IF(SER_hh_tes_in!D22=0,"",SER_hh_tes_in!D22/SER_hh_fec_in!D22)</f>
        <v>0.55863371716414767</v>
      </c>
      <c r="E22" s="136">
        <f>IF(SER_hh_tes_in!E22=0,"",SER_hh_tes_in!E22/SER_hh_fec_in!E22)</f>
        <v>0.56133326938810113</v>
      </c>
      <c r="F22" s="136">
        <f>IF(SER_hh_tes_in!F22=0,"",SER_hh_tes_in!F22/SER_hh_fec_in!F22)</f>
        <v>0.56407774717467063</v>
      </c>
      <c r="G22" s="136" t="str">
        <f>IF(SER_hh_tes_in!G22=0,"",SER_hh_tes_in!G22/SER_hh_fec_in!G22)</f>
        <v/>
      </c>
      <c r="H22" s="136" t="str">
        <f>IF(SER_hh_tes_in!H22=0,"",SER_hh_tes_in!H22/SER_hh_fec_in!H22)</f>
        <v/>
      </c>
      <c r="I22" s="136" t="str">
        <f>IF(SER_hh_tes_in!I22=0,"",SER_hh_tes_in!I22/SER_hh_fec_in!I22)</f>
        <v/>
      </c>
      <c r="J22" s="136" t="str">
        <f>IF(SER_hh_tes_in!J22=0,"",SER_hh_tes_in!J22/SER_hh_fec_in!J22)</f>
        <v/>
      </c>
      <c r="K22" s="136">
        <f>IF(SER_hh_tes_in!K22=0,"",SER_hh_tes_in!K22/SER_hh_fec_in!K22)</f>
        <v>0.58342163890949827</v>
      </c>
      <c r="L22" s="136">
        <f>IF(SER_hh_tes_in!L22=0,"",SER_hh_tes_in!L22/SER_hh_fec_in!L22)</f>
        <v>0.58936894335427825</v>
      </c>
      <c r="M22" s="136">
        <f>IF(SER_hh_tes_in!M22=0,"",SER_hh_tes_in!M22/SER_hh_fec_in!M22)</f>
        <v>0.60149290057375049</v>
      </c>
      <c r="N22" s="136">
        <f>IF(SER_hh_tes_in!N22=0,"",SER_hh_tes_in!N22/SER_hh_fec_in!N22)</f>
        <v>0.62147788217441047</v>
      </c>
      <c r="O22" s="136">
        <f>IF(SER_hh_tes_in!O22=0,"",SER_hh_tes_in!O22/SER_hh_fec_in!O22)</f>
        <v>0.65069474531336957</v>
      </c>
      <c r="P22" s="136">
        <f>IF(SER_hh_tes_in!P22=0,"",SER_hh_tes_in!P22/SER_hh_fec_in!P22)</f>
        <v>0.68612334370605477</v>
      </c>
      <c r="Q22" s="136">
        <f>IF(SER_hh_tes_in!Q22=0,"",SER_hh_tes_in!Q22/SER_hh_fec_in!Q22)</f>
        <v>0.71802189258540328</v>
      </c>
      <c r="R22" s="136">
        <f>IF(SER_hh_tes_in!R22=0,"",SER_hh_tes_in!R22/SER_hh_fec_in!R22)</f>
        <v>0.73871696719568036</v>
      </c>
      <c r="S22" s="136">
        <f>IF(SER_hh_tes_in!S22=0,"",SER_hh_tes_in!S22/SER_hh_fec_in!S22)</f>
        <v>0.75798605400343888</v>
      </c>
      <c r="T22" s="136">
        <f>IF(SER_hh_tes_in!T22=0,"",SER_hh_tes_in!T22/SER_hh_fec_in!T22)</f>
        <v>0.77526098913740182</v>
      </c>
      <c r="U22" s="136">
        <f>IF(SER_hh_tes_in!U22=0,"",SER_hh_tes_in!U22/SER_hh_fec_in!U22)</f>
        <v>0.78997360872635136</v>
      </c>
      <c r="V22" s="136">
        <f>IF(SER_hh_tes_in!V22=0,"",SER_hh_tes_in!V22/SER_hh_fec_in!V22)</f>
        <v>0.80155574889904591</v>
      </c>
      <c r="W22" s="136">
        <f>IF(SER_hh_tes_in!W22=0,"",SER_hh_tes_in!W22/SER_hh_fec_in!W22)</f>
        <v>0.8086747460759911</v>
      </c>
      <c r="X22" s="136" t="str">
        <f>IF(SER_hh_tes_in!X22=0,"",SER_hh_tes_in!X22/SER_hh_fec_in!X22)</f>
        <v/>
      </c>
      <c r="Y22" s="136" t="str">
        <f>IF(SER_hh_tes_in!Y22=0,"",SER_hh_tes_in!Y22/SER_hh_fec_in!Y22)</f>
        <v/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0.60257588223061109</v>
      </c>
      <c r="D23" s="136">
        <f>IF(SER_hh_tes_in!D23=0,"",SER_hh_tes_in!D23/SER_hh_fec_in!D23)</f>
        <v>0.60812907841928399</v>
      </c>
      <c r="E23" s="136">
        <f>IF(SER_hh_tes_in!E23=0,"",SER_hh_tes_in!E23/SER_hh_fec_in!E23)</f>
        <v>0.61393380170703449</v>
      </c>
      <c r="F23" s="136">
        <f>IF(SER_hh_tes_in!F23=0,"",SER_hh_tes_in!F23/SER_hh_fec_in!F23)</f>
        <v>0.61978324571650789</v>
      </c>
      <c r="G23" s="136">
        <f>IF(SER_hh_tes_in!G23=0,"",SER_hh_tes_in!G23/SER_hh_fec_in!G23)</f>
        <v>0.62586253313644857</v>
      </c>
      <c r="H23" s="136">
        <f>IF(SER_hh_tes_in!H23=0,"",SER_hh_tes_in!H23/SER_hh_fec_in!H23)</f>
        <v>0.6321470861405255</v>
      </c>
      <c r="I23" s="136">
        <f>IF(SER_hh_tes_in!I23=0,"",SER_hh_tes_in!I23/SER_hh_fec_in!I23)</f>
        <v>0.63868055195942153</v>
      </c>
      <c r="J23" s="136">
        <f>IF(SER_hh_tes_in!J23=0,"",SER_hh_tes_in!J23/SER_hh_fec_in!J23)</f>
        <v>0.64564618919498118</v>
      </c>
      <c r="K23" s="136">
        <f>IF(SER_hh_tes_in!K23=0,"",SER_hh_tes_in!K23/SER_hh_fec_in!K23)</f>
        <v>0.65319723541416086</v>
      </c>
      <c r="L23" s="136">
        <f>IF(SER_hh_tes_in!L23=0,"",SER_hh_tes_in!L23/SER_hh_fec_in!L23)</f>
        <v>0.66137009937878666</v>
      </c>
      <c r="M23" s="136">
        <f>IF(SER_hh_tes_in!M23=0,"",SER_hh_tes_in!M23/SER_hh_fec_in!M23)</f>
        <v>0.67397938080130793</v>
      </c>
      <c r="N23" s="136">
        <f>IF(SER_hh_tes_in!N23=0,"",SER_hh_tes_in!N23/SER_hh_fec_in!N23)</f>
        <v>0.69220289348443198</v>
      </c>
      <c r="O23" s="136">
        <f>IF(SER_hh_tes_in!O23=0,"",SER_hh_tes_in!O23/SER_hh_fec_in!O23)</f>
        <v>0.71688128979870069</v>
      </c>
      <c r="P23" s="136">
        <f>IF(SER_hh_tes_in!P23=0,"",SER_hh_tes_in!P23/SER_hh_fec_in!P23)</f>
        <v>0.74557570765824033</v>
      </c>
      <c r="Q23" s="136">
        <f>IF(SER_hh_tes_in!Q23=0,"",SER_hh_tes_in!Q23/SER_hh_fec_in!Q23)</f>
        <v>0.77069837638432526</v>
      </c>
      <c r="R23" s="136">
        <f>IF(SER_hh_tes_in!R23=0,"",SER_hh_tes_in!R23/SER_hh_fec_in!R23)</f>
        <v>0.78605519022141912</v>
      </c>
      <c r="S23" s="136">
        <f>IF(SER_hh_tes_in!S23=0,"",SER_hh_tes_in!S23/SER_hh_fec_in!S23)</f>
        <v>0.79913325338386754</v>
      </c>
      <c r="T23" s="136" t="str">
        <f>IF(SER_hh_tes_in!T23=0,"",SER_hh_tes_in!T23/SER_hh_fec_in!T23)</f>
        <v/>
      </c>
      <c r="U23" s="136">
        <f>IF(SER_hh_tes_in!U23=0,"",SER_hh_tes_in!U23/SER_hh_fec_in!U23)</f>
        <v>0.81926444185924818</v>
      </c>
      <c r="V23" s="136">
        <f>IF(SER_hh_tes_in!V23=0,"",SER_hh_tes_in!V23/SER_hh_fec_in!V23)</f>
        <v>0.82668449730131499</v>
      </c>
      <c r="W23" s="136">
        <f>IF(SER_hh_tes_in!W23=0,"",SER_hh_tes_in!W23/SER_hh_fec_in!W23)</f>
        <v>0.8315951331070508</v>
      </c>
      <c r="X23" s="136">
        <f>IF(SER_hh_tes_in!X23=0,"",SER_hh_tes_in!X23/SER_hh_fec_in!X23)</f>
        <v>0.83430184153760611</v>
      </c>
      <c r="Y23" s="136">
        <f>IF(SER_hh_tes_in!Y23=0,"",SER_hh_tes_in!Y23/SER_hh_fec_in!Y23)</f>
        <v>0.83588886088294634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0.84331354901041444</v>
      </c>
      <c r="D25" s="136">
        <f>IF(SER_hh_tes_in!D25=0,"",SER_hh_tes_in!D25/SER_hh_fec_in!D25)</f>
        <v>0.84528283660240167</v>
      </c>
      <c r="E25" s="136">
        <f>IF(SER_hh_tes_in!E25=0,"",SER_hh_tes_in!E25/SER_hh_fec_in!E25)</f>
        <v>0.84730528982166975</v>
      </c>
      <c r="F25" s="136">
        <f>IF(SER_hh_tes_in!F25=0,"",SER_hh_tes_in!F25/SER_hh_fec_in!F25)</f>
        <v>0.84933499289920356</v>
      </c>
      <c r="G25" s="136">
        <f>IF(SER_hh_tes_in!G25=0,"",SER_hh_tes_in!G25/SER_hh_fec_in!G25)</f>
        <v>0.85141365839231187</v>
      </c>
      <c r="H25" s="136">
        <f>IF(SER_hh_tes_in!H25=0,"",SER_hh_tes_in!H25/SER_hh_fec_in!H25)</f>
        <v>0.85353618121501118</v>
      </c>
      <c r="I25" s="136">
        <f>IF(SER_hh_tes_in!I25=0,"",SER_hh_tes_in!I25/SER_hh_fec_in!I25)</f>
        <v>0.85571283934264075</v>
      </c>
      <c r="J25" s="136">
        <f>IF(SER_hh_tes_in!J25=0,"",SER_hh_tes_in!J25/SER_hh_fec_in!J25)</f>
        <v>0.85798573801236944</v>
      </c>
      <c r="K25" s="136">
        <f>IF(SER_hh_tes_in!K25=0,"",SER_hh_tes_in!K25/SER_hh_fec_in!K25)</f>
        <v>0.86039067775078437</v>
      </c>
      <c r="L25" s="136">
        <f>IF(SER_hh_tes_in!L25=0,"",SER_hh_tes_in!L25/SER_hh_fec_in!L25)</f>
        <v>0.86293723666649436</v>
      </c>
      <c r="M25" s="136">
        <f>IF(SER_hh_tes_in!M25=0,"",SER_hh_tes_in!M25/SER_hh_fec_in!M25)</f>
        <v>0.86646326540022101</v>
      </c>
      <c r="N25" s="136">
        <f>IF(SER_hh_tes_in!N25=0,"",SER_hh_tes_in!N25/SER_hh_fec_in!N25)</f>
        <v>0.8712336713052099</v>
      </c>
      <c r="O25" s="136">
        <f>IF(SER_hh_tes_in!O25=0,"",SER_hh_tes_in!O25/SER_hh_fec_in!O25)</f>
        <v>0.87748067786662653</v>
      </c>
      <c r="P25" s="136">
        <f>IF(SER_hh_tes_in!P25=0,"",SER_hh_tes_in!P25/SER_hh_fec_in!P25)</f>
        <v>0.88476246287797666</v>
      </c>
      <c r="Q25" s="136">
        <f>IF(SER_hh_tes_in!Q25=0,"",SER_hh_tes_in!Q25/SER_hh_fec_in!Q25)</f>
        <v>0.89163265996213814</v>
      </c>
      <c r="R25" s="136">
        <f>IF(SER_hh_tes_in!R25=0,"",SER_hh_tes_in!R25/SER_hh_fec_in!R25)</f>
        <v>0.89689706268894387</v>
      </c>
      <c r="S25" s="136">
        <f>IF(SER_hh_tes_in!S25=0,"",SER_hh_tes_in!S25/SER_hh_fec_in!S25)</f>
        <v>0.90201844650084717</v>
      </c>
      <c r="T25" s="136">
        <f>IF(SER_hh_tes_in!T25=0,"",SER_hh_tes_in!T25/SER_hh_fec_in!T25)</f>
        <v>0.90696259250714073</v>
      </c>
      <c r="U25" s="136">
        <f>IF(SER_hh_tes_in!U25=0,"",SER_hh_tes_in!U25/SER_hh_fec_in!U25)</f>
        <v>0.91169528181713366</v>
      </c>
      <c r="V25" s="136">
        <f>IF(SER_hh_tes_in!V25=0,"",SER_hh_tes_in!V25/SER_hh_fec_in!V25)</f>
        <v>0.91618229554012864</v>
      </c>
      <c r="W25" s="136">
        <f>IF(SER_hh_tes_in!W25=0,"",SER_hh_tes_in!W25/SER_hh_fec_in!W25)</f>
        <v>0.92031570002919216</v>
      </c>
      <c r="X25" s="136" t="str">
        <f>IF(SER_hh_tes_in!X25=0,"",SER_hh_tes_in!X25/SER_hh_fec_in!X25)</f>
        <v/>
      </c>
      <c r="Y25" s="136" t="str">
        <f>IF(SER_hh_tes_in!Y25=0,"",SER_hh_tes_in!Y25/SER_hh_fec_in!Y25)</f>
        <v/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0.70072501382686381</v>
      </c>
      <c r="D26" s="137" t="str">
        <f>IF(SER_hh_tes_in!D26=0,"",SER_hh_tes_in!D26/SER_hh_fec_in!D26)</f>
        <v/>
      </c>
      <c r="E26" s="137" t="str">
        <f>IF(SER_hh_tes_in!E26=0,"",SER_hh_tes_in!E26/SER_hh_fec_in!E26)</f>
        <v/>
      </c>
      <c r="F26" s="137" t="str">
        <f>IF(SER_hh_tes_in!F26=0,"",SER_hh_tes_in!F26/SER_hh_fec_in!F26)</f>
        <v/>
      </c>
      <c r="G26" s="137">
        <f>IF(SER_hh_tes_in!G26=0,"",SER_hh_tes_in!G26/SER_hh_fec_in!G26)</f>
        <v>0.71009922290963823</v>
      </c>
      <c r="H26" s="137">
        <f>IF(SER_hh_tes_in!H26=0,"",SER_hh_tes_in!H26/SER_hh_fec_in!H26)</f>
        <v>0.71281753940046788</v>
      </c>
      <c r="I26" s="137">
        <f>IF(SER_hh_tes_in!I26=0,"",SER_hh_tes_in!I26/SER_hh_fec_in!I26)</f>
        <v>0.71574674408869432</v>
      </c>
      <c r="J26" s="137">
        <f>IF(SER_hh_tes_in!J26=0,"",SER_hh_tes_in!J26/SER_hh_fec_in!J26)</f>
        <v>0.71905259018481138</v>
      </c>
      <c r="K26" s="137">
        <f>IF(SER_hh_tes_in!K26=0,"",SER_hh_tes_in!K26/SER_hh_fec_in!K26)</f>
        <v>0.72288150649078642</v>
      </c>
      <c r="L26" s="137">
        <f>IF(SER_hh_tes_in!L26=0,"",SER_hh_tes_in!L26/SER_hh_fec_in!L26)</f>
        <v>0.72728383790401296</v>
      </c>
      <c r="M26" s="137">
        <f>IF(SER_hh_tes_in!M26=0,"",SER_hh_tes_in!M26/SER_hh_fec_in!M26)</f>
        <v>0.73565320015704105</v>
      </c>
      <c r="N26" s="137">
        <f>IF(SER_hh_tes_in!N26=0,"",SER_hh_tes_in!N26/SER_hh_fec_in!N26)</f>
        <v>0.74945352475063398</v>
      </c>
      <c r="O26" s="137">
        <f>IF(SER_hh_tes_in!O26=0,"",SER_hh_tes_in!O26/SER_hh_fec_in!O26)</f>
        <v>0.77049722583510094</v>
      </c>
      <c r="P26" s="137">
        <f>IF(SER_hh_tes_in!P26=0,"",SER_hh_tes_in!P26/SER_hh_fec_in!P26)</f>
        <v>0.79778661554557162</v>
      </c>
      <c r="Q26" s="137">
        <f>IF(SER_hh_tes_in!Q26=0,"",SER_hh_tes_in!Q26/SER_hh_fec_in!Q26)</f>
        <v>0.82411507054000621</v>
      </c>
      <c r="R26" s="137">
        <f>IF(SER_hh_tes_in!R26=0,"",SER_hh_tes_in!R26/SER_hh_fec_in!R26)</f>
        <v>0.84193257219103135</v>
      </c>
      <c r="S26" s="137">
        <f>IF(SER_hh_tes_in!S26=0,"",SER_hh_tes_in!S26/SER_hh_fec_in!S26)</f>
        <v>0.85919466011219026</v>
      </c>
      <c r="T26" s="137">
        <f>IF(SER_hh_tes_in!T26=0,"",SER_hh_tes_in!T26/SER_hh_fec_in!T26)</f>
        <v>0.87632278499755312</v>
      </c>
      <c r="U26" s="137">
        <f>IF(SER_hh_tes_in!U26=0,"",SER_hh_tes_in!U26/SER_hh_fec_in!U26)</f>
        <v>0.89348913115140749</v>
      </c>
      <c r="V26" s="137">
        <f>IF(SER_hh_tes_in!V26=0,"",SER_hh_tes_in!V26/SER_hh_fec_in!V26)</f>
        <v>0.91035307631138696</v>
      </c>
      <c r="W26" s="137">
        <f>IF(SER_hh_tes_in!W26=0,"",SER_hh_tes_in!W26/SER_hh_fec_in!W26)</f>
        <v>0.92575545283254213</v>
      </c>
      <c r="X26" s="137">
        <f>IF(SER_hh_tes_in!X26=0,"",SER_hh_tes_in!X26/SER_hh_fec_in!X26)</f>
        <v>0.9365845728192167</v>
      </c>
      <c r="Y26" s="137">
        <f>IF(SER_hh_tes_in!Y26=0,"",SER_hh_tes_in!Y26/SER_hh_fec_in!Y26)</f>
        <v>0.94668748357150279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 t="str">
        <f>IF(SER_hh_tes_in!C27=0,"",SER_hh_tes_in!C27/SER_hh_fec_in!C27)</f>
        <v/>
      </c>
      <c r="D27" s="148" t="str">
        <f>IF(SER_hh_tes_in!D27=0,"",SER_hh_tes_in!D27/SER_hh_fec_in!D27)</f>
        <v/>
      </c>
      <c r="E27" s="148" t="str">
        <f>IF(SER_hh_tes_in!E27=0,"",SER_hh_tes_in!E27/SER_hh_fec_in!E27)</f>
        <v/>
      </c>
      <c r="F27" s="148" t="str">
        <f>IF(SER_hh_tes_in!F27=0,"",SER_hh_tes_in!F27/SER_hh_fec_in!F27)</f>
        <v/>
      </c>
      <c r="G27" s="148" t="str">
        <f>IF(SER_hh_tes_in!G27=0,"",SER_hh_tes_in!G27/SER_hh_fec_in!G27)</f>
        <v/>
      </c>
      <c r="H27" s="148" t="str">
        <f>IF(SER_hh_tes_in!H27=0,"",SER_hh_tes_in!H27/SER_hh_fec_in!H27)</f>
        <v/>
      </c>
      <c r="I27" s="148" t="str">
        <f>IF(SER_hh_tes_in!I27=0,"",SER_hh_tes_in!I27/SER_hh_fec_in!I27)</f>
        <v/>
      </c>
      <c r="J27" s="148" t="str">
        <f>IF(SER_hh_tes_in!J27=0,"",SER_hh_tes_in!J27/SER_hh_fec_in!J27)</f>
        <v/>
      </c>
      <c r="K27" s="148" t="str">
        <f>IF(SER_hh_tes_in!K27=0,"",SER_hh_tes_in!K27/SER_hh_fec_in!K27)</f>
        <v/>
      </c>
      <c r="L27" s="148" t="str">
        <f>IF(SER_hh_tes_in!L27=0,"",SER_hh_tes_in!L27/SER_hh_fec_in!L27)</f>
        <v/>
      </c>
      <c r="M27" s="148" t="str">
        <f>IF(SER_hh_tes_in!M27=0,"",SER_hh_tes_in!M27/SER_hh_fec_in!M27)</f>
        <v/>
      </c>
      <c r="N27" s="148" t="str">
        <f>IF(SER_hh_tes_in!N27=0,"",SER_hh_tes_in!N27/SER_hh_fec_in!N27)</f>
        <v/>
      </c>
      <c r="O27" s="148" t="str">
        <f>IF(SER_hh_tes_in!O27=0,"",SER_hh_tes_in!O27/SER_hh_fec_in!O27)</f>
        <v/>
      </c>
      <c r="P27" s="148" t="str">
        <f>IF(SER_hh_tes_in!P27=0,"",SER_hh_tes_in!P27/SER_hh_fec_in!P27)</f>
        <v/>
      </c>
      <c r="Q27" s="148" t="str">
        <f>IF(SER_hh_tes_in!Q27=0,"",SER_hh_tes_in!Q27/SER_hh_fec_in!Q27)</f>
        <v/>
      </c>
      <c r="R27" s="148" t="str">
        <f>IF(SER_hh_tes_in!R27=0,"",SER_hh_tes_in!R27/SER_hh_fec_in!R27)</f>
        <v/>
      </c>
      <c r="S27" s="148" t="str">
        <f>IF(SER_hh_tes_in!S27=0,"",SER_hh_tes_in!S27/SER_hh_fec_in!S27)</f>
        <v/>
      </c>
      <c r="T27" s="148" t="str">
        <f>IF(SER_hh_tes_in!T27=0,"",SER_hh_tes_in!T27/SER_hh_fec_in!T27)</f>
        <v/>
      </c>
      <c r="U27" s="148" t="str">
        <f>IF(SER_hh_tes_in!U27=0,"",SER_hh_tes_in!U27/SER_hh_fec_in!U27)</f>
        <v/>
      </c>
      <c r="V27" s="148" t="str">
        <f>IF(SER_hh_tes_in!V27=0,"",SER_hh_tes_in!V27/SER_hh_fec_in!V27)</f>
        <v/>
      </c>
      <c r="W27" s="148" t="str">
        <f>IF(SER_hh_tes_in!W27=0,"",SER_hh_tes_in!W27/SER_hh_fec_in!W27)</f>
        <v/>
      </c>
      <c r="X27" s="148" t="str">
        <f>IF(SER_hh_tes_in!X27=0,"",SER_hh_tes_in!X27/SER_hh_fec_in!X27)</f>
        <v/>
      </c>
      <c r="Y27" s="148" t="str">
        <f>IF(SER_hh_tes_in!Y27=0,"",SER_hh_tes_in!Y27/SER_hh_fec_in!Y27)</f>
        <v/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0.66254113034206086</v>
      </c>
      <c r="D29" s="135">
        <f>IF(SER_hh_tes_in!D29=0,"",SER_hh_tes_in!D29/SER_hh_fec_in!D29)</f>
        <v>0.71846289198976498</v>
      </c>
      <c r="E29" s="135">
        <f>IF(SER_hh_tes_in!E29=0,"",SER_hh_tes_in!E29/SER_hh_fec_in!E29)</f>
        <v>0.72820279078591998</v>
      </c>
      <c r="F29" s="135">
        <f>IF(SER_hh_tes_in!F29=0,"",SER_hh_tes_in!F29/SER_hh_fec_in!F29)</f>
        <v>0.73120110153352014</v>
      </c>
      <c r="G29" s="135">
        <f>IF(SER_hh_tes_in!G29=0,"",SER_hh_tes_in!G29/SER_hh_fec_in!G29)</f>
        <v>0.71947685479333157</v>
      </c>
      <c r="H29" s="135">
        <f>IF(SER_hh_tes_in!H29=0,"",SER_hh_tes_in!H29/SER_hh_fec_in!H29)</f>
        <v>0.71164137415757944</v>
      </c>
      <c r="I29" s="135">
        <f>IF(SER_hh_tes_in!I29=0,"",SER_hh_tes_in!I29/SER_hh_fec_in!I29)</f>
        <v>0.73021064889668363</v>
      </c>
      <c r="J29" s="135">
        <f>IF(SER_hh_tes_in!J29=0,"",SER_hh_tes_in!J29/SER_hh_fec_in!J29)</f>
        <v>0.73716166213778622</v>
      </c>
      <c r="K29" s="135">
        <f>IF(SER_hh_tes_in!K29=0,"",SER_hh_tes_in!K29/SER_hh_fec_in!K29)</f>
        <v>0.59712487245516588</v>
      </c>
      <c r="L29" s="135">
        <f>IF(SER_hh_tes_in!L29=0,"",SER_hh_tes_in!L29/SER_hh_fec_in!L29)</f>
        <v>0.62043211804729237</v>
      </c>
      <c r="M29" s="135">
        <f>IF(SER_hh_tes_in!M29=0,"",SER_hh_tes_in!M29/SER_hh_fec_in!M29)</f>
        <v>0.6960902620571392</v>
      </c>
      <c r="N29" s="135">
        <f>IF(SER_hh_tes_in!N29=0,"",SER_hh_tes_in!N29/SER_hh_fec_in!N29)</f>
        <v>0.75874009691606581</v>
      </c>
      <c r="O29" s="135">
        <f>IF(SER_hh_tes_in!O29=0,"",SER_hh_tes_in!O29/SER_hh_fec_in!O29)</f>
        <v>0.76731829432813092</v>
      </c>
      <c r="P29" s="135">
        <f>IF(SER_hh_tes_in!P29=0,"",SER_hh_tes_in!P29/SER_hh_fec_in!P29)</f>
        <v>0.78585201862881293</v>
      </c>
      <c r="Q29" s="135">
        <f>IF(SER_hh_tes_in!Q29=0,"",SER_hh_tes_in!Q29/SER_hh_fec_in!Q29)</f>
        <v>0.77592660226582666</v>
      </c>
      <c r="R29" s="135">
        <f>IF(SER_hh_tes_in!R29=0,"",SER_hh_tes_in!R29/SER_hh_fec_in!R29)</f>
        <v>0.78014872248067368</v>
      </c>
      <c r="S29" s="135">
        <f>IF(SER_hh_tes_in!S29=0,"",SER_hh_tes_in!S29/SER_hh_fec_in!S29)</f>
        <v>0.80353948687416843</v>
      </c>
      <c r="T29" s="135">
        <f>IF(SER_hh_tes_in!T29=0,"",SER_hh_tes_in!T29/SER_hh_fec_in!T29)</f>
        <v>0.78470238328795205</v>
      </c>
      <c r="U29" s="135">
        <f>IF(SER_hh_tes_in!U29=0,"",SER_hh_tes_in!U29/SER_hh_fec_in!U29)</f>
        <v>0.79982279587350302</v>
      </c>
      <c r="V29" s="135">
        <f>IF(SER_hh_tes_in!V29=0,"",SER_hh_tes_in!V29/SER_hh_fec_in!V29)</f>
        <v>0.77283966213390343</v>
      </c>
      <c r="W29" s="135">
        <f>IF(SER_hh_tes_in!W29=0,"",SER_hh_tes_in!W29/SER_hh_fec_in!W29)</f>
        <v>0.70931078908339718</v>
      </c>
      <c r="X29" s="135">
        <f>IF(SER_hh_tes_in!X29=0,"",SER_hh_tes_in!X29/SER_hh_fec_in!X29)</f>
        <v>0.69548542158155391</v>
      </c>
      <c r="Y29" s="135">
        <f>IF(SER_hh_tes_in!Y29=0,"",SER_hh_tes_in!Y29/SER_hh_fec_in!Y29)</f>
        <v>0.76571798905063426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0.59377139182711236</v>
      </c>
      <c r="D30" s="136" t="str">
        <f>IF(SER_hh_tes_in!D30=0,"",SER_hh_tes_in!D30/SER_hh_fec_in!D30)</f>
        <v/>
      </c>
      <c r="E30" s="136" t="str">
        <f>IF(SER_hh_tes_in!E30=0,"",SER_hh_tes_in!E30/SER_hh_fec_in!E30)</f>
        <v/>
      </c>
      <c r="F30" s="136" t="str">
        <f>IF(SER_hh_tes_in!F30=0,"",SER_hh_tes_in!F30/SER_hh_fec_in!F30)</f>
        <v/>
      </c>
      <c r="G30" s="136" t="str">
        <f>IF(SER_hh_tes_in!G30=0,"",SER_hh_tes_in!G30/SER_hh_fec_in!G30)</f>
        <v/>
      </c>
      <c r="H30" s="136" t="str">
        <f>IF(SER_hh_tes_in!H30=0,"",SER_hh_tes_in!H30/SER_hh_fec_in!H30)</f>
        <v/>
      </c>
      <c r="I30" s="136" t="str">
        <f>IF(SER_hh_tes_in!I30=0,"",SER_hh_tes_in!I30/SER_hh_fec_in!I30)</f>
        <v/>
      </c>
      <c r="J30" s="136" t="str">
        <f>IF(SER_hh_tes_in!J30=0,"",SER_hh_tes_in!J30/SER_hh_fec_in!J30)</f>
        <v/>
      </c>
      <c r="K30" s="136">
        <f>IF(SER_hh_tes_in!K30=0,"",SER_hh_tes_in!K30/SER_hh_fec_in!K30)</f>
        <v>0.59614505473390633</v>
      </c>
      <c r="L30" s="136">
        <f>IF(SER_hh_tes_in!L30=0,"",SER_hh_tes_in!L30/SER_hh_fec_in!L30)</f>
        <v>0.59644196961552587</v>
      </c>
      <c r="M30" s="136">
        <f>IF(SER_hh_tes_in!M30=0,"",SER_hh_tes_in!M30/SER_hh_fec_in!M30)</f>
        <v>0.59666745952206901</v>
      </c>
      <c r="N30" s="136">
        <f>IF(SER_hh_tes_in!N30=0,"",SER_hh_tes_in!N30/SER_hh_fec_in!N30)</f>
        <v>0.59679349777314905</v>
      </c>
      <c r="O30" s="136">
        <f>IF(SER_hh_tes_in!O30=0,"",SER_hh_tes_in!O30/SER_hh_fec_in!O30)</f>
        <v>0.59686882752495329</v>
      </c>
      <c r="P30" s="136">
        <f>IF(SER_hh_tes_in!P30=0,"",SER_hh_tes_in!P30/SER_hh_fec_in!P30)</f>
        <v>0.59707902274442581</v>
      </c>
      <c r="Q30" s="136">
        <f>IF(SER_hh_tes_in!Q30=0,"",SER_hh_tes_in!Q30/SER_hh_fec_in!Q30)</f>
        <v>0.59793456639022757</v>
      </c>
      <c r="R30" s="136">
        <f>IF(SER_hh_tes_in!R30=0,"",SER_hh_tes_in!R30/SER_hh_fec_in!R30)</f>
        <v>0.60018186651102445</v>
      </c>
      <c r="S30" s="136">
        <f>IF(SER_hh_tes_in!S30=0,"",SER_hh_tes_in!S30/SER_hh_fec_in!S30)</f>
        <v>0.60335194012928095</v>
      </c>
      <c r="T30" s="136">
        <f>IF(SER_hh_tes_in!T30=0,"",SER_hh_tes_in!T30/SER_hh_fec_in!T30)</f>
        <v>0.60683013245010686</v>
      </c>
      <c r="U30" s="136">
        <f>IF(SER_hh_tes_in!U30=0,"",SER_hh_tes_in!U30/SER_hh_fec_in!U30)</f>
        <v>0.61000178867862143</v>
      </c>
      <c r="V30" s="136">
        <f>IF(SER_hh_tes_in!V30=0,"",SER_hh_tes_in!V30/SER_hh_fec_in!V30)</f>
        <v>0.61225225401993832</v>
      </c>
      <c r="W30" s="136">
        <f>IF(SER_hh_tes_in!W30=0,"",SER_hh_tes_in!W30/SER_hh_fec_in!W30)</f>
        <v>0.61333384474945862</v>
      </c>
      <c r="X30" s="136">
        <f>IF(SER_hh_tes_in!X30=0,"",SER_hh_tes_in!X30/SER_hh_fec_in!X30)</f>
        <v>0.61373196482306791</v>
      </c>
      <c r="Y30" s="136">
        <f>IF(SER_hh_tes_in!Y30=0,"",SER_hh_tes_in!Y30/SER_hh_fec_in!Y30)</f>
        <v>0.61377177683042883</v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0.60098238341827592</v>
      </c>
      <c r="D31" s="136">
        <f>IF(SER_hh_tes_in!D31=0,"",SER_hh_tes_in!D31/SER_hh_fec_in!D31)</f>
        <v>0.60136943860207781</v>
      </c>
      <c r="E31" s="136">
        <f>IF(SER_hh_tes_in!E31=0,"",SER_hh_tes_in!E31/SER_hh_fec_in!E31)</f>
        <v>0.60175652865126927</v>
      </c>
      <c r="F31" s="136">
        <f>IF(SER_hh_tes_in!F31=0,"",SER_hh_tes_in!F31/SER_hh_fec_in!F31)</f>
        <v>0.60214362345483186</v>
      </c>
      <c r="G31" s="136">
        <f>IF(SER_hh_tes_in!G31=0,"",SER_hh_tes_in!G31/SER_hh_fec_in!G31)</f>
        <v>0.60253075036736747</v>
      </c>
      <c r="H31" s="136">
        <f>IF(SER_hh_tes_in!H31=0,"",SER_hh_tes_in!H31/SER_hh_fec_in!H31)</f>
        <v>0.60291790604102102</v>
      </c>
      <c r="I31" s="136">
        <f>IF(SER_hh_tes_in!I31=0,"",SER_hh_tes_in!I31/SER_hh_fec_in!I31)</f>
        <v>0.60330509721596715</v>
      </c>
      <c r="J31" s="136">
        <f>IF(SER_hh_tes_in!J31=0,"",SER_hh_tes_in!J31/SER_hh_fec_in!J31)</f>
        <v>0.60369235150432254</v>
      </c>
      <c r="K31" s="136">
        <f>IF(SER_hh_tes_in!K31=0,"",SER_hh_tes_in!K31/SER_hh_fec_in!K31)</f>
        <v>0.60407969238364878</v>
      </c>
      <c r="L31" s="136">
        <f>IF(SER_hh_tes_in!L31=0,"",SER_hh_tes_in!L31/SER_hh_fec_in!L31)</f>
        <v>0.60446712613515607</v>
      </c>
      <c r="M31" s="136">
        <f>IF(SER_hh_tes_in!M31=0,"",SER_hh_tes_in!M31/SER_hh_fec_in!M31)</f>
        <v>0.60476135995712732</v>
      </c>
      <c r="N31" s="136">
        <f>IF(SER_hh_tes_in!N31=0,"",SER_hh_tes_in!N31/SER_hh_fec_in!N31)</f>
        <v>0.60492582282332985</v>
      </c>
      <c r="O31" s="136">
        <f>IF(SER_hh_tes_in!O31=0,"",SER_hh_tes_in!O31/SER_hh_fec_in!O31)</f>
        <v>0.60502411795822653</v>
      </c>
      <c r="P31" s="136">
        <f>IF(SER_hh_tes_in!P31=0,"",SER_hh_tes_in!P31/SER_hh_fec_in!P31)</f>
        <v>0.60529839428275745</v>
      </c>
      <c r="Q31" s="136">
        <f>IF(SER_hh_tes_in!Q31=0,"",SER_hh_tes_in!Q31/SER_hh_fec_in!Q31)</f>
        <v>0.60641476299578112</v>
      </c>
      <c r="R31" s="136">
        <f>IF(SER_hh_tes_in!R31=0,"",SER_hh_tes_in!R31/SER_hh_fec_in!R31)</f>
        <v>0.60934718562079038</v>
      </c>
      <c r="S31" s="136">
        <f>IF(SER_hh_tes_in!S31=0,"",SER_hh_tes_in!S31/SER_hh_fec_in!S31)</f>
        <v>0.61348370281984776</v>
      </c>
      <c r="T31" s="136">
        <f>IF(SER_hh_tes_in!T31=0,"",SER_hh_tes_in!T31/SER_hh_fec_in!T31)</f>
        <v>0.61802227324101022</v>
      </c>
      <c r="U31" s="136">
        <f>IF(SER_hh_tes_in!U31=0,"",SER_hh_tes_in!U31/SER_hh_fec_in!U31)</f>
        <v>0.62216085553234612</v>
      </c>
      <c r="V31" s="136">
        <f>IF(SER_hh_tes_in!V31=0,"",SER_hh_tes_in!V31/SER_hh_fec_in!V31)</f>
        <v>0.62509740834191785</v>
      </c>
      <c r="W31" s="136">
        <f>IF(SER_hh_tes_in!W31=0,"",SER_hh_tes_in!W31/SER_hh_fec_in!W31)</f>
        <v>0.62650873791774742</v>
      </c>
      <c r="X31" s="136">
        <f>IF(SER_hh_tes_in!X31=0,"",SER_hh_tes_in!X31/SER_hh_fec_in!X31)</f>
        <v>0.6269205338575633</v>
      </c>
      <c r="Y31" s="136">
        <f>IF(SER_hh_tes_in!Y31=0,"",SER_hh_tes_in!Y31/SER_hh_fec_in!Y31)</f>
        <v>0.62696171345154494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0.79008987023263644</v>
      </c>
      <c r="D33" s="149">
        <f>IF(SER_hh_tes_in!D33=0,"",SER_hh_tes_in!D33/SER_hh_fec_in!D33)</f>
        <v>0.7910173838809752</v>
      </c>
      <c r="E33" s="149">
        <f>IF(SER_hh_tes_in!E33=0,"",SER_hh_tes_in!E33/SER_hh_fec_in!E33)</f>
        <v>0.79198863001239528</v>
      </c>
      <c r="F33" s="149">
        <f>IF(SER_hh_tes_in!F33=0,"",SER_hh_tes_in!F33/SER_hh_fec_in!F33)</f>
        <v>0.79296583966423573</v>
      </c>
      <c r="G33" s="149">
        <f>IF(SER_hh_tes_in!G33=0,"",SER_hh_tes_in!G33/SER_hh_fec_in!G33)</f>
        <v>0.79398332436069119</v>
      </c>
      <c r="H33" s="149">
        <f>IF(SER_hh_tes_in!H33=0,"",SER_hh_tes_in!H33/SER_hh_fec_in!H33)</f>
        <v>0.79503688480801049</v>
      </c>
      <c r="I33" s="149">
        <f>IF(SER_hh_tes_in!I33=0,"",SER_hh_tes_in!I33/SER_hh_fec_in!I33)</f>
        <v>0.79613497536675815</v>
      </c>
      <c r="J33" s="149">
        <f>IF(SER_hh_tes_in!J33=0,"",SER_hh_tes_in!J33/SER_hh_fec_in!J33)</f>
        <v>0.79731223056804468</v>
      </c>
      <c r="K33" s="149" t="str">
        <f>IF(SER_hh_tes_in!K33=0,"",SER_hh_tes_in!K33/SER_hh_fec_in!K33)</f>
        <v/>
      </c>
      <c r="L33" s="149">
        <f>IF(SER_hh_tes_in!L33=0,"",SER_hh_tes_in!L33/SER_hh_fec_in!L33)</f>
        <v>0.80000045895321525</v>
      </c>
      <c r="M33" s="149">
        <f>IF(SER_hh_tes_in!M33=0,"",SER_hh_tes_in!M33/SER_hh_fec_in!M33)</f>
        <v>0.80200552397727143</v>
      </c>
      <c r="N33" s="149">
        <f>IF(SER_hh_tes_in!N33=0,"",SER_hh_tes_in!N33/SER_hh_fec_in!N33)</f>
        <v>0.80475171421360314</v>
      </c>
      <c r="O33" s="149">
        <f>IF(SER_hh_tes_in!O33=0,"",SER_hh_tes_in!O33/SER_hh_fec_in!O33)</f>
        <v>0.80856727072177048</v>
      </c>
      <c r="P33" s="149">
        <f>IF(SER_hh_tes_in!P33=0,"",SER_hh_tes_in!P33/SER_hh_fec_in!P33)</f>
        <v>0.81361318564828766</v>
      </c>
      <c r="Q33" s="149">
        <f>IF(SER_hh_tes_in!Q33=0,"",SER_hh_tes_in!Q33/SER_hh_fec_in!Q33)</f>
        <v>0.82014264877936927</v>
      </c>
      <c r="R33" s="149">
        <f>IF(SER_hh_tes_in!R33=0,"",SER_hh_tes_in!R33/SER_hh_fec_in!R33)</f>
        <v>0.82902768701269491</v>
      </c>
      <c r="S33" s="149">
        <f>IF(SER_hh_tes_in!S33=0,"",SER_hh_tes_in!S33/SER_hh_fec_in!S33)</f>
        <v>0.84014577027967274</v>
      </c>
      <c r="T33" s="149">
        <f>IF(SER_hh_tes_in!T33=0,"",SER_hh_tes_in!T33/SER_hh_fec_in!T33)</f>
        <v>0.85211499745566366</v>
      </c>
      <c r="U33" s="149">
        <f>IF(SER_hh_tes_in!U33=0,"",SER_hh_tes_in!U33/SER_hh_fec_in!U33)</f>
        <v>0.86355346741606143</v>
      </c>
      <c r="V33" s="149">
        <f>IF(SER_hh_tes_in!V33=0,"",SER_hh_tes_in!V33/SER_hh_fec_in!V33)</f>
        <v>0.87307927903624416</v>
      </c>
      <c r="W33" s="149">
        <f>IF(SER_hh_tes_in!W33=0,"",SER_hh_tes_in!W33/SER_hh_fec_in!W33)</f>
        <v>0.88021229680154234</v>
      </c>
      <c r="X33" s="149">
        <f>IF(SER_hh_tes_in!X33=0,"",SER_hh_tes_in!X33/SER_hh_fec_in!X33)</f>
        <v>0.88793513192902496</v>
      </c>
      <c r="Y33" s="149">
        <f>IF(SER_hh_tes_in!Y33=0,"",SER_hh_tes_in!Y33/SER_hh_fec_in!Y33)</f>
        <v>0.89478370987291211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4.1034808255982629</v>
      </c>
      <c r="D3" s="125">
        <f t="shared" si="0"/>
        <v>3.1305096980865463</v>
      </c>
      <c r="E3" s="125">
        <f t="shared" si="0"/>
        <v>0.44767986335570764</v>
      </c>
      <c r="F3" s="125">
        <f t="shared" si="0"/>
        <v>2.0168414627329341</v>
      </c>
      <c r="G3" s="125">
        <f t="shared" si="0"/>
        <v>3.2884936614626663</v>
      </c>
      <c r="H3" s="125">
        <f t="shared" si="0"/>
        <v>3.6891046525166877</v>
      </c>
      <c r="I3" s="125">
        <f t="shared" si="0"/>
        <v>3.1477881307563815</v>
      </c>
      <c r="J3" s="125">
        <f t="shared" si="0"/>
        <v>3.8193975584923763</v>
      </c>
      <c r="K3" s="125">
        <f t="shared" si="0"/>
        <v>5.3586353976756804</v>
      </c>
      <c r="L3" s="125">
        <f t="shared" si="0"/>
        <v>4.9198265064766549</v>
      </c>
      <c r="M3" s="125">
        <f t="shared" si="0"/>
        <v>7.4443829853104297</v>
      </c>
      <c r="N3" s="125">
        <f t="shared" si="0"/>
        <v>7.4275482010665259</v>
      </c>
      <c r="O3" s="125">
        <f t="shared" si="0"/>
        <v>10.396394710379845</v>
      </c>
      <c r="P3" s="125">
        <f t="shared" si="0"/>
        <v>10.166940228991463</v>
      </c>
      <c r="Q3" s="125">
        <f t="shared" si="0"/>
        <v>9.9396077863071888</v>
      </c>
      <c r="R3" s="125">
        <f t="shared" ref="R3:W3" si="1">SUM(R4,R16,R19,R29)</f>
        <v>7.7725634911942052</v>
      </c>
      <c r="S3" s="125">
        <f t="shared" si="1"/>
        <v>7.60030807435672</v>
      </c>
      <c r="T3" s="125">
        <f t="shared" si="1"/>
        <v>3.995816101835544</v>
      </c>
      <c r="U3" s="125">
        <f t="shared" si="1"/>
        <v>3.0185846786976733</v>
      </c>
      <c r="V3" s="125">
        <f t="shared" si="1"/>
        <v>2.3628245894515807</v>
      </c>
      <c r="W3" s="125">
        <f t="shared" si="1"/>
        <v>4.8925373245995427</v>
      </c>
      <c r="X3" s="125">
        <f t="shared" ref="X3:Y3" si="2">SUM(X4,X16,X19,X29)</f>
        <v>4.0784678510854375</v>
      </c>
      <c r="Y3" s="125">
        <f t="shared" si="2"/>
        <v>3.2403159937989892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3.1508590912400072</v>
      </c>
      <c r="D4" s="130">
        <f t="shared" si="3"/>
        <v>2.3561442592504882</v>
      </c>
      <c r="E4" s="130">
        <f t="shared" si="3"/>
        <v>1.7096098333362481E-2</v>
      </c>
      <c r="F4" s="130">
        <f t="shared" si="3"/>
        <v>1.2391276179423216</v>
      </c>
      <c r="G4" s="130">
        <f t="shared" si="3"/>
        <v>2.4052847981108685</v>
      </c>
      <c r="H4" s="130">
        <f t="shared" si="3"/>
        <v>3.0894066902034862</v>
      </c>
      <c r="I4" s="130">
        <f t="shared" si="3"/>
        <v>2.5863759645018534</v>
      </c>
      <c r="J4" s="130">
        <f t="shared" si="3"/>
        <v>3.2359173079414218</v>
      </c>
      <c r="K4" s="130">
        <f t="shared" si="3"/>
        <v>3.5988153577219633</v>
      </c>
      <c r="L4" s="130">
        <f t="shared" si="3"/>
        <v>3.5378491428131249</v>
      </c>
      <c r="M4" s="130">
        <f t="shared" si="3"/>
        <v>5.766484162139041</v>
      </c>
      <c r="N4" s="130">
        <f t="shared" si="3"/>
        <v>6.1126797483771469</v>
      </c>
      <c r="O4" s="130">
        <f t="shared" si="3"/>
        <v>9.0225716939002858</v>
      </c>
      <c r="P4" s="130">
        <f t="shared" si="3"/>
        <v>8.7396226990988204</v>
      </c>
      <c r="Q4" s="130">
        <f t="shared" si="3"/>
        <v>8.5138801932990553</v>
      </c>
      <c r="R4" s="130">
        <f t="shared" ref="R4:W4" si="4">SUM(R5:R15)</f>
        <v>6.0981639194351613</v>
      </c>
      <c r="S4" s="130">
        <f t="shared" si="4"/>
        <v>5.8193093659253083</v>
      </c>
      <c r="T4" s="130">
        <f t="shared" si="4"/>
        <v>2.398585990031918</v>
      </c>
      <c r="U4" s="130">
        <f t="shared" si="4"/>
        <v>1.5107919781728774</v>
      </c>
      <c r="V4" s="130">
        <f t="shared" si="4"/>
        <v>1.0621910436657023</v>
      </c>
      <c r="W4" s="130">
        <f t="shared" si="4"/>
        <v>2.4526694590634741</v>
      </c>
      <c r="X4" s="130">
        <f t="shared" ref="X4:Y4" si="5">SUM(X5:X15)</f>
        <v>1.6035242235429115</v>
      </c>
      <c r="Y4" s="130">
        <f t="shared" si="5"/>
        <v>1.6661438969934872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1.3380311757888967</v>
      </c>
      <c r="D7" s="132">
        <v>1.1025197636657782</v>
      </c>
      <c r="E7" s="132">
        <v>1.7096098333362481E-2</v>
      </c>
      <c r="F7" s="132">
        <v>0.42962040312253397</v>
      </c>
      <c r="G7" s="132">
        <v>0</v>
      </c>
      <c r="H7" s="132">
        <v>0</v>
      </c>
      <c r="I7" s="132">
        <v>0</v>
      </c>
      <c r="J7" s="132">
        <v>0</v>
      </c>
      <c r="K7" s="132">
        <v>1.0798691961015525</v>
      </c>
      <c r="L7" s="132">
        <v>3.5024387915872923</v>
      </c>
      <c r="M7" s="132">
        <v>4.0005039134953542</v>
      </c>
      <c r="N7" s="132">
        <v>3.1139569509418501</v>
      </c>
      <c r="O7" s="132">
        <v>5.0986511571895798</v>
      </c>
      <c r="P7" s="132">
        <v>5.4529953279078498</v>
      </c>
      <c r="Q7" s="132">
        <v>6.9897512818581164</v>
      </c>
      <c r="R7" s="132">
        <v>4.9193520004894555</v>
      </c>
      <c r="S7" s="132">
        <v>5.8193093659253083</v>
      </c>
      <c r="T7" s="132">
        <v>2.398585990031918</v>
      </c>
      <c r="U7" s="132">
        <v>1.5057958495775889</v>
      </c>
      <c r="V7" s="132">
        <v>0.85729947803403628</v>
      </c>
      <c r="W7" s="132">
        <v>0.90510482627155697</v>
      </c>
      <c r="X7" s="132">
        <v>0.24427478588908419</v>
      </c>
      <c r="Y7" s="132">
        <v>0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1.8128279154511107</v>
      </c>
      <c r="D9" s="132">
        <v>1.25362449558471</v>
      </c>
      <c r="E9" s="132">
        <v>0</v>
      </c>
      <c r="F9" s="132">
        <v>0.80950721481978771</v>
      </c>
      <c r="G9" s="132">
        <v>2.4052847981108685</v>
      </c>
      <c r="H9" s="132">
        <v>3.0894066902034862</v>
      </c>
      <c r="I9" s="132">
        <v>2.5863759645018534</v>
      </c>
      <c r="J9" s="132">
        <v>3.2359173079414218</v>
      </c>
      <c r="K9" s="132">
        <v>2.518946161620411</v>
      </c>
      <c r="L9" s="132">
        <v>3.5410351225832658E-2</v>
      </c>
      <c r="M9" s="132">
        <v>1.7659802486436871</v>
      </c>
      <c r="N9" s="132">
        <v>2.9987227974352972</v>
      </c>
      <c r="O9" s="132">
        <v>3.923920536710706</v>
      </c>
      <c r="P9" s="132">
        <v>3.2866273711909701</v>
      </c>
      <c r="Q9" s="132">
        <v>1.524128911440938</v>
      </c>
      <c r="R9" s="132">
        <v>1.1788119189457058</v>
      </c>
      <c r="S9" s="132">
        <v>0</v>
      </c>
      <c r="T9" s="132">
        <v>0</v>
      </c>
      <c r="U9" s="132">
        <v>4.9961285952884555E-3</v>
      </c>
      <c r="V9" s="132">
        <v>0.20489156563166605</v>
      </c>
      <c r="W9" s="132">
        <v>1.547564632791917</v>
      </c>
      <c r="X9" s="132">
        <v>1.3592494376538273</v>
      </c>
      <c r="Y9" s="132">
        <v>1.6661438969934872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2.5966108518989004E-3</v>
      </c>
      <c r="D16" s="130">
        <f t="shared" si="6"/>
        <v>4.3850625580662932E-3</v>
      </c>
      <c r="E16" s="130">
        <f t="shared" si="6"/>
        <v>0</v>
      </c>
      <c r="F16" s="130">
        <f t="shared" si="6"/>
        <v>9.0189144910875693E-3</v>
      </c>
      <c r="G16" s="130">
        <f t="shared" si="6"/>
        <v>2.5251075348367898E-3</v>
      </c>
      <c r="H16" s="130">
        <f t="shared" si="6"/>
        <v>3.9620430609344703E-3</v>
      </c>
      <c r="I16" s="130">
        <f t="shared" si="6"/>
        <v>6.9552326351505532E-3</v>
      </c>
      <c r="J16" s="130">
        <f t="shared" si="6"/>
        <v>2.8651764825801482E-3</v>
      </c>
      <c r="K16" s="130">
        <f t="shared" si="6"/>
        <v>4.6217537350027975E-3</v>
      </c>
      <c r="L16" s="130">
        <f t="shared" si="6"/>
        <v>2.7600333659346414E-3</v>
      </c>
      <c r="M16" s="130">
        <f t="shared" si="6"/>
        <v>9.0988133126016432E-3</v>
      </c>
      <c r="N16" s="130">
        <f t="shared" si="6"/>
        <v>9.0165239157214434E-3</v>
      </c>
      <c r="O16" s="130">
        <f t="shared" si="6"/>
        <v>1.9952757924517301E-2</v>
      </c>
      <c r="P16" s="130">
        <f t="shared" si="6"/>
        <v>3.5830046750411335E-2</v>
      </c>
      <c r="Q16" s="130">
        <f t="shared" si="6"/>
        <v>2.7419429367638547E-2</v>
      </c>
      <c r="R16" s="130">
        <f t="shared" ref="R16:W16" si="7">SUM(R17:R18)</f>
        <v>5.9084850232647604E-2</v>
      </c>
      <c r="S16" s="130">
        <f t="shared" si="7"/>
        <v>3.144215109097636E-2</v>
      </c>
      <c r="T16" s="130">
        <f t="shared" si="7"/>
        <v>1.6294960197476921E-2</v>
      </c>
      <c r="U16" s="130">
        <f t="shared" si="7"/>
        <v>2.8759682708489529E-2</v>
      </c>
      <c r="V16" s="130">
        <f t="shared" si="7"/>
        <v>2.6384829252685389E-2</v>
      </c>
      <c r="W16" s="130">
        <f t="shared" si="7"/>
        <v>2.3655035944006298E-2</v>
      </c>
      <c r="X16" s="130">
        <f t="shared" ref="X16:Y16" si="8">SUM(X17:X18)</f>
        <v>1.6679191353321306E-2</v>
      </c>
      <c r="Y16" s="130">
        <f t="shared" si="8"/>
        <v>1.7254106023556745E-2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2.5966108518989004E-3</v>
      </c>
      <c r="D17" s="132">
        <v>4.3850625580662932E-3</v>
      </c>
      <c r="E17" s="132">
        <v>0</v>
      </c>
      <c r="F17" s="132">
        <v>9.0189144910875693E-3</v>
      </c>
      <c r="G17" s="132">
        <v>2.5251075348367898E-3</v>
      </c>
      <c r="H17" s="132">
        <v>3.9620430609344703E-3</v>
      </c>
      <c r="I17" s="132">
        <v>6.9552326351505532E-3</v>
      </c>
      <c r="J17" s="132">
        <v>2.8651764825801482E-3</v>
      </c>
      <c r="K17" s="132">
        <v>4.6217537350027975E-3</v>
      </c>
      <c r="L17" s="132">
        <v>2.7600333659346414E-3</v>
      </c>
      <c r="M17" s="132">
        <v>9.0988133126016432E-3</v>
      </c>
      <c r="N17" s="132">
        <v>9.0165239157214434E-3</v>
      </c>
      <c r="O17" s="132">
        <v>1.9952757924517301E-2</v>
      </c>
      <c r="P17" s="132">
        <v>3.5830046750411335E-2</v>
      </c>
      <c r="Q17" s="132">
        <v>2.7419429367638547E-2</v>
      </c>
      <c r="R17" s="132">
        <v>5.9084850232647604E-2</v>
      </c>
      <c r="S17" s="132">
        <v>3.144215109097636E-2</v>
      </c>
      <c r="T17" s="132">
        <v>1.6294960197476921E-2</v>
      </c>
      <c r="U17" s="132">
        <v>2.8759682708489529E-2</v>
      </c>
      <c r="V17" s="132">
        <v>2.6384829252685389E-2</v>
      </c>
      <c r="W17" s="132">
        <v>2.3655035944006298E-2</v>
      </c>
      <c r="X17" s="132">
        <v>1.6679191353321306E-2</v>
      </c>
      <c r="Y17" s="132">
        <v>1.7254106023556745E-2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0.37450728472834077</v>
      </c>
      <c r="D19" s="130">
        <f t="shared" si="9"/>
        <v>0.41374306346420664</v>
      </c>
      <c r="E19" s="130">
        <f t="shared" si="9"/>
        <v>0.241643866821388</v>
      </c>
      <c r="F19" s="130">
        <f t="shared" si="9"/>
        <v>0.45435221810063131</v>
      </c>
      <c r="G19" s="130">
        <f t="shared" si="9"/>
        <v>0.42054503972217838</v>
      </c>
      <c r="H19" s="130">
        <f t="shared" si="9"/>
        <v>0.19058285654070592</v>
      </c>
      <c r="I19" s="130">
        <f t="shared" si="9"/>
        <v>0.21613525118283694</v>
      </c>
      <c r="J19" s="130">
        <f t="shared" si="9"/>
        <v>0.31535419438671253</v>
      </c>
      <c r="K19" s="130">
        <f t="shared" si="9"/>
        <v>0.26687767099176402</v>
      </c>
      <c r="L19" s="130">
        <f t="shared" si="9"/>
        <v>0.53027404042482695</v>
      </c>
      <c r="M19" s="130">
        <f t="shared" si="9"/>
        <v>0.61160947666789001</v>
      </c>
      <c r="N19" s="130">
        <f t="shared" si="9"/>
        <v>0.90001015019221253</v>
      </c>
      <c r="O19" s="130">
        <f t="shared" si="9"/>
        <v>0.90745094943305404</v>
      </c>
      <c r="P19" s="130">
        <f t="shared" si="9"/>
        <v>1.0613658281520044</v>
      </c>
      <c r="Q19" s="130">
        <f t="shared" si="9"/>
        <v>0.92644576791570066</v>
      </c>
      <c r="R19" s="130">
        <f t="shared" ref="R19:W19" si="10">SUM(R20:R27)</f>
        <v>1.0497692994691399</v>
      </c>
      <c r="S19" s="130">
        <f t="shared" si="10"/>
        <v>1.3551362995547334</v>
      </c>
      <c r="T19" s="130">
        <f t="shared" si="10"/>
        <v>0.84712974297613364</v>
      </c>
      <c r="U19" s="130">
        <f t="shared" si="10"/>
        <v>0.79966493127455096</v>
      </c>
      <c r="V19" s="130">
        <f t="shared" si="10"/>
        <v>0.31071576678799212</v>
      </c>
      <c r="W19" s="130">
        <f t="shared" si="10"/>
        <v>0.40462625481841696</v>
      </c>
      <c r="X19" s="130">
        <f t="shared" ref="X19:Y19" si="11">SUM(X20:X27)</f>
        <v>0.32539358066386614</v>
      </c>
      <c r="Y19" s="130">
        <f t="shared" si="11"/>
        <v>0.28833080114294896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0.18950826894334361</v>
      </c>
      <c r="D22" s="132">
        <v>0.19398199141458358</v>
      </c>
      <c r="E22" s="132">
        <v>0.10130463139007333</v>
      </c>
      <c r="F22" s="132">
        <v>0.14439383044160373</v>
      </c>
      <c r="G22" s="132">
        <v>0</v>
      </c>
      <c r="H22" s="132">
        <v>0</v>
      </c>
      <c r="I22" s="132">
        <v>0</v>
      </c>
      <c r="J22" s="132">
        <v>0</v>
      </c>
      <c r="K22" s="132">
        <v>4.8530919307044139E-2</v>
      </c>
      <c r="L22" s="132">
        <v>0.30759220899703366</v>
      </c>
      <c r="M22" s="132">
        <v>0.30840342881030391</v>
      </c>
      <c r="N22" s="132">
        <v>0.6109026456600799</v>
      </c>
      <c r="O22" s="132">
        <v>0.43790781816481056</v>
      </c>
      <c r="P22" s="132">
        <v>0.42878823244215813</v>
      </c>
      <c r="Q22" s="132">
        <v>0.409527296417591</v>
      </c>
      <c r="R22" s="132">
        <v>0.5900440274180645</v>
      </c>
      <c r="S22" s="132">
        <v>1.1981433689071659</v>
      </c>
      <c r="T22" s="132">
        <v>0.84712974297613364</v>
      </c>
      <c r="U22" s="132">
        <v>0.73318716901534031</v>
      </c>
      <c r="V22" s="132">
        <v>8.0047249488588143E-2</v>
      </c>
      <c r="W22" s="132">
        <v>3.1449603025895702E-2</v>
      </c>
      <c r="X22" s="132">
        <v>0</v>
      </c>
      <c r="Y22" s="132">
        <v>0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0.18499901578499717</v>
      </c>
      <c r="D23" s="132">
        <v>0.21976107204962309</v>
      </c>
      <c r="E23" s="132">
        <v>0.14033923543131469</v>
      </c>
      <c r="F23" s="132">
        <v>0.30995838765902761</v>
      </c>
      <c r="G23" s="132">
        <v>0.42054503972217838</v>
      </c>
      <c r="H23" s="132">
        <v>0.19058285654070592</v>
      </c>
      <c r="I23" s="132">
        <v>0.21613525118283694</v>
      </c>
      <c r="J23" s="132">
        <v>0.31535419438671253</v>
      </c>
      <c r="K23" s="132">
        <v>0.21834675168471987</v>
      </c>
      <c r="L23" s="132">
        <v>0.2226818314277933</v>
      </c>
      <c r="M23" s="132">
        <v>0.30320604785758609</v>
      </c>
      <c r="N23" s="132">
        <v>0.28910750453213263</v>
      </c>
      <c r="O23" s="132">
        <v>0.46954313126824354</v>
      </c>
      <c r="P23" s="132">
        <v>0.63257759570984629</v>
      </c>
      <c r="Q23" s="132">
        <v>0.51691847149810966</v>
      </c>
      <c r="R23" s="132">
        <v>0.45972527205107533</v>
      </c>
      <c r="S23" s="132">
        <v>0.15699293064756742</v>
      </c>
      <c r="T23" s="132">
        <v>0</v>
      </c>
      <c r="U23" s="132">
        <v>6.647776225921069E-2</v>
      </c>
      <c r="V23" s="132">
        <v>0.23066851729940396</v>
      </c>
      <c r="W23" s="132">
        <v>0.37317665179252124</v>
      </c>
      <c r="X23" s="132">
        <v>0.32539358066386614</v>
      </c>
      <c r="Y23" s="132">
        <v>0.28833080114294896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0.57551783877801577</v>
      </c>
      <c r="D29" s="130">
        <f t="shared" si="12"/>
        <v>0.35623731281378518</v>
      </c>
      <c r="E29" s="130">
        <f t="shared" si="12"/>
        <v>0.18893989820095716</v>
      </c>
      <c r="F29" s="130">
        <f t="shared" si="12"/>
        <v>0.31434271219889348</v>
      </c>
      <c r="G29" s="130">
        <f t="shared" si="12"/>
        <v>0.46013871609478257</v>
      </c>
      <c r="H29" s="130">
        <f t="shared" si="12"/>
        <v>0.40515306271156132</v>
      </c>
      <c r="I29" s="130">
        <f t="shared" si="12"/>
        <v>0.33832168243654037</v>
      </c>
      <c r="J29" s="130">
        <f t="shared" si="12"/>
        <v>0.26526087968166157</v>
      </c>
      <c r="K29" s="130">
        <f t="shared" si="12"/>
        <v>1.4883206152269506</v>
      </c>
      <c r="L29" s="130">
        <f t="shared" si="12"/>
        <v>0.8489432898727679</v>
      </c>
      <c r="M29" s="130">
        <f t="shared" si="12"/>
        <v>1.0571905331908966</v>
      </c>
      <c r="N29" s="130">
        <f t="shared" si="12"/>
        <v>0.40584177858144488</v>
      </c>
      <c r="O29" s="130">
        <f t="shared" si="12"/>
        <v>0.44641930912198657</v>
      </c>
      <c r="P29" s="130">
        <f t="shared" si="12"/>
        <v>0.33012165499022822</v>
      </c>
      <c r="Q29" s="130">
        <f t="shared" si="12"/>
        <v>0.47186239572479444</v>
      </c>
      <c r="R29" s="130">
        <f t="shared" ref="R29:W29" si="13">SUM(R30:R33)</f>
        <v>0.56554542205725666</v>
      </c>
      <c r="S29" s="130">
        <f t="shared" si="13"/>
        <v>0.39442025778570267</v>
      </c>
      <c r="T29" s="130">
        <f t="shared" si="13"/>
        <v>0.73380540863001553</v>
      </c>
      <c r="U29" s="130">
        <f t="shared" si="13"/>
        <v>0.67936808654175584</v>
      </c>
      <c r="V29" s="130">
        <f t="shared" si="13"/>
        <v>0.96353294974520098</v>
      </c>
      <c r="W29" s="130">
        <f t="shared" si="13"/>
        <v>2.0115865747736454</v>
      </c>
      <c r="X29" s="130">
        <f t="shared" ref="X29:Y29" si="14">SUM(X30:X33)</f>
        <v>2.1328708555253386</v>
      </c>
      <c r="Y29" s="130">
        <f t="shared" si="14"/>
        <v>1.2685871896389962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0.15122367852427299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1.3235062641975386</v>
      </c>
      <c r="L30" s="132">
        <v>0.58857913267473572</v>
      </c>
      <c r="M30" s="132">
        <v>0.75515659266039081</v>
      </c>
      <c r="N30" s="132">
        <v>6.6302196289583462E-2</v>
      </c>
      <c r="O30" s="132">
        <v>7.8603872581020279E-2</v>
      </c>
      <c r="P30" s="132">
        <v>5.0123286977696947E-2</v>
      </c>
      <c r="Q30" s="132">
        <v>0.25121453404642308</v>
      </c>
      <c r="R30" s="132">
        <v>0.31857055935290235</v>
      </c>
      <c r="S30" s="132">
        <v>0.23586144236741582</v>
      </c>
      <c r="T30" s="132">
        <v>0.55809583056314926</v>
      </c>
      <c r="U30" s="132">
        <v>0.58257371568729499</v>
      </c>
      <c r="V30" s="132">
        <v>0.72173760809512311</v>
      </c>
      <c r="W30" s="132">
        <v>1.4611997956149718</v>
      </c>
      <c r="X30" s="132">
        <v>0.69047310421291119</v>
      </c>
      <c r="Y30" s="132">
        <v>0.56055867261812442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0.42429416025374272</v>
      </c>
      <c r="D31" s="132">
        <v>0.35623731281378518</v>
      </c>
      <c r="E31" s="132">
        <v>0.18893989820095716</v>
      </c>
      <c r="F31" s="132">
        <v>0.31434271219889348</v>
      </c>
      <c r="G31" s="132">
        <v>0.46013871609478257</v>
      </c>
      <c r="H31" s="132">
        <v>0.40515306271156132</v>
      </c>
      <c r="I31" s="132">
        <v>0.33832168243654037</v>
      </c>
      <c r="J31" s="132">
        <v>0.26526087968166157</v>
      </c>
      <c r="K31" s="132">
        <v>0.164814351029412</v>
      </c>
      <c r="L31" s="132">
        <v>0.26036415719803219</v>
      </c>
      <c r="M31" s="132">
        <v>0.30203394053050586</v>
      </c>
      <c r="N31" s="132">
        <v>0.33953958229186143</v>
      </c>
      <c r="O31" s="132">
        <v>0.36781543654096627</v>
      </c>
      <c r="P31" s="132">
        <v>0.27999836801253125</v>
      </c>
      <c r="Q31" s="132">
        <v>0.22064786167837136</v>
      </c>
      <c r="R31" s="132">
        <v>0.24697486270435431</v>
      </c>
      <c r="S31" s="132">
        <v>0.15855881541828681</v>
      </c>
      <c r="T31" s="132">
        <v>0.17570957806686627</v>
      </c>
      <c r="U31" s="132">
        <v>9.6794370854460868E-2</v>
      </c>
      <c r="V31" s="132">
        <v>0.24179534165007788</v>
      </c>
      <c r="W31" s="132">
        <v>0.55038677915867373</v>
      </c>
      <c r="X31" s="132">
        <v>1.4423977513124275</v>
      </c>
      <c r="Y31" s="132">
        <v>0.70802851702087177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414288.72384498676</v>
      </c>
      <c r="D3" s="125">
        <f>IF(SER_hh_fec_in!D3=0,0,11630*1000*SER_hh_fec_in!D3/SER_hh_num_in!D3)</f>
        <v>346274.55699097819</v>
      </c>
      <c r="E3" s="125">
        <f>IF(SER_hh_fec_in!E3=0,0,11630*1000*SER_hh_fec_in!E3/SER_hh_num_in!E3)</f>
        <v>428220.87496141263</v>
      </c>
      <c r="F3" s="125">
        <f>IF(SER_hh_fec_in!F3=0,0,11630*1000*SER_hh_fec_in!F3/SER_hh_num_in!F3)</f>
        <v>379892.25762581517</v>
      </c>
      <c r="G3" s="125">
        <f>IF(SER_hh_fec_in!G3=0,0,11630*1000*SER_hh_fec_in!G3/SER_hh_num_in!G3)</f>
        <v>375373.64439143415</v>
      </c>
      <c r="H3" s="125">
        <f>IF(SER_hh_fec_in!H3=0,0,11630*1000*SER_hh_fec_in!H3/SER_hh_num_in!H3)</f>
        <v>396818.88613454945</v>
      </c>
      <c r="I3" s="125">
        <f>IF(SER_hh_fec_in!I3=0,0,11630*1000*SER_hh_fec_in!I3/SER_hh_num_in!I3)</f>
        <v>395533.47995367093</v>
      </c>
      <c r="J3" s="125">
        <f>IF(SER_hh_fec_in!J3=0,0,11630*1000*SER_hh_fec_in!J3/SER_hh_num_in!J3)</f>
        <v>405873.05673542031</v>
      </c>
      <c r="K3" s="125">
        <f>IF(SER_hh_fec_in!K3=0,0,11630*1000*SER_hh_fec_in!K3/SER_hh_num_in!K3)</f>
        <v>413366.51960089599</v>
      </c>
      <c r="L3" s="125">
        <f>IF(SER_hh_fec_in!L3=0,0,11630*1000*SER_hh_fec_in!L3/SER_hh_num_in!L3)</f>
        <v>434790.52859762457</v>
      </c>
      <c r="M3" s="125">
        <f>IF(SER_hh_fec_in!M3=0,0,11630*1000*SER_hh_fec_in!M3/SER_hh_num_in!M3)</f>
        <v>312680.21795223776</v>
      </c>
      <c r="N3" s="125">
        <f>IF(SER_hh_fec_in!N3=0,0,11630*1000*SER_hh_fec_in!N3/SER_hh_num_in!N3)</f>
        <v>333504.63783457072</v>
      </c>
      <c r="O3" s="125">
        <f>IF(SER_hh_fec_in!O3=0,0,11630*1000*SER_hh_fec_in!O3/SER_hh_num_in!O3)</f>
        <v>331871.28062147344</v>
      </c>
      <c r="P3" s="125">
        <f>IF(SER_hh_fec_in!P3=0,0,11630*1000*SER_hh_fec_in!P3/SER_hh_num_in!P3)</f>
        <v>264637.19669428281</v>
      </c>
      <c r="Q3" s="125">
        <f>IF(SER_hh_fec_in!Q3=0,0,11630*1000*SER_hh_fec_in!Q3/SER_hh_num_in!Q3)</f>
        <v>289928.117414098</v>
      </c>
      <c r="R3" s="125">
        <f>IF(SER_hh_fec_in!R3=0,0,11630*1000*SER_hh_fec_in!R3/SER_hh_num_in!R3)</f>
        <v>256289.30449808587</v>
      </c>
      <c r="S3" s="125">
        <f>IF(SER_hh_fec_in!S3=0,0,11630*1000*SER_hh_fec_in!S3/SER_hh_num_in!S3)</f>
        <v>284708.01200907107</v>
      </c>
      <c r="T3" s="125">
        <f>IF(SER_hh_fec_in!T3=0,0,11630*1000*SER_hh_fec_in!T3/SER_hh_num_in!T3)</f>
        <v>249130.7017081964</v>
      </c>
      <c r="U3" s="125">
        <f>IF(SER_hh_fec_in!U3=0,0,11630*1000*SER_hh_fec_in!U3/SER_hh_num_in!U3)</f>
        <v>248226.71796590058</v>
      </c>
      <c r="V3" s="125">
        <f>IF(SER_hh_fec_in!V3=0,0,11630*1000*SER_hh_fec_in!V3/SER_hh_num_in!V3)</f>
        <v>237739.7342872422</v>
      </c>
      <c r="W3" s="125">
        <f>IF(SER_hh_fec_in!W3=0,0,11630*1000*SER_hh_fec_in!W3/SER_hh_num_in!W3)</f>
        <v>206144.57737041236</v>
      </c>
      <c r="X3" s="125">
        <f>IF(SER_hh_fec_in!X3=0,0,11630*1000*SER_hh_fec_in!X3/SER_hh_num_in!X3)</f>
        <v>160442.14569088403</v>
      </c>
      <c r="Y3" s="125">
        <f>IF(SER_hh_fec_in!Y3=0,0,11630*1000*SER_hh_fec_in!Y3/SER_hh_num_in!Y3)</f>
        <v>147866.22030379274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312691.40074924252</v>
      </c>
      <c r="D4" s="130">
        <f>IF(SER_hh_fec_in!D4=0,0,11630*1000*SER_hh_fec_in!D4/SER_hh_num_in!D4)</f>
        <v>248970.87218600183</v>
      </c>
      <c r="E4" s="130">
        <f>IF(SER_hh_fec_in!E4=0,0,11630*1000*SER_hh_fec_in!E4/SER_hh_num_in!E4)</f>
        <v>320060.61554801796</v>
      </c>
      <c r="F4" s="130">
        <f>IF(SER_hh_fec_in!F4=0,0,11630*1000*SER_hh_fec_in!F4/SER_hh_num_in!F4)</f>
        <v>280599.23725595901</v>
      </c>
      <c r="G4" s="130">
        <f>IF(SER_hh_fec_in!G4=0,0,11630*1000*SER_hh_fec_in!G4/SER_hh_num_in!G4)</f>
        <v>276245.3299160765</v>
      </c>
      <c r="H4" s="130">
        <f>IF(SER_hh_fec_in!H4=0,0,11630*1000*SER_hh_fec_in!H4/SER_hh_num_in!H4)</f>
        <v>293629.3121811786</v>
      </c>
      <c r="I4" s="130">
        <f>IF(SER_hh_fec_in!I4=0,0,11630*1000*SER_hh_fec_in!I4/SER_hh_num_in!I4)</f>
        <v>296290.2172943718</v>
      </c>
      <c r="J4" s="130">
        <f>IF(SER_hh_fec_in!J4=0,0,11630*1000*SER_hh_fec_in!J4/SER_hh_num_in!J4)</f>
        <v>305569.57954691409</v>
      </c>
      <c r="K4" s="130">
        <f>IF(SER_hh_fec_in!K4=0,0,11630*1000*SER_hh_fec_in!K4/SER_hh_num_in!K4)</f>
        <v>283053.70104109705</v>
      </c>
      <c r="L4" s="130">
        <f>IF(SER_hh_fec_in!L4=0,0,11630*1000*SER_hh_fec_in!L4/SER_hh_num_in!L4)</f>
        <v>317469.72572044289</v>
      </c>
      <c r="M4" s="130">
        <f>IF(SER_hh_fec_in!M4=0,0,11630*1000*SER_hh_fec_in!M4/SER_hh_num_in!M4)</f>
        <v>212994.87153847821</v>
      </c>
      <c r="N4" s="130">
        <f>IF(SER_hh_fec_in!N4=0,0,11630*1000*SER_hh_fec_in!N4/SER_hh_num_in!N4)</f>
        <v>236789.97408213222</v>
      </c>
      <c r="O4" s="130">
        <f>IF(SER_hh_fec_in!O4=0,0,11630*1000*SER_hh_fec_in!O4/SER_hh_num_in!O4)</f>
        <v>238042.74499362081</v>
      </c>
      <c r="P4" s="130">
        <f>IF(SER_hh_fec_in!P4=0,0,11630*1000*SER_hh_fec_in!P4/SER_hh_num_in!P4)</f>
        <v>172027.52603267014</v>
      </c>
      <c r="Q4" s="130">
        <f>IF(SER_hh_fec_in!Q4=0,0,11630*1000*SER_hh_fec_in!Q4/SER_hh_num_in!Q4)</f>
        <v>197547.77333111493</v>
      </c>
      <c r="R4" s="130">
        <f>IF(SER_hh_fec_in!R4=0,0,11630*1000*SER_hh_fec_in!R4/SER_hh_num_in!R4)</f>
        <v>167348.84627420464</v>
      </c>
      <c r="S4" s="130">
        <f>IF(SER_hh_fec_in!S4=0,0,11630*1000*SER_hh_fec_in!S4/SER_hh_num_in!S4)</f>
        <v>194079.50449868574</v>
      </c>
      <c r="T4" s="130">
        <f>IF(SER_hh_fec_in!T4=0,0,11630*1000*SER_hh_fec_in!T4/SER_hh_num_in!T4)</f>
        <v>160245.00240619452</v>
      </c>
      <c r="U4" s="130">
        <f>IF(SER_hh_fec_in!U4=0,0,11630*1000*SER_hh_fec_in!U4/SER_hh_num_in!U4)</f>
        <v>160175.40605294835</v>
      </c>
      <c r="V4" s="130">
        <f>IF(SER_hh_fec_in!V4=0,0,11630*1000*SER_hh_fec_in!V4/SER_hh_num_in!V4)</f>
        <v>157974.59935091555</v>
      </c>
      <c r="W4" s="130">
        <f>IF(SER_hh_fec_in!W4=0,0,11630*1000*SER_hh_fec_in!W4/SER_hh_num_in!W4)</f>
        <v>116166.66469441957</v>
      </c>
      <c r="X4" s="130">
        <f>IF(SER_hh_fec_in!X4=0,0,11630*1000*SER_hh_fec_in!X4/SER_hh_num_in!X4)</f>
        <v>67161.454065690195</v>
      </c>
      <c r="Y4" s="130">
        <f>IF(SER_hh_fec_in!Y4=0,0,11630*1000*SER_hh_fec_in!Y4/SER_hh_num_in!Y4)</f>
        <v>60528.641360032219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0</v>
      </c>
      <c r="D5" s="132">
        <f>IF(SER_hh_fec_in!D5=0,0,11630*1000*SER_hh_fec_in!D5/SER_hh_num_in!D5)</f>
        <v>0</v>
      </c>
      <c r="E5" s="132">
        <f>IF(SER_hh_fec_in!E5=0,0,11630*1000*SER_hh_fec_in!E5/SER_hh_num_in!E5)</f>
        <v>0</v>
      </c>
      <c r="F5" s="132">
        <f>IF(SER_hh_fec_in!F5=0,0,11630*1000*SER_hh_fec_in!F5/SER_hh_num_in!F5)</f>
        <v>0</v>
      </c>
      <c r="G5" s="132">
        <f>IF(SER_hh_fec_in!G5=0,0,11630*1000*SER_hh_fec_in!G5/SER_hh_num_in!G5)</f>
        <v>0</v>
      </c>
      <c r="H5" s="132">
        <f>IF(SER_hh_fec_in!H5=0,0,11630*1000*SER_hh_fec_in!H5/SER_hh_num_in!H5)</f>
        <v>0</v>
      </c>
      <c r="I5" s="132">
        <f>IF(SER_hh_fec_in!I5=0,0,11630*1000*SER_hh_fec_in!I5/SER_hh_num_in!I5)</f>
        <v>0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0</v>
      </c>
      <c r="N5" s="132">
        <f>IF(SER_hh_fec_in!N5=0,0,11630*1000*SER_hh_fec_in!N5/SER_hh_num_in!N5)</f>
        <v>0</v>
      </c>
      <c r="O5" s="132">
        <f>IF(SER_hh_fec_in!O5=0,0,11630*1000*SER_hh_fec_in!O5/SER_hh_num_in!O5)</f>
        <v>0</v>
      </c>
      <c r="P5" s="132">
        <f>IF(SER_hh_fec_in!P5=0,0,11630*1000*SER_hh_fec_in!P5/SER_hh_num_in!P5)</f>
        <v>0</v>
      </c>
      <c r="Q5" s="132">
        <f>IF(SER_hh_fec_in!Q5=0,0,11630*1000*SER_hh_fec_in!Q5/SER_hh_num_in!Q5)</f>
        <v>0</v>
      </c>
      <c r="R5" s="132">
        <f>IF(SER_hh_fec_in!R5=0,0,11630*1000*SER_hh_fec_in!R5/SER_hh_num_in!R5)</f>
        <v>0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0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429963.40019130142</v>
      </c>
      <c r="D7" s="132">
        <f>IF(SER_hh_fec_in!D7=0,0,11630*1000*SER_hh_fec_in!D7/SER_hh_num_in!D7)</f>
        <v>399669.28750268882</v>
      </c>
      <c r="E7" s="132">
        <f>IF(SER_hh_fec_in!E7=0,0,11630*1000*SER_hh_fec_in!E7/SER_hh_num_in!E7)</f>
        <v>381729.39728735754</v>
      </c>
      <c r="F7" s="132">
        <f>IF(SER_hh_fec_in!F7=0,0,11630*1000*SER_hh_fec_in!F7/SER_hh_num_in!F7)</f>
        <v>405601.65159063722</v>
      </c>
      <c r="G7" s="132">
        <f>IF(SER_hh_fec_in!G7=0,0,11630*1000*SER_hh_fec_in!G7/SER_hh_num_in!G7)</f>
        <v>0</v>
      </c>
      <c r="H7" s="132">
        <f>IF(SER_hh_fec_in!H7=0,0,11630*1000*SER_hh_fec_in!H7/SER_hh_num_in!H7)</f>
        <v>0</v>
      </c>
      <c r="I7" s="132">
        <f>IF(SER_hh_fec_in!I7=0,0,11630*1000*SER_hh_fec_in!I7/SER_hh_num_in!I7)</f>
        <v>0</v>
      </c>
      <c r="J7" s="132">
        <f>IF(SER_hh_fec_in!J7=0,0,11630*1000*SER_hh_fec_in!J7/SER_hh_num_in!J7)</f>
        <v>0</v>
      </c>
      <c r="K7" s="132">
        <f>IF(SER_hh_fec_in!K7=0,0,11630*1000*SER_hh_fec_in!K7/SER_hh_num_in!K7)</f>
        <v>245993.72644005649</v>
      </c>
      <c r="L7" s="132">
        <f>IF(SER_hh_fec_in!L7=0,0,11630*1000*SER_hh_fec_in!L7/SER_hh_num_in!L7)</f>
        <v>415125.32658371702</v>
      </c>
      <c r="M7" s="132">
        <f>IF(SER_hh_fec_in!M7=0,0,11630*1000*SER_hh_fec_in!M7/SER_hh_num_in!M7)</f>
        <v>269222.24266348913</v>
      </c>
      <c r="N7" s="132">
        <f>IF(SER_hh_fec_in!N7=0,0,11630*1000*SER_hh_fec_in!N7/SER_hh_num_in!N7)</f>
        <v>249900.13285329347</v>
      </c>
      <c r="O7" s="132">
        <f>IF(SER_hh_fec_in!O7=0,0,11630*1000*SER_hh_fec_in!O7/SER_hh_num_in!O7)</f>
        <v>259143.38876675136</v>
      </c>
      <c r="P7" s="132">
        <f>IF(SER_hh_fec_in!P7=0,0,11630*1000*SER_hh_fec_in!P7/SER_hh_num_in!P7)</f>
        <v>184885.85800602299</v>
      </c>
      <c r="Q7" s="132">
        <f>IF(SER_hh_fec_in!Q7=0,0,11630*1000*SER_hh_fec_in!Q7/SER_hh_num_in!Q7)</f>
        <v>220219.34194607113</v>
      </c>
      <c r="R7" s="132">
        <f>IF(SER_hh_fec_in!R7=0,0,11630*1000*SER_hh_fec_in!R7/SER_hh_num_in!R7)</f>
        <v>180870.93875090466</v>
      </c>
      <c r="S7" s="132">
        <f>IF(SER_hh_fec_in!S7=0,0,11630*1000*SER_hh_fec_in!S7/SER_hh_num_in!S7)</f>
        <v>226103.92643370884</v>
      </c>
      <c r="T7" s="132">
        <f>IF(SER_hh_fec_in!T7=0,0,11630*1000*SER_hh_fec_in!T7/SER_hh_num_in!T7)</f>
        <v>196538.71509530867</v>
      </c>
      <c r="U7" s="132">
        <f>IF(SER_hh_fec_in!U7=0,0,11630*1000*SER_hh_fec_in!U7/SER_hh_num_in!U7)</f>
        <v>215416.2235787822</v>
      </c>
      <c r="V7" s="132">
        <f>IF(SER_hh_fec_in!V7=0,0,11630*1000*SER_hh_fec_in!V7/SER_hh_num_in!V7)</f>
        <v>174363.86011845127</v>
      </c>
      <c r="W7" s="132">
        <f>IF(SER_hh_fec_in!W7=0,0,11630*1000*SER_hh_fec_in!W7/SER_hh_num_in!W7)</f>
        <v>108425.39848840916</v>
      </c>
      <c r="X7" s="132">
        <f>IF(SER_hh_fec_in!X7=0,0,11630*1000*SER_hh_fec_in!X7/SER_hh_num_in!X7)</f>
        <v>66303.863831491879</v>
      </c>
      <c r="Y7" s="132">
        <f>IF(SER_hh_fec_in!Y7=0,0,11630*1000*SER_hh_fec_in!Y7/SER_hh_num_in!Y7)</f>
        <v>0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0</v>
      </c>
      <c r="D8" s="132">
        <f>IF(SER_hh_fec_in!D8=0,0,11630*1000*SER_hh_fec_in!D8/SER_hh_num_in!D8)</f>
        <v>0</v>
      </c>
      <c r="E8" s="132">
        <f>IF(SER_hh_fec_in!E8=0,0,11630*1000*SER_hh_fec_in!E8/SER_hh_num_in!E8)</f>
        <v>0</v>
      </c>
      <c r="F8" s="132">
        <f>IF(SER_hh_fec_in!F8=0,0,11630*1000*SER_hh_fec_in!F8/SER_hh_num_in!F8)</f>
        <v>0</v>
      </c>
      <c r="G8" s="132">
        <f>IF(SER_hh_fec_in!G8=0,0,11630*1000*SER_hh_fec_in!G8/SER_hh_num_in!G8)</f>
        <v>0</v>
      </c>
      <c r="H8" s="132">
        <f>IF(SER_hh_fec_in!H8=0,0,11630*1000*SER_hh_fec_in!H8/SER_hh_num_in!H8)</f>
        <v>0</v>
      </c>
      <c r="I8" s="132">
        <f>IF(SER_hh_fec_in!I8=0,0,11630*1000*SER_hh_fec_in!I8/SER_hh_num_in!I8)</f>
        <v>0</v>
      </c>
      <c r="J8" s="132">
        <f>IF(SER_hh_fec_in!J8=0,0,11630*1000*SER_hh_fec_in!J8/SER_hh_num_in!J8)</f>
        <v>0</v>
      </c>
      <c r="K8" s="132">
        <f>IF(SER_hh_fec_in!K8=0,0,11630*1000*SER_hh_fec_in!K8/SER_hh_num_in!K8)</f>
        <v>0</v>
      </c>
      <c r="L8" s="132">
        <f>IF(SER_hh_fec_in!L8=0,0,11630*1000*SER_hh_fec_in!L8/SER_hh_num_in!L8)</f>
        <v>0</v>
      </c>
      <c r="M8" s="132">
        <f>IF(SER_hh_fec_in!M8=0,0,11630*1000*SER_hh_fec_in!M8/SER_hh_num_in!M8)</f>
        <v>0</v>
      </c>
      <c r="N8" s="132">
        <f>IF(SER_hh_fec_in!N8=0,0,11630*1000*SER_hh_fec_in!N8/SER_hh_num_in!N8)</f>
        <v>0</v>
      </c>
      <c r="O8" s="132">
        <f>IF(SER_hh_fec_in!O8=0,0,11630*1000*SER_hh_fec_in!O8/SER_hh_num_in!O8)</f>
        <v>0</v>
      </c>
      <c r="P8" s="132">
        <f>IF(SER_hh_fec_in!P8=0,0,11630*1000*SER_hh_fec_in!P8/SER_hh_num_in!P8)</f>
        <v>0</v>
      </c>
      <c r="Q8" s="132">
        <f>IF(SER_hh_fec_in!Q8=0,0,11630*1000*SER_hh_fec_in!Q8/SER_hh_num_in!Q8)</f>
        <v>0</v>
      </c>
      <c r="R8" s="132">
        <f>IF(SER_hh_fec_in!R8=0,0,11630*1000*SER_hh_fec_in!R8/SER_hh_num_in!R8)</f>
        <v>0</v>
      </c>
      <c r="S8" s="132">
        <f>IF(SER_hh_fec_in!S8=0,0,11630*1000*SER_hh_fec_in!S8/SER_hh_num_in!S8)</f>
        <v>0</v>
      </c>
      <c r="T8" s="132">
        <f>IF(SER_hh_fec_in!T8=0,0,11630*1000*SER_hh_fec_in!T8/SER_hh_num_in!T8)</f>
        <v>0</v>
      </c>
      <c r="U8" s="132">
        <f>IF(SER_hh_fec_in!U8=0,0,11630*1000*SER_hh_fec_in!U8/SER_hh_num_in!U8)</f>
        <v>0</v>
      </c>
      <c r="V8" s="132">
        <f>IF(SER_hh_fec_in!V8=0,0,11630*1000*SER_hh_fec_in!V8/SER_hh_num_in!V8)</f>
        <v>0</v>
      </c>
      <c r="W8" s="132">
        <f>IF(SER_hh_fec_in!W8=0,0,11630*1000*SER_hh_fec_in!W8/SER_hh_num_in!W8)</f>
        <v>0</v>
      </c>
      <c r="X8" s="132">
        <f>IF(SER_hh_fec_in!X8=0,0,11630*1000*SER_hh_fec_in!X8/SER_hh_num_in!X8)</f>
        <v>0</v>
      </c>
      <c r="Y8" s="132">
        <f>IF(SER_hh_fec_in!Y8=0,0,11630*1000*SER_hh_fec_in!Y8/SER_hh_num_in!Y8)</f>
        <v>0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316995.59202373453</v>
      </c>
      <c r="D9" s="132">
        <f>IF(SER_hh_fec_in!D9=0,0,11630*1000*SER_hh_fec_in!D9/SER_hh_num_in!D9)</f>
        <v>353974.31124108064</v>
      </c>
      <c r="E9" s="132">
        <f>IF(SER_hh_fec_in!E9=0,0,11630*1000*SER_hh_fec_in!E9/SER_hh_num_in!E9)</f>
        <v>0</v>
      </c>
      <c r="F9" s="132">
        <f>IF(SER_hh_fec_in!F9=0,0,11630*1000*SER_hh_fec_in!F9/SER_hh_num_in!F9)</f>
        <v>364492.61939803755</v>
      </c>
      <c r="G9" s="132">
        <f>IF(SER_hh_fec_in!G9=0,0,11630*1000*SER_hh_fec_in!G9/SER_hh_num_in!G9)</f>
        <v>304381.51946540049</v>
      </c>
      <c r="H9" s="132">
        <f>IF(SER_hh_fec_in!H9=0,0,11630*1000*SER_hh_fec_in!H9/SER_hh_num_in!H9)</f>
        <v>364031.28866302862</v>
      </c>
      <c r="I9" s="132">
        <f>IF(SER_hh_fec_in!I9=0,0,11630*1000*SER_hh_fec_in!I9/SER_hh_num_in!I9)</f>
        <v>284046.29717657244</v>
      </c>
      <c r="J9" s="132">
        <f>IF(SER_hh_fec_in!J9=0,0,11630*1000*SER_hh_fec_in!J9/SER_hh_num_in!J9)</f>
        <v>335798.34159979422</v>
      </c>
      <c r="K9" s="132">
        <f>IF(SER_hh_fec_in!K9=0,0,11630*1000*SER_hh_fec_in!K9/SER_hh_num_in!K9)</f>
        <v>336721.05971916567</v>
      </c>
      <c r="L9" s="132">
        <f>IF(SER_hh_fec_in!L9=0,0,11630*1000*SER_hh_fec_in!L9/SER_hh_num_in!L9)</f>
        <v>387414.50649309723</v>
      </c>
      <c r="M9" s="132">
        <f>IF(SER_hh_fec_in!M9=0,0,11630*1000*SER_hh_fec_in!M9/SER_hh_num_in!M9)</f>
        <v>152957.04585921339</v>
      </c>
      <c r="N9" s="132">
        <f>IF(SER_hh_fec_in!N9=0,0,11630*1000*SER_hh_fec_in!N9/SER_hh_num_in!N9)</f>
        <v>264124.43907605595</v>
      </c>
      <c r="O9" s="132">
        <f>IF(SER_hh_fec_in!O9=0,0,11630*1000*SER_hh_fec_in!O9/SER_hh_num_in!O9)</f>
        <v>238296.06883824995</v>
      </c>
      <c r="P9" s="132">
        <f>IF(SER_hh_fec_in!P9=0,0,11630*1000*SER_hh_fec_in!P9/SER_hh_num_in!P9)</f>
        <v>169113.69769845752</v>
      </c>
      <c r="Q9" s="132">
        <f>IF(SER_hh_fec_in!Q9=0,0,11630*1000*SER_hh_fec_in!Q9/SER_hh_num_in!Q9)</f>
        <v>181734.42416381769</v>
      </c>
      <c r="R9" s="132">
        <f>IF(SER_hh_fec_in!R9=0,0,11630*1000*SER_hh_fec_in!R9/SER_hh_num_in!R9)</f>
        <v>200191.29220582498</v>
      </c>
      <c r="S9" s="132">
        <f>IF(SER_hh_fec_in!S9=0,0,11630*1000*SER_hh_fec_in!S9/SER_hh_num_in!S9)</f>
        <v>0</v>
      </c>
      <c r="T9" s="132">
        <f>IF(SER_hh_fec_in!T9=0,0,11630*1000*SER_hh_fec_in!T9/SER_hh_num_in!T9)</f>
        <v>0</v>
      </c>
      <c r="U9" s="132">
        <f>IF(SER_hh_fec_in!U9=0,0,11630*1000*SER_hh_fec_in!U9/SER_hh_num_in!U9)</f>
        <v>178203.92308589112</v>
      </c>
      <c r="V9" s="132">
        <f>IF(SER_hh_fec_in!V9=0,0,11630*1000*SER_hh_fec_in!V9/SER_hh_num_in!V9)</f>
        <v>120346.03039006016</v>
      </c>
      <c r="W9" s="132">
        <f>IF(SER_hh_fec_in!W9=0,0,11630*1000*SER_hh_fec_in!W9/SER_hh_num_in!W9)</f>
        <v>137104.25058985074</v>
      </c>
      <c r="X9" s="132">
        <f>IF(SER_hh_fec_in!X9=0,0,11630*1000*SER_hh_fec_in!X9/SER_hh_num_in!X9)</f>
        <v>70442.44708169096</v>
      </c>
      <c r="Y9" s="132">
        <f>IF(SER_hh_fec_in!Y9=0,0,11630*1000*SER_hh_fec_in!Y9/SER_hh_num_in!Y9)</f>
        <v>62303.390174831889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314576.63417469891</v>
      </c>
      <c r="D10" s="132">
        <f>IF(SER_hh_fec_in!D10=0,0,11630*1000*SER_hh_fec_in!D10/SER_hh_num_in!D10)</f>
        <v>421986.88124856667</v>
      </c>
      <c r="E10" s="132">
        <f>IF(SER_hh_fec_in!E10=0,0,11630*1000*SER_hh_fec_in!E10/SER_hh_num_in!E10)</f>
        <v>0</v>
      </c>
      <c r="F10" s="132">
        <f>IF(SER_hh_fec_in!F10=0,0,11630*1000*SER_hh_fec_in!F10/SER_hh_num_in!F10)</f>
        <v>0</v>
      </c>
      <c r="G10" s="132">
        <f>IF(SER_hh_fec_in!G10=0,0,11630*1000*SER_hh_fec_in!G10/SER_hh_num_in!G10)</f>
        <v>0</v>
      </c>
      <c r="H10" s="132">
        <f>IF(SER_hh_fec_in!H10=0,0,11630*1000*SER_hh_fec_in!H10/SER_hh_num_in!H10)</f>
        <v>0</v>
      </c>
      <c r="I10" s="132">
        <f>IF(SER_hh_fec_in!I10=0,0,11630*1000*SER_hh_fec_in!I10/SER_hh_num_in!I10)</f>
        <v>156207.80908566492</v>
      </c>
      <c r="J10" s="132">
        <f>IF(SER_hh_fec_in!J10=0,0,11630*1000*SER_hh_fec_in!J10/SER_hh_num_in!J10)</f>
        <v>278919.6718345352</v>
      </c>
      <c r="K10" s="132">
        <f>IF(SER_hh_fec_in!K10=0,0,11630*1000*SER_hh_fec_in!K10/SER_hh_num_in!K10)</f>
        <v>412377.95246233069</v>
      </c>
      <c r="L10" s="132">
        <f>IF(SER_hh_fec_in!L10=0,0,11630*1000*SER_hh_fec_in!L10/SER_hh_num_in!L10)</f>
        <v>290370.1428742861</v>
      </c>
      <c r="M10" s="132">
        <f>IF(SER_hh_fec_in!M10=0,0,11630*1000*SER_hh_fec_in!M10/SER_hh_num_in!M10)</f>
        <v>112654.55291029677</v>
      </c>
      <c r="N10" s="132">
        <f>IF(SER_hh_fec_in!N10=0,0,11630*1000*SER_hh_fec_in!N10/SER_hh_num_in!N10)</f>
        <v>197898.14287569033</v>
      </c>
      <c r="O10" s="132">
        <f>IF(SER_hh_fec_in!O10=0,0,11630*1000*SER_hh_fec_in!O10/SER_hh_num_in!O10)</f>
        <v>273023.46995771606</v>
      </c>
      <c r="P10" s="132">
        <f>IF(SER_hh_fec_in!P10=0,0,11630*1000*SER_hh_fec_in!P10/SER_hh_num_in!P10)</f>
        <v>336871.85771668557</v>
      </c>
      <c r="Q10" s="132">
        <f>IF(SER_hh_fec_in!Q10=0,0,11630*1000*SER_hh_fec_in!Q10/SER_hh_num_in!Q10)</f>
        <v>132673.67129588409</v>
      </c>
      <c r="R10" s="132">
        <f>IF(SER_hh_fec_in!R10=0,0,11630*1000*SER_hh_fec_in!R10/SER_hh_num_in!R10)</f>
        <v>0</v>
      </c>
      <c r="S10" s="132">
        <f>IF(SER_hh_fec_in!S10=0,0,11630*1000*SER_hh_fec_in!S10/SER_hh_num_in!S10)</f>
        <v>0</v>
      </c>
      <c r="T10" s="132">
        <f>IF(SER_hh_fec_in!T10=0,0,11630*1000*SER_hh_fec_in!T10/SER_hh_num_in!T10)</f>
        <v>0</v>
      </c>
      <c r="U10" s="132">
        <f>IF(SER_hh_fec_in!U10=0,0,11630*1000*SER_hh_fec_in!U10/SER_hh_num_in!U10)</f>
        <v>0</v>
      </c>
      <c r="V10" s="132">
        <f>IF(SER_hh_fec_in!V10=0,0,11630*1000*SER_hh_fec_in!V10/SER_hh_num_in!V10)</f>
        <v>106313.08129392299</v>
      </c>
      <c r="W10" s="132">
        <f>IF(SER_hh_fec_in!W10=0,0,11630*1000*SER_hh_fec_in!W10/SER_hh_num_in!W10)</f>
        <v>162357.9545879651</v>
      </c>
      <c r="X10" s="132">
        <f>IF(SER_hh_fec_in!X10=0,0,11630*1000*SER_hh_fec_in!X10/SER_hh_num_in!X10)</f>
        <v>75512.723268627597</v>
      </c>
      <c r="Y10" s="132">
        <f>IF(SER_hh_fec_in!Y10=0,0,11630*1000*SER_hh_fec_in!Y10/SER_hh_num_in!Y10)</f>
        <v>83395.855257967793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0</v>
      </c>
      <c r="J11" s="132">
        <f>IF(SER_hh_fec_in!J11=0,0,11630*1000*SER_hh_fec_in!J11/SER_hh_num_in!J11)</f>
        <v>0</v>
      </c>
      <c r="K11" s="132">
        <f>IF(SER_hh_fec_in!K11=0,0,11630*1000*SER_hh_fec_in!K11/SER_hh_num_in!K11)</f>
        <v>0</v>
      </c>
      <c r="L11" s="132">
        <f>IF(SER_hh_fec_in!L11=0,0,11630*1000*SER_hh_fec_in!L11/SER_hh_num_in!L11)</f>
        <v>0</v>
      </c>
      <c r="M11" s="132">
        <f>IF(SER_hh_fec_in!M11=0,0,11630*1000*SER_hh_fec_in!M11/SER_hh_num_in!M11)</f>
        <v>0</v>
      </c>
      <c r="N11" s="132">
        <f>IF(SER_hh_fec_in!N11=0,0,11630*1000*SER_hh_fec_in!N11/SER_hh_num_in!N11)</f>
        <v>0</v>
      </c>
      <c r="O11" s="132">
        <f>IF(SER_hh_fec_in!O11=0,0,11630*1000*SER_hh_fec_in!O11/SER_hh_num_in!O11)</f>
        <v>0</v>
      </c>
      <c r="P11" s="132">
        <f>IF(SER_hh_fec_in!P11=0,0,11630*1000*SER_hh_fec_in!P11/SER_hh_num_in!P11)</f>
        <v>0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0</v>
      </c>
      <c r="T11" s="132">
        <f>IF(SER_hh_fec_in!T11=0,0,11630*1000*SER_hh_fec_in!T11/SER_hh_num_in!T11)</f>
        <v>0</v>
      </c>
      <c r="U11" s="132">
        <f>IF(SER_hh_fec_in!U11=0,0,11630*1000*SER_hh_fec_in!U11/SER_hh_num_in!U11)</f>
        <v>0</v>
      </c>
      <c r="V11" s="132">
        <f>IF(SER_hh_fec_in!V11=0,0,11630*1000*SER_hh_fec_in!V11/SER_hh_num_in!V11)</f>
        <v>0</v>
      </c>
      <c r="W11" s="132">
        <f>IF(SER_hh_fec_in!W11=0,0,11630*1000*SER_hh_fec_in!W11/SER_hh_num_in!W11)</f>
        <v>0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0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220663.89708020308</v>
      </c>
      <c r="D12" s="132">
        <f>IF(SER_hh_fec_in!D12=0,0,11630*1000*SER_hh_fec_in!D12/SER_hh_num_in!D12)</f>
        <v>200702.4347920272</v>
      </c>
      <c r="E12" s="132">
        <f>IF(SER_hh_fec_in!E12=0,0,11630*1000*SER_hh_fec_in!E12/SER_hh_num_in!E12)</f>
        <v>318616.79368350952</v>
      </c>
      <c r="F12" s="132">
        <f>IF(SER_hh_fec_in!F12=0,0,11630*1000*SER_hh_fec_in!F12/SER_hh_num_in!F12)</f>
        <v>267438.77721790131</v>
      </c>
      <c r="G12" s="132">
        <f>IF(SER_hh_fec_in!G12=0,0,11630*1000*SER_hh_fec_in!G12/SER_hh_num_in!G12)</f>
        <v>250161.77114961285</v>
      </c>
      <c r="H12" s="132">
        <f>IF(SER_hh_fec_in!H12=0,0,11630*1000*SER_hh_fec_in!H12/SER_hh_num_in!H12)</f>
        <v>251208.16260405121</v>
      </c>
      <c r="I12" s="132">
        <f>IF(SER_hh_fec_in!I12=0,0,11630*1000*SER_hh_fec_in!I12/SER_hh_num_in!I12)</f>
        <v>0</v>
      </c>
      <c r="J12" s="132">
        <f>IF(SER_hh_fec_in!J12=0,0,11630*1000*SER_hh_fec_in!J12/SER_hh_num_in!J12)</f>
        <v>0</v>
      </c>
      <c r="K12" s="132">
        <f>IF(SER_hh_fec_in!K12=0,0,11630*1000*SER_hh_fec_in!K12/SER_hh_num_in!K12)</f>
        <v>196811.64699541451</v>
      </c>
      <c r="L12" s="132">
        <f>IF(SER_hh_fec_in!L12=0,0,11630*1000*SER_hh_fec_in!L12/SER_hh_num_in!L12)</f>
        <v>221354.68186134126</v>
      </c>
      <c r="M12" s="132">
        <f>IF(SER_hh_fec_in!M12=0,0,11630*1000*SER_hh_fec_in!M12/SER_hh_num_in!M12)</f>
        <v>225709.52287248935</v>
      </c>
      <c r="N12" s="132">
        <f>IF(SER_hh_fec_in!N12=0,0,11630*1000*SER_hh_fec_in!N12/SER_hh_num_in!N12)</f>
        <v>196564.20056476566</v>
      </c>
      <c r="O12" s="132">
        <f>IF(SER_hh_fec_in!O12=0,0,11630*1000*SER_hh_fec_in!O12/SER_hh_num_in!O12)</f>
        <v>205472.48411200897</v>
      </c>
      <c r="P12" s="132">
        <f>IF(SER_hh_fec_in!P12=0,0,11630*1000*SER_hh_fec_in!P12/SER_hh_num_in!P12)</f>
        <v>132670.00797533311</v>
      </c>
      <c r="Q12" s="132">
        <f>IF(SER_hh_fec_in!Q12=0,0,11630*1000*SER_hh_fec_in!Q12/SER_hh_num_in!Q12)</f>
        <v>157050.19554288191</v>
      </c>
      <c r="R12" s="132">
        <f>IF(SER_hh_fec_in!R12=0,0,11630*1000*SER_hh_fec_in!R12/SER_hh_num_in!R12)</f>
        <v>150514.91029776292</v>
      </c>
      <c r="S12" s="132">
        <f>IF(SER_hh_fec_in!S12=0,0,11630*1000*SER_hh_fec_in!S12/SER_hh_num_in!S12)</f>
        <v>155236.27807618078</v>
      </c>
      <c r="T12" s="132">
        <f>IF(SER_hh_fec_in!T12=0,0,11630*1000*SER_hh_fec_in!T12/SER_hh_num_in!T12)</f>
        <v>148506.47300273029</v>
      </c>
      <c r="U12" s="132">
        <f>IF(SER_hh_fec_in!U12=0,0,11630*1000*SER_hh_fec_in!U12/SER_hh_num_in!U12)</f>
        <v>149685.81864281191</v>
      </c>
      <c r="V12" s="132">
        <f>IF(SER_hh_fec_in!V12=0,0,11630*1000*SER_hh_fec_in!V12/SER_hh_num_in!V12)</f>
        <v>157582.36542775147</v>
      </c>
      <c r="W12" s="132">
        <f>IF(SER_hh_fec_in!W12=0,0,11630*1000*SER_hh_fec_in!W12/SER_hh_num_in!W12)</f>
        <v>107049.520519142</v>
      </c>
      <c r="X12" s="132">
        <f>IF(SER_hh_fec_in!X12=0,0,11630*1000*SER_hh_fec_in!X12/SER_hh_num_in!X12)</f>
        <v>63669.23817813307</v>
      </c>
      <c r="Y12" s="132">
        <f>IF(SER_hh_fec_in!Y12=0,0,11630*1000*SER_hh_fec_in!Y12/SER_hh_num_in!Y12)</f>
        <v>56832.418180946479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0</v>
      </c>
      <c r="D13" s="132">
        <f>IF(SER_hh_fec_in!D13=0,0,11630*1000*SER_hh_fec_in!D13/SER_hh_num_in!D13)</f>
        <v>0</v>
      </c>
      <c r="E13" s="132">
        <f>IF(SER_hh_fec_in!E13=0,0,11630*1000*SER_hh_fec_in!E13/SER_hh_num_in!E13)</f>
        <v>0</v>
      </c>
      <c r="F13" s="132">
        <f>IF(SER_hh_fec_in!F13=0,0,11630*1000*SER_hh_fec_in!F13/SER_hh_num_in!F13)</f>
        <v>0</v>
      </c>
      <c r="G13" s="132">
        <f>IF(SER_hh_fec_in!G13=0,0,11630*1000*SER_hh_fec_in!G13/SER_hh_num_in!G13)</f>
        <v>0</v>
      </c>
      <c r="H13" s="132">
        <f>IF(SER_hh_fec_in!H13=0,0,11630*1000*SER_hh_fec_in!H13/SER_hh_num_in!H13)</f>
        <v>0</v>
      </c>
      <c r="I13" s="132">
        <f>IF(SER_hh_fec_in!I13=0,0,11630*1000*SER_hh_fec_in!I13/SER_hh_num_in!I13)</f>
        <v>0</v>
      </c>
      <c r="J13" s="132">
        <f>IF(SER_hh_fec_in!J13=0,0,11630*1000*SER_hh_fec_in!J13/SER_hh_num_in!J13)</f>
        <v>0</v>
      </c>
      <c r="K13" s="132">
        <f>IF(SER_hh_fec_in!K13=0,0,11630*1000*SER_hh_fec_in!K13/SER_hh_num_in!K13)</f>
        <v>0</v>
      </c>
      <c r="L13" s="132">
        <f>IF(SER_hh_fec_in!L13=0,0,11630*1000*SER_hh_fec_in!L13/SER_hh_num_in!L13)</f>
        <v>0</v>
      </c>
      <c r="M13" s="132">
        <f>IF(SER_hh_fec_in!M13=0,0,11630*1000*SER_hh_fec_in!M13/SER_hh_num_in!M13)</f>
        <v>0</v>
      </c>
      <c r="N13" s="132">
        <f>IF(SER_hh_fec_in!N13=0,0,11630*1000*SER_hh_fec_in!N13/SER_hh_num_in!N13)</f>
        <v>0</v>
      </c>
      <c r="O13" s="132">
        <f>IF(SER_hh_fec_in!O13=0,0,11630*1000*SER_hh_fec_in!O13/SER_hh_num_in!O13)</f>
        <v>0</v>
      </c>
      <c r="P13" s="132">
        <f>IF(SER_hh_fec_in!P13=0,0,11630*1000*SER_hh_fec_in!P13/SER_hh_num_in!P13)</f>
        <v>0</v>
      </c>
      <c r="Q13" s="132">
        <f>IF(SER_hh_fec_in!Q13=0,0,11630*1000*SER_hh_fec_in!Q13/SER_hh_num_in!Q13)</f>
        <v>0</v>
      </c>
      <c r="R13" s="132">
        <f>IF(SER_hh_fec_in!R13=0,0,11630*1000*SER_hh_fec_in!R13/SER_hh_num_in!R13)</f>
        <v>0</v>
      </c>
      <c r="S13" s="132">
        <f>IF(SER_hh_fec_in!S13=0,0,11630*1000*SER_hh_fec_in!S13/SER_hh_num_in!S13)</f>
        <v>0</v>
      </c>
      <c r="T13" s="132">
        <f>IF(SER_hh_fec_in!T13=0,0,11630*1000*SER_hh_fec_in!T13/SER_hh_num_in!T13)</f>
        <v>0</v>
      </c>
      <c r="U13" s="132">
        <f>IF(SER_hh_fec_in!U13=0,0,11630*1000*SER_hh_fec_in!U13/SER_hh_num_in!U13)</f>
        <v>0</v>
      </c>
      <c r="V13" s="132">
        <f>IF(SER_hh_fec_in!V13=0,0,11630*1000*SER_hh_fec_in!V13/SER_hh_num_in!V13)</f>
        <v>0</v>
      </c>
      <c r="W13" s="132">
        <f>IF(SER_hh_fec_in!W13=0,0,11630*1000*SER_hh_fec_in!W13/SER_hh_num_in!W13)</f>
        <v>0</v>
      </c>
      <c r="X13" s="132">
        <f>IF(SER_hh_fec_in!X13=0,0,11630*1000*SER_hh_fec_in!X13/SER_hh_num_in!X13)</f>
        <v>0</v>
      </c>
      <c r="Y13" s="132">
        <f>IF(SER_hh_fec_in!Y13=0,0,11630*1000*SER_hh_fec_in!Y13/SER_hh_num_in!Y13)</f>
        <v>0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354222.30770611612</v>
      </c>
      <c r="D14" s="65">
        <f>IF(SER_hh_fec_in!D14=0,0,11630*1000*SER_hh_fec_in!D14/SER_hh_num_in!D14)</f>
        <v>0</v>
      </c>
      <c r="E14" s="65">
        <f>IF(SER_hh_fec_in!E14=0,0,11630*1000*SER_hh_fec_in!E14/SER_hh_num_in!E14)</f>
        <v>0</v>
      </c>
      <c r="F14" s="65">
        <f>IF(SER_hh_fec_in!F14=0,0,11630*1000*SER_hh_fec_in!F14/SER_hh_num_in!F14)</f>
        <v>233772.29220307822</v>
      </c>
      <c r="G14" s="65">
        <f>IF(SER_hh_fec_in!G14=0,0,11630*1000*SER_hh_fec_in!G14/SER_hh_num_in!G14)</f>
        <v>266590.49765852414</v>
      </c>
      <c r="H14" s="65">
        <f>IF(SER_hh_fec_in!H14=0,0,11630*1000*SER_hh_fec_in!H14/SER_hh_num_in!H14)</f>
        <v>232551.04923235922</v>
      </c>
      <c r="I14" s="65">
        <f>IF(SER_hh_fec_in!I14=0,0,11630*1000*SER_hh_fec_in!I14/SER_hh_num_in!I14)</f>
        <v>303828.65633809724</v>
      </c>
      <c r="J14" s="65">
        <f>IF(SER_hh_fec_in!J14=0,0,11630*1000*SER_hh_fec_in!J14/SER_hh_num_in!J14)</f>
        <v>264713.76238291134</v>
      </c>
      <c r="K14" s="65">
        <f>IF(SER_hh_fec_in!K14=0,0,11630*1000*SER_hh_fec_in!K14/SER_hh_num_in!K14)</f>
        <v>236087.8246023854</v>
      </c>
      <c r="L14" s="65">
        <f>IF(SER_hh_fec_in!L14=0,0,11630*1000*SER_hh_fec_in!L14/SER_hh_num_in!L14)</f>
        <v>240459.54381849719</v>
      </c>
      <c r="M14" s="65">
        <f>IF(SER_hh_fec_in!M14=0,0,11630*1000*SER_hh_fec_in!M14/SER_hh_num_in!M14)</f>
        <v>201349.83509067266</v>
      </c>
      <c r="N14" s="65">
        <f>IF(SER_hh_fec_in!N14=0,0,11630*1000*SER_hh_fec_in!N14/SER_hh_num_in!N14)</f>
        <v>208866.17886281313</v>
      </c>
      <c r="O14" s="65">
        <f>IF(SER_hh_fec_in!O14=0,0,11630*1000*SER_hh_fec_in!O14/SER_hh_num_in!O14)</f>
        <v>208414.03107885004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118330.93605290008</v>
      </c>
      <c r="S14" s="65">
        <f>IF(SER_hh_fec_in!S14=0,0,11630*1000*SER_hh_fec_in!S14/SER_hh_num_in!S14)</f>
        <v>201914.5573625511</v>
      </c>
      <c r="T14" s="65">
        <f>IF(SER_hh_fec_in!T14=0,0,11630*1000*SER_hh_fec_in!T14/SER_hh_num_in!T14)</f>
        <v>158529.59573084177</v>
      </c>
      <c r="U14" s="65">
        <f>IF(SER_hh_fec_in!U14=0,0,11630*1000*SER_hh_fec_in!U14/SER_hh_num_in!U14)</f>
        <v>164682.57835630522</v>
      </c>
      <c r="V14" s="65">
        <f>IF(SER_hh_fec_in!V14=0,0,11630*1000*SER_hh_fec_in!V14/SER_hh_num_in!V14)</f>
        <v>131309.43348806541</v>
      </c>
      <c r="W14" s="65">
        <f>IF(SER_hh_fec_in!W14=0,0,11630*1000*SER_hh_fec_in!W14/SER_hh_num_in!W14)</f>
        <v>115732.52356816239</v>
      </c>
      <c r="X14" s="65">
        <f>IF(SER_hh_fec_in!X14=0,0,11630*1000*SER_hh_fec_in!X14/SER_hh_num_in!X14)</f>
        <v>0</v>
      </c>
      <c r="Y14" s="65">
        <f>IF(SER_hh_fec_in!Y14=0,0,11630*1000*SER_hh_fec_in!Y14/SER_hh_num_in!Y14)</f>
        <v>57127.171736971271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2579.6668008279994</v>
      </c>
      <c r="D15" s="134">
        <f>IF(SER_hh_fec_in!D15=0,0,11630*1000*SER_hh_fec_in!D15/SER_hh_num_in!D15)</f>
        <v>1655.3933710291253</v>
      </c>
      <c r="E15" s="134">
        <f>IF(SER_hh_fec_in!E15=0,0,11630*1000*SER_hh_fec_in!E15/SER_hh_num_in!E15)</f>
        <v>1261.7542226660289</v>
      </c>
      <c r="F15" s="134">
        <f>IF(SER_hh_fec_in!F15=0,0,11630*1000*SER_hh_fec_in!F15/SER_hh_num_in!F15)</f>
        <v>1503.458286096306</v>
      </c>
      <c r="G15" s="134">
        <f>IF(SER_hh_fec_in!G15=0,0,11630*1000*SER_hh_fec_in!G15/SER_hh_num_in!G15)</f>
        <v>2277.3247968431606</v>
      </c>
      <c r="H15" s="134">
        <f>IF(SER_hh_fec_in!H15=0,0,11630*1000*SER_hh_fec_in!H15/SER_hh_num_in!H15)</f>
        <v>3718.0581676290039</v>
      </c>
      <c r="I15" s="134">
        <f>IF(SER_hh_fec_in!I15=0,0,11630*1000*SER_hh_fec_in!I15/SER_hh_num_in!I15)</f>
        <v>2961.3590913826383</v>
      </c>
      <c r="J15" s="134">
        <f>IF(SER_hh_fec_in!J15=0,0,11630*1000*SER_hh_fec_in!J15/SER_hh_num_in!J15)</f>
        <v>3485.6720036141369</v>
      </c>
      <c r="K15" s="134">
        <f>IF(SER_hh_fec_in!K15=0,0,11630*1000*SER_hh_fec_in!K15/SER_hh_num_in!K15)</f>
        <v>2920.2819825778683</v>
      </c>
      <c r="L15" s="134">
        <f>IF(SER_hh_fec_in!L15=0,0,11630*1000*SER_hh_fec_in!L15/SER_hh_num_in!L15)</f>
        <v>2781.9088935293807</v>
      </c>
      <c r="M15" s="134">
        <f>IF(SER_hh_fec_in!M15=0,0,11630*1000*SER_hh_fec_in!M15/SER_hh_num_in!M15)</f>
        <v>1812.6949757549448</v>
      </c>
      <c r="N15" s="134">
        <f>IF(SER_hh_fec_in!N15=0,0,11630*1000*SER_hh_fec_in!N15/SER_hh_num_in!N15)</f>
        <v>2224.6353490918191</v>
      </c>
      <c r="O15" s="134">
        <f>IF(SER_hh_fec_in!O15=0,0,11630*1000*SER_hh_fec_in!O15/SER_hh_num_in!O15)</f>
        <v>2433.0408396305015</v>
      </c>
      <c r="P15" s="134">
        <f>IF(SER_hh_fec_in!P15=0,0,11630*1000*SER_hh_fec_in!P15/SER_hh_num_in!P15)</f>
        <v>1732.5390657742651</v>
      </c>
      <c r="Q15" s="134">
        <f>IF(SER_hh_fec_in!Q15=0,0,11630*1000*SER_hh_fec_in!Q15/SER_hh_num_in!Q15)</f>
        <v>1881.3105107435972</v>
      </c>
      <c r="R15" s="134">
        <f>IF(SER_hh_fec_in!R15=0,0,11630*1000*SER_hh_fec_in!R15/SER_hh_num_in!R15)</f>
        <v>1445.4017806034292</v>
      </c>
      <c r="S15" s="134">
        <f>IF(SER_hh_fec_in!S15=0,0,11630*1000*SER_hh_fec_in!S15/SER_hh_num_in!S15)</f>
        <v>1532.1364788252929</v>
      </c>
      <c r="T15" s="134">
        <f>IF(SER_hh_fec_in!T15=0,0,11630*1000*SER_hh_fec_in!T15/SER_hh_num_in!T15)</f>
        <v>913.28002446798018</v>
      </c>
      <c r="U15" s="134">
        <f>IF(SER_hh_fec_in!U15=0,0,11630*1000*SER_hh_fec_in!U15/SER_hh_num_in!U15)</f>
        <v>777.15499803697469</v>
      </c>
      <c r="V15" s="134">
        <f>IF(SER_hh_fec_in!V15=0,0,11630*1000*SER_hh_fec_in!V15/SER_hh_num_in!V15)</f>
        <v>701.54943206927692</v>
      </c>
      <c r="W15" s="134">
        <f>IF(SER_hh_fec_in!W15=0,0,11630*1000*SER_hh_fec_in!W15/SER_hh_num_in!W15)</f>
        <v>878.99876849076622</v>
      </c>
      <c r="X15" s="134">
        <f>IF(SER_hh_fec_in!X15=0,0,11630*1000*SER_hh_fec_in!X15/SER_hh_num_in!X15)</f>
        <v>542.49829249600248</v>
      </c>
      <c r="Y15" s="134">
        <f>IF(SER_hh_fec_in!Y15=0,0,11630*1000*SER_hh_fec_in!Y15/SER_hh_num_in!Y15)</f>
        <v>587.3967571262009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14357.585713549446</v>
      </c>
      <c r="D16" s="130">
        <f>IF(SER_hh_fec_in!D16=0,0,11630*1000*SER_hh_fec_in!D16/SER_hh_num_in!D16)</f>
        <v>13880.78480437309</v>
      </c>
      <c r="E16" s="130">
        <f>IF(SER_hh_fec_in!E16=0,0,11630*1000*SER_hh_fec_in!E16/SER_hh_num_in!E16)</f>
        <v>16751.057869874265</v>
      </c>
      <c r="F16" s="130">
        <f>IF(SER_hh_fec_in!F16=0,0,11630*1000*SER_hh_fec_in!F16/SER_hh_num_in!F16)</f>
        <v>12397.834784959168</v>
      </c>
      <c r="G16" s="130">
        <f>IF(SER_hh_fec_in!G16=0,0,11630*1000*SER_hh_fec_in!G16/SER_hh_num_in!G16)</f>
        <v>11983.326641182577</v>
      </c>
      <c r="H16" s="130">
        <f>IF(SER_hh_fec_in!H16=0,0,11630*1000*SER_hh_fec_in!H16/SER_hh_num_in!H16)</f>
        <v>13441.064174814885</v>
      </c>
      <c r="I16" s="130">
        <f>IF(SER_hh_fec_in!I16=0,0,11630*1000*SER_hh_fec_in!I16/SER_hh_num_in!I16)</f>
        <v>10713.274541635978</v>
      </c>
      <c r="J16" s="130">
        <f>IF(SER_hh_fec_in!J16=0,0,11630*1000*SER_hh_fec_in!J16/SER_hh_num_in!J16)</f>
        <v>10043.346381928708</v>
      </c>
      <c r="K16" s="130">
        <f>IF(SER_hh_fec_in!K16=0,0,11630*1000*SER_hh_fec_in!K16/SER_hh_num_in!K16)</f>
        <v>9668.7912693002381</v>
      </c>
      <c r="L16" s="130">
        <f>IF(SER_hh_fec_in!L16=0,0,11630*1000*SER_hh_fec_in!L16/SER_hh_num_in!L16)</f>
        <v>9730.8317809057226</v>
      </c>
      <c r="M16" s="130">
        <f>IF(SER_hh_fec_in!M16=0,0,11630*1000*SER_hh_fec_in!M16/SER_hh_num_in!M16)</f>
        <v>8638.1209345546795</v>
      </c>
      <c r="N16" s="130">
        <f>IF(SER_hh_fec_in!N16=0,0,11630*1000*SER_hh_fec_in!N16/SER_hh_num_in!N16)</f>
        <v>8314.3339930569928</v>
      </c>
      <c r="O16" s="130">
        <f>IF(SER_hh_fec_in!O16=0,0,11630*1000*SER_hh_fec_in!O16/SER_hh_num_in!O16)</f>
        <v>8016.8851463879564</v>
      </c>
      <c r="P16" s="130">
        <f>IF(SER_hh_fec_in!P16=0,0,11630*1000*SER_hh_fec_in!P16/SER_hh_num_in!P16)</f>
        <v>7380.8411405063207</v>
      </c>
      <c r="Q16" s="130">
        <f>IF(SER_hh_fec_in!Q16=0,0,11630*1000*SER_hh_fec_in!Q16/SER_hh_num_in!Q16)</f>
        <v>7736.641327550311</v>
      </c>
      <c r="R16" s="130">
        <f>IF(SER_hh_fec_in!R16=0,0,11630*1000*SER_hh_fec_in!R16/SER_hh_num_in!R16)</f>
        <v>7040.8323197849732</v>
      </c>
      <c r="S16" s="130">
        <f>IF(SER_hh_fec_in!S16=0,0,11630*1000*SER_hh_fec_in!S16/SER_hh_num_in!S16)</f>
        <v>6330.1831884341218</v>
      </c>
      <c r="T16" s="130">
        <f>IF(SER_hh_fec_in!T16=0,0,11630*1000*SER_hh_fec_in!T16/SER_hh_num_in!T16)</f>
        <v>6478.6219239443381</v>
      </c>
      <c r="U16" s="130">
        <f>IF(SER_hh_fec_in!U16=0,0,11630*1000*SER_hh_fec_in!U16/SER_hh_num_in!U16)</f>
        <v>6282.8013473810042</v>
      </c>
      <c r="V16" s="130">
        <f>IF(SER_hh_fec_in!V16=0,0,11630*1000*SER_hh_fec_in!V16/SER_hh_num_in!V16)</f>
        <v>5738.5663128785827</v>
      </c>
      <c r="W16" s="130">
        <f>IF(SER_hh_fec_in!W16=0,0,11630*1000*SER_hh_fec_in!W16/SER_hh_num_in!W16)</f>
        <v>4165.1110869672793</v>
      </c>
      <c r="X16" s="130">
        <f>IF(SER_hh_fec_in!X16=0,0,11630*1000*SER_hh_fec_in!X16/SER_hh_num_in!X16)</f>
        <v>3860.48629949729</v>
      </c>
      <c r="Y16" s="130">
        <f>IF(SER_hh_fec_in!Y16=0,0,11630*1000*SER_hh_fec_in!Y16/SER_hh_num_in!Y16)</f>
        <v>3786.3716822763467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28859.291605380717</v>
      </c>
      <c r="D17" s="132">
        <f>IF(SER_hh_fec_in!D17=0,0,11630*1000*SER_hh_fec_in!D17/SER_hh_num_in!D17)</f>
        <v>28585.445273712259</v>
      </c>
      <c r="E17" s="132">
        <f>IF(SER_hh_fec_in!E17=0,0,11630*1000*SER_hh_fec_in!E17/SER_hh_num_in!E17)</f>
        <v>0</v>
      </c>
      <c r="F17" s="132">
        <f>IF(SER_hh_fec_in!F17=0,0,11630*1000*SER_hh_fec_in!F17/SER_hh_num_in!F17)</f>
        <v>26638.398899531134</v>
      </c>
      <c r="G17" s="132">
        <f>IF(SER_hh_fec_in!G17=0,0,11630*1000*SER_hh_fec_in!G17/SER_hh_num_in!G17)</f>
        <v>26737.820063816987</v>
      </c>
      <c r="H17" s="132">
        <f>IF(SER_hh_fec_in!H17=0,0,11630*1000*SER_hh_fec_in!H17/SER_hh_num_in!H17)</f>
        <v>30585.644602027707</v>
      </c>
      <c r="I17" s="132">
        <f>IF(SER_hh_fec_in!I17=0,0,11630*1000*SER_hh_fec_in!I17/SER_hh_num_in!I17)</f>
        <v>24728.622785326632</v>
      </c>
      <c r="J17" s="132">
        <f>IF(SER_hh_fec_in!J17=0,0,11630*1000*SER_hh_fec_in!J17/SER_hh_num_in!J17)</f>
        <v>23919.002341344469</v>
      </c>
      <c r="K17" s="132">
        <f>IF(SER_hh_fec_in!K17=0,0,11630*1000*SER_hh_fec_in!K17/SER_hh_num_in!K17)</f>
        <v>27524.035941086357</v>
      </c>
      <c r="L17" s="132">
        <f>IF(SER_hh_fec_in!L17=0,0,11630*1000*SER_hh_fec_in!L17/SER_hh_num_in!L17)</f>
        <v>24170.565676961596</v>
      </c>
      <c r="M17" s="132">
        <f>IF(SER_hh_fec_in!M17=0,0,11630*1000*SER_hh_fec_in!M17/SER_hh_num_in!M17)</f>
        <v>21869.880753226938</v>
      </c>
      <c r="N17" s="132">
        <f>IF(SER_hh_fec_in!N17=0,0,11630*1000*SER_hh_fec_in!N17/SER_hh_num_in!N17)</f>
        <v>21623.901081375767</v>
      </c>
      <c r="O17" s="132">
        <f>IF(SER_hh_fec_in!O17=0,0,11630*1000*SER_hh_fec_in!O17/SER_hh_num_in!O17)</f>
        <v>21251.123386098479</v>
      </c>
      <c r="P17" s="132">
        <f>IF(SER_hh_fec_in!P17=0,0,11630*1000*SER_hh_fec_in!P17/SER_hh_num_in!P17)</f>
        <v>19760.756999583529</v>
      </c>
      <c r="Q17" s="132">
        <f>IF(SER_hh_fec_in!Q17=0,0,11630*1000*SER_hh_fec_in!Q17/SER_hh_num_in!Q17)</f>
        <v>21371.92363823803</v>
      </c>
      <c r="R17" s="132">
        <f>IF(SER_hh_fec_in!R17=0,0,11630*1000*SER_hh_fec_in!R17/SER_hh_num_in!R17)</f>
        <v>18671.002947380399</v>
      </c>
      <c r="S17" s="132">
        <f>IF(SER_hh_fec_in!S17=0,0,11630*1000*SER_hh_fec_in!S17/SER_hh_num_in!S17)</f>
        <v>18029.261536588288</v>
      </c>
      <c r="T17" s="132">
        <f>IF(SER_hh_fec_in!T17=0,0,11630*1000*SER_hh_fec_in!T17/SER_hh_num_in!T17)</f>
        <v>18147.17607957148</v>
      </c>
      <c r="U17" s="132">
        <f>IF(SER_hh_fec_in!U17=0,0,11630*1000*SER_hh_fec_in!U17/SER_hh_num_in!U17)</f>
        <v>16833.845358090988</v>
      </c>
      <c r="V17" s="132">
        <f>IF(SER_hh_fec_in!V17=0,0,11630*1000*SER_hh_fec_in!V17/SER_hh_num_in!V17)</f>
        <v>15429.198958384181</v>
      </c>
      <c r="W17" s="132">
        <f>IF(SER_hh_fec_in!W17=0,0,11630*1000*SER_hh_fec_in!W17/SER_hh_num_in!W17)</f>
        <v>12520.191062297296</v>
      </c>
      <c r="X17" s="132">
        <f>IF(SER_hh_fec_in!X17=0,0,11630*1000*SER_hh_fec_in!X17/SER_hh_num_in!X17)</f>
        <v>10053.360749500898</v>
      </c>
      <c r="Y17" s="132">
        <f>IF(SER_hh_fec_in!Y17=0,0,11630*1000*SER_hh_fec_in!Y17/SER_hh_num_in!Y17)</f>
        <v>9914.8364291970447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14285.102148536404</v>
      </c>
      <c r="D18" s="132">
        <f>IF(SER_hh_fec_in!D18=0,0,11630*1000*SER_hh_fec_in!D18/SER_hh_num_in!D18)</f>
        <v>13770.487986586768</v>
      </c>
      <c r="E18" s="132">
        <f>IF(SER_hh_fec_in!E18=0,0,11630*1000*SER_hh_fec_in!E18/SER_hh_num_in!E18)</f>
        <v>16751.057869874265</v>
      </c>
      <c r="F18" s="132">
        <f>IF(SER_hh_fec_in!F18=0,0,11630*1000*SER_hh_fec_in!F18/SER_hh_num_in!F18)</f>
        <v>12163.858858800248</v>
      </c>
      <c r="G18" s="132">
        <f>IF(SER_hh_fec_in!G18=0,0,11630*1000*SER_hh_fec_in!G18/SER_hh_num_in!G18)</f>
        <v>11926.446842097526</v>
      </c>
      <c r="H18" s="132">
        <f>IF(SER_hh_fec_in!H18=0,0,11630*1000*SER_hh_fec_in!H18/SER_hh_num_in!H18)</f>
        <v>13322.73050968067</v>
      </c>
      <c r="I18" s="132">
        <f>IF(SER_hh_fec_in!I18=0,0,11630*1000*SER_hh_fec_in!I18/SER_hh_num_in!I18)</f>
        <v>10518.317225443896</v>
      </c>
      <c r="J18" s="132">
        <f>IF(SER_hh_fec_in!J18=0,0,11630*1000*SER_hh_fec_in!J18/SER_hh_num_in!J18)</f>
        <v>9948.268963158429</v>
      </c>
      <c r="K18" s="132">
        <f>IF(SER_hh_fec_in!K18=0,0,11630*1000*SER_hh_fec_in!K18/SER_hh_num_in!K18)</f>
        <v>9487.0052002733701</v>
      </c>
      <c r="L18" s="132">
        <f>IF(SER_hh_fec_in!L18=0,0,11630*1000*SER_hh_fec_in!L18/SER_hh_num_in!L18)</f>
        <v>9611.9964641712086</v>
      </c>
      <c r="M18" s="132">
        <f>IF(SER_hh_fec_in!M18=0,0,11630*1000*SER_hh_fec_in!M18/SER_hh_num_in!M18)</f>
        <v>8478.6204203173129</v>
      </c>
      <c r="N18" s="132">
        <f>IF(SER_hh_fec_in!N18=0,0,11630*1000*SER_hh_fec_in!N18/SER_hh_num_in!N18)</f>
        <v>8156.3845725469837</v>
      </c>
      <c r="O18" s="132">
        <f>IF(SER_hh_fec_in!O18=0,0,11630*1000*SER_hh_fec_in!O18/SER_hh_num_in!O18)</f>
        <v>7733.177512379717</v>
      </c>
      <c r="P18" s="132">
        <f>IF(SER_hh_fec_in!P18=0,0,11630*1000*SER_hh_fec_in!P18/SER_hh_num_in!P18)</f>
        <v>6915.046265673137</v>
      </c>
      <c r="Q18" s="132">
        <f>IF(SER_hh_fec_in!Q18=0,0,11630*1000*SER_hh_fec_in!Q18/SER_hh_num_in!Q18)</f>
        <v>7327.9938740894868</v>
      </c>
      <c r="R18" s="132">
        <f>IF(SER_hh_fec_in!R18=0,0,11630*1000*SER_hh_fec_in!R18/SER_hh_num_in!R18)</f>
        <v>6249.3403613816181</v>
      </c>
      <c r="S18" s="132">
        <f>IF(SER_hh_fec_in!S18=0,0,11630*1000*SER_hh_fec_in!S18/SER_hh_num_in!S18)</f>
        <v>5886.0830419434651</v>
      </c>
      <c r="T18" s="132">
        <f>IF(SER_hh_fec_in!T18=0,0,11630*1000*SER_hh_fec_in!T18/SER_hh_num_in!T18)</f>
        <v>6256.653939460969</v>
      </c>
      <c r="U18" s="132">
        <f>IF(SER_hh_fec_in!U18=0,0,11630*1000*SER_hh_fec_in!U18/SER_hh_num_in!U18)</f>
        <v>5895.2223641213359</v>
      </c>
      <c r="V18" s="132">
        <f>IF(SER_hh_fec_in!V18=0,0,11630*1000*SER_hh_fec_in!V18/SER_hh_num_in!V18)</f>
        <v>5378.1016165880837</v>
      </c>
      <c r="W18" s="132">
        <f>IF(SER_hh_fec_in!W18=0,0,11630*1000*SER_hh_fec_in!W18/SER_hh_num_in!W18)</f>
        <v>3819.4535101627434</v>
      </c>
      <c r="X18" s="132">
        <f>IF(SER_hh_fec_in!X18=0,0,11630*1000*SER_hh_fec_in!X18/SER_hh_num_in!X18)</f>
        <v>3633.6430507436507</v>
      </c>
      <c r="Y18" s="132">
        <f>IF(SER_hh_fec_in!Y18=0,0,11630*1000*SER_hh_fec_in!Y18/SER_hh_num_in!Y18)</f>
        <v>3550.5515572952568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41084.002729128253</v>
      </c>
      <c r="D19" s="130">
        <f>IF(SER_hh_fec_in!D19=0,0,11630*1000*SER_hh_fec_in!D19/SER_hh_num_in!D19)</f>
        <v>38231.583849806186</v>
      </c>
      <c r="E19" s="130">
        <f>IF(SER_hh_fec_in!E19=0,0,11630*1000*SER_hh_fec_in!E19/SER_hh_num_in!E19)</f>
        <v>43246.952219269195</v>
      </c>
      <c r="F19" s="130">
        <f>IF(SER_hh_fec_in!F19=0,0,11630*1000*SER_hh_fec_in!F19/SER_hh_num_in!F19)</f>
        <v>40527.867291427348</v>
      </c>
      <c r="G19" s="130">
        <f>IF(SER_hh_fec_in!G19=0,0,11630*1000*SER_hh_fec_in!G19/SER_hh_num_in!G19)</f>
        <v>39064.944833132926</v>
      </c>
      <c r="H19" s="130">
        <f>IF(SER_hh_fec_in!H19=0,0,11630*1000*SER_hh_fec_in!H19/SER_hh_num_in!H19)</f>
        <v>40358.469918005561</v>
      </c>
      <c r="I19" s="130">
        <f>IF(SER_hh_fec_in!I19=0,0,11630*1000*SER_hh_fec_in!I19/SER_hh_num_in!I19)</f>
        <v>40259.371396062503</v>
      </c>
      <c r="J19" s="130">
        <f>IF(SER_hh_fec_in!J19=0,0,11630*1000*SER_hh_fec_in!J19/SER_hh_num_in!J19)</f>
        <v>41749.907265911606</v>
      </c>
      <c r="K19" s="130">
        <f>IF(SER_hh_fec_in!K19=0,0,11630*1000*SER_hh_fec_in!K19/SER_hh_num_in!K19)</f>
        <v>40535.692922595088</v>
      </c>
      <c r="L19" s="130">
        <f>IF(SER_hh_fec_in!L19=0,0,11630*1000*SER_hh_fec_in!L19/SER_hh_num_in!L19)</f>
        <v>45127.241985009103</v>
      </c>
      <c r="M19" s="130">
        <f>IF(SER_hh_fec_in!M19=0,0,11630*1000*SER_hh_fec_in!M19/SER_hh_num_in!M19)</f>
        <v>38126.038849826749</v>
      </c>
      <c r="N19" s="130">
        <f>IF(SER_hh_fec_in!N19=0,0,11630*1000*SER_hh_fec_in!N19/SER_hh_num_in!N19)</f>
        <v>39506.812960755356</v>
      </c>
      <c r="O19" s="130">
        <f>IF(SER_hh_fec_in!O19=0,0,11630*1000*SER_hh_fec_in!O19/SER_hh_num_in!O19)</f>
        <v>37322.561309015568</v>
      </c>
      <c r="P19" s="130">
        <f>IF(SER_hh_fec_in!P19=0,0,11630*1000*SER_hh_fec_in!P19/SER_hh_num_in!P19)</f>
        <v>36361.996412823792</v>
      </c>
      <c r="Q19" s="130">
        <f>IF(SER_hh_fec_in!Q19=0,0,11630*1000*SER_hh_fec_in!Q19/SER_hh_num_in!Q19)</f>
        <v>35374.886456480155</v>
      </c>
      <c r="R19" s="130">
        <f>IF(SER_hh_fec_in!R19=0,0,11630*1000*SER_hh_fec_in!R19/SER_hh_num_in!R19)</f>
        <v>33323.25901569031</v>
      </c>
      <c r="S19" s="130">
        <f>IF(SER_hh_fec_in!S19=0,0,11630*1000*SER_hh_fec_in!S19/SER_hh_num_in!S19)</f>
        <v>35811.500552256672</v>
      </c>
      <c r="T19" s="130">
        <f>IF(SER_hh_fec_in!T19=0,0,11630*1000*SER_hh_fec_in!T19/SER_hh_num_in!T19)</f>
        <v>32799.132564485815</v>
      </c>
      <c r="U19" s="130">
        <f>IF(SER_hh_fec_in!U19=0,0,11630*1000*SER_hh_fec_in!U19/SER_hh_num_in!U19)</f>
        <v>32022.11158751521</v>
      </c>
      <c r="V19" s="130">
        <f>IF(SER_hh_fec_in!V19=0,0,11630*1000*SER_hh_fec_in!V19/SER_hh_num_in!V19)</f>
        <v>27085.842082099571</v>
      </c>
      <c r="W19" s="130">
        <f>IF(SER_hh_fec_in!W19=0,0,11630*1000*SER_hh_fec_in!W19/SER_hh_num_in!W19)</f>
        <v>26436.163676359021</v>
      </c>
      <c r="X19" s="130">
        <f>IF(SER_hh_fec_in!X19=0,0,11630*1000*SER_hh_fec_in!X19/SER_hh_num_in!X19)</f>
        <v>29502.884407591857</v>
      </c>
      <c r="Y19" s="130">
        <f>IF(SER_hh_fec_in!Y19=0,0,11630*1000*SER_hh_fec_in!Y19/SER_hh_num_in!Y19)</f>
        <v>29538.395711895475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0</v>
      </c>
      <c r="D21" s="132">
        <f>IF(SER_hh_fec_in!D21=0,0,11630*1000*SER_hh_fec_in!D21/SER_hh_num_in!D21)</f>
        <v>0</v>
      </c>
      <c r="E21" s="132">
        <f>IF(SER_hh_fec_in!E21=0,0,11630*1000*SER_hh_fec_in!E21/SER_hh_num_in!E21)</f>
        <v>0</v>
      </c>
      <c r="F21" s="132">
        <f>IF(SER_hh_fec_in!F21=0,0,11630*1000*SER_hh_fec_in!F21/SER_hh_num_in!F21)</f>
        <v>0</v>
      </c>
      <c r="G21" s="132">
        <f>IF(SER_hh_fec_in!G21=0,0,11630*1000*SER_hh_fec_in!G21/SER_hh_num_in!G21)</f>
        <v>0</v>
      </c>
      <c r="H21" s="132">
        <f>IF(SER_hh_fec_in!H21=0,0,11630*1000*SER_hh_fec_in!H21/SER_hh_num_in!H21)</f>
        <v>0</v>
      </c>
      <c r="I21" s="132">
        <f>IF(SER_hh_fec_in!I21=0,0,11630*1000*SER_hh_fec_in!I21/SER_hh_num_in!I21)</f>
        <v>0</v>
      </c>
      <c r="J21" s="132">
        <f>IF(SER_hh_fec_in!J21=0,0,11630*1000*SER_hh_fec_in!J21/SER_hh_num_in!J21)</f>
        <v>0</v>
      </c>
      <c r="K21" s="132">
        <f>IF(SER_hh_fec_in!K21=0,0,11630*1000*SER_hh_fec_in!K21/SER_hh_num_in!K21)</f>
        <v>0</v>
      </c>
      <c r="L21" s="132">
        <f>IF(SER_hh_fec_in!L21=0,0,11630*1000*SER_hh_fec_in!L21/SER_hh_num_in!L21)</f>
        <v>0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0</v>
      </c>
      <c r="O21" s="132">
        <f>IF(SER_hh_fec_in!O21=0,0,11630*1000*SER_hh_fec_in!O21/SER_hh_num_in!O21)</f>
        <v>0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0</v>
      </c>
      <c r="S21" s="132">
        <f>IF(SER_hh_fec_in!S21=0,0,11630*1000*SER_hh_fec_in!S21/SER_hh_num_in!S21)</f>
        <v>0</v>
      </c>
      <c r="T21" s="132">
        <f>IF(SER_hh_fec_in!T21=0,0,11630*1000*SER_hh_fec_in!T21/SER_hh_num_in!T21)</f>
        <v>0</v>
      </c>
      <c r="U21" s="132">
        <f>IF(SER_hh_fec_in!U21=0,0,11630*1000*SER_hh_fec_in!U21/SER_hh_num_in!U21)</f>
        <v>0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0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52070.67862590422</v>
      </c>
      <c r="D22" s="132">
        <f>IF(SER_hh_fec_in!D22=0,0,11630*1000*SER_hh_fec_in!D22/SER_hh_num_in!D22)</f>
        <v>52574.595718721583</v>
      </c>
      <c r="E22" s="132">
        <f>IF(SER_hh_fec_in!E22=0,0,11630*1000*SER_hh_fec_in!E22/SER_hh_num_in!E22)</f>
        <v>52113.432984628933</v>
      </c>
      <c r="F22" s="132">
        <f>IF(SER_hh_fec_in!F22=0,0,11630*1000*SER_hh_fec_in!F22/SER_hh_num_in!F22)</f>
        <v>53061.805564806651</v>
      </c>
      <c r="G22" s="132">
        <f>IF(SER_hh_fec_in!G22=0,0,11630*1000*SER_hh_fec_in!G22/SER_hh_num_in!G22)</f>
        <v>0</v>
      </c>
      <c r="H22" s="132">
        <f>IF(SER_hh_fec_in!H22=0,0,11630*1000*SER_hh_fec_in!H22/SER_hh_num_in!H22)</f>
        <v>0</v>
      </c>
      <c r="I22" s="132">
        <f>IF(SER_hh_fec_in!I22=0,0,11630*1000*SER_hh_fec_in!I22/SER_hh_num_in!I22)</f>
        <v>0</v>
      </c>
      <c r="J22" s="132">
        <f>IF(SER_hh_fec_in!J22=0,0,11630*1000*SER_hh_fec_in!J22/SER_hh_num_in!J22)</f>
        <v>0</v>
      </c>
      <c r="K22" s="132">
        <f>IF(SER_hh_fec_in!K22=0,0,11630*1000*SER_hh_fec_in!K22/SER_hh_num_in!K22)</f>
        <v>42086.080517963514</v>
      </c>
      <c r="L22" s="132">
        <f>IF(SER_hh_fec_in!L22=0,0,11630*1000*SER_hh_fec_in!L22/SER_hh_num_in!L22)</f>
        <v>56858.374743579254</v>
      </c>
      <c r="M22" s="132">
        <f>IF(SER_hh_fec_in!M22=0,0,11630*1000*SER_hh_fec_in!M22/SER_hh_num_in!M22)</f>
        <v>37362.435823688502</v>
      </c>
      <c r="N22" s="132">
        <f>IF(SER_hh_fec_in!N22=0,0,11630*1000*SER_hh_fec_in!N22/SER_hh_num_in!N22)</f>
        <v>48319.55641399679</v>
      </c>
      <c r="O22" s="132">
        <f>IF(SER_hh_fec_in!O22=0,0,11630*1000*SER_hh_fec_in!O22/SER_hh_num_in!O22)</f>
        <v>43651.834681276378</v>
      </c>
      <c r="P22" s="132">
        <f>IF(SER_hh_fec_in!P22=0,0,11630*1000*SER_hh_fec_in!P22/SER_hh_num_in!P22)</f>
        <v>42185.745625715223</v>
      </c>
      <c r="Q22" s="132">
        <f>IF(SER_hh_fec_in!Q22=0,0,11630*1000*SER_hh_fec_in!Q22/SER_hh_num_in!Q22)</f>
        <v>37275.360454818692</v>
      </c>
      <c r="R22" s="132">
        <f>IF(SER_hh_fec_in!R22=0,0,11630*1000*SER_hh_fec_in!R22/SER_hh_num_in!R22)</f>
        <v>31149.598644143076</v>
      </c>
      <c r="S22" s="132">
        <f>IF(SER_hh_fec_in!S22=0,0,11630*1000*SER_hh_fec_in!S22/SER_hh_num_in!S22)</f>
        <v>39947.205819746217</v>
      </c>
      <c r="T22" s="132">
        <f>IF(SER_hh_fec_in!T22=0,0,11630*1000*SER_hh_fec_in!T22/SER_hh_num_in!T22)</f>
        <v>37129.998789663732</v>
      </c>
      <c r="U22" s="132">
        <f>IF(SER_hh_fec_in!U22=0,0,11630*1000*SER_hh_fec_in!U22/SER_hh_num_in!U22)</f>
        <v>37348.97279551479</v>
      </c>
      <c r="V22" s="132">
        <f>IF(SER_hh_fec_in!V22=0,0,11630*1000*SER_hh_fec_in!V22/SER_hh_num_in!V22)</f>
        <v>29779.555898074519</v>
      </c>
      <c r="W22" s="132">
        <f>IF(SER_hh_fec_in!W22=0,0,11630*1000*SER_hh_fec_in!W22/SER_hh_num_in!W22)</f>
        <v>34261.229611976298</v>
      </c>
      <c r="X22" s="132">
        <f>IF(SER_hh_fec_in!X22=0,0,11630*1000*SER_hh_fec_in!X22/SER_hh_num_in!X22)</f>
        <v>0</v>
      </c>
      <c r="Y22" s="132">
        <f>IF(SER_hh_fec_in!Y22=0,0,11630*1000*SER_hh_fec_in!Y22/SER_hh_num_in!Y22)</f>
        <v>0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48436.198651076738</v>
      </c>
      <c r="D23" s="132">
        <f>IF(SER_hh_fec_in!D23=0,0,11630*1000*SER_hh_fec_in!D23/SER_hh_num_in!D23)</f>
        <v>47130.460662599609</v>
      </c>
      <c r="E23" s="132">
        <f>IF(SER_hh_fec_in!E23=0,0,11630*1000*SER_hh_fec_in!E23/SER_hh_num_in!E23)</f>
        <v>48363.260431045012</v>
      </c>
      <c r="F23" s="132">
        <f>IF(SER_hh_fec_in!F23=0,0,11630*1000*SER_hh_fec_in!F23/SER_hh_num_in!F23)</f>
        <v>46222.876388924094</v>
      </c>
      <c r="G23" s="132">
        <f>IF(SER_hh_fec_in!G23=0,0,11630*1000*SER_hh_fec_in!G23/SER_hh_num_in!G23)</f>
        <v>45702.431111427162</v>
      </c>
      <c r="H23" s="132">
        <f>IF(SER_hh_fec_in!H23=0,0,11630*1000*SER_hh_fec_in!H23/SER_hh_num_in!H23)</f>
        <v>43931.235480955642</v>
      </c>
      <c r="I23" s="132">
        <f>IF(SER_hh_fec_in!I23=0,0,11630*1000*SER_hh_fec_in!I23/SER_hh_num_in!I23)</f>
        <v>42225.23367069786</v>
      </c>
      <c r="J23" s="132">
        <f>IF(SER_hh_fec_in!J23=0,0,11630*1000*SER_hh_fec_in!J23/SER_hh_num_in!J23)</f>
        <v>46536.619695178531</v>
      </c>
      <c r="K23" s="132">
        <f>IF(SER_hh_fec_in!K23=0,0,11630*1000*SER_hh_fec_in!K23/SER_hh_num_in!K23)</f>
        <v>41443.976750051799</v>
      </c>
      <c r="L23" s="132">
        <f>IF(SER_hh_fec_in!L23=0,0,11630*1000*SER_hh_fec_in!L23/SER_hh_num_in!L23)</f>
        <v>44872.665116981967</v>
      </c>
      <c r="M23" s="132">
        <f>IF(SER_hh_fec_in!M23=0,0,11630*1000*SER_hh_fec_in!M23/SER_hh_num_in!M23)</f>
        <v>41618.121991818523</v>
      </c>
      <c r="N23" s="132">
        <f>IF(SER_hh_fec_in!N23=0,0,11630*1000*SER_hh_fec_in!N23/SER_hh_num_in!N23)</f>
        <v>38635.160259236749</v>
      </c>
      <c r="O23" s="132">
        <f>IF(SER_hh_fec_in!O23=0,0,11630*1000*SER_hh_fec_in!O23/SER_hh_num_in!O23)</f>
        <v>37810.159234123508</v>
      </c>
      <c r="P23" s="132">
        <f>IF(SER_hh_fec_in!P23=0,0,11630*1000*SER_hh_fec_in!P23/SER_hh_num_in!P23)</f>
        <v>38222.045249554612</v>
      </c>
      <c r="Q23" s="132">
        <f>IF(SER_hh_fec_in!Q23=0,0,11630*1000*SER_hh_fec_in!Q23/SER_hh_num_in!Q23)</f>
        <v>41641.472948457937</v>
      </c>
      <c r="R23" s="132">
        <f>IF(SER_hh_fec_in!R23=0,0,11630*1000*SER_hh_fec_in!R23/SER_hh_num_in!R23)</f>
        <v>43319.596869247194</v>
      </c>
      <c r="S23" s="132">
        <f>IF(SER_hh_fec_in!S23=0,0,11630*1000*SER_hh_fec_in!S23/SER_hh_num_in!S23)</f>
        <v>31144.084012027404</v>
      </c>
      <c r="T23" s="132">
        <f>IF(SER_hh_fec_in!T23=0,0,11630*1000*SER_hh_fec_in!T23/SER_hh_num_in!T23)</f>
        <v>0</v>
      </c>
      <c r="U23" s="132">
        <f>IF(SER_hh_fec_in!U23=0,0,11630*1000*SER_hh_fec_in!U23/SER_hh_num_in!U23)</f>
        <v>34814.932847220174</v>
      </c>
      <c r="V23" s="132">
        <f>IF(SER_hh_fec_in!V23=0,0,11630*1000*SER_hh_fec_in!V23/SER_hh_num_in!V23)</f>
        <v>22904.794562676117</v>
      </c>
      <c r="W23" s="132">
        <f>IF(SER_hh_fec_in!W23=0,0,11630*1000*SER_hh_fec_in!W23/SER_hh_num_in!W23)</f>
        <v>32139.522918690836</v>
      </c>
      <c r="X23" s="132">
        <f>IF(SER_hh_fec_in!X23=0,0,11630*1000*SER_hh_fec_in!X23/SER_hh_num_in!X23)</f>
        <v>31534.553930191061</v>
      </c>
      <c r="Y23" s="132">
        <f>IF(SER_hh_fec_in!Y23=0,0,11630*1000*SER_hh_fec_in!Y23/SER_hh_num_in!Y23)</f>
        <v>31754.982791176997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29043.419742218375</v>
      </c>
      <c r="D25" s="132">
        <f>IF(SER_hh_fec_in!D25=0,0,11630*1000*SER_hh_fec_in!D25/SER_hh_num_in!D25)</f>
        <v>32046.262235188187</v>
      </c>
      <c r="E25" s="132">
        <f>IF(SER_hh_fec_in!E25=0,0,11630*1000*SER_hh_fec_in!E25/SER_hh_num_in!E25)</f>
        <v>39451.016354964537</v>
      </c>
      <c r="F25" s="132">
        <f>IF(SER_hh_fec_in!F25=0,0,11630*1000*SER_hh_fec_in!F25/SER_hh_num_in!F25)</f>
        <v>35286.479243513408</v>
      </c>
      <c r="G25" s="132">
        <f>IF(SER_hh_fec_in!G25=0,0,11630*1000*SER_hh_fec_in!G25/SER_hh_num_in!G25)</f>
        <v>33680.594478253472</v>
      </c>
      <c r="H25" s="132">
        <f>IF(SER_hh_fec_in!H25=0,0,11630*1000*SER_hh_fec_in!H25/SER_hh_num_in!H25)</f>
        <v>33367.98501251619</v>
      </c>
      <c r="I25" s="132">
        <f>IF(SER_hh_fec_in!I25=0,0,11630*1000*SER_hh_fec_in!I25/SER_hh_num_in!I25)</f>
        <v>33118.894163359539</v>
      </c>
      <c r="J25" s="132">
        <f>IF(SER_hh_fec_in!J25=0,0,11630*1000*SER_hh_fec_in!J25/SER_hh_num_in!J25)</f>
        <v>32956.550113792626</v>
      </c>
      <c r="K25" s="132">
        <f>IF(SER_hh_fec_in!K25=0,0,11630*1000*SER_hh_fec_in!K25/SER_hh_num_in!K25)</f>
        <v>33822.219421724891</v>
      </c>
      <c r="L25" s="132">
        <f>IF(SER_hh_fec_in!L25=0,0,11630*1000*SER_hh_fec_in!L25/SER_hh_num_in!L25)</f>
        <v>31793.4475703557</v>
      </c>
      <c r="M25" s="132">
        <f>IF(SER_hh_fec_in!M25=0,0,11630*1000*SER_hh_fec_in!M25/SER_hh_num_in!M25)</f>
        <v>31897.170956534865</v>
      </c>
      <c r="N25" s="132">
        <f>IF(SER_hh_fec_in!N25=0,0,11630*1000*SER_hh_fec_in!N25/SER_hh_num_in!N25)</f>
        <v>32055.43803181556</v>
      </c>
      <c r="O25" s="132">
        <f>IF(SER_hh_fec_in!O25=0,0,11630*1000*SER_hh_fec_in!O25/SER_hh_num_in!O25)</f>
        <v>32077.330427604051</v>
      </c>
      <c r="P25" s="132">
        <f>IF(SER_hh_fec_in!P25=0,0,11630*1000*SER_hh_fec_in!P25/SER_hh_num_in!P25)</f>
        <v>31406.114763174235</v>
      </c>
      <c r="Q25" s="132">
        <f>IF(SER_hh_fec_in!Q25=0,0,11630*1000*SER_hh_fec_in!Q25/SER_hh_num_in!Q25)</f>
        <v>31199.141520693065</v>
      </c>
      <c r="R25" s="132">
        <f>IF(SER_hh_fec_in!R25=0,0,11630*1000*SER_hh_fec_in!R25/SER_hh_num_in!R25)</f>
        <v>30907.168575847823</v>
      </c>
      <c r="S25" s="132">
        <f>IF(SER_hh_fec_in!S25=0,0,11630*1000*SER_hh_fec_in!S25/SER_hh_num_in!S25)</f>
        <v>32185.211443978125</v>
      </c>
      <c r="T25" s="132">
        <f>IF(SER_hh_fec_in!T25=0,0,11630*1000*SER_hh_fec_in!T25/SER_hh_num_in!T25)</f>
        <v>28780.616357179435</v>
      </c>
      <c r="U25" s="132">
        <f>IF(SER_hh_fec_in!U25=0,0,11630*1000*SER_hh_fec_in!U25/SER_hh_num_in!U25)</f>
        <v>30318.427251864785</v>
      </c>
      <c r="V25" s="132">
        <f>IF(SER_hh_fec_in!V25=0,0,11630*1000*SER_hh_fec_in!V25/SER_hh_num_in!V25)</f>
        <v>30872.853198933331</v>
      </c>
      <c r="W25" s="132">
        <f>IF(SER_hh_fec_in!W25=0,0,11630*1000*SER_hh_fec_in!W25/SER_hh_num_in!W25)</f>
        <v>27453.39885518064</v>
      </c>
      <c r="X25" s="132">
        <f>IF(SER_hh_fec_in!X25=0,0,11630*1000*SER_hh_fec_in!X25/SER_hh_num_in!X25)</f>
        <v>0</v>
      </c>
      <c r="Y25" s="132">
        <f>IF(SER_hh_fec_in!Y25=0,0,11630*1000*SER_hh_fec_in!Y25/SER_hh_num_in!Y25)</f>
        <v>0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43287.178706418737</v>
      </c>
      <c r="D26" s="65">
        <f>IF(SER_hh_fec_in!D26=0,0,11630*1000*SER_hh_fec_in!D26/SER_hh_num_in!D26)</f>
        <v>0</v>
      </c>
      <c r="E26" s="65">
        <f>IF(SER_hh_fec_in!E26=0,0,11630*1000*SER_hh_fec_in!E26/SER_hh_num_in!E26)</f>
        <v>0</v>
      </c>
      <c r="F26" s="65">
        <f>IF(SER_hh_fec_in!F26=0,0,11630*1000*SER_hh_fec_in!F26/SER_hh_num_in!F26)</f>
        <v>0</v>
      </c>
      <c r="G26" s="65">
        <f>IF(SER_hh_fec_in!G26=0,0,11630*1000*SER_hh_fec_in!G26/SER_hh_num_in!G26)</f>
        <v>37925.81296780947</v>
      </c>
      <c r="H26" s="65">
        <f>IF(SER_hh_fec_in!H26=0,0,11630*1000*SER_hh_fec_in!H26/SER_hh_num_in!H26)</f>
        <v>40338.586699962245</v>
      </c>
      <c r="I26" s="65">
        <f>IF(SER_hh_fec_in!I26=0,0,11630*1000*SER_hh_fec_in!I26/SER_hh_num_in!I26)</f>
        <v>40476.923214991468</v>
      </c>
      <c r="J26" s="65">
        <f>IF(SER_hh_fec_in!J26=0,0,11630*1000*SER_hh_fec_in!J26/SER_hh_num_in!J26)</f>
        <v>39544.071250759174</v>
      </c>
      <c r="K26" s="65">
        <f>IF(SER_hh_fec_in!K26=0,0,11630*1000*SER_hh_fec_in!K26/SER_hh_num_in!K26)</f>
        <v>41188.564082958896</v>
      </c>
      <c r="L26" s="65">
        <f>IF(SER_hh_fec_in!L26=0,0,11630*1000*SER_hh_fec_in!L26/SER_hh_num_in!L26)</f>
        <v>36909.116924796028</v>
      </c>
      <c r="M26" s="65">
        <f>IF(SER_hh_fec_in!M26=0,0,11630*1000*SER_hh_fec_in!M26/SER_hh_num_in!M26)</f>
        <v>38790.018768957983</v>
      </c>
      <c r="N26" s="65">
        <f>IF(SER_hh_fec_in!N26=0,0,11630*1000*SER_hh_fec_in!N26/SER_hh_num_in!N26)</f>
        <v>36687.925803307895</v>
      </c>
      <c r="O26" s="65">
        <f>IF(SER_hh_fec_in!O26=0,0,11630*1000*SER_hh_fec_in!O26/SER_hh_num_in!O26)</f>
        <v>36505.397566872409</v>
      </c>
      <c r="P26" s="65">
        <f>IF(SER_hh_fec_in!P26=0,0,11630*1000*SER_hh_fec_in!P26/SER_hh_num_in!P26)</f>
        <v>35260.457790319706</v>
      </c>
      <c r="Q26" s="65">
        <f>IF(SER_hh_fec_in!Q26=0,0,11630*1000*SER_hh_fec_in!Q26/SER_hh_num_in!Q26)</f>
        <v>31686.361687826444</v>
      </c>
      <c r="R26" s="65">
        <f>IF(SER_hh_fec_in!R26=0,0,11630*1000*SER_hh_fec_in!R26/SER_hh_num_in!R26)</f>
        <v>29235.685335091242</v>
      </c>
      <c r="S26" s="65">
        <f>IF(SER_hh_fec_in!S26=0,0,11630*1000*SER_hh_fec_in!S26/SER_hh_num_in!S26)</f>
        <v>33596.222301987997</v>
      </c>
      <c r="T26" s="65">
        <f>IF(SER_hh_fec_in!T26=0,0,11630*1000*SER_hh_fec_in!T26/SER_hh_num_in!T26)</f>
        <v>32210.452458102325</v>
      </c>
      <c r="U26" s="65">
        <f>IF(SER_hh_fec_in!U26=0,0,11630*1000*SER_hh_fec_in!U26/SER_hh_num_in!U26)</f>
        <v>28411.816158827754</v>
      </c>
      <c r="V26" s="65">
        <f>IF(SER_hh_fec_in!V26=0,0,11630*1000*SER_hh_fec_in!V26/SER_hh_num_in!V26)</f>
        <v>27693.668055195816</v>
      </c>
      <c r="W26" s="65">
        <f>IF(SER_hh_fec_in!W26=0,0,11630*1000*SER_hh_fec_in!W26/SER_hh_num_in!W26)</f>
        <v>24160.328409517984</v>
      </c>
      <c r="X26" s="65">
        <f>IF(SER_hh_fec_in!X26=0,0,11630*1000*SER_hh_fec_in!X26/SER_hh_num_in!X26)</f>
        <v>28930.617099677183</v>
      </c>
      <c r="Y26" s="65">
        <f>IF(SER_hh_fec_in!Y26=0,0,11630*1000*SER_hh_fec_in!Y26/SER_hh_num_in!Y26)</f>
        <v>29007.152476238552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0</v>
      </c>
      <c r="D27" s="145">
        <f>IF(SER_hh_fec_in!D27=0,0,11630*1000*SER_hh_fec_in!D27/SER_hh_num_in!D19)</f>
        <v>0</v>
      </c>
      <c r="E27" s="145">
        <f>IF(SER_hh_fec_in!E27=0,0,11630*1000*SER_hh_fec_in!E27/SER_hh_num_in!E19)</f>
        <v>0</v>
      </c>
      <c r="F27" s="145">
        <f>IF(SER_hh_fec_in!F27=0,0,11630*1000*SER_hh_fec_in!F27/SER_hh_num_in!F19)</f>
        <v>0</v>
      </c>
      <c r="G27" s="145">
        <f>IF(SER_hh_fec_in!G27=0,0,11630*1000*SER_hh_fec_in!G27/SER_hh_num_in!G19)</f>
        <v>0</v>
      </c>
      <c r="H27" s="145">
        <f>IF(SER_hh_fec_in!H27=0,0,11630*1000*SER_hh_fec_in!H27/SER_hh_num_in!H19)</f>
        <v>0</v>
      </c>
      <c r="I27" s="145">
        <f>IF(SER_hh_fec_in!I27=0,0,11630*1000*SER_hh_fec_in!I27/SER_hh_num_in!I19)</f>
        <v>0</v>
      </c>
      <c r="J27" s="145">
        <f>IF(SER_hh_fec_in!J27=0,0,11630*1000*SER_hh_fec_in!J27/SER_hh_num_in!J19)</f>
        <v>0</v>
      </c>
      <c r="K27" s="145">
        <f>IF(SER_hh_fec_in!K27=0,0,11630*1000*SER_hh_fec_in!K27/SER_hh_num_in!K19)</f>
        <v>0</v>
      </c>
      <c r="L27" s="145">
        <f>IF(SER_hh_fec_in!L27=0,0,11630*1000*SER_hh_fec_in!L27/SER_hh_num_in!L19)</f>
        <v>0</v>
      </c>
      <c r="M27" s="145">
        <f>IF(SER_hh_fec_in!M27=0,0,11630*1000*SER_hh_fec_in!M27/SER_hh_num_in!M19)</f>
        <v>0</v>
      </c>
      <c r="N27" s="145">
        <f>IF(SER_hh_fec_in!N27=0,0,11630*1000*SER_hh_fec_in!N27/SER_hh_num_in!N19)</f>
        <v>0</v>
      </c>
      <c r="O27" s="145">
        <f>IF(SER_hh_fec_in!O27=0,0,11630*1000*SER_hh_fec_in!O27/SER_hh_num_in!O19)</f>
        <v>0</v>
      </c>
      <c r="P27" s="145">
        <f>IF(SER_hh_fec_in!P27=0,0,11630*1000*SER_hh_fec_in!P27/SER_hh_num_in!P19)</f>
        <v>0</v>
      </c>
      <c r="Q27" s="145">
        <f>IF(SER_hh_fec_in!Q27=0,0,11630*1000*SER_hh_fec_in!Q27/SER_hh_num_in!Q19)</f>
        <v>0</v>
      </c>
      <c r="R27" s="145">
        <f>IF(SER_hh_fec_in!R27=0,0,11630*1000*SER_hh_fec_in!R27/SER_hh_num_in!R19)</f>
        <v>0</v>
      </c>
      <c r="S27" s="145">
        <f>IF(SER_hh_fec_in!S27=0,0,11630*1000*SER_hh_fec_in!S27/SER_hh_num_in!S19)</f>
        <v>0</v>
      </c>
      <c r="T27" s="145">
        <f>IF(SER_hh_fec_in!T27=0,0,11630*1000*SER_hh_fec_in!T27/SER_hh_num_in!T19)</f>
        <v>0</v>
      </c>
      <c r="U27" s="145">
        <f>IF(SER_hh_fec_in!U27=0,0,11630*1000*SER_hh_fec_in!U27/SER_hh_num_in!U19)</f>
        <v>0</v>
      </c>
      <c r="V27" s="145">
        <f>IF(SER_hh_fec_in!V27=0,0,11630*1000*SER_hh_fec_in!V27/SER_hh_num_in!V19)</f>
        <v>0</v>
      </c>
      <c r="W27" s="145">
        <f>IF(SER_hh_fec_in!W27=0,0,11630*1000*SER_hh_fec_in!W27/SER_hh_num_in!W19)</f>
        <v>0</v>
      </c>
      <c r="X27" s="145">
        <f>IF(SER_hh_fec_in!X27=0,0,11630*1000*SER_hh_fec_in!X27/SER_hh_num_in!X19)</f>
        <v>0</v>
      </c>
      <c r="Y27" s="145">
        <f>IF(SER_hh_fec_in!Y27=0,0,11630*1000*SER_hh_fec_in!Y27/SER_hh_num_in!Y19)</f>
        <v>0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0</v>
      </c>
      <c r="D28" s="146">
        <f>IF(SER_hh_fec_in!D27=0,0,11630*1000*SER_hh_fec_in!D27/SER_hh_num_in!D27)</f>
        <v>0</v>
      </c>
      <c r="E28" s="146">
        <f>IF(SER_hh_fec_in!E27=0,0,11630*1000*SER_hh_fec_in!E27/SER_hh_num_in!E27)</f>
        <v>0</v>
      </c>
      <c r="F28" s="146">
        <f>IF(SER_hh_fec_in!F27=0,0,11630*1000*SER_hh_fec_in!F27/SER_hh_num_in!F27)</f>
        <v>0</v>
      </c>
      <c r="G28" s="146">
        <f>IF(SER_hh_fec_in!G27=0,0,11630*1000*SER_hh_fec_in!G27/SER_hh_num_in!G27)</f>
        <v>0</v>
      </c>
      <c r="H28" s="146">
        <f>IF(SER_hh_fec_in!H27=0,0,11630*1000*SER_hh_fec_in!H27/SER_hh_num_in!H27)</f>
        <v>0</v>
      </c>
      <c r="I28" s="146">
        <f>IF(SER_hh_fec_in!I27=0,0,11630*1000*SER_hh_fec_in!I27/SER_hh_num_in!I27)</f>
        <v>0</v>
      </c>
      <c r="J28" s="146">
        <f>IF(SER_hh_fec_in!J27=0,0,11630*1000*SER_hh_fec_in!J27/SER_hh_num_in!J27)</f>
        <v>0</v>
      </c>
      <c r="K28" s="146">
        <f>IF(SER_hh_fec_in!K27=0,0,11630*1000*SER_hh_fec_in!K27/SER_hh_num_in!K27)</f>
        <v>0</v>
      </c>
      <c r="L28" s="146">
        <f>IF(SER_hh_fec_in!L27=0,0,11630*1000*SER_hh_fec_in!L27/SER_hh_num_in!L27)</f>
        <v>0</v>
      </c>
      <c r="M28" s="146">
        <f>IF(SER_hh_fec_in!M27=0,0,11630*1000*SER_hh_fec_in!M27/SER_hh_num_in!M27)</f>
        <v>0</v>
      </c>
      <c r="N28" s="146">
        <f>IF(SER_hh_fec_in!N27=0,0,11630*1000*SER_hh_fec_in!N27/SER_hh_num_in!N27)</f>
        <v>0</v>
      </c>
      <c r="O28" s="146">
        <f>IF(SER_hh_fec_in!O27=0,0,11630*1000*SER_hh_fec_in!O27/SER_hh_num_in!O27)</f>
        <v>0</v>
      </c>
      <c r="P28" s="146">
        <f>IF(SER_hh_fec_in!P27=0,0,11630*1000*SER_hh_fec_in!P27/SER_hh_num_in!P27)</f>
        <v>0</v>
      </c>
      <c r="Q28" s="146">
        <f>IF(SER_hh_fec_in!Q27=0,0,11630*1000*SER_hh_fec_in!Q27/SER_hh_num_in!Q27)</f>
        <v>0</v>
      </c>
      <c r="R28" s="146">
        <f>IF(SER_hh_fec_in!R27=0,0,11630*1000*SER_hh_fec_in!R27/SER_hh_num_in!R27)</f>
        <v>0</v>
      </c>
      <c r="S28" s="146">
        <f>IF(SER_hh_fec_in!S27=0,0,11630*1000*SER_hh_fec_in!S27/SER_hh_num_in!S27)</f>
        <v>0</v>
      </c>
      <c r="T28" s="146">
        <f>IF(SER_hh_fec_in!T27=0,0,11630*1000*SER_hh_fec_in!T27/SER_hh_num_in!T27)</f>
        <v>0</v>
      </c>
      <c r="U28" s="146">
        <f>IF(SER_hh_fec_in!U27=0,0,11630*1000*SER_hh_fec_in!U27/SER_hh_num_in!U27)</f>
        <v>0</v>
      </c>
      <c r="V28" s="146">
        <f>IF(SER_hh_fec_in!V27=0,0,11630*1000*SER_hh_fec_in!V27/SER_hh_num_in!V27)</f>
        <v>0</v>
      </c>
      <c r="W28" s="146">
        <f>IF(SER_hh_fec_in!W27=0,0,11630*1000*SER_hh_fec_in!W27/SER_hh_num_in!W27)</f>
        <v>0</v>
      </c>
      <c r="X28" s="146">
        <f>IF(SER_hh_fec_in!X27=0,0,11630*1000*SER_hh_fec_in!X27/SER_hh_num_in!X27)</f>
        <v>0</v>
      </c>
      <c r="Y28" s="146">
        <f>IF(SER_hh_fec_in!Y27=0,0,11630*1000*SER_hh_fec_in!Y27/SER_hh_num_in!Y27)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46155.734653066604</v>
      </c>
      <c r="D29" s="130">
        <f>IF(SER_hh_fec_in!D29=0,0,11630*1000*SER_hh_fec_in!D29/SER_hh_num_in!D29)</f>
        <v>45191.316150797131</v>
      </c>
      <c r="E29" s="130">
        <f>IF(SER_hh_fec_in!E29=0,0,11630*1000*SER_hh_fec_in!E29/SER_hh_num_in!E29)</f>
        <v>48162.24932425125</v>
      </c>
      <c r="F29" s="130">
        <f>IF(SER_hh_fec_in!F29=0,0,11630*1000*SER_hh_fec_in!F29/SER_hh_num_in!F29)</f>
        <v>46367.318293469674</v>
      </c>
      <c r="G29" s="130">
        <f>IF(SER_hh_fec_in!G29=0,0,11630*1000*SER_hh_fec_in!G29/SER_hh_num_in!G29)</f>
        <v>48080.043001042133</v>
      </c>
      <c r="H29" s="130">
        <f>IF(SER_hh_fec_in!H29=0,0,11630*1000*SER_hh_fec_in!H29/SER_hh_num_in!H29)</f>
        <v>49390.039860550372</v>
      </c>
      <c r="I29" s="130">
        <f>IF(SER_hh_fec_in!I29=0,0,11630*1000*SER_hh_fec_in!I29/SER_hh_num_in!I29)</f>
        <v>48270.616721600672</v>
      </c>
      <c r="J29" s="130">
        <f>IF(SER_hh_fec_in!J29=0,0,11630*1000*SER_hh_fec_in!J29/SER_hh_num_in!J29)</f>
        <v>48510.223540665895</v>
      </c>
      <c r="K29" s="130">
        <f>IF(SER_hh_fec_in!K29=0,0,11630*1000*SER_hh_fec_in!K29/SER_hh_num_in!K29)</f>
        <v>80108.334367903619</v>
      </c>
      <c r="L29" s="130">
        <f>IF(SER_hh_fec_in!L29=0,0,11630*1000*SER_hh_fec_in!L29/SER_hh_num_in!L29)</f>
        <v>62462.729111266897</v>
      </c>
      <c r="M29" s="130">
        <f>IF(SER_hh_fec_in!M29=0,0,11630*1000*SER_hh_fec_in!M29/SER_hh_num_in!M29)</f>
        <v>52921.186629378106</v>
      </c>
      <c r="N29" s="130">
        <f>IF(SER_hh_fec_in!N29=0,0,11630*1000*SER_hh_fec_in!N29/SER_hh_num_in!N29)</f>
        <v>48893.516798626209</v>
      </c>
      <c r="O29" s="130">
        <f>IF(SER_hh_fec_in!O29=0,0,11630*1000*SER_hh_fec_in!O29/SER_hh_num_in!O29)</f>
        <v>48489.089172449072</v>
      </c>
      <c r="P29" s="130">
        <f>IF(SER_hh_fec_in!P29=0,0,11630*1000*SER_hh_fec_in!P29/SER_hh_num_in!P29)</f>
        <v>48866.833108282553</v>
      </c>
      <c r="Q29" s="130">
        <f>IF(SER_hh_fec_in!Q29=0,0,11630*1000*SER_hh_fec_in!Q29/SER_hh_num_in!Q29)</f>
        <v>49268.816298952566</v>
      </c>
      <c r="R29" s="130">
        <f>IF(SER_hh_fec_in!R29=0,0,11630*1000*SER_hh_fec_in!R29/SER_hh_num_in!R29)</f>
        <v>48576.366888405908</v>
      </c>
      <c r="S29" s="130">
        <f>IF(SER_hh_fec_in!S29=0,0,11630*1000*SER_hh_fec_in!S29/SER_hh_num_in!S29)</f>
        <v>48486.823769694551</v>
      </c>
      <c r="T29" s="130">
        <f>IF(SER_hh_fec_in!T29=0,0,11630*1000*SER_hh_fec_in!T29/SER_hh_num_in!T29)</f>
        <v>49607.944813571732</v>
      </c>
      <c r="U29" s="130">
        <f>IF(SER_hh_fec_in!U29=0,0,11630*1000*SER_hh_fec_in!U29/SER_hh_num_in!U29)</f>
        <v>49746.398978056008</v>
      </c>
      <c r="V29" s="130">
        <f>IF(SER_hh_fec_in!V29=0,0,11630*1000*SER_hh_fec_in!V29/SER_hh_num_in!V29)</f>
        <v>46940.7265413485</v>
      </c>
      <c r="W29" s="130">
        <f>IF(SER_hh_fec_in!W29=0,0,11630*1000*SER_hh_fec_in!W29/SER_hh_num_in!W29)</f>
        <v>59376.637912666498</v>
      </c>
      <c r="X29" s="130">
        <f>IF(SER_hh_fec_in!X29=0,0,11630*1000*SER_hh_fec_in!X29/SER_hh_num_in!X29)</f>
        <v>59917.320918104662</v>
      </c>
      <c r="Y29" s="130">
        <f>IF(SER_hh_fec_in!Y29=0,0,11630*1000*SER_hh_fec_in!Y29/SER_hh_num_in!Y29)</f>
        <v>54012.811549588703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77154.366325759402</v>
      </c>
      <c r="D30" s="132">
        <f>IF(SER_hh_fec_in!D30=0,0,11630*1000*SER_hh_fec_in!D30/SER_hh_num_in!D30)</f>
        <v>0</v>
      </c>
      <c r="E30" s="132">
        <f>IF(SER_hh_fec_in!E30=0,0,11630*1000*SER_hh_fec_in!E30/SER_hh_num_in!E30)</f>
        <v>0</v>
      </c>
      <c r="F30" s="132">
        <f>IF(SER_hh_fec_in!F30=0,0,11630*1000*SER_hh_fec_in!F30/SER_hh_num_in!F30)</f>
        <v>0</v>
      </c>
      <c r="G30" s="132">
        <f>IF(SER_hh_fec_in!G30=0,0,11630*1000*SER_hh_fec_in!G30/SER_hh_num_in!G30)</f>
        <v>0</v>
      </c>
      <c r="H30" s="132">
        <f>IF(SER_hh_fec_in!H30=0,0,11630*1000*SER_hh_fec_in!H30/SER_hh_num_in!H30)</f>
        <v>0</v>
      </c>
      <c r="I30" s="132">
        <f>IF(SER_hh_fec_in!I30=0,0,11630*1000*SER_hh_fec_in!I30/SER_hh_num_in!I30)</f>
        <v>0</v>
      </c>
      <c r="J30" s="132">
        <f>IF(SER_hh_fec_in!J30=0,0,11630*1000*SER_hh_fec_in!J30/SER_hh_num_in!J30)</f>
        <v>0</v>
      </c>
      <c r="K30" s="132">
        <f>IF(SER_hh_fec_in!K30=0,0,11630*1000*SER_hh_fec_in!K30/SER_hh_num_in!K30)</f>
        <v>84698.85985253274</v>
      </c>
      <c r="L30" s="132">
        <f>IF(SER_hh_fec_in!L30=0,0,11630*1000*SER_hh_fec_in!L30/SER_hh_num_in!L30)</f>
        <v>69021.600820141553</v>
      </c>
      <c r="M30" s="132">
        <f>IF(SER_hh_fec_in!M30=0,0,11630*1000*SER_hh_fec_in!M30/SER_hh_num_in!M30)</f>
        <v>62465.674603892207</v>
      </c>
      <c r="N30" s="132">
        <f>IF(SER_hh_fec_in!N30=0,0,11630*1000*SER_hh_fec_in!N30/SER_hh_num_in!N30)</f>
        <v>62898.851267188766</v>
      </c>
      <c r="O30" s="132">
        <f>IF(SER_hh_fec_in!O30=0,0,11630*1000*SER_hh_fec_in!O30/SER_hh_num_in!O30)</f>
        <v>65216.120039092129</v>
      </c>
      <c r="P30" s="132">
        <f>IF(SER_hh_fec_in!P30=0,0,11630*1000*SER_hh_fec_in!P30/SER_hh_num_in!P30)</f>
        <v>59253.72424310584</v>
      </c>
      <c r="Q30" s="132">
        <f>IF(SER_hh_fec_in!Q30=0,0,11630*1000*SER_hh_fec_in!Q30/SER_hh_num_in!Q30)</f>
        <v>64278.280350629691</v>
      </c>
      <c r="R30" s="132">
        <f>IF(SER_hh_fec_in!R30=0,0,11630*1000*SER_hh_fec_in!R30/SER_hh_num_in!R30)</f>
        <v>69336.3164631494</v>
      </c>
      <c r="S30" s="132">
        <f>IF(SER_hh_fec_in!S30=0,0,11630*1000*SER_hh_fec_in!S30/SER_hh_num_in!S30)</f>
        <v>63036.676923891115</v>
      </c>
      <c r="T30" s="132">
        <f>IF(SER_hh_fec_in!T30=0,0,11630*1000*SER_hh_fec_in!T30/SER_hh_num_in!T30)</f>
        <v>55265.238805453017</v>
      </c>
      <c r="U30" s="132">
        <f>IF(SER_hh_fec_in!U30=0,0,11630*1000*SER_hh_fec_in!U30/SER_hh_num_in!U30)</f>
        <v>68826.868422213884</v>
      </c>
      <c r="V30" s="132">
        <f>IF(SER_hh_fec_in!V30=0,0,11630*1000*SER_hh_fec_in!V30/SER_hh_num_in!V30)</f>
        <v>54131.321562159414</v>
      </c>
      <c r="W30" s="132">
        <f>IF(SER_hh_fec_in!W30=0,0,11630*1000*SER_hh_fec_in!W30/SER_hh_num_in!W30)</f>
        <v>80749.095366604117</v>
      </c>
      <c r="X30" s="132">
        <f>IF(SER_hh_fec_in!X30=0,0,11630*1000*SER_hh_fec_in!X30/SER_hh_num_in!X30)</f>
        <v>57289.619341487036</v>
      </c>
      <c r="Y30" s="132">
        <f>IF(SER_hh_fec_in!Y30=0,0,11630*1000*SER_hh_fec_in!Y30/SER_hh_num_in!Y30)</f>
        <v>73143.46051900342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52887.38213889207</v>
      </c>
      <c r="D31" s="132">
        <f>IF(SER_hh_fec_in!D31=0,0,11630*1000*SER_hh_fec_in!D31/SER_hh_num_in!D31)</f>
        <v>55091.83341671247</v>
      </c>
      <c r="E31" s="132">
        <f>IF(SER_hh_fec_in!E31=0,0,11630*1000*SER_hh_fec_in!E31/SER_hh_num_in!E31)</f>
        <v>56067.648349754199</v>
      </c>
      <c r="F31" s="132">
        <f>IF(SER_hh_fec_in!F31=0,0,11630*1000*SER_hh_fec_in!F31/SER_hh_num_in!F31)</f>
        <v>57592.047537326718</v>
      </c>
      <c r="G31" s="132">
        <f>IF(SER_hh_fec_in!G31=0,0,11630*1000*SER_hh_fec_in!G31/SER_hh_num_in!G31)</f>
        <v>56465.647153371494</v>
      </c>
      <c r="H31" s="132">
        <f>IF(SER_hh_fec_in!H31=0,0,11630*1000*SER_hh_fec_in!H31/SER_hh_num_in!H31)</f>
        <v>59177.077442557144</v>
      </c>
      <c r="I31" s="132">
        <f>IF(SER_hh_fec_in!I31=0,0,11630*1000*SER_hh_fec_in!I31/SER_hh_num_in!I31)</f>
        <v>59484.493151928036</v>
      </c>
      <c r="J31" s="132">
        <f>IF(SER_hh_fec_in!J31=0,0,11630*1000*SER_hh_fec_in!J31/SER_hh_num_in!J31)</f>
        <v>60570.285755495825</v>
      </c>
      <c r="K31" s="132">
        <f>IF(SER_hh_fec_in!K31=0,0,11630*1000*SER_hh_fec_in!K31/SER_hh_num_in!K31)</f>
        <v>57852.363479123051</v>
      </c>
      <c r="L31" s="132">
        <f>IF(SER_hh_fec_in!L31=0,0,11630*1000*SER_hh_fec_in!L31/SER_hh_num_in!L31)</f>
        <v>59349.266669178738</v>
      </c>
      <c r="M31" s="132">
        <f>IF(SER_hh_fec_in!M31=0,0,11630*1000*SER_hh_fec_in!M31/SER_hh_num_in!M31)</f>
        <v>62428.653461570939</v>
      </c>
      <c r="N31" s="132">
        <f>IF(SER_hh_fec_in!N31=0,0,11630*1000*SER_hh_fec_in!N31/SER_hh_num_in!N31)</f>
        <v>63241.601935684193</v>
      </c>
      <c r="O31" s="132">
        <f>IF(SER_hh_fec_in!O31=0,0,11630*1000*SER_hh_fec_in!O31/SER_hh_num_in!O31)</f>
        <v>61970.865034662187</v>
      </c>
      <c r="P31" s="132">
        <f>IF(SER_hh_fec_in!P31=0,0,11630*1000*SER_hh_fec_in!P31/SER_hh_num_in!P31)</f>
        <v>61696.275852371553</v>
      </c>
      <c r="Q31" s="132">
        <f>IF(SER_hh_fec_in!Q31=0,0,11630*1000*SER_hh_fec_in!Q31/SER_hh_num_in!Q31)</f>
        <v>62929.922269420516</v>
      </c>
      <c r="R31" s="132">
        <f>IF(SER_hh_fec_in!R31=0,0,11630*1000*SER_hh_fec_in!R31/SER_hh_num_in!R31)</f>
        <v>63815.173069421762</v>
      </c>
      <c r="S31" s="132">
        <f>IF(SER_hh_fec_in!S31=0,0,11630*1000*SER_hh_fec_in!S31/SER_hh_num_in!S31)</f>
        <v>61267.69305056335</v>
      </c>
      <c r="T31" s="132">
        <f>IF(SER_hh_fec_in!T31=0,0,11630*1000*SER_hh_fec_in!T31/SER_hh_num_in!T31)</f>
        <v>64974.049318207835</v>
      </c>
      <c r="U31" s="132">
        <f>IF(SER_hh_fec_in!U31=0,0,11630*1000*SER_hh_fec_in!U31/SER_hh_num_in!U31)</f>
        <v>63673.730703316687</v>
      </c>
      <c r="V31" s="132">
        <f>IF(SER_hh_fec_in!V31=0,0,11630*1000*SER_hh_fec_in!V31/SER_hh_num_in!V31)</f>
        <v>47755.669677813516</v>
      </c>
      <c r="W31" s="132">
        <f>IF(SER_hh_fec_in!W31=0,0,11630*1000*SER_hh_fec_in!W31/SER_hh_num_in!W31)</f>
        <v>52481.686983040359</v>
      </c>
      <c r="X31" s="132">
        <f>IF(SER_hh_fec_in!X31=0,0,11630*1000*SER_hh_fec_in!X31/SER_hh_num_in!X31)</f>
        <v>73729.316047601693</v>
      </c>
      <c r="Y31" s="132">
        <f>IF(SER_hh_fec_in!Y31=0,0,11630*1000*SER_hh_fec_in!Y31/SER_hh_num_in!Y31)</f>
        <v>65238.166554980977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33225.854398452626</v>
      </c>
      <c r="D33" s="68">
        <f>IF(SER_hh_fec_in!D33=0,0,11630*1000*SER_hh_fec_in!D33/SER_hh_num_in!D33)</f>
        <v>40663.328110786693</v>
      </c>
      <c r="E33" s="68">
        <f>IF(SER_hh_fec_in!E33=0,0,11630*1000*SER_hh_fec_in!E33/SER_hh_num_in!E33)</f>
        <v>44964.121307364629</v>
      </c>
      <c r="F33" s="68">
        <f>IF(SER_hh_fec_in!F33=0,0,11630*1000*SER_hh_fec_in!F33/SER_hh_num_in!F33)</f>
        <v>42411.34933533935</v>
      </c>
      <c r="G33" s="68">
        <f>IF(SER_hh_fec_in!G33=0,0,11630*1000*SER_hh_fec_in!G33/SER_hh_num_in!G33)</f>
        <v>43924.173766449952</v>
      </c>
      <c r="H33" s="68">
        <f>IF(SER_hh_fec_in!H33=0,0,11630*1000*SER_hh_fec_in!H33/SER_hh_num_in!H33)</f>
        <v>43829.878620208983</v>
      </c>
      <c r="I33" s="68">
        <f>IF(SER_hh_fec_in!I33=0,0,11630*1000*SER_hh_fec_in!I33/SER_hh_num_in!I33)</f>
        <v>43965.101212103407</v>
      </c>
      <c r="J33" s="68">
        <f>IF(SER_hh_fec_in!J33=0,0,11630*1000*SER_hh_fec_in!J33/SER_hh_num_in!J33)</f>
        <v>44515.729826423936</v>
      </c>
      <c r="K33" s="68">
        <f>IF(SER_hh_fec_in!K33=0,0,11630*1000*SER_hh_fec_in!K33/SER_hh_num_in!K33)</f>
        <v>0</v>
      </c>
      <c r="L33" s="68">
        <f>IF(SER_hh_fec_in!L33=0,0,11630*1000*SER_hh_fec_in!L33/SER_hh_num_in!L33)</f>
        <v>45054.361571568828</v>
      </c>
      <c r="M33" s="68">
        <f>IF(SER_hh_fec_in!M33=0,0,11630*1000*SER_hh_fec_in!M33/SER_hh_num_in!M33)</f>
        <v>45353.66383862892</v>
      </c>
      <c r="N33" s="68">
        <f>IF(SER_hh_fec_in!N33=0,0,11630*1000*SER_hh_fec_in!N33/SER_hh_num_in!N33)</f>
        <v>45816.39560188591</v>
      </c>
      <c r="O33" s="68">
        <f>IF(SER_hh_fec_in!O33=0,0,11630*1000*SER_hh_fec_in!O33/SER_hh_num_in!O33)</f>
        <v>45899.933353873967</v>
      </c>
      <c r="P33" s="68">
        <f>IF(SER_hh_fec_in!P33=0,0,11630*1000*SER_hh_fec_in!P33/SER_hh_num_in!P33)</f>
        <v>47392.899545020686</v>
      </c>
      <c r="Q33" s="68">
        <f>IF(SER_hh_fec_in!Q33=0,0,11630*1000*SER_hh_fec_in!Q33/SER_hh_num_in!Q33)</f>
        <v>46597.303735746034</v>
      </c>
      <c r="R33" s="68">
        <f>IF(SER_hh_fec_in!R33=0,0,11630*1000*SER_hh_fec_in!R33/SER_hh_num_in!R33)</f>
        <v>45171.221713916857</v>
      </c>
      <c r="S33" s="68">
        <f>IF(SER_hh_fec_in!S33=0,0,11630*1000*SER_hh_fec_in!S33/SER_hh_num_in!S33)</f>
        <v>46561.502780136594</v>
      </c>
      <c r="T33" s="68">
        <f>IF(SER_hh_fec_in!T33=0,0,11630*1000*SER_hh_fec_in!T33/SER_hh_num_in!T33)</f>
        <v>47104.941616180411</v>
      </c>
      <c r="U33" s="68">
        <f>IF(SER_hh_fec_in!U33=0,0,11630*1000*SER_hh_fec_in!U33/SER_hh_num_in!U33)</f>
        <v>45602.333535761383</v>
      </c>
      <c r="V33" s="68">
        <f>IF(SER_hh_fec_in!V33=0,0,11630*1000*SER_hh_fec_in!V33/SER_hh_num_in!V33)</f>
        <v>44104.481286716269</v>
      </c>
      <c r="W33" s="68">
        <f>IF(SER_hh_fec_in!W33=0,0,11630*1000*SER_hh_fec_in!W33/SER_hh_num_in!W33)</f>
        <v>46717.243427967551</v>
      </c>
      <c r="X33" s="68">
        <f>IF(SER_hh_fec_in!X33=0,0,11630*1000*SER_hh_fec_in!X33/SER_hh_num_in!X33)</f>
        <v>45552.527308398516</v>
      </c>
      <c r="Y33" s="68">
        <f>IF(SER_hh_fec_in!Y33=0,0,11630*1000*SER_hh_fec_in!Y33/SER_hh_num_in!Y33)</f>
        <v>45509.82886435531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302919.07605241524</v>
      </c>
      <c r="D3" s="125">
        <f>IF(SER_hh_tes_in!D3=0,0,11630*1000*SER_hh_tes_in!D3/SER_hh_num_in!D3)</f>
        <v>274585.36101811548</v>
      </c>
      <c r="E3" s="125">
        <f>IF(SER_hh_tes_in!E3=0,0,11630*1000*SER_hh_tes_in!E3/SER_hh_num_in!E3)</f>
        <v>379108.81700942334</v>
      </c>
      <c r="F3" s="125">
        <f>IF(SER_hh_tes_in!F3=0,0,11630*1000*SER_hh_tes_in!F3/SER_hh_num_in!F3)</f>
        <v>315781.2279695652</v>
      </c>
      <c r="G3" s="125">
        <f>IF(SER_hh_tes_in!G3=0,0,11630*1000*SER_hh_tes_in!G3/SER_hh_num_in!G3)</f>
        <v>295399.94052223273</v>
      </c>
      <c r="H3" s="125">
        <f>IF(SER_hh_tes_in!H3=0,0,11630*1000*SER_hh_tes_in!H3/SER_hh_num_in!H3)</f>
        <v>300380.16077795584</v>
      </c>
      <c r="I3" s="125">
        <f>IF(SER_hh_tes_in!I3=0,0,11630*1000*SER_hh_tes_in!I3/SER_hh_num_in!I3)</f>
        <v>302984.72425302496</v>
      </c>
      <c r="J3" s="125">
        <f>IF(SER_hh_tes_in!J3=0,0,11630*1000*SER_hh_tes_in!J3/SER_hh_num_in!J3)</f>
        <v>301839.24823795375</v>
      </c>
      <c r="K3" s="125">
        <f>IF(SER_hh_tes_in!K3=0,0,11630*1000*SER_hh_tes_in!K3/SER_hh_num_in!K3)</f>
        <v>293267.51921184018</v>
      </c>
      <c r="L3" s="125">
        <f>IF(SER_hh_tes_in!L3=0,0,11630*1000*SER_hh_tes_in!L3/SER_hh_num_in!L3)</f>
        <v>314438.61042219814</v>
      </c>
      <c r="M3" s="125">
        <f>IF(SER_hh_tes_in!M3=0,0,11630*1000*SER_hh_tes_in!M3/SER_hh_num_in!M3)</f>
        <v>239761.54710910411</v>
      </c>
      <c r="N3" s="125">
        <f>IF(SER_hh_tes_in!N3=0,0,11630*1000*SER_hh_tes_in!N3/SER_hh_num_in!N3)</f>
        <v>261331.45889123765</v>
      </c>
      <c r="O3" s="125">
        <f>IF(SER_hh_tes_in!O3=0,0,11630*1000*SER_hh_tes_in!O3/SER_hh_num_in!O3)</f>
        <v>262306.05423981376</v>
      </c>
      <c r="P3" s="125">
        <f>IF(SER_hh_tes_in!P3=0,0,11630*1000*SER_hh_tes_in!P3/SER_hh_num_in!P3)</f>
        <v>218231.25190440775</v>
      </c>
      <c r="Q3" s="125">
        <f>IF(SER_hh_tes_in!Q3=0,0,11630*1000*SER_hh_tes_in!Q3/SER_hh_num_in!Q3)</f>
        <v>244293.90728209913</v>
      </c>
      <c r="R3" s="125">
        <f>IF(SER_hh_tes_in!R3=0,0,11630*1000*SER_hh_tes_in!R3/SER_hh_num_in!R3)</f>
        <v>222955.33747656012</v>
      </c>
      <c r="S3" s="125">
        <f>IF(SER_hh_tes_in!S3=0,0,11630*1000*SER_hh_tes_in!S3/SER_hh_num_in!S3)</f>
        <v>246867.96171937755</v>
      </c>
      <c r="T3" s="125">
        <f>IF(SER_hh_tes_in!T3=0,0,11630*1000*SER_hh_tes_in!T3/SER_hh_num_in!T3)</f>
        <v>228947.94528778116</v>
      </c>
      <c r="U3" s="125">
        <f>IF(SER_hh_tes_in!U3=0,0,11630*1000*SER_hh_tes_in!U3/SER_hh_num_in!U3)</f>
        <v>231733.28386349411</v>
      </c>
      <c r="V3" s="125">
        <f>IF(SER_hh_tes_in!V3=0,0,11630*1000*SER_hh_tes_in!V3/SER_hh_num_in!V3)</f>
        <v>223517.47363014717</v>
      </c>
      <c r="W3" s="125">
        <f>IF(SER_hh_tes_in!W3=0,0,11630*1000*SER_hh_tes_in!W3/SER_hh_num_in!W3)</f>
        <v>182593.08967331544</v>
      </c>
      <c r="X3" s="125">
        <f>IF(SER_hh_tes_in!X3=0,0,11630*1000*SER_hh_tes_in!X3/SER_hh_num_in!X3)</f>
        <v>143128.07798106168</v>
      </c>
      <c r="Y3" s="125">
        <f>IF(SER_hh_tes_in!Y3=0,0,11630*1000*SER_hh_tes_in!Y3/SER_hh_num_in!Y3)</f>
        <v>137454.71796325719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209465.18899459945</v>
      </c>
      <c r="D4" s="130">
        <f>IF(SER_hh_tes_in!D4=0,0,11630*1000*SER_hh_tes_in!D4/SER_hh_num_in!D4)</f>
        <v>179232.38708828512</v>
      </c>
      <c r="E4" s="130">
        <f>IF(SER_hh_tes_in!E4=0,0,11630*1000*SER_hh_tes_in!E4/SER_hh_num_in!E4)</f>
        <v>267466.15567014547</v>
      </c>
      <c r="F4" s="130">
        <f>IF(SER_hh_tes_in!F4=0,0,11630*1000*SER_hh_tes_in!F4/SER_hh_num_in!F4)</f>
        <v>218592.89075597629</v>
      </c>
      <c r="G4" s="130">
        <f>IF(SER_hh_tes_in!G4=0,0,11630*1000*SER_hh_tes_in!G4/SER_hh_num_in!G4)</f>
        <v>198090.70066627592</v>
      </c>
      <c r="H4" s="130">
        <f>IF(SER_hh_tes_in!H4=0,0,11630*1000*SER_hh_tes_in!H4/SER_hh_num_in!H4)</f>
        <v>196744.4660334216</v>
      </c>
      <c r="I4" s="130">
        <f>IF(SER_hh_tes_in!I4=0,0,11630*1000*SER_hh_tes_in!I4/SER_hh_num_in!I4)</f>
        <v>206526.08733398927</v>
      </c>
      <c r="J4" s="130">
        <f>IF(SER_hh_tes_in!J4=0,0,11630*1000*SER_hh_tes_in!J4/SER_hh_num_in!J4)</f>
        <v>204840.23965327715</v>
      </c>
      <c r="K4" s="130">
        <f>IF(SER_hh_tes_in!K4=0,0,11630*1000*SER_hh_tes_in!K4/SER_hh_num_in!K4)</f>
        <v>184947.28975812177</v>
      </c>
      <c r="L4" s="130">
        <f>IF(SER_hh_tes_in!L4=0,0,11630*1000*SER_hh_tes_in!L4/SER_hh_num_in!L4)</f>
        <v>212382.47679196656</v>
      </c>
      <c r="M4" s="130">
        <f>IF(SER_hh_tes_in!M4=0,0,11630*1000*SER_hh_tes_in!M4/SER_hh_num_in!M4)</f>
        <v>144971.38227875432</v>
      </c>
      <c r="N4" s="130">
        <f>IF(SER_hh_tes_in!N4=0,0,11630*1000*SER_hh_tes_in!N4/SER_hh_num_in!N4)</f>
        <v>165260.02532819044</v>
      </c>
      <c r="O4" s="130">
        <f>IF(SER_hh_tes_in!O4=0,0,11630*1000*SER_hh_tes_in!O4/SER_hh_num_in!O4)</f>
        <v>166459.77393489995</v>
      </c>
      <c r="P4" s="130">
        <f>IF(SER_hh_tes_in!P4=0,0,11630*1000*SER_hh_tes_in!P4/SER_hh_num_in!P4)</f>
        <v>122703.7939312638</v>
      </c>
      <c r="Q4" s="130">
        <f>IF(SER_hh_tes_in!Q4=0,0,11630*1000*SER_hh_tes_in!Q4/SER_hh_num_in!Q4)</f>
        <v>145984.54495179129</v>
      </c>
      <c r="R4" s="130">
        <f>IF(SER_hh_tes_in!R4=0,0,11630*1000*SER_hh_tes_in!R4/SER_hh_num_in!R4)</f>
        <v>130053.44244022226</v>
      </c>
      <c r="S4" s="130">
        <f>IF(SER_hh_tes_in!S4=0,0,11630*1000*SER_hh_tes_in!S4/SER_hh_num_in!S4)</f>
        <v>152118.65561849216</v>
      </c>
      <c r="T4" s="130">
        <f>IF(SER_hh_tes_in!T4=0,0,11630*1000*SER_hh_tes_in!T4/SER_hh_num_in!T4)</f>
        <v>133788.83633567306</v>
      </c>
      <c r="U4" s="130">
        <f>IF(SER_hh_tes_in!U4=0,0,11630*1000*SER_hh_tes_in!U4/SER_hh_num_in!U4)</f>
        <v>137367.85372711308</v>
      </c>
      <c r="V4" s="130">
        <f>IF(SER_hh_tes_in!V4=0,0,11630*1000*SER_hh_tes_in!V4/SER_hh_num_in!V4)</f>
        <v>138242.70979171098</v>
      </c>
      <c r="W4" s="130">
        <f>IF(SER_hh_tes_in!W4=0,0,11630*1000*SER_hh_tes_in!W4/SER_hh_num_in!W4)</f>
        <v>98922.847627284485</v>
      </c>
      <c r="X4" s="130">
        <f>IF(SER_hh_tes_in!X4=0,0,11630*1000*SER_hh_tes_in!X4/SER_hh_num_in!X4)</f>
        <v>57557.642689076441</v>
      </c>
      <c r="Y4" s="130">
        <f>IF(SER_hh_tes_in!Y4=0,0,11630*1000*SER_hh_tes_in!Y4/SER_hh_num_in!Y4)</f>
        <v>52150.471989533493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0</v>
      </c>
      <c r="D5" s="132">
        <f>IF(SER_hh_tes_in!D5=0,0,11630*1000*SER_hh_tes_in!D5/SER_hh_num_in!D5)</f>
        <v>0</v>
      </c>
      <c r="E5" s="132">
        <f>IF(SER_hh_tes_in!E5=0,0,11630*1000*SER_hh_tes_in!E5/SER_hh_num_in!E5)</f>
        <v>0</v>
      </c>
      <c r="F5" s="132">
        <f>IF(SER_hh_tes_in!F5=0,0,11630*1000*SER_hh_tes_in!F5/SER_hh_num_in!F5)</f>
        <v>0</v>
      </c>
      <c r="G5" s="132">
        <f>IF(SER_hh_tes_in!G5=0,0,11630*1000*SER_hh_tes_in!G5/SER_hh_num_in!G5)</f>
        <v>0</v>
      </c>
      <c r="H5" s="132">
        <f>IF(SER_hh_tes_in!H5=0,0,11630*1000*SER_hh_tes_in!H5/SER_hh_num_in!H5)</f>
        <v>0</v>
      </c>
      <c r="I5" s="132">
        <f>IF(SER_hh_tes_in!I5=0,0,11630*1000*SER_hh_tes_in!I5/SER_hh_num_in!I5)</f>
        <v>0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0</v>
      </c>
      <c r="N5" s="132">
        <f>IF(SER_hh_tes_in!N5=0,0,11630*1000*SER_hh_tes_in!N5/SER_hh_num_in!N5)</f>
        <v>0</v>
      </c>
      <c r="O5" s="132">
        <f>IF(SER_hh_tes_in!O5=0,0,11630*1000*SER_hh_tes_in!O5/SER_hh_num_in!O5)</f>
        <v>0</v>
      </c>
      <c r="P5" s="132">
        <f>IF(SER_hh_tes_in!P5=0,0,11630*1000*SER_hh_tes_in!P5/SER_hh_num_in!P5)</f>
        <v>0</v>
      </c>
      <c r="Q5" s="132">
        <f>IF(SER_hh_tes_in!Q5=0,0,11630*1000*SER_hh_tes_in!Q5/SER_hh_num_in!Q5)</f>
        <v>0</v>
      </c>
      <c r="R5" s="132">
        <f>IF(SER_hh_tes_in!R5=0,0,11630*1000*SER_hh_tes_in!R5/SER_hh_num_in!R5)</f>
        <v>0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0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225269.56697133934</v>
      </c>
      <c r="D7" s="132">
        <f>IF(SER_hh_tes_in!D7=0,0,11630*1000*SER_hh_tes_in!D7/SER_hh_num_in!D7)</f>
        <v>211067.62178680114</v>
      </c>
      <c r="E7" s="132">
        <f>IF(SER_hh_tes_in!E7=0,0,11630*1000*SER_hh_tes_in!E7/SER_hh_num_in!E7)</f>
        <v>203273.38282191512</v>
      </c>
      <c r="F7" s="132">
        <f>IF(SER_hh_tes_in!F7=0,0,11630*1000*SER_hh_tes_in!F7/SER_hh_num_in!F7)</f>
        <v>217760.73729810459</v>
      </c>
      <c r="G7" s="132">
        <f>IF(SER_hh_tes_in!G7=0,0,11630*1000*SER_hh_tes_in!G7/SER_hh_num_in!G7)</f>
        <v>0</v>
      </c>
      <c r="H7" s="132">
        <f>IF(SER_hh_tes_in!H7=0,0,11630*1000*SER_hh_tes_in!H7/SER_hh_num_in!H7)</f>
        <v>0</v>
      </c>
      <c r="I7" s="132">
        <f>IF(SER_hh_tes_in!I7=0,0,11630*1000*SER_hh_tes_in!I7/SER_hh_num_in!I7)</f>
        <v>0</v>
      </c>
      <c r="J7" s="132">
        <f>IF(SER_hh_tes_in!J7=0,0,11630*1000*SER_hh_tes_in!J7/SER_hh_num_in!J7)</f>
        <v>0</v>
      </c>
      <c r="K7" s="132">
        <f>IF(SER_hh_tes_in!K7=0,0,11630*1000*SER_hh_tes_in!K7/SER_hh_num_in!K7)</f>
        <v>138381.53216136087</v>
      </c>
      <c r="L7" s="132">
        <f>IF(SER_hh_tes_in!L7=0,0,11630*1000*SER_hh_tes_in!L7/SER_hh_num_in!L7)</f>
        <v>236288.09940102501</v>
      </c>
      <c r="M7" s="132">
        <f>IF(SER_hh_tes_in!M7=0,0,11630*1000*SER_hh_tes_in!M7/SER_hh_num_in!M7)</f>
        <v>156482.86882372349</v>
      </c>
      <c r="N7" s="132">
        <f>IF(SER_hh_tes_in!N7=0,0,11630*1000*SER_hh_tes_in!N7/SER_hh_num_in!N7)</f>
        <v>149962.04460037817</v>
      </c>
      <c r="O7" s="132">
        <f>IF(SER_hh_tes_in!O7=0,0,11630*1000*SER_hh_tes_in!O7/SER_hh_num_in!O7)</f>
        <v>162343.03223275091</v>
      </c>
      <c r="P7" s="132">
        <f>IF(SER_hh_tes_in!P7=0,0,11630*1000*SER_hh_tes_in!P7/SER_hh_num_in!P7)</f>
        <v>121442.86395312667</v>
      </c>
      <c r="Q7" s="132">
        <f>IF(SER_hh_tes_in!Q7=0,0,11630*1000*SER_hh_tes_in!Q7/SER_hh_num_in!Q7)</f>
        <v>149996.30389211018</v>
      </c>
      <c r="R7" s="132">
        <f>IF(SER_hh_tes_in!R7=0,0,11630*1000*SER_hh_tes_in!R7/SER_hh_num_in!R7)</f>
        <v>124867.55442660565</v>
      </c>
      <c r="S7" s="132">
        <f>IF(SER_hh_tes_in!S7=0,0,11630*1000*SER_hh_tes_in!S7/SER_hh_num_in!S7)</f>
        <v>157078.9767462787</v>
      </c>
      <c r="T7" s="132">
        <f>IF(SER_hh_tes_in!T7=0,0,11630*1000*SER_hh_tes_in!T7/SER_hh_num_in!T7)</f>
        <v>136823.3524282508</v>
      </c>
      <c r="U7" s="132">
        <f>IF(SER_hh_tes_in!U7=0,0,11630*1000*SER_hh_tes_in!U7/SER_hh_num_in!U7)</f>
        <v>150056.41995116984</v>
      </c>
      <c r="V7" s="132">
        <f>IF(SER_hh_tes_in!V7=0,0,11630*1000*SER_hh_tes_in!V7/SER_hh_num_in!V7)</f>
        <v>121671.83886606029</v>
      </c>
      <c r="W7" s="132">
        <f>IF(SER_hh_tes_in!W7=0,0,11630*1000*SER_hh_tes_in!W7/SER_hh_num_in!W7)</f>
        <v>75842.127864616981</v>
      </c>
      <c r="X7" s="132">
        <f>IF(SER_hh_tes_in!X7=0,0,11630*1000*SER_hh_tes_in!X7/SER_hh_num_in!X7)</f>
        <v>46453.301456996604</v>
      </c>
      <c r="Y7" s="132">
        <f>IF(SER_hh_tes_in!Y7=0,0,11630*1000*SER_hh_tes_in!Y7/SER_hh_num_in!Y7)</f>
        <v>0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0</v>
      </c>
      <c r="D8" s="132">
        <f>IF(SER_hh_tes_in!D8=0,0,11630*1000*SER_hh_tes_in!D8/SER_hh_num_in!D8)</f>
        <v>0</v>
      </c>
      <c r="E8" s="132">
        <f>IF(SER_hh_tes_in!E8=0,0,11630*1000*SER_hh_tes_in!E8/SER_hh_num_in!E8)</f>
        <v>0</v>
      </c>
      <c r="F8" s="132">
        <f>IF(SER_hh_tes_in!F8=0,0,11630*1000*SER_hh_tes_in!F8/SER_hh_num_in!F8)</f>
        <v>0</v>
      </c>
      <c r="G8" s="132">
        <f>IF(SER_hh_tes_in!G8=0,0,11630*1000*SER_hh_tes_in!G8/SER_hh_num_in!G8)</f>
        <v>0</v>
      </c>
      <c r="H8" s="132">
        <f>IF(SER_hh_tes_in!H8=0,0,11630*1000*SER_hh_tes_in!H8/SER_hh_num_in!H8)</f>
        <v>0</v>
      </c>
      <c r="I8" s="132">
        <f>IF(SER_hh_tes_in!I8=0,0,11630*1000*SER_hh_tes_in!I8/SER_hh_num_in!I8)</f>
        <v>0</v>
      </c>
      <c r="J8" s="132">
        <f>IF(SER_hh_tes_in!J8=0,0,11630*1000*SER_hh_tes_in!J8/SER_hh_num_in!J8)</f>
        <v>0</v>
      </c>
      <c r="K8" s="132">
        <f>IF(SER_hh_tes_in!K8=0,0,11630*1000*SER_hh_tes_in!K8/SER_hh_num_in!K8)</f>
        <v>0</v>
      </c>
      <c r="L8" s="132">
        <f>IF(SER_hh_tes_in!L8=0,0,11630*1000*SER_hh_tes_in!L8/SER_hh_num_in!L8)</f>
        <v>0</v>
      </c>
      <c r="M8" s="132">
        <f>IF(SER_hh_tes_in!M8=0,0,11630*1000*SER_hh_tes_in!M8/SER_hh_num_in!M8)</f>
        <v>0</v>
      </c>
      <c r="N8" s="132">
        <f>IF(SER_hh_tes_in!N8=0,0,11630*1000*SER_hh_tes_in!N8/SER_hh_num_in!N8)</f>
        <v>0</v>
      </c>
      <c r="O8" s="132">
        <f>IF(SER_hh_tes_in!O8=0,0,11630*1000*SER_hh_tes_in!O8/SER_hh_num_in!O8)</f>
        <v>0</v>
      </c>
      <c r="P8" s="132">
        <f>IF(SER_hh_tes_in!P8=0,0,11630*1000*SER_hh_tes_in!P8/SER_hh_num_in!P8)</f>
        <v>0</v>
      </c>
      <c r="Q8" s="132">
        <f>IF(SER_hh_tes_in!Q8=0,0,11630*1000*SER_hh_tes_in!Q8/SER_hh_num_in!Q8)</f>
        <v>0</v>
      </c>
      <c r="R8" s="132">
        <f>IF(SER_hh_tes_in!R8=0,0,11630*1000*SER_hh_tes_in!R8/SER_hh_num_in!R8)</f>
        <v>0</v>
      </c>
      <c r="S8" s="132">
        <f>IF(SER_hh_tes_in!S8=0,0,11630*1000*SER_hh_tes_in!S8/SER_hh_num_in!S8)</f>
        <v>0</v>
      </c>
      <c r="T8" s="132">
        <f>IF(SER_hh_tes_in!T8=0,0,11630*1000*SER_hh_tes_in!T8/SER_hh_num_in!T8)</f>
        <v>0</v>
      </c>
      <c r="U8" s="132">
        <f>IF(SER_hh_tes_in!U8=0,0,11630*1000*SER_hh_tes_in!U8/SER_hh_num_in!U8)</f>
        <v>0</v>
      </c>
      <c r="V8" s="132">
        <f>IF(SER_hh_tes_in!V8=0,0,11630*1000*SER_hh_tes_in!V8/SER_hh_num_in!V8)</f>
        <v>0</v>
      </c>
      <c r="W8" s="132">
        <f>IF(SER_hh_tes_in!W8=0,0,11630*1000*SER_hh_tes_in!W8/SER_hh_num_in!W8)</f>
        <v>0</v>
      </c>
      <c r="X8" s="132">
        <f>IF(SER_hh_tes_in!X8=0,0,11630*1000*SER_hh_tes_in!X8/SER_hh_num_in!X8)</f>
        <v>0</v>
      </c>
      <c r="Y8" s="132">
        <f>IF(SER_hh_tes_in!Y8=0,0,11630*1000*SER_hh_tes_in!Y8/SER_hh_num_in!Y8)</f>
        <v>0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177775.53454259576</v>
      </c>
      <c r="D9" s="132">
        <f>IF(SER_hh_tes_in!D9=0,0,11630*1000*SER_hh_tes_in!D9/SER_hh_num_in!D9)</f>
        <v>200165.6965348876</v>
      </c>
      <c r="E9" s="132">
        <f>IF(SER_hh_tes_in!E9=0,0,11630*1000*SER_hh_tes_in!E9/SER_hh_num_in!E9)</f>
        <v>0</v>
      </c>
      <c r="F9" s="132">
        <f>IF(SER_hh_tes_in!F9=0,0,11630*1000*SER_hh_tes_in!F9/SER_hh_num_in!F9)</f>
        <v>209723.14403632109</v>
      </c>
      <c r="G9" s="132">
        <f>IF(SER_hh_tes_in!G9=0,0,11630*1000*SER_hh_tes_in!G9/SER_hh_num_in!G9)</f>
        <v>176720.59036256321</v>
      </c>
      <c r="H9" s="132">
        <f>IF(SER_hh_tes_in!H9=0,0,11630*1000*SER_hh_tes_in!H9/SER_hh_num_in!H9)</f>
        <v>213330.12773658277</v>
      </c>
      <c r="I9" s="132">
        <f>IF(SER_hh_tes_in!I9=0,0,11630*1000*SER_hh_tes_in!I9/SER_hh_num_in!I9)</f>
        <v>168083.94189638185</v>
      </c>
      <c r="J9" s="132">
        <f>IF(SER_hh_tes_in!J9=0,0,11630*1000*SER_hh_tes_in!J9/SER_hh_num_in!J9)</f>
        <v>200824.479199033</v>
      </c>
      <c r="K9" s="132">
        <f>IF(SER_hh_tes_in!K9=0,0,11630*1000*SER_hh_tes_in!K9/SER_hh_num_in!K9)</f>
        <v>203771.84163946862</v>
      </c>
      <c r="L9" s="132">
        <f>IF(SER_hh_tes_in!L9=0,0,11630*1000*SER_hh_tes_in!L9/SER_hh_num_in!L9)</f>
        <v>237543.31362391965</v>
      </c>
      <c r="M9" s="132">
        <f>IF(SER_hh_tes_in!M9=0,0,11630*1000*SER_hh_tes_in!M9/SER_hh_num_in!M9)</f>
        <v>96044.828430938767</v>
      </c>
      <c r="N9" s="132">
        <f>IF(SER_hh_tes_in!N9=0,0,11630*1000*SER_hh_tes_in!N9/SER_hh_num_in!N9)</f>
        <v>172027.99780383028</v>
      </c>
      <c r="O9" s="132">
        <f>IF(SER_hh_tes_in!O9=0,0,11630*1000*SER_hh_tes_in!O9/SER_hh_num_in!O9)</f>
        <v>163126.8391511591</v>
      </c>
      <c r="P9" s="132">
        <f>IF(SER_hh_tes_in!P9=0,0,11630*1000*SER_hh_tes_in!P9/SER_hh_num_in!P9)</f>
        <v>122387.70246196883</v>
      </c>
      <c r="Q9" s="132">
        <f>IF(SER_hh_tes_in!Q9=0,0,11630*1000*SER_hh_tes_in!Q9/SER_hh_num_in!Q9)</f>
        <v>137517.51672310932</v>
      </c>
      <c r="R9" s="132">
        <f>IF(SER_hh_tes_in!R9=0,0,11630*1000*SER_hh_tes_in!R9/SER_hh_num_in!R9)</f>
        <v>154832.06003004606</v>
      </c>
      <c r="S9" s="132">
        <f>IF(SER_hh_tes_in!S9=0,0,11630*1000*SER_hh_tes_in!S9/SER_hh_num_in!S9)</f>
        <v>0</v>
      </c>
      <c r="T9" s="132">
        <f>IF(SER_hh_tes_in!T9=0,0,11630*1000*SER_hh_tes_in!T9/SER_hh_num_in!T9)</f>
        <v>0</v>
      </c>
      <c r="U9" s="132">
        <f>IF(SER_hh_tes_in!U9=0,0,11630*1000*SER_hh_tes_in!U9/SER_hh_num_in!U9)</f>
        <v>143553.93105597681</v>
      </c>
      <c r="V9" s="132">
        <f>IF(SER_hh_tes_in!V9=0,0,11630*1000*SER_hh_tes_in!V9/SER_hh_num_in!V9)</f>
        <v>97928.073111637073</v>
      </c>
      <c r="W9" s="132">
        <f>IF(SER_hh_tes_in!W9=0,0,11630*1000*SER_hh_tes_in!W9/SER_hh_num_in!W9)</f>
        <v>112396.81188592265</v>
      </c>
      <c r="X9" s="132">
        <f>IF(SER_hh_tes_in!X9=0,0,11630*1000*SER_hh_tes_in!X9/SER_hh_num_in!X9)</f>
        <v>58017.993071912897</v>
      </c>
      <c r="Y9" s="132">
        <f>IF(SER_hh_tes_in!Y9=0,0,11630*1000*SER_hh_tes_in!Y9/SER_hh_num_in!Y9)</f>
        <v>51477.442821895478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206801.99699352527</v>
      </c>
      <c r="D10" s="132">
        <f>IF(SER_hh_tes_in!D10=0,0,11630*1000*SER_hh_tes_in!D10/SER_hh_num_in!D10)</f>
        <v>277553.380084818</v>
      </c>
      <c r="E10" s="132">
        <f>IF(SER_hh_tes_in!E10=0,0,11630*1000*SER_hh_tes_in!E10/SER_hh_num_in!E10)</f>
        <v>0</v>
      </c>
      <c r="F10" s="132">
        <f>IF(SER_hh_tes_in!F10=0,0,11630*1000*SER_hh_tes_in!F10/SER_hh_num_in!F10)</f>
        <v>0</v>
      </c>
      <c r="G10" s="132">
        <f>IF(SER_hh_tes_in!G10=0,0,11630*1000*SER_hh_tes_in!G10/SER_hh_num_in!G10)</f>
        <v>0</v>
      </c>
      <c r="H10" s="132">
        <f>IF(SER_hh_tes_in!H10=0,0,11630*1000*SER_hh_tes_in!H10/SER_hh_num_in!H10)</f>
        <v>0</v>
      </c>
      <c r="I10" s="132">
        <f>IF(SER_hh_tes_in!I10=0,0,11630*1000*SER_hh_tes_in!I10/SER_hh_num_in!I10)</f>
        <v>103008.20222513552</v>
      </c>
      <c r="J10" s="132">
        <f>IF(SER_hh_tes_in!J10=0,0,11630*1000*SER_hh_tes_in!J10/SER_hh_num_in!J10)</f>
        <v>184024.29940082238</v>
      </c>
      <c r="K10" s="132">
        <f>IF(SER_hh_tes_in!K10=0,0,11630*1000*SER_hh_tes_in!K10/SER_hh_num_in!K10)</f>
        <v>272218.50410873565</v>
      </c>
      <c r="L10" s="132">
        <f>IF(SER_hh_tes_in!L10=0,0,11630*1000*SER_hh_tes_in!L10/SER_hh_num_in!L10)</f>
        <v>191777.96034355441</v>
      </c>
      <c r="M10" s="132">
        <f>IF(SER_hh_tes_in!M10=0,0,11630*1000*SER_hh_tes_in!M10/SER_hh_num_in!M10)</f>
        <v>74439.189222614645</v>
      </c>
      <c r="N10" s="132">
        <f>IF(SER_hh_tes_in!N10=0,0,11630*1000*SER_hh_tes_in!N10/SER_hh_num_in!N10)</f>
        <v>130819.72756704706</v>
      </c>
      <c r="O10" s="132">
        <f>IF(SER_hh_tes_in!O10=0,0,11630*1000*SER_hh_tes_in!O10/SER_hh_num_in!O10)</f>
        <v>180541.63617176207</v>
      </c>
      <c r="P10" s="132">
        <f>IF(SER_hh_tes_in!P10=0,0,11630*1000*SER_hh_tes_in!P10/SER_hh_num_in!P10)</f>
        <v>222827.04068088418</v>
      </c>
      <c r="Q10" s="132">
        <f>IF(SER_hh_tes_in!Q10=0,0,11630*1000*SER_hh_tes_in!Q10/SER_hh_num_in!Q10)</f>
        <v>87788.560189779964</v>
      </c>
      <c r="R10" s="132">
        <f>IF(SER_hh_tes_in!R10=0,0,11630*1000*SER_hh_tes_in!R10/SER_hh_num_in!R10)</f>
        <v>0</v>
      </c>
      <c r="S10" s="132">
        <f>IF(SER_hh_tes_in!S10=0,0,11630*1000*SER_hh_tes_in!S10/SER_hh_num_in!S10)</f>
        <v>0</v>
      </c>
      <c r="T10" s="132">
        <f>IF(SER_hh_tes_in!T10=0,0,11630*1000*SER_hh_tes_in!T10/SER_hh_num_in!T10)</f>
        <v>0</v>
      </c>
      <c r="U10" s="132">
        <f>IF(SER_hh_tes_in!U10=0,0,11630*1000*SER_hh_tes_in!U10/SER_hh_num_in!U10)</f>
        <v>0</v>
      </c>
      <c r="V10" s="132">
        <f>IF(SER_hh_tes_in!V10=0,0,11630*1000*SER_hh_tes_in!V10/SER_hh_num_in!V10)</f>
        <v>70534.91631576886</v>
      </c>
      <c r="W10" s="132">
        <f>IF(SER_hh_tes_in!W10=0,0,11630*1000*SER_hh_tes_in!W10/SER_hh_num_in!W10)</f>
        <v>107757.9527985865</v>
      </c>
      <c r="X10" s="132">
        <f>IF(SER_hh_tes_in!X10=0,0,11630*1000*SER_hh_tes_in!X10/SER_hh_num_in!X10)</f>
        <v>50600.206431071449</v>
      </c>
      <c r="Y10" s="132">
        <f>IF(SER_hh_tes_in!Y10=0,0,11630*1000*SER_hh_tes_in!Y10/SER_hh_num_in!Y10)</f>
        <v>56384.216231379673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0</v>
      </c>
      <c r="J11" s="132">
        <f>IF(SER_hh_tes_in!J11=0,0,11630*1000*SER_hh_tes_in!J11/SER_hh_num_in!J11)</f>
        <v>0</v>
      </c>
      <c r="K11" s="132">
        <f>IF(SER_hh_tes_in!K11=0,0,11630*1000*SER_hh_tes_in!K11/SER_hh_num_in!K11)</f>
        <v>0</v>
      </c>
      <c r="L11" s="132">
        <f>IF(SER_hh_tes_in!L11=0,0,11630*1000*SER_hh_tes_in!L11/SER_hh_num_in!L11)</f>
        <v>0</v>
      </c>
      <c r="M11" s="132">
        <f>IF(SER_hh_tes_in!M11=0,0,11630*1000*SER_hh_tes_in!M11/SER_hh_num_in!M11)</f>
        <v>0</v>
      </c>
      <c r="N11" s="132">
        <f>IF(SER_hh_tes_in!N11=0,0,11630*1000*SER_hh_tes_in!N11/SER_hh_num_in!N11)</f>
        <v>0</v>
      </c>
      <c r="O11" s="132">
        <f>IF(SER_hh_tes_in!O11=0,0,11630*1000*SER_hh_tes_in!O11/SER_hh_num_in!O11)</f>
        <v>0</v>
      </c>
      <c r="P11" s="132">
        <f>IF(SER_hh_tes_in!P11=0,0,11630*1000*SER_hh_tes_in!P11/SER_hh_num_in!P11)</f>
        <v>0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0</v>
      </c>
      <c r="T11" s="132">
        <f>IF(SER_hh_tes_in!T11=0,0,11630*1000*SER_hh_tes_in!T11/SER_hh_num_in!T11)</f>
        <v>0</v>
      </c>
      <c r="U11" s="132">
        <f>IF(SER_hh_tes_in!U11=0,0,11630*1000*SER_hh_tes_in!U11/SER_hh_num_in!U11)</f>
        <v>0</v>
      </c>
      <c r="V11" s="132">
        <f>IF(SER_hh_tes_in!V11=0,0,11630*1000*SER_hh_tes_in!V11/SER_hh_num_in!V11)</f>
        <v>0</v>
      </c>
      <c r="W11" s="132">
        <f>IF(SER_hh_tes_in!W11=0,0,11630*1000*SER_hh_tes_in!W11/SER_hh_num_in!W11)</f>
        <v>0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0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183756.60857945628</v>
      </c>
      <c r="D12" s="132">
        <f>IF(SER_hh_tes_in!D12=0,0,11630*1000*SER_hh_tes_in!D12/SER_hh_num_in!D12)</f>
        <v>167463.26840236894</v>
      </c>
      <c r="E12" s="132">
        <f>IF(SER_hh_tes_in!E12=0,0,11630*1000*SER_hh_tes_in!E12/SER_hh_num_in!E12)</f>
        <v>266386.4704857411</v>
      </c>
      <c r="F12" s="132">
        <f>IF(SER_hh_tes_in!F12=0,0,11630*1000*SER_hh_tes_in!F12/SER_hh_num_in!F12)</f>
        <v>224050.4520131817</v>
      </c>
      <c r="G12" s="132">
        <f>IF(SER_hh_tes_in!G12=0,0,11630*1000*SER_hh_tes_in!G12/SER_hh_num_in!G12)</f>
        <v>210009.85650703518</v>
      </c>
      <c r="H12" s="132">
        <f>IF(SER_hh_tes_in!H12=0,0,11630*1000*SER_hh_tes_in!H12/SER_hh_num_in!H12)</f>
        <v>211332.74469454165</v>
      </c>
      <c r="I12" s="132">
        <f>IF(SER_hh_tes_in!I12=0,0,11630*1000*SER_hh_tes_in!I12/SER_hh_num_in!I12)</f>
        <v>0</v>
      </c>
      <c r="J12" s="132">
        <f>IF(SER_hh_tes_in!J12=0,0,11630*1000*SER_hh_tes_in!J12/SER_hh_num_in!J12)</f>
        <v>0</v>
      </c>
      <c r="K12" s="132">
        <f>IF(SER_hh_tes_in!K12=0,0,11630*1000*SER_hh_tes_in!K12/SER_hh_num_in!K12)</f>
        <v>166695.33701624846</v>
      </c>
      <c r="L12" s="132">
        <f>IF(SER_hh_tes_in!L12=0,0,11630*1000*SER_hh_tes_in!L12/SER_hh_num_in!L12)</f>
        <v>187952.64075529756</v>
      </c>
      <c r="M12" s="132">
        <f>IF(SER_hh_tes_in!M12=0,0,11630*1000*SER_hh_tes_in!M12/SER_hh_num_in!M12)</f>
        <v>192313.73407722323</v>
      </c>
      <c r="N12" s="132">
        <f>IF(SER_hh_tes_in!N12=0,0,11630*1000*SER_hh_tes_in!N12/SER_hh_num_in!N12)</f>
        <v>168262.3443492378</v>
      </c>
      <c r="O12" s="132">
        <f>IF(SER_hh_tes_in!O12=0,0,11630*1000*SER_hh_tes_in!O12/SER_hh_num_in!O12)</f>
        <v>176957.92770429564</v>
      </c>
      <c r="P12" s="132">
        <f>IF(SER_hh_tes_in!P12=0,0,11630*1000*SER_hh_tes_in!P12/SER_hh_num_in!P12)</f>
        <v>115063.92966059336</v>
      </c>
      <c r="Q12" s="132">
        <f>IF(SER_hh_tes_in!Q12=0,0,11630*1000*SER_hh_tes_in!Q12/SER_hh_num_in!Q12)</f>
        <v>137108.10073173512</v>
      </c>
      <c r="R12" s="132">
        <f>IF(SER_hh_tes_in!R12=0,0,11630*1000*SER_hh_tes_in!R12/SER_hh_num_in!R12)</f>
        <v>132063.14382480405</v>
      </c>
      <c r="S12" s="132">
        <f>IF(SER_hh_tes_in!S12=0,0,11630*1000*SER_hh_tes_in!S12/SER_hh_num_in!S12)</f>
        <v>136868.41002323051</v>
      </c>
      <c r="T12" s="132">
        <f>IF(SER_hh_tes_in!T12=0,0,11630*1000*SER_hh_tes_in!T12/SER_hh_num_in!T12)</f>
        <v>131546.91529158229</v>
      </c>
      <c r="U12" s="132">
        <f>IF(SER_hh_tes_in!U12=0,0,11630*1000*SER_hh_tes_in!U12/SER_hh_num_in!U12)</f>
        <v>133182.08165629508</v>
      </c>
      <c r="V12" s="132">
        <f>IF(SER_hh_tes_in!V12=0,0,11630*1000*SER_hh_tes_in!V12/SER_hh_num_in!V12)</f>
        <v>140797.37208402588</v>
      </c>
      <c r="W12" s="132">
        <f>IF(SER_hh_tes_in!W12=0,0,11630*1000*SER_hh_tes_in!W12/SER_hh_num_in!W12)</f>
        <v>96015.897519150749</v>
      </c>
      <c r="X12" s="132">
        <f>IF(SER_hh_tes_in!X12=0,0,11630*1000*SER_hh_tes_in!X12/SER_hh_num_in!X12)</f>
        <v>57410.79822897249</v>
      </c>
      <c r="Y12" s="132">
        <f>IF(SER_hh_tes_in!Y12=0,0,11630*1000*SER_hh_tes_in!Y12/SER_hh_num_in!Y12)</f>
        <v>51506.740427345561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0</v>
      </c>
      <c r="D13" s="132">
        <f>IF(SER_hh_tes_in!D13=0,0,11630*1000*SER_hh_tes_in!D13/SER_hh_num_in!D13)</f>
        <v>0</v>
      </c>
      <c r="E13" s="132">
        <f>IF(SER_hh_tes_in!E13=0,0,11630*1000*SER_hh_tes_in!E13/SER_hh_num_in!E13)</f>
        <v>0</v>
      </c>
      <c r="F13" s="132">
        <f>IF(SER_hh_tes_in!F13=0,0,11630*1000*SER_hh_tes_in!F13/SER_hh_num_in!F13)</f>
        <v>0</v>
      </c>
      <c r="G13" s="132">
        <f>IF(SER_hh_tes_in!G13=0,0,11630*1000*SER_hh_tes_in!G13/SER_hh_num_in!G13)</f>
        <v>0</v>
      </c>
      <c r="H13" s="132">
        <f>IF(SER_hh_tes_in!H13=0,0,11630*1000*SER_hh_tes_in!H13/SER_hh_num_in!H13)</f>
        <v>0</v>
      </c>
      <c r="I13" s="132">
        <f>IF(SER_hh_tes_in!I13=0,0,11630*1000*SER_hh_tes_in!I13/SER_hh_num_in!I13)</f>
        <v>0</v>
      </c>
      <c r="J13" s="132">
        <f>IF(SER_hh_tes_in!J13=0,0,11630*1000*SER_hh_tes_in!J13/SER_hh_num_in!J13)</f>
        <v>0</v>
      </c>
      <c r="K13" s="132">
        <f>IF(SER_hh_tes_in!K13=0,0,11630*1000*SER_hh_tes_in!K13/SER_hh_num_in!K13)</f>
        <v>0</v>
      </c>
      <c r="L13" s="132">
        <f>IF(SER_hh_tes_in!L13=0,0,11630*1000*SER_hh_tes_in!L13/SER_hh_num_in!L13)</f>
        <v>0</v>
      </c>
      <c r="M13" s="132">
        <f>IF(SER_hh_tes_in!M13=0,0,11630*1000*SER_hh_tes_in!M13/SER_hh_num_in!M13)</f>
        <v>0</v>
      </c>
      <c r="N13" s="132">
        <f>IF(SER_hh_tes_in!N13=0,0,11630*1000*SER_hh_tes_in!N13/SER_hh_num_in!N13)</f>
        <v>0</v>
      </c>
      <c r="O13" s="132">
        <f>IF(SER_hh_tes_in!O13=0,0,11630*1000*SER_hh_tes_in!O13/SER_hh_num_in!O13)</f>
        <v>0</v>
      </c>
      <c r="P13" s="132">
        <f>IF(SER_hh_tes_in!P13=0,0,11630*1000*SER_hh_tes_in!P13/SER_hh_num_in!P13)</f>
        <v>0</v>
      </c>
      <c r="Q13" s="132">
        <f>IF(SER_hh_tes_in!Q13=0,0,11630*1000*SER_hh_tes_in!Q13/SER_hh_num_in!Q13)</f>
        <v>0</v>
      </c>
      <c r="R13" s="132">
        <f>IF(SER_hh_tes_in!R13=0,0,11630*1000*SER_hh_tes_in!R13/SER_hh_num_in!R13)</f>
        <v>0</v>
      </c>
      <c r="S13" s="132">
        <f>IF(SER_hh_tes_in!S13=0,0,11630*1000*SER_hh_tes_in!S13/SER_hh_num_in!S13)</f>
        <v>0</v>
      </c>
      <c r="T13" s="132">
        <f>IF(SER_hh_tes_in!T13=0,0,11630*1000*SER_hh_tes_in!T13/SER_hh_num_in!T13)</f>
        <v>0</v>
      </c>
      <c r="U13" s="132">
        <f>IF(SER_hh_tes_in!U13=0,0,11630*1000*SER_hh_tes_in!U13/SER_hh_num_in!U13)</f>
        <v>0</v>
      </c>
      <c r="V13" s="132">
        <f>IF(SER_hh_tes_in!V13=0,0,11630*1000*SER_hh_tes_in!V13/SER_hh_num_in!V13)</f>
        <v>0</v>
      </c>
      <c r="W13" s="132">
        <f>IF(SER_hh_tes_in!W13=0,0,11630*1000*SER_hh_tes_in!W13/SER_hh_num_in!W13)</f>
        <v>0</v>
      </c>
      <c r="X13" s="132">
        <f>IF(SER_hh_tes_in!X13=0,0,11630*1000*SER_hh_tes_in!X13/SER_hh_num_in!X13)</f>
        <v>0</v>
      </c>
      <c r="Y13" s="132">
        <f>IF(SER_hh_tes_in!Y13=0,0,11630*1000*SER_hh_tes_in!Y13/SER_hh_num_in!Y13)</f>
        <v>0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267333.65279061085</v>
      </c>
      <c r="D14" s="65">
        <f>IF(SER_hh_tes_in!D14=0,0,11630*1000*SER_hh_tes_in!D14/SER_hh_num_in!D14)</f>
        <v>0</v>
      </c>
      <c r="E14" s="65">
        <f>IF(SER_hh_tes_in!E14=0,0,11630*1000*SER_hh_tes_in!E14/SER_hh_num_in!E14)</f>
        <v>0</v>
      </c>
      <c r="F14" s="65">
        <f>IF(SER_hh_tes_in!F14=0,0,11630*1000*SER_hh_tes_in!F14/SER_hh_num_in!F14)</f>
        <v>178622.7219415</v>
      </c>
      <c r="G14" s="65">
        <f>IF(SER_hh_tes_in!G14=0,0,11630*1000*SER_hh_tes_in!G14/SER_hh_num_in!G14)</f>
        <v>204529.32733353521</v>
      </c>
      <c r="H14" s="65">
        <f>IF(SER_hh_tes_in!H14=0,0,11630*1000*SER_hh_tes_in!H14/SER_hh_num_in!H14)</f>
        <v>179136.98427664442</v>
      </c>
      <c r="I14" s="65">
        <f>IF(SER_hh_tes_in!I14=0,0,11630*1000*SER_hh_tes_in!I14/SER_hh_num_in!I14)</f>
        <v>234984.76723349575</v>
      </c>
      <c r="J14" s="65">
        <f>IF(SER_hh_tes_in!J14=0,0,11630*1000*SER_hh_tes_in!J14/SER_hh_num_in!J14)</f>
        <v>205549.28229076799</v>
      </c>
      <c r="K14" s="65">
        <f>IF(SER_hh_tes_in!K14=0,0,11630*1000*SER_hh_tes_in!K14/SER_hh_num_in!K14)</f>
        <v>184044.57727997482</v>
      </c>
      <c r="L14" s="65">
        <f>IF(SER_hh_tes_in!L14=0,0,11630*1000*SER_hh_tes_in!L14/SER_hh_num_in!L14)</f>
        <v>188183.86563499289</v>
      </c>
      <c r="M14" s="65">
        <f>IF(SER_hh_tes_in!M14=0,0,11630*1000*SER_hh_tes_in!M14/SER_hh_num_in!M14)</f>
        <v>158071.7657719416</v>
      </c>
      <c r="N14" s="65">
        <f>IF(SER_hh_tes_in!N14=0,0,11630*1000*SER_hh_tes_in!N14/SER_hh_num_in!N14)</f>
        <v>164322.49566828707</v>
      </c>
      <c r="O14" s="65">
        <f>IF(SER_hh_tes_in!O14=0,0,11630*1000*SER_hh_tes_in!O14/SER_hh_num_in!O14)</f>
        <v>164208.30051790079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95683.929816489283</v>
      </c>
      <c r="S14" s="65">
        <f>IF(SER_hh_tes_in!S14=0,0,11630*1000*SER_hh_tes_in!S14/SER_hh_num_in!S14)</f>
        <v>166874.22724402277</v>
      </c>
      <c r="T14" s="65">
        <f>IF(SER_hh_tes_in!T14=0,0,11630*1000*SER_hh_tes_in!T14/SER_hh_num_in!T14)</f>
        <v>134187.89730060677</v>
      </c>
      <c r="U14" s="65">
        <f>IF(SER_hh_tes_in!U14=0,0,11630*1000*SER_hh_tes_in!U14/SER_hh_num_in!U14)</f>
        <v>142642.14669108271</v>
      </c>
      <c r="V14" s="65">
        <f>IF(SER_hh_tes_in!V14=0,0,11630*1000*SER_hh_tes_in!V14/SER_hh_num_in!V14)</f>
        <v>115967.23987573638</v>
      </c>
      <c r="W14" s="65">
        <f>IF(SER_hh_tes_in!W14=0,0,11630*1000*SER_hh_tes_in!W14/SER_hh_num_in!W14)</f>
        <v>103807.41843666081</v>
      </c>
      <c r="X14" s="65">
        <f>IF(SER_hh_tes_in!X14=0,0,11630*1000*SER_hh_tes_in!X14/SER_hh_num_in!X14)</f>
        <v>0</v>
      </c>
      <c r="Y14" s="65">
        <f>IF(SER_hh_tes_in!Y14=0,0,11630*1000*SER_hh_tes_in!Y14/SER_hh_num_in!Y14)</f>
        <v>52890.683531667753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2579.6668008279994</v>
      </c>
      <c r="D15" s="134">
        <f>IF(SER_hh_tes_in!D15=0,0,11630*1000*SER_hh_tes_in!D15/SER_hh_num_in!D15)</f>
        <v>1655.3933710291253</v>
      </c>
      <c r="E15" s="134">
        <f>IF(SER_hh_tes_in!E15=0,0,11630*1000*SER_hh_tes_in!E15/SER_hh_num_in!E15)</f>
        <v>1261.7542226660289</v>
      </c>
      <c r="F15" s="134">
        <f>IF(SER_hh_tes_in!F15=0,0,11630*1000*SER_hh_tes_in!F15/SER_hh_num_in!F15)</f>
        <v>1503.458286096306</v>
      </c>
      <c r="G15" s="134">
        <f>IF(SER_hh_tes_in!G15=0,0,11630*1000*SER_hh_tes_in!G15/SER_hh_num_in!G15)</f>
        <v>2277.3247968431606</v>
      </c>
      <c r="H15" s="134">
        <f>IF(SER_hh_tes_in!H15=0,0,11630*1000*SER_hh_tes_in!H15/SER_hh_num_in!H15)</f>
        <v>3718.0581676290039</v>
      </c>
      <c r="I15" s="134">
        <f>IF(SER_hh_tes_in!I15=0,0,11630*1000*SER_hh_tes_in!I15/SER_hh_num_in!I15)</f>
        <v>2961.3590913826383</v>
      </c>
      <c r="J15" s="134">
        <f>IF(SER_hh_tes_in!J15=0,0,11630*1000*SER_hh_tes_in!J15/SER_hh_num_in!J15)</f>
        <v>3485.6720036141369</v>
      </c>
      <c r="K15" s="134">
        <f>IF(SER_hh_tes_in!K15=0,0,11630*1000*SER_hh_tes_in!K15/SER_hh_num_in!K15)</f>
        <v>2920.2819825778683</v>
      </c>
      <c r="L15" s="134">
        <f>IF(SER_hh_tes_in!L15=0,0,11630*1000*SER_hh_tes_in!L15/SER_hh_num_in!L15)</f>
        <v>2781.9088935293807</v>
      </c>
      <c r="M15" s="134">
        <f>IF(SER_hh_tes_in!M15=0,0,11630*1000*SER_hh_tes_in!M15/SER_hh_num_in!M15)</f>
        <v>1812.6949757549448</v>
      </c>
      <c r="N15" s="134">
        <f>IF(SER_hh_tes_in!N15=0,0,11630*1000*SER_hh_tes_in!N15/SER_hh_num_in!N15)</f>
        <v>2224.6353490918191</v>
      </c>
      <c r="O15" s="134">
        <f>IF(SER_hh_tes_in!O15=0,0,11630*1000*SER_hh_tes_in!O15/SER_hh_num_in!O15)</f>
        <v>2433.0408396305015</v>
      </c>
      <c r="P15" s="134">
        <f>IF(SER_hh_tes_in!P15=0,0,11630*1000*SER_hh_tes_in!P15/SER_hh_num_in!P15)</f>
        <v>1732.5390657742651</v>
      </c>
      <c r="Q15" s="134">
        <f>IF(SER_hh_tes_in!Q15=0,0,11630*1000*SER_hh_tes_in!Q15/SER_hh_num_in!Q15)</f>
        <v>1881.3105107435972</v>
      </c>
      <c r="R15" s="134">
        <f>IF(SER_hh_tes_in!R15=0,0,11630*1000*SER_hh_tes_in!R15/SER_hh_num_in!R15)</f>
        <v>1445.4017806034292</v>
      </c>
      <c r="S15" s="134">
        <f>IF(SER_hh_tes_in!S15=0,0,11630*1000*SER_hh_tes_in!S15/SER_hh_num_in!S15)</f>
        <v>1532.1364788252929</v>
      </c>
      <c r="T15" s="134">
        <f>IF(SER_hh_tes_in!T15=0,0,11630*1000*SER_hh_tes_in!T15/SER_hh_num_in!T15)</f>
        <v>913.28002446798018</v>
      </c>
      <c r="U15" s="134">
        <f>IF(SER_hh_tes_in!U15=0,0,11630*1000*SER_hh_tes_in!U15/SER_hh_num_in!U15)</f>
        <v>777.15499803697469</v>
      </c>
      <c r="V15" s="134">
        <f>IF(SER_hh_tes_in!V15=0,0,11630*1000*SER_hh_tes_in!V15/SER_hh_num_in!V15)</f>
        <v>701.54943206927692</v>
      </c>
      <c r="W15" s="134">
        <f>IF(SER_hh_tes_in!W15=0,0,11630*1000*SER_hh_tes_in!W15/SER_hh_num_in!W15)</f>
        <v>878.99876849076622</v>
      </c>
      <c r="X15" s="134">
        <f>IF(SER_hh_tes_in!X15=0,0,11630*1000*SER_hh_tes_in!X15/SER_hh_num_in!X15)</f>
        <v>542.49829249600248</v>
      </c>
      <c r="Y15" s="134">
        <f>IF(SER_hh_tes_in!Y15=0,0,11630*1000*SER_hh_tes_in!Y15/SER_hh_num_in!Y15)</f>
        <v>587.3967571262009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34885.480691914367</v>
      </c>
      <c r="D16" s="130">
        <f>IF(SER_hh_tes_in!D16=0,0,11630*1000*SER_hh_tes_in!D16/SER_hh_num_in!D16)</f>
        <v>35132.418183643567</v>
      </c>
      <c r="E16" s="130">
        <f>IF(SER_hh_tes_in!E16=0,0,11630*1000*SER_hh_tes_in!E16/SER_hh_num_in!E16)</f>
        <v>44592.782889977971</v>
      </c>
      <c r="F16" s="130">
        <f>IF(SER_hh_tes_in!F16=0,0,11630*1000*SER_hh_tes_in!F16/SER_hh_num_in!F16)</f>
        <v>33741.496540829277</v>
      </c>
      <c r="G16" s="130">
        <f>IF(SER_hh_tes_in!G16=0,0,11630*1000*SER_hh_tes_in!G16/SER_hh_num_in!G16)</f>
        <v>34432.037059301416</v>
      </c>
      <c r="H16" s="130">
        <f>IF(SER_hh_tes_in!H16=0,0,11630*1000*SER_hh_tes_in!H16/SER_hh_num_in!H16)</f>
        <v>39990.872210719455</v>
      </c>
      <c r="I16" s="130">
        <f>IF(SER_hh_tes_in!I16=0,0,11630*1000*SER_hh_tes_in!I16/SER_hh_num_in!I16)</f>
        <v>32795.82964521079</v>
      </c>
      <c r="J16" s="130">
        <f>IF(SER_hh_tes_in!J16=0,0,11630*1000*SER_hh_tes_in!J16/SER_hh_num_in!J16)</f>
        <v>32195.947839662542</v>
      </c>
      <c r="K16" s="130">
        <f>IF(SER_hh_tes_in!K16=0,0,11630*1000*SER_hh_tes_in!K16/SER_hh_num_in!K16)</f>
        <v>31909.608112202575</v>
      </c>
      <c r="L16" s="130">
        <f>IF(SER_hh_tes_in!L16=0,0,11630*1000*SER_hh_tes_in!L16/SER_hh_num_in!L16)</f>
        <v>33461.504378365731</v>
      </c>
      <c r="M16" s="130">
        <f>IF(SER_hh_tes_in!M16=0,0,11630*1000*SER_hh_tes_in!M16/SER_hh_num_in!M16)</f>
        <v>30720.340250069021</v>
      </c>
      <c r="N16" s="130">
        <f>IF(SER_hh_tes_in!N16=0,0,11630*1000*SER_hh_tes_in!N16/SER_hh_num_in!N16)</f>
        <v>30896.666117167464</v>
      </c>
      <c r="O16" s="130">
        <f>IF(SER_hh_tes_in!O16=0,0,11630*1000*SER_hh_tes_in!O16/SER_hh_num_in!O16)</f>
        <v>30746.325320504086</v>
      </c>
      <c r="P16" s="130">
        <f>IF(SER_hh_tes_in!P16=0,0,11630*1000*SER_hh_tes_in!P16/SER_hh_num_in!P16)</f>
        <v>28832.792473302598</v>
      </c>
      <c r="Q16" s="130">
        <f>IF(SER_hh_tes_in!Q16=0,0,11630*1000*SER_hh_tes_in!Q16/SER_hh_num_in!Q16)</f>
        <v>31626.583626531123</v>
      </c>
      <c r="R16" s="130">
        <f>IF(SER_hh_tes_in!R16=0,0,11630*1000*SER_hh_tes_in!R16/SER_hh_num_in!R16)</f>
        <v>27834.628642352833</v>
      </c>
      <c r="S16" s="130">
        <f>IF(SER_hh_tes_in!S16=0,0,11630*1000*SER_hh_tes_in!S16/SER_hh_num_in!S16)</f>
        <v>26624.801545647475</v>
      </c>
      <c r="T16" s="130">
        <f>IF(SER_hh_tes_in!T16=0,0,11630*1000*SER_hh_tes_in!T16/SER_hh_num_in!T16)</f>
        <v>28519.245205271265</v>
      </c>
      <c r="U16" s="130">
        <f>IF(SER_hh_tes_in!U16=0,0,11630*1000*SER_hh_tes_in!U16/SER_hh_num_in!U16)</f>
        <v>27058.005291608857</v>
      </c>
      <c r="V16" s="130">
        <f>IF(SER_hh_tes_in!V16=0,0,11630*1000*SER_hh_tes_in!V16/SER_hh_num_in!V16)</f>
        <v>24862.125963289051</v>
      </c>
      <c r="W16" s="130">
        <f>IF(SER_hh_tes_in!W16=0,0,11630*1000*SER_hh_tes_in!W16/SER_hh_num_in!W16)</f>
        <v>17885.417674395743</v>
      </c>
      <c r="X16" s="130">
        <f>IF(SER_hh_tes_in!X16=0,0,11630*1000*SER_hh_tes_in!X16/SER_hh_num_in!X16)</f>
        <v>16975.720856478307</v>
      </c>
      <c r="Y16" s="130">
        <f>IF(SER_hh_tes_in!Y16=0,0,11630*1000*SER_hh_tes_in!Y16/SER_hh_num_in!Y16)</f>
        <v>16662.255572738199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34890.670002051578</v>
      </c>
      <c r="D17" s="132">
        <f>IF(SER_hh_tes_in!D17=0,0,11630*1000*SER_hh_tes_in!D17/SER_hh_num_in!D17)</f>
        <v>35154.934860605747</v>
      </c>
      <c r="E17" s="132">
        <f>IF(SER_hh_tes_in!E17=0,0,11630*1000*SER_hh_tes_in!E17/SER_hh_num_in!E17)</f>
        <v>0</v>
      </c>
      <c r="F17" s="132">
        <f>IF(SER_hh_tes_in!F17=0,0,11630*1000*SER_hh_tes_in!F17/SER_hh_num_in!F17)</f>
        <v>33837.545042440157</v>
      </c>
      <c r="G17" s="132">
        <f>IF(SER_hh_tes_in!G17=0,0,11630*1000*SER_hh_tes_in!G17/SER_hh_num_in!G17)</f>
        <v>34489.195091643218</v>
      </c>
      <c r="H17" s="132">
        <f>IF(SER_hh_tes_in!H17=0,0,11630*1000*SER_hh_tes_in!H17/SER_hh_num_in!H17)</f>
        <v>40043.931099634443</v>
      </c>
      <c r="I17" s="132">
        <f>IF(SER_hh_tes_in!I17=0,0,11630*1000*SER_hh_tes_in!I17/SER_hh_num_in!I17)</f>
        <v>32847.493757065116</v>
      </c>
      <c r="J17" s="132">
        <f>IF(SER_hh_tes_in!J17=0,0,11630*1000*SER_hh_tes_in!J17/SER_hh_num_in!J17)</f>
        <v>32225.90117069476</v>
      </c>
      <c r="K17" s="132">
        <f>IF(SER_hh_tes_in!K17=0,0,11630*1000*SER_hh_tes_in!K17/SER_hh_num_in!K17)</f>
        <v>37605.600526290975</v>
      </c>
      <c r="L17" s="132">
        <f>IF(SER_hh_tes_in!L17=0,0,11630*1000*SER_hh_tes_in!L17/SER_hh_num_in!L17)</f>
        <v>33483.904565217512</v>
      </c>
      <c r="M17" s="132">
        <f>IF(SER_hh_tes_in!M17=0,0,11630*1000*SER_hh_tes_in!M17/SER_hh_num_in!M17)</f>
        <v>30779.977891902316</v>
      </c>
      <c r="N17" s="132">
        <f>IF(SER_hh_tes_in!N17=0,0,11630*1000*SER_hh_tes_in!N17/SER_hh_num_in!N17)</f>
        <v>30978.289717894269</v>
      </c>
      <c r="O17" s="132">
        <f>IF(SER_hh_tes_in!O17=0,0,11630*1000*SER_hh_tes_in!O17/SER_hh_num_in!O17)</f>
        <v>31034.009517118055</v>
      </c>
      <c r="P17" s="132">
        <f>IF(SER_hh_tes_in!P17=0,0,11630*1000*SER_hh_tes_in!P17/SER_hh_num_in!P17)</f>
        <v>29400.018471619467</v>
      </c>
      <c r="Q17" s="132">
        <f>IF(SER_hh_tes_in!Q17=0,0,11630*1000*SER_hh_tes_in!Q17/SER_hh_num_in!Q17)</f>
        <v>32239.298988540373</v>
      </c>
      <c r="R17" s="132">
        <f>IF(SER_hh_tes_in!R17=0,0,11630*1000*SER_hh_tes_in!R17/SER_hh_num_in!R17)</f>
        <v>28627.468910107906</v>
      </c>
      <c r="S17" s="132">
        <f>IF(SER_hh_tes_in!S17=0,0,11630*1000*SER_hh_tes_in!S17/SER_hh_num_in!S17)</f>
        <v>28196.950932120671</v>
      </c>
      <c r="T17" s="132">
        <f>IF(SER_hh_tes_in!T17=0,0,11630*1000*SER_hh_tes_in!T17/SER_hh_num_in!T17)</f>
        <v>28975.178738792583</v>
      </c>
      <c r="U17" s="132">
        <f>IF(SER_hh_tes_in!U17=0,0,11630*1000*SER_hh_tes_in!U17/SER_hh_num_in!U17)</f>
        <v>27382.058228462061</v>
      </c>
      <c r="V17" s="132">
        <f>IF(SER_hh_tes_in!V17=0,0,11630*1000*SER_hh_tes_in!V17/SER_hh_num_in!V17)</f>
        <v>25515.837144946832</v>
      </c>
      <c r="W17" s="132">
        <f>IF(SER_hh_tes_in!W17=0,0,11630*1000*SER_hh_tes_in!W17/SER_hh_num_in!W17)</f>
        <v>20968.079686418849</v>
      </c>
      <c r="X17" s="132">
        <f>IF(SER_hh_tes_in!X17=0,0,11630*1000*SER_hh_tes_in!X17/SER_hh_num_in!X17)</f>
        <v>16917.554433133591</v>
      </c>
      <c r="Y17" s="132">
        <f>IF(SER_hh_tes_in!Y17=0,0,11630*1000*SER_hh_tes_in!Y17/SER_hh_num_in!Y17)</f>
        <v>16697.399850836402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34885.454754296996</v>
      </c>
      <c r="D18" s="132">
        <f>IF(SER_hh_tes_in!D18=0,0,11630*1000*SER_hh_tes_in!D18/SER_hh_num_in!D18)</f>
        <v>35132.249290399057</v>
      </c>
      <c r="E18" s="132">
        <f>IF(SER_hh_tes_in!E18=0,0,11630*1000*SER_hh_tes_in!E18/SER_hh_num_in!E18)</f>
        <v>44592.782889977971</v>
      </c>
      <c r="F18" s="132">
        <f>IF(SER_hh_tes_in!F18=0,0,11630*1000*SER_hh_tes_in!F18/SER_hh_num_in!F18)</f>
        <v>33739.918440626243</v>
      </c>
      <c r="G18" s="132">
        <f>IF(SER_hh_tes_in!G18=0,0,11630*1000*SER_hh_tes_in!G18/SER_hh_num_in!G18)</f>
        <v>34431.816710333645</v>
      </c>
      <c r="H18" s="132">
        <f>IF(SER_hh_tes_in!H18=0,0,11630*1000*SER_hh_tes_in!H18/SER_hh_num_in!H18)</f>
        <v>39990.505992787206</v>
      </c>
      <c r="I18" s="132">
        <f>IF(SER_hh_tes_in!I18=0,0,11630*1000*SER_hh_tes_in!I18/SER_hh_num_in!I18)</f>
        <v>32795.11098332559</v>
      </c>
      <c r="J18" s="132">
        <f>IF(SER_hh_tes_in!J18=0,0,11630*1000*SER_hh_tes_in!J18/SER_hh_num_in!J18)</f>
        <v>32195.742596364034</v>
      </c>
      <c r="K18" s="132">
        <f>IF(SER_hh_tes_in!K18=0,0,11630*1000*SER_hh_tes_in!K18/SER_hh_num_in!K18)</f>
        <v>31851.616631872977</v>
      </c>
      <c r="L18" s="132">
        <f>IF(SER_hh_tes_in!L18=0,0,11630*1000*SER_hh_tes_in!L18/SER_hh_num_in!L18)</f>
        <v>33461.320030557203</v>
      </c>
      <c r="M18" s="132">
        <f>IF(SER_hh_tes_in!M18=0,0,11630*1000*SER_hh_tes_in!M18/SER_hh_num_in!M18)</f>
        <v>30719.621355933195</v>
      </c>
      <c r="N18" s="132">
        <f>IF(SER_hh_tes_in!N18=0,0,11630*1000*SER_hh_tes_in!N18/SER_hh_num_in!N18)</f>
        <v>30895.697460535048</v>
      </c>
      <c r="O18" s="132">
        <f>IF(SER_hh_tes_in!O18=0,0,11630*1000*SER_hh_tes_in!O18/SER_hh_num_in!O18)</f>
        <v>30740.15811984738</v>
      </c>
      <c r="P18" s="132">
        <f>IF(SER_hh_tes_in!P18=0,0,11630*1000*SER_hh_tes_in!P18/SER_hh_num_in!P18)</f>
        <v>28811.450570344961</v>
      </c>
      <c r="Q18" s="132">
        <f>IF(SER_hh_tes_in!Q18=0,0,11630*1000*SER_hh_tes_in!Q18/SER_hh_num_in!Q18)</f>
        <v>31608.220635089048</v>
      </c>
      <c r="R18" s="132">
        <f>IF(SER_hh_tes_in!R18=0,0,11630*1000*SER_hh_tes_in!R18/SER_hh_num_in!R18)</f>
        <v>27780.67185046041</v>
      </c>
      <c r="S18" s="132">
        <f>IF(SER_hh_tes_in!S18=0,0,11630*1000*SER_hh_tes_in!S18/SER_hh_num_in!S18)</f>
        <v>26565.122333998461</v>
      </c>
      <c r="T18" s="132">
        <f>IF(SER_hh_tes_in!T18=0,0,11630*1000*SER_hh_tes_in!T18/SER_hh_num_in!T18)</f>
        <v>28510.572095805914</v>
      </c>
      <c r="U18" s="132">
        <f>IF(SER_hh_tes_in!U18=0,0,11630*1000*SER_hh_tes_in!U18/SER_hh_num_in!U18)</f>
        <v>27046.101625236093</v>
      </c>
      <c r="V18" s="132">
        <f>IF(SER_hh_tes_in!V18=0,0,11630*1000*SER_hh_tes_in!V18/SER_hh_num_in!V18)</f>
        <v>24837.809717778779</v>
      </c>
      <c r="W18" s="132">
        <f>IF(SER_hh_tes_in!W18=0,0,11630*1000*SER_hh_tes_in!W18/SER_hh_num_in!W18)</f>
        <v>17757.885025476819</v>
      </c>
      <c r="X18" s="132">
        <f>IF(SER_hh_tes_in!X18=0,0,11630*1000*SER_hh_tes_in!X18/SER_hh_num_in!X18)</f>
        <v>16977.851476200445</v>
      </c>
      <c r="Y18" s="132">
        <f>IF(SER_hh_tes_in!Y18=0,0,11630*1000*SER_hh_tes_in!Y18/SER_hh_num_in!Y18)</f>
        <v>16660.903239258976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27988.333757090455</v>
      </c>
      <c r="D19" s="130">
        <f>IF(SER_hh_tes_in!D19=0,0,11630*1000*SER_hh_tes_in!D19/SER_hh_num_in!D19)</f>
        <v>27752.27205166129</v>
      </c>
      <c r="E19" s="130">
        <f>IF(SER_hh_tes_in!E19=0,0,11630*1000*SER_hh_tes_in!E19/SER_hh_num_in!E19)</f>
        <v>31977.994080852848</v>
      </c>
      <c r="F19" s="130">
        <f>IF(SER_hh_tes_in!F19=0,0,11630*1000*SER_hh_tes_in!F19/SER_hh_num_in!F19)</f>
        <v>29543.006461419267</v>
      </c>
      <c r="G19" s="130">
        <f>IF(SER_hh_tes_in!G19=0,0,11630*1000*SER_hh_tes_in!G19/SER_hh_num_in!G19)</f>
        <v>28284.724679937488</v>
      </c>
      <c r="H19" s="130">
        <f>IF(SER_hh_tes_in!H19=0,0,11630*1000*SER_hh_tes_in!H19/SER_hh_num_in!H19)</f>
        <v>28496.826697754979</v>
      </c>
      <c r="I19" s="130">
        <f>IF(SER_hh_tes_in!I19=0,0,11630*1000*SER_hh_tes_in!I19/SER_hh_num_in!I19)</f>
        <v>28415.088914901753</v>
      </c>
      <c r="J19" s="130">
        <f>IF(SER_hh_tes_in!J19=0,0,11630*1000*SER_hh_tes_in!J19/SER_hh_num_in!J19)</f>
        <v>29043.183729101274</v>
      </c>
      <c r="K19" s="130">
        <f>IF(SER_hh_tes_in!K19=0,0,11630*1000*SER_hh_tes_in!K19/SER_hh_num_in!K19)</f>
        <v>28575.942399485604</v>
      </c>
      <c r="L19" s="130">
        <f>IF(SER_hh_tes_in!L19=0,0,11630*1000*SER_hh_tes_in!L19/SER_hh_num_in!L19)</f>
        <v>29840.745930348254</v>
      </c>
      <c r="M19" s="130">
        <f>IF(SER_hh_tes_in!M19=0,0,11630*1000*SER_hh_tes_in!M19/SER_hh_num_in!M19)</f>
        <v>27231.901911062214</v>
      </c>
      <c r="N19" s="130">
        <f>IF(SER_hh_tes_in!N19=0,0,11630*1000*SER_hh_tes_in!N19/SER_hh_num_in!N19)</f>
        <v>28077.295771522804</v>
      </c>
      <c r="O19" s="130">
        <f>IF(SER_hh_tes_in!O19=0,0,11630*1000*SER_hh_tes_in!O19/SER_hh_num_in!O19)</f>
        <v>27893.389787081444</v>
      </c>
      <c r="P19" s="130">
        <f>IF(SER_hh_tes_in!P19=0,0,11630*1000*SER_hh_tes_in!P19/SER_hh_num_in!P19)</f>
        <v>28292.566057700151</v>
      </c>
      <c r="Q19" s="130">
        <f>IF(SER_hh_tes_in!Q19=0,0,11630*1000*SER_hh_tes_in!Q19/SER_hh_num_in!Q19)</f>
        <v>28453.793475271279</v>
      </c>
      <c r="R19" s="130">
        <f>IF(SER_hh_tes_in!R19=0,0,11630*1000*SER_hh_tes_in!R19/SER_hh_num_in!R19)</f>
        <v>27170.475823242661</v>
      </c>
      <c r="S19" s="130">
        <f>IF(SER_hh_tes_in!S19=0,0,11630*1000*SER_hh_tes_in!S19/SER_hh_num_in!S19)</f>
        <v>29163.427063179312</v>
      </c>
      <c r="T19" s="130">
        <f>IF(SER_hh_tes_in!T19=0,0,11630*1000*SER_hh_tes_in!T19/SER_hh_num_in!T19)</f>
        <v>27712.391221609938</v>
      </c>
      <c r="U19" s="130">
        <f>IF(SER_hh_tes_in!U19=0,0,11630*1000*SER_hh_tes_in!U19/SER_hh_num_in!U19)</f>
        <v>27519.120929504621</v>
      </c>
      <c r="V19" s="130">
        <f>IF(SER_hh_tes_in!V19=0,0,11630*1000*SER_hh_tes_in!V19/SER_hh_num_in!V19)</f>
        <v>24134.982634611406</v>
      </c>
      <c r="W19" s="130">
        <f>IF(SER_hh_tes_in!W19=0,0,11630*1000*SER_hh_tes_in!W19/SER_hh_num_in!W19)</f>
        <v>23668.334480682573</v>
      </c>
      <c r="X19" s="130">
        <f>IF(SER_hh_tes_in!X19=0,0,11630*1000*SER_hh_tes_in!X19/SER_hh_num_in!X19)</f>
        <v>26923.091236741671</v>
      </c>
      <c r="Y19" s="130">
        <f>IF(SER_hh_tes_in!Y19=0,0,11630*1000*SER_hh_tes_in!Y19/SER_hh_num_in!Y19)</f>
        <v>27283.408958263586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0</v>
      </c>
      <c r="D21" s="132">
        <f>IF(SER_hh_tes_in!D21=0,0,11630*1000*SER_hh_tes_in!D21/SER_hh_num_in!D21)</f>
        <v>0</v>
      </c>
      <c r="E21" s="132">
        <f>IF(SER_hh_tes_in!E21=0,0,11630*1000*SER_hh_tes_in!E21/SER_hh_num_in!E21)</f>
        <v>0</v>
      </c>
      <c r="F21" s="132">
        <f>IF(SER_hh_tes_in!F21=0,0,11630*1000*SER_hh_tes_in!F21/SER_hh_num_in!F21)</f>
        <v>0</v>
      </c>
      <c r="G21" s="132">
        <f>IF(SER_hh_tes_in!G21=0,0,11630*1000*SER_hh_tes_in!G21/SER_hh_num_in!G21)</f>
        <v>0</v>
      </c>
      <c r="H21" s="132">
        <f>IF(SER_hh_tes_in!H21=0,0,11630*1000*SER_hh_tes_in!H21/SER_hh_num_in!H21)</f>
        <v>0</v>
      </c>
      <c r="I21" s="132">
        <f>IF(SER_hh_tes_in!I21=0,0,11630*1000*SER_hh_tes_in!I21/SER_hh_num_in!I21)</f>
        <v>0</v>
      </c>
      <c r="J21" s="132">
        <f>IF(SER_hh_tes_in!J21=0,0,11630*1000*SER_hh_tes_in!J21/SER_hh_num_in!J21)</f>
        <v>0</v>
      </c>
      <c r="K21" s="132">
        <f>IF(SER_hh_tes_in!K21=0,0,11630*1000*SER_hh_tes_in!K21/SER_hh_num_in!K21)</f>
        <v>0</v>
      </c>
      <c r="L21" s="132">
        <f>IF(SER_hh_tes_in!L21=0,0,11630*1000*SER_hh_tes_in!L21/SER_hh_num_in!L21)</f>
        <v>0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0</v>
      </c>
      <c r="O21" s="132">
        <f>IF(SER_hh_tes_in!O21=0,0,11630*1000*SER_hh_tes_in!O21/SER_hh_num_in!O21)</f>
        <v>0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0</v>
      </c>
      <c r="S21" s="132">
        <f>IF(SER_hh_tes_in!S21=0,0,11630*1000*SER_hh_tes_in!S21/SER_hh_num_in!S21)</f>
        <v>0</v>
      </c>
      <c r="T21" s="132">
        <f>IF(SER_hh_tes_in!T21=0,0,11630*1000*SER_hh_tes_in!T21/SER_hh_num_in!T21)</f>
        <v>0</v>
      </c>
      <c r="U21" s="132">
        <f>IF(SER_hh_tes_in!U21=0,0,11630*1000*SER_hh_tes_in!U21/SER_hh_num_in!U21)</f>
        <v>0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0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28965.024139670397</v>
      </c>
      <c r="D22" s="132">
        <f>IF(SER_hh_tes_in!D22=0,0,11630*1000*SER_hh_tes_in!D22/SER_hh_num_in!D22)</f>
        <v>29369.94183475172</v>
      </c>
      <c r="E22" s="132">
        <f>IF(SER_hh_tes_in!E22=0,0,11630*1000*SER_hh_tes_in!E22/SER_hh_num_in!E22)</f>
        <v>29253.00371629947</v>
      </c>
      <c r="F22" s="132">
        <f>IF(SER_hh_tes_in!F22=0,0,11630*1000*SER_hh_tes_in!F22/SER_hh_num_in!F22)</f>
        <v>29930.983744016536</v>
      </c>
      <c r="G22" s="132">
        <f>IF(SER_hh_tes_in!G22=0,0,11630*1000*SER_hh_tes_in!G22/SER_hh_num_in!G22)</f>
        <v>0</v>
      </c>
      <c r="H22" s="132">
        <f>IF(SER_hh_tes_in!H22=0,0,11630*1000*SER_hh_tes_in!H22/SER_hh_num_in!H22)</f>
        <v>0</v>
      </c>
      <c r="I22" s="132">
        <f>IF(SER_hh_tes_in!I22=0,0,11630*1000*SER_hh_tes_in!I22/SER_hh_num_in!I22)</f>
        <v>0</v>
      </c>
      <c r="J22" s="132">
        <f>IF(SER_hh_tes_in!J22=0,0,11630*1000*SER_hh_tes_in!J22/SER_hh_num_in!J22)</f>
        <v>0</v>
      </c>
      <c r="K22" s="132">
        <f>IF(SER_hh_tes_in!K22=0,0,11630*1000*SER_hh_tes_in!K22/SER_hh_num_in!K22)</f>
        <v>24553.930071067382</v>
      </c>
      <c r="L22" s="132">
        <f>IF(SER_hh_tes_in!L22=0,0,11630*1000*SER_hh_tes_in!L22/SER_hh_num_in!L22)</f>
        <v>33510.560243464883</v>
      </c>
      <c r="M22" s="132">
        <f>IF(SER_hh_tes_in!M22=0,0,11630*1000*SER_hh_tes_in!M22/SER_hh_num_in!M22)</f>
        <v>22473.239896091003</v>
      </c>
      <c r="N22" s="132">
        <f>IF(SER_hh_tes_in!N22=0,0,11630*1000*SER_hh_tes_in!N22/SER_hh_num_in!N22)</f>
        <v>30029.535587777678</v>
      </c>
      <c r="O22" s="132">
        <f>IF(SER_hh_tes_in!O22=0,0,11630*1000*SER_hh_tes_in!O22/SER_hh_num_in!O22)</f>
        <v>28404.019450394444</v>
      </c>
      <c r="P22" s="132">
        <f>IF(SER_hh_tes_in!P22=0,0,11630*1000*SER_hh_tes_in!P22/SER_hh_num_in!P22)</f>
        <v>28944.624845448805</v>
      </c>
      <c r="Q22" s="132">
        <f>IF(SER_hh_tes_in!Q22=0,0,11630*1000*SER_hh_tes_in!Q22/SER_hh_num_in!Q22)</f>
        <v>26764.524860572015</v>
      </c>
      <c r="R22" s="132">
        <f>IF(SER_hh_tes_in!R22=0,0,11630*1000*SER_hh_tes_in!R22/SER_hh_num_in!R22)</f>
        <v>23010.737039764048</v>
      </c>
      <c r="S22" s="132">
        <f>IF(SER_hh_tes_in!S22=0,0,11630*1000*SER_hh_tes_in!S22/SER_hh_num_in!S22)</f>
        <v>30279.424907772645</v>
      </c>
      <c r="T22" s="132">
        <f>IF(SER_hh_tes_in!T22=0,0,11630*1000*SER_hh_tes_in!T22/SER_hh_num_in!T22)</f>
        <v>28785.439588345242</v>
      </c>
      <c r="U22" s="132">
        <f>IF(SER_hh_tes_in!U22=0,0,11630*1000*SER_hh_tes_in!U22/SER_hh_num_in!U22)</f>
        <v>29504.702821495139</v>
      </c>
      <c r="V22" s="132">
        <f>IF(SER_hh_tes_in!V22=0,0,11630*1000*SER_hh_tes_in!V22/SER_hh_num_in!V22)</f>
        <v>23869.97422976212</v>
      </c>
      <c r="W22" s="132">
        <f>IF(SER_hh_tes_in!W22=0,0,11630*1000*SER_hh_tes_in!W22/SER_hh_num_in!W22)</f>
        <v>27706.191156716159</v>
      </c>
      <c r="X22" s="132">
        <f>IF(SER_hh_tes_in!X22=0,0,11630*1000*SER_hh_tes_in!X22/SER_hh_num_in!X22)</f>
        <v>0</v>
      </c>
      <c r="Y22" s="132">
        <f>IF(SER_hh_tes_in!Y22=0,0,11630*1000*SER_hh_tes_in!Y22/SER_hh_num_in!Y22)</f>
        <v>0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29186.485134069699</v>
      </c>
      <c r="D23" s="132">
        <f>IF(SER_hh_tes_in!D23=0,0,11630*1000*SER_hh_tes_in!D23/SER_hh_num_in!D23)</f>
        <v>28661.40360822302</v>
      </c>
      <c r="E23" s="132">
        <f>IF(SER_hh_tes_in!E23=0,0,11630*1000*SER_hh_tes_in!E23/SER_hh_num_in!E23)</f>
        <v>29691.840339378854</v>
      </c>
      <c r="F23" s="132">
        <f>IF(SER_hh_tes_in!F23=0,0,11630*1000*SER_hh_tes_in!F23/SER_hh_num_in!F23)</f>
        <v>28648.164354680313</v>
      </c>
      <c r="G23" s="132">
        <f>IF(SER_hh_tes_in!G23=0,0,11630*1000*SER_hh_tes_in!G23/SER_hh_num_in!G23)</f>
        <v>28603.439305891839</v>
      </c>
      <c r="H23" s="132">
        <f>IF(SER_hh_tes_in!H23=0,0,11630*1000*SER_hh_tes_in!H23/SER_hh_num_in!H23)</f>
        <v>27771.002499839382</v>
      </c>
      <c r="I23" s="132">
        <f>IF(SER_hh_tes_in!I23=0,0,11630*1000*SER_hh_tes_in!I23/SER_hh_num_in!I23)</f>
        <v>26968.435547416862</v>
      </c>
      <c r="J23" s="132">
        <f>IF(SER_hh_tes_in!J23=0,0,11630*1000*SER_hh_tes_in!J23/SER_hh_num_in!J23)</f>
        <v>30046.191164208125</v>
      </c>
      <c r="K23" s="132">
        <f>IF(SER_hh_tes_in!K23=0,0,11630*1000*SER_hh_tes_in!K23/SER_hh_num_in!K23)</f>
        <v>27071.091037702594</v>
      </c>
      <c r="L23" s="132">
        <f>IF(SER_hh_tes_in!L23=0,0,11630*1000*SER_hh_tes_in!L23/SER_hh_num_in!L23)</f>
        <v>29677.438987809379</v>
      </c>
      <c r="M23" s="132">
        <f>IF(SER_hh_tes_in!M23=0,0,11630*1000*SER_hh_tes_in!M23/SER_hh_num_in!M23)</f>
        <v>28049.756090159142</v>
      </c>
      <c r="N23" s="132">
        <f>IF(SER_hh_tes_in!N23=0,0,11630*1000*SER_hh_tes_in!N23/SER_hh_num_in!N23)</f>
        <v>26743.369721678409</v>
      </c>
      <c r="O23" s="132">
        <f>IF(SER_hh_tes_in!O23=0,0,11630*1000*SER_hh_tes_in!O23/SER_hh_num_in!O23)</f>
        <v>27105.39571925272</v>
      </c>
      <c r="P23" s="132">
        <f>IF(SER_hh_tes_in!P23=0,0,11630*1000*SER_hh_tes_in!P23/SER_hh_num_in!P23)</f>
        <v>28497.428435081962</v>
      </c>
      <c r="Q23" s="132">
        <f>IF(SER_hh_tes_in!Q23=0,0,11630*1000*SER_hh_tes_in!Q23/SER_hh_num_in!Q23)</f>
        <v>32093.015591628337</v>
      </c>
      <c r="R23" s="132">
        <f>IF(SER_hh_tes_in!R23=0,0,11630*1000*SER_hh_tes_in!R23/SER_hh_num_in!R23)</f>
        <v>34051.593957371297</v>
      </c>
      <c r="S23" s="132">
        <f>IF(SER_hh_tes_in!S23=0,0,11630*1000*SER_hh_tes_in!S23/SER_hh_num_in!S23)</f>
        <v>24888.273180191954</v>
      </c>
      <c r="T23" s="132">
        <f>IF(SER_hh_tes_in!T23=0,0,11630*1000*SER_hh_tes_in!T23/SER_hh_num_in!T23)</f>
        <v>0</v>
      </c>
      <c r="U23" s="132">
        <f>IF(SER_hh_tes_in!U23=0,0,11630*1000*SER_hh_tes_in!U23/SER_hh_num_in!U23)</f>
        <v>28522.63652744504</v>
      </c>
      <c r="V23" s="132">
        <f>IF(SER_hh_tes_in!V23=0,0,11630*1000*SER_hh_tes_in!V23/SER_hh_num_in!V23)</f>
        <v>18935.038578835796</v>
      </c>
      <c r="W23" s="132">
        <f>IF(SER_hh_tes_in!W23=0,0,11630*1000*SER_hh_tes_in!W23/SER_hh_num_in!W23)</f>
        <v>26727.070839565818</v>
      </c>
      <c r="X23" s="132">
        <f>IF(SER_hh_tes_in!X23=0,0,11630*1000*SER_hh_tes_in!X23/SER_hh_num_in!X23)</f>
        <v>26309.336416025355</v>
      </c>
      <c r="Y23" s="132">
        <f>IF(SER_hh_tes_in!Y23=0,0,11630*1000*SER_hh_tes_in!Y23/SER_hh_num_in!Y23)</f>
        <v>26543.6363926745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24492.709378209311</v>
      </c>
      <c r="D25" s="132">
        <f>IF(SER_hh_tes_in!D25=0,0,11630*1000*SER_hh_tes_in!D25/SER_hh_num_in!D25)</f>
        <v>27088.155444664295</v>
      </c>
      <c r="E25" s="132">
        <f>IF(SER_hh_tes_in!E25=0,0,11630*1000*SER_hh_tes_in!E25/SER_hh_num_in!E25)</f>
        <v>33427.054846402665</v>
      </c>
      <c r="F25" s="132">
        <f>IF(SER_hh_tes_in!F25=0,0,11630*1000*SER_hh_tes_in!F25/SER_hh_num_in!F25)</f>
        <v>29970.041597727351</v>
      </c>
      <c r="G25" s="132">
        <f>IF(SER_hh_tes_in!G25=0,0,11630*1000*SER_hh_tes_in!G25/SER_hh_num_in!G25)</f>
        <v>28676.11816155769</v>
      </c>
      <c r="H25" s="132">
        <f>IF(SER_hh_tes_in!H25=0,0,11630*1000*SER_hh_tes_in!H25/SER_hh_num_in!H25)</f>
        <v>28480.78250242279</v>
      </c>
      <c r="I25" s="132">
        <f>IF(SER_hh_tes_in!I25=0,0,11630*1000*SER_hh_tes_in!I25/SER_hh_num_in!I25)</f>
        <v>28340.262960416803</v>
      </c>
      <c r="J25" s="132">
        <f>IF(SER_hh_tes_in!J25=0,0,11630*1000*SER_hh_tes_in!J25/SER_hh_num_in!J25)</f>
        <v>28276.249971724003</v>
      </c>
      <c r="K25" s="132">
        <f>IF(SER_hh_tes_in!K25=0,0,11630*1000*SER_hh_tes_in!K25/SER_hh_num_in!K25)</f>
        <v>29100.322291293622</v>
      </c>
      <c r="L25" s="132">
        <f>IF(SER_hh_tes_in!L25=0,0,11630*1000*SER_hh_tes_in!L25/SER_hh_num_in!L25)</f>
        <v>27435.749790463815</v>
      </c>
      <c r="M25" s="132">
        <f>IF(SER_hh_tes_in!M25=0,0,11630*1000*SER_hh_tes_in!M25/SER_hh_num_in!M25)</f>
        <v>27637.726904028288</v>
      </c>
      <c r="N25" s="132">
        <f>IF(SER_hh_tes_in!N25=0,0,11630*1000*SER_hh_tes_in!N25/SER_hh_num_in!N25)</f>
        <v>27927.776961755324</v>
      </c>
      <c r="O25" s="132">
        <f>IF(SER_hh_tes_in!O25=0,0,11630*1000*SER_hh_tes_in!O25/SER_hh_num_in!O25)</f>
        <v>28147.237647765767</v>
      </c>
      <c r="P25" s="132">
        <f>IF(SER_hh_tes_in!P25=0,0,11630*1000*SER_hh_tes_in!P25/SER_hh_num_in!P25)</f>
        <v>27786.951447294414</v>
      </c>
      <c r="Q25" s="132">
        <f>IF(SER_hh_tes_in!Q25=0,0,11630*1000*SER_hh_tes_in!Q25/SER_hh_num_in!Q25)</f>
        <v>27818.173542630746</v>
      </c>
      <c r="R25" s="132">
        <f>IF(SER_hh_tes_in!R25=0,0,11630*1000*SER_hh_tes_in!R25/SER_hh_num_in!R25)</f>
        <v>27720.548711709944</v>
      </c>
      <c r="S25" s="132">
        <f>IF(SER_hh_tes_in!S25=0,0,11630*1000*SER_hh_tes_in!S25/SER_hh_num_in!S25)</f>
        <v>29031.654426998433</v>
      </c>
      <c r="T25" s="132">
        <f>IF(SER_hh_tes_in!T25=0,0,11630*1000*SER_hh_tes_in!T25/SER_hh_num_in!T25)</f>
        <v>26102.942425260884</v>
      </c>
      <c r="U25" s="132">
        <f>IF(SER_hh_tes_in!U25=0,0,11630*1000*SER_hh_tes_in!U25/SER_hh_num_in!U25)</f>
        <v>27641.167077641134</v>
      </c>
      <c r="V25" s="132">
        <f>IF(SER_hh_tes_in!V25=0,0,11630*1000*SER_hh_tes_in!V25/SER_hh_num_in!V25)</f>
        <v>28285.161513672145</v>
      </c>
      <c r="W25" s="132">
        <f>IF(SER_hh_tes_in!W25=0,0,11630*1000*SER_hh_tes_in!W25/SER_hh_num_in!W25)</f>
        <v>25265.793985586191</v>
      </c>
      <c r="X25" s="132">
        <f>IF(SER_hh_tes_in!X25=0,0,11630*1000*SER_hh_tes_in!X25/SER_hh_num_in!X25)</f>
        <v>0</v>
      </c>
      <c r="Y25" s="132">
        <f>IF(SER_hh_tes_in!Y25=0,0,11630*1000*SER_hh_tes_in!Y25/SER_hh_num_in!Y25)</f>
        <v>0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30332.408897581197</v>
      </c>
      <c r="D26" s="65">
        <f>IF(SER_hh_tes_in!D26=0,0,11630*1000*SER_hh_tes_in!D26/SER_hh_num_in!D26)</f>
        <v>0</v>
      </c>
      <c r="E26" s="65">
        <f>IF(SER_hh_tes_in!E26=0,0,11630*1000*SER_hh_tes_in!E26/SER_hh_num_in!E26)</f>
        <v>0</v>
      </c>
      <c r="F26" s="65">
        <f>IF(SER_hh_tes_in!F26=0,0,11630*1000*SER_hh_tes_in!F26/SER_hh_num_in!F26)</f>
        <v>0</v>
      </c>
      <c r="G26" s="65">
        <f>IF(SER_hh_tes_in!G26=0,0,11630*1000*SER_hh_tes_in!G26/SER_hh_num_in!G26)</f>
        <v>26931.090316657781</v>
      </c>
      <c r="H26" s="65">
        <f>IF(SER_hh_tes_in!H26=0,0,11630*1000*SER_hh_tes_in!H26/SER_hh_num_in!H26)</f>
        <v>28754.052114359529</v>
      </c>
      <c r="I26" s="65">
        <f>IF(SER_hh_tes_in!I26=0,0,11630*1000*SER_hh_tes_in!I26/SER_hh_num_in!I26)</f>
        <v>28971.226001858227</v>
      </c>
      <c r="J26" s="65">
        <f>IF(SER_hh_tes_in!J26=0,0,11630*1000*SER_hh_tes_in!J26/SER_hh_num_in!J26)</f>
        <v>28434.266859311116</v>
      </c>
      <c r="K26" s="65">
        <f>IF(SER_hh_tes_in!K26=0,0,11630*1000*SER_hh_tes_in!K26/SER_hh_num_in!K26)</f>
        <v>29774.451254481628</v>
      </c>
      <c r="L26" s="65">
        <f>IF(SER_hh_tes_in!L26=0,0,11630*1000*SER_hh_tes_in!L26/SER_hh_num_in!L26)</f>
        <v>26843.404210713616</v>
      </c>
      <c r="M26" s="65">
        <f>IF(SER_hh_tes_in!M26=0,0,11630*1000*SER_hh_tes_in!M26/SER_hh_num_in!M26)</f>
        <v>28536.001441535627</v>
      </c>
      <c r="N26" s="65">
        <f>IF(SER_hh_tes_in!N26=0,0,11630*1000*SER_hh_tes_in!N26/SER_hh_num_in!N26)</f>
        <v>27495.895309078835</v>
      </c>
      <c r="O26" s="65">
        <f>IF(SER_hh_tes_in!O26=0,0,11630*1000*SER_hh_tes_in!O26/SER_hh_num_in!O26)</f>
        <v>28127.307553282633</v>
      </c>
      <c r="P26" s="65">
        <f>IF(SER_hh_tes_in!P26=0,0,11630*1000*SER_hh_tes_in!P26/SER_hh_num_in!P26)</f>
        <v>28130.321283126646</v>
      </c>
      <c r="Q26" s="65">
        <f>IF(SER_hh_tes_in!Q26=0,0,11630*1000*SER_hh_tes_in!Q26/SER_hh_num_in!Q26)</f>
        <v>26113.208197519238</v>
      </c>
      <c r="R26" s="65">
        <f>IF(SER_hh_tes_in!R26=0,0,11630*1000*SER_hh_tes_in!R26/SER_hh_num_in!R26)</f>
        <v>24614.475753940987</v>
      </c>
      <c r="S26" s="65">
        <f>IF(SER_hh_tes_in!S26=0,0,11630*1000*SER_hh_tes_in!S26/SER_hh_num_in!S26)</f>
        <v>28865.694801810161</v>
      </c>
      <c r="T26" s="65">
        <f>IF(SER_hh_tes_in!T26=0,0,11630*1000*SER_hh_tes_in!T26/SER_hh_num_in!T26)</f>
        <v>28226.753404115512</v>
      </c>
      <c r="U26" s="65">
        <f>IF(SER_hh_tes_in!U26=0,0,11630*1000*SER_hh_tes_in!U26/SER_hh_num_in!U26)</f>
        <v>25385.64893418453</v>
      </c>
      <c r="V26" s="65">
        <f>IF(SER_hh_tes_in!V26=0,0,11630*1000*SER_hh_tes_in!V26/SER_hh_num_in!V26)</f>
        <v>25211.0159083939</v>
      </c>
      <c r="W26" s="65">
        <f>IF(SER_hh_tes_in!W26=0,0,11630*1000*SER_hh_tes_in!W26/SER_hh_num_in!W26)</f>
        <v>22366.555767336253</v>
      </c>
      <c r="X26" s="65">
        <f>IF(SER_hh_tes_in!X26=0,0,11630*1000*SER_hh_tes_in!X26/SER_hh_num_in!X26)</f>
        <v>27095.969657697475</v>
      </c>
      <c r="Y26" s="65">
        <f>IF(SER_hh_tes_in!Y26=0,0,11630*1000*SER_hh_tes_in!Y26/SER_hh_num_in!Y26)</f>
        <v>27460.70818330516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0</v>
      </c>
      <c r="D27" s="145">
        <f>IF(SER_hh_tes_in!D27=0,0,11630*1000*SER_hh_tes_in!D27/SER_hh_num_in!D19)</f>
        <v>0</v>
      </c>
      <c r="E27" s="145">
        <f>IF(SER_hh_tes_in!E27=0,0,11630*1000*SER_hh_tes_in!E27/SER_hh_num_in!E19)</f>
        <v>0</v>
      </c>
      <c r="F27" s="145">
        <f>IF(SER_hh_tes_in!F27=0,0,11630*1000*SER_hh_tes_in!F27/SER_hh_num_in!F19)</f>
        <v>0</v>
      </c>
      <c r="G27" s="145">
        <f>IF(SER_hh_tes_in!G27=0,0,11630*1000*SER_hh_tes_in!G27/SER_hh_num_in!G19)</f>
        <v>0</v>
      </c>
      <c r="H27" s="145">
        <f>IF(SER_hh_tes_in!H27=0,0,11630*1000*SER_hh_tes_in!H27/SER_hh_num_in!H19)</f>
        <v>0</v>
      </c>
      <c r="I27" s="145">
        <f>IF(SER_hh_tes_in!I27=0,0,11630*1000*SER_hh_tes_in!I27/SER_hh_num_in!I19)</f>
        <v>0</v>
      </c>
      <c r="J27" s="145">
        <f>IF(SER_hh_tes_in!J27=0,0,11630*1000*SER_hh_tes_in!J27/SER_hh_num_in!J19)</f>
        <v>0</v>
      </c>
      <c r="K27" s="145">
        <f>IF(SER_hh_tes_in!K27=0,0,11630*1000*SER_hh_tes_in!K27/SER_hh_num_in!K19)</f>
        <v>0</v>
      </c>
      <c r="L27" s="145">
        <f>IF(SER_hh_tes_in!L27=0,0,11630*1000*SER_hh_tes_in!L27/SER_hh_num_in!L19)</f>
        <v>0</v>
      </c>
      <c r="M27" s="145">
        <f>IF(SER_hh_tes_in!M27=0,0,11630*1000*SER_hh_tes_in!M27/SER_hh_num_in!M19)</f>
        <v>0</v>
      </c>
      <c r="N27" s="145">
        <f>IF(SER_hh_tes_in!N27=0,0,11630*1000*SER_hh_tes_in!N27/SER_hh_num_in!N19)</f>
        <v>0</v>
      </c>
      <c r="O27" s="145">
        <f>IF(SER_hh_tes_in!O27=0,0,11630*1000*SER_hh_tes_in!O27/SER_hh_num_in!O19)</f>
        <v>0</v>
      </c>
      <c r="P27" s="145">
        <f>IF(SER_hh_tes_in!P27=0,0,11630*1000*SER_hh_tes_in!P27/SER_hh_num_in!P19)</f>
        <v>0</v>
      </c>
      <c r="Q27" s="145">
        <f>IF(SER_hh_tes_in!Q27=0,0,11630*1000*SER_hh_tes_in!Q27/SER_hh_num_in!Q19)</f>
        <v>0</v>
      </c>
      <c r="R27" s="145">
        <f>IF(SER_hh_tes_in!R27=0,0,11630*1000*SER_hh_tes_in!R27/SER_hh_num_in!R19)</f>
        <v>0</v>
      </c>
      <c r="S27" s="145">
        <f>IF(SER_hh_tes_in!S27=0,0,11630*1000*SER_hh_tes_in!S27/SER_hh_num_in!S19)</f>
        <v>0</v>
      </c>
      <c r="T27" s="145">
        <f>IF(SER_hh_tes_in!T27=0,0,11630*1000*SER_hh_tes_in!T27/SER_hh_num_in!T19)</f>
        <v>0</v>
      </c>
      <c r="U27" s="145">
        <f>IF(SER_hh_tes_in!U27=0,0,11630*1000*SER_hh_tes_in!U27/SER_hh_num_in!U19)</f>
        <v>0</v>
      </c>
      <c r="V27" s="145">
        <f>IF(SER_hh_tes_in!V27=0,0,11630*1000*SER_hh_tes_in!V27/SER_hh_num_in!V19)</f>
        <v>0</v>
      </c>
      <c r="W27" s="145">
        <f>IF(SER_hh_tes_in!W27=0,0,11630*1000*SER_hh_tes_in!W27/SER_hh_num_in!W19)</f>
        <v>0</v>
      </c>
      <c r="X27" s="145">
        <f>IF(SER_hh_tes_in!X27=0,0,11630*1000*SER_hh_tes_in!X27/SER_hh_num_in!X19)</f>
        <v>0</v>
      </c>
      <c r="Y27" s="145">
        <f>IF(SER_hh_tes_in!Y27=0,0,11630*1000*SER_hh_tes_in!Y27/SER_hh_num_in!Y19)</f>
        <v>0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0</v>
      </c>
      <c r="D28" s="146">
        <f>IF(SER_hh_tes_in!D27=0,0,11630*1000*SER_hh_tes_in!D27/SER_hh_num_in!D27)</f>
        <v>0</v>
      </c>
      <c r="E28" s="146">
        <f>IF(SER_hh_tes_in!E27=0,0,11630*1000*SER_hh_tes_in!E27/SER_hh_num_in!E27)</f>
        <v>0</v>
      </c>
      <c r="F28" s="146">
        <f>IF(SER_hh_tes_in!F27=0,0,11630*1000*SER_hh_tes_in!F27/SER_hh_num_in!F27)</f>
        <v>0</v>
      </c>
      <c r="G28" s="146">
        <f>IF(SER_hh_tes_in!G27=0,0,11630*1000*SER_hh_tes_in!G27/SER_hh_num_in!G27)</f>
        <v>0</v>
      </c>
      <c r="H28" s="146">
        <f>IF(SER_hh_tes_in!H27=0,0,11630*1000*SER_hh_tes_in!H27/SER_hh_num_in!H27)</f>
        <v>0</v>
      </c>
      <c r="I28" s="146">
        <f>IF(SER_hh_tes_in!I27=0,0,11630*1000*SER_hh_tes_in!I27/SER_hh_num_in!I27)</f>
        <v>0</v>
      </c>
      <c r="J28" s="146">
        <f>IF(SER_hh_tes_in!J27=0,0,11630*1000*SER_hh_tes_in!J27/SER_hh_num_in!J27)</f>
        <v>0</v>
      </c>
      <c r="K28" s="146">
        <f>IF(SER_hh_tes_in!K27=0,0,11630*1000*SER_hh_tes_in!K27/SER_hh_num_in!K27)</f>
        <v>0</v>
      </c>
      <c r="L28" s="146">
        <f>IF(SER_hh_tes_in!L27=0,0,11630*1000*SER_hh_tes_in!L27/SER_hh_num_in!L27)</f>
        <v>0</v>
      </c>
      <c r="M28" s="146">
        <f>IF(SER_hh_tes_in!M27=0,0,11630*1000*SER_hh_tes_in!M27/SER_hh_num_in!M27)</f>
        <v>0</v>
      </c>
      <c r="N28" s="146">
        <f>IF(SER_hh_tes_in!N27=0,0,11630*1000*SER_hh_tes_in!N27/SER_hh_num_in!N27)</f>
        <v>0</v>
      </c>
      <c r="O28" s="146">
        <f>IF(SER_hh_tes_in!O27=0,0,11630*1000*SER_hh_tes_in!O27/SER_hh_num_in!O27)</f>
        <v>0</v>
      </c>
      <c r="P28" s="146">
        <f>IF(SER_hh_tes_in!P27=0,0,11630*1000*SER_hh_tes_in!P27/SER_hh_num_in!P27)</f>
        <v>0</v>
      </c>
      <c r="Q28" s="146">
        <f>IF(SER_hh_tes_in!Q27=0,0,11630*1000*SER_hh_tes_in!Q27/SER_hh_num_in!Q27)</f>
        <v>0</v>
      </c>
      <c r="R28" s="146">
        <f>IF(SER_hh_tes_in!R27=0,0,11630*1000*SER_hh_tes_in!R27/SER_hh_num_in!R27)</f>
        <v>0</v>
      </c>
      <c r="S28" s="146">
        <f>IF(SER_hh_tes_in!S27=0,0,11630*1000*SER_hh_tes_in!S27/SER_hh_num_in!S27)</f>
        <v>0</v>
      </c>
      <c r="T28" s="146">
        <f>IF(SER_hh_tes_in!T27=0,0,11630*1000*SER_hh_tes_in!T27/SER_hh_num_in!T27)</f>
        <v>0</v>
      </c>
      <c r="U28" s="146">
        <f>IF(SER_hh_tes_in!U27=0,0,11630*1000*SER_hh_tes_in!U27/SER_hh_num_in!U27)</f>
        <v>0</v>
      </c>
      <c r="V28" s="146">
        <f>IF(SER_hh_tes_in!V27=0,0,11630*1000*SER_hh_tes_in!V27/SER_hh_num_in!V27)</f>
        <v>0</v>
      </c>
      <c r="W28" s="146">
        <f>IF(SER_hh_tes_in!W27=0,0,11630*1000*SER_hh_tes_in!W27/SER_hh_num_in!W27)</f>
        <v>0</v>
      </c>
      <c r="X28" s="146">
        <f>IF(SER_hh_tes_in!X27=0,0,11630*1000*SER_hh_tes_in!X27/SER_hh_num_in!X27)</f>
        <v>0</v>
      </c>
      <c r="Y28" s="146">
        <f>IF(SER_hh_tes_in!Y27=0,0,11630*1000*SER_hh_tes_in!Y27/SER_hh_num_in!Y27)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30580.072608810977</v>
      </c>
      <c r="D29" s="130">
        <f>IF(SER_hh_tes_in!D29=0,0,11630*1000*SER_hh_tes_in!D29/SER_hh_num_in!D29)</f>
        <v>32468.283694525482</v>
      </c>
      <c r="E29" s="130">
        <f>IF(SER_hh_tes_in!E29=0,0,11630*1000*SER_hh_tes_in!E29/SER_hh_num_in!E29)</f>
        <v>35071.884368447048</v>
      </c>
      <c r="F29" s="130">
        <f>IF(SER_hh_tes_in!F29=0,0,11630*1000*SER_hh_tes_in!F29/SER_hh_num_in!F29)</f>
        <v>33903.834211340363</v>
      </c>
      <c r="G29" s="130">
        <f>IF(SER_hh_tes_in!G29=0,0,11630*1000*SER_hh_tes_in!G29/SER_hh_num_in!G29)</f>
        <v>34592.478116717932</v>
      </c>
      <c r="H29" s="130">
        <f>IF(SER_hh_tes_in!H29=0,0,11630*1000*SER_hh_tes_in!H29/SER_hh_num_in!H29)</f>
        <v>35147.995836059687</v>
      </c>
      <c r="I29" s="130">
        <f>IF(SER_hh_tes_in!I29=0,0,11630*1000*SER_hh_tes_in!I29/SER_hh_num_in!I29)</f>
        <v>35247.718358923135</v>
      </c>
      <c r="J29" s="130">
        <f>IF(SER_hh_tes_in!J29=0,0,11630*1000*SER_hh_tes_in!J29/SER_hh_num_in!J29)</f>
        <v>35759.87701591284</v>
      </c>
      <c r="K29" s="130">
        <f>IF(SER_hh_tes_in!K29=0,0,11630*1000*SER_hh_tes_in!K29/SER_hh_num_in!K29)</f>
        <v>47834.67894203023</v>
      </c>
      <c r="L29" s="130">
        <f>IF(SER_hh_tes_in!L29=0,0,11630*1000*SER_hh_tes_in!L29/SER_hh_num_in!L29)</f>
        <v>38753.883321517591</v>
      </c>
      <c r="M29" s="130">
        <f>IF(SER_hh_tes_in!M29=0,0,11630*1000*SER_hh_tes_in!M29/SER_hh_num_in!M29)</f>
        <v>36837.922669218569</v>
      </c>
      <c r="N29" s="130">
        <f>IF(SER_hh_tes_in!N29=0,0,11630*1000*SER_hh_tes_in!N29/SER_hh_num_in!N29)</f>
        <v>37097.471674356952</v>
      </c>
      <c r="O29" s="130">
        <f>IF(SER_hh_tes_in!O29=0,0,11630*1000*SER_hh_tes_in!O29/SER_hh_num_in!O29)</f>
        <v>37206.565197328258</v>
      </c>
      <c r="P29" s="130">
        <f>IF(SER_hh_tes_in!P29=0,0,11630*1000*SER_hh_tes_in!P29/SER_hh_num_in!P29)</f>
        <v>38402.099442141152</v>
      </c>
      <c r="Q29" s="130">
        <f>IF(SER_hh_tes_in!Q29=0,0,11630*1000*SER_hh_tes_in!Q29/SER_hh_num_in!Q29)</f>
        <v>38228.985228505444</v>
      </c>
      <c r="R29" s="130">
        <f>IF(SER_hh_tes_in!R29=0,0,11630*1000*SER_hh_tes_in!R29/SER_hh_num_in!R29)</f>
        <v>37896.790570742371</v>
      </c>
      <c r="S29" s="130">
        <f>IF(SER_hh_tes_in!S29=0,0,11630*1000*SER_hh_tes_in!S29/SER_hh_num_in!S29)</f>
        <v>38961.077492058597</v>
      </c>
      <c r="T29" s="130">
        <f>IF(SER_hh_tes_in!T29=0,0,11630*1000*SER_hh_tes_in!T29/SER_hh_num_in!T29)</f>
        <v>38927.472525226935</v>
      </c>
      <c r="U29" s="130">
        <f>IF(SER_hh_tes_in!U29=0,0,11630*1000*SER_hh_tes_in!U29/SER_hh_num_in!U29)</f>
        <v>39788.303915267534</v>
      </c>
      <c r="V29" s="130">
        <f>IF(SER_hh_tes_in!V29=0,0,11630*1000*SER_hh_tes_in!V29/SER_hh_num_in!V29)</f>
        <v>36277.655240535729</v>
      </c>
      <c r="W29" s="130">
        <f>IF(SER_hh_tes_in!W29=0,0,11630*1000*SER_hh_tes_in!W29/SER_hh_num_in!W29)</f>
        <v>42116.489890952638</v>
      </c>
      <c r="X29" s="130">
        <f>IF(SER_hh_tes_in!X29=0,0,11630*1000*SER_hh_tes_in!X29/SER_hh_num_in!X29)</f>
        <v>41671.623198765286</v>
      </c>
      <c r="Y29" s="130">
        <f>IF(SER_hh_tes_in!Y29=0,0,11630*1000*SER_hh_tes_in!Y29/SER_hh_num_in!Y29)</f>
        <v>41358.58144272193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45812.055478785056</v>
      </c>
      <c r="D30" s="132">
        <f>IF(SER_hh_tes_in!D30=0,0,11630*1000*SER_hh_tes_in!D30/SER_hh_num_in!D30)</f>
        <v>0</v>
      </c>
      <c r="E30" s="132">
        <f>IF(SER_hh_tes_in!E30=0,0,11630*1000*SER_hh_tes_in!E30/SER_hh_num_in!E30)</f>
        <v>0</v>
      </c>
      <c r="F30" s="132">
        <f>IF(SER_hh_tes_in!F30=0,0,11630*1000*SER_hh_tes_in!F30/SER_hh_num_in!F30)</f>
        <v>0</v>
      </c>
      <c r="G30" s="132">
        <f>IF(SER_hh_tes_in!G30=0,0,11630*1000*SER_hh_tes_in!G30/SER_hh_num_in!G30)</f>
        <v>0</v>
      </c>
      <c r="H30" s="132">
        <f>IF(SER_hh_tes_in!H30=0,0,11630*1000*SER_hh_tes_in!H30/SER_hh_num_in!H30)</f>
        <v>0</v>
      </c>
      <c r="I30" s="132">
        <f>IF(SER_hh_tes_in!I30=0,0,11630*1000*SER_hh_tes_in!I30/SER_hh_num_in!I30)</f>
        <v>0</v>
      </c>
      <c r="J30" s="132">
        <f>IF(SER_hh_tes_in!J30=0,0,11630*1000*SER_hh_tes_in!J30/SER_hh_num_in!J30)</f>
        <v>0</v>
      </c>
      <c r="K30" s="132">
        <f>IF(SER_hh_tes_in!K30=0,0,11630*1000*SER_hh_tes_in!K30/SER_hh_num_in!K30)</f>
        <v>50492.806442687601</v>
      </c>
      <c r="L30" s="132">
        <f>IF(SER_hh_tes_in!L30=0,0,11630*1000*SER_hh_tes_in!L30/SER_hh_num_in!L30)</f>
        <v>41167.379539181828</v>
      </c>
      <c r="M30" s="132">
        <f>IF(SER_hh_tes_in!M30=0,0,11630*1000*SER_hh_tes_in!M30/SER_hh_num_in!M30)</f>
        <v>37271.235373236588</v>
      </c>
      <c r="N30" s="132">
        <f>IF(SER_hh_tes_in!N30=0,0,11630*1000*SER_hh_tes_in!N30/SER_hh_num_in!N30)</f>
        <v>37537.625453658649</v>
      </c>
      <c r="O30" s="132">
        <f>IF(SER_hh_tes_in!O30=0,0,11630*1000*SER_hh_tes_in!O30/SER_hh_num_in!O30)</f>
        <v>38925.469103459531</v>
      </c>
      <c r="P30" s="132">
        <f>IF(SER_hh_tes_in!P30=0,0,11630*1000*SER_hh_tes_in!P30/SER_hh_num_in!P30)</f>
        <v>35379.155765041331</v>
      </c>
      <c r="Q30" s="132">
        <f>IF(SER_hh_tes_in!Q30=0,0,11630*1000*SER_hh_tes_in!Q30/SER_hh_num_in!Q30)</f>
        <v>38434.205689763257</v>
      </c>
      <c r="R30" s="132">
        <f>IF(SER_hh_tes_in!R30=0,0,11630*1000*SER_hh_tes_in!R30/SER_hh_num_in!R30)</f>
        <v>41614.399831852083</v>
      </c>
      <c r="S30" s="132">
        <f>IF(SER_hh_tes_in!S30=0,0,11630*1000*SER_hh_tes_in!S30/SER_hh_num_in!S30)</f>
        <v>38033.301321332379</v>
      </c>
      <c r="T30" s="132">
        <f>IF(SER_hh_tes_in!T30=0,0,11630*1000*SER_hh_tes_in!T30/SER_hh_num_in!T30)</f>
        <v>33536.612184199839</v>
      </c>
      <c r="U30" s="132">
        <f>IF(SER_hh_tes_in!U30=0,0,11630*1000*SER_hh_tes_in!U30/SER_hh_num_in!U30)</f>
        <v>41984.512846698592</v>
      </c>
      <c r="V30" s="132">
        <f>IF(SER_hh_tes_in!V30=0,0,11630*1000*SER_hh_tes_in!V30/SER_hh_num_in!V30)</f>
        <v>33142.023639510189</v>
      </c>
      <c r="W30" s="132">
        <f>IF(SER_hh_tes_in!W30=0,0,11630*1000*SER_hh_tes_in!W30/SER_hh_num_in!W30)</f>
        <v>49526.15312124</v>
      </c>
      <c r="X30" s="132">
        <f>IF(SER_hh_tes_in!X30=0,0,11630*1000*SER_hh_tes_in!X30/SER_hh_num_in!X30)</f>
        <v>35160.470642416469</v>
      </c>
      <c r="Y30" s="132">
        <f>IF(SER_hh_tes_in!Y30=0,0,11630*1000*SER_hh_tes_in!Y30/SER_hh_num_in!Y30)</f>
        <v>44893.39172627504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31784.384970584513</v>
      </c>
      <c r="D31" s="132">
        <f>IF(SER_hh_tes_in!D31=0,0,11630*1000*SER_hh_tes_in!D31/SER_hh_num_in!D31)</f>
        <v>33130.544933367564</v>
      </c>
      <c r="E31" s="132">
        <f>IF(SER_hh_tes_in!E31=0,0,11630*1000*SER_hh_tes_in!E31/SER_hh_num_in!E31)</f>
        <v>33739.073440588159</v>
      </c>
      <c r="F31" s="132">
        <f>IF(SER_hh_tes_in!F31=0,0,11630*1000*SER_hh_tes_in!F31/SER_hh_num_in!F31)</f>
        <v>34678.684186308834</v>
      </c>
      <c r="G31" s="132">
        <f>IF(SER_hh_tes_in!G31=0,0,11630*1000*SER_hh_tes_in!G31/SER_hh_num_in!G31)</f>
        <v>34022.288749299936</v>
      </c>
      <c r="H31" s="132">
        <f>IF(SER_hh_tes_in!H31=0,0,11630*1000*SER_hh_tes_in!H31/SER_hh_num_in!H31)</f>
        <v>35678.919617293897</v>
      </c>
      <c r="I31" s="132">
        <f>IF(SER_hh_tes_in!I31=0,0,11630*1000*SER_hh_tes_in!I31/SER_hh_num_in!I31)</f>
        <v>35887.297923866478</v>
      </c>
      <c r="J31" s="132">
        <f>IF(SER_hh_tes_in!J31=0,0,11630*1000*SER_hh_tes_in!J31/SER_hh_num_in!J31)</f>
        <v>36565.818239024047</v>
      </c>
      <c r="K31" s="132">
        <f>IF(SER_hh_tes_in!K31=0,0,11630*1000*SER_hh_tes_in!K31/SER_hh_num_in!K31)</f>
        <v>34947.437934135683</v>
      </c>
      <c r="L31" s="132">
        <f>IF(SER_hh_tes_in!L31=0,0,11630*1000*SER_hh_tes_in!L31/SER_hh_num_in!L31)</f>
        <v>35874.680661747479</v>
      </c>
      <c r="M31" s="132">
        <f>IF(SER_hh_tes_in!M31=0,0,11630*1000*SER_hh_tes_in!M31/SER_hh_num_in!M31)</f>
        <v>37754.437367711864</v>
      </c>
      <c r="N31" s="132">
        <f>IF(SER_hh_tes_in!N31=0,0,11630*1000*SER_hh_tes_in!N31/SER_hh_num_in!N31)</f>
        <v>38256.478087609248</v>
      </c>
      <c r="O31" s="132">
        <f>IF(SER_hh_tes_in!O31=0,0,11630*1000*SER_hh_tes_in!O31/SER_hh_num_in!O31)</f>
        <v>37493.867956704795</v>
      </c>
      <c r="P31" s="132">
        <f>IF(SER_hh_tes_in!P31=0,0,11630*1000*SER_hh_tes_in!P31/SER_hh_num_in!P31)</f>
        <v>37344.656706666567</v>
      </c>
      <c r="Q31" s="132">
        <f>IF(SER_hh_tes_in!Q31=0,0,11630*1000*SER_hh_tes_in!Q31/SER_hh_num_in!Q31)</f>
        <v>38161.633898353568</v>
      </c>
      <c r="R31" s="132">
        <f>IF(SER_hh_tes_in!R31=0,0,11630*1000*SER_hh_tes_in!R31/SER_hh_num_in!R31)</f>
        <v>38885.596109755803</v>
      </c>
      <c r="S31" s="132">
        <f>IF(SER_hh_tes_in!S31=0,0,11630*1000*SER_hh_tes_in!S31/SER_hh_num_in!S31)</f>
        <v>37586.731195889457</v>
      </c>
      <c r="T31" s="132">
        <f>IF(SER_hh_tes_in!T31=0,0,11630*1000*SER_hh_tes_in!T31/SER_hh_num_in!T31)</f>
        <v>40155.409661312318</v>
      </c>
      <c r="U31" s="132">
        <f>IF(SER_hh_tes_in!U31=0,0,11630*1000*SER_hh_tes_in!U31/SER_hh_num_in!U31)</f>
        <v>39615.302769311726</v>
      </c>
      <c r="V31" s="132">
        <f>IF(SER_hh_tes_in!V31=0,0,11630*1000*SER_hh_tes_in!V31/SER_hh_num_in!V31)</f>
        <v>29851.945349233938</v>
      </c>
      <c r="W31" s="132">
        <f>IF(SER_hh_tes_in!W31=0,0,11630*1000*SER_hh_tes_in!W31/SER_hh_num_in!W31)</f>
        <v>32880.235475538888</v>
      </c>
      <c r="X31" s="132">
        <f>IF(SER_hh_tes_in!X31=0,0,11630*1000*SER_hh_tes_in!X31/SER_hh_num_in!X31)</f>
        <v>46222.422177515466</v>
      </c>
      <c r="Y31" s="132">
        <f>IF(SER_hh_tes_in!Y31=0,0,11630*1000*SER_hh_tes_in!Y31/SER_hh_num_in!Y31)</f>
        <v>40901.832685748152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26251.41099004191</v>
      </c>
      <c r="D33" s="68">
        <f>IF(SER_hh_tes_in!D33=0,0,11630*1000*SER_hh_tes_in!D33/SER_hh_num_in!D33)</f>
        <v>32165.399422088212</v>
      </c>
      <c r="E33" s="68">
        <f>IF(SER_hh_tes_in!E33=0,0,11630*1000*SER_hh_tes_in!E33/SER_hh_num_in!E33)</f>
        <v>35611.072833930863</v>
      </c>
      <c r="F33" s="68">
        <f>IF(SER_hh_tes_in!F33=0,0,11630*1000*SER_hh_tes_in!F33/SER_hh_num_in!F33)</f>
        <v>33630.751236990596</v>
      </c>
      <c r="G33" s="68">
        <f>IF(SER_hh_tes_in!G33=0,0,11630*1000*SER_hh_tes_in!G33/SER_hh_num_in!G33)</f>
        <v>34875.061506882594</v>
      </c>
      <c r="H33" s="68">
        <f>IF(SER_hh_tes_in!H33=0,0,11630*1000*SER_hh_tes_in!H33/SER_hh_num_in!H33)</f>
        <v>34846.370159724174</v>
      </c>
      <c r="I33" s="68">
        <f>IF(SER_hh_tes_in!I33=0,0,11630*1000*SER_hh_tes_in!I33/SER_hh_num_in!I33)</f>
        <v>35002.154770494977</v>
      </c>
      <c r="J33" s="68">
        <f>IF(SER_hh_tes_in!J33=0,0,11630*1000*SER_hh_tes_in!J33/SER_hh_num_in!J33)</f>
        <v>35492.935843270505</v>
      </c>
      <c r="K33" s="68">
        <f>IF(SER_hh_tes_in!K33=0,0,11630*1000*SER_hh_tes_in!K33/SER_hh_num_in!K33)</f>
        <v>0</v>
      </c>
      <c r="L33" s="68">
        <f>IF(SER_hh_tes_in!L33=0,0,11630*1000*SER_hh_tes_in!L33/SER_hh_num_in!L33)</f>
        <v>36043.509935099166</v>
      </c>
      <c r="M33" s="68">
        <f>IF(SER_hh_tes_in!M33=0,0,11630*1000*SER_hh_tes_in!M33/SER_hh_num_in!M33)</f>
        <v>36373.888931188616</v>
      </c>
      <c r="N33" s="68">
        <f>IF(SER_hh_tes_in!N33=0,0,11630*1000*SER_hh_tes_in!N33/SER_hh_num_in!N33)</f>
        <v>36870.822899706276</v>
      </c>
      <c r="O33" s="68">
        <f>IF(SER_hh_tes_in!O33=0,0,11630*1000*SER_hh_tes_in!O33/SER_hh_num_in!O33)</f>
        <v>37113.183838253033</v>
      </c>
      <c r="P33" s="68">
        <f>IF(SER_hh_tes_in!P33=0,0,11630*1000*SER_hh_tes_in!P33/SER_hh_num_in!P33)</f>
        <v>38559.48797593356</v>
      </c>
      <c r="Q33" s="68">
        <f>IF(SER_hh_tes_in!Q33=0,0,11630*1000*SER_hh_tes_in!Q33/SER_hh_num_in!Q33)</f>
        <v>38216.436111811548</v>
      </c>
      <c r="R33" s="68">
        <f>IF(SER_hh_tes_in!R33=0,0,11630*1000*SER_hh_tes_in!R33/SER_hh_num_in!R33)</f>
        <v>37448.193457026115</v>
      </c>
      <c r="S33" s="68">
        <f>IF(SER_hh_tes_in!S33=0,0,11630*1000*SER_hh_tes_in!S33/SER_hh_num_in!S33)</f>
        <v>39118.449618596984</v>
      </c>
      <c r="T33" s="68">
        <f>IF(SER_hh_tes_in!T33=0,0,11630*1000*SER_hh_tes_in!T33/SER_hh_num_in!T33)</f>
        <v>40138.827205420755</v>
      </c>
      <c r="U33" s="68">
        <f>IF(SER_hh_tes_in!U33=0,0,11630*1000*SER_hh_tes_in!U33/SER_hh_num_in!U33)</f>
        <v>39380.053247070493</v>
      </c>
      <c r="V33" s="68">
        <f>IF(SER_hh_tes_in!V33=0,0,11630*1000*SER_hh_tes_in!V33/SER_hh_num_in!V33)</f>
        <v>38506.708724073767</v>
      </c>
      <c r="W33" s="68">
        <f>IF(SER_hh_tes_in!W33=0,0,11630*1000*SER_hh_tes_in!W33/SER_hh_num_in!W33)</f>
        <v>41121.092137968073</v>
      </c>
      <c r="X33" s="68">
        <f>IF(SER_hh_tes_in!X33=0,0,11630*1000*SER_hh_tes_in!X33/SER_hh_num_in!X33)</f>
        <v>40447.689345283346</v>
      </c>
      <c r="Y33" s="68">
        <f>IF(SER_hh_tes_in!Y33=0,0,11630*1000*SER_hh_tes_in!Y33/SER_hh_num_in!Y33)</f>
        <v>40721.453506929181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45588.196778774109</v>
      </c>
      <c r="D3" s="125">
        <f>IF(SER_hh_emi_in!D3=0,0,1000000*SER_hh_emi_in!D3/SER_hh_num_in!D3)</f>
        <v>30554.362590770277</v>
      </c>
      <c r="E3" s="125">
        <f>IF(SER_hh_emi_in!E3=0,0,1000000*SER_hh_emi_in!E3/SER_hh_num_in!E3)</f>
        <v>7690.6455309079847</v>
      </c>
      <c r="F3" s="125">
        <f>IF(SER_hh_emi_in!F3=0,0,1000000*SER_hh_emi_in!F3/SER_hh_num_in!F3)</f>
        <v>19349.877584273509</v>
      </c>
      <c r="G3" s="125">
        <f>IF(SER_hh_emi_in!G3=0,0,1000000*SER_hh_emi_in!G3/SER_hh_num_in!G3)</f>
        <v>26857.571203714717</v>
      </c>
      <c r="H3" s="125">
        <f>IF(SER_hh_emi_in!H3=0,0,1000000*SER_hh_emi_in!H3/SER_hh_num_in!H3)</f>
        <v>39234.531441590545</v>
      </c>
      <c r="I3" s="125">
        <f>IF(SER_hh_emi_in!I3=0,0,1000000*SER_hh_emi_in!I3/SER_hh_num_in!I3)</f>
        <v>30841.247140623705</v>
      </c>
      <c r="J3" s="125">
        <f>IF(SER_hh_emi_in!J3=0,0,1000000*SER_hh_emi_in!J3/SER_hh_num_in!J3)</f>
        <v>43600.180687986554</v>
      </c>
      <c r="K3" s="125">
        <f>IF(SER_hh_emi_in!K3=0,0,1000000*SER_hh_emi_in!K3/SER_hh_num_in!K3)</f>
        <v>64579.779900078043</v>
      </c>
      <c r="L3" s="125">
        <f>IF(SER_hh_emi_in!L3=0,0,1000000*SER_hh_emi_in!L3/SER_hh_num_in!L3)</f>
        <v>70679.658415824772</v>
      </c>
      <c r="M3" s="125">
        <f>IF(SER_hh_emi_in!M3=0,0,1000000*SER_hh_emi_in!M3/SER_hh_num_in!M3)</f>
        <v>42528.140536926308</v>
      </c>
      <c r="N3" s="125">
        <f>IF(SER_hh_emi_in!N3=0,0,1000000*SER_hh_emi_in!N3/SER_hh_num_in!N3)</f>
        <v>41762.001694283739</v>
      </c>
      <c r="O3" s="125">
        <f>IF(SER_hh_emi_in!O3=0,0,1000000*SER_hh_emi_in!O3/SER_hh_num_in!O3)</f>
        <v>46355.660489513015</v>
      </c>
      <c r="P3" s="125">
        <f>IF(SER_hh_emi_in!P3=0,0,1000000*SER_hh_emi_in!P3/SER_hh_num_in!P3)</f>
        <v>40461.260071296958</v>
      </c>
      <c r="Q3" s="125">
        <f>IF(SER_hh_emi_in!Q3=0,0,1000000*SER_hh_emi_in!Q3/SER_hh_num_in!Q3)</f>
        <v>44853.115447609685</v>
      </c>
      <c r="R3" s="125">
        <f>IF(SER_hh_emi_in!R3=0,0,1000000*SER_hh_emi_in!R3/SER_hh_num_in!R3)</f>
        <v>31045.957997420828</v>
      </c>
      <c r="S3" s="125">
        <f>IF(SER_hh_emi_in!S3=0,0,1000000*SER_hh_emi_in!S3/SER_hh_num_in!S3)</f>
        <v>31569.461174970354</v>
      </c>
      <c r="T3" s="125">
        <f>IF(SER_hh_emi_in!T3=0,0,1000000*SER_hh_emi_in!T3/SER_hh_num_in!T3)</f>
        <v>16504.27295017261</v>
      </c>
      <c r="U3" s="125">
        <f>IF(SER_hh_emi_in!U3=0,0,1000000*SER_hh_emi_in!U3/SER_hh_num_in!U3)</f>
        <v>12467.780678158331</v>
      </c>
      <c r="V3" s="125">
        <f>IF(SER_hh_emi_in!V3=0,0,1000000*SER_hh_emi_in!V3/SER_hh_num_in!V3)</f>
        <v>9830.5249362210379</v>
      </c>
      <c r="W3" s="125">
        <f>IF(SER_hh_emi_in!W3=0,0,1000000*SER_hh_emi_in!W3/SER_hh_num_in!W3)</f>
        <v>20552.538746567436</v>
      </c>
      <c r="X3" s="125">
        <f>IF(SER_hh_emi_in!X3=0,0,1000000*SER_hh_emi_in!X3/SER_hh_num_in!X3)</f>
        <v>17188.1114053329</v>
      </c>
      <c r="Y3" s="125">
        <f>IF(SER_hh_emi_in!Y3=0,0,1000000*SER_hh_emi_in!Y3/SER_hh_num_in!Y3)</f>
        <v>13708.102223984541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35004.911775771892</v>
      </c>
      <c r="D4" s="130">
        <f>IF(SER_hh_emi_in!D4=0,0,1000000*SER_hh_emi_in!D4/SER_hh_num_in!D4)</f>
        <v>22996.410475043034</v>
      </c>
      <c r="E4" s="130">
        <f>IF(SER_hh_emi_in!E4=0,0,1000000*SER_hh_emi_in!E4/SER_hh_num_in!E4)</f>
        <v>293.69208446833596</v>
      </c>
      <c r="F4" s="130">
        <f>IF(SER_hh_emi_in!F4=0,0,1000000*SER_hh_emi_in!F4/SER_hh_num_in!F4)</f>
        <v>11888.37504658706</v>
      </c>
      <c r="G4" s="130">
        <f>IF(SER_hh_emi_in!G4=0,0,1000000*SER_hh_emi_in!G4/SER_hh_num_in!G4)</f>
        <v>19644.285311391533</v>
      </c>
      <c r="H4" s="130">
        <f>IF(SER_hh_emi_in!H4=0,0,1000000*SER_hh_emi_in!H4/SER_hh_num_in!H4)</f>
        <v>32856.596746302399</v>
      </c>
      <c r="I4" s="130">
        <f>IF(SER_hh_emi_in!I4=0,0,1000000*SER_hh_emi_in!I4/SER_hh_num_in!I4)</f>
        <v>25340.670021715679</v>
      </c>
      <c r="J4" s="130">
        <f>IF(SER_hh_emi_in!J4=0,0,1000000*SER_hh_emi_in!J4/SER_hh_num_in!J4)</f>
        <v>36939.485130037065</v>
      </c>
      <c r="K4" s="130">
        <f>IF(SER_hh_emi_in!K4=0,0,1000000*SER_hh_emi_in!K4/SER_hh_num_in!K4)</f>
        <v>43371.247800048812</v>
      </c>
      <c r="L4" s="130">
        <f>IF(SER_hh_emi_in!L4=0,0,1000000*SER_hh_emi_in!L4/SER_hh_num_in!L4)</f>
        <v>50825.769691587528</v>
      </c>
      <c r="M4" s="130">
        <f>IF(SER_hh_emi_in!M4=0,0,1000000*SER_hh_emi_in!M4/SER_hh_num_in!M4)</f>
        <v>32942.669571853381</v>
      </c>
      <c r="N4" s="130">
        <f>IF(SER_hh_emi_in!N4=0,0,1000000*SER_hh_emi_in!N4/SER_hh_num_in!N4)</f>
        <v>34369.045490904362</v>
      </c>
      <c r="O4" s="130">
        <f>IF(SER_hh_emi_in!O4=0,0,1000000*SER_hh_emi_in!O4/SER_hh_num_in!O4)</f>
        <v>40230.02991288418</v>
      </c>
      <c r="P4" s="130">
        <f>IF(SER_hh_emi_in!P4=0,0,1000000*SER_hh_emi_in!P4/SER_hh_num_in!P4)</f>
        <v>34780.980215158168</v>
      </c>
      <c r="Q4" s="130">
        <f>IF(SER_hh_emi_in!Q4=0,0,1000000*SER_hh_emi_in!Q4/SER_hh_num_in!Q4)</f>
        <v>38419.428555644816</v>
      </c>
      <c r="R4" s="130">
        <f>IF(SER_hh_emi_in!R4=0,0,1000000*SER_hh_emi_in!R4/SER_hh_num_in!R4)</f>
        <v>24357.902141122664</v>
      </c>
      <c r="S4" s="130">
        <f>IF(SER_hh_emi_in!S4=0,0,1000000*SER_hh_emi_in!S4/SER_hh_num_in!S4)</f>
        <v>24171.712422100674</v>
      </c>
      <c r="T4" s="130">
        <f>IF(SER_hh_emi_in!T4=0,0,1000000*SER_hh_emi_in!T4/SER_hh_num_in!T4)</f>
        <v>9907.0920345312861</v>
      </c>
      <c r="U4" s="130">
        <f>IF(SER_hh_emi_in!U4=0,0,1000000*SER_hh_emi_in!U4/SER_hh_num_in!U4)</f>
        <v>6240.0843571189907</v>
      </c>
      <c r="V4" s="130">
        <f>IF(SER_hh_emi_in!V4=0,0,1000000*SER_hh_emi_in!V4/SER_hh_num_in!V4)</f>
        <v>4419.2427945783029</v>
      </c>
      <c r="W4" s="130">
        <f>IF(SER_hh_emi_in!W4=0,0,1000000*SER_hh_emi_in!W4/SER_hh_num_in!W4)</f>
        <v>10303.157798402821</v>
      </c>
      <c r="X4" s="130">
        <f>IF(SER_hh_emi_in!X4=0,0,1000000*SER_hh_emi_in!X4/SER_hh_num_in!X4)</f>
        <v>6757.8203388486454</v>
      </c>
      <c r="Y4" s="130">
        <f>IF(SER_hh_emi_in!Y4=0,0,1000000*SER_hh_emi_in!Y4/SER_hh_num_in!Y4)</f>
        <v>7048.5936876412961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0</v>
      </c>
      <c r="D5" s="132">
        <f>IF(SER_hh_emi_in!D5=0,0,1000000*SER_hh_emi_in!D5/SER_hh_num_in!D5)</f>
        <v>0</v>
      </c>
      <c r="E5" s="132">
        <f>IF(SER_hh_emi_in!E5=0,0,1000000*SER_hh_emi_in!E5/SER_hh_num_in!E5)</f>
        <v>0</v>
      </c>
      <c r="F5" s="132">
        <f>IF(SER_hh_emi_in!F5=0,0,1000000*SER_hh_emi_in!F5/SER_hh_num_in!F5)</f>
        <v>0</v>
      </c>
      <c r="G5" s="132">
        <f>IF(SER_hh_emi_in!G5=0,0,1000000*SER_hh_emi_in!G5/SER_hh_num_in!G5)</f>
        <v>0</v>
      </c>
      <c r="H5" s="132">
        <f>IF(SER_hh_emi_in!H5=0,0,1000000*SER_hh_emi_in!H5/SER_hh_num_in!H5)</f>
        <v>0</v>
      </c>
      <c r="I5" s="132">
        <f>IF(SER_hh_emi_in!I5=0,0,1000000*SER_hh_emi_in!I5/SER_hh_num_in!I5)</f>
        <v>0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0</v>
      </c>
      <c r="N5" s="132">
        <f>IF(SER_hh_emi_in!N5=0,0,1000000*SER_hh_emi_in!N5/SER_hh_num_in!N5)</f>
        <v>0</v>
      </c>
      <c r="O5" s="132">
        <f>IF(SER_hh_emi_in!O5=0,0,1000000*SER_hh_emi_in!O5/SER_hh_num_in!O5)</f>
        <v>0</v>
      </c>
      <c r="P5" s="132">
        <f>IF(SER_hh_emi_in!P5=0,0,1000000*SER_hh_emi_in!P5/SER_hh_num_in!P5)</f>
        <v>0</v>
      </c>
      <c r="Q5" s="132">
        <f>IF(SER_hh_emi_in!Q5=0,0,1000000*SER_hh_emi_in!Q5/SER_hh_num_in!Q5)</f>
        <v>0</v>
      </c>
      <c r="R5" s="132">
        <f>IF(SER_hh_emi_in!R5=0,0,1000000*SER_hh_emi_in!R5/SER_hh_num_in!R5)</f>
        <v>0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0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114677.64590126181</v>
      </c>
      <c r="D7" s="132">
        <f>IF(SER_hh_emi_in!D7=0,0,1000000*SER_hh_emi_in!D7/SER_hh_num_in!D7)</f>
        <v>106594.97388990287</v>
      </c>
      <c r="E7" s="132">
        <f>IF(SER_hh_emi_in!E7=0,0,1000000*SER_hh_emi_in!E7/SER_hh_num_in!E7)</f>
        <v>101806.51499118614</v>
      </c>
      <c r="F7" s="132">
        <f>IF(SER_hh_emi_in!F7=0,0,1000000*SER_hh_emi_in!F7/SER_hh_num_in!F7)</f>
        <v>108178.89526178245</v>
      </c>
      <c r="G7" s="132">
        <f>IF(SER_hh_emi_in!G7=0,0,1000000*SER_hh_emi_in!G7/SER_hh_num_in!G7)</f>
        <v>0</v>
      </c>
      <c r="H7" s="132">
        <f>IF(SER_hh_emi_in!H7=0,0,1000000*SER_hh_emi_in!H7/SER_hh_num_in!H7)</f>
        <v>0</v>
      </c>
      <c r="I7" s="132">
        <f>IF(SER_hh_emi_in!I7=0,0,1000000*SER_hh_emi_in!I7/SER_hh_num_in!I7)</f>
        <v>0</v>
      </c>
      <c r="J7" s="132">
        <f>IF(SER_hh_emi_in!J7=0,0,1000000*SER_hh_emi_in!J7/SER_hh_num_in!J7)</f>
        <v>0</v>
      </c>
      <c r="K7" s="132">
        <f>IF(SER_hh_emi_in!K7=0,0,1000000*SER_hh_emi_in!K7/SER_hh_num_in!K7)</f>
        <v>65556.17248126879</v>
      </c>
      <c r="L7" s="132">
        <f>IF(SER_hh_emi_in!L7=0,0,1000000*SER_hh_emi_in!L7/SER_hh_num_in!L7)</f>
        <v>110693.10188097623</v>
      </c>
      <c r="M7" s="132">
        <f>IF(SER_hh_emi_in!M7=0,0,1000000*SER_hh_emi_in!M7/SER_hh_num_in!M7)</f>
        <v>71786.792749123852</v>
      </c>
      <c r="N7" s="132">
        <f>IF(SER_hh_emi_in!N7=0,0,1000000*SER_hh_emi_in!N7/SER_hh_num_in!N7)</f>
        <v>66646.379073426782</v>
      </c>
      <c r="O7" s="132">
        <f>IF(SER_hh_emi_in!O7=0,0,1000000*SER_hh_emi_in!O7/SER_hh_num_in!O7)</f>
        <v>69113.313164632884</v>
      </c>
      <c r="P7" s="132">
        <f>IF(SER_hh_emi_in!P7=0,0,1000000*SER_hh_emi_in!P7/SER_hh_num_in!P7)</f>
        <v>49308.839899920036</v>
      </c>
      <c r="Q7" s="132">
        <f>IF(SER_hh_emi_in!Q7=0,0,1000000*SER_hh_emi_in!Q7/SER_hh_num_in!Q7)</f>
        <v>58734.717719908156</v>
      </c>
      <c r="R7" s="132">
        <f>IF(SER_hh_emi_in!R7=0,0,1000000*SER_hh_emi_in!R7/SER_hh_num_in!R7)</f>
        <v>48239.791904830839</v>
      </c>
      <c r="S7" s="132">
        <f>IF(SER_hh_emi_in!S7=0,0,1000000*SER_hh_emi_in!S7/SER_hh_num_in!S7)</f>
        <v>60307.773802695876</v>
      </c>
      <c r="T7" s="132">
        <f>IF(SER_hh_emi_in!T7=0,0,1000000*SER_hh_emi_in!T7/SER_hh_num_in!T7)</f>
        <v>52421.547453465042</v>
      </c>
      <c r="U7" s="132">
        <f>IF(SER_hh_emi_in!U7=0,0,1000000*SER_hh_emi_in!U7/SER_hh_num_in!U7)</f>
        <v>57458.80210264185</v>
      </c>
      <c r="V7" s="132">
        <f>IF(SER_hh_emi_in!V7=0,0,1000000*SER_hh_emi_in!V7/SER_hh_num_in!V7)</f>
        <v>46508.846036090297</v>
      </c>
      <c r="W7" s="132">
        <f>IF(SER_hh_emi_in!W7=0,0,1000000*SER_hh_emi_in!W7/SER_hh_num_in!W7)</f>
        <v>28919.750114995382</v>
      </c>
      <c r="X7" s="132">
        <f>IF(SER_hh_emi_in!X7=0,0,1000000*SER_hh_emi_in!X7/SER_hh_num_in!X7)</f>
        <v>17684.75271249708</v>
      </c>
      <c r="Y7" s="132">
        <f>IF(SER_hh_emi_in!Y7=0,0,1000000*SER_hh_emi_in!Y7/SER_hh_num_in!Y7)</f>
        <v>0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0</v>
      </c>
      <c r="D8" s="132">
        <f>IF(SER_hh_emi_in!D8=0,0,1000000*SER_hh_emi_in!D8/SER_hh_num_in!D8)</f>
        <v>0</v>
      </c>
      <c r="E8" s="132">
        <f>IF(SER_hh_emi_in!E8=0,0,1000000*SER_hh_emi_in!E8/SER_hh_num_in!E8)</f>
        <v>0</v>
      </c>
      <c r="F8" s="132">
        <f>IF(SER_hh_emi_in!F8=0,0,1000000*SER_hh_emi_in!F8/SER_hh_num_in!F8)</f>
        <v>0</v>
      </c>
      <c r="G8" s="132">
        <f>IF(SER_hh_emi_in!G8=0,0,1000000*SER_hh_emi_in!G8/SER_hh_num_in!G8)</f>
        <v>0</v>
      </c>
      <c r="H8" s="132">
        <f>IF(SER_hh_emi_in!H8=0,0,1000000*SER_hh_emi_in!H8/SER_hh_num_in!H8)</f>
        <v>0</v>
      </c>
      <c r="I8" s="132">
        <f>IF(SER_hh_emi_in!I8=0,0,1000000*SER_hh_emi_in!I8/SER_hh_num_in!I8)</f>
        <v>0</v>
      </c>
      <c r="J8" s="132">
        <f>IF(SER_hh_emi_in!J8=0,0,1000000*SER_hh_emi_in!J8/SER_hh_num_in!J8)</f>
        <v>0</v>
      </c>
      <c r="K8" s="132">
        <f>IF(SER_hh_emi_in!K8=0,0,1000000*SER_hh_emi_in!K8/SER_hh_num_in!K8)</f>
        <v>0</v>
      </c>
      <c r="L8" s="132">
        <f>IF(SER_hh_emi_in!L8=0,0,1000000*SER_hh_emi_in!L8/SER_hh_num_in!L8)</f>
        <v>0</v>
      </c>
      <c r="M8" s="132">
        <f>IF(SER_hh_emi_in!M8=0,0,1000000*SER_hh_emi_in!M8/SER_hh_num_in!M8)</f>
        <v>0</v>
      </c>
      <c r="N8" s="132">
        <f>IF(SER_hh_emi_in!N8=0,0,1000000*SER_hh_emi_in!N8/SER_hh_num_in!N8)</f>
        <v>0</v>
      </c>
      <c r="O8" s="132">
        <f>IF(SER_hh_emi_in!O8=0,0,1000000*SER_hh_emi_in!O8/SER_hh_num_in!O8)</f>
        <v>0</v>
      </c>
      <c r="P8" s="132">
        <f>IF(SER_hh_emi_in!P8=0,0,1000000*SER_hh_emi_in!P8/SER_hh_num_in!P8)</f>
        <v>0</v>
      </c>
      <c r="Q8" s="132">
        <f>IF(SER_hh_emi_in!Q8=0,0,1000000*SER_hh_emi_in!Q8/SER_hh_num_in!Q8)</f>
        <v>0</v>
      </c>
      <c r="R8" s="132">
        <f>IF(SER_hh_emi_in!R8=0,0,1000000*SER_hh_emi_in!R8/SER_hh_num_in!R8)</f>
        <v>0</v>
      </c>
      <c r="S8" s="132">
        <f>IF(SER_hh_emi_in!S8=0,0,1000000*SER_hh_emi_in!S8/SER_hh_num_in!S8)</f>
        <v>0</v>
      </c>
      <c r="T8" s="132">
        <f>IF(SER_hh_emi_in!T8=0,0,1000000*SER_hh_emi_in!T8/SER_hh_num_in!T8)</f>
        <v>0</v>
      </c>
      <c r="U8" s="132">
        <f>IF(SER_hh_emi_in!U8=0,0,1000000*SER_hh_emi_in!U8/SER_hh_num_in!U8)</f>
        <v>0</v>
      </c>
      <c r="V8" s="132">
        <f>IF(SER_hh_emi_in!V8=0,0,1000000*SER_hh_emi_in!V8/SER_hh_num_in!V8)</f>
        <v>0</v>
      </c>
      <c r="W8" s="132">
        <f>IF(SER_hh_emi_in!W8=0,0,1000000*SER_hh_emi_in!W8/SER_hh_num_in!W8)</f>
        <v>0</v>
      </c>
      <c r="X8" s="132">
        <f>IF(SER_hh_emi_in!X8=0,0,1000000*SER_hh_emi_in!X8/SER_hh_num_in!X8)</f>
        <v>0</v>
      </c>
      <c r="Y8" s="132">
        <f>IF(SER_hh_emi_in!Y8=0,0,1000000*SER_hh_emi_in!Y8/SER_hh_num_in!Y8)</f>
        <v>0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63711.715007722596</v>
      </c>
      <c r="D9" s="132">
        <f>IF(SER_hh_emi_in!D9=0,0,1000000*SER_hh_emi_in!D9/SER_hh_num_in!D9)</f>
        <v>71186.587245422357</v>
      </c>
      <c r="E9" s="132">
        <f>IF(SER_hh_emi_in!E9=0,0,1000000*SER_hh_emi_in!E9/SER_hh_num_in!E9)</f>
        <v>0</v>
      </c>
      <c r="F9" s="132">
        <f>IF(SER_hh_emi_in!F9=0,0,1000000*SER_hh_emi_in!F9/SER_hh_num_in!F9)</f>
        <v>73244.488041781427</v>
      </c>
      <c r="G9" s="132">
        <f>IF(SER_hh_emi_in!G9=0,0,1000000*SER_hh_emi_in!G9/SER_hh_num_in!G9)</f>
        <v>61133.485945965287</v>
      </c>
      <c r="H9" s="132">
        <f>IF(SER_hh_emi_in!H9=0,0,1000000*SER_hh_emi_in!H9/SER_hh_num_in!H9)</f>
        <v>73163.345284998941</v>
      </c>
      <c r="I9" s="132">
        <f>IF(SER_hh_emi_in!I9=0,0,1000000*SER_hh_emi_in!I9/SER_hh_num_in!I9)</f>
        <v>57054.667651081894</v>
      </c>
      <c r="J9" s="132">
        <f>IF(SER_hh_emi_in!J9=0,0,1000000*SER_hh_emi_in!J9/SER_hh_num_in!J9)</f>
        <v>67471.770774495642</v>
      </c>
      <c r="K9" s="132">
        <f>IF(SER_hh_emi_in!K9=0,0,1000000*SER_hh_emi_in!K9/SER_hh_num_in!K9)</f>
        <v>67610.12876032338</v>
      </c>
      <c r="L9" s="132">
        <f>IF(SER_hh_emi_in!L9=0,0,1000000*SER_hh_emi_in!L9/SER_hh_num_in!L9)</f>
        <v>77861.222385178131</v>
      </c>
      <c r="M9" s="132">
        <f>IF(SER_hh_emi_in!M9=0,0,1000000*SER_hh_emi_in!M9/SER_hh_num_in!M9)</f>
        <v>30522.132870765581</v>
      </c>
      <c r="N9" s="132">
        <f>IF(SER_hh_emi_in!N9=0,0,1000000*SER_hh_emi_in!N9/SER_hh_num_in!N9)</f>
        <v>52798.18436890572</v>
      </c>
      <c r="O9" s="132">
        <f>IF(SER_hh_emi_in!O9=0,0,1000000*SER_hh_emi_in!O9/SER_hh_num_in!O9)</f>
        <v>47533.26140226968</v>
      </c>
      <c r="P9" s="132">
        <f>IF(SER_hh_emi_in!P9=0,0,1000000*SER_hh_emi_in!P9/SER_hh_num_in!P9)</f>
        <v>33653.880525052977</v>
      </c>
      <c r="Q9" s="132">
        <f>IF(SER_hh_emi_in!Q9=0,0,1000000*SER_hh_emi_in!Q9/SER_hh_num_in!Q9)</f>
        <v>36158.900493451831</v>
      </c>
      <c r="R9" s="132">
        <f>IF(SER_hh_emi_in!R9=0,0,1000000*SER_hh_emi_in!R9/SER_hh_num_in!R9)</f>
        <v>39712.541628102546</v>
      </c>
      <c r="S9" s="132">
        <f>IF(SER_hh_emi_in!S9=0,0,1000000*SER_hh_emi_in!S9/SER_hh_num_in!S9)</f>
        <v>0</v>
      </c>
      <c r="T9" s="132">
        <f>IF(SER_hh_emi_in!T9=0,0,1000000*SER_hh_emi_in!T9/SER_hh_num_in!T9)</f>
        <v>0</v>
      </c>
      <c r="U9" s="132">
        <f>IF(SER_hh_emi_in!U9=0,0,1000000*SER_hh_emi_in!U9/SER_hh_num_in!U9)</f>
        <v>35490.019958791439</v>
      </c>
      <c r="V9" s="132">
        <f>IF(SER_hh_emi_in!V9=0,0,1000000*SER_hh_emi_in!V9/SER_hh_num_in!V9)</f>
        <v>23874.739859348992</v>
      </c>
      <c r="W9" s="132">
        <f>IF(SER_hh_emi_in!W9=0,0,1000000*SER_hh_emi_in!W9/SER_hh_num_in!W9)</f>
        <v>27390.810989244157</v>
      </c>
      <c r="X9" s="132">
        <f>IF(SER_hh_emi_in!X9=0,0,1000000*SER_hh_emi_in!X9/SER_hh_num_in!X9)</f>
        <v>13938.606179262359</v>
      </c>
      <c r="Y9" s="132">
        <f>IF(SER_hh_emi_in!Y9=0,0,1000000*SER_hh_emi_in!Y9/SER_hh_num_in!Y9)</f>
        <v>12378.764569414909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0</v>
      </c>
      <c r="O10" s="132">
        <f>IF(SER_hh_emi_in!O10=0,0,1000000*SER_hh_emi_in!O10/SER_hh_num_in!O10)</f>
        <v>0</v>
      </c>
      <c r="P10" s="132">
        <f>IF(SER_hh_emi_in!P10=0,0,1000000*SER_hh_emi_in!P10/SER_hh_num_in!P10)</f>
        <v>0</v>
      </c>
      <c r="Q10" s="132">
        <f>IF(SER_hh_emi_in!Q10=0,0,1000000*SER_hh_emi_in!Q10/SER_hh_num_in!Q10)</f>
        <v>0</v>
      </c>
      <c r="R10" s="132">
        <f>IF(SER_hh_emi_in!R10=0,0,1000000*SER_hh_emi_in!R10/SER_hh_num_in!R10)</f>
        <v>0</v>
      </c>
      <c r="S10" s="132">
        <f>IF(SER_hh_emi_in!S10=0,0,1000000*SER_hh_emi_in!S10/SER_hh_num_in!S10)</f>
        <v>0</v>
      </c>
      <c r="T10" s="132">
        <f>IF(SER_hh_emi_in!T10=0,0,1000000*SER_hh_emi_in!T10/SER_hh_num_in!T10)</f>
        <v>0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0</v>
      </c>
      <c r="X10" s="132">
        <f>IF(SER_hh_emi_in!X10=0,0,1000000*SER_hh_emi_in!X10/SER_hh_num_in!X10)</f>
        <v>0</v>
      </c>
      <c r="Y10" s="132">
        <f>IF(SER_hh_emi_in!Y10=0,0,1000000*SER_hh_emi_in!Y10/SER_hh_num_in!Y10)</f>
        <v>0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28.847413087889603</v>
      </c>
      <c r="D16" s="130">
        <f>IF(SER_hh_emi_in!D16=0,0,1000000*SER_hh_emi_in!D16/SER_hh_num_in!D16)</f>
        <v>42.799034120310253</v>
      </c>
      <c r="E16" s="130">
        <f>IF(SER_hh_emi_in!E16=0,0,1000000*SER_hh_emi_in!E16/SER_hh_num_in!E16)</f>
        <v>0</v>
      </c>
      <c r="F16" s="130">
        <f>IF(SER_hh_emi_in!F16=0,0,1000000*SER_hh_emi_in!F16/SER_hh_num_in!F16)</f>
        <v>86.528809809918016</v>
      </c>
      <c r="G16" s="130">
        <f>IF(SER_hh_emi_in!G16=0,0,1000000*SER_hh_emi_in!G16/SER_hh_num_in!G16)</f>
        <v>20.622893760954131</v>
      </c>
      <c r="H16" s="130">
        <f>IF(SER_hh_emi_in!H16=0,0,1000000*SER_hh_emi_in!H16/SER_hh_num_in!H16)</f>
        <v>42.137298257755489</v>
      </c>
      <c r="I16" s="130">
        <f>IF(SER_hh_emi_in!I16=0,0,1000000*SER_hh_emi_in!I16/SER_hh_num_in!I16)</f>
        <v>68.145643769762117</v>
      </c>
      <c r="J16" s="130">
        <f>IF(SER_hh_emi_in!J16=0,0,1000000*SER_hh_emi_in!J16/SER_hh_num_in!J16)</f>
        <v>32.707308006128208</v>
      </c>
      <c r="K16" s="130">
        <f>IF(SER_hh_emi_in!K16=0,0,1000000*SER_hh_emi_in!K16/SER_hh_num_in!K16)</f>
        <v>55.699225046792172</v>
      </c>
      <c r="L16" s="130">
        <f>IF(SER_hh_emi_in!L16=0,0,1000000*SER_hh_emi_in!L16/SER_hh_num_in!L16)</f>
        <v>39.651442030268925</v>
      </c>
      <c r="M16" s="130">
        <f>IF(SER_hh_emi_in!M16=0,0,1000000*SER_hh_emi_in!M16/SER_hh_num_in!M16)</f>
        <v>51.979541090394711</v>
      </c>
      <c r="N16" s="130">
        <f>IF(SER_hh_emi_in!N16=0,0,1000000*SER_hh_emi_in!N16/SER_hh_num_in!N16)</f>
        <v>50.696148560953134</v>
      </c>
      <c r="O16" s="130">
        <f>IF(SER_hh_emi_in!O16=0,0,1000000*SER_hh_emi_in!O16/SER_hh_num_in!O16)</f>
        <v>88.965771110528678</v>
      </c>
      <c r="P16" s="130">
        <f>IF(SER_hh_emi_in!P16=0,0,1000000*SER_hh_emi_in!P16/SER_hh_num_in!P16)</f>
        <v>142.59244249328407</v>
      </c>
      <c r="Q16" s="130">
        <f>IF(SER_hh_emi_in!Q16=0,0,1000000*SER_hh_emi_in!Q16/SER_hh_num_in!Q16)</f>
        <v>123.73192759461887</v>
      </c>
      <c r="R16" s="130">
        <f>IF(SER_hh_emi_in!R16=0,0,1000000*SER_hh_emi_in!R16/SER_hh_num_in!R16)</f>
        <v>236.00267539594481</v>
      </c>
      <c r="S16" s="130">
        <f>IF(SER_hh_emi_in!S16=0,0,1000000*SER_hh_emi_in!S16/SER_hh_num_in!S16)</f>
        <v>130.60151751916231</v>
      </c>
      <c r="T16" s="130">
        <f>IF(SER_hh_emi_in!T16=0,0,1000000*SER_hh_emi_in!T16/SER_hh_num_in!T16)</f>
        <v>67.304516513614644</v>
      </c>
      <c r="U16" s="130">
        <f>IF(SER_hh_emi_in!U16=0,0,1000000*SER_hh_emi_in!U16/SER_hh_num_in!U16)</f>
        <v>118.78726441345678</v>
      </c>
      <c r="V16" s="130">
        <f>IF(SER_hh_emi_in!V16=0,0,1000000*SER_hh_emi_in!V16/SER_hh_num_in!V16)</f>
        <v>109.77400652778047</v>
      </c>
      <c r="W16" s="130">
        <f>IF(SER_hh_emi_in!W16=0,0,1000000*SER_hh_emi_in!W16/SER_hh_num_in!W16)</f>
        <v>99.369920050723024</v>
      </c>
      <c r="X16" s="130">
        <f>IF(SER_hh_emi_in!X16=0,0,1000000*SER_hh_emi_in!X16/SER_hh_num_in!X16)</f>
        <v>70.292033577132202</v>
      </c>
      <c r="Y16" s="130">
        <f>IF(SER_hh_emi_in!Y16=0,0,1000000*SER_hh_emi_in!Y16/SER_hh_num_in!Y16)</f>
        <v>72.993204862431611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5800.317128539471</v>
      </c>
      <c r="D17" s="132">
        <f>IF(SER_hh_emi_in!D17=0,0,1000000*SER_hh_emi_in!D17/SER_hh_num_in!D17)</f>
        <v>5748.7230832987152</v>
      </c>
      <c r="E17" s="132">
        <f>IF(SER_hh_emi_in!E17=0,0,1000000*SER_hh_emi_in!E17/SER_hh_num_in!E17)</f>
        <v>0</v>
      </c>
      <c r="F17" s="132">
        <f>IF(SER_hh_emi_in!F17=0,0,1000000*SER_hh_emi_in!F17/SER_hh_num_in!F17)</f>
        <v>5352.9640541726058</v>
      </c>
      <c r="G17" s="132">
        <f>IF(SER_hh_emi_in!G17=0,0,1000000*SER_hh_emi_in!G17/SER_hh_num_in!G17)</f>
        <v>5370.1556847734628</v>
      </c>
      <c r="H17" s="132">
        <f>IF(SER_hh_emi_in!H17=0,0,1000000*SER_hh_emi_in!H17/SER_hh_num_in!H17)</f>
        <v>6147.1311573270414</v>
      </c>
      <c r="I17" s="132">
        <f>IF(SER_hh_emi_in!I17=0,0,1000000*SER_hh_emi_in!I17/SER_hh_num_in!I17)</f>
        <v>4967.089409402618</v>
      </c>
      <c r="J17" s="132">
        <f>IF(SER_hh_emi_in!J17=0,0,1000000*SER_hh_emi_in!J17/SER_hh_num_in!J17)</f>
        <v>4806.0316064729705</v>
      </c>
      <c r="K17" s="132">
        <f>IF(SER_hh_emi_in!K17=0,0,1000000*SER_hh_emi_in!K17/SER_hh_num_in!K17)</f>
        <v>5526.5435893218582</v>
      </c>
      <c r="L17" s="132">
        <f>IF(SER_hh_emi_in!L17=0,0,1000000*SER_hh_emi_in!L17/SER_hh_num_in!L17)</f>
        <v>4857.7163678897814</v>
      </c>
      <c r="M17" s="132">
        <f>IF(SER_hh_emi_in!M17=0,0,1000000*SER_hh_emi_in!M17/SER_hh_num_in!M17)</f>
        <v>4364.0709878261796</v>
      </c>
      <c r="N17" s="132">
        <f>IF(SER_hh_emi_in!N17=0,0,1000000*SER_hh_emi_in!N17/SER_hh_num_in!N17)</f>
        <v>4322.594001764066</v>
      </c>
      <c r="O17" s="132">
        <f>IF(SER_hh_emi_in!O17=0,0,1000000*SER_hh_emi_in!O17/SER_hh_num_in!O17)</f>
        <v>4238.99230871896</v>
      </c>
      <c r="P17" s="132">
        <f>IF(SER_hh_emi_in!P17=0,0,1000000*SER_hh_emi_in!P17/SER_hh_num_in!P17)</f>
        <v>3932.4204023637403</v>
      </c>
      <c r="Q17" s="132">
        <f>IF(SER_hh_emi_in!Q17=0,0,1000000*SER_hh_emi_in!Q17/SER_hh_num_in!Q17)</f>
        <v>4252.2778155232809</v>
      </c>
      <c r="R17" s="132">
        <f>IF(SER_hh_emi_in!R17=0,0,1000000*SER_hh_emi_in!R17/SER_hh_num_in!R17)</f>
        <v>3703.8223471974507</v>
      </c>
      <c r="S17" s="132">
        <f>IF(SER_hh_emi_in!S17=0,0,1000000*SER_hh_emi_in!S17/SER_hh_num_in!S17)</f>
        <v>3571.0808731742577</v>
      </c>
      <c r="T17" s="132">
        <f>IF(SER_hh_emi_in!T17=0,0,1000000*SER_hh_emi_in!T17/SER_hh_num_in!T17)</f>
        <v>3605.4111388957058</v>
      </c>
      <c r="U17" s="132">
        <f>IF(SER_hh_emi_in!U17=0,0,1000000*SER_hh_emi_in!U17/SER_hh_num_in!U17)</f>
        <v>3352.5272474159019</v>
      </c>
      <c r="V17" s="132">
        <f>IF(SER_hh_emi_in!V17=0,0,1000000*SER_hh_emi_in!V17/SER_hh_num_in!V17)</f>
        <v>3060.9078685489044</v>
      </c>
      <c r="W17" s="132">
        <f>IF(SER_hh_emi_in!W17=0,0,1000000*SER_hh_emi_in!W17/SER_hh_num_in!W17)</f>
        <v>2501.2950762738456</v>
      </c>
      <c r="X17" s="132">
        <f>IF(SER_hh_emi_in!X17=0,0,1000000*SER_hh_emi_in!X17/SER_hh_num_in!X17)</f>
        <v>1989.2812085707444</v>
      </c>
      <c r="Y17" s="132">
        <f>IF(SER_hh_emi_in!Y17=0,0,1000000*SER_hh_emi_in!Y17/SER_hh_num_in!Y17)</f>
        <v>1969.931741384886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4160.6412986688747</v>
      </c>
      <c r="D19" s="130">
        <f>IF(SER_hh_emi_in!D19=0,0,1000000*SER_hh_emi_in!D19/SER_hh_num_in!D19)</f>
        <v>4038.2100040221508</v>
      </c>
      <c r="E19" s="130">
        <f>IF(SER_hh_emi_in!E19=0,0,1000000*SER_hh_emi_in!E19/SER_hh_num_in!E19)</f>
        <v>4151.1747044218237</v>
      </c>
      <c r="F19" s="130">
        <f>IF(SER_hh_emi_in!F19=0,0,1000000*SER_hh_emi_in!F19/SER_hh_num_in!F19)</f>
        <v>4359.1228972837362</v>
      </c>
      <c r="G19" s="130">
        <f>IF(SER_hh_emi_in!G19=0,0,1000000*SER_hh_emi_in!G19/SER_hh_num_in!G19)</f>
        <v>3434.6480521065364</v>
      </c>
      <c r="H19" s="130">
        <f>IF(SER_hh_emi_in!H19=0,0,1000000*SER_hh_emi_in!H19/SER_hh_num_in!H19)</f>
        <v>2026.8953530698579</v>
      </c>
      <c r="I19" s="130">
        <f>IF(SER_hh_emi_in!I19=0,0,1000000*SER_hh_emi_in!I19/SER_hh_num_in!I19)</f>
        <v>2117.6395680508886</v>
      </c>
      <c r="J19" s="130">
        <f>IF(SER_hh_emi_in!J19=0,0,1000000*SER_hh_emi_in!J19/SER_hh_num_in!J19)</f>
        <v>3599.9132442767791</v>
      </c>
      <c r="K19" s="130">
        <f>IF(SER_hh_emi_in!K19=0,0,1000000*SER_hh_emi_in!K19/SER_hh_num_in!K19)</f>
        <v>3216.2854857356488</v>
      </c>
      <c r="L19" s="130">
        <f>IF(SER_hh_emi_in!L19=0,0,1000000*SER_hh_emi_in!L19/SER_hh_num_in!L19)</f>
        <v>7618.0710833332041</v>
      </c>
      <c r="M19" s="130">
        <f>IF(SER_hh_emi_in!M19=0,0,1000000*SER_hh_emi_in!M19/SER_hh_num_in!M19)</f>
        <v>3493.9918900966295</v>
      </c>
      <c r="N19" s="130">
        <f>IF(SER_hh_emi_in!N19=0,0,1000000*SER_hh_emi_in!N19/SER_hh_num_in!N19)</f>
        <v>5060.3812186372243</v>
      </c>
      <c r="O19" s="130">
        <f>IF(SER_hh_emi_in!O19=0,0,1000000*SER_hh_emi_in!O19/SER_hh_num_in!O19)</f>
        <v>4046.1611255300236</v>
      </c>
      <c r="P19" s="130">
        <f>IF(SER_hh_emi_in!P19=0,0,1000000*SER_hh_emi_in!P19/SER_hh_num_in!P19)</f>
        <v>4223.9058985700058</v>
      </c>
      <c r="Q19" s="130">
        <f>IF(SER_hh_emi_in!Q19=0,0,1000000*SER_hh_emi_in!Q19/SER_hh_num_in!Q19)</f>
        <v>4180.6457435390075</v>
      </c>
      <c r="R19" s="130">
        <f>IF(SER_hh_emi_in!R19=0,0,1000000*SER_hh_emi_in!R19/SER_hh_num_in!R19)</f>
        <v>4193.0945453484337</v>
      </c>
      <c r="S19" s="130">
        <f>IF(SER_hh_emi_in!S19=0,0,1000000*SER_hh_emi_in!S19/SER_hh_num_in!S19)</f>
        <v>5628.8406176491826</v>
      </c>
      <c r="T19" s="130">
        <f>IF(SER_hh_emi_in!T19=0,0,1000000*SER_hh_emi_in!T19/SER_hh_num_in!T19)</f>
        <v>3498.9749643045761</v>
      </c>
      <c r="U19" s="130">
        <f>IF(SER_hh_emi_in!U19=0,0,1000000*SER_hh_emi_in!U19/SER_hh_num_in!U19)</f>
        <v>3302.8879559035909</v>
      </c>
      <c r="V19" s="130">
        <f>IF(SER_hh_emi_in!V19=0,0,1000000*SER_hh_emi_in!V19/SER_hh_num_in!V19)</f>
        <v>1292.7320576917461</v>
      </c>
      <c r="W19" s="130">
        <f>IF(SER_hh_emi_in!W19=0,0,1000000*SER_hh_emi_in!W19/SER_hh_num_in!W19)</f>
        <v>1699.7513208986427</v>
      </c>
      <c r="X19" s="130">
        <f>IF(SER_hh_emi_in!X19=0,0,1000000*SER_hh_emi_in!X19/SER_hh_num_in!X19)</f>
        <v>1371.3240656150376</v>
      </c>
      <c r="Y19" s="130">
        <f>IF(SER_hh_emi_in!Y19=0,0,1000000*SER_hh_emi_in!Y19/SER_hh_num_in!Y19)</f>
        <v>1219.778596888317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0</v>
      </c>
      <c r="D21" s="132">
        <f>IF(SER_hh_emi_in!D21=0,0,1000000*SER_hh_emi_in!D21/SER_hh_num_in!D21)</f>
        <v>0</v>
      </c>
      <c r="E21" s="132">
        <f>IF(SER_hh_emi_in!E21=0,0,1000000*SER_hh_emi_in!E21/SER_hh_num_in!E21)</f>
        <v>0</v>
      </c>
      <c r="F21" s="132">
        <f>IF(SER_hh_emi_in!F21=0,0,1000000*SER_hh_emi_in!F21/SER_hh_num_in!F21)</f>
        <v>0</v>
      </c>
      <c r="G21" s="132">
        <f>IF(SER_hh_emi_in!G21=0,0,1000000*SER_hh_emi_in!G21/SER_hh_num_in!G21)</f>
        <v>0</v>
      </c>
      <c r="H21" s="132">
        <f>IF(SER_hh_emi_in!H21=0,0,1000000*SER_hh_emi_in!H21/SER_hh_num_in!H21)</f>
        <v>0</v>
      </c>
      <c r="I21" s="132">
        <f>IF(SER_hh_emi_in!I21=0,0,1000000*SER_hh_emi_in!I21/SER_hh_num_in!I21)</f>
        <v>0</v>
      </c>
      <c r="J21" s="132">
        <f>IF(SER_hh_emi_in!J21=0,0,1000000*SER_hh_emi_in!J21/SER_hh_num_in!J21)</f>
        <v>0</v>
      </c>
      <c r="K21" s="132">
        <f>IF(SER_hh_emi_in!K21=0,0,1000000*SER_hh_emi_in!K21/SER_hh_num_in!K21)</f>
        <v>0</v>
      </c>
      <c r="L21" s="132">
        <f>IF(SER_hh_emi_in!L21=0,0,1000000*SER_hh_emi_in!L21/SER_hh_num_in!L21)</f>
        <v>0</v>
      </c>
      <c r="M21" s="132">
        <f>IF(SER_hh_emi_in!M21=0,0,1000000*SER_hh_emi_in!M21/SER_hh_num_in!M21)</f>
        <v>0</v>
      </c>
      <c r="N21" s="132">
        <f>IF(SER_hh_emi_in!N21=0,0,1000000*SER_hh_emi_in!N21/SER_hh_num_in!N21)</f>
        <v>0</v>
      </c>
      <c r="O21" s="132">
        <f>IF(SER_hh_emi_in!O21=0,0,1000000*SER_hh_emi_in!O21/SER_hh_num_in!O21)</f>
        <v>0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0</v>
      </c>
      <c r="S21" s="132">
        <f>IF(SER_hh_emi_in!S21=0,0,1000000*SER_hh_emi_in!S21/SER_hh_num_in!S21)</f>
        <v>0</v>
      </c>
      <c r="T21" s="132">
        <f>IF(SER_hh_emi_in!T21=0,0,1000000*SER_hh_emi_in!T21/SER_hh_num_in!T21)</f>
        <v>0</v>
      </c>
      <c r="U21" s="132">
        <f>IF(SER_hh_emi_in!U21=0,0,1000000*SER_hh_emi_in!U21/SER_hh_num_in!U21)</f>
        <v>0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0</v>
      </c>
      <c r="Y21" s="132">
        <f>IF(SER_hh_emi_in!Y21=0,0,1000000*SER_hh_emi_in!Y21/SER_hh_num_in!Y21)</f>
        <v>0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13888.025917189803</v>
      </c>
      <c r="D22" s="132">
        <f>IF(SER_hh_emi_in!D22=0,0,1000000*SER_hh_emi_in!D22/SER_hh_num_in!D22)</f>
        <v>14022.062322893958</v>
      </c>
      <c r="E22" s="132">
        <f>IF(SER_hh_emi_in!E22=0,0,1000000*SER_hh_emi_in!E22/SER_hh_num_in!E22)</f>
        <v>13898.554929469959</v>
      </c>
      <c r="F22" s="132">
        <f>IF(SER_hh_emi_in!F22=0,0,1000000*SER_hh_emi_in!F22/SER_hh_num_in!F22)</f>
        <v>14152.229124524572</v>
      </c>
      <c r="G22" s="132">
        <f>IF(SER_hh_emi_in!G22=0,0,1000000*SER_hh_emi_in!G22/SER_hh_num_in!G22)</f>
        <v>0</v>
      </c>
      <c r="H22" s="132">
        <f>IF(SER_hh_emi_in!H22=0,0,1000000*SER_hh_emi_in!H22/SER_hh_num_in!H22)</f>
        <v>0</v>
      </c>
      <c r="I22" s="132">
        <f>IF(SER_hh_emi_in!I22=0,0,1000000*SER_hh_emi_in!I22/SER_hh_num_in!I22)</f>
        <v>0</v>
      </c>
      <c r="J22" s="132">
        <f>IF(SER_hh_emi_in!J22=0,0,1000000*SER_hh_emi_in!J22/SER_hh_num_in!J22)</f>
        <v>0</v>
      </c>
      <c r="K22" s="132">
        <f>IF(SER_hh_emi_in!K22=0,0,1000000*SER_hh_emi_in!K22/SER_hh_num_in!K22)</f>
        <v>11215.742748498482</v>
      </c>
      <c r="L22" s="132">
        <f>IF(SER_hh_emi_in!L22=0,0,1000000*SER_hh_emi_in!L22/SER_hh_num_in!L22)</f>
        <v>15161.276523581337</v>
      </c>
      <c r="M22" s="132">
        <f>IF(SER_hh_emi_in!M22=0,0,1000000*SER_hh_emi_in!M22/SER_hh_num_in!M22)</f>
        <v>9962.5105657784025</v>
      </c>
      <c r="N22" s="132">
        <f>IF(SER_hh_emi_in!N22=0,0,1000000*SER_hh_emi_in!N22/SER_hh_num_in!N22)</f>
        <v>12886.441622332333</v>
      </c>
      <c r="O22" s="132">
        <f>IF(SER_hh_emi_in!O22=0,0,1000000*SER_hh_emi_in!O22/SER_hh_num_in!O22)</f>
        <v>11641.905799315202</v>
      </c>
      <c r="P22" s="132">
        <f>IF(SER_hh_emi_in!P22=0,0,1000000*SER_hh_emi_in!P22/SER_hh_num_in!P22)</f>
        <v>11250.888518738844</v>
      </c>
      <c r="Q22" s="132">
        <f>IF(SER_hh_emi_in!Q22=0,0,1000000*SER_hh_emi_in!Q22/SER_hh_num_in!Q22)</f>
        <v>9941.7142693930509</v>
      </c>
      <c r="R22" s="132">
        <f>IF(SER_hh_emi_in!R22=0,0,1000000*SER_hh_emi_in!R22/SER_hh_num_in!R22)</f>
        <v>8307.8584480722584</v>
      </c>
      <c r="S22" s="132">
        <f>IF(SER_hh_emi_in!S22=0,0,1000000*SER_hh_emi_in!S22/SER_hh_num_in!S22)</f>
        <v>10654.954518595327</v>
      </c>
      <c r="T22" s="132">
        <f>IF(SER_hh_emi_in!T22=0,0,1000000*SER_hh_emi_in!T22/SER_hh_num_in!T22)</f>
        <v>9903.4533351638729</v>
      </c>
      <c r="U22" s="132">
        <f>IF(SER_hh_emi_in!U22=0,0,1000000*SER_hh_emi_in!U22/SER_hh_num_in!U22)</f>
        <v>9962.23590285711</v>
      </c>
      <c r="V22" s="132">
        <f>IF(SER_hh_emi_in!V22=0,0,1000000*SER_hh_emi_in!V22/SER_hh_num_in!V22)</f>
        <v>7943.2330721848357</v>
      </c>
      <c r="W22" s="132">
        <f>IF(SER_hh_emi_in!W22=0,0,1000000*SER_hh_emi_in!W22/SER_hh_num_in!W22)</f>
        <v>9138.3219506152473</v>
      </c>
      <c r="X22" s="132">
        <f>IF(SER_hh_emi_in!X22=0,0,1000000*SER_hh_emi_in!X22/SER_hh_num_in!X22)</f>
        <v>0</v>
      </c>
      <c r="Y22" s="132">
        <f>IF(SER_hh_emi_in!Y22=0,0,1000000*SER_hh_emi_in!Y22/SER_hh_num_in!Y22)</f>
        <v>0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9735.0037734398011</v>
      </c>
      <c r="D23" s="132">
        <f>IF(SER_hh_emi_in!D23=0,0,1000000*SER_hh_emi_in!D23/SER_hh_num_in!D23)</f>
        <v>9478.2489670276445</v>
      </c>
      <c r="E23" s="132">
        <f>IF(SER_hh_emi_in!E23=0,0,1000000*SER_hh_emi_in!E23/SER_hh_num_in!E23)</f>
        <v>9720.4697407790209</v>
      </c>
      <c r="F23" s="132">
        <f>IF(SER_hh_emi_in!F23=0,0,1000000*SER_hh_emi_in!F23/SER_hh_num_in!F23)</f>
        <v>9288.4484808405414</v>
      </c>
      <c r="G23" s="132">
        <f>IF(SER_hh_emi_in!G23=0,0,1000000*SER_hh_emi_in!G23/SER_hh_num_in!G23)</f>
        <v>9179.1017238957975</v>
      </c>
      <c r="H23" s="132">
        <f>IF(SER_hh_emi_in!H23=0,0,1000000*SER_hh_emi_in!H23/SER_hh_num_in!H23)</f>
        <v>8829.340362731813</v>
      </c>
      <c r="I23" s="132">
        <f>IF(SER_hh_emi_in!I23=0,0,1000000*SER_hh_emi_in!I23/SER_hh_num_in!I23)</f>
        <v>8481.5281787438144</v>
      </c>
      <c r="J23" s="132">
        <f>IF(SER_hh_emi_in!J23=0,0,1000000*SER_hh_emi_in!J23/SER_hh_num_in!J23)</f>
        <v>9350.5766637618453</v>
      </c>
      <c r="K23" s="132">
        <f>IF(SER_hh_emi_in!K23=0,0,1000000*SER_hh_emi_in!K23/SER_hh_num_in!K23)</f>
        <v>8321.5246671765071</v>
      </c>
      <c r="L23" s="132">
        <f>IF(SER_hh_emi_in!L23=0,0,1000000*SER_hh_emi_in!L23/SER_hh_num_in!L23)</f>
        <v>9018.3524342323763</v>
      </c>
      <c r="M23" s="132">
        <f>IF(SER_hh_emi_in!M23=0,0,1000000*SER_hh_emi_in!M23/SER_hh_num_in!M23)</f>
        <v>8304.7749917661022</v>
      </c>
      <c r="N23" s="132">
        <f>IF(SER_hh_emi_in!N23=0,0,1000000*SER_hh_emi_in!N23/SER_hh_num_in!N23)</f>
        <v>7723.1259690513216</v>
      </c>
      <c r="O23" s="132">
        <f>IF(SER_hh_emi_in!O23=0,0,1000000*SER_hh_emi_in!O23/SER_hh_num_in!O23)</f>
        <v>7542.0471319523122</v>
      </c>
      <c r="P23" s="132">
        <f>IF(SER_hh_emi_in!P23=0,0,1000000*SER_hh_emi_in!P23/SER_hh_num_in!P23)</f>
        <v>7606.244566571334</v>
      </c>
      <c r="Q23" s="132">
        <f>IF(SER_hh_emi_in!Q23=0,0,1000000*SER_hh_emi_in!Q23/SER_hh_num_in!Q23)</f>
        <v>8285.2210508383978</v>
      </c>
      <c r="R23" s="132">
        <f>IF(SER_hh_emi_in!R23=0,0,1000000*SER_hh_emi_in!R23/SER_hh_num_in!R23)</f>
        <v>8593.4371821420464</v>
      </c>
      <c r="S23" s="132">
        <f>IF(SER_hh_emi_in!S23=0,0,1000000*SER_hh_emi_in!S23/SER_hh_num_in!S23)</f>
        <v>6168.751975902017</v>
      </c>
      <c r="T23" s="132">
        <f>IF(SER_hh_emi_in!T23=0,0,1000000*SER_hh_emi_in!T23/SER_hh_num_in!T23)</f>
        <v>0</v>
      </c>
      <c r="U23" s="132">
        <f>IF(SER_hh_emi_in!U23=0,0,1000000*SER_hh_emi_in!U23/SER_hh_num_in!U23)</f>
        <v>6933.5323275475739</v>
      </c>
      <c r="V23" s="132">
        <f>IF(SER_hh_emi_in!V23=0,0,1000000*SER_hh_emi_in!V23/SER_hh_num_in!V23)</f>
        <v>4543.9472323541613</v>
      </c>
      <c r="W23" s="132">
        <f>IF(SER_hh_emi_in!W23=0,0,1000000*SER_hh_emi_in!W23/SER_hh_num_in!W23)</f>
        <v>6420.862910981904</v>
      </c>
      <c r="X23" s="132">
        <f>IF(SER_hh_emi_in!X23=0,0,1000000*SER_hh_emi_in!X23/SER_hh_num_in!X23)</f>
        <v>6239.8134431915305</v>
      </c>
      <c r="Y23" s="132">
        <f>IF(SER_hh_emi_in!Y23=0,0,1000000*SER_hh_emi_in!Y23/SER_hh_num_in!Y23)</f>
        <v>6309.2466521443603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6393.7962912454468</v>
      </c>
      <c r="D29" s="130">
        <f>IF(SER_hh_emi_in!D29=0,0,1000000*SER_hh_emi_in!D29/SER_hh_num_in!D29)</f>
        <v>3476.9430775847836</v>
      </c>
      <c r="E29" s="130">
        <f>IF(SER_hh_emi_in!E29=0,0,1000000*SER_hh_emi_in!E29/SER_hh_num_in!E29)</f>
        <v>3245.7787420178256</v>
      </c>
      <c r="F29" s="130">
        <f>IF(SER_hh_emi_in!F29=0,0,1000000*SER_hh_emi_in!F29/SER_hh_num_in!F29)</f>
        <v>3015.8508305927962</v>
      </c>
      <c r="G29" s="130">
        <f>IF(SER_hh_emi_in!G29=0,0,1000000*SER_hh_emi_in!G29/SER_hh_num_in!G29)</f>
        <v>3758.0149464556889</v>
      </c>
      <c r="H29" s="130">
        <f>IF(SER_hh_emi_in!H29=0,0,1000000*SER_hh_emi_in!H29/SER_hh_num_in!H29)</f>
        <v>4308.902043960531</v>
      </c>
      <c r="I29" s="130">
        <f>IF(SER_hh_emi_in!I29=0,0,1000000*SER_hh_emi_in!I29/SER_hh_num_in!I29)</f>
        <v>3314.7919070873768</v>
      </c>
      <c r="J29" s="130">
        <f>IF(SER_hh_emi_in!J29=0,0,1000000*SER_hh_emi_in!J29/SER_hh_num_in!J29)</f>
        <v>3028.0750056665747</v>
      </c>
      <c r="K29" s="130">
        <f>IF(SER_hh_emi_in!K29=0,0,1000000*SER_hh_emi_in!K29/SER_hh_num_in!K29)</f>
        <v>17936.5473892468</v>
      </c>
      <c r="L29" s="130">
        <f>IF(SER_hh_emi_in!L29=0,0,1000000*SER_hh_emi_in!L29/SER_hh_num_in!L29)</f>
        <v>12196.166198873758</v>
      </c>
      <c r="M29" s="130">
        <f>IF(SER_hh_emi_in!M29=0,0,1000000*SER_hh_emi_in!M29/SER_hh_num_in!M29)</f>
        <v>6039.4995338859062</v>
      </c>
      <c r="N29" s="130">
        <f>IF(SER_hh_emi_in!N29=0,0,1000000*SER_hh_emi_in!N29/SER_hh_num_in!N29)</f>
        <v>2281.8788361811967</v>
      </c>
      <c r="O29" s="130">
        <f>IF(SER_hh_emi_in!O29=0,0,1000000*SER_hh_emi_in!O29/SER_hh_num_in!O29)</f>
        <v>1990.5036799882796</v>
      </c>
      <c r="P29" s="130">
        <f>IF(SER_hh_emi_in!P29=0,0,1000000*SER_hh_emi_in!P29/SER_hh_num_in!P29)</f>
        <v>1313.7815150755137</v>
      </c>
      <c r="Q29" s="130">
        <f>IF(SER_hh_emi_in!Q29=0,0,1000000*SER_hh_emi_in!Q29/SER_hh_num_in!Q29)</f>
        <v>2129.3092208312405</v>
      </c>
      <c r="R29" s="130">
        <f>IF(SER_hh_emi_in!R29=0,0,1000000*SER_hh_emi_in!R29/SER_hh_num_in!R29)</f>
        <v>2258.9586355537849</v>
      </c>
      <c r="S29" s="130">
        <f>IF(SER_hh_emi_in!S29=0,0,1000000*SER_hh_emi_in!S29/SER_hh_num_in!S29)</f>
        <v>1638.3066177013395</v>
      </c>
      <c r="T29" s="130">
        <f>IF(SER_hh_emi_in!T29=0,0,1000000*SER_hh_emi_in!T29/SER_hh_num_in!T29)</f>
        <v>3030.9014348231321</v>
      </c>
      <c r="U29" s="130">
        <f>IF(SER_hh_emi_in!U29=0,0,1000000*SER_hh_emi_in!U29/SER_hh_num_in!U29)</f>
        <v>2806.0211007222947</v>
      </c>
      <c r="V29" s="130">
        <f>IF(SER_hh_emi_in!V29=0,0,1000000*SER_hh_emi_in!V29/SER_hh_num_in!V29)</f>
        <v>4008.7760774232088</v>
      </c>
      <c r="W29" s="130">
        <f>IF(SER_hh_emi_in!W29=0,0,1000000*SER_hh_emi_in!W29/SER_hh_num_in!W29)</f>
        <v>8450.2597072152512</v>
      </c>
      <c r="X29" s="130">
        <f>IF(SER_hh_emi_in!X29=0,0,1000000*SER_hh_emi_in!X29/SER_hh_num_in!X29)</f>
        <v>8988.6749672920832</v>
      </c>
      <c r="Y29" s="130">
        <f>IF(SER_hh_emi_in!Y29=0,0,1000000*SER_hh_emi_in!Y29/SER_hh_num_in!Y29)</f>
        <v>5366.7367345924958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17526.38585455951</v>
      </c>
      <c r="D30" s="132">
        <f>IF(SER_hh_emi_in!D30=0,0,1000000*SER_hh_emi_in!D30/SER_hh_num_in!D30)</f>
        <v>0</v>
      </c>
      <c r="E30" s="132">
        <f>IF(SER_hh_emi_in!E30=0,0,1000000*SER_hh_emi_in!E30/SER_hh_num_in!E30)</f>
        <v>0</v>
      </c>
      <c r="F30" s="132">
        <f>IF(SER_hh_emi_in!F30=0,0,1000000*SER_hh_emi_in!F30/SER_hh_num_in!F30)</f>
        <v>0</v>
      </c>
      <c r="G30" s="132">
        <f>IF(SER_hh_emi_in!G30=0,0,1000000*SER_hh_emi_in!G30/SER_hh_num_in!G30)</f>
        <v>0</v>
      </c>
      <c r="H30" s="132">
        <f>IF(SER_hh_emi_in!H30=0,0,1000000*SER_hh_emi_in!H30/SER_hh_num_in!H30)</f>
        <v>0</v>
      </c>
      <c r="I30" s="132">
        <f>IF(SER_hh_emi_in!I30=0,0,1000000*SER_hh_emi_in!I30/SER_hh_num_in!I30)</f>
        <v>0</v>
      </c>
      <c r="J30" s="132">
        <f>IF(SER_hh_emi_in!J30=0,0,1000000*SER_hh_emi_in!J30/SER_hh_num_in!J30)</f>
        <v>0</v>
      </c>
      <c r="K30" s="132">
        <f>IF(SER_hh_emi_in!K30=0,0,1000000*SER_hh_emi_in!K30/SER_hh_num_in!K30)</f>
        <v>19240.19300410134</v>
      </c>
      <c r="L30" s="132">
        <f>IF(SER_hh_emi_in!L30=0,0,1000000*SER_hh_emi_in!L30/SER_hh_num_in!L30)</f>
        <v>15678.946842303358</v>
      </c>
      <c r="M30" s="132">
        <f>IF(SER_hh_emi_in!M30=0,0,1000000*SER_hh_emi_in!M30/SER_hh_num_in!M30)</f>
        <v>14189.702643020157</v>
      </c>
      <c r="N30" s="132">
        <f>IF(SER_hh_emi_in!N30=0,0,1000000*SER_hh_emi_in!N30/SER_hh_num_in!N30)</f>
        <v>14288.1030538546</v>
      </c>
      <c r="O30" s="132">
        <f>IF(SER_hh_emi_in!O30=0,0,1000000*SER_hh_emi_in!O30/SER_hh_num_in!O30)</f>
        <v>14814.493828080167</v>
      </c>
      <c r="P30" s="132">
        <f>IF(SER_hh_emi_in!P30=0,0,1000000*SER_hh_emi_in!P30/SER_hh_num_in!P30)</f>
        <v>13460.075999063924</v>
      </c>
      <c r="Q30" s="132">
        <f>IF(SER_hh_emi_in!Q30=0,0,1000000*SER_hh_emi_in!Q30/SER_hh_num_in!Q30)</f>
        <v>14601.454164449044</v>
      </c>
      <c r="R30" s="132">
        <f>IF(SER_hh_emi_in!R30=0,0,1000000*SER_hh_emi_in!R30/SER_hh_num_in!R30)</f>
        <v>15750.43764776902</v>
      </c>
      <c r="S30" s="132">
        <f>IF(SER_hh_emi_in!S30=0,0,1000000*SER_hh_emi_in!S30/SER_hh_num_in!S30)</f>
        <v>14319.411530031106</v>
      </c>
      <c r="T30" s="132">
        <f>IF(SER_hh_emi_in!T30=0,0,1000000*SER_hh_emi_in!T30/SER_hh_num_in!T30)</f>
        <v>12554.05164704671</v>
      </c>
      <c r="U30" s="132">
        <f>IF(SER_hh_emi_in!U30=0,0,1000000*SER_hh_emi_in!U30/SER_hh_num_in!U30)</f>
        <v>15634.711430790108</v>
      </c>
      <c r="V30" s="132">
        <f>IF(SER_hh_emi_in!V30=0,0,1000000*SER_hh_emi_in!V30/SER_hh_num_in!V30)</f>
        <v>12296.471006060136</v>
      </c>
      <c r="W30" s="132">
        <f>IF(SER_hh_emi_in!W30=0,0,1000000*SER_hh_emi_in!W30/SER_hh_num_in!W30)</f>
        <v>18342.964503477793</v>
      </c>
      <c r="X30" s="132">
        <f>IF(SER_hh_emi_in!X30=0,0,1000000*SER_hh_emi_in!X30/SER_hh_num_in!X30)</f>
        <v>13013.909929612199</v>
      </c>
      <c r="Y30" s="132">
        <f>IF(SER_hh_emi_in!Y30=0,0,1000000*SER_hh_emi_in!Y30/SER_hh_num_in!Y30)</f>
        <v>16615.268491496819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10629.62988483865</v>
      </c>
      <c r="D31" s="132">
        <f>IF(SER_hh_emi_in!D31=0,0,1000000*SER_hh_emi_in!D31/SER_hh_num_in!D31)</f>
        <v>11079.333955841967</v>
      </c>
      <c r="E31" s="132">
        <f>IF(SER_hh_emi_in!E31=0,0,1000000*SER_hh_emi_in!E31/SER_hh_num_in!E31)</f>
        <v>11268.964796066135</v>
      </c>
      <c r="F31" s="132">
        <f>IF(SER_hh_emi_in!F31=0,0,1000000*SER_hh_emi_in!F31/SER_hh_num_in!F31)</f>
        <v>11573.073946232409</v>
      </c>
      <c r="G31" s="132">
        <f>IF(SER_hh_emi_in!G31=0,0,1000000*SER_hh_emi_in!G31/SER_hh_num_in!G31)</f>
        <v>11340.839130914646</v>
      </c>
      <c r="H31" s="132">
        <f>IF(SER_hh_emi_in!H31=0,0,1000000*SER_hh_emi_in!H31/SER_hh_num_in!H31)</f>
        <v>11893.463789302705</v>
      </c>
      <c r="I31" s="132">
        <f>IF(SER_hh_emi_in!I31=0,0,1000000*SER_hh_emi_in!I31/SER_hh_num_in!I31)</f>
        <v>11948.291602148827</v>
      </c>
      <c r="J31" s="132">
        <f>IF(SER_hh_emi_in!J31=0,0,1000000*SER_hh_emi_in!J31/SER_hh_num_in!J31)</f>
        <v>12170.353244660027</v>
      </c>
      <c r="K31" s="132">
        <f>IF(SER_hh_emi_in!K31=0,0,1000000*SER_hh_emi_in!K31/SER_hh_num_in!K31)</f>
        <v>11616.160115363014</v>
      </c>
      <c r="L31" s="132">
        <f>IF(SER_hh_emi_in!L31=0,0,1000000*SER_hh_emi_in!L31/SER_hh_num_in!L31)</f>
        <v>11927.809550436905</v>
      </c>
      <c r="M31" s="132">
        <f>IF(SER_hh_emi_in!M31=0,0,1000000*SER_hh_emi_in!M31/SER_hh_num_in!M31)</f>
        <v>12457.455916420426</v>
      </c>
      <c r="N31" s="132">
        <f>IF(SER_hh_emi_in!N31=0,0,1000000*SER_hh_emi_in!N31/SER_hh_num_in!N31)</f>
        <v>12641.926549718883</v>
      </c>
      <c r="O31" s="132">
        <f>IF(SER_hh_emi_in!O31=0,0,1000000*SER_hh_emi_in!O31/SER_hh_num_in!O31)</f>
        <v>12361.41805183044</v>
      </c>
      <c r="P31" s="132">
        <f>IF(SER_hh_emi_in!P31=0,0,1000000*SER_hh_emi_in!P31/SER_hh_num_in!P31)</f>
        <v>12277.651808422148</v>
      </c>
      <c r="Q31" s="132">
        <f>IF(SER_hh_emi_in!Q31=0,0,1000000*SER_hh_emi_in!Q31/SER_hh_num_in!Q31)</f>
        <v>12520.890347937006</v>
      </c>
      <c r="R31" s="132">
        <f>IF(SER_hh_emi_in!R31=0,0,1000000*SER_hh_emi_in!R31/SER_hh_num_in!R31)</f>
        <v>12659.205548353219</v>
      </c>
      <c r="S31" s="132">
        <f>IF(SER_hh_emi_in!S31=0,0,1000000*SER_hh_emi_in!S31/SER_hh_num_in!S31)</f>
        <v>12135.377056479292</v>
      </c>
      <c r="T31" s="132">
        <f>IF(SER_hh_emi_in!T31=0,0,1000000*SER_hh_emi_in!T31/SER_hh_num_in!T31)</f>
        <v>12908.794190559103</v>
      </c>
      <c r="U31" s="132">
        <f>IF(SER_hh_emi_in!U31=0,0,1000000*SER_hh_emi_in!U31/SER_hh_num_in!U31)</f>
        <v>12680.876685426534</v>
      </c>
      <c r="V31" s="132">
        <f>IF(SER_hh_emi_in!V31=0,0,1000000*SER_hh_emi_in!V31/SER_hh_num_in!V31)</f>
        <v>9473.9659187044381</v>
      </c>
      <c r="W31" s="132">
        <f>IF(SER_hh_emi_in!W31=0,0,1000000*SER_hh_emi_in!W31/SER_hh_num_in!W31)</f>
        <v>10484.838816919562</v>
      </c>
      <c r="X31" s="132">
        <f>IF(SER_hh_emi_in!X31=0,0,1000000*SER_hh_emi_in!X31/SER_hh_num_in!X31)</f>
        <v>14588.986368717431</v>
      </c>
      <c r="Y31" s="132">
        <f>IF(SER_hh_emi_in!Y31=0,0,1000000*SER_hh_emi_in!Y31/SER_hh_num_in!Y31)</f>
        <v>12961.861344274212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460.32080427220757</v>
      </c>
      <c r="D3" s="125">
        <f>IF(SER_hh_fech_in!D3=0,0,SER_hh_fech_in!D3/SER_summary!D$27)</f>
        <v>384.74950776775353</v>
      </c>
      <c r="E3" s="125">
        <f>IF(SER_hh_fech_in!E3=0,0,SER_hh_fech_in!E3/SER_summary!E$27)</f>
        <v>475.8009721793473</v>
      </c>
      <c r="F3" s="125">
        <f>IF(SER_hh_fech_in!F3=0,0,SER_hh_fech_in!F3/SER_summary!F$27)</f>
        <v>422.1025084731279</v>
      </c>
      <c r="G3" s="125">
        <f>IF(SER_hh_fech_in!G3=0,0,SER_hh_fech_in!G3/SER_summary!G$27)</f>
        <v>417.08182710159349</v>
      </c>
      <c r="H3" s="125">
        <f>IF(SER_hh_fech_in!H3=0,0,SER_hh_fech_in!H3/SER_summary!H$27)</f>
        <v>440.90987348283278</v>
      </c>
      <c r="I3" s="125">
        <f>IF(SER_hh_fech_in!I3=0,0,SER_hh_fech_in!I3/SER_summary!I$27)</f>
        <v>439.48164439296772</v>
      </c>
      <c r="J3" s="125">
        <f>IF(SER_hh_fech_in!J3=0,0,SER_hh_fech_in!J3/SER_summary!J$27)</f>
        <v>450.97006303935592</v>
      </c>
      <c r="K3" s="125">
        <f>IF(SER_hh_fech_in!K3=0,0,SER_hh_fech_in!K3/SER_summary!K$27)</f>
        <v>459.29613288988435</v>
      </c>
      <c r="L3" s="125">
        <f>IF(SER_hh_fech_in!L3=0,0,SER_hh_fech_in!L3/SER_summary!L$27)</f>
        <v>483.10058733069394</v>
      </c>
      <c r="M3" s="125">
        <f>IF(SER_hh_fech_in!M3=0,0,SER_hh_fech_in!M3/SER_summary!M$27)</f>
        <v>347.42246439137529</v>
      </c>
      <c r="N3" s="125">
        <f>IF(SER_hh_fech_in!N3=0,0,SER_hh_fech_in!N3/SER_summary!N$27)</f>
        <v>370.56070870507864</v>
      </c>
      <c r="O3" s="125">
        <f>IF(SER_hh_fech_in!O3=0,0,SER_hh_fech_in!O3/SER_summary!O$27)</f>
        <v>368.74586735719265</v>
      </c>
      <c r="P3" s="125">
        <f>IF(SER_hh_fech_in!P3=0,0,SER_hh_fech_in!P3/SER_summary!P$27)</f>
        <v>294.04132966031426</v>
      </c>
      <c r="Q3" s="125">
        <f>IF(SER_hh_fech_in!Q3=0,0,SER_hh_fech_in!Q3/SER_summary!Q$27)</f>
        <v>322.14235268233114</v>
      </c>
      <c r="R3" s="125">
        <f>IF(SER_hh_fech_in!R3=0,0,SER_hh_fech_in!R3/SER_summary!R$27)</f>
        <v>284.76589388676211</v>
      </c>
      <c r="S3" s="125">
        <f>IF(SER_hh_fech_in!S3=0,0,SER_hh_fech_in!S3/SER_summary!S$27)</f>
        <v>316.3422355656345</v>
      </c>
      <c r="T3" s="125">
        <f>IF(SER_hh_fech_in!T3=0,0,SER_hh_fech_in!T3/SER_summary!T$27)</f>
        <v>276.81189078688487</v>
      </c>
      <c r="U3" s="125">
        <f>IF(SER_hh_fech_in!U3=0,0,SER_hh_fech_in!U3/SER_summary!U$27)</f>
        <v>275.80746440655622</v>
      </c>
      <c r="V3" s="125">
        <f>IF(SER_hh_fech_in!V3=0,0,SER_hh_fech_in!V3/SER_summary!V$27)</f>
        <v>264.15526031915806</v>
      </c>
      <c r="W3" s="125">
        <f>IF(SER_hh_fech_in!W3=0,0,SER_hh_fech_in!W3/SER_summary!W$27)</f>
        <v>229.04953041156929</v>
      </c>
      <c r="X3" s="125">
        <f>IF(SER_hh_fech_in!X3=0,0,SER_hh_fech_in!X3/SER_summary!X$27)</f>
        <v>178.26905076764893</v>
      </c>
      <c r="Y3" s="125">
        <f>IF(SER_hh_fech_in!Y3=0,0,SER_hh_fech_in!Y3/SER_summary!Y$27)</f>
        <v>164.29580033754746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347.43488972138061</v>
      </c>
      <c r="D4" s="130">
        <f>IF(SER_hh_fech_in!D4=0,0,SER_hh_fech_in!D4/SER_summary!D$27)</f>
        <v>276.63430242889092</v>
      </c>
      <c r="E4" s="130">
        <f>IF(SER_hh_fech_in!E4=0,0,SER_hh_fech_in!E4/SER_summary!E$27)</f>
        <v>355.62290616446433</v>
      </c>
      <c r="F4" s="130">
        <f>IF(SER_hh_fech_in!F4=0,0,SER_hh_fech_in!F4/SER_summary!F$27)</f>
        <v>311.77693028439887</v>
      </c>
      <c r="G4" s="130">
        <f>IF(SER_hh_fech_in!G4=0,0,SER_hh_fech_in!G4/SER_summary!G$27)</f>
        <v>306.93925546230724</v>
      </c>
      <c r="H4" s="130">
        <f>IF(SER_hh_fech_in!H4=0,0,SER_hh_fech_in!H4/SER_summary!H$27)</f>
        <v>326.25479131242071</v>
      </c>
      <c r="I4" s="130">
        <f>IF(SER_hh_fech_in!I4=0,0,SER_hh_fech_in!I4/SER_summary!I$27)</f>
        <v>329.21135254930198</v>
      </c>
      <c r="J4" s="130">
        <f>IF(SER_hh_fech_in!J4=0,0,SER_hh_fech_in!J4/SER_summary!J$27)</f>
        <v>339.52175505212676</v>
      </c>
      <c r="K4" s="130">
        <f>IF(SER_hh_fech_in!K4=0,0,SER_hh_fech_in!K4/SER_summary!K$27)</f>
        <v>314.5041122678856</v>
      </c>
      <c r="L4" s="130">
        <f>IF(SER_hh_fech_in!L4=0,0,SER_hh_fech_in!L4/SER_summary!L$27)</f>
        <v>352.74413968938097</v>
      </c>
      <c r="M4" s="130">
        <f>IF(SER_hh_fech_in!M4=0,0,SER_hh_fech_in!M4/SER_summary!M$27)</f>
        <v>236.66096837608691</v>
      </c>
      <c r="N4" s="130">
        <f>IF(SER_hh_fech_in!N4=0,0,SER_hh_fech_in!N4/SER_summary!N$27)</f>
        <v>263.09997120236915</v>
      </c>
      <c r="O4" s="130">
        <f>IF(SER_hh_fech_in!O4=0,0,SER_hh_fech_in!O4/SER_summary!O$27)</f>
        <v>264.49193888180082</v>
      </c>
      <c r="P4" s="130">
        <f>IF(SER_hh_fech_in!P4=0,0,SER_hh_fech_in!P4/SER_summary!P$27)</f>
        <v>191.14169559185572</v>
      </c>
      <c r="Q4" s="130">
        <f>IF(SER_hh_fech_in!Q4=0,0,SER_hh_fech_in!Q4/SER_summary!Q$27)</f>
        <v>219.49752592346107</v>
      </c>
      <c r="R4" s="130">
        <f>IF(SER_hh_fech_in!R4=0,0,SER_hh_fech_in!R4/SER_summary!R$27)</f>
        <v>185.94316252689407</v>
      </c>
      <c r="S4" s="130">
        <f>IF(SER_hh_fech_in!S4=0,0,SER_hh_fech_in!S4/SER_summary!S$27)</f>
        <v>215.64389388742856</v>
      </c>
      <c r="T4" s="130">
        <f>IF(SER_hh_fech_in!T4=0,0,SER_hh_fech_in!T4/SER_summary!T$27)</f>
        <v>178.05000267354947</v>
      </c>
      <c r="U4" s="130">
        <f>IF(SER_hh_fech_in!U4=0,0,SER_hh_fech_in!U4/SER_summary!U$27)</f>
        <v>177.97267339216484</v>
      </c>
      <c r="V4" s="130">
        <f>IF(SER_hh_fech_in!V4=0,0,SER_hh_fech_in!V4/SER_summary!V$27)</f>
        <v>175.52733261212842</v>
      </c>
      <c r="W4" s="130">
        <f>IF(SER_hh_fech_in!W4=0,0,SER_hh_fech_in!W4/SER_summary!W$27)</f>
        <v>129.0740718826884</v>
      </c>
      <c r="X4" s="130">
        <f>IF(SER_hh_fech_in!X4=0,0,SER_hh_fech_in!X4/SER_summary!X$27)</f>
        <v>74.62383785076689</v>
      </c>
      <c r="Y4" s="130">
        <f>IF(SER_hh_fech_in!Y4=0,0,SER_hh_fech_in!Y4/SER_summary!Y$27)</f>
        <v>67.254045955591351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0</v>
      </c>
      <c r="D5" s="132">
        <f>IF(SER_hh_fech_in!D5=0,0,SER_hh_fech_in!D5/SER_summary!D$27)</f>
        <v>0</v>
      </c>
      <c r="E5" s="132">
        <f>IF(SER_hh_fech_in!E5=0,0,SER_hh_fech_in!E5/SER_summary!E$27)</f>
        <v>0</v>
      </c>
      <c r="F5" s="132">
        <f>IF(SER_hh_fech_in!F5=0,0,SER_hh_fech_in!F5/SER_summary!F$27)</f>
        <v>0</v>
      </c>
      <c r="G5" s="132">
        <f>IF(SER_hh_fech_in!G5=0,0,SER_hh_fech_in!G5/SER_summary!G$27)</f>
        <v>0</v>
      </c>
      <c r="H5" s="132">
        <f>IF(SER_hh_fech_in!H5=0,0,SER_hh_fech_in!H5/SER_summary!H$27)</f>
        <v>0</v>
      </c>
      <c r="I5" s="132">
        <f>IF(SER_hh_fech_in!I5=0,0,SER_hh_fech_in!I5/SER_summary!I$27)</f>
        <v>0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0</v>
      </c>
      <c r="N5" s="132">
        <f>IF(SER_hh_fech_in!N5=0,0,SER_hh_fech_in!N5/SER_summary!N$27)</f>
        <v>0</v>
      </c>
      <c r="O5" s="132">
        <f>IF(SER_hh_fech_in!O5=0,0,SER_hh_fech_in!O5/SER_summary!O$27)</f>
        <v>0</v>
      </c>
      <c r="P5" s="132">
        <f>IF(SER_hh_fech_in!P5=0,0,SER_hh_fech_in!P5/SER_summary!P$27)</f>
        <v>0</v>
      </c>
      <c r="Q5" s="132">
        <f>IF(SER_hh_fech_in!Q5=0,0,SER_hh_fech_in!Q5/SER_summary!Q$27)</f>
        <v>0</v>
      </c>
      <c r="R5" s="132">
        <f>IF(SER_hh_fech_in!R5=0,0,SER_hh_fech_in!R5/SER_summary!R$27)</f>
        <v>0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0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477.73711132366833</v>
      </c>
      <c r="D7" s="132">
        <f>IF(SER_hh_fech_in!D7=0,0,SER_hh_fech_in!D7/SER_summary!D$27)</f>
        <v>444.0769861140987</v>
      </c>
      <c r="E7" s="132">
        <f>IF(SER_hh_fech_in!E7=0,0,SER_hh_fech_in!E7/SER_summary!E$27)</f>
        <v>424.14377476373056</v>
      </c>
      <c r="F7" s="132">
        <f>IF(SER_hh_fech_in!F7=0,0,SER_hh_fech_in!F7/SER_summary!F$27)</f>
        <v>450.66850176737461</v>
      </c>
      <c r="G7" s="132">
        <f>IF(SER_hh_fech_in!G7=0,0,SER_hh_fech_in!G7/SER_summary!G$27)</f>
        <v>0</v>
      </c>
      <c r="H7" s="132">
        <f>IF(SER_hh_fech_in!H7=0,0,SER_hh_fech_in!H7/SER_summary!H$27)</f>
        <v>0</v>
      </c>
      <c r="I7" s="132">
        <f>IF(SER_hh_fech_in!I7=0,0,SER_hh_fech_in!I7/SER_summary!I$27)</f>
        <v>0</v>
      </c>
      <c r="J7" s="132">
        <f>IF(SER_hh_fech_in!J7=0,0,SER_hh_fech_in!J7/SER_summary!J$27)</f>
        <v>0</v>
      </c>
      <c r="K7" s="132">
        <f>IF(SER_hh_fech_in!K7=0,0,SER_hh_fech_in!K7/SER_summary!K$27)</f>
        <v>273.32636271117383</v>
      </c>
      <c r="L7" s="132">
        <f>IF(SER_hh_fech_in!L7=0,0,SER_hh_fech_in!L7/SER_summary!L$27)</f>
        <v>461.25036287079666</v>
      </c>
      <c r="M7" s="132">
        <f>IF(SER_hh_fech_in!M7=0,0,SER_hh_fech_in!M7/SER_summary!M$27)</f>
        <v>299.13582518165458</v>
      </c>
      <c r="N7" s="132">
        <f>IF(SER_hh_fech_in!N7=0,0,SER_hh_fech_in!N7/SER_summary!N$27)</f>
        <v>277.66681428143721</v>
      </c>
      <c r="O7" s="132">
        <f>IF(SER_hh_fech_in!O7=0,0,SER_hh_fech_in!O7/SER_summary!O$27)</f>
        <v>287.93709862972366</v>
      </c>
      <c r="P7" s="132">
        <f>IF(SER_hh_fech_in!P7=0,0,SER_hh_fech_in!P7/SER_summary!P$27)</f>
        <v>205.42873111780332</v>
      </c>
      <c r="Q7" s="132">
        <f>IF(SER_hh_fech_in!Q7=0,0,SER_hh_fech_in!Q7/SER_summary!Q$27)</f>
        <v>244.68815771785685</v>
      </c>
      <c r="R7" s="132">
        <f>IF(SER_hh_fech_in!R7=0,0,SER_hh_fech_in!R7/SER_summary!R$27)</f>
        <v>200.96770972322744</v>
      </c>
      <c r="S7" s="132">
        <f>IF(SER_hh_fech_in!S7=0,0,SER_hh_fech_in!S7/SER_summary!S$27)</f>
        <v>251.22658492634312</v>
      </c>
      <c r="T7" s="132">
        <f>IF(SER_hh_fech_in!T7=0,0,SER_hh_fech_in!T7/SER_summary!T$27)</f>
        <v>218.37635010589852</v>
      </c>
      <c r="U7" s="132">
        <f>IF(SER_hh_fech_in!U7=0,0,SER_hh_fech_in!U7/SER_summary!U$27)</f>
        <v>239.35135953198022</v>
      </c>
      <c r="V7" s="132">
        <f>IF(SER_hh_fech_in!V7=0,0,SER_hh_fech_in!V7/SER_summary!V$27)</f>
        <v>193.73762235383475</v>
      </c>
      <c r="W7" s="132">
        <f>IF(SER_hh_fech_in!W7=0,0,SER_hh_fech_in!W7/SER_summary!W$27)</f>
        <v>120.47266498712129</v>
      </c>
      <c r="X7" s="132">
        <f>IF(SER_hh_fech_in!X7=0,0,SER_hh_fech_in!X7/SER_summary!X$27)</f>
        <v>73.670959812768757</v>
      </c>
      <c r="Y7" s="132">
        <f>IF(SER_hh_fech_in!Y7=0,0,SER_hh_fech_in!Y7/SER_summary!Y$27)</f>
        <v>0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0</v>
      </c>
      <c r="D8" s="132">
        <f>IF(SER_hh_fech_in!D8=0,0,SER_hh_fech_in!D8/SER_summary!D$27)</f>
        <v>0</v>
      </c>
      <c r="E8" s="132">
        <f>IF(SER_hh_fech_in!E8=0,0,SER_hh_fech_in!E8/SER_summary!E$27)</f>
        <v>0</v>
      </c>
      <c r="F8" s="132">
        <f>IF(SER_hh_fech_in!F8=0,0,SER_hh_fech_in!F8/SER_summary!F$27)</f>
        <v>0</v>
      </c>
      <c r="G8" s="132">
        <f>IF(SER_hh_fech_in!G8=0,0,SER_hh_fech_in!G8/SER_summary!G$27)</f>
        <v>0</v>
      </c>
      <c r="H8" s="132">
        <f>IF(SER_hh_fech_in!H8=0,0,SER_hh_fech_in!H8/SER_summary!H$27)</f>
        <v>0</v>
      </c>
      <c r="I8" s="132">
        <f>IF(SER_hh_fech_in!I8=0,0,SER_hh_fech_in!I8/SER_summary!I$27)</f>
        <v>0</v>
      </c>
      <c r="J8" s="132">
        <f>IF(SER_hh_fech_in!J8=0,0,SER_hh_fech_in!J8/SER_summary!J$27)</f>
        <v>0</v>
      </c>
      <c r="K8" s="132">
        <f>IF(SER_hh_fech_in!K8=0,0,SER_hh_fech_in!K8/SER_summary!K$27)</f>
        <v>0</v>
      </c>
      <c r="L8" s="132">
        <f>IF(SER_hh_fech_in!L8=0,0,SER_hh_fech_in!L8/SER_summary!L$27)</f>
        <v>0</v>
      </c>
      <c r="M8" s="132">
        <f>IF(SER_hh_fech_in!M8=0,0,SER_hh_fech_in!M8/SER_summary!M$27)</f>
        <v>0</v>
      </c>
      <c r="N8" s="132">
        <f>IF(SER_hh_fech_in!N8=0,0,SER_hh_fech_in!N8/SER_summary!N$27)</f>
        <v>0</v>
      </c>
      <c r="O8" s="132">
        <f>IF(SER_hh_fech_in!O8=0,0,SER_hh_fech_in!O8/SER_summary!O$27)</f>
        <v>0</v>
      </c>
      <c r="P8" s="132">
        <f>IF(SER_hh_fech_in!P8=0,0,SER_hh_fech_in!P8/SER_summary!P$27)</f>
        <v>0</v>
      </c>
      <c r="Q8" s="132">
        <f>IF(SER_hh_fech_in!Q8=0,0,SER_hh_fech_in!Q8/SER_summary!Q$27)</f>
        <v>0</v>
      </c>
      <c r="R8" s="132">
        <f>IF(SER_hh_fech_in!R8=0,0,SER_hh_fech_in!R8/SER_summary!R$27)</f>
        <v>0</v>
      </c>
      <c r="S8" s="132">
        <f>IF(SER_hh_fech_in!S8=0,0,SER_hh_fech_in!S8/SER_summary!S$27)</f>
        <v>0</v>
      </c>
      <c r="T8" s="132">
        <f>IF(SER_hh_fech_in!T8=0,0,SER_hh_fech_in!T8/SER_summary!T$27)</f>
        <v>0</v>
      </c>
      <c r="U8" s="132">
        <f>IF(SER_hh_fech_in!U8=0,0,SER_hh_fech_in!U8/SER_summary!U$27)</f>
        <v>0</v>
      </c>
      <c r="V8" s="132">
        <f>IF(SER_hh_fech_in!V8=0,0,SER_hh_fech_in!V8/SER_summary!V$27)</f>
        <v>0</v>
      </c>
      <c r="W8" s="132">
        <f>IF(SER_hh_fech_in!W8=0,0,SER_hh_fech_in!W8/SER_summary!W$27)</f>
        <v>0</v>
      </c>
      <c r="X8" s="132">
        <f>IF(SER_hh_fech_in!X8=0,0,SER_hh_fech_in!X8/SER_summary!X$27)</f>
        <v>0</v>
      </c>
      <c r="Y8" s="132">
        <f>IF(SER_hh_fech_in!Y8=0,0,SER_hh_fech_in!Y8/SER_summary!Y$27)</f>
        <v>0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352.21732447081621</v>
      </c>
      <c r="D9" s="132">
        <f>IF(SER_hh_fech_in!D9=0,0,SER_hh_fech_in!D9/SER_summary!D$27)</f>
        <v>393.30479026786736</v>
      </c>
      <c r="E9" s="132">
        <f>IF(SER_hh_fech_in!E9=0,0,SER_hh_fech_in!E9/SER_summary!E$27)</f>
        <v>0</v>
      </c>
      <c r="F9" s="132">
        <f>IF(SER_hh_fech_in!F9=0,0,SER_hh_fech_in!F9/SER_summary!F$27)</f>
        <v>404.99179933115278</v>
      </c>
      <c r="G9" s="132">
        <f>IF(SER_hh_fech_in!G9=0,0,SER_hh_fech_in!G9/SER_summary!G$27)</f>
        <v>338.20168829488944</v>
      </c>
      <c r="H9" s="132">
        <f>IF(SER_hh_fech_in!H9=0,0,SER_hh_fech_in!H9/SER_summary!H$27)</f>
        <v>404.47920962558743</v>
      </c>
      <c r="I9" s="132">
        <f>IF(SER_hh_fech_in!I9=0,0,SER_hh_fech_in!I9/SER_summary!I$27)</f>
        <v>315.60699686285824</v>
      </c>
      <c r="J9" s="132">
        <f>IF(SER_hh_fech_in!J9=0,0,SER_hh_fech_in!J9/SER_summary!J$27)</f>
        <v>373.10926844421579</v>
      </c>
      <c r="K9" s="132">
        <f>IF(SER_hh_fech_in!K9=0,0,SER_hh_fech_in!K9/SER_summary!K$27)</f>
        <v>374.13451079907293</v>
      </c>
      <c r="L9" s="132">
        <f>IF(SER_hh_fech_in!L9=0,0,SER_hh_fech_in!L9/SER_summary!L$27)</f>
        <v>430.46056277010803</v>
      </c>
      <c r="M9" s="132">
        <f>IF(SER_hh_fech_in!M9=0,0,SER_hh_fech_in!M9/SER_summary!M$27)</f>
        <v>169.95227317690376</v>
      </c>
      <c r="N9" s="132">
        <f>IF(SER_hh_fech_in!N9=0,0,SER_hh_fech_in!N9/SER_summary!N$27)</f>
        <v>293.47159897339554</v>
      </c>
      <c r="O9" s="132">
        <f>IF(SER_hh_fech_in!O9=0,0,SER_hh_fech_in!O9/SER_summary!O$27)</f>
        <v>264.77340982027766</v>
      </c>
      <c r="P9" s="132">
        <f>IF(SER_hh_fech_in!P9=0,0,SER_hh_fech_in!P9/SER_summary!P$27)</f>
        <v>187.9041085538417</v>
      </c>
      <c r="Q9" s="132">
        <f>IF(SER_hh_fech_in!Q9=0,0,SER_hh_fech_in!Q9/SER_summary!Q$27)</f>
        <v>201.92713795979745</v>
      </c>
      <c r="R9" s="132">
        <f>IF(SER_hh_fech_in!R9=0,0,SER_hh_fech_in!R9/SER_summary!R$27)</f>
        <v>222.43476911758333</v>
      </c>
      <c r="S9" s="132">
        <f>IF(SER_hh_fech_in!S9=0,0,SER_hh_fech_in!S9/SER_summary!S$27)</f>
        <v>0</v>
      </c>
      <c r="T9" s="132">
        <f>IF(SER_hh_fech_in!T9=0,0,SER_hh_fech_in!T9/SER_summary!T$27)</f>
        <v>0</v>
      </c>
      <c r="U9" s="132">
        <f>IF(SER_hh_fech_in!U9=0,0,SER_hh_fech_in!U9/SER_summary!U$27)</f>
        <v>198.00435898432346</v>
      </c>
      <c r="V9" s="132">
        <f>IF(SER_hh_fech_in!V9=0,0,SER_hh_fech_in!V9/SER_summary!V$27)</f>
        <v>133.71781154451131</v>
      </c>
      <c r="W9" s="132">
        <f>IF(SER_hh_fech_in!W9=0,0,SER_hh_fech_in!W9/SER_summary!W$27)</f>
        <v>152.33805621094527</v>
      </c>
      <c r="X9" s="132">
        <f>IF(SER_hh_fech_in!X9=0,0,SER_hh_fech_in!X9/SER_summary!X$27)</f>
        <v>78.269385646323286</v>
      </c>
      <c r="Y9" s="132">
        <f>IF(SER_hh_fech_in!Y9=0,0,SER_hh_fech_in!Y9/SER_summary!Y$27)</f>
        <v>69.22598908314653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349.5295935274433</v>
      </c>
      <c r="D10" s="132">
        <f>IF(SER_hh_fech_in!D10=0,0,SER_hh_fech_in!D10/SER_summary!D$27)</f>
        <v>468.87431249840739</v>
      </c>
      <c r="E10" s="132">
        <f>IF(SER_hh_fech_in!E10=0,0,SER_hh_fech_in!E10/SER_summary!E$27)</f>
        <v>0</v>
      </c>
      <c r="F10" s="132">
        <f>IF(SER_hh_fech_in!F10=0,0,SER_hh_fech_in!F10/SER_summary!F$27)</f>
        <v>0</v>
      </c>
      <c r="G10" s="132">
        <f>IF(SER_hh_fech_in!G10=0,0,SER_hh_fech_in!G10/SER_summary!G$27)</f>
        <v>0</v>
      </c>
      <c r="H10" s="132">
        <f>IF(SER_hh_fech_in!H10=0,0,SER_hh_fech_in!H10/SER_summary!H$27)</f>
        <v>0</v>
      </c>
      <c r="I10" s="132">
        <f>IF(SER_hh_fech_in!I10=0,0,SER_hh_fech_in!I10/SER_summary!I$27)</f>
        <v>173.56423231740547</v>
      </c>
      <c r="J10" s="132">
        <f>IF(SER_hh_fech_in!J10=0,0,SER_hh_fech_in!J10/SER_summary!J$27)</f>
        <v>309.91074648281688</v>
      </c>
      <c r="K10" s="132">
        <f>IF(SER_hh_fech_in!K10=0,0,SER_hh_fech_in!K10/SER_summary!K$27)</f>
        <v>458.19772495814516</v>
      </c>
      <c r="L10" s="132">
        <f>IF(SER_hh_fech_in!L10=0,0,SER_hh_fech_in!L10/SER_summary!L$27)</f>
        <v>322.6334920825401</v>
      </c>
      <c r="M10" s="132">
        <f>IF(SER_hh_fech_in!M10=0,0,SER_hh_fech_in!M10/SER_summary!M$27)</f>
        <v>125.17172545588529</v>
      </c>
      <c r="N10" s="132">
        <f>IF(SER_hh_fech_in!N10=0,0,SER_hh_fech_in!N10/SER_summary!N$27)</f>
        <v>219.88682541743373</v>
      </c>
      <c r="O10" s="132">
        <f>IF(SER_hh_fech_in!O10=0,0,SER_hh_fech_in!O10/SER_summary!O$27)</f>
        <v>303.35941106412889</v>
      </c>
      <c r="P10" s="132">
        <f>IF(SER_hh_fech_in!P10=0,0,SER_hh_fech_in!P10/SER_summary!P$27)</f>
        <v>374.30206412965066</v>
      </c>
      <c r="Q10" s="132">
        <f>IF(SER_hh_fech_in!Q10=0,0,SER_hh_fech_in!Q10/SER_summary!Q$27)</f>
        <v>147.41519032876013</v>
      </c>
      <c r="R10" s="132">
        <f>IF(SER_hh_fech_in!R10=0,0,SER_hh_fech_in!R10/SER_summary!R$27)</f>
        <v>0</v>
      </c>
      <c r="S10" s="132">
        <f>IF(SER_hh_fech_in!S10=0,0,SER_hh_fech_in!S10/SER_summary!S$27)</f>
        <v>0</v>
      </c>
      <c r="T10" s="132">
        <f>IF(SER_hh_fech_in!T10=0,0,SER_hh_fech_in!T10/SER_summary!T$27)</f>
        <v>0</v>
      </c>
      <c r="U10" s="132">
        <f>IF(SER_hh_fech_in!U10=0,0,SER_hh_fech_in!U10/SER_summary!U$27)</f>
        <v>0</v>
      </c>
      <c r="V10" s="132">
        <f>IF(SER_hh_fech_in!V10=0,0,SER_hh_fech_in!V10/SER_summary!V$27)</f>
        <v>118.12564588213668</v>
      </c>
      <c r="W10" s="132">
        <f>IF(SER_hh_fech_in!W10=0,0,SER_hh_fech_in!W10/SER_summary!W$27)</f>
        <v>180.39772731996121</v>
      </c>
      <c r="X10" s="132">
        <f>IF(SER_hh_fech_in!X10=0,0,SER_hh_fech_in!X10/SER_summary!X$27)</f>
        <v>83.903025854030659</v>
      </c>
      <c r="Y10" s="132">
        <f>IF(SER_hh_fech_in!Y10=0,0,SER_hh_fech_in!Y10/SER_summary!Y$27)</f>
        <v>92.662061397741979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0</v>
      </c>
      <c r="J11" s="132">
        <f>IF(SER_hh_fech_in!J11=0,0,SER_hh_fech_in!J11/SER_summary!J$27)</f>
        <v>0</v>
      </c>
      <c r="K11" s="132">
        <f>IF(SER_hh_fech_in!K11=0,0,SER_hh_fech_in!K11/SER_summary!K$27)</f>
        <v>0</v>
      </c>
      <c r="L11" s="132">
        <f>IF(SER_hh_fech_in!L11=0,0,SER_hh_fech_in!L11/SER_summary!L$27)</f>
        <v>0</v>
      </c>
      <c r="M11" s="132">
        <f>IF(SER_hh_fech_in!M11=0,0,SER_hh_fech_in!M11/SER_summary!M$27)</f>
        <v>0</v>
      </c>
      <c r="N11" s="132">
        <f>IF(SER_hh_fech_in!N11=0,0,SER_hh_fech_in!N11/SER_summary!N$27)</f>
        <v>0</v>
      </c>
      <c r="O11" s="132">
        <f>IF(SER_hh_fech_in!O11=0,0,SER_hh_fech_in!O11/SER_summary!O$27)</f>
        <v>0</v>
      </c>
      <c r="P11" s="132">
        <f>IF(SER_hh_fech_in!P11=0,0,SER_hh_fech_in!P11/SER_summary!P$27)</f>
        <v>0</v>
      </c>
      <c r="Q11" s="132">
        <f>IF(SER_hh_fech_in!Q11=0,0,SER_hh_fech_in!Q11/SER_summary!Q$27)</f>
        <v>0</v>
      </c>
      <c r="R11" s="132">
        <f>IF(SER_hh_fech_in!R11=0,0,SER_hh_fech_in!R11/SER_summary!R$27)</f>
        <v>0</v>
      </c>
      <c r="S11" s="132">
        <f>IF(SER_hh_fech_in!S11=0,0,SER_hh_fech_in!S11/SER_summary!S$27)</f>
        <v>0</v>
      </c>
      <c r="T11" s="132">
        <f>IF(SER_hh_fech_in!T11=0,0,SER_hh_fech_in!T11/SER_summary!T$27)</f>
        <v>0</v>
      </c>
      <c r="U11" s="132">
        <f>IF(SER_hh_fech_in!U11=0,0,SER_hh_fech_in!U11/SER_summary!U$27)</f>
        <v>0</v>
      </c>
      <c r="V11" s="132">
        <f>IF(SER_hh_fech_in!V11=0,0,SER_hh_fech_in!V11/SER_summary!V$27)</f>
        <v>0</v>
      </c>
      <c r="W11" s="132">
        <f>IF(SER_hh_fech_in!W11=0,0,SER_hh_fech_in!W11/SER_summary!W$27)</f>
        <v>0</v>
      </c>
      <c r="X11" s="132">
        <f>IF(SER_hh_fech_in!X11=0,0,SER_hh_fech_in!X11/SER_summary!X$27)</f>
        <v>0</v>
      </c>
      <c r="Y11" s="132">
        <f>IF(SER_hh_fech_in!Y11=0,0,SER_hh_fech_in!Y11/SER_summary!Y$27)</f>
        <v>0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245.18210786689235</v>
      </c>
      <c r="D12" s="132">
        <f>IF(SER_hh_fech_in!D12=0,0,SER_hh_fech_in!D12/SER_summary!D$27)</f>
        <v>223.00270532447468</v>
      </c>
      <c r="E12" s="132">
        <f>IF(SER_hh_fech_in!E12=0,0,SER_hh_fech_in!E12/SER_summary!E$27)</f>
        <v>354.01865964834388</v>
      </c>
      <c r="F12" s="132">
        <f>IF(SER_hh_fech_in!F12=0,0,SER_hh_fech_in!F12/SER_summary!F$27)</f>
        <v>297.15419690877917</v>
      </c>
      <c r="G12" s="132">
        <f>IF(SER_hh_fech_in!G12=0,0,SER_hh_fech_in!G12/SER_summary!G$27)</f>
        <v>277.95752349956985</v>
      </c>
      <c r="H12" s="132">
        <f>IF(SER_hh_fech_in!H12=0,0,SER_hh_fech_in!H12/SER_summary!H$27)</f>
        <v>279.12018067116804</v>
      </c>
      <c r="I12" s="132">
        <f>IF(SER_hh_fech_in!I12=0,0,SER_hh_fech_in!I12/SER_summary!I$27)</f>
        <v>0</v>
      </c>
      <c r="J12" s="132">
        <f>IF(SER_hh_fech_in!J12=0,0,SER_hh_fech_in!J12/SER_summary!J$27)</f>
        <v>0</v>
      </c>
      <c r="K12" s="132">
        <f>IF(SER_hh_fech_in!K12=0,0,SER_hh_fech_in!K12/SER_summary!K$27)</f>
        <v>218.67960777268277</v>
      </c>
      <c r="L12" s="132">
        <f>IF(SER_hh_fech_in!L12=0,0,SER_hh_fech_in!L12/SER_summary!L$27)</f>
        <v>245.94964651260139</v>
      </c>
      <c r="M12" s="132">
        <f>IF(SER_hh_fech_in!M12=0,0,SER_hh_fech_in!M12/SER_summary!M$27)</f>
        <v>250.7883587472104</v>
      </c>
      <c r="N12" s="132">
        <f>IF(SER_hh_fech_in!N12=0,0,SER_hh_fech_in!N12/SER_summary!N$27)</f>
        <v>218.40466729418409</v>
      </c>
      <c r="O12" s="132">
        <f>IF(SER_hh_fech_in!O12=0,0,SER_hh_fech_in!O12/SER_summary!O$27)</f>
        <v>228.30276012445435</v>
      </c>
      <c r="P12" s="132">
        <f>IF(SER_hh_fech_in!P12=0,0,SER_hh_fech_in!P12/SER_summary!P$27)</f>
        <v>147.41111997259233</v>
      </c>
      <c r="Q12" s="132">
        <f>IF(SER_hh_fech_in!Q12=0,0,SER_hh_fech_in!Q12/SER_summary!Q$27)</f>
        <v>174.50021726986881</v>
      </c>
      <c r="R12" s="132">
        <f>IF(SER_hh_fech_in!R12=0,0,SER_hh_fech_in!R12/SER_summary!R$27)</f>
        <v>167.23878921973659</v>
      </c>
      <c r="S12" s="132">
        <f>IF(SER_hh_fech_in!S12=0,0,SER_hh_fech_in!S12/SER_summary!S$27)</f>
        <v>172.48475341797862</v>
      </c>
      <c r="T12" s="132">
        <f>IF(SER_hh_fech_in!T12=0,0,SER_hh_fech_in!T12/SER_summary!T$27)</f>
        <v>165.00719222525586</v>
      </c>
      <c r="U12" s="132">
        <f>IF(SER_hh_fech_in!U12=0,0,SER_hh_fech_in!U12/SER_summary!U$27)</f>
        <v>166.317576269791</v>
      </c>
      <c r="V12" s="132">
        <f>IF(SER_hh_fech_in!V12=0,0,SER_hh_fech_in!V12/SER_summary!V$27)</f>
        <v>175.0915171419461</v>
      </c>
      <c r="W12" s="132">
        <f>IF(SER_hh_fech_in!W12=0,0,SER_hh_fech_in!W12/SER_summary!W$27)</f>
        <v>118.94391168793555</v>
      </c>
      <c r="X12" s="132">
        <f>IF(SER_hh_fech_in!X12=0,0,SER_hh_fech_in!X12/SER_summary!X$27)</f>
        <v>70.743597975703409</v>
      </c>
      <c r="Y12" s="132">
        <f>IF(SER_hh_fech_in!Y12=0,0,SER_hh_fech_in!Y12/SER_summary!Y$27)</f>
        <v>63.147131312162749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0</v>
      </c>
      <c r="D13" s="132">
        <f>IF(SER_hh_fech_in!D13=0,0,SER_hh_fech_in!D13/SER_summary!D$27)</f>
        <v>0</v>
      </c>
      <c r="E13" s="132">
        <f>IF(SER_hh_fech_in!E13=0,0,SER_hh_fech_in!E13/SER_summary!E$27)</f>
        <v>0</v>
      </c>
      <c r="F13" s="132">
        <f>IF(SER_hh_fech_in!F13=0,0,SER_hh_fech_in!F13/SER_summary!F$27)</f>
        <v>0</v>
      </c>
      <c r="G13" s="132">
        <f>IF(SER_hh_fech_in!G13=0,0,SER_hh_fech_in!G13/SER_summary!G$27)</f>
        <v>0</v>
      </c>
      <c r="H13" s="132">
        <f>IF(SER_hh_fech_in!H13=0,0,SER_hh_fech_in!H13/SER_summary!H$27)</f>
        <v>0</v>
      </c>
      <c r="I13" s="132">
        <f>IF(SER_hh_fech_in!I13=0,0,SER_hh_fech_in!I13/SER_summary!I$27)</f>
        <v>0</v>
      </c>
      <c r="J13" s="132">
        <f>IF(SER_hh_fech_in!J13=0,0,SER_hh_fech_in!J13/SER_summary!J$27)</f>
        <v>0</v>
      </c>
      <c r="K13" s="132">
        <f>IF(SER_hh_fech_in!K13=0,0,SER_hh_fech_in!K13/SER_summary!K$27)</f>
        <v>0</v>
      </c>
      <c r="L13" s="132">
        <f>IF(SER_hh_fech_in!L13=0,0,SER_hh_fech_in!L13/SER_summary!L$27)</f>
        <v>0</v>
      </c>
      <c r="M13" s="132">
        <f>IF(SER_hh_fech_in!M13=0,0,SER_hh_fech_in!M13/SER_summary!M$27)</f>
        <v>0</v>
      </c>
      <c r="N13" s="132">
        <f>IF(SER_hh_fech_in!N13=0,0,SER_hh_fech_in!N13/SER_summary!N$27)</f>
        <v>0</v>
      </c>
      <c r="O13" s="132">
        <f>IF(SER_hh_fech_in!O13=0,0,SER_hh_fech_in!O13/SER_summary!O$27)</f>
        <v>0</v>
      </c>
      <c r="P13" s="132">
        <f>IF(SER_hh_fech_in!P13=0,0,SER_hh_fech_in!P13/SER_summary!P$27)</f>
        <v>0</v>
      </c>
      <c r="Q13" s="132">
        <f>IF(SER_hh_fech_in!Q13=0,0,SER_hh_fech_in!Q13/SER_summary!Q$27)</f>
        <v>0</v>
      </c>
      <c r="R13" s="132">
        <f>IF(SER_hh_fech_in!R13=0,0,SER_hh_fech_in!R13/SER_summary!R$27)</f>
        <v>0</v>
      </c>
      <c r="S13" s="132">
        <f>IF(SER_hh_fech_in!S13=0,0,SER_hh_fech_in!S13/SER_summary!S$27)</f>
        <v>0</v>
      </c>
      <c r="T13" s="132">
        <f>IF(SER_hh_fech_in!T13=0,0,SER_hh_fech_in!T13/SER_summary!T$27)</f>
        <v>0</v>
      </c>
      <c r="U13" s="132">
        <f>IF(SER_hh_fech_in!U13=0,0,SER_hh_fech_in!U13/SER_summary!U$27)</f>
        <v>0</v>
      </c>
      <c r="V13" s="132">
        <f>IF(SER_hh_fech_in!V13=0,0,SER_hh_fech_in!V13/SER_summary!V$27)</f>
        <v>0</v>
      </c>
      <c r="W13" s="132">
        <f>IF(SER_hh_fech_in!W13=0,0,SER_hh_fech_in!W13/SER_summary!W$27)</f>
        <v>0</v>
      </c>
      <c r="X13" s="132">
        <f>IF(SER_hh_fech_in!X13=0,0,SER_hh_fech_in!X13/SER_summary!X$27)</f>
        <v>0</v>
      </c>
      <c r="Y13" s="132">
        <f>IF(SER_hh_fech_in!Y13=0,0,SER_hh_fech_in!Y13/SER_summary!Y$27)</f>
        <v>0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393.58034189568463</v>
      </c>
      <c r="D14" s="65">
        <f>IF(SER_hh_fech_in!D14=0,0,SER_hh_fech_in!D14/SER_summary!D$27)</f>
        <v>0</v>
      </c>
      <c r="E14" s="65">
        <f>IF(SER_hh_fech_in!E14=0,0,SER_hh_fech_in!E14/SER_summary!E$27)</f>
        <v>0</v>
      </c>
      <c r="F14" s="65">
        <f>IF(SER_hh_fech_in!F14=0,0,SER_hh_fech_in!F14/SER_summary!F$27)</f>
        <v>259.74699133675352</v>
      </c>
      <c r="G14" s="65">
        <f>IF(SER_hh_fech_in!G14=0,0,SER_hh_fech_in!G14/SER_summary!G$27)</f>
        <v>296.21166406502681</v>
      </c>
      <c r="H14" s="65">
        <f>IF(SER_hh_fech_in!H14=0,0,SER_hh_fech_in!H14/SER_summary!H$27)</f>
        <v>258.3900547026214</v>
      </c>
      <c r="I14" s="65">
        <f>IF(SER_hh_fech_in!I14=0,0,SER_hh_fech_in!I14/SER_summary!I$27)</f>
        <v>337.58739593121913</v>
      </c>
      <c r="J14" s="65">
        <f>IF(SER_hh_fech_in!J14=0,0,SER_hh_fech_in!J14/SER_summary!J$27)</f>
        <v>294.12640264767924</v>
      </c>
      <c r="K14" s="65">
        <f>IF(SER_hh_fech_in!K14=0,0,SER_hh_fech_in!K14/SER_summary!K$27)</f>
        <v>262.3198051137615</v>
      </c>
      <c r="L14" s="65">
        <f>IF(SER_hh_fech_in!L14=0,0,SER_hh_fech_in!L14/SER_summary!L$27)</f>
        <v>267.17727090944129</v>
      </c>
      <c r="M14" s="65">
        <f>IF(SER_hh_fech_in!M14=0,0,SER_hh_fech_in!M14/SER_summary!M$27)</f>
        <v>223.72203898963627</v>
      </c>
      <c r="N14" s="65">
        <f>IF(SER_hh_fech_in!N14=0,0,SER_hh_fech_in!N14/SER_summary!N$27)</f>
        <v>232.07353206979241</v>
      </c>
      <c r="O14" s="65">
        <f>IF(SER_hh_fech_in!O14=0,0,SER_hh_fech_in!O14/SER_summary!O$27)</f>
        <v>231.57114564316666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131.47881783655566</v>
      </c>
      <c r="S14" s="65">
        <f>IF(SER_hh_fech_in!S14=0,0,SER_hh_fech_in!S14/SER_summary!S$27)</f>
        <v>224.3495081806123</v>
      </c>
      <c r="T14" s="65">
        <f>IF(SER_hh_fech_in!T14=0,0,SER_hh_fech_in!T14/SER_summary!T$27)</f>
        <v>176.14399525649085</v>
      </c>
      <c r="U14" s="65">
        <f>IF(SER_hh_fech_in!U14=0,0,SER_hh_fech_in!U14/SER_summary!U$27)</f>
        <v>182.98064261811692</v>
      </c>
      <c r="V14" s="65">
        <f>IF(SER_hh_fech_in!V14=0,0,SER_hh_fech_in!V14/SER_summary!V$27)</f>
        <v>145.89937054229492</v>
      </c>
      <c r="W14" s="65">
        <f>IF(SER_hh_fech_in!W14=0,0,SER_hh_fech_in!W14/SER_summary!W$27)</f>
        <v>128.59169285351376</v>
      </c>
      <c r="X14" s="65">
        <f>IF(SER_hh_fech_in!X14=0,0,SER_hh_fech_in!X14/SER_summary!X$27)</f>
        <v>0</v>
      </c>
      <c r="Y14" s="65">
        <f>IF(SER_hh_fech_in!Y14=0,0,SER_hh_fech_in!Y14/SER_summary!Y$27)</f>
        <v>63.474635263301401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2.8662964453644442</v>
      </c>
      <c r="D15" s="134">
        <f>IF(SER_hh_fech_in!D15=0,0,SER_hh_fech_in!D15/SER_summary!D$27)</f>
        <v>1.8393259678101392</v>
      </c>
      <c r="E15" s="134">
        <f>IF(SER_hh_fech_in!E15=0,0,SER_hh_fech_in!E15/SER_summary!E$27)</f>
        <v>1.4019491362955876</v>
      </c>
      <c r="F15" s="134">
        <f>IF(SER_hh_fech_in!F15=0,0,SER_hh_fech_in!F15/SER_summary!F$27)</f>
        <v>1.6705092067736731</v>
      </c>
      <c r="G15" s="134">
        <f>IF(SER_hh_fech_in!G15=0,0,SER_hh_fech_in!G15/SER_summary!G$27)</f>
        <v>2.5303608853812896</v>
      </c>
      <c r="H15" s="134">
        <f>IF(SER_hh_fech_in!H15=0,0,SER_hh_fech_in!H15/SER_summary!H$27)</f>
        <v>4.1311757418100052</v>
      </c>
      <c r="I15" s="134">
        <f>IF(SER_hh_fech_in!I15=0,0,SER_hh_fech_in!I15/SER_summary!I$27)</f>
        <v>3.2903989904251536</v>
      </c>
      <c r="J15" s="134">
        <f>IF(SER_hh_fech_in!J15=0,0,SER_hh_fech_in!J15/SER_summary!J$27)</f>
        <v>3.8729688929045967</v>
      </c>
      <c r="K15" s="134">
        <f>IF(SER_hh_fech_in!K15=0,0,SER_hh_fech_in!K15/SER_summary!K$27)</f>
        <v>3.2447577584198535</v>
      </c>
      <c r="L15" s="134">
        <f>IF(SER_hh_fech_in!L15=0,0,SER_hh_fech_in!L15/SER_summary!L$27)</f>
        <v>3.0910098816993119</v>
      </c>
      <c r="M15" s="134">
        <f>IF(SER_hh_fech_in!M15=0,0,SER_hh_fech_in!M15/SER_summary!M$27)</f>
        <v>2.0141055286166054</v>
      </c>
      <c r="N15" s="134">
        <f>IF(SER_hh_fech_in!N15=0,0,SER_hh_fech_in!N15/SER_summary!N$27)</f>
        <v>2.4718170545464662</v>
      </c>
      <c r="O15" s="134">
        <f>IF(SER_hh_fech_in!O15=0,0,SER_hh_fech_in!O15/SER_summary!O$27)</f>
        <v>2.7033787107005565</v>
      </c>
      <c r="P15" s="134">
        <f>IF(SER_hh_fech_in!P15=0,0,SER_hh_fech_in!P15/SER_summary!P$27)</f>
        <v>1.9250434064158501</v>
      </c>
      <c r="Q15" s="134">
        <f>IF(SER_hh_fech_in!Q15=0,0,SER_hh_fech_in!Q15/SER_summary!Q$27)</f>
        <v>2.0903450119373304</v>
      </c>
      <c r="R15" s="134">
        <f>IF(SER_hh_fech_in!R15=0,0,SER_hh_fech_in!R15/SER_summary!R$27)</f>
        <v>1.6060019784482549</v>
      </c>
      <c r="S15" s="134">
        <f>IF(SER_hh_fech_in!S15=0,0,SER_hh_fech_in!S15/SER_summary!S$27)</f>
        <v>1.7023738653614364</v>
      </c>
      <c r="T15" s="134">
        <f>IF(SER_hh_fech_in!T15=0,0,SER_hh_fech_in!T15/SER_summary!T$27)</f>
        <v>1.0147555827422001</v>
      </c>
      <c r="U15" s="134">
        <f>IF(SER_hh_fech_in!U15=0,0,SER_hh_fech_in!U15/SER_summary!U$27)</f>
        <v>0.86350555337441637</v>
      </c>
      <c r="V15" s="134">
        <f>IF(SER_hh_fech_in!V15=0,0,SER_hh_fech_in!V15/SER_summary!V$27)</f>
        <v>0.77949936896586336</v>
      </c>
      <c r="W15" s="134">
        <f>IF(SER_hh_fech_in!W15=0,0,SER_hh_fech_in!W15/SER_summary!W$27)</f>
        <v>0.97666529832307358</v>
      </c>
      <c r="X15" s="134">
        <f>IF(SER_hh_fech_in!X15=0,0,SER_hh_fech_in!X15/SER_summary!X$27)</f>
        <v>0.60277588055111386</v>
      </c>
      <c r="Y15" s="134">
        <f>IF(SER_hh_fech_in!Y15=0,0,SER_hh_fech_in!Y15/SER_summary!Y$27)</f>
        <v>0.65266306347355652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15.952873015054942</v>
      </c>
      <c r="D16" s="130">
        <f>IF(SER_hh_fech_in!D16=0,0,SER_hh_fech_in!D16/SER_summary!D$27)</f>
        <v>15.423094227081211</v>
      </c>
      <c r="E16" s="130">
        <f>IF(SER_hh_fech_in!E16=0,0,SER_hh_fech_in!E16/SER_summary!E$27)</f>
        <v>18.612286522082513</v>
      </c>
      <c r="F16" s="130">
        <f>IF(SER_hh_fech_in!F16=0,0,SER_hh_fech_in!F16/SER_summary!F$27)</f>
        <v>13.775371983287963</v>
      </c>
      <c r="G16" s="130">
        <f>IF(SER_hh_fech_in!G16=0,0,SER_hh_fech_in!G16/SER_summary!G$27)</f>
        <v>13.314807379091752</v>
      </c>
      <c r="H16" s="130">
        <f>IF(SER_hh_fech_in!H16=0,0,SER_hh_fech_in!H16/SER_summary!H$27)</f>
        <v>14.934515749794318</v>
      </c>
      <c r="I16" s="130">
        <f>IF(SER_hh_fech_in!I16=0,0,SER_hh_fech_in!I16/SER_summary!I$27)</f>
        <v>11.903638379595531</v>
      </c>
      <c r="J16" s="130">
        <f>IF(SER_hh_fech_in!J16=0,0,SER_hh_fech_in!J16/SER_summary!J$27)</f>
        <v>11.159273757698564</v>
      </c>
      <c r="K16" s="130">
        <f>IF(SER_hh_fech_in!K16=0,0,SER_hh_fech_in!K16/SER_summary!K$27)</f>
        <v>10.743101410333596</v>
      </c>
      <c r="L16" s="130">
        <f>IF(SER_hh_fech_in!L16=0,0,SER_hh_fech_in!L16/SER_summary!L$27)</f>
        <v>10.812035312117469</v>
      </c>
      <c r="M16" s="130">
        <f>IF(SER_hh_fech_in!M16=0,0,SER_hh_fech_in!M16/SER_summary!M$27)</f>
        <v>9.5979121495052002</v>
      </c>
      <c r="N16" s="130">
        <f>IF(SER_hh_fech_in!N16=0,0,SER_hh_fech_in!N16/SER_summary!N$27)</f>
        <v>9.2381488811744372</v>
      </c>
      <c r="O16" s="130">
        <f>IF(SER_hh_fech_in!O16=0,0,SER_hh_fech_in!O16/SER_summary!O$27)</f>
        <v>8.9076501626532831</v>
      </c>
      <c r="P16" s="130">
        <f>IF(SER_hh_fech_in!P16=0,0,SER_hh_fech_in!P16/SER_summary!P$27)</f>
        <v>8.2009346005625794</v>
      </c>
      <c r="Q16" s="130">
        <f>IF(SER_hh_fech_in!Q16=0,0,SER_hh_fech_in!Q16/SER_summary!Q$27)</f>
        <v>8.5962681417225681</v>
      </c>
      <c r="R16" s="130">
        <f>IF(SER_hh_fech_in!R16=0,0,SER_hh_fech_in!R16/SER_summary!R$27)</f>
        <v>7.8231470219833046</v>
      </c>
      <c r="S16" s="130">
        <f>IF(SER_hh_fech_in!S16=0,0,SER_hh_fech_in!S16/SER_summary!S$27)</f>
        <v>7.0335368760379122</v>
      </c>
      <c r="T16" s="130">
        <f>IF(SER_hh_fech_in!T16=0,0,SER_hh_fech_in!T16/SER_summary!T$27)</f>
        <v>7.198468804382598</v>
      </c>
      <c r="U16" s="130">
        <f>IF(SER_hh_fech_in!U16=0,0,SER_hh_fech_in!U16/SER_summary!U$27)</f>
        <v>6.9808903859788938</v>
      </c>
      <c r="V16" s="130">
        <f>IF(SER_hh_fech_in!V16=0,0,SER_hh_fech_in!V16/SER_summary!V$27)</f>
        <v>6.3761847920873151</v>
      </c>
      <c r="W16" s="130">
        <f>IF(SER_hh_fech_in!W16=0,0,SER_hh_fech_in!W16/SER_summary!W$27)</f>
        <v>4.6279012077414219</v>
      </c>
      <c r="X16" s="130">
        <f>IF(SER_hh_fech_in!X16=0,0,SER_hh_fech_in!X16/SER_summary!X$27)</f>
        <v>4.2894292216636556</v>
      </c>
      <c r="Y16" s="130">
        <f>IF(SER_hh_fech_in!Y16=0,0,SER_hh_fech_in!Y16/SER_summary!Y$27)</f>
        <v>4.2070796469737184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32.065879561534132</v>
      </c>
      <c r="D17" s="132">
        <f>IF(SER_hh_fech_in!D17=0,0,SER_hh_fech_in!D17/SER_summary!D$27)</f>
        <v>31.761605859680287</v>
      </c>
      <c r="E17" s="132">
        <f>IF(SER_hh_fech_in!E17=0,0,SER_hh_fech_in!E17/SER_summary!E$27)</f>
        <v>0</v>
      </c>
      <c r="F17" s="132">
        <f>IF(SER_hh_fech_in!F17=0,0,SER_hh_fech_in!F17/SER_summary!F$27)</f>
        <v>29.598220999479032</v>
      </c>
      <c r="G17" s="132">
        <f>IF(SER_hh_fech_in!G17=0,0,SER_hh_fech_in!G17/SER_summary!G$27)</f>
        <v>29.708688959796653</v>
      </c>
      <c r="H17" s="132">
        <f>IF(SER_hh_fech_in!H17=0,0,SER_hh_fech_in!H17/SER_summary!H$27)</f>
        <v>33.984049557808568</v>
      </c>
      <c r="I17" s="132">
        <f>IF(SER_hh_fech_in!I17=0,0,SER_hh_fech_in!I17/SER_summary!I$27)</f>
        <v>27.476247539251812</v>
      </c>
      <c r="J17" s="132">
        <f>IF(SER_hh_fech_in!J17=0,0,SER_hh_fech_in!J17/SER_summary!J$27)</f>
        <v>26.576669268160522</v>
      </c>
      <c r="K17" s="132">
        <f>IF(SER_hh_fech_in!K17=0,0,SER_hh_fech_in!K17/SER_summary!K$27)</f>
        <v>30.582262156762614</v>
      </c>
      <c r="L17" s="132">
        <f>IF(SER_hh_fech_in!L17=0,0,SER_hh_fech_in!L17/SER_summary!L$27)</f>
        <v>26.856184085512886</v>
      </c>
      <c r="M17" s="132">
        <f>IF(SER_hh_fech_in!M17=0,0,SER_hh_fech_in!M17/SER_summary!M$27)</f>
        <v>24.299867503585489</v>
      </c>
      <c r="N17" s="132">
        <f>IF(SER_hh_fech_in!N17=0,0,SER_hh_fech_in!N17/SER_summary!N$27)</f>
        <v>24.026556757084187</v>
      </c>
      <c r="O17" s="132">
        <f>IF(SER_hh_fech_in!O17=0,0,SER_hh_fech_in!O17/SER_summary!O$27)</f>
        <v>23.612359317887194</v>
      </c>
      <c r="P17" s="132">
        <f>IF(SER_hh_fech_in!P17=0,0,SER_hh_fech_in!P17/SER_summary!P$27)</f>
        <v>21.956396666203922</v>
      </c>
      <c r="Q17" s="132">
        <f>IF(SER_hh_fech_in!Q17=0,0,SER_hh_fech_in!Q17/SER_summary!Q$27)</f>
        <v>23.746581820264481</v>
      </c>
      <c r="R17" s="132">
        <f>IF(SER_hh_fech_in!R17=0,0,SER_hh_fech_in!R17/SER_summary!R$27)</f>
        <v>20.745558830422667</v>
      </c>
      <c r="S17" s="132">
        <f>IF(SER_hh_fech_in!S17=0,0,SER_hh_fech_in!S17/SER_summary!S$27)</f>
        <v>20.032512818431428</v>
      </c>
      <c r="T17" s="132">
        <f>IF(SER_hh_fech_in!T17=0,0,SER_hh_fech_in!T17/SER_summary!T$27)</f>
        <v>20.163528977301645</v>
      </c>
      <c r="U17" s="132">
        <f>IF(SER_hh_fech_in!U17=0,0,SER_hh_fech_in!U17/SER_summary!U$27)</f>
        <v>18.704272620101097</v>
      </c>
      <c r="V17" s="132">
        <f>IF(SER_hh_fech_in!V17=0,0,SER_hh_fech_in!V17/SER_summary!V$27)</f>
        <v>17.143554398204646</v>
      </c>
      <c r="W17" s="132">
        <f>IF(SER_hh_fech_in!W17=0,0,SER_hh_fech_in!W17/SER_summary!W$27)</f>
        <v>13.911323402552551</v>
      </c>
      <c r="X17" s="132">
        <f>IF(SER_hh_fech_in!X17=0,0,SER_hh_fech_in!X17/SER_summary!X$27)</f>
        <v>11.170400832778776</v>
      </c>
      <c r="Y17" s="132">
        <f>IF(SER_hh_fech_in!Y17=0,0,SER_hh_fech_in!Y17/SER_summary!Y$27)</f>
        <v>11.016484921330049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15.872335720596006</v>
      </c>
      <c r="D18" s="132">
        <f>IF(SER_hh_fech_in!D18=0,0,SER_hh_fech_in!D18/SER_summary!D$27)</f>
        <v>15.300542207318632</v>
      </c>
      <c r="E18" s="132">
        <f>IF(SER_hh_fech_in!E18=0,0,SER_hh_fech_in!E18/SER_summary!E$27)</f>
        <v>18.612286522082513</v>
      </c>
      <c r="F18" s="132">
        <f>IF(SER_hh_fech_in!F18=0,0,SER_hh_fech_in!F18/SER_summary!F$27)</f>
        <v>13.515398732000273</v>
      </c>
      <c r="G18" s="132">
        <f>IF(SER_hh_fech_in!G18=0,0,SER_hh_fech_in!G18/SER_summary!G$27)</f>
        <v>13.251607602330585</v>
      </c>
      <c r="H18" s="132">
        <f>IF(SER_hh_fech_in!H18=0,0,SER_hh_fech_in!H18/SER_summary!H$27)</f>
        <v>14.803033899645191</v>
      </c>
      <c r="I18" s="132">
        <f>IF(SER_hh_fech_in!I18=0,0,SER_hh_fech_in!I18/SER_summary!I$27)</f>
        <v>11.687019139382107</v>
      </c>
      <c r="J18" s="132">
        <f>IF(SER_hh_fech_in!J18=0,0,SER_hh_fech_in!J18/SER_summary!J$27)</f>
        <v>11.053632181287144</v>
      </c>
      <c r="K18" s="132">
        <f>IF(SER_hh_fech_in!K18=0,0,SER_hh_fech_in!K18/SER_summary!K$27)</f>
        <v>10.541116889192631</v>
      </c>
      <c r="L18" s="132">
        <f>IF(SER_hh_fech_in!L18=0,0,SER_hh_fech_in!L18/SER_summary!L$27)</f>
        <v>10.679996071301343</v>
      </c>
      <c r="M18" s="132">
        <f>IF(SER_hh_fech_in!M18=0,0,SER_hh_fech_in!M18/SER_summary!M$27)</f>
        <v>9.4206893559081255</v>
      </c>
      <c r="N18" s="132">
        <f>IF(SER_hh_fech_in!N18=0,0,SER_hh_fech_in!N18/SER_summary!N$27)</f>
        <v>9.0626495250522048</v>
      </c>
      <c r="O18" s="132">
        <f>IF(SER_hh_fech_in!O18=0,0,SER_hh_fech_in!O18/SER_summary!O$27)</f>
        <v>8.592419458199684</v>
      </c>
      <c r="P18" s="132">
        <f>IF(SER_hh_fech_in!P18=0,0,SER_hh_fech_in!P18/SER_summary!P$27)</f>
        <v>7.6833847396368187</v>
      </c>
      <c r="Q18" s="132">
        <f>IF(SER_hh_fech_in!Q18=0,0,SER_hh_fech_in!Q18/SER_summary!Q$27)</f>
        <v>8.1422154156549862</v>
      </c>
      <c r="R18" s="132">
        <f>IF(SER_hh_fech_in!R18=0,0,SER_hh_fech_in!R18/SER_summary!R$27)</f>
        <v>6.9437115126462432</v>
      </c>
      <c r="S18" s="132">
        <f>IF(SER_hh_fech_in!S18=0,0,SER_hh_fech_in!S18/SER_summary!S$27)</f>
        <v>6.5400922688260712</v>
      </c>
      <c r="T18" s="132">
        <f>IF(SER_hh_fech_in!T18=0,0,SER_hh_fech_in!T18/SER_summary!T$27)</f>
        <v>6.951837710512188</v>
      </c>
      <c r="U18" s="132">
        <f>IF(SER_hh_fech_in!U18=0,0,SER_hh_fech_in!U18/SER_summary!U$27)</f>
        <v>6.5502470712459289</v>
      </c>
      <c r="V18" s="132">
        <f>IF(SER_hh_fech_in!V18=0,0,SER_hh_fech_in!V18/SER_summary!V$27)</f>
        <v>5.9756684628756496</v>
      </c>
      <c r="W18" s="132">
        <f>IF(SER_hh_fech_in!W18=0,0,SER_hh_fech_in!W18/SER_summary!W$27)</f>
        <v>4.2438372335141592</v>
      </c>
      <c r="X18" s="132">
        <f>IF(SER_hh_fech_in!X18=0,0,SER_hh_fech_in!X18/SER_summary!X$27)</f>
        <v>4.0373811674929456</v>
      </c>
      <c r="Y18" s="132">
        <f>IF(SER_hh_fech_in!Y18=0,0,SER_hh_fech_in!Y18/SER_summary!Y$27)</f>
        <v>3.9450572858836179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45.648891921253622</v>
      </c>
      <c r="D19" s="130">
        <f>IF(SER_hh_fech_in!D19=0,0,SER_hh_fech_in!D19/SER_summary!D$27)</f>
        <v>42.479537610895761</v>
      </c>
      <c r="E19" s="130">
        <f>IF(SER_hh_fech_in!E19=0,0,SER_hh_fech_in!E19/SER_summary!E$27)</f>
        <v>48.052169132521321</v>
      </c>
      <c r="F19" s="130">
        <f>IF(SER_hh_fech_in!F19=0,0,SER_hh_fech_in!F19/SER_summary!F$27)</f>
        <v>45.030963657141491</v>
      </c>
      <c r="G19" s="130">
        <f>IF(SER_hh_fech_in!G19=0,0,SER_hh_fech_in!G19/SER_summary!G$27)</f>
        <v>43.405494259036587</v>
      </c>
      <c r="H19" s="130">
        <f>IF(SER_hh_fech_in!H19=0,0,SER_hh_fech_in!H19/SER_summary!H$27)</f>
        <v>44.842744353339519</v>
      </c>
      <c r="I19" s="130">
        <f>IF(SER_hh_fech_in!I19=0,0,SER_hh_fech_in!I19/SER_summary!I$27)</f>
        <v>44.732634884513892</v>
      </c>
      <c r="J19" s="130">
        <f>IF(SER_hh_fech_in!J19=0,0,SER_hh_fech_in!J19/SER_summary!J$27)</f>
        <v>46.388785851012898</v>
      </c>
      <c r="K19" s="130">
        <f>IF(SER_hh_fech_in!K19=0,0,SER_hh_fech_in!K19/SER_summary!K$27)</f>
        <v>45.039658802883423</v>
      </c>
      <c r="L19" s="130">
        <f>IF(SER_hh_fech_in!L19=0,0,SER_hh_fech_in!L19/SER_summary!L$27)</f>
        <v>50.141379983343448</v>
      </c>
      <c r="M19" s="130">
        <f>IF(SER_hh_fech_in!M19=0,0,SER_hh_fech_in!M19/SER_summary!M$27)</f>
        <v>42.362265388696386</v>
      </c>
      <c r="N19" s="130">
        <f>IF(SER_hh_fech_in!N19=0,0,SER_hh_fech_in!N19/SER_summary!N$27)</f>
        <v>43.896458845283732</v>
      </c>
      <c r="O19" s="130">
        <f>IF(SER_hh_fech_in!O19=0,0,SER_hh_fech_in!O19/SER_summary!O$27)</f>
        <v>41.469512565572842</v>
      </c>
      <c r="P19" s="130">
        <f>IF(SER_hh_fech_in!P19=0,0,SER_hh_fech_in!P19/SER_summary!P$27)</f>
        <v>40.40221823647088</v>
      </c>
      <c r="Q19" s="130">
        <f>IF(SER_hh_fech_in!Q19=0,0,SER_hh_fech_in!Q19/SER_summary!Q$27)</f>
        <v>39.305429396089067</v>
      </c>
      <c r="R19" s="130">
        <f>IF(SER_hh_fech_in!R19=0,0,SER_hh_fech_in!R19/SER_summary!R$27)</f>
        <v>37.025843350767019</v>
      </c>
      <c r="S19" s="130">
        <f>IF(SER_hh_fech_in!S19=0,0,SER_hh_fech_in!S19/SER_summary!S$27)</f>
        <v>39.790556169174074</v>
      </c>
      <c r="T19" s="130">
        <f>IF(SER_hh_fech_in!T19=0,0,SER_hh_fech_in!T19/SER_summary!T$27)</f>
        <v>36.443480627206462</v>
      </c>
      <c r="U19" s="130">
        <f>IF(SER_hh_fech_in!U19=0,0,SER_hh_fech_in!U19/SER_summary!U$27)</f>
        <v>35.580123986128008</v>
      </c>
      <c r="V19" s="130">
        <f>IF(SER_hh_fech_in!V19=0,0,SER_hh_fech_in!V19/SER_summary!V$27)</f>
        <v>30.095380091221749</v>
      </c>
      <c r="W19" s="130">
        <f>IF(SER_hh_fech_in!W19=0,0,SER_hh_fech_in!W19/SER_summary!W$27)</f>
        <v>29.373515195954468</v>
      </c>
      <c r="X19" s="130">
        <f>IF(SER_hh_fech_in!X19=0,0,SER_hh_fech_in!X19/SER_summary!X$27)</f>
        <v>32.780982675102067</v>
      </c>
      <c r="Y19" s="130">
        <f>IF(SER_hh_fech_in!Y19=0,0,SER_hh_fech_in!Y19/SER_summary!Y$27)</f>
        <v>32.820439679883854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0</v>
      </c>
      <c r="D21" s="132">
        <f>IF(SER_hh_fech_in!D21=0,0,SER_hh_fech_in!D21/SER_summary!D$27)</f>
        <v>0</v>
      </c>
      <c r="E21" s="132">
        <f>IF(SER_hh_fech_in!E21=0,0,SER_hh_fech_in!E21/SER_summary!E$27)</f>
        <v>0</v>
      </c>
      <c r="F21" s="132">
        <f>IF(SER_hh_fech_in!F21=0,0,SER_hh_fech_in!F21/SER_summary!F$27)</f>
        <v>0</v>
      </c>
      <c r="G21" s="132">
        <f>IF(SER_hh_fech_in!G21=0,0,SER_hh_fech_in!G21/SER_summary!G$27)</f>
        <v>0</v>
      </c>
      <c r="H21" s="132">
        <f>IF(SER_hh_fech_in!H21=0,0,SER_hh_fech_in!H21/SER_summary!H$27)</f>
        <v>0</v>
      </c>
      <c r="I21" s="132">
        <f>IF(SER_hh_fech_in!I21=0,0,SER_hh_fech_in!I21/SER_summary!I$27)</f>
        <v>0</v>
      </c>
      <c r="J21" s="132">
        <f>IF(SER_hh_fech_in!J21=0,0,SER_hh_fech_in!J21/SER_summary!J$27)</f>
        <v>0</v>
      </c>
      <c r="K21" s="132">
        <f>IF(SER_hh_fech_in!K21=0,0,SER_hh_fech_in!K21/SER_summary!K$27)</f>
        <v>0</v>
      </c>
      <c r="L21" s="132">
        <f>IF(SER_hh_fech_in!L21=0,0,SER_hh_fech_in!L21/SER_summary!L$27)</f>
        <v>0</v>
      </c>
      <c r="M21" s="132">
        <f>IF(SER_hh_fech_in!M21=0,0,SER_hh_fech_in!M21/SER_summary!M$27)</f>
        <v>0</v>
      </c>
      <c r="N21" s="132">
        <f>IF(SER_hh_fech_in!N21=0,0,SER_hh_fech_in!N21/SER_summary!N$27)</f>
        <v>0</v>
      </c>
      <c r="O21" s="132">
        <f>IF(SER_hh_fech_in!O21=0,0,SER_hh_fech_in!O21/SER_summary!O$27)</f>
        <v>0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0</v>
      </c>
      <c r="S21" s="132">
        <f>IF(SER_hh_fech_in!S21=0,0,SER_hh_fech_in!S21/SER_summary!S$27)</f>
        <v>0</v>
      </c>
      <c r="T21" s="132">
        <f>IF(SER_hh_fech_in!T21=0,0,SER_hh_fech_in!T21/SER_summary!T$27)</f>
        <v>0</v>
      </c>
      <c r="U21" s="132">
        <f>IF(SER_hh_fech_in!U21=0,0,SER_hh_fech_in!U21/SER_summary!U$27)</f>
        <v>0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0</v>
      </c>
      <c r="Y21" s="132">
        <f>IF(SER_hh_fech_in!Y21=0,0,SER_hh_fech_in!Y21/SER_summary!Y$27)</f>
        <v>0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57.856309584338028</v>
      </c>
      <c r="D22" s="132">
        <f>IF(SER_hh_fech_in!D22=0,0,SER_hh_fech_in!D22/SER_summary!D$27)</f>
        <v>58.416217465246206</v>
      </c>
      <c r="E22" s="132">
        <f>IF(SER_hh_fech_in!E22=0,0,SER_hh_fech_in!E22/SER_summary!E$27)</f>
        <v>57.903814427365475</v>
      </c>
      <c r="F22" s="132">
        <f>IF(SER_hh_fech_in!F22=0,0,SER_hh_fech_in!F22/SER_summary!F$27)</f>
        <v>58.957561738674052</v>
      </c>
      <c r="G22" s="132">
        <f>IF(SER_hh_fech_in!G22=0,0,SER_hh_fech_in!G22/SER_summary!G$27)</f>
        <v>0</v>
      </c>
      <c r="H22" s="132">
        <f>IF(SER_hh_fech_in!H22=0,0,SER_hh_fech_in!H22/SER_summary!H$27)</f>
        <v>0</v>
      </c>
      <c r="I22" s="132">
        <f>IF(SER_hh_fech_in!I22=0,0,SER_hh_fech_in!I22/SER_summary!I$27)</f>
        <v>0</v>
      </c>
      <c r="J22" s="132">
        <f>IF(SER_hh_fech_in!J22=0,0,SER_hh_fech_in!J22/SER_summary!J$27)</f>
        <v>0</v>
      </c>
      <c r="K22" s="132">
        <f>IF(SER_hh_fech_in!K22=0,0,SER_hh_fech_in!K22/SER_summary!K$27)</f>
        <v>46.76231168662612</v>
      </c>
      <c r="L22" s="132">
        <f>IF(SER_hh_fech_in!L22=0,0,SER_hh_fech_in!L22/SER_summary!L$27)</f>
        <v>63.17597193731028</v>
      </c>
      <c r="M22" s="132">
        <f>IF(SER_hh_fech_in!M22=0,0,SER_hh_fech_in!M22/SER_summary!M$27)</f>
        <v>41.513817581876111</v>
      </c>
      <c r="N22" s="132">
        <f>IF(SER_hh_fech_in!N22=0,0,SER_hh_fech_in!N22/SER_summary!N$27)</f>
        <v>53.688396015551994</v>
      </c>
      <c r="O22" s="132">
        <f>IF(SER_hh_fech_in!O22=0,0,SER_hh_fech_in!O22/SER_summary!O$27)</f>
        <v>48.50203853475152</v>
      </c>
      <c r="P22" s="132">
        <f>IF(SER_hh_fech_in!P22=0,0,SER_hh_fech_in!P22/SER_summary!P$27)</f>
        <v>46.873050695239137</v>
      </c>
      <c r="Q22" s="132">
        <f>IF(SER_hh_fech_in!Q22=0,0,SER_hh_fech_in!Q22/SER_summary!Q$27)</f>
        <v>41.417067172020772</v>
      </c>
      <c r="R22" s="132">
        <f>IF(SER_hh_fech_in!R22=0,0,SER_hh_fech_in!R22/SER_summary!R$27)</f>
        <v>34.61066516015898</v>
      </c>
      <c r="S22" s="132">
        <f>IF(SER_hh_fech_in!S22=0,0,SER_hh_fech_in!S22/SER_summary!S$27)</f>
        <v>44.385784244162458</v>
      </c>
      <c r="T22" s="132">
        <f>IF(SER_hh_fech_in!T22=0,0,SER_hh_fech_in!T22/SER_summary!T$27)</f>
        <v>41.255554210737479</v>
      </c>
      <c r="U22" s="132">
        <f>IF(SER_hh_fech_in!U22=0,0,SER_hh_fech_in!U22/SER_summary!U$27)</f>
        <v>41.498858661683101</v>
      </c>
      <c r="V22" s="132">
        <f>IF(SER_hh_fech_in!V22=0,0,SER_hh_fech_in!V22/SER_summary!V$27)</f>
        <v>33.088395442305028</v>
      </c>
      <c r="W22" s="132">
        <f>IF(SER_hh_fech_in!W22=0,0,SER_hh_fech_in!W22/SER_summary!W$27)</f>
        <v>38.068032902195888</v>
      </c>
      <c r="X22" s="132">
        <f>IF(SER_hh_fech_in!X22=0,0,SER_hh_fech_in!X22/SER_summary!X$27)</f>
        <v>0</v>
      </c>
      <c r="Y22" s="132">
        <f>IF(SER_hh_fech_in!Y22=0,0,SER_hh_fech_in!Y22/SER_summary!Y$27)</f>
        <v>0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53.817998501196385</v>
      </c>
      <c r="D23" s="132">
        <f>IF(SER_hh_fech_in!D23=0,0,SER_hh_fech_in!D23/SER_summary!D$27)</f>
        <v>52.367178513999569</v>
      </c>
      <c r="E23" s="132">
        <f>IF(SER_hh_fech_in!E23=0,0,SER_hh_fech_in!E23/SER_summary!E$27)</f>
        <v>53.736956034494447</v>
      </c>
      <c r="F23" s="132">
        <f>IF(SER_hh_fech_in!F23=0,0,SER_hh_fech_in!F23/SER_summary!F$27)</f>
        <v>51.358751543248985</v>
      </c>
      <c r="G23" s="132">
        <f>IF(SER_hh_fech_in!G23=0,0,SER_hh_fech_in!G23/SER_summary!G$27)</f>
        <v>50.780479012696844</v>
      </c>
      <c r="H23" s="132">
        <f>IF(SER_hh_fech_in!H23=0,0,SER_hh_fech_in!H23/SER_summary!H$27)</f>
        <v>48.812483867728496</v>
      </c>
      <c r="I23" s="132">
        <f>IF(SER_hh_fech_in!I23=0,0,SER_hh_fech_in!I23/SER_summary!I$27)</f>
        <v>46.916926300775401</v>
      </c>
      <c r="J23" s="132">
        <f>IF(SER_hh_fech_in!J23=0,0,SER_hh_fech_in!J23/SER_summary!J$27)</f>
        <v>51.707355216865032</v>
      </c>
      <c r="K23" s="132">
        <f>IF(SER_hh_fech_in!K23=0,0,SER_hh_fech_in!K23/SER_summary!K$27)</f>
        <v>46.048863055613104</v>
      </c>
      <c r="L23" s="132">
        <f>IF(SER_hh_fech_in!L23=0,0,SER_hh_fech_in!L23/SER_summary!L$27)</f>
        <v>49.858516796646633</v>
      </c>
      <c r="M23" s="132">
        <f>IF(SER_hh_fech_in!M23=0,0,SER_hh_fech_in!M23/SER_summary!M$27)</f>
        <v>46.242357768687249</v>
      </c>
      <c r="N23" s="132">
        <f>IF(SER_hh_fech_in!N23=0,0,SER_hh_fech_in!N23/SER_summary!N$27)</f>
        <v>42.927955843596393</v>
      </c>
      <c r="O23" s="132">
        <f>IF(SER_hh_fech_in!O23=0,0,SER_hh_fech_in!O23/SER_summary!O$27)</f>
        <v>42.011288037915001</v>
      </c>
      <c r="P23" s="132">
        <f>IF(SER_hh_fech_in!P23=0,0,SER_hh_fech_in!P23/SER_summary!P$27)</f>
        <v>42.468939166171793</v>
      </c>
      <c r="Q23" s="132">
        <f>IF(SER_hh_fech_in!Q23=0,0,SER_hh_fech_in!Q23/SER_summary!Q$27)</f>
        <v>46.26830327606438</v>
      </c>
      <c r="R23" s="132">
        <f>IF(SER_hh_fech_in!R23=0,0,SER_hh_fech_in!R23/SER_summary!R$27)</f>
        <v>48.132885410274667</v>
      </c>
      <c r="S23" s="132">
        <f>IF(SER_hh_fech_in!S23=0,0,SER_hh_fech_in!S23/SER_summary!S$27)</f>
        <v>34.604537791141553</v>
      </c>
      <c r="T23" s="132">
        <f>IF(SER_hh_fech_in!T23=0,0,SER_hh_fech_in!T23/SER_summary!T$27)</f>
        <v>0</v>
      </c>
      <c r="U23" s="132">
        <f>IF(SER_hh_fech_in!U23=0,0,SER_hh_fech_in!U23/SER_summary!U$27)</f>
        <v>38.683258719133526</v>
      </c>
      <c r="V23" s="132">
        <f>IF(SER_hh_fech_in!V23=0,0,SER_hh_fech_in!V23/SER_summary!V$27)</f>
        <v>25.449771736306801</v>
      </c>
      <c r="W23" s="132">
        <f>IF(SER_hh_fech_in!W23=0,0,SER_hh_fech_in!W23/SER_summary!W$27)</f>
        <v>35.710581020767599</v>
      </c>
      <c r="X23" s="132">
        <f>IF(SER_hh_fech_in!X23=0,0,SER_hh_fech_in!X23/SER_summary!X$27)</f>
        <v>35.038393255767843</v>
      </c>
      <c r="Y23" s="132">
        <f>IF(SER_hh_fech_in!Y23=0,0,SER_hh_fech_in!Y23/SER_summary!Y$27)</f>
        <v>35.28331421241888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32.270466380242645</v>
      </c>
      <c r="D25" s="132">
        <f>IF(SER_hh_fech_in!D25=0,0,SER_hh_fech_in!D25/SER_summary!D$27)</f>
        <v>35.606958039097989</v>
      </c>
      <c r="E25" s="132">
        <f>IF(SER_hh_fech_in!E25=0,0,SER_hh_fech_in!E25/SER_summary!E$27)</f>
        <v>43.834462616627256</v>
      </c>
      <c r="F25" s="132">
        <f>IF(SER_hh_fech_in!F25=0,0,SER_hh_fech_in!F25/SER_summary!F$27)</f>
        <v>39.207199159459336</v>
      </c>
      <c r="G25" s="132">
        <f>IF(SER_hh_fech_in!G25=0,0,SER_hh_fech_in!G25/SER_summary!G$27)</f>
        <v>37.422882753614971</v>
      </c>
      <c r="H25" s="132">
        <f>IF(SER_hh_fech_in!H25=0,0,SER_hh_fech_in!H25/SER_summary!H$27)</f>
        <v>37.07553890279577</v>
      </c>
      <c r="I25" s="132">
        <f>IF(SER_hh_fech_in!I25=0,0,SER_hh_fech_in!I25/SER_summary!I$27)</f>
        <v>36.798771292621709</v>
      </c>
      <c r="J25" s="132">
        <f>IF(SER_hh_fech_in!J25=0,0,SER_hh_fech_in!J25/SER_summary!J$27)</f>
        <v>36.618389015325143</v>
      </c>
      <c r="K25" s="132">
        <f>IF(SER_hh_fech_in!K25=0,0,SER_hh_fech_in!K25/SER_summary!K$27)</f>
        <v>37.580243801916538</v>
      </c>
      <c r="L25" s="132">
        <f>IF(SER_hh_fech_in!L25=0,0,SER_hh_fech_in!L25/SER_summary!L$27)</f>
        <v>35.326052855950778</v>
      </c>
      <c r="M25" s="132">
        <f>IF(SER_hh_fech_in!M25=0,0,SER_hh_fech_in!M25/SER_summary!M$27)</f>
        <v>35.441301062816514</v>
      </c>
      <c r="N25" s="132">
        <f>IF(SER_hh_fech_in!N25=0,0,SER_hh_fech_in!N25/SER_summary!N$27)</f>
        <v>35.617153368683958</v>
      </c>
      <c r="O25" s="132">
        <f>IF(SER_hh_fech_in!O25=0,0,SER_hh_fech_in!O25/SER_summary!O$27)</f>
        <v>35.641478252893378</v>
      </c>
      <c r="P25" s="132">
        <f>IF(SER_hh_fech_in!P25=0,0,SER_hh_fech_in!P25/SER_summary!P$27)</f>
        <v>34.895683070193591</v>
      </c>
      <c r="Q25" s="132">
        <f>IF(SER_hh_fech_in!Q25=0,0,SER_hh_fech_in!Q25/SER_summary!Q$27)</f>
        <v>34.665712800770073</v>
      </c>
      <c r="R25" s="132">
        <f>IF(SER_hh_fech_in!R25=0,0,SER_hh_fech_in!R25/SER_summary!R$27)</f>
        <v>34.341298417608698</v>
      </c>
      <c r="S25" s="132">
        <f>IF(SER_hh_fech_in!S25=0,0,SER_hh_fech_in!S25/SER_summary!S$27)</f>
        <v>35.761346048864581</v>
      </c>
      <c r="T25" s="132">
        <f>IF(SER_hh_fech_in!T25=0,0,SER_hh_fech_in!T25/SER_summary!T$27)</f>
        <v>31.978462619088262</v>
      </c>
      <c r="U25" s="132">
        <f>IF(SER_hh_fech_in!U25=0,0,SER_hh_fech_in!U25/SER_summary!U$27)</f>
        <v>33.687141390960875</v>
      </c>
      <c r="V25" s="132">
        <f>IF(SER_hh_fech_in!V25=0,0,SER_hh_fech_in!V25/SER_summary!V$27)</f>
        <v>34.303170221037043</v>
      </c>
      <c r="W25" s="132">
        <f>IF(SER_hh_fech_in!W25=0,0,SER_hh_fech_in!W25/SER_summary!W$27)</f>
        <v>30.503776505756267</v>
      </c>
      <c r="X25" s="132">
        <f>IF(SER_hh_fech_in!X25=0,0,SER_hh_fech_in!X25/SER_summary!X$27)</f>
        <v>0</v>
      </c>
      <c r="Y25" s="132">
        <f>IF(SER_hh_fech_in!Y25=0,0,SER_hh_fech_in!Y25/SER_summary!Y$27)</f>
        <v>0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48.096865229354158</v>
      </c>
      <c r="D26" s="65">
        <f>IF(SER_hh_fech_in!D26=0,0,SER_hh_fech_in!D26/SER_summary!D$27)</f>
        <v>0</v>
      </c>
      <c r="E26" s="65">
        <f>IF(SER_hh_fech_in!E26=0,0,SER_hh_fech_in!E26/SER_summary!E$27)</f>
        <v>0</v>
      </c>
      <c r="F26" s="65">
        <f>IF(SER_hh_fech_in!F26=0,0,SER_hh_fech_in!F26/SER_summary!F$27)</f>
        <v>0</v>
      </c>
      <c r="G26" s="65">
        <f>IF(SER_hh_fech_in!G26=0,0,SER_hh_fech_in!G26/SER_summary!G$27)</f>
        <v>42.139792186454969</v>
      </c>
      <c r="H26" s="65">
        <f>IF(SER_hh_fech_in!H26=0,0,SER_hh_fech_in!H26/SER_summary!H$27)</f>
        <v>44.820651888846946</v>
      </c>
      <c r="I26" s="65">
        <f>IF(SER_hh_fech_in!I26=0,0,SER_hh_fech_in!I26/SER_summary!I$27)</f>
        <v>44.974359127768295</v>
      </c>
      <c r="J26" s="65">
        <f>IF(SER_hh_fech_in!J26=0,0,SER_hh_fech_in!J26/SER_summary!J$27)</f>
        <v>43.937856945287969</v>
      </c>
      <c r="K26" s="65">
        <f>IF(SER_hh_fech_in!K26=0,0,SER_hh_fech_in!K26/SER_summary!K$27)</f>
        <v>45.765071203287654</v>
      </c>
      <c r="L26" s="65">
        <f>IF(SER_hh_fech_in!L26=0,0,SER_hh_fech_in!L26/SER_summary!L$27)</f>
        <v>41.010129916440029</v>
      </c>
      <c r="M26" s="65">
        <f>IF(SER_hh_fech_in!M26=0,0,SER_hh_fech_in!M26/SER_summary!M$27)</f>
        <v>43.100020854397762</v>
      </c>
      <c r="N26" s="65">
        <f>IF(SER_hh_fech_in!N26=0,0,SER_hh_fech_in!N26/SER_summary!N$27)</f>
        <v>40.764362003675444</v>
      </c>
      <c r="O26" s="65">
        <f>IF(SER_hh_fech_in!O26=0,0,SER_hh_fech_in!O26/SER_summary!O$27)</f>
        <v>40.561552852080446</v>
      </c>
      <c r="P26" s="65">
        <f>IF(SER_hh_fech_in!P26=0,0,SER_hh_fech_in!P26/SER_summary!P$27)</f>
        <v>39.178286433688562</v>
      </c>
      <c r="Q26" s="65">
        <f>IF(SER_hh_fech_in!Q26=0,0,SER_hh_fech_in!Q26/SER_summary!Q$27)</f>
        <v>35.20706854202939</v>
      </c>
      <c r="R26" s="65">
        <f>IF(SER_hh_fech_in!R26=0,0,SER_hh_fech_in!R26/SER_summary!R$27)</f>
        <v>32.484094816768049</v>
      </c>
      <c r="S26" s="65">
        <f>IF(SER_hh_fech_in!S26=0,0,SER_hh_fech_in!S26/SER_summary!S$27)</f>
        <v>37.329135891097771</v>
      </c>
      <c r="T26" s="65">
        <f>IF(SER_hh_fech_in!T26=0,0,SER_hh_fech_in!T26/SER_summary!T$27)</f>
        <v>35.789391620113697</v>
      </c>
      <c r="U26" s="65">
        <f>IF(SER_hh_fech_in!U26=0,0,SER_hh_fech_in!U26/SER_summary!U$27)</f>
        <v>31.568684620919726</v>
      </c>
      <c r="V26" s="65">
        <f>IF(SER_hh_fech_in!V26=0,0,SER_hh_fech_in!V26/SER_summary!V$27)</f>
        <v>30.770742283550909</v>
      </c>
      <c r="W26" s="65">
        <f>IF(SER_hh_fech_in!W26=0,0,SER_hh_fech_in!W26/SER_summary!W$27)</f>
        <v>26.844809343908871</v>
      </c>
      <c r="X26" s="65">
        <f>IF(SER_hh_fech_in!X26=0,0,SER_hh_fech_in!X26/SER_summary!X$27)</f>
        <v>32.145130110752426</v>
      </c>
      <c r="Y26" s="65">
        <f>IF(SER_hh_fech_in!Y26=0,0,SER_hh_fech_in!Y26/SER_summary!Y$27)</f>
        <v>32.230169418042834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</v>
      </c>
      <c r="D27" s="145">
        <f>IF(SER_hh_fech_in!D27=0,0,SER_hh_fech_in!D27/SER_summary!D$27)</f>
        <v>0</v>
      </c>
      <c r="E27" s="145">
        <f>IF(SER_hh_fech_in!E27=0,0,SER_hh_fech_in!E27/SER_summary!E$27)</f>
        <v>0</v>
      </c>
      <c r="F27" s="145">
        <f>IF(SER_hh_fech_in!F27=0,0,SER_hh_fech_in!F27/SER_summary!F$27)</f>
        <v>0</v>
      </c>
      <c r="G27" s="145">
        <f>IF(SER_hh_fech_in!G27=0,0,SER_hh_fech_in!G27/SER_summary!G$27)</f>
        <v>0</v>
      </c>
      <c r="H27" s="145">
        <f>IF(SER_hh_fech_in!H27=0,0,SER_hh_fech_in!H27/SER_summary!H$27)</f>
        <v>0</v>
      </c>
      <c r="I27" s="145">
        <f>IF(SER_hh_fech_in!I27=0,0,SER_hh_fech_in!I27/SER_summary!I$27)</f>
        <v>0</v>
      </c>
      <c r="J27" s="145">
        <f>IF(SER_hh_fech_in!J27=0,0,SER_hh_fech_in!J27/SER_summary!J$27)</f>
        <v>0</v>
      </c>
      <c r="K27" s="145">
        <f>IF(SER_hh_fech_in!K27=0,0,SER_hh_fech_in!K27/SER_summary!K$27)</f>
        <v>0</v>
      </c>
      <c r="L27" s="145">
        <f>IF(SER_hh_fech_in!L27=0,0,SER_hh_fech_in!L27/SER_summary!L$27)</f>
        <v>0</v>
      </c>
      <c r="M27" s="145">
        <f>IF(SER_hh_fech_in!M27=0,0,SER_hh_fech_in!M27/SER_summary!M$27)</f>
        <v>0</v>
      </c>
      <c r="N27" s="145">
        <f>IF(SER_hh_fech_in!N27=0,0,SER_hh_fech_in!N27/SER_summary!N$27)</f>
        <v>0</v>
      </c>
      <c r="O27" s="145">
        <f>IF(SER_hh_fech_in!O27=0,0,SER_hh_fech_in!O27/SER_summary!O$27)</f>
        <v>0</v>
      </c>
      <c r="P27" s="145">
        <f>IF(SER_hh_fech_in!P27=0,0,SER_hh_fech_in!P27/SER_summary!P$27)</f>
        <v>0</v>
      </c>
      <c r="Q27" s="145">
        <f>IF(SER_hh_fech_in!Q27=0,0,SER_hh_fech_in!Q27/SER_summary!Q$27)</f>
        <v>0</v>
      </c>
      <c r="R27" s="145">
        <f>IF(SER_hh_fech_in!R27=0,0,SER_hh_fech_in!R27/SER_summary!R$27)</f>
        <v>0</v>
      </c>
      <c r="S27" s="145">
        <f>IF(SER_hh_fech_in!S27=0,0,SER_hh_fech_in!S27/SER_summary!S$27)</f>
        <v>0</v>
      </c>
      <c r="T27" s="145">
        <f>IF(SER_hh_fech_in!T27=0,0,SER_hh_fech_in!T27/SER_summary!T$27)</f>
        <v>0</v>
      </c>
      <c r="U27" s="145">
        <f>IF(SER_hh_fech_in!U27=0,0,SER_hh_fech_in!U27/SER_summary!U$27)</f>
        <v>0</v>
      </c>
      <c r="V27" s="145">
        <f>IF(SER_hh_fech_in!V27=0,0,SER_hh_fech_in!V27/SER_summary!V$27)</f>
        <v>0</v>
      </c>
      <c r="W27" s="145">
        <f>IF(SER_hh_fech_in!W27=0,0,SER_hh_fech_in!W27/SER_summary!W$27)</f>
        <v>0</v>
      </c>
      <c r="X27" s="145">
        <f>IF(SER_hh_fech_in!X27=0,0,SER_hh_fech_in!X27/SER_summary!X$27)</f>
        <v>0</v>
      </c>
      <c r="Y27" s="145">
        <f>IF(SER_hh_fech_in!Y27=0,0,SER_hh_fech_in!Y27/SER_summary!Y$27)</f>
        <v>0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0</v>
      </c>
      <c r="D28" s="146">
        <f>IF(SER_hh_fech_in!D28=0,0,SER_hh_fech_in!D28/SER_summary!D$27)</f>
        <v>0</v>
      </c>
      <c r="E28" s="146">
        <f>IF(SER_hh_fech_in!E28=0,0,SER_hh_fech_in!E28/SER_summary!E$27)</f>
        <v>0</v>
      </c>
      <c r="F28" s="146">
        <f>IF(SER_hh_fech_in!F28=0,0,SER_hh_fech_in!F28/SER_summary!F$27)</f>
        <v>0</v>
      </c>
      <c r="G28" s="146">
        <f>IF(SER_hh_fech_in!G28=0,0,SER_hh_fech_in!G28/SER_summary!G$27)</f>
        <v>0</v>
      </c>
      <c r="H28" s="146">
        <f>IF(SER_hh_fech_in!H28=0,0,SER_hh_fech_in!H28/SER_summary!H$27)</f>
        <v>0</v>
      </c>
      <c r="I28" s="146">
        <f>IF(SER_hh_fech_in!I28=0,0,SER_hh_fech_in!I28/SER_summary!I$27)</f>
        <v>0</v>
      </c>
      <c r="J28" s="146">
        <f>IF(SER_hh_fech_in!J28=0,0,SER_hh_fech_in!J28/SER_summary!J$27)</f>
        <v>0</v>
      </c>
      <c r="K28" s="146">
        <f>IF(SER_hh_fech_in!K28=0,0,SER_hh_fech_in!K28/SER_summary!K$27)</f>
        <v>0</v>
      </c>
      <c r="L28" s="146">
        <f>IF(SER_hh_fech_in!L28=0,0,SER_hh_fech_in!L28/SER_summary!L$27)</f>
        <v>0</v>
      </c>
      <c r="M28" s="146">
        <f>IF(SER_hh_fech_in!M28=0,0,SER_hh_fech_in!M28/SER_summary!M$27)</f>
        <v>0</v>
      </c>
      <c r="N28" s="146">
        <f>IF(SER_hh_fech_in!N28=0,0,SER_hh_fech_in!N28/SER_summary!N$27)</f>
        <v>0</v>
      </c>
      <c r="O28" s="146">
        <f>IF(SER_hh_fech_in!O28=0,0,SER_hh_fech_in!O28/SER_summary!O$27)</f>
        <v>0</v>
      </c>
      <c r="P28" s="146">
        <f>IF(SER_hh_fech_in!P28=0,0,SER_hh_fech_in!P28/SER_summary!P$27)</f>
        <v>0</v>
      </c>
      <c r="Q28" s="146">
        <f>IF(SER_hh_fech_in!Q28=0,0,SER_hh_fech_in!Q28/SER_summary!Q$27)</f>
        <v>0</v>
      </c>
      <c r="R28" s="146">
        <f>IF(SER_hh_fech_in!R28=0,0,SER_hh_fech_in!R28/SER_summary!R$27)</f>
        <v>0</v>
      </c>
      <c r="S28" s="146">
        <f>IF(SER_hh_fech_in!S28=0,0,SER_hh_fech_in!S28/SER_summary!S$27)</f>
        <v>0</v>
      </c>
      <c r="T28" s="146">
        <f>IF(SER_hh_fech_in!T28=0,0,SER_hh_fech_in!T28/SER_summary!T$27)</f>
        <v>0</v>
      </c>
      <c r="U28" s="146">
        <f>IF(SER_hh_fech_in!U28=0,0,SER_hh_fech_in!U28/SER_summary!U$27)</f>
        <v>0</v>
      </c>
      <c r="V28" s="146">
        <f>IF(SER_hh_fech_in!V28=0,0,SER_hh_fech_in!V28/SER_summary!V$27)</f>
        <v>0</v>
      </c>
      <c r="W28" s="146">
        <f>IF(SER_hh_fech_in!W28=0,0,SER_hh_fech_in!W28/SER_summary!W$27)</f>
        <v>0</v>
      </c>
      <c r="X28" s="146">
        <f>IF(SER_hh_fech_in!X28=0,0,SER_hh_fech_in!X28/SER_summary!X$27)</f>
        <v>0</v>
      </c>
      <c r="Y28" s="146">
        <f>IF(SER_hh_fech_in!Y28=0,0,SER_hh_fech_in!Y28/SER_summary!Y$27)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51.284149614518455</v>
      </c>
      <c r="D29" s="130">
        <f>IF(SER_hh_fech_in!D29=0,0,SER_hh_fech_in!D29/SER_summary!D$27)</f>
        <v>50.212573500885703</v>
      </c>
      <c r="E29" s="130">
        <f>IF(SER_hh_fech_in!E29=0,0,SER_hh_fech_in!E29/SER_summary!E$27)</f>
        <v>53.513610360279159</v>
      </c>
      <c r="F29" s="130">
        <f>IF(SER_hh_fech_in!F29=0,0,SER_hh_fech_in!F29/SER_summary!F$27)</f>
        <v>51.51924254829963</v>
      </c>
      <c r="G29" s="130">
        <f>IF(SER_hh_fech_in!G29=0,0,SER_hh_fech_in!G29/SER_summary!G$27)</f>
        <v>53.422270001157926</v>
      </c>
      <c r="H29" s="130">
        <f>IF(SER_hh_fech_in!H29=0,0,SER_hh_fech_in!H29/SER_summary!H$27)</f>
        <v>54.877822067278196</v>
      </c>
      <c r="I29" s="130">
        <f>IF(SER_hh_fech_in!I29=0,0,SER_hh_fech_in!I29/SER_summary!I$27)</f>
        <v>53.634018579556304</v>
      </c>
      <c r="J29" s="130">
        <f>IF(SER_hh_fech_in!J29=0,0,SER_hh_fech_in!J29/SER_summary!J$27)</f>
        <v>53.900248378517659</v>
      </c>
      <c r="K29" s="130">
        <f>IF(SER_hh_fech_in!K29=0,0,SER_hh_fech_in!K29/SER_summary!K$27)</f>
        <v>89.009260408781785</v>
      </c>
      <c r="L29" s="130">
        <f>IF(SER_hh_fech_in!L29=0,0,SER_hh_fech_in!L29/SER_summary!L$27)</f>
        <v>69.403032345852111</v>
      </c>
      <c r="M29" s="130">
        <f>IF(SER_hh_fech_in!M29=0,0,SER_hh_fech_in!M29/SER_summary!M$27)</f>
        <v>58.801318477086781</v>
      </c>
      <c r="N29" s="130">
        <f>IF(SER_hh_fech_in!N29=0,0,SER_hh_fech_in!N29/SER_summary!N$27)</f>
        <v>54.326129776251349</v>
      </c>
      <c r="O29" s="130">
        <f>IF(SER_hh_fech_in!O29=0,0,SER_hh_fech_in!O29/SER_summary!O$27)</f>
        <v>53.876765747165621</v>
      </c>
      <c r="P29" s="130">
        <f>IF(SER_hh_fech_in!P29=0,0,SER_hh_fech_in!P29/SER_summary!P$27)</f>
        <v>54.296481231425062</v>
      </c>
      <c r="Q29" s="130">
        <f>IF(SER_hh_fech_in!Q29=0,0,SER_hh_fech_in!Q29/SER_summary!Q$27)</f>
        <v>54.74312922105841</v>
      </c>
      <c r="R29" s="130">
        <f>IF(SER_hh_fech_in!R29=0,0,SER_hh_fech_in!R29/SER_summary!R$27)</f>
        <v>53.973740987117679</v>
      </c>
      <c r="S29" s="130">
        <f>IF(SER_hh_fech_in!S29=0,0,SER_hh_fech_in!S29/SER_summary!S$27)</f>
        <v>53.87424863299394</v>
      </c>
      <c r="T29" s="130">
        <f>IF(SER_hh_fech_in!T29=0,0,SER_hh_fech_in!T29/SER_summary!T$27)</f>
        <v>55.119938681746369</v>
      </c>
      <c r="U29" s="130">
        <f>IF(SER_hh_fech_in!U29=0,0,SER_hh_fech_in!U29/SER_summary!U$27)</f>
        <v>55.273776642284453</v>
      </c>
      <c r="V29" s="130">
        <f>IF(SER_hh_fech_in!V29=0,0,SER_hh_fech_in!V29/SER_summary!V$27)</f>
        <v>52.156362823720563</v>
      </c>
      <c r="W29" s="130">
        <f>IF(SER_hh_fech_in!W29=0,0,SER_hh_fech_in!W29/SER_summary!W$27)</f>
        <v>65.974042125184994</v>
      </c>
      <c r="X29" s="130">
        <f>IF(SER_hh_fech_in!X29=0,0,SER_hh_fech_in!X29/SER_summary!X$27)</f>
        <v>66.574801020116297</v>
      </c>
      <c r="Y29" s="130">
        <f>IF(SER_hh_fech_in!Y29=0,0,SER_hh_fech_in!Y29/SER_summary!Y$27)</f>
        <v>60.014235055098553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85.72707369528824</v>
      </c>
      <c r="D30" s="132">
        <f>IF(SER_hh_fech_in!D30=0,0,SER_hh_fech_in!D30/SER_summary!D$27)</f>
        <v>0</v>
      </c>
      <c r="E30" s="132">
        <f>IF(SER_hh_fech_in!E30=0,0,SER_hh_fech_in!E30/SER_summary!E$27)</f>
        <v>0</v>
      </c>
      <c r="F30" s="132">
        <f>IF(SER_hh_fech_in!F30=0,0,SER_hh_fech_in!F30/SER_summary!F$27)</f>
        <v>0</v>
      </c>
      <c r="G30" s="132">
        <f>IF(SER_hh_fech_in!G30=0,0,SER_hh_fech_in!G30/SER_summary!G$27)</f>
        <v>0</v>
      </c>
      <c r="H30" s="132">
        <f>IF(SER_hh_fech_in!H30=0,0,SER_hh_fech_in!H30/SER_summary!H$27)</f>
        <v>0</v>
      </c>
      <c r="I30" s="132">
        <f>IF(SER_hh_fech_in!I30=0,0,SER_hh_fech_in!I30/SER_summary!I$27)</f>
        <v>0</v>
      </c>
      <c r="J30" s="132">
        <f>IF(SER_hh_fech_in!J30=0,0,SER_hh_fech_in!J30/SER_summary!J$27)</f>
        <v>0</v>
      </c>
      <c r="K30" s="132">
        <f>IF(SER_hh_fech_in!K30=0,0,SER_hh_fech_in!K30/SER_summary!K$27)</f>
        <v>94.109844280591915</v>
      </c>
      <c r="L30" s="132">
        <f>IF(SER_hh_fech_in!L30=0,0,SER_hh_fech_in!L30/SER_summary!L$27)</f>
        <v>76.690667577935059</v>
      </c>
      <c r="M30" s="132">
        <f>IF(SER_hh_fech_in!M30=0,0,SER_hh_fech_in!M30/SER_summary!M$27)</f>
        <v>69.406305115435785</v>
      </c>
      <c r="N30" s="132">
        <f>IF(SER_hh_fech_in!N30=0,0,SER_hh_fech_in!N30/SER_summary!N$27)</f>
        <v>69.887612519098639</v>
      </c>
      <c r="O30" s="132">
        <f>IF(SER_hh_fech_in!O30=0,0,SER_hh_fech_in!O30/SER_summary!O$27)</f>
        <v>72.462355598991238</v>
      </c>
      <c r="P30" s="132">
        <f>IF(SER_hh_fech_in!P30=0,0,SER_hh_fech_in!P30/SER_summary!P$27)</f>
        <v>65.83747138122871</v>
      </c>
      <c r="Q30" s="132">
        <f>IF(SER_hh_fech_in!Q30=0,0,SER_hh_fech_in!Q30/SER_summary!Q$27)</f>
        <v>71.420311500699668</v>
      </c>
      <c r="R30" s="132">
        <f>IF(SER_hh_fech_in!R30=0,0,SER_hh_fech_in!R30/SER_summary!R$27)</f>
        <v>77.04035162572157</v>
      </c>
      <c r="S30" s="132">
        <f>IF(SER_hh_fech_in!S30=0,0,SER_hh_fech_in!S30/SER_summary!S$27)</f>
        <v>70.040752137656781</v>
      </c>
      <c r="T30" s="132">
        <f>IF(SER_hh_fech_in!T30=0,0,SER_hh_fech_in!T30/SER_summary!T$27)</f>
        <v>61.405820894947794</v>
      </c>
      <c r="U30" s="132">
        <f>IF(SER_hh_fech_in!U30=0,0,SER_hh_fech_in!U30/SER_summary!U$27)</f>
        <v>76.474298246904311</v>
      </c>
      <c r="V30" s="132">
        <f>IF(SER_hh_fech_in!V30=0,0,SER_hh_fech_in!V30/SER_summary!V$27)</f>
        <v>60.1459128468438</v>
      </c>
      <c r="W30" s="132">
        <f>IF(SER_hh_fech_in!W30=0,0,SER_hh_fech_in!W30/SER_summary!W$27)</f>
        <v>89.721217074004571</v>
      </c>
      <c r="X30" s="132">
        <f>IF(SER_hh_fech_in!X30=0,0,SER_hh_fech_in!X30/SER_summary!X$27)</f>
        <v>63.655132601652262</v>
      </c>
      <c r="Y30" s="132">
        <f>IF(SER_hh_fech_in!Y30=0,0,SER_hh_fech_in!Y30/SER_summary!Y$27)</f>
        <v>81.270511687781564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58.763757932102308</v>
      </c>
      <c r="D31" s="132">
        <f>IF(SER_hh_fech_in!D31=0,0,SER_hh_fech_in!D31/SER_summary!D$27)</f>
        <v>61.213148240791632</v>
      </c>
      <c r="E31" s="132">
        <f>IF(SER_hh_fech_in!E31=0,0,SER_hh_fech_in!E31/SER_summary!E$27)</f>
        <v>62.297387055282435</v>
      </c>
      <c r="F31" s="132">
        <f>IF(SER_hh_fech_in!F31=0,0,SER_hh_fech_in!F31/SER_summary!F$27)</f>
        <v>63.991163930363015</v>
      </c>
      <c r="G31" s="132">
        <f>IF(SER_hh_fech_in!G31=0,0,SER_hh_fech_in!G31/SER_summary!G$27)</f>
        <v>62.739607948190546</v>
      </c>
      <c r="H31" s="132">
        <f>IF(SER_hh_fech_in!H31=0,0,SER_hh_fech_in!H31/SER_summary!H$27)</f>
        <v>65.752308269507949</v>
      </c>
      <c r="I31" s="132">
        <f>IF(SER_hh_fech_in!I31=0,0,SER_hh_fech_in!I31/SER_summary!I$27)</f>
        <v>66.093881279920041</v>
      </c>
      <c r="J31" s="132">
        <f>IF(SER_hh_fech_in!J31=0,0,SER_hh_fech_in!J31/SER_summary!J$27)</f>
        <v>67.300317506106467</v>
      </c>
      <c r="K31" s="132">
        <f>IF(SER_hh_fech_in!K31=0,0,SER_hh_fech_in!K31/SER_summary!K$27)</f>
        <v>64.280403865692264</v>
      </c>
      <c r="L31" s="132">
        <f>IF(SER_hh_fech_in!L31=0,0,SER_hh_fech_in!L31/SER_summary!L$27)</f>
        <v>65.943629632420823</v>
      </c>
      <c r="M31" s="132">
        <f>IF(SER_hh_fech_in!M31=0,0,SER_hh_fech_in!M31/SER_summary!M$27)</f>
        <v>69.365170512856594</v>
      </c>
      <c r="N31" s="132">
        <f>IF(SER_hh_fech_in!N31=0,0,SER_hh_fech_in!N31/SER_summary!N$27)</f>
        <v>70.268446595204665</v>
      </c>
      <c r="O31" s="132">
        <f>IF(SER_hh_fech_in!O31=0,0,SER_hh_fech_in!O31/SER_summary!O$27)</f>
        <v>68.856516705180184</v>
      </c>
      <c r="P31" s="132">
        <f>IF(SER_hh_fech_in!P31=0,0,SER_hh_fech_in!P31/SER_summary!P$27)</f>
        <v>68.551417613746167</v>
      </c>
      <c r="Q31" s="132">
        <f>IF(SER_hh_fech_in!Q31=0,0,SER_hh_fech_in!Q31/SER_summary!Q$27)</f>
        <v>69.922135854911687</v>
      </c>
      <c r="R31" s="132">
        <f>IF(SER_hh_fech_in!R31=0,0,SER_hh_fech_in!R31/SER_summary!R$27)</f>
        <v>70.905747854913074</v>
      </c>
      <c r="S31" s="132">
        <f>IF(SER_hh_fech_in!S31=0,0,SER_hh_fech_in!S31/SER_summary!S$27)</f>
        <v>68.075214500625933</v>
      </c>
      <c r="T31" s="132">
        <f>IF(SER_hh_fech_in!T31=0,0,SER_hh_fech_in!T31/SER_summary!T$27)</f>
        <v>72.193388131342033</v>
      </c>
      <c r="U31" s="132">
        <f>IF(SER_hh_fech_in!U31=0,0,SER_hh_fech_in!U31/SER_summary!U$27)</f>
        <v>70.748589670351876</v>
      </c>
      <c r="V31" s="132">
        <f>IF(SER_hh_fech_in!V31=0,0,SER_hh_fech_in!V31/SER_summary!V$27)</f>
        <v>53.06185519757058</v>
      </c>
      <c r="W31" s="132">
        <f>IF(SER_hh_fech_in!W31=0,0,SER_hh_fech_in!W31/SER_summary!W$27)</f>
        <v>58.312985536711508</v>
      </c>
      <c r="X31" s="132">
        <f>IF(SER_hh_fech_in!X31=0,0,SER_hh_fech_in!X31/SER_summary!X$27)</f>
        <v>81.921462275112987</v>
      </c>
      <c r="Y31" s="132">
        <f>IF(SER_hh_fech_in!Y31=0,0,SER_hh_fech_in!Y31/SER_summary!Y$27)</f>
        <v>72.48685172775663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36.917615998280702</v>
      </c>
      <c r="D33" s="68">
        <f>IF(SER_hh_fech_in!D33=0,0,SER_hh_fech_in!D33/SER_summary!D$27)</f>
        <v>45.181475678651879</v>
      </c>
      <c r="E33" s="68">
        <f>IF(SER_hh_fech_in!E33=0,0,SER_hh_fech_in!E33/SER_summary!E$27)</f>
        <v>49.96013478596069</v>
      </c>
      <c r="F33" s="68">
        <f>IF(SER_hh_fech_in!F33=0,0,SER_hh_fech_in!F33/SER_summary!F$27)</f>
        <v>47.123721483710383</v>
      </c>
      <c r="G33" s="68">
        <f>IF(SER_hh_fech_in!G33=0,0,SER_hh_fech_in!G33/SER_summary!G$27)</f>
        <v>48.804637518277723</v>
      </c>
      <c r="H33" s="68">
        <f>IF(SER_hh_fech_in!H33=0,0,SER_hh_fech_in!H33/SER_summary!H$27)</f>
        <v>48.699865133565545</v>
      </c>
      <c r="I33" s="68">
        <f>IF(SER_hh_fech_in!I33=0,0,SER_hh_fech_in!I33/SER_summary!I$27)</f>
        <v>48.850112457892678</v>
      </c>
      <c r="J33" s="68">
        <f>IF(SER_hh_fech_in!J33=0,0,SER_hh_fech_in!J33/SER_summary!J$27)</f>
        <v>49.461922029359926</v>
      </c>
      <c r="K33" s="68">
        <f>IF(SER_hh_fech_in!K33=0,0,SER_hh_fech_in!K33/SER_summary!K$27)</f>
        <v>0</v>
      </c>
      <c r="L33" s="68">
        <f>IF(SER_hh_fech_in!L33=0,0,SER_hh_fech_in!L33/SER_summary!L$27)</f>
        <v>50.060401746187587</v>
      </c>
      <c r="M33" s="68">
        <f>IF(SER_hh_fech_in!M33=0,0,SER_hh_fech_in!M33/SER_summary!M$27)</f>
        <v>50.392959820698799</v>
      </c>
      <c r="N33" s="68">
        <f>IF(SER_hh_fech_in!N33=0,0,SER_hh_fech_in!N33/SER_summary!N$27)</f>
        <v>50.907106224317687</v>
      </c>
      <c r="O33" s="68">
        <f>IF(SER_hh_fech_in!O33=0,0,SER_hh_fech_in!O33/SER_summary!O$27)</f>
        <v>50.999925948748839</v>
      </c>
      <c r="P33" s="68">
        <f>IF(SER_hh_fech_in!P33=0,0,SER_hh_fech_in!P33/SER_summary!P$27)</f>
        <v>52.658777272245203</v>
      </c>
      <c r="Q33" s="68">
        <f>IF(SER_hh_fech_in!Q33=0,0,SER_hh_fech_in!Q33/SER_summary!Q$27)</f>
        <v>51.774781928606714</v>
      </c>
      <c r="R33" s="68">
        <f>IF(SER_hh_fech_in!R33=0,0,SER_hh_fech_in!R33/SER_summary!R$27)</f>
        <v>50.190246348796514</v>
      </c>
      <c r="S33" s="68">
        <f>IF(SER_hh_fech_in!S33=0,0,SER_hh_fech_in!S33/SER_summary!S$27)</f>
        <v>51.735003089040653</v>
      </c>
      <c r="T33" s="68">
        <f>IF(SER_hh_fech_in!T33=0,0,SER_hh_fech_in!T33/SER_summary!T$27)</f>
        <v>52.338824017978233</v>
      </c>
      <c r="U33" s="68">
        <f>IF(SER_hh_fech_in!U33=0,0,SER_hh_fech_in!U33/SER_summary!U$27)</f>
        <v>50.669259484179314</v>
      </c>
      <c r="V33" s="68">
        <f>IF(SER_hh_fech_in!V33=0,0,SER_hh_fech_in!V33/SER_summary!V$27)</f>
        <v>49.004979207462526</v>
      </c>
      <c r="W33" s="68">
        <f>IF(SER_hh_fech_in!W33=0,0,SER_hh_fech_in!W33/SER_summary!W$27)</f>
        <v>51.908048253297281</v>
      </c>
      <c r="X33" s="68">
        <f>IF(SER_hh_fech_in!X33=0,0,SER_hh_fech_in!X33/SER_summary!X$27)</f>
        <v>50.613919231553908</v>
      </c>
      <c r="Y33" s="68">
        <f>IF(SER_hh_fech_in!Y33=0,0,SER_hh_fech_in!Y33/SER_summary!Y$27)</f>
        <v>50.566476515950335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336.5767511693503</v>
      </c>
      <c r="D3" s="125">
        <f>IF(SER_hh_tesh_in!D3=0,0,SER_hh_tesh_in!D3/SER_summary!D$27)</f>
        <v>305.09484557568385</v>
      </c>
      <c r="E3" s="125">
        <f>IF(SER_hh_tesh_in!E3=0,0,SER_hh_tesh_in!E3/SER_summary!E$27)</f>
        <v>421.23201889935922</v>
      </c>
      <c r="F3" s="125">
        <f>IF(SER_hh_tesh_in!F3=0,0,SER_hh_tesh_in!F3/SER_summary!F$27)</f>
        <v>350.86803107729463</v>
      </c>
      <c r="G3" s="125">
        <f>IF(SER_hh_tesh_in!G3=0,0,SER_hh_tesh_in!G3/SER_summary!G$27)</f>
        <v>328.22215613581415</v>
      </c>
      <c r="H3" s="125">
        <f>IF(SER_hh_tesh_in!H3=0,0,SER_hh_tesh_in!H3/SER_summary!H$27)</f>
        <v>333.75573419772877</v>
      </c>
      <c r="I3" s="125">
        <f>IF(SER_hh_tesh_in!I3=0,0,SER_hh_tesh_in!I3/SER_summary!I$27)</f>
        <v>336.6496936144722</v>
      </c>
      <c r="J3" s="125">
        <f>IF(SER_hh_tesh_in!J3=0,0,SER_hh_tesh_in!J3/SER_summary!J$27)</f>
        <v>335.37694248661529</v>
      </c>
      <c r="K3" s="125">
        <f>IF(SER_hh_tesh_in!K3=0,0,SER_hh_tesh_in!K3/SER_summary!K$27)</f>
        <v>325.85279912426682</v>
      </c>
      <c r="L3" s="125">
        <f>IF(SER_hh_tesh_in!L3=0,0,SER_hh_tesh_in!L3/SER_summary!L$27)</f>
        <v>349.37623380244236</v>
      </c>
      <c r="M3" s="125">
        <f>IF(SER_hh_tesh_in!M3=0,0,SER_hh_tesh_in!M3/SER_summary!M$27)</f>
        <v>266.4017190101157</v>
      </c>
      <c r="N3" s="125">
        <f>IF(SER_hh_tesh_in!N3=0,0,SER_hh_tesh_in!N3/SER_summary!N$27)</f>
        <v>290.36828765693076</v>
      </c>
      <c r="O3" s="125">
        <f>IF(SER_hh_tesh_in!O3=0,0,SER_hh_tesh_in!O3/SER_summary!O$27)</f>
        <v>291.4511713775708</v>
      </c>
      <c r="P3" s="125">
        <f>IF(SER_hh_tesh_in!P3=0,0,SER_hh_tesh_in!P3/SER_summary!P$27)</f>
        <v>242.47916878267529</v>
      </c>
      <c r="Q3" s="125">
        <f>IF(SER_hh_tesh_in!Q3=0,0,SER_hh_tesh_in!Q3/SER_summary!Q$27)</f>
        <v>271.43767475788798</v>
      </c>
      <c r="R3" s="125">
        <f>IF(SER_hh_tesh_in!R3=0,0,SER_hh_tesh_in!R3/SER_summary!R$27)</f>
        <v>247.72815275173349</v>
      </c>
      <c r="S3" s="125">
        <f>IF(SER_hh_tesh_in!S3=0,0,SER_hh_tesh_in!S3/SER_summary!S$27)</f>
        <v>274.29773524375281</v>
      </c>
      <c r="T3" s="125">
        <f>IF(SER_hh_tesh_in!T3=0,0,SER_hh_tesh_in!T3/SER_summary!T$27)</f>
        <v>254.3866058753124</v>
      </c>
      <c r="U3" s="125">
        <f>IF(SER_hh_tesh_in!U3=0,0,SER_hh_tesh_in!U3/SER_summary!U$27)</f>
        <v>257.48142651499347</v>
      </c>
      <c r="V3" s="125">
        <f>IF(SER_hh_tesh_in!V3=0,0,SER_hh_tesh_in!V3/SER_summary!V$27)</f>
        <v>248.35274847794133</v>
      </c>
      <c r="W3" s="125">
        <f>IF(SER_hh_tesh_in!W3=0,0,SER_hh_tesh_in!W3/SER_summary!W$27)</f>
        <v>202.88121074812827</v>
      </c>
      <c r="X3" s="125">
        <f>IF(SER_hh_tesh_in!X3=0,0,SER_hh_tesh_in!X3/SER_summary!X$27)</f>
        <v>159.0311977567352</v>
      </c>
      <c r="Y3" s="125">
        <f>IF(SER_hh_tesh_in!Y3=0,0,SER_hh_tesh_in!Y3/SER_summary!Y$27)</f>
        <v>152.72746440361908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232.7390988828883</v>
      </c>
      <c r="D4" s="130">
        <f>IF(SER_hh_tesh_in!D4=0,0,SER_hh_tesh_in!D4/SER_summary!D$27)</f>
        <v>199.14709676476124</v>
      </c>
      <c r="E4" s="130">
        <f>IF(SER_hh_tesh_in!E4=0,0,SER_hh_tesh_in!E4/SER_summary!E$27)</f>
        <v>297.18461741127271</v>
      </c>
      <c r="F4" s="130">
        <f>IF(SER_hh_tesh_in!F4=0,0,SER_hh_tesh_in!F4/SER_summary!F$27)</f>
        <v>242.88098972886252</v>
      </c>
      <c r="G4" s="130">
        <f>IF(SER_hh_tesh_in!G4=0,0,SER_hh_tesh_in!G4/SER_summary!G$27)</f>
        <v>220.10077851808435</v>
      </c>
      <c r="H4" s="130">
        <f>IF(SER_hh_tesh_in!H4=0,0,SER_hh_tesh_in!H4/SER_summary!H$27)</f>
        <v>218.60496225935736</v>
      </c>
      <c r="I4" s="130">
        <f>IF(SER_hh_tesh_in!I4=0,0,SER_hh_tesh_in!I4/SER_summary!I$27)</f>
        <v>229.4734303710992</v>
      </c>
      <c r="J4" s="130">
        <f>IF(SER_hh_tesh_in!J4=0,0,SER_hh_tesh_in!J4/SER_summary!J$27)</f>
        <v>227.60026628141907</v>
      </c>
      <c r="K4" s="130">
        <f>IF(SER_hh_tesh_in!K4=0,0,SER_hh_tesh_in!K4/SER_summary!K$27)</f>
        <v>205.49698862013528</v>
      </c>
      <c r="L4" s="130">
        <f>IF(SER_hh_tesh_in!L4=0,0,SER_hh_tesh_in!L4/SER_summary!L$27)</f>
        <v>235.98052976885174</v>
      </c>
      <c r="M4" s="130">
        <f>IF(SER_hh_tesh_in!M4=0,0,SER_hh_tesh_in!M4/SER_summary!M$27)</f>
        <v>161.07931364306035</v>
      </c>
      <c r="N4" s="130">
        <f>IF(SER_hh_tesh_in!N4=0,0,SER_hh_tesh_in!N4/SER_summary!N$27)</f>
        <v>183.62225036465608</v>
      </c>
      <c r="O4" s="130">
        <f>IF(SER_hh_tesh_in!O4=0,0,SER_hh_tesh_in!O4/SER_summary!O$27)</f>
        <v>184.95530437211102</v>
      </c>
      <c r="P4" s="130">
        <f>IF(SER_hh_tesh_in!P4=0,0,SER_hh_tesh_in!P4/SER_summary!P$27)</f>
        <v>136.33754881251534</v>
      </c>
      <c r="Q4" s="130">
        <f>IF(SER_hh_tesh_in!Q4=0,0,SER_hh_tesh_in!Q4/SER_summary!Q$27)</f>
        <v>162.2050499464348</v>
      </c>
      <c r="R4" s="130">
        <f>IF(SER_hh_tesh_in!R4=0,0,SER_hh_tesh_in!R4/SER_summary!R$27)</f>
        <v>144.50382493358032</v>
      </c>
      <c r="S4" s="130">
        <f>IF(SER_hh_tesh_in!S4=0,0,SER_hh_tesh_in!S4/SER_summary!S$27)</f>
        <v>169.02072846499127</v>
      </c>
      <c r="T4" s="130">
        <f>IF(SER_hh_tesh_in!T4=0,0,SER_hh_tesh_in!T4/SER_summary!T$27)</f>
        <v>148.65426259519228</v>
      </c>
      <c r="U4" s="130">
        <f>IF(SER_hh_tesh_in!U4=0,0,SER_hh_tesh_in!U4/SER_summary!U$27)</f>
        <v>152.63094858568121</v>
      </c>
      <c r="V4" s="130">
        <f>IF(SER_hh_tesh_in!V4=0,0,SER_hh_tesh_in!V4/SER_summary!V$27)</f>
        <v>153.60301087967889</v>
      </c>
      <c r="W4" s="130">
        <f>IF(SER_hh_tesh_in!W4=0,0,SER_hh_tesh_in!W4/SER_summary!W$27)</f>
        <v>109.91427514142721</v>
      </c>
      <c r="X4" s="130">
        <f>IF(SER_hh_tesh_in!X4=0,0,SER_hh_tesh_in!X4/SER_summary!X$27)</f>
        <v>63.952936321196049</v>
      </c>
      <c r="Y4" s="130">
        <f>IF(SER_hh_tesh_in!Y4=0,0,SER_hh_tesh_in!Y4/SER_summary!Y$27)</f>
        <v>57.944968877259427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0</v>
      </c>
      <c r="D5" s="132">
        <f>IF(SER_hh_tesh_in!D5=0,0,SER_hh_tesh_in!D5/SER_summary!D$27)</f>
        <v>0</v>
      </c>
      <c r="E5" s="132">
        <f>IF(SER_hh_tesh_in!E5=0,0,SER_hh_tesh_in!E5/SER_summary!E$27)</f>
        <v>0</v>
      </c>
      <c r="F5" s="132">
        <f>IF(SER_hh_tesh_in!F5=0,0,SER_hh_tesh_in!F5/SER_summary!F$27)</f>
        <v>0</v>
      </c>
      <c r="G5" s="132">
        <f>IF(SER_hh_tesh_in!G5=0,0,SER_hh_tesh_in!G5/SER_summary!G$27)</f>
        <v>0</v>
      </c>
      <c r="H5" s="132">
        <f>IF(SER_hh_tesh_in!H5=0,0,SER_hh_tesh_in!H5/SER_summary!H$27)</f>
        <v>0</v>
      </c>
      <c r="I5" s="132">
        <f>IF(SER_hh_tesh_in!I5=0,0,SER_hh_tesh_in!I5/SER_summary!I$27)</f>
        <v>0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0</v>
      </c>
      <c r="N5" s="132">
        <f>IF(SER_hh_tesh_in!N5=0,0,SER_hh_tesh_in!N5/SER_summary!N$27)</f>
        <v>0</v>
      </c>
      <c r="O5" s="132">
        <f>IF(SER_hh_tesh_in!O5=0,0,SER_hh_tesh_in!O5/SER_summary!O$27)</f>
        <v>0</v>
      </c>
      <c r="P5" s="132">
        <f>IF(SER_hh_tesh_in!P5=0,0,SER_hh_tesh_in!P5/SER_summary!P$27)</f>
        <v>0</v>
      </c>
      <c r="Q5" s="132">
        <f>IF(SER_hh_tesh_in!Q5=0,0,SER_hh_tesh_in!Q5/SER_summary!Q$27)</f>
        <v>0</v>
      </c>
      <c r="R5" s="132">
        <f>IF(SER_hh_tesh_in!R5=0,0,SER_hh_tesh_in!R5/SER_summary!R$27)</f>
        <v>0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0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250.29951885704375</v>
      </c>
      <c r="D7" s="132">
        <f>IF(SER_hh_tesh_in!D7=0,0,SER_hh_tesh_in!D7/SER_summary!D$27)</f>
        <v>234.51957976311238</v>
      </c>
      <c r="E7" s="132">
        <f>IF(SER_hh_tesh_in!E7=0,0,SER_hh_tesh_in!E7/SER_summary!E$27)</f>
        <v>225.85931424657232</v>
      </c>
      <c r="F7" s="132">
        <f>IF(SER_hh_tesh_in!F7=0,0,SER_hh_tesh_in!F7/SER_summary!F$27)</f>
        <v>241.95637477567175</v>
      </c>
      <c r="G7" s="132">
        <f>IF(SER_hh_tesh_in!G7=0,0,SER_hh_tesh_in!G7/SER_summary!G$27)</f>
        <v>0</v>
      </c>
      <c r="H7" s="132">
        <f>IF(SER_hh_tesh_in!H7=0,0,SER_hh_tesh_in!H7/SER_summary!H$27)</f>
        <v>0</v>
      </c>
      <c r="I7" s="132">
        <f>IF(SER_hh_tesh_in!I7=0,0,SER_hh_tesh_in!I7/SER_summary!I$27)</f>
        <v>0</v>
      </c>
      <c r="J7" s="132">
        <f>IF(SER_hh_tesh_in!J7=0,0,SER_hh_tesh_in!J7/SER_summary!J$27)</f>
        <v>0</v>
      </c>
      <c r="K7" s="132">
        <f>IF(SER_hh_tesh_in!K7=0,0,SER_hh_tesh_in!K7/SER_summary!K$27)</f>
        <v>153.75725795706762</v>
      </c>
      <c r="L7" s="132">
        <f>IF(SER_hh_tesh_in!L7=0,0,SER_hh_tesh_in!L7/SER_summary!L$27)</f>
        <v>262.54233266780557</v>
      </c>
      <c r="M7" s="132">
        <f>IF(SER_hh_tesh_in!M7=0,0,SER_hh_tesh_in!M7/SER_summary!M$27)</f>
        <v>173.86985424858165</v>
      </c>
      <c r="N7" s="132">
        <f>IF(SER_hh_tesh_in!N7=0,0,SER_hh_tesh_in!N7/SER_summary!N$27)</f>
        <v>166.62449400042021</v>
      </c>
      <c r="O7" s="132">
        <f>IF(SER_hh_tesh_in!O7=0,0,SER_hh_tesh_in!O7/SER_summary!O$27)</f>
        <v>180.38114692527873</v>
      </c>
      <c r="P7" s="132">
        <f>IF(SER_hh_tesh_in!P7=0,0,SER_hh_tesh_in!P7/SER_summary!P$27)</f>
        <v>134.93651550347408</v>
      </c>
      <c r="Q7" s="132">
        <f>IF(SER_hh_tesh_in!Q7=0,0,SER_hh_tesh_in!Q7/SER_summary!Q$27)</f>
        <v>166.66255988012244</v>
      </c>
      <c r="R7" s="132">
        <f>IF(SER_hh_tesh_in!R7=0,0,SER_hh_tesh_in!R7/SER_summary!R$27)</f>
        <v>138.74172714067296</v>
      </c>
      <c r="S7" s="132">
        <f>IF(SER_hh_tesh_in!S7=0,0,SER_hh_tesh_in!S7/SER_summary!S$27)</f>
        <v>174.53219638475409</v>
      </c>
      <c r="T7" s="132">
        <f>IF(SER_hh_tesh_in!T7=0,0,SER_hh_tesh_in!T7/SER_summary!T$27)</f>
        <v>152.02594714250088</v>
      </c>
      <c r="U7" s="132">
        <f>IF(SER_hh_tesh_in!U7=0,0,SER_hh_tesh_in!U7/SER_summary!U$27)</f>
        <v>166.72935550129981</v>
      </c>
      <c r="V7" s="132">
        <f>IF(SER_hh_tesh_in!V7=0,0,SER_hh_tesh_in!V7/SER_summary!V$27)</f>
        <v>135.19093207340035</v>
      </c>
      <c r="W7" s="132">
        <f>IF(SER_hh_tesh_in!W7=0,0,SER_hh_tesh_in!W7/SER_summary!W$27)</f>
        <v>84.269030960685541</v>
      </c>
      <c r="X7" s="132">
        <f>IF(SER_hh_tesh_in!X7=0,0,SER_hh_tesh_in!X7/SER_summary!X$27)</f>
        <v>51.61477939666289</v>
      </c>
      <c r="Y7" s="132">
        <f>IF(SER_hh_tesh_in!Y7=0,0,SER_hh_tesh_in!Y7/SER_summary!Y$27)</f>
        <v>0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0</v>
      </c>
      <c r="D8" s="132">
        <f>IF(SER_hh_tesh_in!D8=0,0,SER_hh_tesh_in!D8/SER_summary!D$27)</f>
        <v>0</v>
      </c>
      <c r="E8" s="132">
        <f>IF(SER_hh_tesh_in!E8=0,0,SER_hh_tesh_in!E8/SER_summary!E$27)</f>
        <v>0</v>
      </c>
      <c r="F8" s="132">
        <f>IF(SER_hh_tesh_in!F8=0,0,SER_hh_tesh_in!F8/SER_summary!F$27)</f>
        <v>0</v>
      </c>
      <c r="G8" s="132">
        <f>IF(SER_hh_tesh_in!G8=0,0,SER_hh_tesh_in!G8/SER_summary!G$27)</f>
        <v>0</v>
      </c>
      <c r="H8" s="132">
        <f>IF(SER_hh_tesh_in!H8=0,0,SER_hh_tesh_in!H8/SER_summary!H$27)</f>
        <v>0</v>
      </c>
      <c r="I8" s="132">
        <f>IF(SER_hh_tesh_in!I8=0,0,SER_hh_tesh_in!I8/SER_summary!I$27)</f>
        <v>0</v>
      </c>
      <c r="J8" s="132">
        <f>IF(SER_hh_tesh_in!J8=0,0,SER_hh_tesh_in!J8/SER_summary!J$27)</f>
        <v>0</v>
      </c>
      <c r="K8" s="132">
        <f>IF(SER_hh_tesh_in!K8=0,0,SER_hh_tesh_in!K8/SER_summary!K$27)</f>
        <v>0</v>
      </c>
      <c r="L8" s="132">
        <f>IF(SER_hh_tesh_in!L8=0,0,SER_hh_tesh_in!L8/SER_summary!L$27)</f>
        <v>0</v>
      </c>
      <c r="M8" s="132">
        <f>IF(SER_hh_tesh_in!M8=0,0,SER_hh_tesh_in!M8/SER_summary!M$27)</f>
        <v>0</v>
      </c>
      <c r="N8" s="132">
        <f>IF(SER_hh_tesh_in!N8=0,0,SER_hh_tesh_in!N8/SER_summary!N$27)</f>
        <v>0</v>
      </c>
      <c r="O8" s="132">
        <f>IF(SER_hh_tesh_in!O8=0,0,SER_hh_tesh_in!O8/SER_summary!O$27)</f>
        <v>0</v>
      </c>
      <c r="P8" s="132">
        <f>IF(SER_hh_tesh_in!P8=0,0,SER_hh_tesh_in!P8/SER_summary!P$27)</f>
        <v>0</v>
      </c>
      <c r="Q8" s="132">
        <f>IF(SER_hh_tesh_in!Q8=0,0,SER_hh_tesh_in!Q8/SER_summary!Q$27)</f>
        <v>0</v>
      </c>
      <c r="R8" s="132">
        <f>IF(SER_hh_tesh_in!R8=0,0,SER_hh_tesh_in!R8/SER_summary!R$27)</f>
        <v>0</v>
      </c>
      <c r="S8" s="132">
        <f>IF(SER_hh_tesh_in!S8=0,0,SER_hh_tesh_in!S8/SER_summary!S$27)</f>
        <v>0</v>
      </c>
      <c r="T8" s="132">
        <f>IF(SER_hh_tesh_in!T8=0,0,SER_hh_tesh_in!T8/SER_summary!T$27)</f>
        <v>0</v>
      </c>
      <c r="U8" s="132">
        <f>IF(SER_hh_tesh_in!U8=0,0,SER_hh_tesh_in!U8/SER_summary!U$27)</f>
        <v>0</v>
      </c>
      <c r="V8" s="132">
        <f>IF(SER_hh_tesh_in!V8=0,0,SER_hh_tesh_in!V8/SER_summary!V$27)</f>
        <v>0</v>
      </c>
      <c r="W8" s="132">
        <f>IF(SER_hh_tesh_in!W8=0,0,SER_hh_tesh_in!W8/SER_summary!W$27)</f>
        <v>0</v>
      </c>
      <c r="X8" s="132">
        <f>IF(SER_hh_tesh_in!X8=0,0,SER_hh_tesh_in!X8/SER_summary!X$27)</f>
        <v>0</v>
      </c>
      <c r="Y8" s="132">
        <f>IF(SER_hh_tesh_in!Y8=0,0,SER_hh_tesh_in!Y8/SER_summary!Y$27)</f>
        <v>0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197.52837171399531</v>
      </c>
      <c r="D9" s="132">
        <f>IF(SER_hh_tesh_in!D9=0,0,SER_hh_tesh_in!D9/SER_summary!D$27)</f>
        <v>222.40632948320845</v>
      </c>
      <c r="E9" s="132">
        <f>IF(SER_hh_tesh_in!E9=0,0,SER_hh_tesh_in!E9/SER_summary!E$27)</f>
        <v>0</v>
      </c>
      <c r="F9" s="132">
        <f>IF(SER_hh_tesh_in!F9=0,0,SER_hh_tesh_in!F9/SER_summary!F$27)</f>
        <v>233.02571559591229</v>
      </c>
      <c r="G9" s="132">
        <f>IF(SER_hh_tesh_in!G9=0,0,SER_hh_tesh_in!G9/SER_summary!G$27)</f>
        <v>196.35621151395912</v>
      </c>
      <c r="H9" s="132">
        <f>IF(SER_hh_tesh_in!H9=0,0,SER_hh_tesh_in!H9/SER_summary!H$27)</f>
        <v>237.03347526286979</v>
      </c>
      <c r="I9" s="132">
        <f>IF(SER_hh_tesh_in!I9=0,0,SER_hh_tesh_in!I9/SER_summary!I$27)</f>
        <v>186.75993544042427</v>
      </c>
      <c r="J9" s="132">
        <f>IF(SER_hh_tesh_in!J9=0,0,SER_hh_tesh_in!J9/SER_summary!J$27)</f>
        <v>223.13831022114778</v>
      </c>
      <c r="K9" s="132">
        <f>IF(SER_hh_tesh_in!K9=0,0,SER_hh_tesh_in!K9/SER_summary!K$27)</f>
        <v>226.41315737718733</v>
      </c>
      <c r="L9" s="132">
        <f>IF(SER_hh_tesh_in!L9=0,0,SER_hh_tesh_in!L9/SER_summary!L$27)</f>
        <v>263.93701513768849</v>
      </c>
      <c r="M9" s="132">
        <f>IF(SER_hh_tesh_in!M9=0,0,SER_hh_tesh_in!M9/SER_summary!M$27)</f>
        <v>106.71647603437641</v>
      </c>
      <c r="N9" s="132">
        <f>IF(SER_hh_tesh_in!N9=0,0,SER_hh_tesh_in!N9/SER_summary!N$27)</f>
        <v>191.14221978203366</v>
      </c>
      <c r="O9" s="132">
        <f>IF(SER_hh_tesh_in!O9=0,0,SER_hh_tesh_in!O9/SER_summary!O$27)</f>
        <v>181.25204350128786</v>
      </c>
      <c r="P9" s="132">
        <f>IF(SER_hh_tesh_in!P9=0,0,SER_hh_tesh_in!P9/SER_summary!P$27)</f>
        <v>135.98633606885426</v>
      </c>
      <c r="Q9" s="132">
        <f>IF(SER_hh_tesh_in!Q9=0,0,SER_hh_tesh_in!Q9/SER_summary!Q$27)</f>
        <v>152.79724080345483</v>
      </c>
      <c r="R9" s="132">
        <f>IF(SER_hh_tesh_in!R9=0,0,SER_hh_tesh_in!R9/SER_summary!R$27)</f>
        <v>172.03562225560677</v>
      </c>
      <c r="S9" s="132">
        <f>IF(SER_hh_tesh_in!S9=0,0,SER_hh_tesh_in!S9/SER_summary!S$27)</f>
        <v>0</v>
      </c>
      <c r="T9" s="132">
        <f>IF(SER_hh_tesh_in!T9=0,0,SER_hh_tesh_in!T9/SER_summary!T$27)</f>
        <v>0</v>
      </c>
      <c r="U9" s="132">
        <f>IF(SER_hh_tesh_in!U9=0,0,SER_hh_tesh_in!U9/SER_summary!U$27)</f>
        <v>159.50436783997424</v>
      </c>
      <c r="V9" s="132">
        <f>IF(SER_hh_tesh_in!V9=0,0,SER_hh_tesh_in!V9/SER_summary!V$27)</f>
        <v>108.80897012404121</v>
      </c>
      <c r="W9" s="132">
        <f>IF(SER_hh_tesh_in!W9=0,0,SER_hh_tesh_in!W9/SER_summary!W$27)</f>
        <v>124.88534653991405</v>
      </c>
      <c r="X9" s="132">
        <f>IF(SER_hh_tesh_in!X9=0,0,SER_hh_tesh_in!X9/SER_summary!X$27)</f>
        <v>64.464436746569888</v>
      </c>
      <c r="Y9" s="132">
        <f>IF(SER_hh_tesh_in!Y9=0,0,SER_hh_tesh_in!Y9/SER_summary!Y$27)</f>
        <v>57.197158690994968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229.77999665947254</v>
      </c>
      <c r="D10" s="132">
        <f>IF(SER_hh_tesh_in!D10=0,0,SER_hh_tesh_in!D10/SER_summary!D$27)</f>
        <v>308.39264453868668</v>
      </c>
      <c r="E10" s="132">
        <f>IF(SER_hh_tesh_in!E10=0,0,SER_hh_tesh_in!E10/SER_summary!E$27)</f>
        <v>0</v>
      </c>
      <c r="F10" s="132">
        <f>IF(SER_hh_tesh_in!F10=0,0,SER_hh_tesh_in!F10/SER_summary!F$27)</f>
        <v>0</v>
      </c>
      <c r="G10" s="132">
        <f>IF(SER_hh_tesh_in!G10=0,0,SER_hh_tesh_in!G10/SER_summary!G$27)</f>
        <v>0</v>
      </c>
      <c r="H10" s="132">
        <f>IF(SER_hh_tesh_in!H10=0,0,SER_hh_tesh_in!H10/SER_summary!H$27)</f>
        <v>0</v>
      </c>
      <c r="I10" s="132">
        <f>IF(SER_hh_tesh_in!I10=0,0,SER_hh_tesh_in!I10/SER_summary!I$27)</f>
        <v>114.45355802792835</v>
      </c>
      <c r="J10" s="132">
        <f>IF(SER_hh_tesh_in!J10=0,0,SER_hh_tesh_in!J10/SER_summary!J$27)</f>
        <v>204.47144377869154</v>
      </c>
      <c r="K10" s="132">
        <f>IF(SER_hh_tesh_in!K10=0,0,SER_hh_tesh_in!K10/SER_summary!K$27)</f>
        <v>302.46500456526178</v>
      </c>
      <c r="L10" s="132">
        <f>IF(SER_hh_tesh_in!L10=0,0,SER_hh_tesh_in!L10/SER_summary!L$27)</f>
        <v>213.08662260394934</v>
      </c>
      <c r="M10" s="132">
        <f>IF(SER_hh_tesh_in!M10=0,0,SER_hh_tesh_in!M10/SER_summary!M$27)</f>
        <v>82.710210247349607</v>
      </c>
      <c r="N10" s="132">
        <f>IF(SER_hh_tesh_in!N10=0,0,SER_hh_tesh_in!N10/SER_summary!N$27)</f>
        <v>145.35525285227453</v>
      </c>
      <c r="O10" s="132">
        <f>IF(SER_hh_tesh_in!O10=0,0,SER_hh_tesh_in!O10/SER_summary!O$27)</f>
        <v>200.60181796862449</v>
      </c>
      <c r="P10" s="132">
        <f>IF(SER_hh_tesh_in!P10=0,0,SER_hh_tesh_in!P10/SER_summary!P$27)</f>
        <v>247.58560075653799</v>
      </c>
      <c r="Q10" s="132">
        <f>IF(SER_hh_tesh_in!Q10=0,0,SER_hh_tesh_in!Q10/SER_summary!Q$27)</f>
        <v>97.542844655311086</v>
      </c>
      <c r="R10" s="132">
        <f>IF(SER_hh_tesh_in!R10=0,0,SER_hh_tesh_in!R10/SER_summary!R$27)</f>
        <v>0</v>
      </c>
      <c r="S10" s="132">
        <f>IF(SER_hh_tesh_in!S10=0,0,SER_hh_tesh_in!S10/SER_summary!S$27)</f>
        <v>0</v>
      </c>
      <c r="T10" s="132">
        <f>IF(SER_hh_tesh_in!T10=0,0,SER_hh_tesh_in!T10/SER_summary!T$27)</f>
        <v>0</v>
      </c>
      <c r="U10" s="132">
        <f>IF(SER_hh_tesh_in!U10=0,0,SER_hh_tesh_in!U10/SER_summary!U$27)</f>
        <v>0</v>
      </c>
      <c r="V10" s="132">
        <f>IF(SER_hh_tesh_in!V10=0,0,SER_hh_tesh_in!V10/SER_summary!V$27)</f>
        <v>78.372129239743188</v>
      </c>
      <c r="W10" s="132">
        <f>IF(SER_hh_tesh_in!W10=0,0,SER_hh_tesh_in!W10/SER_summary!W$27)</f>
        <v>119.73105866509611</v>
      </c>
      <c r="X10" s="132">
        <f>IF(SER_hh_tesh_in!X10=0,0,SER_hh_tesh_in!X10/SER_summary!X$27)</f>
        <v>56.222451590079388</v>
      </c>
      <c r="Y10" s="132">
        <f>IF(SER_hh_tesh_in!Y10=0,0,SER_hh_tesh_in!Y10/SER_summary!Y$27)</f>
        <v>62.649129145977405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0</v>
      </c>
      <c r="J11" s="132">
        <f>IF(SER_hh_tesh_in!J11=0,0,SER_hh_tesh_in!J11/SER_summary!J$27)</f>
        <v>0</v>
      </c>
      <c r="K11" s="132">
        <f>IF(SER_hh_tesh_in!K11=0,0,SER_hh_tesh_in!K11/SER_summary!K$27)</f>
        <v>0</v>
      </c>
      <c r="L11" s="132">
        <f>IF(SER_hh_tesh_in!L11=0,0,SER_hh_tesh_in!L11/SER_summary!L$27)</f>
        <v>0</v>
      </c>
      <c r="M11" s="132">
        <f>IF(SER_hh_tesh_in!M11=0,0,SER_hh_tesh_in!M11/SER_summary!M$27)</f>
        <v>0</v>
      </c>
      <c r="N11" s="132">
        <f>IF(SER_hh_tesh_in!N11=0,0,SER_hh_tesh_in!N11/SER_summary!N$27)</f>
        <v>0</v>
      </c>
      <c r="O11" s="132">
        <f>IF(SER_hh_tesh_in!O11=0,0,SER_hh_tesh_in!O11/SER_summary!O$27)</f>
        <v>0</v>
      </c>
      <c r="P11" s="132">
        <f>IF(SER_hh_tesh_in!P11=0,0,SER_hh_tesh_in!P11/SER_summary!P$27)</f>
        <v>0</v>
      </c>
      <c r="Q11" s="132">
        <f>IF(SER_hh_tesh_in!Q11=0,0,SER_hh_tesh_in!Q11/SER_summary!Q$27)</f>
        <v>0</v>
      </c>
      <c r="R11" s="132">
        <f>IF(SER_hh_tesh_in!R11=0,0,SER_hh_tesh_in!R11/SER_summary!R$27)</f>
        <v>0</v>
      </c>
      <c r="S11" s="132">
        <f>IF(SER_hh_tesh_in!S11=0,0,SER_hh_tesh_in!S11/SER_summary!S$27)</f>
        <v>0</v>
      </c>
      <c r="T11" s="132">
        <f>IF(SER_hh_tesh_in!T11=0,0,SER_hh_tesh_in!T11/SER_summary!T$27)</f>
        <v>0</v>
      </c>
      <c r="U11" s="132">
        <f>IF(SER_hh_tesh_in!U11=0,0,SER_hh_tesh_in!U11/SER_summary!U$27)</f>
        <v>0</v>
      </c>
      <c r="V11" s="132">
        <f>IF(SER_hh_tesh_in!V11=0,0,SER_hh_tesh_in!V11/SER_summary!V$27)</f>
        <v>0</v>
      </c>
      <c r="W11" s="132">
        <f>IF(SER_hh_tesh_in!W11=0,0,SER_hh_tesh_in!W11/SER_summary!W$27)</f>
        <v>0</v>
      </c>
      <c r="X11" s="132">
        <f>IF(SER_hh_tesh_in!X11=0,0,SER_hh_tesh_in!X11/SER_summary!X$27)</f>
        <v>0</v>
      </c>
      <c r="Y11" s="132">
        <f>IF(SER_hh_tesh_in!Y11=0,0,SER_hh_tesh_in!Y11/SER_summary!Y$27)</f>
        <v>0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204.17400953272923</v>
      </c>
      <c r="D12" s="132">
        <f>IF(SER_hh_tesh_in!D12=0,0,SER_hh_tesh_in!D12/SER_summary!D$27)</f>
        <v>186.07029822485438</v>
      </c>
      <c r="E12" s="132">
        <f>IF(SER_hh_tesh_in!E12=0,0,SER_hh_tesh_in!E12/SER_summary!E$27)</f>
        <v>295.98496720637894</v>
      </c>
      <c r="F12" s="132">
        <f>IF(SER_hh_tesh_in!F12=0,0,SER_hh_tesh_in!F12/SER_summary!F$27)</f>
        <v>248.94494668131296</v>
      </c>
      <c r="G12" s="132">
        <f>IF(SER_hh_tesh_in!G12=0,0,SER_hh_tesh_in!G12/SER_summary!G$27)</f>
        <v>233.34428500781686</v>
      </c>
      <c r="H12" s="132">
        <f>IF(SER_hh_tesh_in!H12=0,0,SER_hh_tesh_in!H12/SER_summary!H$27)</f>
        <v>234.81416077171298</v>
      </c>
      <c r="I12" s="132">
        <f>IF(SER_hh_tesh_in!I12=0,0,SER_hh_tesh_in!I12/SER_summary!I$27)</f>
        <v>0</v>
      </c>
      <c r="J12" s="132">
        <f>IF(SER_hh_tesh_in!J12=0,0,SER_hh_tesh_in!J12/SER_summary!J$27)</f>
        <v>0</v>
      </c>
      <c r="K12" s="132">
        <f>IF(SER_hh_tesh_in!K12=0,0,SER_hh_tesh_in!K12/SER_summary!K$27)</f>
        <v>185.21704112916493</v>
      </c>
      <c r="L12" s="132">
        <f>IF(SER_hh_tesh_in!L12=0,0,SER_hh_tesh_in!L12/SER_summary!L$27)</f>
        <v>208.83626750588618</v>
      </c>
      <c r="M12" s="132">
        <f>IF(SER_hh_tesh_in!M12=0,0,SER_hh_tesh_in!M12/SER_summary!M$27)</f>
        <v>213.68192675247025</v>
      </c>
      <c r="N12" s="132">
        <f>IF(SER_hh_tesh_in!N12=0,0,SER_hh_tesh_in!N12/SER_summary!N$27)</f>
        <v>186.95816038804202</v>
      </c>
      <c r="O12" s="132">
        <f>IF(SER_hh_tesh_in!O12=0,0,SER_hh_tesh_in!O12/SER_summary!O$27)</f>
        <v>196.61991967143956</v>
      </c>
      <c r="P12" s="132">
        <f>IF(SER_hh_tesh_in!P12=0,0,SER_hh_tesh_in!P12/SER_summary!P$27)</f>
        <v>127.84881073399262</v>
      </c>
      <c r="Q12" s="132">
        <f>IF(SER_hh_tesh_in!Q12=0,0,SER_hh_tesh_in!Q12/SER_summary!Q$27)</f>
        <v>152.34233414637237</v>
      </c>
      <c r="R12" s="132">
        <f>IF(SER_hh_tesh_in!R12=0,0,SER_hh_tesh_in!R12/SER_summary!R$27)</f>
        <v>146.73682647200451</v>
      </c>
      <c r="S12" s="132">
        <f>IF(SER_hh_tesh_in!S12=0,0,SER_hh_tesh_in!S12/SER_summary!S$27)</f>
        <v>152.07601113692277</v>
      </c>
      <c r="T12" s="132">
        <f>IF(SER_hh_tesh_in!T12=0,0,SER_hh_tesh_in!T12/SER_summary!T$27)</f>
        <v>146.1632392128692</v>
      </c>
      <c r="U12" s="132">
        <f>IF(SER_hh_tesh_in!U12=0,0,SER_hh_tesh_in!U12/SER_summary!U$27)</f>
        <v>147.98009072921676</v>
      </c>
      <c r="V12" s="132">
        <f>IF(SER_hh_tesh_in!V12=0,0,SER_hh_tesh_in!V12/SER_summary!V$27)</f>
        <v>156.44152453780654</v>
      </c>
      <c r="W12" s="132">
        <f>IF(SER_hh_tesh_in!W12=0,0,SER_hh_tesh_in!W12/SER_summary!W$27)</f>
        <v>106.68433057683417</v>
      </c>
      <c r="X12" s="132">
        <f>IF(SER_hh_tesh_in!X12=0,0,SER_hh_tesh_in!X12/SER_summary!X$27)</f>
        <v>63.789775809969434</v>
      </c>
      <c r="Y12" s="132">
        <f>IF(SER_hh_tesh_in!Y12=0,0,SER_hh_tesh_in!Y12/SER_summary!Y$27)</f>
        <v>57.229711585939505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0</v>
      </c>
      <c r="D13" s="132">
        <f>IF(SER_hh_tesh_in!D13=0,0,SER_hh_tesh_in!D13/SER_summary!D$27)</f>
        <v>0</v>
      </c>
      <c r="E13" s="132">
        <f>IF(SER_hh_tesh_in!E13=0,0,SER_hh_tesh_in!E13/SER_summary!E$27)</f>
        <v>0</v>
      </c>
      <c r="F13" s="132">
        <f>IF(SER_hh_tesh_in!F13=0,0,SER_hh_tesh_in!F13/SER_summary!F$27)</f>
        <v>0</v>
      </c>
      <c r="G13" s="132">
        <f>IF(SER_hh_tesh_in!G13=0,0,SER_hh_tesh_in!G13/SER_summary!G$27)</f>
        <v>0</v>
      </c>
      <c r="H13" s="132">
        <f>IF(SER_hh_tesh_in!H13=0,0,SER_hh_tesh_in!H13/SER_summary!H$27)</f>
        <v>0</v>
      </c>
      <c r="I13" s="132">
        <f>IF(SER_hh_tesh_in!I13=0,0,SER_hh_tesh_in!I13/SER_summary!I$27)</f>
        <v>0</v>
      </c>
      <c r="J13" s="132">
        <f>IF(SER_hh_tesh_in!J13=0,0,SER_hh_tesh_in!J13/SER_summary!J$27)</f>
        <v>0</v>
      </c>
      <c r="K13" s="132">
        <f>IF(SER_hh_tesh_in!K13=0,0,SER_hh_tesh_in!K13/SER_summary!K$27)</f>
        <v>0</v>
      </c>
      <c r="L13" s="132">
        <f>IF(SER_hh_tesh_in!L13=0,0,SER_hh_tesh_in!L13/SER_summary!L$27)</f>
        <v>0</v>
      </c>
      <c r="M13" s="132">
        <f>IF(SER_hh_tesh_in!M13=0,0,SER_hh_tesh_in!M13/SER_summary!M$27)</f>
        <v>0</v>
      </c>
      <c r="N13" s="132">
        <f>IF(SER_hh_tesh_in!N13=0,0,SER_hh_tesh_in!N13/SER_summary!N$27)</f>
        <v>0</v>
      </c>
      <c r="O13" s="132">
        <f>IF(SER_hh_tesh_in!O13=0,0,SER_hh_tesh_in!O13/SER_summary!O$27)</f>
        <v>0</v>
      </c>
      <c r="P13" s="132">
        <f>IF(SER_hh_tesh_in!P13=0,0,SER_hh_tesh_in!P13/SER_summary!P$27)</f>
        <v>0</v>
      </c>
      <c r="Q13" s="132">
        <f>IF(SER_hh_tesh_in!Q13=0,0,SER_hh_tesh_in!Q13/SER_summary!Q$27)</f>
        <v>0</v>
      </c>
      <c r="R13" s="132">
        <f>IF(SER_hh_tesh_in!R13=0,0,SER_hh_tesh_in!R13/SER_summary!R$27)</f>
        <v>0</v>
      </c>
      <c r="S13" s="132">
        <f>IF(SER_hh_tesh_in!S13=0,0,SER_hh_tesh_in!S13/SER_summary!S$27)</f>
        <v>0</v>
      </c>
      <c r="T13" s="132">
        <f>IF(SER_hh_tesh_in!T13=0,0,SER_hh_tesh_in!T13/SER_summary!T$27)</f>
        <v>0</v>
      </c>
      <c r="U13" s="132">
        <f>IF(SER_hh_tesh_in!U13=0,0,SER_hh_tesh_in!U13/SER_summary!U$27)</f>
        <v>0</v>
      </c>
      <c r="V13" s="132">
        <f>IF(SER_hh_tesh_in!V13=0,0,SER_hh_tesh_in!V13/SER_summary!V$27)</f>
        <v>0</v>
      </c>
      <c r="W13" s="132">
        <f>IF(SER_hh_tesh_in!W13=0,0,SER_hh_tesh_in!W13/SER_summary!W$27)</f>
        <v>0</v>
      </c>
      <c r="X13" s="132">
        <f>IF(SER_hh_tesh_in!X13=0,0,SER_hh_tesh_in!X13/SER_summary!X$27)</f>
        <v>0</v>
      </c>
      <c r="Y13" s="132">
        <f>IF(SER_hh_tesh_in!Y13=0,0,SER_hh_tesh_in!Y13/SER_summary!Y$27)</f>
        <v>0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297.03739198956765</v>
      </c>
      <c r="D14" s="65">
        <f>IF(SER_hh_tesh_in!D14=0,0,SER_hh_tesh_in!D14/SER_summary!D$27)</f>
        <v>0</v>
      </c>
      <c r="E14" s="65">
        <f>IF(SER_hh_tesh_in!E14=0,0,SER_hh_tesh_in!E14/SER_summary!E$27)</f>
        <v>0</v>
      </c>
      <c r="F14" s="65">
        <f>IF(SER_hh_tesh_in!F14=0,0,SER_hh_tesh_in!F14/SER_summary!F$27)</f>
        <v>198.46969104611108</v>
      </c>
      <c r="G14" s="65">
        <f>IF(SER_hh_tesh_in!G14=0,0,SER_hh_tesh_in!G14/SER_summary!G$27)</f>
        <v>227.25480814837246</v>
      </c>
      <c r="H14" s="65">
        <f>IF(SER_hh_tesh_in!H14=0,0,SER_hh_tesh_in!H14/SER_summary!H$27)</f>
        <v>199.04109364071604</v>
      </c>
      <c r="I14" s="65">
        <f>IF(SER_hh_tesh_in!I14=0,0,SER_hh_tesh_in!I14/SER_summary!I$27)</f>
        <v>261.09418581499528</v>
      </c>
      <c r="J14" s="65">
        <f>IF(SER_hh_tesh_in!J14=0,0,SER_hh_tesh_in!J14/SER_summary!J$27)</f>
        <v>228.38809143418666</v>
      </c>
      <c r="K14" s="65">
        <f>IF(SER_hh_tesh_in!K14=0,0,SER_hh_tesh_in!K14/SER_summary!K$27)</f>
        <v>204.49397475552755</v>
      </c>
      <c r="L14" s="65">
        <f>IF(SER_hh_tesh_in!L14=0,0,SER_hh_tesh_in!L14/SER_summary!L$27)</f>
        <v>209.09318403888099</v>
      </c>
      <c r="M14" s="65">
        <f>IF(SER_hh_tesh_in!M14=0,0,SER_hh_tesh_in!M14/SER_summary!M$27)</f>
        <v>175.63529530215735</v>
      </c>
      <c r="N14" s="65">
        <f>IF(SER_hh_tesh_in!N14=0,0,SER_hh_tesh_in!N14/SER_summary!N$27)</f>
        <v>182.58055074254122</v>
      </c>
      <c r="O14" s="65">
        <f>IF(SER_hh_tesh_in!O14=0,0,SER_hh_tesh_in!O14/SER_summary!O$27)</f>
        <v>182.45366724211195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106.31547757387699</v>
      </c>
      <c r="S14" s="65">
        <f>IF(SER_hh_tesh_in!S14=0,0,SER_hh_tesh_in!S14/SER_summary!S$27)</f>
        <v>185.41580804891416</v>
      </c>
      <c r="T14" s="65">
        <f>IF(SER_hh_tesh_in!T14=0,0,SER_hh_tesh_in!T14/SER_summary!T$27)</f>
        <v>149.09766366734084</v>
      </c>
      <c r="U14" s="65">
        <f>IF(SER_hh_tesh_in!U14=0,0,SER_hh_tesh_in!U14/SER_summary!U$27)</f>
        <v>158.491274101203</v>
      </c>
      <c r="V14" s="65">
        <f>IF(SER_hh_tesh_in!V14=0,0,SER_hh_tesh_in!V14/SER_summary!V$27)</f>
        <v>128.85248875081822</v>
      </c>
      <c r="W14" s="65">
        <f>IF(SER_hh_tesh_in!W14=0,0,SER_hh_tesh_in!W14/SER_summary!W$27)</f>
        <v>115.34157604073424</v>
      </c>
      <c r="X14" s="65">
        <f>IF(SER_hh_tesh_in!X14=0,0,SER_hh_tesh_in!X14/SER_summary!X$27)</f>
        <v>0</v>
      </c>
      <c r="Y14" s="65">
        <f>IF(SER_hh_tesh_in!Y14=0,0,SER_hh_tesh_in!Y14/SER_summary!Y$27)</f>
        <v>58.767426146297495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2.8662964453644442</v>
      </c>
      <c r="D15" s="134">
        <f>IF(SER_hh_tesh_in!D15=0,0,SER_hh_tesh_in!D15/SER_summary!D$27)</f>
        <v>1.8393259678101392</v>
      </c>
      <c r="E15" s="134">
        <f>IF(SER_hh_tesh_in!E15=0,0,SER_hh_tesh_in!E15/SER_summary!E$27)</f>
        <v>1.4019491362955876</v>
      </c>
      <c r="F15" s="134">
        <f>IF(SER_hh_tesh_in!F15=0,0,SER_hh_tesh_in!F15/SER_summary!F$27)</f>
        <v>1.6705092067736731</v>
      </c>
      <c r="G15" s="134">
        <f>IF(SER_hh_tesh_in!G15=0,0,SER_hh_tesh_in!G15/SER_summary!G$27)</f>
        <v>2.5303608853812896</v>
      </c>
      <c r="H15" s="134">
        <f>IF(SER_hh_tesh_in!H15=0,0,SER_hh_tesh_in!H15/SER_summary!H$27)</f>
        <v>4.1311757418100052</v>
      </c>
      <c r="I15" s="134">
        <f>IF(SER_hh_tesh_in!I15=0,0,SER_hh_tesh_in!I15/SER_summary!I$27)</f>
        <v>3.2903989904251536</v>
      </c>
      <c r="J15" s="134">
        <f>IF(SER_hh_tesh_in!J15=0,0,SER_hh_tesh_in!J15/SER_summary!J$27)</f>
        <v>3.8729688929045967</v>
      </c>
      <c r="K15" s="134">
        <f>IF(SER_hh_tesh_in!K15=0,0,SER_hh_tesh_in!K15/SER_summary!K$27)</f>
        <v>3.2447577584198535</v>
      </c>
      <c r="L15" s="134">
        <f>IF(SER_hh_tesh_in!L15=0,0,SER_hh_tesh_in!L15/SER_summary!L$27)</f>
        <v>3.0910098816993119</v>
      </c>
      <c r="M15" s="134">
        <f>IF(SER_hh_tesh_in!M15=0,0,SER_hh_tesh_in!M15/SER_summary!M$27)</f>
        <v>2.0141055286166054</v>
      </c>
      <c r="N15" s="134">
        <f>IF(SER_hh_tesh_in!N15=0,0,SER_hh_tesh_in!N15/SER_summary!N$27)</f>
        <v>2.4718170545464662</v>
      </c>
      <c r="O15" s="134">
        <f>IF(SER_hh_tesh_in!O15=0,0,SER_hh_tesh_in!O15/SER_summary!O$27)</f>
        <v>2.7033787107005565</v>
      </c>
      <c r="P15" s="134">
        <f>IF(SER_hh_tesh_in!P15=0,0,SER_hh_tesh_in!P15/SER_summary!P$27)</f>
        <v>1.9250434064158501</v>
      </c>
      <c r="Q15" s="134">
        <f>IF(SER_hh_tesh_in!Q15=0,0,SER_hh_tesh_in!Q15/SER_summary!Q$27)</f>
        <v>2.0903450119373304</v>
      </c>
      <c r="R15" s="134">
        <f>IF(SER_hh_tesh_in!R15=0,0,SER_hh_tesh_in!R15/SER_summary!R$27)</f>
        <v>1.6060019784482549</v>
      </c>
      <c r="S15" s="134">
        <f>IF(SER_hh_tesh_in!S15=0,0,SER_hh_tesh_in!S15/SER_summary!S$27)</f>
        <v>1.7023738653614364</v>
      </c>
      <c r="T15" s="134">
        <f>IF(SER_hh_tesh_in!T15=0,0,SER_hh_tesh_in!T15/SER_summary!T$27)</f>
        <v>1.0147555827422001</v>
      </c>
      <c r="U15" s="134">
        <f>IF(SER_hh_tesh_in!U15=0,0,SER_hh_tesh_in!U15/SER_summary!U$27)</f>
        <v>0.86350555337441637</v>
      </c>
      <c r="V15" s="134">
        <f>IF(SER_hh_tesh_in!V15=0,0,SER_hh_tesh_in!V15/SER_summary!V$27)</f>
        <v>0.77949936896586336</v>
      </c>
      <c r="W15" s="134">
        <f>IF(SER_hh_tesh_in!W15=0,0,SER_hh_tesh_in!W15/SER_summary!W$27)</f>
        <v>0.97666529832307358</v>
      </c>
      <c r="X15" s="134">
        <f>IF(SER_hh_tesh_in!X15=0,0,SER_hh_tesh_in!X15/SER_summary!X$27)</f>
        <v>0.60277588055111386</v>
      </c>
      <c r="Y15" s="134">
        <f>IF(SER_hh_tesh_in!Y15=0,0,SER_hh_tesh_in!Y15/SER_summary!Y$27)</f>
        <v>0.65266306347355652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38.761645213238189</v>
      </c>
      <c r="D16" s="130">
        <f>IF(SER_hh_tesh_in!D16=0,0,SER_hh_tesh_in!D16/SER_summary!D$27)</f>
        <v>39.036020204048405</v>
      </c>
      <c r="E16" s="130">
        <f>IF(SER_hh_tesh_in!E16=0,0,SER_hh_tesh_in!E16/SER_summary!E$27)</f>
        <v>49.547536544419962</v>
      </c>
      <c r="F16" s="130">
        <f>IF(SER_hh_tesh_in!F16=0,0,SER_hh_tesh_in!F16/SER_summary!F$27)</f>
        <v>37.490551712032527</v>
      </c>
      <c r="G16" s="130">
        <f>IF(SER_hh_tesh_in!G16=0,0,SER_hh_tesh_in!G16/SER_summary!G$27)</f>
        <v>38.257818954779353</v>
      </c>
      <c r="H16" s="130">
        <f>IF(SER_hh_tesh_in!H16=0,0,SER_hh_tesh_in!H16/SER_summary!H$27)</f>
        <v>44.434302456354956</v>
      </c>
      <c r="I16" s="130">
        <f>IF(SER_hh_tesh_in!I16=0,0,SER_hh_tesh_in!I16/SER_summary!I$27)</f>
        <v>36.43981071690088</v>
      </c>
      <c r="J16" s="130">
        <f>IF(SER_hh_tesh_in!J16=0,0,SER_hh_tesh_in!J16/SER_summary!J$27)</f>
        <v>35.773275377402825</v>
      </c>
      <c r="K16" s="130">
        <f>IF(SER_hh_tesh_in!K16=0,0,SER_hh_tesh_in!K16/SER_summary!K$27)</f>
        <v>35.455120124669527</v>
      </c>
      <c r="L16" s="130">
        <f>IF(SER_hh_tesh_in!L16=0,0,SER_hh_tesh_in!L16/SER_summary!L$27)</f>
        <v>37.179449309295258</v>
      </c>
      <c r="M16" s="130">
        <f>IF(SER_hh_tesh_in!M16=0,0,SER_hh_tesh_in!M16/SER_summary!M$27)</f>
        <v>34.13371138896558</v>
      </c>
      <c r="N16" s="130">
        <f>IF(SER_hh_tesh_in!N16=0,0,SER_hh_tesh_in!N16/SER_summary!N$27)</f>
        <v>34.329629019074964</v>
      </c>
      <c r="O16" s="130">
        <f>IF(SER_hh_tesh_in!O16=0,0,SER_hh_tesh_in!O16/SER_summary!O$27)</f>
        <v>34.162583689448972</v>
      </c>
      <c r="P16" s="130">
        <f>IF(SER_hh_tesh_in!P16=0,0,SER_hh_tesh_in!P16/SER_summary!P$27)</f>
        <v>32.036436081447327</v>
      </c>
      <c r="Q16" s="130">
        <f>IF(SER_hh_tesh_in!Q16=0,0,SER_hh_tesh_in!Q16/SER_summary!Q$27)</f>
        <v>35.140648473923477</v>
      </c>
      <c r="R16" s="130">
        <f>IF(SER_hh_tesh_in!R16=0,0,SER_hh_tesh_in!R16/SER_summary!R$27)</f>
        <v>30.927365158169817</v>
      </c>
      <c r="S16" s="130">
        <f>IF(SER_hh_tesh_in!S16=0,0,SER_hh_tesh_in!S16/SER_summary!S$27)</f>
        <v>29.583112828497189</v>
      </c>
      <c r="T16" s="130">
        <f>IF(SER_hh_tesh_in!T16=0,0,SER_hh_tesh_in!T16/SER_summary!T$27)</f>
        <v>31.688050228079184</v>
      </c>
      <c r="U16" s="130">
        <f>IF(SER_hh_tesh_in!U16=0,0,SER_hh_tesh_in!U16/SER_summary!U$27)</f>
        <v>30.06445032400984</v>
      </c>
      <c r="V16" s="130">
        <f>IF(SER_hh_tesh_in!V16=0,0,SER_hh_tesh_in!V16/SER_summary!V$27)</f>
        <v>27.624584403654506</v>
      </c>
      <c r="W16" s="130">
        <f>IF(SER_hh_tesh_in!W16=0,0,SER_hh_tesh_in!W16/SER_summary!W$27)</f>
        <v>19.872686304884159</v>
      </c>
      <c r="X16" s="130">
        <f>IF(SER_hh_tesh_in!X16=0,0,SER_hh_tesh_in!X16/SER_summary!X$27)</f>
        <v>18.861912062753674</v>
      </c>
      <c r="Y16" s="130">
        <f>IF(SER_hh_tesh_in!Y16=0,0,SER_hh_tesh_in!Y16/SER_summary!Y$27)</f>
        <v>18.513617303042441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38.767411113390651</v>
      </c>
      <c r="D17" s="132">
        <f>IF(SER_hh_tesh_in!D17=0,0,SER_hh_tesh_in!D17/SER_summary!D$27)</f>
        <v>39.061038734006388</v>
      </c>
      <c r="E17" s="132">
        <f>IF(SER_hh_tesh_in!E17=0,0,SER_hh_tesh_in!E17/SER_summary!E$27)</f>
        <v>0</v>
      </c>
      <c r="F17" s="132">
        <f>IF(SER_hh_tesh_in!F17=0,0,SER_hh_tesh_in!F17/SER_summary!F$27)</f>
        <v>37.597272269377946</v>
      </c>
      <c r="G17" s="132">
        <f>IF(SER_hh_tesh_in!G17=0,0,SER_hh_tesh_in!G17/SER_summary!G$27)</f>
        <v>38.321327879603572</v>
      </c>
      <c r="H17" s="132">
        <f>IF(SER_hh_tesh_in!H17=0,0,SER_hh_tesh_in!H17/SER_summary!H$27)</f>
        <v>44.493256777371606</v>
      </c>
      <c r="I17" s="132">
        <f>IF(SER_hh_tesh_in!I17=0,0,SER_hh_tesh_in!I17/SER_summary!I$27)</f>
        <v>36.49721528562791</v>
      </c>
      <c r="J17" s="132">
        <f>IF(SER_hh_tesh_in!J17=0,0,SER_hh_tesh_in!J17/SER_summary!J$27)</f>
        <v>35.806556856327511</v>
      </c>
      <c r="K17" s="132">
        <f>IF(SER_hh_tesh_in!K17=0,0,SER_hh_tesh_in!K17/SER_summary!K$27)</f>
        <v>41.784000584767746</v>
      </c>
      <c r="L17" s="132">
        <f>IF(SER_hh_tesh_in!L17=0,0,SER_hh_tesh_in!L17/SER_summary!L$27)</f>
        <v>37.204338405797237</v>
      </c>
      <c r="M17" s="132">
        <f>IF(SER_hh_tesh_in!M17=0,0,SER_hh_tesh_in!M17/SER_summary!M$27)</f>
        <v>34.199975435447016</v>
      </c>
      <c r="N17" s="132">
        <f>IF(SER_hh_tesh_in!N17=0,0,SER_hh_tesh_in!N17/SER_summary!N$27)</f>
        <v>34.420321908771413</v>
      </c>
      <c r="O17" s="132">
        <f>IF(SER_hh_tesh_in!O17=0,0,SER_hh_tesh_in!O17/SER_summary!O$27)</f>
        <v>34.482232796797831</v>
      </c>
      <c r="P17" s="132">
        <f>IF(SER_hh_tesh_in!P17=0,0,SER_hh_tesh_in!P17/SER_summary!P$27)</f>
        <v>32.6666871906883</v>
      </c>
      <c r="Q17" s="132">
        <f>IF(SER_hh_tesh_in!Q17=0,0,SER_hh_tesh_in!Q17/SER_summary!Q$27)</f>
        <v>35.821443320600416</v>
      </c>
      <c r="R17" s="132">
        <f>IF(SER_hh_tesh_in!R17=0,0,SER_hh_tesh_in!R17/SER_summary!R$27)</f>
        <v>31.808298789008788</v>
      </c>
      <c r="S17" s="132">
        <f>IF(SER_hh_tesh_in!S17=0,0,SER_hh_tesh_in!S17/SER_summary!S$27)</f>
        <v>31.329945480134075</v>
      </c>
      <c r="T17" s="132">
        <f>IF(SER_hh_tesh_in!T17=0,0,SER_hh_tesh_in!T17/SER_summary!T$27)</f>
        <v>32.194643043102872</v>
      </c>
      <c r="U17" s="132">
        <f>IF(SER_hh_tesh_in!U17=0,0,SER_hh_tesh_in!U17/SER_summary!U$27)</f>
        <v>30.424509142735623</v>
      </c>
      <c r="V17" s="132">
        <f>IF(SER_hh_tesh_in!V17=0,0,SER_hh_tesh_in!V17/SER_summary!V$27)</f>
        <v>28.350930161052041</v>
      </c>
      <c r="W17" s="132">
        <f>IF(SER_hh_tesh_in!W17=0,0,SER_hh_tesh_in!W17/SER_summary!W$27)</f>
        <v>23.297866318243166</v>
      </c>
      <c r="X17" s="132">
        <f>IF(SER_hh_tesh_in!X17=0,0,SER_hh_tesh_in!X17/SER_summary!X$27)</f>
        <v>18.79728270348177</v>
      </c>
      <c r="Y17" s="132">
        <f>IF(SER_hh_tesh_in!Y17=0,0,SER_hh_tesh_in!Y17/SER_summary!Y$27)</f>
        <v>18.552666500929334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38.761616393663331</v>
      </c>
      <c r="D18" s="132">
        <f>IF(SER_hh_tesh_in!D18=0,0,SER_hh_tesh_in!D18/SER_summary!D$27)</f>
        <v>39.035832544887839</v>
      </c>
      <c r="E18" s="132">
        <f>IF(SER_hh_tesh_in!E18=0,0,SER_hh_tesh_in!E18/SER_summary!E$27)</f>
        <v>49.547536544419962</v>
      </c>
      <c r="F18" s="132">
        <f>IF(SER_hh_tesh_in!F18=0,0,SER_hh_tesh_in!F18/SER_summary!F$27)</f>
        <v>37.48879826736249</v>
      </c>
      <c r="G18" s="132">
        <f>IF(SER_hh_tesh_in!G18=0,0,SER_hh_tesh_in!G18/SER_summary!G$27)</f>
        <v>38.257574122592942</v>
      </c>
      <c r="H18" s="132">
        <f>IF(SER_hh_tesh_in!H18=0,0,SER_hh_tesh_in!H18/SER_summary!H$27)</f>
        <v>44.433895547541347</v>
      </c>
      <c r="I18" s="132">
        <f>IF(SER_hh_tesh_in!I18=0,0,SER_hh_tesh_in!I18/SER_summary!I$27)</f>
        <v>36.4390122036951</v>
      </c>
      <c r="J18" s="132">
        <f>IF(SER_hh_tesh_in!J18=0,0,SER_hh_tesh_in!J18/SER_summary!J$27)</f>
        <v>35.77304732929337</v>
      </c>
      <c r="K18" s="132">
        <f>IF(SER_hh_tesh_in!K18=0,0,SER_hh_tesh_in!K18/SER_summary!K$27)</f>
        <v>35.390685146525527</v>
      </c>
      <c r="L18" s="132">
        <f>IF(SER_hh_tesh_in!L18=0,0,SER_hh_tesh_in!L18/SER_summary!L$27)</f>
        <v>37.179244478396889</v>
      </c>
      <c r="M18" s="132">
        <f>IF(SER_hh_tesh_in!M18=0,0,SER_hh_tesh_in!M18/SER_summary!M$27)</f>
        <v>34.132912617703553</v>
      </c>
      <c r="N18" s="132">
        <f>IF(SER_hh_tesh_in!N18=0,0,SER_hh_tesh_in!N18/SER_summary!N$27)</f>
        <v>34.328552733927836</v>
      </c>
      <c r="O18" s="132">
        <f>IF(SER_hh_tesh_in!O18=0,0,SER_hh_tesh_in!O18/SER_summary!O$27)</f>
        <v>34.155731244274861</v>
      </c>
      <c r="P18" s="132">
        <f>IF(SER_hh_tesh_in!P18=0,0,SER_hh_tesh_in!P18/SER_summary!P$27)</f>
        <v>32.012722855938847</v>
      </c>
      <c r="Q18" s="132">
        <f>IF(SER_hh_tesh_in!Q18=0,0,SER_hh_tesh_in!Q18/SER_summary!Q$27)</f>
        <v>35.120245150098945</v>
      </c>
      <c r="R18" s="132">
        <f>IF(SER_hh_tesh_in!R18=0,0,SER_hh_tesh_in!R18/SER_summary!R$27)</f>
        <v>30.867413167178238</v>
      </c>
      <c r="S18" s="132">
        <f>IF(SER_hh_tesh_in!S18=0,0,SER_hh_tesh_in!S18/SER_summary!S$27)</f>
        <v>29.516802593331619</v>
      </c>
      <c r="T18" s="132">
        <f>IF(SER_hh_tesh_in!T18=0,0,SER_hh_tesh_in!T18/SER_summary!T$27)</f>
        <v>31.67841343978435</v>
      </c>
      <c r="U18" s="132">
        <f>IF(SER_hh_tesh_in!U18=0,0,SER_hh_tesh_in!U18/SER_summary!U$27)</f>
        <v>30.051224028040103</v>
      </c>
      <c r="V18" s="132">
        <f>IF(SER_hh_tesh_in!V18=0,0,SER_hh_tesh_in!V18/SER_summary!V$27)</f>
        <v>27.597566353087537</v>
      </c>
      <c r="W18" s="132">
        <f>IF(SER_hh_tesh_in!W18=0,0,SER_hh_tesh_in!W18/SER_summary!W$27)</f>
        <v>19.730983361640909</v>
      </c>
      <c r="X18" s="132">
        <f>IF(SER_hh_tesh_in!X18=0,0,SER_hh_tesh_in!X18/SER_summary!X$27)</f>
        <v>18.864279418000496</v>
      </c>
      <c r="Y18" s="132">
        <f>IF(SER_hh_tesh_in!Y18=0,0,SER_hh_tesh_in!Y18/SER_summary!Y$27)</f>
        <v>18.512114710287747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31.098148618989399</v>
      </c>
      <c r="D19" s="130">
        <f>IF(SER_hh_tesh_in!D19=0,0,SER_hh_tesh_in!D19/SER_summary!D$27)</f>
        <v>30.835857835179212</v>
      </c>
      <c r="E19" s="130">
        <f>IF(SER_hh_tesh_in!E19=0,0,SER_hh_tesh_in!E19/SER_summary!E$27)</f>
        <v>35.531104534280935</v>
      </c>
      <c r="F19" s="130">
        <f>IF(SER_hh_tesh_in!F19=0,0,SER_hh_tesh_in!F19/SER_summary!F$27)</f>
        <v>32.825562734910292</v>
      </c>
      <c r="G19" s="130">
        <f>IF(SER_hh_tesh_in!G19=0,0,SER_hh_tesh_in!G19/SER_summary!G$27)</f>
        <v>31.427471866597209</v>
      </c>
      <c r="H19" s="130">
        <f>IF(SER_hh_tesh_in!H19=0,0,SER_hh_tesh_in!H19/SER_summary!H$27)</f>
        <v>31.663140775283313</v>
      </c>
      <c r="I19" s="130">
        <f>IF(SER_hh_tesh_in!I19=0,0,SER_hh_tesh_in!I19/SER_summary!I$27)</f>
        <v>31.572321016557503</v>
      </c>
      <c r="J19" s="130">
        <f>IF(SER_hh_tesh_in!J19=0,0,SER_hh_tesh_in!J19/SER_summary!J$27)</f>
        <v>32.270204143445859</v>
      </c>
      <c r="K19" s="130">
        <f>IF(SER_hh_tesh_in!K19=0,0,SER_hh_tesh_in!K19/SER_summary!K$27)</f>
        <v>31.751047110539556</v>
      </c>
      <c r="L19" s="130">
        <f>IF(SER_hh_tesh_in!L19=0,0,SER_hh_tesh_in!L19/SER_summary!L$27)</f>
        <v>33.156384367053619</v>
      </c>
      <c r="M19" s="130">
        <f>IF(SER_hh_tesh_in!M19=0,0,SER_hh_tesh_in!M19/SER_summary!M$27)</f>
        <v>30.257668790069125</v>
      </c>
      <c r="N19" s="130">
        <f>IF(SER_hh_tesh_in!N19=0,0,SER_hh_tesh_in!N19/SER_summary!N$27)</f>
        <v>31.196995301692009</v>
      </c>
      <c r="O19" s="130">
        <f>IF(SER_hh_tesh_in!O19=0,0,SER_hh_tesh_in!O19/SER_summary!O$27)</f>
        <v>30.992655318979374</v>
      </c>
      <c r="P19" s="130">
        <f>IF(SER_hh_tesh_in!P19=0,0,SER_hh_tesh_in!P19/SER_summary!P$27)</f>
        <v>31.436184508555723</v>
      </c>
      <c r="Q19" s="130">
        <f>IF(SER_hh_tesh_in!Q19=0,0,SER_hh_tesh_in!Q19/SER_summary!Q$27)</f>
        <v>31.615326083634759</v>
      </c>
      <c r="R19" s="130">
        <f>IF(SER_hh_tesh_in!R19=0,0,SER_hh_tesh_in!R19/SER_summary!R$27)</f>
        <v>30.189417581380738</v>
      </c>
      <c r="S19" s="130">
        <f>IF(SER_hh_tesh_in!S19=0,0,SER_hh_tesh_in!S19/SER_summary!S$27)</f>
        <v>32.403807847977006</v>
      </c>
      <c r="T19" s="130">
        <f>IF(SER_hh_tesh_in!T19=0,0,SER_hh_tesh_in!T19/SER_summary!T$27)</f>
        <v>30.791545801788821</v>
      </c>
      <c r="U19" s="130">
        <f>IF(SER_hh_tesh_in!U19=0,0,SER_hh_tesh_in!U19/SER_summary!U$27)</f>
        <v>30.576801032782914</v>
      </c>
      <c r="V19" s="130">
        <f>IF(SER_hh_tesh_in!V19=0,0,SER_hh_tesh_in!V19/SER_summary!V$27)</f>
        <v>26.816647371790456</v>
      </c>
      <c r="W19" s="130">
        <f>IF(SER_hh_tesh_in!W19=0,0,SER_hh_tesh_in!W19/SER_summary!W$27)</f>
        <v>26.298149422980636</v>
      </c>
      <c r="X19" s="130">
        <f>IF(SER_hh_tesh_in!X19=0,0,SER_hh_tesh_in!X19/SER_summary!X$27)</f>
        <v>29.914545818601859</v>
      </c>
      <c r="Y19" s="130">
        <f>IF(SER_hh_tesh_in!Y19=0,0,SER_hh_tesh_in!Y19/SER_summary!Y$27)</f>
        <v>30.314898842515092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0</v>
      </c>
      <c r="D21" s="132">
        <f>IF(SER_hh_tesh_in!D21=0,0,SER_hh_tesh_in!D21/SER_summary!D$27)</f>
        <v>0</v>
      </c>
      <c r="E21" s="132">
        <f>IF(SER_hh_tesh_in!E21=0,0,SER_hh_tesh_in!E21/SER_summary!E$27)</f>
        <v>0</v>
      </c>
      <c r="F21" s="132">
        <f>IF(SER_hh_tesh_in!F21=0,0,SER_hh_tesh_in!F21/SER_summary!F$27)</f>
        <v>0</v>
      </c>
      <c r="G21" s="132">
        <f>IF(SER_hh_tesh_in!G21=0,0,SER_hh_tesh_in!G21/SER_summary!G$27)</f>
        <v>0</v>
      </c>
      <c r="H21" s="132">
        <f>IF(SER_hh_tesh_in!H21=0,0,SER_hh_tesh_in!H21/SER_summary!H$27)</f>
        <v>0</v>
      </c>
      <c r="I21" s="132">
        <f>IF(SER_hh_tesh_in!I21=0,0,SER_hh_tesh_in!I21/SER_summary!I$27)</f>
        <v>0</v>
      </c>
      <c r="J21" s="132">
        <f>IF(SER_hh_tesh_in!J21=0,0,SER_hh_tesh_in!J21/SER_summary!J$27)</f>
        <v>0</v>
      </c>
      <c r="K21" s="132">
        <f>IF(SER_hh_tesh_in!K21=0,0,SER_hh_tesh_in!K21/SER_summary!K$27)</f>
        <v>0</v>
      </c>
      <c r="L21" s="132">
        <f>IF(SER_hh_tesh_in!L21=0,0,SER_hh_tesh_in!L21/SER_summary!L$27)</f>
        <v>0</v>
      </c>
      <c r="M21" s="132">
        <f>IF(SER_hh_tesh_in!M21=0,0,SER_hh_tesh_in!M21/SER_summary!M$27)</f>
        <v>0</v>
      </c>
      <c r="N21" s="132">
        <f>IF(SER_hh_tesh_in!N21=0,0,SER_hh_tesh_in!N21/SER_summary!N$27)</f>
        <v>0</v>
      </c>
      <c r="O21" s="132">
        <f>IF(SER_hh_tesh_in!O21=0,0,SER_hh_tesh_in!O21/SER_summary!O$27)</f>
        <v>0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0</v>
      </c>
      <c r="S21" s="132">
        <f>IF(SER_hh_tesh_in!S21=0,0,SER_hh_tesh_in!S21/SER_summary!S$27)</f>
        <v>0</v>
      </c>
      <c r="T21" s="132">
        <f>IF(SER_hh_tesh_in!T21=0,0,SER_hh_tesh_in!T21/SER_summary!T$27)</f>
        <v>0</v>
      </c>
      <c r="U21" s="132">
        <f>IF(SER_hh_tesh_in!U21=0,0,SER_hh_tesh_in!U21/SER_summary!U$27)</f>
        <v>0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0</v>
      </c>
      <c r="Y21" s="132">
        <f>IF(SER_hh_tesh_in!Y21=0,0,SER_hh_tesh_in!Y21/SER_summary!Y$27)</f>
        <v>0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32.183360155189334</v>
      </c>
      <c r="D22" s="132">
        <f>IF(SER_hh_tesh_in!D22=0,0,SER_hh_tesh_in!D22/SER_summary!D$27)</f>
        <v>32.63326870527969</v>
      </c>
      <c r="E22" s="132">
        <f>IF(SER_hh_tesh_in!E22=0,0,SER_hh_tesh_in!E22/SER_summary!E$27)</f>
        <v>32.50333746255496</v>
      </c>
      <c r="F22" s="132">
        <f>IF(SER_hh_tesh_in!F22=0,0,SER_hh_tesh_in!F22/SER_summary!F$27)</f>
        <v>33.256648604462811</v>
      </c>
      <c r="G22" s="132">
        <f>IF(SER_hh_tesh_in!G22=0,0,SER_hh_tesh_in!G22/SER_summary!G$27)</f>
        <v>0</v>
      </c>
      <c r="H22" s="132">
        <f>IF(SER_hh_tesh_in!H22=0,0,SER_hh_tesh_in!H22/SER_summary!H$27)</f>
        <v>0</v>
      </c>
      <c r="I22" s="132">
        <f>IF(SER_hh_tesh_in!I22=0,0,SER_hh_tesh_in!I22/SER_summary!I$27)</f>
        <v>0</v>
      </c>
      <c r="J22" s="132">
        <f>IF(SER_hh_tesh_in!J22=0,0,SER_hh_tesh_in!J22/SER_summary!J$27)</f>
        <v>0</v>
      </c>
      <c r="K22" s="132">
        <f>IF(SER_hh_tesh_in!K22=0,0,SER_hh_tesh_in!K22/SER_summary!K$27)</f>
        <v>27.282144523408199</v>
      </c>
      <c r="L22" s="132">
        <f>IF(SER_hh_tesh_in!L22=0,0,SER_hh_tesh_in!L22/SER_summary!L$27)</f>
        <v>37.233955826072091</v>
      </c>
      <c r="M22" s="132">
        <f>IF(SER_hh_tesh_in!M22=0,0,SER_hh_tesh_in!M22/SER_summary!M$27)</f>
        <v>24.970266551212227</v>
      </c>
      <c r="N22" s="132">
        <f>IF(SER_hh_tesh_in!N22=0,0,SER_hh_tesh_in!N22/SER_summary!N$27)</f>
        <v>33.366150653086315</v>
      </c>
      <c r="O22" s="132">
        <f>IF(SER_hh_tesh_in!O22=0,0,SER_hh_tesh_in!O22/SER_summary!O$27)</f>
        <v>31.560021611549374</v>
      </c>
      <c r="P22" s="132">
        <f>IF(SER_hh_tesh_in!P22=0,0,SER_hh_tesh_in!P22/SER_summary!P$27)</f>
        <v>32.160694272720896</v>
      </c>
      <c r="Q22" s="132">
        <f>IF(SER_hh_tesh_in!Q22=0,0,SER_hh_tesh_in!Q22/SER_summary!Q$27)</f>
        <v>29.738360956191134</v>
      </c>
      <c r="R22" s="132">
        <f>IF(SER_hh_tesh_in!R22=0,0,SER_hh_tesh_in!R22/SER_summary!R$27)</f>
        <v>25.567485599737836</v>
      </c>
      <c r="S22" s="132">
        <f>IF(SER_hh_tesh_in!S22=0,0,SER_hh_tesh_in!S22/SER_summary!S$27)</f>
        <v>33.643805453080709</v>
      </c>
      <c r="T22" s="132">
        <f>IF(SER_hh_tesh_in!T22=0,0,SER_hh_tesh_in!T22/SER_summary!T$27)</f>
        <v>31.983821764828047</v>
      </c>
      <c r="U22" s="132">
        <f>IF(SER_hh_tesh_in!U22=0,0,SER_hh_tesh_in!U22/SER_summary!U$27)</f>
        <v>32.783003134994601</v>
      </c>
      <c r="V22" s="132">
        <f>IF(SER_hh_tesh_in!V22=0,0,SER_hh_tesh_in!V22/SER_summary!V$27)</f>
        <v>26.522193588624582</v>
      </c>
      <c r="W22" s="132">
        <f>IF(SER_hh_tesh_in!W22=0,0,SER_hh_tesh_in!W22/SER_summary!W$27)</f>
        <v>30.784656840795734</v>
      </c>
      <c r="X22" s="132">
        <f>IF(SER_hh_tesh_in!X22=0,0,SER_hh_tesh_in!X22/SER_summary!X$27)</f>
        <v>0</v>
      </c>
      <c r="Y22" s="132">
        <f>IF(SER_hh_tesh_in!Y22=0,0,SER_hh_tesh_in!Y22/SER_summary!Y$27)</f>
        <v>0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32.429427926744111</v>
      </c>
      <c r="D23" s="132">
        <f>IF(SER_hh_tesh_in!D23=0,0,SER_hh_tesh_in!D23/SER_summary!D$27)</f>
        <v>31.846004009136688</v>
      </c>
      <c r="E23" s="132">
        <f>IF(SER_hh_tesh_in!E23=0,0,SER_hh_tesh_in!E23/SER_summary!E$27)</f>
        <v>32.990933710420947</v>
      </c>
      <c r="F23" s="132">
        <f>IF(SER_hh_tesh_in!F23=0,0,SER_hh_tesh_in!F23/SER_summary!F$27)</f>
        <v>31.831293727422565</v>
      </c>
      <c r="G23" s="132">
        <f>IF(SER_hh_tesh_in!G23=0,0,SER_hh_tesh_in!G23/SER_summary!G$27)</f>
        <v>31.781599228768709</v>
      </c>
      <c r="H23" s="132">
        <f>IF(SER_hh_tesh_in!H23=0,0,SER_hh_tesh_in!H23/SER_summary!H$27)</f>
        <v>30.856669444265982</v>
      </c>
      <c r="I23" s="132">
        <f>IF(SER_hh_tesh_in!I23=0,0,SER_hh_tesh_in!I23/SER_summary!I$27)</f>
        <v>29.964928386018737</v>
      </c>
      <c r="J23" s="132">
        <f>IF(SER_hh_tesh_in!J23=0,0,SER_hh_tesh_in!J23/SER_summary!J$27)</f>
        <v>33.384656849120141</v>
      </c>
      <c r="K23" s="132">
        <f>IF(SER_hh_tesh_in!K23=0,0,SER_hh_tesh_in!K23/SER_summary!K$27)</f>
        <v>30.078990041891768</v>
      </c>
      <c r="L23" s="132">
        <f>IF(SER_hh_tesh_in!L23=0,0,SER_hh_tesh_in!L23/SER_summary!L$27)</f>
        <v>32.974932208677089</v>
      </c>
      <c r="M23" s="132">
        <f>IF(SER_hh_tesh_in!M23=0,0,SER_hh_tesh_in!M23/SER_summary!M$27)</f>
        <v>31.16639565573238</v>
      </c>
      <c r="N23" s="132">
        <f>IF(SER_hh_tesh_in!N23=0,0,SER_hh_tesh_in!N23/SER_summary!N$27)</f>
        <v>29.714855246309348</v>
      </c>
      <c r="O23" s="132">
        <f>IF(SER_hh_tesh_in!O23=0,0,SER_hh_tesh_in!O23/SER_summary!O$27)</f>
        <v>30.117106354725237</v>
      </c>
      <c r="P23" s="132">
        <f>IF(SER_hh_tesh_in!P23=0,0,SER_hh_tesh_in!P23/SER_summary!P$27)</f>
        <v>31.663809372313292</v>
      </c>
      <c r="Q23" s="132">
        <f>IF(SER_hh_tesh_in!Q23=0,0,SER_hh_tesh_in!Q23/SER_summary!Q$27)</f>
        <v>35.658906212920378</v>
      </c>
      <c r="R23" s="132">
        <f>IF(SER_hh_tesh_in!R23=0,0,SER_hh_tesh_in!R23/SER_summary!R$27)</f>
        <v>37.83510439707922</v>
      </c>
      <c r="S23" s="132">
        <f>IF(SER_hh_tesh_in!S23=0,0,SER_hh_tesh_in!S23/SER_summary!S$27)</f>
        <v>27.653636866879946</v>
      </c>
      <c r="T23" s="132">
        <f>IF(SER_hh_tesh_in!T23=0,0,SER_hh_tesh_in!T23/SER_summary!T$27)</f>
        <v>0</v>
      </c>
      <c r="U23" s="132">
        <f>IF(SER_hh_tesh_in!U23=0,0,SER_hh_tesh_in!U23/SER_summary!U$27)</f>
        <v>31.691818363827821</v>
      </c>
      <c r="V23" s="132">
        <f>IF(SER_hh_tesh_in!V23=0,0,SER_hh_tesh_in!V23/SER_summary!V$27)</f>
        <v>21.038931754261998</v>
      </c>
      <c r="W23" s="132">
        <f>IF(SER_hh_tesh_in!W23=0,0,SER_hh_tesh_in!W23/SER_summary!W$27)</f>
        <v>29.696745377295354</v>
      </c>
      <c r="X23" s="132">
        <f>IF(SER_hh_tesh_in!X23=0,0,SER_hh_tesh_in!X23/SER_summary!X$27)</f>
        <v>29.23259601780595</v>
      </c>
      <c r="Y23" s="132">
        <f>IF(SER_hh_tesh_in!Y23=0,0,SER_hh_tesh_in!Y23/SER_summary!Y$27)</f>
        <v>29.492929325193884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27.214121531343682</v>
      </c>
      <c r="D25" s="132">
        <f>IF(SER_hh_tesh_in!D25=0,0,SER_hh_tesh_in!D25/SER_summary!D$27)</f>
        <v>30.097950494071437</v>
      </c>
      <c r="E25" s="132">
        <f>IF(SER_hh_tesh_in!E25=0,0,SER_hh_tesh_in!E25/SER_summary!E$27)</f>
        <v>37.141172051558513</v>
      </c>
      <c r="F25" s="132">
        <f>IF(SER_hh_tesh_in!F25=0,0,SER_hh_tesh_in!F25/SER_summary!F$27)</f>
        <v>33.300046219697052</v>
      </c>
      <c r="G25" s="132">
        <f>IF(SER_hh_tesh_in!G25=0,0,SER_hh_tesh_in!G25/SER_summary!G$27)</f>
        <v>31.862353512841878</v>
      </c>
      <c r="H25" s="132">
        <f>IF(SER_hh_tesh_in!H25=0,0,SER_hh_tesh_in!H25/SER_summary!H$27)</f>
        <v>31.64531389158088</v>
      </c>
      <c r="I25" s="132">
        <f>IF(SER_hh_tesh_in!I25=0,0,SER_hh_tesh_in!I25/SER_summary!I$27)</f>
        <v>31.489181067129781</v>
      </c>
      <c r="J25" s="132">
        <f>IF(SER_hh_tesh_in!J25=0,0,SER_hh_tesh_in!J25/SER_summary!J$27)</f>
        <v>31.418055524137781</v>
      </c>
      <c r="K25" s="132">
        <f>IF(SER_hh_tesh_in!K25=0,0,SER_hh_tesh_in!K25/SER_summary!K$27)</f>
        <v>32.333691434770685</v>
      </c>
      <c r="L25" s="132">
        <f>IF(SER_hh_tesh_in!L25=0,0,SER_hh_tesh_in!L25/SER_summary!L$27)</f>
        <v>30.484166433848682</v>
      </c>
      <c r="M25" s="132">
        <f>IF(SER_hh_tesh_in!M25=0,0,SER_hh_tesh_in!M25/SER_summary!M$27)</f>
        <v>30.708585448920321</v>
      </c>
      <c r="N25" s="132">
        <f>IF(SER_hh_tesh_in!N25=0,0,SER_hh_tesh_in!N25/SER_summary!N$27)</f>
        <v>31.030863290839253</v>
      </c>
      <c r="O25" s="132">
        <f>IF(SER_hh_tesh_in!O25=0,0,SER_hh_tesh_in!O25/SER_summary!O$27)</f>
        <v>31.274708497517512</v>
      </c>
      <c r="P25" s="132">
        <f>IF(SER_hh_tesh_in!P25=0,0,SER_hh_tesh_in!P25/SER_summary!P$27)</f>
        <v>30.874390496993794</v>
      </c>
      <c r="Q25" s="132">
        <f>IF(SER_hh_tesh_in!Q25=0,0,SER_hh_tesh_in!Q25/SER_summary!Q$27)</f>
        <v>30.909081714034166</v>
      </c>
      <c r="R25" s="132">
        <f>IF(SER_hh_tesh_in!R25=0,0,SER_hh_tesh_in!R25/SER_summary!R$27)</f>
        <v>30.80060967967772</v>
      </c>
      <c r="S25" s="132">
        <f>IF(SER_hh_tesh_in!S25=0,0,SER_hh_tesh_in!S25/SER_summary!S$27)</f>
        <v>32.257393807776033</v>
      </c>
      <c r="T25" s="132">
        <f>IF(SER_hh_tesh_in!T25=0,0,SER_hh_tesh_in!T25/SER_summary!T$27)</f>
        <v>29.003269361400982</v>
      </c>
      <c r="U25" s="132">
        <f>IF(SER_hh_tesh_in!U25=0,0,SER_hh_tesh_in!U25/SER_summary!U$27)</f>
        <v>30.712407864045705</v>
      </c>
      <c r="V25" s="132">
        <f>IF(SER_hh_tesh_in!V25=0,0,SER_hh_tesh_in!V25/SER_summary!V$27)</f>
        <v>31.427957237413498</v>
      </c>
      <c r="W25" s="132">
        <f>IF(SER_hh_tesh_in!W25=0,0,SER_hh_tesh_in!W25/SER_summary!W$27)</f>
        <v>28.073104428429101</v>
      </c>
      <c r="X25" s="132">
        <f>IF(SER_hh_tesh_in!X25=0,0,SER_hh_tesh_in!X25/SER_summary!X$27)</f>
        <v>0</v>
      </c>
      <c r="Y25" s="132">
        <f>IF(SER_hh_tesh_in!Y25=0,0,SER_hh_tesh_in!Y25/SER_summary!Y$27)</f>
        <v>0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33.702676552867999</v>
      </c>
      <c r="D26" s="65">
        <f>IF(SER_hh_tesh_in!D26=0,0,SER_hh_tesh_in!D26/SER_summary!D$27)</f>
        <v>0</v>
      </c>
      <c r="E26" s="65">
        <f>IF(SER_hh_tesh_in!E26=0,0,SER_hh_tesh_in!E26/SER_summary!E$27)</f>
        <v>0</v>
      </c>
      <c r="F26" s="65">
        <f>IF(SER_hh_tesh_in!F26=0,0,SER_hh_tesh_in!F26/SER_summary!F$27)</f>
        <v>0</v>
      </c>
      <c r="G26" s="65">
        <f>IF(SER_hh_tesh_in!G26=0,0,SER_hh_tesh_in!G26/SER_summary!G$27)</f>
        <v>29.923433685175311</v>
      </c>
      <c r="H26" s="65">
        <f>IF(SER_hh_tesh_in!H26=0,0,SER_hh_tesh_in!H26/SER_summary!H$27)</f>
        <v>31.948946793732812</v>
      </c>
      <c r="I26" s="65">
        <f>IF(SER_hh_tesh_in!I26=0,0,SER_hh_tesh_in!I26/SER_summary!I$27)</f>
        <v>32.190251113175805</v>
      </c>
      <c r="J26" s="65">
        <f>IF(SER_hh_tesh_in!J26=0,0,SER_hh_tesh_in!J26/SER_summary!J$27)</f>
        <v>31.593629843679018</v>
      </c>
      <c r="K26" s="65">
        <f>IF(SER_hh_tesh_in!K26=0,0,SER_hh_tesh_in!K26/SER_summary!K$27)</f>
        <v>33.082723616090696</v>
      </c>
      <c r="L26" s="65">
        <f>IF(SER_hh_tesh_in!L26=0,0,SER_hh_tesh_in!L26/SER_summary!L$27)</f>
        <v>29.826004678570683</v>
      </c>
      <c r="M26" s="65">
        <f>IF(SER_hh_tesh_in!M26=0,0,SER_hh_tesh_in!M26/SER_summary!M$27)</f>
        <v>31.706668268372919</v>
      </c>
      <c r="N26" s="65">
        <f>IF(SER_hh_tesh_in!N26=0,0,SER_hh_tesh_in!N26/SER_summary!N$27)</f>
        <v>30.550994787865374</v>
      </c>
      <c r="O26" s="65">
        <f>IF(SER_hh_tesh_in!O26=0,0,SER_hh_tesh_in!O26/SER_summary!O$27)</f>
        <v>31.252563948091808</v>
      </c>
      <c r="P26" s="65">
        <f>IF(SER_hh_tesh_in!P26=0,0,SER_hh_tesh_in!P26/SER_summary!P$27)</f>
        <v>31.255912536807386</v>
      </c>
      <c r="Q26" s="65">
        <f>IF(SER_hh_tesh_in!Q26=0,0,SER_hh_tesh_in!Q26/SER_summary!Q$27)</f>
        <v>29.014675775021377</v>
      </c>
      <c r="R26" s="65">
        <f>IF(SER_hh_tesh_in!R26=0,0,SER_hh_tesh_in!R26/SER_summary!R$27)</f>
        <v>27.349417504378877</v>
      </c>
      <c r="S26" s="65">
        <f>IF(SER_hh_tesh_in!S26=0,0,SER_hh_tesh_in!S26/SER_summary!S$27)</f>
        <v>32.072994224233511</v>
      </c>
      <c r="T26" s="65">
        <f>IF(SER_hh_tesh_in!T26=0,0,SER_hh_tesh_in!T26/SER_summary!T$27)</f>
        <v>31.363059337906126</v>
      </c>
      <c r="U26" s="65">
        <f>IF(SER_hh_tesh_in!U26=0,0,SER_hh_tesh_in!U26/SER_summary!U$27)</f>
        <v>28.206276593538366</v>
      </c>
      <c r="V26" s="65">
        <f>IF(SER_hh_tesh_in!V26=0,0,SER_hh_tesh_in!V26/SER_summary!V$27)</f>
        <v>28.012239898215448</v>
      </c>
      <c r="W26" s="65">
        <f>IF(SER_hh_tesh_in!W26=0,0,SER_hh_tesh_in!W26/SER_summary!W$27)</f>
        <v>24.851728630373614</v>
      </c>
      <c r="X26" s="65">
        <f>IF(SER_hh_tesh_in!X26=0,0,SER_hh_tesh_in!X26/SER_summary!X$27)</f>
        <v>30.106632952997195</v>
      </c>
      <c r="Y26" s="65">
        <f>IF(SER_hh_tesh_in!Y26=0,0,SER_hh_tesh_in!Y26/SER_summary!Y$27)</f>
        <v>30.511897981450172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</v>
      </c>
      <c r="D27" s="145">
        <f>IF(SER_hh_tesh_in!D27=0,0,SER_hh_tesh_in!D27/SER_summary!D$27)</f>
        <v>0</v>
      </c>
      <c r="E27" s="145">
        <f>IF(SER_hh_tesh_in!E27=0,0,SER_hh_tesh_in!E27/SER_summary!E$27)</f>
        <v>0</v>
      </c>
      <c r="F27" s="145">
        <f>IF(SER_hh_tesh_in!F27=0,0,SER_hh_tesh_in!F27/SER_summary!F$27)</f>
        <v>0</v>
      </c>
      <c r="G27" s="145">
        <f>IF(SER_hh_tesh_in!G27=0,0,SER_hh_tesh_in!G27/SER_summary!G$27)</f>
        <v>0</v>
      </c>
      <c r="H27" s="145">
        <f>IF(SER_hh_tesh_in!H27=0,0,SER_hh_tesh_in!H27/SER_summary!H$27)</f>
        <v>0</v>
      </c>
      <c r="I27" s="145">
        <f>IF(SER_hh_tesh_in!I27=0,0,SER_hh_tesh_in!I27/SER_summary!I$27)</f>
        <v>0</v>
      </c>
      <c r="J27" s="145">
        <f>IF(SER_hh_tesh_in!J27=0,0,SER_hh_tesh_in!J27/SER_summary!J$27)</f>
        <v>0</v>
      </c>
      <c r="K27" s="145">
        <f>IF(SER_hh_tesh_in!K27=0,0,SER_hh_tesh_in!K27/SER_summary!K$27)</f>
        <v>0</v>
      </c>
      <c r="L27" s="145">
        <f>IF(SER_hh_tesh_in!L27=0,0,SER_hh_tesh_in!L27/SER_summary!L$27)</f>
        <v>0</v>
      </c>
      <c r="M27" s="145">
        <f>IF(SER_hh_tesh_in!M27=0,0,SER_hh_tesh_in!M27/SER_summary!M$27)</f>
        <v>0</v>
      </c>
      <c r="N27" s="145">
        <f>IF(SER_hh_tesh_in!N27=0,0,SER_hh_tesh_in!N27/SER_summary!N$27)</f>
        <v>0</v>
      </c>
      <c r="O27" s="145">
        <f>IF(SER_hh_tesh_in!O27=0,0,SER_hh_tesh_in!O27/SER_summary!O$27)</f>
        <v>0</v>
      </c>
      <c r="P27" s="145">
        <f>IF(SER_hh_tesh_in!P27=0,0,SER_hh_tesh_in!P27/SER_summary!P$27)</f>
        <v>0</v>
      </c>
      <c r="Q27" s="145">
        <f>IF(SER_hh_tesh_in!Q27=0,0,SER_hh_tesh_in!Q27/SER_summary!Q$27)</f>
        <v>0</v>
      </c>
      <c r="R27" s="145">
        <f>IF(SER_hh_tesh_in!R27=0,0,SER_hh_tesh_in!R27/SER_summary!R$27)</f>
        <v>0</v>
      </c>
      <c r="S27" s="145">
        <f>IF(SER_hh_tesh_in!S27=0,0,SER_hh_tesh_in!S27/SER_summary!S$27)</f>
        <v>0</v>
      </c>
      <c r="T27" s="145">
        <f>IF(SER_hh_tesh_in!T27=0,0,SER_hh_tesh_in!T27/SER_summary!T$27)</f>
        <v>0</v>
      </c>
      <c r="U27" s="145">
        <f>IF(SER_hh_tesh_in!U27=0,0,SER_hh_tesh_in!U27/SER_summary!U$27)</f>
        <v>0</v>
      </c>
      <c r="V27" s="145">
        <f>IF(SER_hh_tesh_in!V27=0,0,SER_hh_tesh_in!V27/SER_summary!V$27)</f>
        <v>0</v>
      </c>
      <c r="W27" s="145">
        <f>IF(SER_hh_tesh_in!W27=0,0,SER_hh_tesh_in!W27/SER_summary!W$27)</f>
        <v>0</v>
      </c>
      <c r="X27" s="145">
        <f>IF(SER_hh_tesh_in!X27=0,0,SER_hh_tesh_in!X27/SER_summary!X$27)</f>
        <v>0</v>
      </c>
      <c r="Y27" s="145">
        <f>IF(SER_hh_tesh_in!Y27=0,0,SER_hh_tesh_in!Y27/SER_summary!Y$27)</f>
        <v>0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0</v>
      </c>
      <c r="D28" s="146">
        <f>IF(SER_hh_tesh_in!D28=0,0,SER_hh_tesh_in!D28/SER_summary!D$27)</f>
        <v>0</v>
      </c>
      <c r="E28" s="146">
        <f>IF(SER_hh_tesh_in!E28=0,0,SER_hh_tesh_in!E28/SER_summary!E$27)</f>
        <v>0</v>
      </c>
      <c r="F28" s="146">
        <f>IF(SER_hh_tesh_in!F28=0,0,SER_hh_tesh_in!F28/SER_summary!F$27)</f>
        <v>0</v>
      </c>
      <c r="G28" s="146">
        <f>IF(SER_hh_tesh_in!G28=0,0,SER_hh_tesh_in!G28/SER_summary!G$27)</f>
        <v>0</v>
      </c>
      <c r="H28" s="146">
        <f>IF(SER_hh_tesh_in!H28=0,0,SER_hh_tesh_in!H28/SER_summary!H$27)</f>
        <v>0</v>
      </c>
      <c r="I28" s="146">
        <f>IF(SER_hh_tesh_in!I28=0,0,SER_hh_tesh_in!I28/SER_summary!I$27)</f>
        <v>0</v>
      </c>
      <c r="J28" s="146">
        <f>IF(SER_hh_tesh_in!J28=0,0,SER_hh_tesh_in!J28/SER_summary!J$27)</f>
        <v>0</v>
      </c>
      <c r="K28" s="146">
        <f>IF(SER_hh_tesh_in!K28=0,0,SER_hh_tesh_in!K28/SER_summary!K$27)</f>
        <v>0</v>
      </c>
      <c r="L28" s="146">
        <f>IF(SER_hh_tesh_in!L28=0,0,SER_hh_tesh_in!L28/SER_summary!L$27)</f>
        <v>0</v>
      </c>
      <c r="M28" s="146">
        <f>IF(SER_hh_tesh_in!M28=0,0,SER_hh_tesh_in!M28/SER_summary!M$27)</f>
        <v>0</v>
      </c>
      <c r="N28" s="146">
        <f>IF(SER_hh_tesh_in!N28=0,0,SER_hh_tesh_in!N28/SER_summary!N$27)</f>
        <v>0</v>
      </c>
      <c r="O28" s="146">
        <f>IF(SER_hh_tesh_in!O28=0,0,SER_hh_tesh_in!O28/SER_summary!O$27)</f>
        <v>0</v>
      </c>
      <c r="P28" s="146">
        <f>IF(SER_hh_tesh_in!P28=0,0,SER_hh_tesh_in!P28/SER_summary!P$27)</f>
        <v>0</v>
      </c>
      <c r="Q28" s="146">
        <f>IF(SER_hh_tesh_in!Q28=0,0,SER_hh_tesh_in!Q28/SER_summary!Q$27)</f>
        <v>0</v>
      </c>
      <c r="R28" s="146">
        <f>IF(SER_hh_tesh_in!R28=0,0,SER_hh_tesh_in!R28/SER_summary!R$27)</f>
        <v>0</v>
      </c>
      <c r="S28" s="146">
        <f>IF(SER_hh_tesh_in!S28=0,0,SER_hh_tesh_in!S28/SER_summary!S$27)</f>
        <v>0</v>
      </c>
      <c r="T28" s="146">
        <f>IF(SER_hh_tesh_in!T28=0,0,SER_hh_tesh_in!T28/SER_summary!T$27)</f>
        <v>0</v>
      </c>
      <c r="U28" s="146">
        <f>IF(SER_hh_tesh_in!U28=0,0,SER_hh_tesh_in!U28/SER_summary!U$27)</f>
        <v>0</v>
      </c>
      <c r="V28" s="146">
        <f>IF(SER_hh_tesh_in!V28=0,0,SER_hh_tesh_in!V28/SER_summary!V$27)</f>
        <v>0</v>
      </c>
      <c r="W28" s="146">
        <f>IF(SER_hh_tesh_in!W28=0,0,SER_hh_tesh_in!W28/SER_summary!W$27)</f>
        <v>0</v>
      </c>
      <c r="X28" s="146">
        <f>IF(SER_hh_tesh_in!X28=0,0,SER_hh_tesh_in!X28/SER_summary!X$27)</f>
        <v>0</v>
      </c>
      <c r="Y28" s="146">
        <f>IF(SER_hh_tesh_in!Y28=0,0,SER_hh_tesh_in!Y28/SER_summary!Y$27)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33.977858454234422</v>
      </c>
      <c r="D29" s="130">
        <f>IF(SER_hh_tesh_in!D29=0,0,SER_hh_tesh_in!D29/SER_summary!D$27)</f>
        <v>36.07587077169498</v>
      </c>
      <c r="E29" s="130">
        <f>IF(SER_hh_tesh_in!E29=0,0,SER_hh_tesh_in!E29/SER_summary!E$27)</f>
        <v>38.968760409385602</v>
      </c>
      <c r="F29" s="130">
        <f>IF(SER_hh_tesh_in!F29=0,0,SER_hh_tesh_in!F29/SER_summary!F$27)</f>
        <v>37.670926901489288</v>
      </c>
      <c r="G29" s="130">
        <f>IF(SER_hh_tesh_in!G29=0,0,SER_hh_tesh_in!G29/SER_summary!G$27)</f>
        <v>38.436086796353258</v>
      </c>
      <c r="H29" s="130">
        <f>IF(SER_hh_tesh_in!H29=0,0,SER_hh_tesh_in!H29/SER_summary!H$27)</f>
        <v>39.053328706732991</v>
      </c>
      <c r="I29" s="130">
        <f>IF(SER_hh_tesh_in!I29=0,0,SER_hh_tesh_in!I29/SER_summary!I$27)</f>
        <v>39.164131509914597</v>
      </c>
      <c r="J29" s="130">
        <f>IF(SER_hh_tesh_in!J29=0,0,SER_hh_tesh_in!J29/SER_summary!J$27)</f>
        <v>39.733196684347597</v>
      </c>
      <c r="K29" s="130">
        <f>IF(SER_hh_tesh_in!K29=0,0,SER_hh_tesh_in!K29/SER_summary!K$27)</f>
        <v>53.149643268922475</v>
      </c>
      <c r="L29" s="130">
        <f>IF(SER_hh_tesh_in!L29=0,0,SER_hh_tesh_in!L29/SER_summary!L$27)</f>
        <v>43.05987035724177</v>
      </c>
      <c r="M29" s="130">
        <f>IF(SER_hh_tesh_in!M29=0,0,SER_hh_tesh_in!M29/SER_summary!M$27)</f>
        <v>40.931025188020634</v>
      </c>
      <c r="N29" s="130">
        <f>IF(SER_hh_tesh_in!N29=0,0,SER_hh_tesh_in!N29/SER_summary!N$27)</f>
        <v>41.21941297150773</v>
      </c>
      <c r="O29" s="130">
        <f>IF(SER_hh_tesh_in!O29=0,0,SER_hh_tesh_in!O29/SER_summary!O$27)</f>
        <v>41.34062799703139</v>
      </c>
      <c r="P29" s="130">
        <f>IF(SER_hh_tesh_in!P29=0,0,SER_hh_tesh_in!P29/SER_summary!P$27)</f>
        <v>42.668999380156833</v>
      </c>
      <c r="Q29" s="130">
        <f>IF(SER_hh_tesh_in!Q29=0,0,SER_hh_tesh_in!Q29/SER_summary!Q$27)</f>
        <v>42.476650253894945</v>
      </c>
      <c r="R29" s="130">
        <f>IF(SER_hh_tesh_in!R29=0,0,SER_hh_tesh_in!R29/SER_summary!R$27)</f>
        <v>42.107545078602641</v>
      </c>
      <c r="S29" s="130">
        <f>IF(SER_hh_tesh_in!S29=0,0,SER_hh_tesh_in!S29/SER_summary!S$27)</f>
        <v>43.290086102287326</v>
      </c>
      <c r="T29" s="130">
        <f>IF(SER_hh_tesh_in!T29=0,0,SER_hh_tesh_in!T29/SER_summary!T$27)</f>
        <v>43.252747250252149</v>
      </c>
      <c r="U29" s="130">
        <f>IF(SER_hh_tesh_in!U29=0,0,SER_hh_tesh_in!U29/SER_summary!U$27)</f>
        <v>44.209226572519484</v>
      </c>
      <c r="V29" s="130">
        <f>IF(SER_hh_tesh_in!V29=0,0,SER_hh_tesh_in!V29/SER_summary!V$27)</f>
        <v>40.30850582281748</v>
      </c>
      <c r="W29" s="130">
        <f>IF(SER_hh_tesh_in!W29=0,0,SER_hh_tesh_in!W29/SER_summary!W$27)</f>
        <v>46.796099878836266</v>
      </c>
      <c r="X29" s="130">
        <f>IF(SER_hh_tesh_in!X29=0,0,SER_hh_tesh_in!X29/SER_summary!X$27)</f>
        <v>46.30180355418365</v>
      </c>
      <c r="Y29" s="130">
        <f>IF(SER_hh_tesh_in!Y29=0,0,SER_hh_tesh_in!Y29/SER_summary!Y$27)</f>
        <v>45.953979380802139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50.902283865316733</v>
      </c>
      <c r="D30" s="132">
        <f>IF(SER_hh_tesh_in!D30=0,0,SER_hh_tesh_in!D30/SER_summary!D$27)</f>
        <v>0</v>
      </c>
      <c r="E30" s="132">
        <f>IF(SER_hh_tesh_in!E30=0,0,SER_hh_tesh_in!E30/SER_summary!E$27)</f>
        <v>0</v>
      </c>
      <c r="F30" s="132">
        <f>IF(SER_hh_tesh_in!F30=0,0,SER_hh_tesh_in!F30/SER_summary!F$27)</f>
        <v>0</v>
      </c>
      <c r="G30" s="132">
        <f>IF(SER_hh_tesh_in!G30=0,0,SER_hh_tesh_in!G30/SER_summary!G$27)</f>
        <v>0</v>
      </c>
      <c r="H30" s="132">
        <f>IF(SER_hh_tesh_in!H30=0,0,SER_hh_tesh_in!H30/SER_summary!H$27)</f>
        <v>0</v>
      </c>
      <c r="I30" s="132">
        <f>IF(SER_hh_tesh_in!I30=0,0,SER_hh_tesh_in!I30/SER_summary!I$27)</f>
        <v>0</v>
      </c>
      <c r="J30" s="132">
        <f>IF(SER_hh_tesh_in!J30=0,0,SER_hh_tesh_in!J30/SER_summary!J$27)</f>
        <v>0</v>
      </c>
      <c r="K30" s="132">
        <f>IF(SER_hh_tesh_in!K30=0,0,SER_hh_tesh_in!K30/SER_summary!K$27)</f>
        <v>56.103118269652882</v>
      </c>
      <c r="L30" s="132">
        <f>IF(SER_hh_tesh_in!L30=0,0,SER_hh_tesh_in!L30/SER_summary!L$27)</f>
        <v>45.741532821313143</v>
      </c>
      <c r="M30" s="132">
        <f>IF(SER_hh_tesh_in!M30=0,0,SER_hh_tesh_in!M30/SER_summary!M$27)</f>
        <v>41.412483748040657</v>
      </c>
      <c r="N30" s="132">
        <f>IF(SER_hh_tesh_in!N30=0,0,SER_hh_tesh_in!N30/SER_summary!N$27)</f>
        <v>41.708472726287397</v>
      </c>
      <c r="O30" s="132">
        <f>IF(SER_hh_tesh_in!O30=0,0,SER_hh_tesh_in!O30/SER_summary!O$27)</f>
        <v>43.250521226066134</v>
      </c>
      <c r="P30" s="132">
        <f>IF(SER_hh_tesh_in!P30=0,0,SER_hh_tesh_in!P30/SER_summary!P$27)</f>
        <v>39.310173072268142</v>
      </c>
      <c r="Q30" s="132">
        <f>IF(SER_hh_tesh_in!Q30=0,0,SER_hh_tesh_in!Q30/SER_summary!Q$27)</f>
        <v>42.704672988625845</v>
      </c>
      <c r="R30" s="132">
        <f>IF(SER_hh_tesh_in!R30=0,0,SER_hh_tesh_in!R30/SER_summary!R$27)</f>
        <v>46.23822203539121</v>
      </c>
      <c r="S30" s="132">
        <f>IF(SER_hh_tesh_in!S30=0,0,SER_hh_tesh_in!S30/SER_summary!S$27)</f>
        <v>42.259223690369303</v>
      </c>
      <c r="T30" s="132">
        <f>IF(SER_hh_tesh_in!T30=0,0,SER_hh_tesh_in!T30/SER_summary!T$27)</f>
        <v>37.262902426888708</v>
      </c>
      <c r="U30" s="132">
        <f>IF(SER_hh_tesh_in!U30=0,0,SER_hh_tesh_in!U30/SER_summary!U$27)</f>
        <v>46.649458718553994</v>
      </c>
      <c r="V30" s="132">
        <f>IF(SER_hh_tesh_in!V30=0,0,SER_hh_tesh_in!V30/SER_summary!V$27)</f>
        <v>36.824470710566878</v>
      </c>
      <c r="W30" s="132">
        <f>IF(SER_hh_tesh_in!W30=0,0,SER_hh_tesh_in!W30/SER_summary!W$27)</f>
        <v>55.029059023599999</v>
      </c>
      <c r="X30" s="132">
        <f>IF(SER_hh_tesh_in!X30=0,0,SER_hh_tesh_in!X30/SER_summary!X$27)</f>
        <v>39.067189602684962</v>
      </c>
      <c r="Y30" s="132">
        <f>IF(SER_hh_tesh_in!Y30=0,0,SER_hh_tesh_in!Y30/SER_summary!Y$27)</f>
        <v>49.881546362527814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35.315983300649464</v>
      </c>
      <c r="D31" s="132">
        <f>IF(SER_hh_tesh_in!D31=0,0,SER_hh_tesh_in!D31/SER_summary!D$27)</f>
        <v>36.811716592630624</v>
      </c>
      <c r="E31" s="132">
        <f>IF(SER_hh_tesh_in!E31=0,0,SER_hh_tesh_in!E31/SER_summary!E$27)</f>
        <v>37.487859378431281</v>
      </c>
      <c r="F31" s="132">
        <f>IF(SER_hh_tesh_in!F31=0,0,SER_hh_tesh_in!F31/SER_summary!F$27)</f>
        <v>38.53187131812092</v>
      </c>
      <c r="G31" s="132">
        <f>IF(SER_hh_tesh_in!G31=0,0,SER_hh_tesh_in!G31/SER_summary!G$27)</f>
        <v>37.802543054777708</v>
      </c>
      <c r="H31" s="132">
        <f>IF(SER_hh_tesh_in!H31=0,0,SER_hh_tesh_in!H31/SER_summary!H$27)</f>
        <v>39.643244019215444</v>
      </c>
      <c r="I31" s="132">
        <f>IF(SER_hh_tesh_in!I31=0,0,SER_hh_tesh_in!I31/SER_summary!I$27)</f>
        <v>39.874775470962753</v>
      </c>
      <c r="J31" s="132">
        <f>IF(SER_hh_tesh_in!J31=0,0,SER_hh_tesh_in!J31/SER_summary!J$27)</f>
        <v>40.628686932248939</v>
      </c>
      <c r="K31" s="132">
        <f>IF(SER_hh_tesh_in!K31=0,0,SER_hh_tesh_in!K31/SER_summary!K$27)</f>
        <v>38.830486593484089</v>
      </c>
      <c r="L31" s="132">
        <f>IF(SER_hh_tesh_in!L31=0,0,SER_hh_tesh_in!L31/SER_summary!L$27)</f>
        <v>39.86075629083053</v>
      </c>
      <c r="M31" s="132">
        <f>IF(SER_hh_tesh_in!M31=0,0,SER_hh_tesh_in!M31/SER_summary!M$27)</f>
        <v>41.949374853013182</v>
      </c>
      <c r="N31" s="132">
        <f>IF(SER_hh_tesh_in!N31=0,0,SER_hh_tesh_in!N31/SER_summary!N$27)</f>
        <v>42.507197875121392</v>
      </c>
      <c r="O31" s="132">
        <f>IF(SER_hh_tesh_in!O31=0,0,SER_hh_tesh_in!O31/SER_summary!O$27)</f>
        <v>41.659853285227541</v>
      </c>
      <c r="P31" s="132">
        <f>IF(SER_hh_tesh_in!P31=0,0,SER_hh_tesh_in!P31/SER_summary!P$27)</f>
        <v>41.494063007407298</v>
      </c>
      <c r="Q31" s="132">
        <f>IF(SER_hh_tesh_in!Q31=0,0,SER_hh_tesh_in!Q31/SER_summary!Q$27)</f>
        <v>42.401815442615082</v>
      </c>
      <c r="R31" s="132">
        <f>IF(SER_hh_tesh_in!R31=0,0,SER_hh_tesh_in!R31/SER_summary!R$27)</f>
        <v>43.206217899728678</v>
      </c>
      <c r="S31" s="132">
        <f>IF(SER_hh_tesh_in!S31=0,0,SER_hh_tesh_in!S31/SER_summary!S$27)</f>
        <v>41.763034662099393</v>
      </c>
      <c r="T31" s="132">
        <f>IF(SER_hh_tesh_in!T31=0,0,SER_hh_tesh_in!T31/SER_summary!T$27)</f>
        <v>44.617121845902574</v>
      </c>
      <c r="U31" s="132">
        <f>IF(SER_hh_tesh_in!U31=0,0,SER_hh_tesh_in!U31/SER_summary!U$27)</f>
        <v>44.01700307701303</v>
      </c>
      <c r="V31" s="132">
        <f>IF(SER_hh_tesh_in!V31=0,0,SER_hh_tesh_in!V31/SER_summary!V$27)</f>
        <v>33.168828165815491</v>
      </c>
      <c r="W31" s="132">
        <f>IF(SER_hh_tesh_in!W31=0,0,SER_hh_tesh_in!W31/SER_summary!W$27)</f>
        <v>36.533594972820985</v>
      </c>
      <c r="X31" s="132">
        <f>IF(SER_hh_tesh_in!X31=0,0,SER_hh_tesh_in!X31/SER_summary!X$27)</f>
        <v>51.358246863906075</v>
      </c>
      <c r="Y31" s="132">
        <f>IF(SER_hh_tesh_in!Y31=0,0,SER_hh_tesh_in!Y31/SER_summary!Y$27)</f>
        <v>45.446480761942382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29.168234433379904</v>
      </c>
      <c r="D33" s="68">
        <f>IF(SER_hh_tesh_in!D33=0,0,SER_hh_tesh_in!D33/SER_summary!D$27)</f>
        <v>35.739332691209128</v>
      </c>
      <c r="E33" s="68">
        <f>IF(SER_hh_tesh_in!E33=0,0,SER_hh_tesh_in!E33/SER_summary!E$27)</f>
        <v>39.567858704367623</v>
      </c>
      <c r="F33" s="68">
        <f>IF(SER_hh_tesh_in!F33=0,0,SER_hh_tesh_in!F33/SER_summary!F$27)</f>
        <v>37.367501374433992</v>
      </c>
      <c r="G33" s="68">
        <f>IF(SER_hh_tesh_in!G33=0,0,SER_hh_tesh_in!G33/SER_summary!G$27)</f>
        <v>38.750068340980661</v>
      </c>
      <c r="H33" s="68">
        <f>IF(SER_hh_tesh_in!H33=0,0,SER_hh_tesh_in!H33/SER_summary!H$27)</f>
        <v>38.718189066360196</v>
      </c>
      <c r="I33" s="68">
        <f>IF(SER_hh_tesh_in!I33=0,0,SER_hh_tesh_in!I33/SER_summary!I$27)</f>
        <v>38.891283078327753</v>
      </c>
      <c r="J33" s="68">
        <f>IF(SER_hh_tesh_in!J33=0,0,SER_hh_tesh_in!J33/SER_summary!J$27)</f>
        <v>39.436595381411671</v>
      </c>
      <c r="K33" s="68">
        <f>IF(SER_hh_tesh_in!K33=0,0,SER_hh_tesh_in!K33/SER_summary!K$27)</f>
        <v>0</v>
      </c>
      <c r="L33" s="68">
        <f>IF(SER_hh_tesh_in!L33=0,0,SER_hh_tesh_in!L33/SER_summary!L$27)</f>
        <v>40.048344372332409</v>
      </c>
      <c r="M33" s="68">
        <f>IF(SER_hh_tesh_in!M33=0,0,SER_hh_tesh_in!M33/SER_summary!M$27)</f>
        <v>40.415432145765131</v>
      </c>
      <c r="N33" s="68">
        <f>IF(SER_hh_tesh_in!N33=0,0,SER_hh_tesh_in!N33/SER_summary!N$27)</f>
        <v>40.967580999673643</v>
      </c>
      <c r="O33" s="68">
        <f>IF(SER_hh_tesh_in!O33=0,0,SER_hh_tesh_in!O33/SER_summary!O$27)</f>
        <v>41.236870931392247</v>
      </c>
      <c r="P33" s="68">
        <f>IF(SER_hh_tesh_in!P33=0,0,SER_hh_tesh_in!P33/SER_summary!P$27)</f>
        <v>42.843875528815069</v>
      </c>
      <c r="Q33" s="68">
        <f>IF(SER_hh_tesh_in!Q33=0,0,SER_hh_tesh_in!Q33/SER_summary!Q$27)</f>
        <v>42.462706790901727</v>
      </c>
      <c r="R33" s="68">
        <f>IF(SER_hh_tesh_in!R33=0,0,SER_hh_tesh_in!R33/SER_summary!R$27)</f>
        <v>41.609103841140133</v>
      </c>
      <c r="S33" s="68">
        <f>IF(SER_hh_tesh_in!S33=0,0,SER_hh_tesh_in!S33/SER_summary!S$27)</f>
        <v>43.46494402066331</v>
      </c>
      <c r="T33" s="68">
        <f>IF(SER_hh_tesh_in!T33=0,0,SER_hh_tesh_in!T33/SER_summary!T$27)</f>
        <v>44.598696894911953</v>
      </c>
      <c r="U33" s="68">
        <f>IF(SER_hh_tesh_in!U33=0,0,SER_hh_tesh_in!U33/SER_summary!U$27)</f>
        <v>43.755614718967216</v>
      </c>
      <c r="V33" s="68">
        <f>IF(SER_hh_tesh_in!V33=0,0,SER_hh_tesh_in!V33/SER_summary!V$27)</f>
        <v>42.785231915637524</v>
      </c>
      <c r="W33" s="68">
        <f>IF(SER_hh_tesh_in!W33=0,0,SER_hh_tesh_in!W33/SER_summary!W$27)</f>
        <v>45.690102375520084</v>
      </c>
      <c r="X33" s="68">
        <f>IF(SER_hh_tesh_in!X33=0,0,SER_hh_tesh_in!X33/SER_summary!X$27)</f>
        <v>44.941877050314829</v>
      </c>
      <c r="Y33" s="68">
        <f>IF(SER_hh_tesh_in!Y33=0,0,SER_hh_tesh_in!Y33/SER_summary!Y$27)</f>
        <v>45.246059452143527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50.653551976415685</v>
      </c>
      <c r="D3" s="125">
        <f>IF(SER_hh_emih_in!D3=0,0,SER_hh_emih_in!D3/SER_summary!D$27)</f>
        <v>33.949291767522531</v>
      </c>
      <c r="E3" s="125">
        <f>IF(SER_hh_emih_in!E3=0,0,SER_hh_emih_in!E3/SER_summary!E$27)</f>
        <v>8.5451617010088707</v>
      </c>
      <c r="F3" s="125">
        <f>IF(SER_hh_emih_in!F3=0,0,SER_hh_emih_in!F3/SER_summary!F$27)</f>
        <v>21.499863982526119</v>
      </c>
      <c r="G3" s="125">
        <f>IF(SER_hh_emih_in!G3=0,0,SER_hh_emih_in!G3/SER_summary!G$27)</f>
        <v>29.841745781905242</v>
      </c>
      <c r="H3" s="125">
        <f>IF(SER_hh_emih_in!H3=0,0,SER_hh_emih_in!H3/SER_summary!H$27)</f>
        <v>43.593923823989499</v>
      </c>
      <c r="I3" s="125">
        <f>IF(SER_hh_emih_in!I3=0,0,SER_hh_emih_in!I3/SER_summary!I$27)</f>
        <v>34.268052378470784</v>
      </c>
      <c r="J3" s="125">
        <f>IF(SER_hh_emih_in!J3=0,0,SER_hh_emih_in!J3/SER_summary!J$27)</f>
        <v>48.444645208873951</v>
      </c>
      <c r="K3" s="125">
        <f>IF(SER_hh_emih_in!K3=0,0,SER_hh_emih_in!K3/SER_summary!K$27)</f>
        <v>71.755311000086706</v>
      </c>
      <c r="L3" s="125">
        <f>IF(SER_hh_emih_in!L3=0,0,SER_hh_emih_in!L3/SER_summary!L$27)</f>
        <v>78.532953795360854</v>
      </c>
      <c r="M3" s="125">
        <f>IF(SER_hh_emih_in!M3=0,0,SER_hh_emih_in!M3/SER_summary!M$27)</f>
        <v>47.253489485473679</v>
      </c>
      <c r="N3" s="125">
        <f>IF(SER_hh_emih_in!N3=0,0,SER_hh_emih_in!N3/SER_summary!N$27)</f>
        <v>46.402224104759718</v>
      </c>
      <c r="O3" s="125">
        <f>IF(SER_hh_emih_in!O3=0,0,SER_hh_emih_in!O3/SER_summary!O$27)</f>
        <v>51.506289432792222</v>
      </c>
      <c r="P3" s="125">
        <f>IF(SER_hh_emih_in!P3=0,0,SER_hh_emih_in!P3/SER_summary!P$27)</f>
        <v>44.956955634774395</v>
      </c>
      <c r="Q3" s="125">
        <f>IF(SER_hh_emih_in!Q3=0,0,SER_hh_emih_in!Q3/SER_summary!Q$27)</f>
        <v>49.836794941788547</v>
      </c>
      <c r="R3" s="125">
        <f>IF(SER_hh_emih_in!R3=0,0,SER_hh_emih_in!R3/SER_summary!R$27)</f>
        <v>34.495508886023146</v>
      </c>
      <c r="S3" s="125">
        <f>IF(SER_hh_emih_in!S3=0,0,SER_hh_emih_in!S3/SER_summary!S$27)</f>
        <v>35.077179083300386</v>
      </c>
      <c r="T3" s="125">
        <f>IF(SER_hh_emih_in!T3=0,0,SER_hh_emih_in!T3/SER_summary!T$27)</f>
        <v>18.338081055747345</v>
      </c>
      <c r="U3" s="125">
        <f>IF(SER_hh_emih_in!U3=0,0,SER_hh_emih_in!U3/SER_summary!U$27)</f>
        <v>13.853089642398146</v>
      </c>
      <c r="V3" s="125">
        <f>IF(SER_hh_emih_in!V3=0,0,SER_hh_emih_in!V3/SER_summary!V$27)</f>
        <v>10.922805484690043</v>
      </c>
      <c r="W3" s="125">
        <f>IF(SER_hh_emih_in!W3=0,0,SER_hh_emih_in!W3/SER_summary!W$27)</f>
        <v>22.836154162852708</v>
      </c>
      <c r="X3" s="125">
        <f>IF(SER_hh_emih_in!X3=0,0,SER_hh_emih_in!X3/SER_summary!X$27)</f>
        <v>19.097901561480999</v>
      </c>
      <c r="Y3" s="125">
        <f>IF(SER_hh_emih_in!Y3=0,0,SER_hh_emih_in!Y3/SER_summary!Y$27)</f>
        <v>15.231224693316154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38.894346417524332</v>
      </c>
      <c r="D4" s="130">
        <f>IF(SER_hh_emih_in!D4=0,0,SER_hh_emih_in!D4/SER_summary!D$27)</f>
        <v>25.551567194492261</v>
      </c>
      <c r="E4" s="130">
        <f>IF(SER_hh_emih_in!E4=0,0,SER_hh_emih_in!E4/SER_summary!E$27)</f>
        <v>0.32632453829815106</v>
      </c>
      <c r="F4" s="130">
        <f>IF(SER_hh_emih_in!F4=0,0,SER_hh_emih_in!F4/SER_summary!F$27)</f>
        <v>13.209305607318953</v>
      </c>
      <c r="G4" s="130">
        <f>IF(SER_hh_emih_in!G4=0,0,SER_hh_emih_in!G4/SER_summary!G$27)</f>
        <v>21.826983679323927</v>
      </c>
      <c r="H4" s="130">
        <f>IF(SER_hh_emih_in!H4=0,0,SER_hh_emih_in!H4/SER_summary!H$27)</f>
        <v>36.50732971811378</v>
      </c>
      <c r="I4" s="130">
        <f>IF(SER_hh_emih_in!I4=0,0,SER_hh_emih_in!I4/SER_summary!I$27)</f>
        <v>28.156300024128534</v>
      </c>
      <c r="J4" s="130">
        <f>IF(SER_hh_emih_in!J4=0,0,SER_hh_emih_in!J4/SER_summary!J$27)</f>
        <v>41.043872366707852</v>
      </c>
      <c r="K4" s="130">
        <f>IF(SER_hh_emih_in!K4=0,0,SER_hh_emih_in!K4/SER_summary!K$27)</f>
        <v>48.190275333387561</v>
      </c>
      <c r="L4" s="130">
        <f>IF(SER_hh_emih_in!L4=0,0,SER_hh_emih_in!L4/SER_summary!L$27)</f>
        <v>56.473077435097252</v>
      </c>
      <c r="M4" s="130">
        <f>IF(SER_hh_emih_in!M4=0,0,SER_hh_emih_in!M4/SER_summary!M$27)</f>
        <v>36.602966190948202</v>
      </c>
      <c r="N4" s="130">
        <f>IF(SER_hh_emih_in!N4=0,0,SER_hh_emih_in!N4/SER_summary!N$27)</f>
        <v>38.187828323227073</v>
      </c>
      <c r="O4" s="130">
        <f>IF(SER_hh_emih_in!O4=0,0,SER_hh_emih_in!O4/SER_summary!O$27)</f>
        <v>44.700033236537969</v>
      </c>
      <c r="P4" s="130">
        <f>IF(SER_hh_emih_in!P4=0,0,SER_hh_emih_in!P4/SER_summary!P$27)</f>
        <v>38.645533572397966</v>
      </c>
      <c r="Q4" s="130">
        <f>IF(SER_hh_emih_in!Q4=0,0,SER_hh_emih_in!Q4/SER_summary!Q$27)</f>
        <v>42.688253950716465</v>
      </c>
      <c r="R4" s="130">
        <f>IF(SER_hh_emih_in!R4=0,0,SER_hh_emih_in!R4/SER_summary!R$27)</f>
        <v>27.06433571235852</v>
      </c>
      <c r="S4" s="130">
        <f>IF(SER_hh_emih_in!S4=0,0,SER_hh_emih_in!S4/SER_summary!S$27)</f>
        <v>26.857458246778524</v>
      </c>
      <c r="T4" s="130">
        <f>IF(SER_hh_emih_in!T4=0,0,SER_hh_emih_in!T4/SER_summary!T$27)</f>
        <v>11.007880038368096</v>
      </c>
      <c r="U4" s="130">
        <f>IF(SER_hh_emih_in!U4=0,0,SER_hh_emih_in!U4/SER_summary!U$27)</f>
        <v>6.9334270634655448</v>
      </c>
      <c r="V4" s="130">
        <f>IF(SER_hh_emih_in!V4=0,0,SER_hh_emih_in!V4/SER_summary!V$27)</f>
        <v>4.9102697717536703</v>
      </c>
      <c r="W4" s="130">
        <f>IF(SER_hh_emih_in!W4=0,0,SER_hh_emih_in!W4/SER_summary!W$27)</f>
        <v>11.447953109336467</v>
      </c>
      <c r="X4" s="130">
        <f>IF(SER_hh_emih_in!X4=0,0,SER_hh_emih_in!X4/SER_summary!X$27)</f>
        <v>7.5086892653873836</v>
      </c>
      <c r="Y4" s="130">
        <f>IF(SER_hh_emih_in!Y4=0,0,SER_hh_emih_in!Y4/SER_summary!Y$27)</f>
        <v>7.831770764045884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0</v>
      </c>
      <c r="D5" s="132">
        <f>IF(SER_hh_emih_in!D5=0,0,SER_hh_emih_in!D5/SER_summary!D$27)</f>
        <v>0</v>
      </c>
      <c r="E5" s="132">
        <f>IF(SER_hh_emih_in!E5=0,0,SER_hh_emih_in!E5/SER_summary!E$27)</f>
        <v>0</v>
      </c>
      <c r="F5" s="132">
        <f>IF(SER_hh_emih_in!F5=0,0,SER_hh_emih_in!F5/SER_summary!F$27)</f>
        <v>0</v>
      </c>
      <c r="G5" s="132">
        <f>IF(SER_hh_emih_in!G5=0,0,SER_hh_emih_in!G5/SER_summary!G$27)</f>
        <v>0</v>
      </c>
      <c r="H5" s="132">
        <f>IF(SER_hh_emih_in!H5=0,0,SER_hh_emih_in!H5/SER_summary!H$27)</f>
        <v>0</v>
      </c>
      <c r="I5" s="132">
        <f>IF(SER_hh_emih_in!I5=0,0,SER_hh_emih_in!I5/SER_summary!I$27)</f>
        <v>0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0</v>
      </c>
      <c r="N5" s="132">
        <f>IF(SER_hh_emih_in!N5=0,0,SER_hh_emih_in!N5/SER_summary!N$27)</f>
        <v>0</v>
      </c>
      <c r="O5" s="132">
        <f>IF(SER_hh_emih_in!O5=0,0,SER_hh_emih_in!O5/SER_summary!O$27)</f>
        <v>0</v>
      </c>
      <c r="P5" s="132">
        <f>IF(SER_hh_emih_in!P5=0,0,SER_hh_emih_in!P5/SER_summary!P$27)</f>
        <v>0</v>
      </c>
      <c r="Q5" s="132">
        <f>IF(SER_hh_emih_in!Q5=0,0,SER_hh_emih_in!Q5/SER_summary!Q$27)</f>
        <v>0</v>
      </c>
      <c r="R5" s="132">
        <f>IF(SER_hh_emih_in!R5=0,0,SER_hh_emih_in!R5/SER_summary!R$27)</f>
        <v>0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0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127.41960655695759</v>
      </c>
      <c r="D7" s="132">
        <f>IF(SER_hh_emih_in!D7=0,0,SER_hh_emih_in!D7/SER_summary!D$27)</f>
        <v>118.43885987766986</v>
      </c>
      <c r="E7" s="132">
        <f>IF(SER_hh_emih_in!E7=0,0,SER_hh_emih_in!E7/SER_summary!E$27)</f>
        <v>113.11834999020681</v>
      </c>
      <c r="F7" s="132">
        <f>IF(SER_hh_emih_in!F7=0,0,SER_hh_emih_in!F7/SER_summary!F$27)</f>
        <v>120.1987725130916</v>
      </c>
      <c r="G7" s="132">
        <f>IF(SER_hh_emih_in!G7=0,0,SER_hh_emih_in!G7/SER_summary!G$27)</f>
        <v>0</v>
      </c>
      <c r="H7" s="132">
        <f>IF(SER_hh_emih_in!H7=0,0,SER_hh_emih_in!H7/SER_summary!H$27)</f>
        <v>0</v>
      </c>
      <c r="I7" s="132">
        <f>IF(SER_hh_emih_in!I7=0,0,SER_hh_emih_in!I7/SER_summary!I$27)</f>
        <v>0</v>
      </c>
      <c r="J7" s="132">
        <f>IF(SER_hh_emih_in!J7=0,0,SER_hh_emih_in!J7/SER_summary!J$27)</f>
        <v>0</v>
      </c>
      <c r="K7" s="132">
        <f>IF(SER_hh_emih_in!K7=0,0,SER_hh_emih_in!K7/SER_summary!K$27)</f>
        <v>72.840191645854205</v>
      </c>
      <c r="L7" s="132">
        <f>IF(SER_hh_emih_in!L7=0,0,SER_hh_emih_in!L7/SER_summary!L$27)</f>
        <v>122.99233542330693</v>
      </c>
      <c r="M7" s="132">
        <f>IF(SER_hh_emih_in!M7=0,0,SER_hh_emih_in!M7/SER_summary!M$27)</f>
        <v>79.763103054582061</v>
      </c>
      <c r="N7" s="132">
        <f>IF(SER_hh_emih_in!N7=0,0,SER_hh_emih_in!N7/SER_summary!N$27)</f>
        <v>74.051532303807548</v>
      </c>
      <c r="O7" s="132">
        <f>IF(SER_hh_emih_in!O7=0,0,SER_hh_emih_in!O7/SER_summary!O$27)</f>
        <v>76.792570182925402</v>
      </c>
      <c r="P7" s="132">
        <f>IF(SER_hh_emih_in!P7=0,0,SER_hh_emih_in!P7/SER_summary!P$27)</f>
        <v>54.787599888800038</v>
      </c>
      <c r="Q7" s="132">
        <f>IF(SER_hh_emih_in!Q7=0,0,SER_hh_emih_in!Q7/SER_summary!Q$27)</f>
        <v>65.260797466564625</v>
      </c>
      <c r="R7" s="132">
        <f>IF(SER_hh_emih_in!R7=0,0,SER_hh_emih_in!R7/SER_summary!R$27)</f>
        <v>53.599768783145386</v>
      </c>
      <c r="S7" s="132">
        <f>IF(SER_hh_emih_in!S7=0,0,SER_hh_emih_in!S7/SER_summary!S$27)</f>
        <v>67.008637558550959</v>
      </c>
      <c r="T7" s="132">
        <f>IF(SER_hh_emih_in!T7=0,0,SER_hh_emih_in!T7/SER_summary!T$27)</f>
        <v>58.246163837183381</v>
      </c>
      <c r="U7" s="132">
        <f>IF(SER_hh_emih_in!U7=0,0,SER_hh_emih_in!U7/SER_summary!U$27)</f>
        <v>63.843113447379835</v>
      </c>
      <c r="V7" s="132">
        <f>IF(SER_hh_emih_in!V7=0,0,SER_hh_emih_in!V7/SER_summary!V$27)</f>
        <v>51.676495595655894</v>
      </c>
      <c r="W7" s="132">
        <f>IF(SER_hh_emih_in!W7=0,0,SER_hh_emih_in!W7/SER_summary!W$27)</f>
        <v>32.133055683328202</v>
      </c>
      <c r="X7" s="132">
        <f>IF(SER_hh_emih_in!X7=0,0,SER_hh_emih_in!X7/SER_summary!X$27)</f>
        <v>19.649725236107866</v>
      </c>
      <c r="Y7" s="132">
        <f>IF(SER_hh_emih_in!Y7=0,0,SER_hh_emih_in!Y7/SER_summary!Y$27)</f>
        <v>0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0</v>
      </c>
      <c r="D8" s="132">
        <f>IF(SER_hh_emih_in!D8=0,0,SER_hh_emih_in!D8/SER_summary!D$27)</f>
        <v>0</v>
      </c>
      <c r="E8" s="132">
        <f>IF(SER_hh_emih_in!E8=0,0,SER_hh_emih_in!E8/SER_summary!E$27)</f>
        <v>0</v>
      </c>
      <c r="F8" s="132">
        <f>IF(SER_hh_emih_in!F8=0,0,SER_hh_emih_in!F8/SER_summary!F$27)</f>
        <v>0</v>
      </c>
      <c r="G8" s="132">
        <f>IF(SER_hh_emih_in!G8=0,0,SER_hh_emih_in!G8/SER_summary!G$27)</f>
        <v>0</v>
      </c>
      <c r="H8" s="132">
        <f>IF(SER_hh_emih_in!H8=0,0,SER_hh_emih_in!H8/SER_summary!H$27)</f>
        <v>0</v>
      </c>
      <c r="I8" s="132">
        <f>IF(SER_hh_emih_in!I8=0,0,SER_hh_emih_in!I8/SER_summary!I$27)</f>
        <v>0</v>
      </c>
      <c r="J8" s="132">
        <f>IF(SER_hh_emih_in!J8=0,0,SER_hh_emih_in!J8/SER_summary!J$27)</f>
        <v>0</v>
      </c>
      <c r="K8" s="132">
        <f>IF(SER_hh_emih_in!K8=0,0,SER_hh_emih_in!K8/SER_summary!K$27)</f>
        <v>0</v>
      </c>
      <c r="L8" s="132">
        <f>IF(SER_hh_emih_in!L8=0,0,SER_hh_emih_in!L8/SER_summary!L$27)</f>
        <v>0</v>
      </c>
      <c r="M8" s="132">
        <f>IF(SER_hh_emih_in!M8=0,0,SER_hh_emih_in!M8/SER_summary!M$27)</f>
        <v>0</v>
      </c>
      <c r="N8" s="132">
        <f>IF(SER_hh_emih_in!N8=0,0,SER_hh_emih_in!N8/SER_summary!N$27)</f>
        <v>0</v>
      </c>
      <c r="O8" s="132">
        <f>IF(SER_hh_emih_in!O8=0,0,SER_hh_emih_in!O8/SER_summary!O$27)</f>
        <v>0</v>
      </c>
      <c r="P8" s="132">
        <f>IF(SER_hh_emih_in!P8=0,0,SER_hh_emih_in!P8/SER_summary!P$27)</f>
        <v>0</v>
      </c>
      <c r="Q8" s="132">
        <f>IF(SER_hh_emih_in!Q8=0,0,SER_hh_emih_in!Q8/SER_summary!Q$27)</f>
        <v>0</v>
      </c>
      <c r="R8" s="132">
        <f>IF(SER_hh_emih_in!R8=0,0,SER_hh_emih_in!R8/SER_summary!R$27)</f>
        <v>0</v>
      </c>
      <c r="S8" s="132">
        <f>IF(SER_hh_emih_in!S8=0,0,SER_hh_emih_in!S8/SER_summary!S$27)</f>
        <v>0</v>
      </c>
      <c r="T8" s="132">
        <f>IF(SER_hh_emih_in!T8=0,0,SER_hh_emih_in!T8/SER_summary!T$27)</f>
        <v>0</v>
      </c>
      <c r="U8" s="132">
        <f>IF(SER_hh_emih_in!U8=0,0,SER_hh_emih_in!U8/SER_summary!U$27)</f>
        <v>0</v>
      </c>
      <c r="V8" s="132">
        <f>IF(SER_hh_emih_in!V8=0,0,SER_hh_emih_in!V8/SER_summary!V$27)</f>
        <v>0</v>
      </c>
      <c r="W8" s="132">
        <f>IF(SER_hh_emih_in!W8=0,0,SER_hh_emih_in!W8/SER_summary!W$27)</f>
        <v>0</v>
      </c>
      <c r="X8" s="132">
        <f>IF(SER_hh_emih_in!X8=0,0,SER_hh_emih_in!X8/SER_summary!X$27)</f>
        <v>0</v>
      </c>
      <c r="Y8" s="132">
        <f>IF(SER_hh_emih_in!Y8=0,0,SER_hh_emih_in!Y8/SER_summary!Y$27)</f>
        <v>0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70.790794453025114</v>
      </c>
      <c r="D9" s="132">
        <f>IF(SER_hh_emih_in!D9=0,0,SER_hh_emih_in!D9/SER_summary!D$27)</f>
        <v>79.096208050469286</v>
      </c>
      <c r="E9" s="132">
        <f>IF(SER_hh_emih_in!E9=0,0,SER_hh_emih_in!E9/SER_summary!E$27)</f>
        <v>0</v>
      </c>
      <c r="F9" s="132">
        <f>IF(SER_hh_emih_in!F9=0,0,SER_hh_emih_in!F9/SER_summary!F$27)</f>
        <v>81.38276449086824</v>
      </c>
      <c r="G9" s="132">
        <f>IF(SER_hh_emih_in!G9=0,0,SER_hh_emih_in!G9/SER_summary!G$27)</f>
        <v>67.926095495516989</v>
      </c>
      <c r="H9" s="132">
        <f>IF(SER_hh_emih_in!H9=0,0,SER_hh_emih_in!H9/SER_summary!H$27)</f>
        <v>81.29260587222106</v>
      </c>
      <c r="I9" s="132">
        <f>IF(SER_hh_emih_in!I9=0,0,SER_hh_emih_in!I9/SER_summary!I$27)</f>
        <v>63.39407516786877</v>
      </c>
      <c r="J9" s="132">
        <f>IF(SER_hh_emih_in!J9=0,0,SER_hh_emih_in!J9/SER_summary!J$27)</f>
        <v>74.968634193884043</v>
      </c>
      <c r="K9" s="132">
        <f>IF(SER_hh_emih_in!K9=0,0,SER_hh_emih_in!K9/SER_summary!K$27)</f>
        <v>75.122365289248194</v>
      </c>
      <c r="L9" s="132">
        <f>IF(SER_hh_emih_in!L9=0,0,SER_hh_emih_in!L9/SER_summary!L$27)</f>
        <v>86.512469316864596</v>
      </c>
      <c r="M9" s="132">
        <f>IF(SER_hh_emih_in!M9=0,0,SER_hh_emih_in!M9/SER_summary!M$27)</f>
        <v>33.913480967517316</v>
      </c>
      <c r="N9" s="132">
        <f>IF(SER_hh_emih_in!N9=0,0,SER_hh_emih_in!N9/SER_summary!N$27)</f>
        <v>58.664649298784141</v>
      </c>
      <c r="O9" s="132">
        <f>IF(SER_hh_emih_in!O9=0,0,SER_hh_emih_in!O9/SER_summary!O$27)</f>
        <v>52.814734891410744</v>
      </c>
      <c r="P9" s="132">
        <f>IF(SER_hh_emih_in!P9=0,0,SER_hh_emih_in!P9/SER_summary!P$27)</f>
        <v>37.393200583392193</v>
      </c>
      <c r="Q9" s="132">
        <f>IF(SER_hh_emih_in!Q9=0,0,SER_hh_emih_in!Q9/SER_summary!Q$27)</f>
        <v>40.176556103835374</v>
      </c>
      <c r="R9" s="132">
        <f>IF(SER_hh_emih_in!R9=0,0,SER_hh_emih_in!R9/SER_summary!R$27)</f>
        <v>44.12504625344728</v>
      </c>
      <c r="S9" s="132">
        <f>IF(SER_hh_emih_in!S9=0,0,SER_hh_emih_in!S9/SER_summary!S$27)</f>
        <v>0</v>
      </c>
      <c r="T9" s="132">
        <f>IF(SER_hh_emih_in!T9=0,0,SER_hh_emih_in!T9/SER_summary!T$27)</f>
        <v>0</v>
      </c>
      <c r="U9" s="132">
        <f>IF(SER_hh_emih_in!U9=0,0,SER_hh_emih_in!U9/SER_summary!U$27)</f>
        <v>39.433355509768269</v>
      </c>
      <c r="V9" s="132">
        <f>IF(SER_hh_emih_in!V9=0,0,SER_hh_emih_in!V9/SER_summary!V$27)</f>
        <v>26.527488732609996</v>
      </c>
      <c r="W9" s="132">
        <f>IF(SER_hh_emih_in!W9=0,0,SER_hh_emih_in!W9/SER_summary!W$27)</f>
        <v>30.434234432493508</v>
      </c>
      <c r="X9" s="132">
        <f>IF(SER_hh_emih_in!X9=0,0,SER_hh_emih_in!X9/SER_summary!X$27)</f>
        <v>15.487340199180398</v>
      </c>
      <c r="Y9" s="132">
        <f>IF(SER_hh_emih_in!Y9=0,0,SER_hh_emih_in!Y9/SER_summary!Y$27)</f>
        <v>13.754182854905453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0</v>
      </c>
      <c r="O10" s="132">
        <f>IF(SER_hh_emih_in!O10=0,0,SER_hh_emih_in!O10/SER_summary!O$27)</f>
        <v>0</v>
      </c>
      <c r="P10" s="132">
        <f>IF(SER_hh_emih_in!P10=0,0,SER_hh_emih_in!P10/SER_summary!P$27)</f>
        <v>0</v>
      </c>
      <c r="Q10" s="132">
        <f>IF(SER_hh_emih_in!Q10=0,0,SER_hh_emih_in!Q10/SER_summary!Q$27)</f>
        <v>0</v>
      </c>
      <c r="R10" s="132">
        <f>IF(SER_hh_emih_in!R10=0,0,SER_hh_emih_in!R10/SER_summary!R$27)</f>
        <v>0</v>
      </c>
      <c r="S10" s="132">
        <f>IF(SER_hh_emih_in!S10=0,0,SER_hh_emih_in!S10/SER_summary!S$27)</f>
        <v>0</v>
      </c>
      <c r="T10" s="132">
        <f>IF(SER_hh_emih_in!T10=0,0,SER_hh_emih_in!T10/SER_summary!T$27)</f>
        <v>0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0</v>
      </c>
      <c r="X10" s="132">
        <f>IF(SER_hh_emih_in!X10=0,0,SER_hh_emih_in!X10/SER_summary!X$27)</f>
        <v>0</v>
      </c>
      <c r="Y10" s="132">
        <f>IF(SER_hh_emih_in!Y10=0,0,SER_hh_emih_in!Y10/SER_summary!Y$27)</f>
        <v>0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3.2052681208766226E-2</v>
      </c>
      <c r="D16" s="130">
        <f>IF(SER_hh_emih_in!D16=0,0,SER_hh_emih_in!D16/SER_summary!D$27)</f>
        <v>4.7554482355900284E-2</v>
      </c>
      <c r="E16" s="130">
        <f>IF(SER_hh_emih_in!E16=0,0,SER_hh_emih_in!E16/SER_summary!E$27)</f>
        <v>0</v>
      </c>
      <c r="F16" s="130">
        <f>IF(SER_hh_emih_in!F16=0,0,SER_hh_emih_in!F16/SER_summary!F$27)</f>
        <v>9.6143122011020002E-2</v>
      </c>
      <c r="G16" s="130">
        <f>IF(SER_hh_emih_in!G16=0,0,SER_hh_emih_in!G16/SER_summary!G$27)</f>
        <v>2.2914326401060146E-2</v>
      </c>
      <c r="H16" s="130">
        <f>IF(SER_hh_emih_in!H16=0,0,SER_hh_emih_in!H16/SER_summary!H$27)</f>
        <v>4.6819220286394993E-2</v>
      </c>
      <c r="I16" s="130">
        <f>IF(SER_hh_emih_in!I16=0,0,SER_hh_emih_in!I16/SER_summary!I$27)</f>
        <v>7.5717381966402347E-2</v>
      </c>
      <c r="J16" s="130">
        <f>IF(SER_hh_emih_in!J16=0,0,SER_hh_emih_in!J16/SER_summary!J$27)</f>
        <v>3.6341453340142452E-2</v>
      </c>
      <c r="K16" s="130">
        <f>IF(SER_hh_emih_in!K16=0,0,SER_hh_emih_in!K16/SER_summary!K$27)</f>
        <v>6.1888027829769071E-2</v>
      </c>
      <c r="L16" s="130">
        <f>IF(SER_hh_emih_in!L16=0,0,SER_hh_emih_in!L16/SER_summary!L$27)</f>
        <v>4.4057157811409918E-2</v>
      </c>
      <c r="M16" s="130">
        <f>IF(SER_hh_emih_in!M16=0,0,SER_hh_emih_in!M16/SER_summary!M$27)</f>
        <v>5.7755045655994125E-2</v>
      </c>
      <c r="N16" s="130">
        <f>IF(SER_hh_emih_in!N16=0,0,SER_hh_emih_in!N16/SER_summary!N$27)</f>
        <v>5.6329053956614597E-2</v>
      </c>
      <c r="O16" s="130">
        <f>IF(SER_hh_emih_in!O16=0,0,SER_hh_emih_in!O16/SER_summary!O$27)</f>
        <v>9.8850856789476291E-2</v>
      </c>
      <c r="P16" s="130">
        <f>IF(SER_hh_emih_in!P16=0,0,SER_hh_emih_in!P16/SER_summary!P$27)</f>
        <v>0.15843604721476007</v>
      </c>
      <c r="Q16" s="130">
        <f>IF(SER_hh_emih_in!Q16=0,0,SER_hh_emih_in!Q16/SER_summary!Q$27)</f>
        <v>0.13747991954957653</v>
      </c>
      <c r="R16" s="130">
        <f>IF(SER_hh_emih_in!R16=0,0,SER_hh_emih_in!R16/SER_summary!R$27)</f>
        <v>0.26222519488438317</v>
      </c>
      <c r="S16" s="130">
        <f>IF(SER_hh_emih_in!S16=0,0,SER_hh_emih_in!S16/SER_summary!S$27)</f>
        <v>0.14511279724351367</v>
      </c>
      <c r="T16" s="130">
        <f>IF(SER_hh_emih_in!T16=0,0,SER_hh_emih_in!T16/SER_summary!T$27)</f>
        <v>7.478279612623849E-2</v>
      </c>
      <c r="U16" s="130">
        <f>IF(SER_hh_emih_in!U16=0,0,SER_hh_emih_in!U16/SER_summary!U$27)</f>
        <v>0.13198584934828531</v>
      </c>
      <c r="V16" s="130">
        <f>IF(SER_hh_emih_in!V16=0,0,SER_hh_emih_in!V16/SER_summary!V$27)</f>
        <v>0.12197111836420053</v>
      </c>
      <c r="W16" s="130">
        <f>IF(SER_hh_emih_in!W16=0,0,SER_hh_emih_in!W16/SER_summary!W$27)</f>
        <v>0.11041102227858114</v>
      </c>
      <c r="X16" s="130">
        <f>IF(SER_hh_emih_in!X16=0,0,SER_hh_emih_in!X16/SER_summary!X$27)</f>
        <v>7.8102259530146892E-2</v>
      </c>
      <c r="Y16" s="130">
        <f>IF(SER_hh_emih_in!Y16=0,0,SER_hh_emih_in!Y16/SER_summary!Y$27)</f>
        <v>8.110356095825734E-2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6.4447968094883024</v>
      </c>
      <c r="D17" s="132">
        <f>IF(SER_hh_emih_in!D17=0,0,SER_hh_emih_in!D17/SER_summary!D$27)</f>
        <v>6.3874700925541283</v>
      </c>
      <c r="E17" s="132">
        <f>IF(SER_hh_emih_in!E17=0,0,SER_hh_emih_in!E17/SER_summary!E$27)</f>
        <v>0</v>
      </c>
      <c r="F17" s="132">
        <f>IF(SER_hh_emih_in!F17=0,0,SER_hh_emih_in!F17/SER_summary!F$27)</f>
        <v>5.9477378379695613</v>
      </c>
      <c r="G17" s="132">
        <f>IF(SER_hh_emih_in!G17=0,0,SER_hh_emih_in!G17/SER_summary!G$27)</f>
        <v>5.9668396497482918</v>
      </c>
      <c r="H17" s="132">
        <f>IF(SER_hh_emih_in!H17=0,0,SER_hh_emih_in!H17/SER_summary!H$27)</f>
        <v>6.8301457303633804</v>
      </c>
      <c r="I17" s="132">
        <f>IF(SER_hh_emih_in!I17=0,0,SER_hh_emih_in!I17/SER_summary!I$27)</f>
        <v>5.5189882326695754</v>
      </c>
      <c r="J17" s="132">
        <f>IF(SER_hh_emih_in!J17=0,0,SER_hh_emih_in!J17/SER_summary!J$27)</f>
        <v>5.3400351183033008</v>
      </c>
      <c r="K17" s="132">
        <f>IF(SER_hh_emih_in!K17=0,0,SER_hh_emih_in!K17/SER_summary!K$27)</f>
        <v>6.1406039881353971</v>
      </c>
      <c r="L17" s="132">
        <f>IF(SER_hh_emih_in!L17=0,0,SER_hh_emih_in!L17/SER_summary!L$27)</f>
        <v>5.3974626309886462</v>
      </c>
      <c r="M17" s="132">
        <f>IF(SER_hh_emih_in!M17=0,0,SER_hh_emih_in!M17/SER_summary!M$27)</f>
        <v>4.8489677642513103</v>
      </c>
      <c r="N17" s="132">
        <f>IF(SER_hh_emih_in!N17=0,0,SER_hh_emih_in!N17/SER_summary!N$27)</f>
        <v>4.8028822241822962</v>
      </c>
      <c r="O17" s="132">
        <f>IF(SER_hh_emih_in!O17=0,0,SER_hh_emih_in!O17/SER_summary!O$27)</f>
        <v>4.7099914541321768</v>
      </c>
      <c r="P17" s="132">
        <f>IF(SER_hh_emih_in!P17=0,0,SER_hh_emih_in!P17/SER_summary!P$27)</f>
        <v>4.369356002626378</v>
      </c>
      <c r="Q17" s="132">
        <f>IF(SER_hh_emih_in!Q17=0,0,SER_hh_emih_in!Q17/SER_summary!Q$27)</f>
        <v>4.7247531283592012</v>
      </c>
      <c r="R17" s="132">
        <f>IF(SER_hh_emih_in!R17=0,0,SER_hh_emih_in!R17/SER_summary!R$27)</f>
        <v>4.1153581635527239</v>
      </c>
      <c r="S17" s="132">
        <f>IF(SER_hh_emih_in!S17=0,0,SER_hh_emih_in!S17/SER_summary!S$27)</f>
        <v>3.9678676368602859</v>
      </c>
      <c r="T17" s="132">
        <f>IF(SER_hh_emih_in!T17=0,0,SER_hh_emih_in!T17/SER_summary!T$27)</f>
        <v>4.0060123765507845</v>
      </c>
      <c r="U17" s="132">
        <f>IF(SER_hh_emih_in!U17=0,0,SER_hh_emih_in!U17/SER_summary!U$27)</f>
        <v>3.7250302749065578</v>
      </c>
      <c r="V17" s="132">
        <f>IF(SER_hh_emih_in!V17=0,0,SER_hh_emih_in!V17/SER_summary!V$27)</f>
        <v>3.4010087428321163</v>
      </c>
      <c r="W17" s="132">
        <f>IF(SER_hh_emih_in!W17=0,0,SER_hh_emih_in!W17/SER_summary!W$27)</f>
        <v>2.779216751415384</v>
      </c>
      <c r="X17" s="132">
        <f>IF(SER_hh_emih_in!X17=0,0,SER_hh_emih_in!X17/SER_summary!X$27)</f>
        <v>2.2103124539674939</v>
      </c>
      <c r="Y17" s="132">
        <f>IF(SER_hh_emih_in!Y17=0,0,SER_hh_emih_in!Y17/SER_summary!Y$27)</f>
        <v>2.1888130459832063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4.6229347762987505</v>
      </c>
      <c r="D19" s="130">
        <f>IF(SER_hh_emih_in!D19=0,0,SER_hh_emih_in!D19/SER_summary!D$27)</f>
        <v>4.4869000044690566</v>
      </c>
      <c r="E19" s="130">
        <f>IF(SER_hh_emih_in!E19=0,0,SER_hh_emih_in!E19/SER_summary!E$27)</f>
        <v>4.6124163382464705</v>
      </c>
      <c r="F19" s="130">
        <f>IF(SER_hh_emih_in!F19=0,0,SER_hh_emih_in!F19/SER_summary!F$27)</f>
        <v>4.8434698858708174</v>
      </c>
      <c r="G19" s="130">
        <f>IF(SER_hh_emih_in!G19=0,0,SER_hh_emih_in!G19/SER_summary!G$27)</f>
        <v>3.8162756134517073</v>
      </c>
      <c r="H19" s="130">
        <f>IF(SER_hh_emih_in!H19=0,0,SER_hh_emih_in!H19/SER_summary!H$27)</f>
        <v>2.252105947855398</v>
      </c>
      <c r="I19" s="130">
        <f>IF(SER_hh_emih_in!I19=0,0,SER_hh_emih_in!I19/SER_summary!I$27)</f>
        <v>2.3529328533898761</v>
      </c>
      <c r="J19" s="130">
        <f>IF(SER_hh_emih_in!J19=0,0,SER_hh_emih_in!J19/SER_summary!J$27)</f>
        <v>3.9999036047519767</v>
      </c>
      <c r="K19" s="130">
        <f>IF(SER_hh_emih_in!K19=0,0,SER_hh_emih_in!K19/SER_summary!K$27)</f>
        <v>3.5736505397062759</v>
      </c>
      <c r="L19" s="130">
        <f>IF(SER_hh_emih_in!L19=0,0,SER_hh_emih_in!L19/SER_summary!L$27)</f>
        <v>8.4645234259257816</v>
      </c>
      <c r="M19" s="130">
        <f>IF(SER_hh_emih_in!M19=0,0,SER_hh_emih_in!M19/SER_summary!M$27)</f>
        <v>3.8822132112184771</v>
      </c>
      <c r="N19" s="130">
        <f>IF(SER_hh_emih_in!N19=0,0,SER_hh_emih_in!N19/SER_summary!N$27)</f>
        <v>5.6226457984858058</v>
      </c>
      <c r="O19" s="130">
        <f>IF(SER_hh_emih_in!O19=0,0,SER_hh_emih_in!O19/SER_summary!O$27)</f>
        <v>4.4957345839222471</v>
      </c>
      <c r="P19" s="130">
        <f>IF(SER_hh_emih_in!P19=0,0,SER_hh_emih_in!P19/SER_summary!P$27)</f>
        <v>4.6932287761888949</v>
      </c>
      <c r="Q19" s="130">
        <f>IF(SER_hh_emih_in!Q19=0,0,SER_hh_emih_in!Q19/SER_summary!Q$27)</f>
        <v>4.6451619372655646</v>
      </c>
      <c r="R19" s="130">
        <f>IF(SER_hh_emih_in!R19=0,0,SER_hh_emih_in!R19/SER_summary!R$27)</f>
        <v>4.658993939276038</v>
      </c>
      <c r="S19" s="130">
        <f>IF(SER_hh_emih_in!S19=0,0,SER_hh_emih_in!S19/SER_summary!S$27)</f>
        <v>6.2542673529435353</v>
      </c>
      <c r="T19" s="130">
        <f>IF(SER_hh_emih_in!T19=0,0,SER_hh_emih_in!T19/SER_summary!T$27)</f>
        <v>3.887749960338418</v>
      </c>
      <c r="U19" s="130">
        <f>IF(SER_hh_emih_in!U19=0,0,SER_hh_emih_in!U19/SER_summary!U$27)</f>
        <v>3.6698755065595452</v>
      </c>
      <c r="V19" s="130">
        <f>IF(SER_hh_emih_in!V19=0,0,SER_hh_emih_in!V19/SER_summary!V$27)</f>
        <v>1.4363689529908292</v>
      </c>
      <c r="W19" s="130">
        <f>IF(SER_hh_emih_in!W19=0,0,SER_hh_emih_in!W19/SER_summary!W$27)</f>
        <v>1.8886125787762698</v>
      </c>
      <c r="X19" s="130">
        <f>IF(SER_hh_emih_in!X19=0,0,SER_hh_emih_in!X19/SER_summary!X$27)</f>
        <v>1.5236934062389307</v>
      </c>
      <c r="Y19" s="130">
        <f>IF(SER_hh_emih_in!Y19=0,0,SER_hh_emih_in!Y19/SER_summary!Y$27)</f>
        <v>1.3553095520981298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0</v>
      </c>
      <c r="D21" s="132">
        <f>IF(SER_hh_emih_in!D21=0,0,SER_hh_emih_in!D21/SER_summary!D$27)</f>
        <v>0</v>
      </c>
      <c r="E21" s="132">
        <f>IF(SER_hh_emih_in!E21=0,0,SER_hh_emih_in!E21/SER_summary!E$27)</f>
        <v>0</v>
      </c>
      <c r="F21" s="132">
        <f>IF(SER_hh_emih_in!F21=0,0,SER_hh_emih_in!F21/SER_summary!F$27)</f>
        <v>0</v>
      </c>
      <c r="G21" s="132">
        <f>IF(SER_hh_emih_in!G21=0,0,SER_hh_emih_in!G21/SER_summary!G$27)</f>
        <v>0</v>
      </c>
      <c r="H21" s="132">
        <f>IF(SER_hh_emih_in!H21=0,0,SER_hh_emih_in!H21/SER_summary!H$27)</f>
        <v>0</v>
      </c>
      <c r="I21" s="132">
        <f>IF(SER_hh_emih_in!I21=0,0,SER_hh_emih_in!I21/SER_summary!I$27)</f>
        <v>0</v>
      </c>
      <c r="J21" s="132">
        <f>IF(SER_hh_emih_in!J21=0,0,SER_hh_emih_in!J21/SER_summary!J$27)</f>
        <v>0</v>
      </c>
      <c r="K21" s="132">
        <f>IF(SER_hh_emih_in!K21=0,0,SER_hh_emih_in!K21/SER_summary!K$27)</f>
        <v>0</v>
      </c>
      <c r="L21" s="132">
        <f>IF(SER_hh_emih_in!L21=0,0,SER_hh_emih_in!L21/SER_summary!L$27)</f>
        <v>0</v>
      </c>
      <c r="M21" s="132">
        <f>IF(SER_hh_emih_in!M21=0,0,SER_hh_emih_in!M21/SER_summary!M$27)</f>
        <v>0</v>
      </c>
      <c r="N21" s="132">
        <f>IF(SER_hh_emih_in!N21=0,0,SER_hh_emih_in!N21/SER_summary!N$27)</f>
        <v>0</v>
      </c>
      <c r="O21" s="132">
        <f>IF(SER_hh_emih_in!O21=0,0,SER_hh_emih_in!O21/SER_summary!O$27)</f>
        <v>0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0</v>
      </c>
      <c r="S21" s="132">
        <f>IF(SER_hh_emih_in!S21=0,0,SER_hh_emih_in!S21/SER_summary!S$27)</f>
        <v>0</v>
      </c>
      <c r="T21" s="132">
        <f>IF(SER_hh_emih_in!T21=0,0,SER_hh_emih_in!T21/SER_summary!T$27)</f>
        <v>0</v>
      </c>
      <c r="U21" s="132">
        <f>IF(SER_hh_emih_in!U21=0,0,SER_hh_emih_in!U21/SER_summary!U$27)</f>
        <v>0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0</v>
      </c>
      <c r="Y21" s="132">
        <f>IF(SER_hh_emih_in!Y21=0,0,SER_hh_emih_in!Y21/SER_summary!Y$27)</f>
        <v>0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15.431139907988673</v>
      </c>
      <c r="D22" s="132">
        <f>IF(SER_hh_emih_in!D22=0,0,SER_hh_emih_in!D22/SER_summary!D$27)</f>
        <v>15.580069247659955</v>
      </c>
      <c r="E22" s="132">
        <f>IF(SER_hh_emih_in!E22=0,0,SER_hh_emih_in!E22/SER_summary!E$27)</f>
        <v>15.442838810522176</v>
      </c>
      <c r="F22" s="132">
        <f>IF(SER_hh_emih_in!F22=0,0,SER_hh_emih_in!F22/SER_summary!F$27)</f>
        <v>15.724699027249523</v>
      </c>
      <c r="G22" s="132">
        <f>IF(SER_hh_emih_in!G22=0,0,SER_hh_emih_in!G22/SER_summary!G$27)</f>
        <v>0</v>
      </c>
      <c r="H22" s="132">
        <f>IF(SER_hh_emih_in!H22=0,0,SER_hh_emih_in!H22/SER_summary!H$27)</f>
        <v>0</v>
      </c>
      <c r="I22" s="132">
        <f>IF(SER_hh_emih_in!I22=0,0,SER_hh_emih_in!I22/SER_summary!I$27)</f>
        <v>0</v>
      </c>
      <c r="J22" s="132">
        <f>IF(SER_hh_emih_in!J22=0,0,SER_hh_emih_in!J22/SER_summary!J$27)</f>
        <v>0</v>
      </c>
      <c r="K22" s="132">
        <f>IF(SER_hh_emih_in!K22=0,0,SER_hh_emih_in!K22/SER_summary!K$27)</f>
        <v>12.461936387220534</v>
      </c>
      <c r="L22" s="132">
        <f>IF(SER_hh_emih_in!L22=0,0,SER_hh_emih_in!L22/SER_summary!L$27)</f>
        <v>16.845862803979262</v>
      </c>
      <c r="M22" s="132">
        <f>IF(SER_hh_emih_in!M22=0,0,SER_hh_emih_in!M22/SER_summary!M$27)</f>
        <v>11.069456184198225</v>
      </c>
      <c r="N22" s="132">
        <f>IF(SER_hh_emih_in!N22=0,0,SER_hh_emih_in!N22/SER_summary!N$27)</f>
        <v>14.31826846925815</v>
      </c>
      <c r="O22" s="132">
        <f>IF(SER_hh_emih_in!O22=0,0,SER_hh_emih_in!O22/SER_summary!O$27)</f>
        <v>12.935450888127999</v>
      </c>
      <c r="P22" s="132">
        <f>IF(SER_hh_emih_in!P22=0,0,SER_hh_emih_in!P22/SER_summary!P$27)</f>
        <v>12.500987243043161</v>
      </c>
      <c r="Q22" s="132">
        <f>IF(SER_hh_emih_in!Q22=0,0,SER_hh_emih_in!Q22/SER_summary!Q$27)</f>
        <v>11.046349188214503</v>
      </c>
      <c r="R22" s="132">
        <f>IF(SER_hh_emih_in!R22=0,0,SER_hh_emih_in!R22/SER_summary!R$27)</f>
        <v>9.2309538311913997</v>
      </c>
      <c r="S22" s="132">
        <f>IF(SER_hh_emih_in!S22=0,0,SER_hh_emih_in!S22/SER_summary!S$27)</f>
        <v>11.838838353994806</v>
      </c>
      <c r="T22" s="132">
        <f>IF(SER_hh_emih_in!T22=0,0,SER_hh_emih_in!T22/SER_summary!T$27)</f>
        <v>11.003837039070969</v>
      </c>
      <c r="U22" s="132">
        <f>IF(SER_hh_emih_in!U22=0,0,SER_hh_emih_in!U22/SER_summary!U$27)</f>
        <v>11.069151003174566</v>
      </c>
      <c r="V22" s="132">
        <f>IF(SER_hh_emih_in!V22=0,0,SER_hh_emih_in!V22/SER_summary!V$27)</f>
        <v>8.8258145246498181</v>
      </c>
      <c r="W22" s="132">
        <f>IF(SER_hh_emih_in!W22=0,0,SER_hh_emih_in!W22/SER_summary!W$27)</f>
        <v>10.153691056239163</v>
      </c>
      <c r="X22" s="132">
        <f>IF(SER_hh_emih_in!X22=0,0,SER_hh_emih_in!X22/SER_summary!X$27)</f>
        <v>0</v>
      </c>
      <c r="Y22" s="132">
        <f>IF(SER_hh_emih_in!Y22=0,0,SER_hh_emih_in!Y22/SER_summary!Y$27)</f>
        <v>0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10.816670859377558</v>
      </c>
      <c r="D23" s="132">
        <f>IF(SER_hh_emih_in!D23=0,0,SER_hh_emih_in!D23/SER_summary!D$27)</f>
        <v>10.531387741141828</v>
      </c>
      <c r="E23" s="132">
        <f>IF(SER_hh_emih_in!E23=0,0,SER_hh_emih_in!E23/SER_summary!E$27)</f>
        <v>10.80052193419891</v>
      </c>
      <c r="F23" s="132">
        <f>IF(SER_hh_emih_in!F23=0,0,SER_hh_emih_in!F23/SER_summary!F$27)</f>
        <v>10.320498312045045</v>
      </c>
      <c r="G23" s="132">
        <f>IF(SER_hh_emih_in!G23=0,0,SER_hh_emih_in!G23/SER_summary!G$27)</f>
        <v>10.199001915439775</v>
      </c>
      <c r="H23" s="132">
        <f>IF(SER_hh_emih_in!H23=0,0,SER_hh_emih_in!H23/SER_summary!H$27)</f>
        <v>9.8103781808131263</v>
      </c>
      <c r="I23" s="132">
        <f>IF(SER_hh_emih_in!I23=0,0,SER_hh_emih_in!I23/SER_summary!I$27)</f>
        <v>9.4239201986042378</v>
      </c>
      <c r="J23" s="132">
        <f>IF(SER_hh_emih_in!J23=0,0,SER_hh_emih_in!J23/SER_summary!J$27)</f>
        <v>10.38952962640205</v>
      </c>
      <c r="K23" s="132">
        <f>IF(SER_hh_emih_in!K23=0,0,SER_hh_emih_in!K23/SER_summary!K$27)</f>
        <v>9.2461385190850063</v>
      </c>
      <c r="L23" s="132">
        <f>IF(SER_hh_emih_in!L23=0,0,SER_hh_emih_in!L23/SER_summary!L$27)</f>
        <v>10.02039159359153</v>
      </c>
      <c r="M23" s="132">
        <f>IF(SER_hh_emih_in!M23=0,0,SER_hh_emih_in!M23/SER_summary!M$27)</f>
        <v>9.2275277686290025</v>
      </c>
      <c r="N23" s="132">
        <f>IF(SER_hh_emih_in!N23=0,0,SER_hh_emih_in!N23/SER_summary!N$27)</f>
        <v>8.5812510767236923</v>
      </c>
      <c r="O23" s="132">
        <f>IF(SER_hh_emih_in!O23=0,0,SER_hh_emih_in!O23/SER_summary!O$27)</f>
        <v>8.3800523688358997</v>
      </c>
      <c r="P23" s="132">
        <f>IF(SER_hh_emih_in!P23=0,0,SER_hh_emih_in!P23/SER_summary!P$27)</f>
        <v>8.451382851745926</v>
      </c>
      <c r="Q23" s="132">
        <f>IF(SER_hh_emih_in!Q23=0,0,SER_hh_emih_in!Q23/SER_summary!Q$27)</f>
        <v>9.2058011675982208</v>
      </c>
      <c r="R23" s="132">
        <f>IF(SER_hh_emih_in!R23=0,0,SER_hh_emih_in!R23/SER_summary!R$27)</f>
        <v>9.5482635357133869</v>
      </c>
      <c r="S23" s="132">
        <f>IF(SER_hh_emih_in!S23=0,0,SER_hh_emih_in!S23/SER_summary!S$27)</f>
        <v>6.854168862113351</v>
      </c>
      <c r="T23" s="132">
        <f>IF(SER_hh_emih_in!T23=0,0,SER_hh_emih_in!T23/SER_summary!T$27)</f>
        <v>0</v>
      </c>
      <c r="U23" s="132">
        <f>IF(SER_hh_emih_in!U23=0,0,SER_hh_emih_in!U23/SER_summary!U$27)</f>
        <v>7.7039248083861933</v>
      </c>
      <c r="V23" s="132">
        <f>IF(SER_hh_emih_in!V23=0,0,SER_hh_emih_in!V23/SER_summary!V$27)</f>
        <v>5.0488302581712912</v>
      </c>
      <c r="W23" s="132">
        <f>IF(SER_hh_emih_in!W23=0,0,SER_hh_emih_in!W23/SER_summary!W$27)</f>
        <v>7.1342921233132266</v>
      </c>
      <c r="X23" s="132">
        <f>IF(SER_hh_emih_in!X23=0,0,SER_hh_emih_in!X23/SER_summary!X$27)</f>
        <v>6.9331260479905898</v>
      </c>
      <c r="Y23" s="132">
        <f>IF(SER_hh_emih_in!Y23=0,0,SER_hh_emih_in!Y23/SER_summary!Y$27)</f>
        <v>7.0102740579381768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7.1042181013838306</v>
      </c>
      <c r="D29" s="130">
        <f>IF(SER_hh_emih_in!D29=0,0,SER_hh_emih_in!D29/SER_summary!D$27)</f>
        <v>3.8632700862053153</v>
      </c>
      <c r="E29" s="130">
        <f>IF(SER_hh_emih_in!E29=0,0,SER_hh_emih_in!E29/SER_summary!E$27)</f>
        <v>3.6064208244642502</v>
      </c>
      <c r="F29" s="130">
        <f>IF(SER_hh_emih_in!F29=0,0,SER_hh_emih_in!F29/SER_summary!F$27)</f>
        <v>3.3509453673253287</v>
      </c>
      <c r="G29" s="130">
        <f>IF(SER_hh_emih_in!G29=0,0,SER_hh_emih_in!G29/SER_summary!G$27)</f>
        <v>4.1755721627285434</v>
      </c>
      <c r="H29" s="130">
        <f>IF(SER_hh_emih_in!H29=0,0,SER_hh_emih_in!H29/SER_summary!H$27)</f>
        <v>4.7876689377339243</v>
      </c>
      <c r="I29" s="130">
        <f>IF(SER_hh_emih_in!I29=0,0,SER_hh_emih_in!I29/SER_summary!I$27)</f>
        <v>3.6831021189859743</v>
      </c>
      <c r="J29" s="130">
        <f>IF(SER_hh_emih_in!J29=0,0,SER_hh_emih_in!J29/SER_summary!J$27)</f>
        <v>3.3645277840739718</v>
      </c>
      <c r="K29" s="130">
        <f>IF(SER_hh_emih_in!K29=0,0,SER_hh_emih_in!K29/SER_summary!K$27)</f>
        <v>19.929497099163108</v>
      </c>
      <c r="L29" s="130">
        <f>IF(SER_hh_emih_in!L29=0,0,SER_hh_emih_in!L29/SER_summary!L$27)</f>
        <v>13.551295776526398</v>
      </c>
      <c r="M29" s="130">
        <f>IF(SER_hh_emih_in!M29=0,0,SER_hh_emih_in!M29/SER_summary!M$27)</f>
        <v>6.710555037651007</v>
      </c>
      <c r="N29" s="130">
        <f>IF(SER_hh_emih_in!N29=0,0,SER_hh_emih_in!N29/SER_summary!N$27)</f>
        <v>2.5354209290902188</v>
      </c>
      <c r="O29" s="130">
        <f>IF(SER_hh_emih_in!O29=0,0,SER_hh_emih_in!O29/SER_summary!O$27)</f>
        <v>2.2116707555425323</v>
      </c>
      <c r="P29" s="130">
        <f>IF(SER_hh_emih_in!P29=0,0,SER_hh_emih_in!P29/SER_summary!P$27)</f>
        <v>1.4597572389727929</v>
      </c>
      <c r="Q29" s="130">
        <f>IF(SER_hh_emih_in!Q29=0,0,SER_hh_emih_in!Q29/SER_summary!Q$27)</f>
        <v>2.3658991342569342</v>
      </c>
      <c r="R29" s="130">
        <f>IF(SER_hh_emih_in!R29=0,0,SER_hh_emih_in!R29/SER_summary!R$27)</f>
        <v>2.5099540395042057</v>
      </c>
      <c r="S29" s="130">
        <f>IF(SER_hh_emih_in!S29=0,0,SER_hh_emih_in!S29/SER_summary!S$27)</f>
        <v>1.8203406863348215</v>
      </c>
      <c r="T29" s="130">
        <f>IF(SER_hh_emih_in!T29=0,0,SER_hh_emih_in!T29/SER_summary!T$27)</f>
        <v>3.3676682609145914</v>
      </c>
      <c r="U29" s="130">
        <f>IF(SER_hh_emih_in!U29=0,0,SER_hh_emih_in!U29/SER_summary!U$27)</f>
        <v>3.117801223024772</v>
      </c>
      <c r="V29" s="130">
        <f>IF(SER_hh_emih_in!V29=0,0,SER_hh_emih_in!V29/SER_summary!V$27)</f>
        <v>4.454195641581344</v>
      </c>
      <c r="W29" s="130">
        <f>IF(SER_hh_emih_in!W29=0,0,SER_hh_emih_in!W29/SER_summary!W$27)</f>
        <v>9.3891774524613894</v>
      </c>
      <c r="X29" s="130">
        <f>IF(SER_hh_emih_in!X29=0,0,SER_hh_emih_in!X29/SER_summary!X$27)</f>
        <v>9.9874166303245371</v>
      </c>
      <c r="Y29" s="130">
        <f>IF(SER_hh_emih_in!Y29=0,0,SER_hh_emih_in!Y29/SER_summary!Y$27)</f>
        <v>5.9630408162138835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19.473762060621681</v>
      </c>
      <c r="D30" s="132">
        <f>IF(SER_hh_emih_in!D30=0,0,SER_hh_emih_in!D30/SER_summary!D$27)</f>
        <v>0</v>
      </c>
      <c r="E30" s="132">
        <f>IF(SER_hh_emih_in!E30=0,0,SER_hh_emih_in!E30/SER_summary!E$27)</f>
        <v>0</v>
      </c>
      <c r="F30" s="132">
        <f>IF(SER_hh_emih_in!F30=0,0,SER_hh_emih_in!F30/SER_summary!F$27)</f>
        <v>0</v>
      </c>
      <c r="G30" s="132">
        <f>IF(SER_hh_emih_in!G30=0,0,SER_hh_emih_in!G30/SER_summary!G$27)</f>
        <v>0</v>
      </c>
      <c r="H30" s="132">
        <f>IF(SER_hh_emih_in!H30=0,0,SER_hh_emih_in!H30/SER_summary!H$27)</f>
        <v>0</v>
      </c>
      <c r="I30" s="132">
        <f>IF(SER_hh_emih_in!I30=0,0,SER_hh_emih_in!I30/SER_summary!I$27)</f>
        <v>0</v>
      </c>
      <c r="J30" s="132">
        <f>IF(SER_hh_emih_in!J30=0,0,SER_hh_emih_in!J30/SER_summary!J$27)</f>
        <v>0</v>
      </c>
      <c r="K30" s="132">
        <f>IF(SER_hh_emih_in!K30=0,0,SER_hh_emih_in!K30/SER_summary!K$27)</f>
        <v>21.377992226779263</v>
      </c>
      <c r="L30" s="132">
        <f>IF(SER_hh_emih_in!L30=0,0,SER_hh_emih_in!L30/SER_summary!L$27)</f>
        <v>17.42105204700373</v>
      </c>
      <c r="M30" s="132">
        <f>IF(SER_hh_emih_in!M30=0,0,SER_hh_emih_in!M30/SER_summary!M$27)</f>
        <v>15.766336270022396</v>
      </c>
      <c r="N30" s="132">
        <f>IF(SER_hh_emih_in!N30=0,0,SER_hh_emih_in!N30/SER_summary!N$27)</f>
        <v>15.875670059838447</v>
      </c>
      <c r="O30" s="132">
        <f>IF(SER_hh_emih_in!O30=0,0,SER_hh_emih_in!O30/SER_summary!O$27)</f>
        <v>16.460548697866848</v>
      </c>
      <c r="P30" s="132">
        <f>IF(SER_hh_emih_in!P30=0,0,SER_hh_emih_in!P30/SER_summary!P$27)</f>
        <v>14.955639998959915</v>
      </c>
      <c r="Q30" s="132">
        <f>IF(SER_hh_emih_in!Q30=0,0,SER_hh_emih_in!Q30/SER_summary!Q$27)</f>
        <v>16.22383796049894</v>
      </c>
      <c r="R30" s="132">
        <f>IF(SER_hh_emih_in!R30=0,0,SER_hh_emih_in!R30/SER_summary!R$27)</f>
        <v>17.500486275298915</v>
      </c>
      <c r="S30" s="132">
        <f>IF(SER_hh_emih_in!S30=0,0,SER_hh_emih_in!S30/SER_summary!S$27)</f>
        <v>15.910457255590115</v>
      </c>
      <c r="T30" s="132">
        <f>IF(SER_hh_emih_in!T30=0,0,SER_hh_emih_in!T30/SER_summary!T$27)</f>
        <v>13.948946274496345</v>
      </c>
      <c r="U30" s="132">
        <f>IF(SER_hh_emih_in!U30=0,0,SER_hh_emih_in!U30/SER_summary!U$27)</f>
        <v>17.371901589766786</v>
      </c>
      <c r="V30" s="132">
        <f>IF(SER_hh_emih_in!V30=0,0,SER_hh_emih_in!V30/SER_summary!V$27)</f>
        <v>13.662745562289041</v>
      </c>
      <c r="W30" s="132">
        <f>IF(SER_hh_emih_in!W30=0,0,SER_hh_emih_in!W30/SER_summary!W$27)</f>
        <v>20.381071670530883</v>
      </c>
      <c r="X30" s="132">
        <f>IF(SER_hh_emih_in!X30=0,0,SER_hh_emih_in!X30/SER_summary!X$27)</f>
        <v>14.459899921791331</v>
      </c>
      <c r="Y30" s="132">
        <f>IF(SER_hh_emih_in!Y30=0,0,SER_hh_emih_in!Y30/SER_summary!Y$27)</f>
        <v>18.461409434996465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11.810699872042946</v>
      </c>
      <c r="D31" s="132">
        <f>IF(SER_hh_emih_in!D31=0,0,SER_hh_emih_in!D31/SER_summary!D$27)</f>
        <v>12.310371062046629</v>
      </c>
      <c r="E31" s="132">
        <f>IF(SER_hh_emih_in!E31=0,0,SER_hh_emih_in!E31/SER_summary!E$27)</f>
        <v>12.521071995629038</v>
      </c>
      <c r="F31" s="132">
        <f>IF(SER_hh_emih_in!F31=0,0,SER_hh_emih_in!F31/SER_summary!F$27)</f>
        <v>12.858971051369341</v>
      </c>
      <c r="G31" s="132">
        <f>IF(SER_hh_emih_in!G31=0,0,SER_hh_emih_in!G31/SER_summary!G$27)</f>
        <v>12.60093236768294</v>
      </c>
      <c r="H31" s="132">
        <f>IF(SER_hh_emih_in!H31=0,0,SER_hh_emih_in!H31/SER_summary!H$27)</f>
        <v>13.214959765891896</v>
      </c>
      <c r="I31" s="132">
        <f>IF(SER_hh_emih_in!I31=0,0,SER_hh_emih_in!I31/SER_summary!I$27)</f>
        <v>13.275879557943142</v>
      </c>
      <c r="J31" s="132">
        <f>IF(SER_hh_emih_in!J31=0,0,SER_hh_emih_in!J31/SER_summary!J$27)</f>
        <v>13.522614716288919</v>
      </c>
      <c r="K31" s="132">
        <f>IF(SER_hh_emih_in!K31=0,0,SER_hh_emih_in!K31/SER_summary!K$27)</f>
        <v>12.90684457262557</v>
      </c>
      <c r="L31" s="132">
        <f>IF(SER_hh_emih_in!L31=0,0,SER_hh_emih_in!L31/SER_summary!L$27)</f>
        <v>13.253121722707672</v>
      </c>
      <c r="M31" s="132">
        <f>IF(SER_hh_emih_in!M31=0,0,SER_hh_emih_in!M31/SER_summary!M$27)</f>
        <v>13.841617684911585</v>
      </c>
      <c r="N31" s="132">
        <f>IF(SER_hh_emih_in!N31=0,0,SER_hh_emih_in!N31/SER_summary!N$27)</f>
        <v>14.046585055243204</v>
      </c>
      <c r="O31" s="132">
        <f>IF(SER_hh_emih_in!O31=0,0,SER_hh_emih_in!O31/SER_summary!O$27)</f>
        <v>13.734908946478264</v>
      </c>
      <c r="P31" s="132">
        <f>IF(SER_hh_emih_in!P31=0,0,SER_hh_emih_in!P31/SER_summary!P$27)</f>
        <v>13.641835342691275</v>
      </c>
      <c r="Q31" s="132">
        <f>IF(SER_hh_emih_in!Q31=0,0,SER_hh_emih_in!Q31/SER_summary!Q$27)</f>
        <v>13.912100386596675</v>
      </c>
      <c r="R31" s="132">
        <f>IF(SER_hh_emih_in!R31=0,0,SER_hh_emih_in!R31/SER_summary!R$27)</f>
        <v>14.065783942614688</v>
      </c>
      <c r="S31" s="132">
        <f>IF(SER_hh_emih_in!S31=0,0,SER_hh_emih_in!S31/SER_summary!S$27)</f>
        <v>13.48375228497699</v>
      </c>
      <c r="T31" s="132">
        <f>IF(SER_hh_emih_in!T31=0,0,SER_hh_emih_in!T31/SER_summary!T$27)</f>
        <v>14.343104656176781</v>
      </c>
      <c r="U31" s="132">
        <f>IF(SER_hh_emih_in!U31=0,0,SER_hh_emih_in!U31/SER_summary!U$27)</f>
        <v>14.08986298380726</v>
      </c>
      <c r="V31" s="132">
        <f>IF(SER_hh_emih_in!V31=0,0,SER_hh_emih_in!V31/SER_summary!V$27)</f>
        <v>10.526628798560488</v>
      </c>
      <c r="W31" s="132">
        <f>IF(SER_hh_emih_in!W31=0,0,SER_hh_emih_in!W31/SER_summary!W$27)</f>
        <v>11.649820907688403</v>
      </c>
      <c r="X31" s="132">
        <f>IF(SER_hh_emih_in!X31=0,0,SER_hh_emih_in!X31/SER_summary!X$27)</f>
        <v>16.209984854130479</v>
      </c>
      <c r="Y31" s="132">
        <f>IF(SER_hh_emih_in!Y31=0,0,SER_hh_emih_in!Y31/SER_summary!Y$27)</f>
        <v>14.402068160304678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45.499708073933803</v>
      </c>
      <c r="C3" s="179">
        <f t="shared" ref="C3:W3" si="1">SUM(C4:C9)</f>
        <v>47.859272015029461</v>
      </c>
      <c r="D3" s="179">
        <f t="shared" si="1"/>
        <v>50.169400789140809</v>
      </c>
      <c r="E3" s="179">
        <f t="shared" si="1"/>
        <v>52.3046146441568</v>
      </c>
      <c r="F3" s="179">
        <f t="shared" si="1"/>
        <v>54.739304131436633</v>
      </c>
      <c r="G3" s="179">
        <f t="shared" si="1"/>
        <v>57.0740650959454</v>
      </c>
      <c r="H3" s="179">
        <f t="shared" si="1"/>
        <v>58.946337400839923</v>
      </c>
      <c r="I3" s="179">
        <f t="shared" si="1"/>
        <v>60.746269734878204</v>
      </c>
      <c r="J3" s="179">
        <f t="shared" si="1"/>
        <v>62.563828356583031</v>
      </c>
      <c r="K3" s="179">
        <f t="shared" si="1"/>
        <v>64.255054942537981</v>
      </c>
      <c r="L3" s="179">
        <f t="shared" si="1"/>
        <v>65.830016510330012</v>
      </c>
      <c r="M3" s="179">
        <f t="shared" si="1"/>
        <v>68.002670322499142</v>
      </c>
      <c r="N3" s="179">
        <f t="shared" si="1"/>
        <v>69.234447655254144</v>
      </c>
      <c r="O3" s="179">
        <f t="shared" si="1"/>
        <v>70.302146877632026</v>
      </c>
      <c r="P3" s="179">
        <f t="shared" si="1"/>
        <v>71.373764280195786</v>
      </c>
      <c r="Q3" s="179">
        <f t="shared" si="1"/>
        <v>72.334584546561302</v>
      </c>
      <c r="R3" s="179">
        <f t="shared" si="1"/>
        <v>72.953394068951781</v>
      </c>
      <c r="S3" s="179">
        <f t="shared" si="1"/>
        <v>73.508634057253289</v>
      </c>
      <c r="T3" s="179">
        <f t="shared" si="1"/>
        <v>73.526943984073355</v>
      </c>
      <c r="U3" s="179">
        <f t="shared" si="1"/>
        <v>73.430477434095621</v>
      </c>
      <c r="V3" s="179">
        <f t="shared" si="1"/>
        <v>71.768201693062622</v>
      </c>
      <c r="W3" s="179">
        <f t="shared" si="1"/>
        <v>73.44260421986732</v>
      </c>
      <c r="X3" s="179">
        <f t="shared" ref="X3:Y3" si="2">SUM(X4:X9)</f>
        <v>73.126229700601073</v>
      </c>
      <c r="Y3" s="179">
        <f t="shared" si="2"/>
        <v>72.871585080354947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2.4562271629006847</v>
      </c>
      <c r="C4" s="180">
        <f t="shared" ref="C4:R9" si="4">C12*C44/11630</f>
        <v>2.4859257210621633</v>
      </c>
      <c r="D4" s="180">
        <f t="shared" si="4"/>
        <v>2.5171483199081939</v>
      </c>
      <c r="E4" s="180">
        <f t="shared" si="4"/>
        <v>2.5300633685029426</v>
      </c>
      <c r="F4" s="180">
        <f t="shared" si="4"/>
        <v>2.5699633993572739</v>
      </c>
      <c r="G4" s="180">
        <f t="shared" si="4"/>
        <v>2.6139599288802065</v>
      </c>
      <c r="H4" s="180">
        <f t="shared" si="4"/>
        <v>2.6537774499369173</v>
      </c>
      <c r="I4" s="180">
        <f t="shared" si="4"/>
        <v>2.6943568771593576</v>
      </c>
      <c r="J4" s="180">
        <f t="shared" si="4"/>
        <v>2.7316701389703337</v>
      </c>
      <c r="K4" s="180">
        <f t="shared" si="4"/>
        <v>2.7642916369558237</v>
      </c>
      <c r="L4" s="180">
        <f t="shared" si="4"/>
        <v>2.7741465071656251</v>
      </c>
      <c r="M4" s="180">
        <f t="shared" si="4"/>
        <v>2.8163030940754838</v>
      </c>
      <c r="N4" s="180">
        <f t="shared" si="4"/>
        <v>2.8642705332742211</v>
      </c>
      <c r="O4" s="180">
        <f t="shared" si="4"/>
        <v>2.9215352682617017</v>
      </c>
      <c r="P4" s="180">
        <f t="shared" si="4"/>
        <v>2.9698716289398561</v>
      </c>
      <c r="Q4" s="180">
        <f t="shared" si="4"/>
        <v>3.0146561073880438</v>
      </c>
      <c r="R4" s="180">
        <f t="shared" si="4"/>
        <v>3.0383284276023632</v>
      </c>
      <c r="S4" s="180">
        <f t="shared" ref="D4:W9" si="5">S12*S44/11630</f>
        <v>3.0561772139868699</v>
      </c>
      <c r="T4" s="180">
        <f t="shared" si="5"/>
        <v>3.0710679310566285</v>
      </c>
      <c r="U4" s="180">
        <f t="shared" si="5"/>
        <v>3.1051720514874361</v>
      </c>
      <c r="V4" s="180">
        <f t="shared" si="5"/>
        <v>3.1375022677641273</v>
      </c>
      <c r="W4" s="180">
        <f t="shared" si="5"/>
        <v>3.1745042764494209</v>
      </c>
      <c r="X4" s="180">
        <f t="shared" ref="X4:Y4" si="6">X12*X44/11630</f>
        <v>3.1974811814107698</v>
      </c>
      <c r="Y4" s="180">
        <f t="shared" si="6"/>
        <v>3.2149849858086887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6.4718791072757194</v>
      </c>
      <c r="C5" s="180">
        <f t="shared" si="4"/>
        <v>6.5691562273416819</v>
      </c>
      <c r="D5" s="180">
        <f t="shared" si="5"/>
        <v>6.6718134711564838</v>
      </c>
      <c r="E5" s="180">
        <f t="shared" si="5"/>
        <v>6.8003124544476012</v>
      </c>
      <c r="F5" s="180">
        <f t="shared" si="5"/>
        <v>6.9276101937945631</v>
      </c>
      <c r="G5" s="180">
        <f t="shared" si="5"/>
        <v>7.101925745136672</v>
      </c>
      <c r="H5" s="180">
        <f t="shared" si="5"/>
        <v>7.1990049172307993</v>
      </c>
      <c r="I5" s="180">
        <f t="shared" si="5"/>
        <v>7.2564887584715576</v>
      </c>
      <c r="J5" s="180">
        <f t="shared" si="5"/>
        <v>7.4020512871221964</v>
      </c>
      <c r="K5" s="180">
        <f t="shared" si="5"/>
        <v>7.5232980241266967</v>
      </c>
      <c r="L5" s="180">
        <f t="shared" si="5"/>
        <v>7.6652761015457722</v>
      </c>
      <c r="M5" s="180">
        <f t="shared" si="5"/>
        <v>7.7950945408904824</v>
      </c>
      <c r="N5" s="180">
        <f t="shared" si="5"/>
        <v>7.9444211905269588</v>
      </c>
      <c r="O5" s="180">
        <f t="shared" si="5"/>
        <v>8.0650811479968905</v>
      </c>
      <c r="P5" s="180">
        <f t="shared" si="5"/>
        <v>8.2428552672224988</v>
      </c>
      <c r="Q5" s="180">
        <f t="shared" si="5"/>
        <v>8.3665104721910151</v>
      </c>
      <c r="R5" s="180">
        <f t="shared" si="5"/>
        <v>8.3549365411340588</v>
      </c>
      <c r="S5" s="180">
        <f t="shared" si="5"/>
        <v>8.3603651851623191</v>
      </c>
      <c r="T5" s="180">
        <f t="shared" si="5"/>
        <v>8.1966808432352636</v>
      </c>
      <c r="U5" s="180">
        <f t="shared" si="5"/>
        <v>7.9859836507923756</v>
      </c>
      <c r="V5" s="180">
        <f t="shared" si="5"/>
        <v>7.8290363927305382</v>
      </c>
      <c r="W5" s="180">
        <f t="shared" si="5"/>
        <v>7.6469514622370962</v>
      </c>
      <c r="X5" s="180">
        <f t="shared" ref="X5:Y5" si="7">X13*X45/11630</f>
        <v>7.4377631512370233</v>
      </c>
      <c r="Y5" s="180">
        <f t="shared" si="7"/>
        <v>7.3340874885289837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12.460896005053661</v>
      </c>
      <c r="C6" s="180">
        <f t="shared" si="4"/>
        <v>12.590610484114928</v>
      </c>
      <c r="D6" s="180">
        <f t="shared" si="5"/>
        <v>12.674387397442604</v>
      </c>
      <c r="E6" s="180">
        <f t="shared" si="5"/>
        <v>12.62512532513909</v>
      </c>
      <c r="F6" s="180">
        <f t="shared" si="5"/>
        <v>12.631717606140253</v>
      </c>
      <c r="G6" s="180">
        <f t="shared" si="5"/>
        <v>12.611242963133188</v>
      </c>
      <c r="H6" s="180">
        <f t="shared" si="5"/>
        <v>12.481956075870254</v>
      </c>
      <c r="I6" s="180">
        <f t="shared" si="5"/>
        <v>12.497280522973158</v>
      </c>
      <c r="J6" s="180">
        <f t="shared" si="5"/>
        <v>12.563734570752585</v>
      </c>
      <c r="K6" s="180">
        <f t="shared" si="5"/>
        <v>12.652990884979509</v>
      </c>
      <c r="L6" s="180">
        <f t="shared" si="5"/>
        <v>12.72550353691719</v>
      </c>
      <c r="M6" s="180">
        <f t="shared" si="5"/>
        <v>12.905343824270634</v>
      </c>
      <c r="N6" s="180">
        <f t="shared" si="5"/>
        <v>13.058862678902402</v>
      </c>
      <c r="O6" s="180">
        <f t="shared" si="5"/>
        <v>13.236903238086336</v>
      </c>
      <c r="P6" s="180">
        <f t="shared" si="5"/>
        <v>13.394806090380044</v>
      </c>
      <c r="Q6" s="180">
        <f t="shared" si="5"/>
        <v>13.508945941661619</v>
      </c>
      <c r="R6" s="180">
        <f t="shared" si="5"/>
        <v>13.466816510663881</v>
      </c>
      <c r="S6" s="180">
        <f t="shared" si="5"/>
        <v>13.254958720610471</v>
      </c>
      <c r="T6" s="180">
        <f t="shared" si="5"/>
        <v>12.769273381518262</v>
      </c>
      <c r="U6" s="180">
        <f t="shared" si="5"/>
        <v>12.162074220205099</v>
      </c>
      <c r="V6" s="180">
        <f t="shared" si="5"/>
        <v>10.748873022423629</v>
      </c>
      <c r="W6" s="180">
        <f t="shared" si="5"/>
        <v>10.955905559072956</v>
      </c>
      <c r="X6" s="180">
        <f t="shared" ref="X6:Y6" si="8">X14*X46/11630</f>
        <v>10.281568340504661</v>
      </c>
      <c r="Y6" s="180">
        <f t="shared" si="8"/>
        <v>9.5968028721945426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6.1223616081281751</v>
      </c>
      <c r="C7" s="180">
        <f t="shared" si="4"/>
        <v>6.2268392617236259</v>
      </c>
      <c r="D7" s="180">
        <f t="shared" si="5"/>
        <v>6.329390531204381</v>
      </c>
      <c r="E7" s="180">
        <f t="shared" si="5"/>
        <v>6.4092640876315423</v>
      </c>
      <c r="F7" s="180">
        <f t="shared" si="5"/>
        <v>6.5147335631959544</v>
      </c>
      <c r="G7" s="180">
        <f t="shared" si="5"/>
        <v>6.6250042640216984</v>
      </c>
      <c r="H7" s="180">
        <f t="shared" si="5"/>
        <v>6.7651008309205203</v>
      </c>
      <c r="I7" s="180">
        <f t="shared" si="5"/>
        <v>6.907495775574942</v>
      </c>
      <c r="J7" s="180">
        <f t="shared" si="5"/>
        <v>7.0391762182368884</v>
      </c>
      <c r="K7" s="180">
        <f t="shared" si="5"/>
        <v>7.2007183217043682</v>
      </c>
      <c r="L7" s="180">
        <f t="shared" si="5"/>
        <v>7.3336097617452189</v>
      </c>
      <c r="M7" s="180">
        <f t="shared" si="5"/>
        <v>7.4683610733093841</v>
      </c>
      <c r="N7" s="180">
        <f t="shared" si="5"/>
        <v>7.6708983139795883</v>
      </c>
      <c r="O7" s="180">
        <f t="shared" si="5"/>
        <v>7.8806998315971564</v>
      </c>
      <c r="P7" s="180">
        <f t="shared" si="5"/>
        <v>8.1202901336902151</v>
      </c>
      <c r="Q7" s="180">
        <f t="shared" si="5"/>
        <v>8.4144957663761115</v>
      </c>
      <c r="R7" s="180">
        <f t="shared" si="5"/>
        <v>8.5637690783454854</v>
      </c>
      <c r="S7" s="180">
        <f t="shared" si="5"/>
        <v>8.6959351481595082</v>
      </c>
      <c r="T7" s="180">
        <f t="shared" si="5"/>
        <v>8.8278298169359442</v>
      </c>
      <c r="U7" s="180">
        <f t="shared" si="5"/>
        <v>8.9378787902379244</v>
      </c>
      <c r="V7" s="180">
        <f t="shared" si="5"/>
        <v>9.0361162025895627</v>
      </c>
      <c r="W7" s="180">
        <f t="shared" si="5"/>
        <v>9.1296501347835015</v>
      </c>
      <c r="X7" s="180">
        <f t="shared" ref="X7:Y7" si="9">X15*X47/11630</f>
        <v>9.1879396144557948</v>
      </c>
      <c r="Y7" s="180">
        <f t="shared" si="9"/>
        <v>9.2779484607395766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5.1759624710535581</v>
      </c>
      <c r="C8" s="55">
        <f t="shared" si="4"/>
        <v>5.305111985355186</v>
      </c>
      <c r="D8" s="55">
        <f t="shared" si="5"/>
        <v>5.4344487759246185</v>
      </c>
      <c r="E8" s="55">
        <f t="shared" si="5"/>
        <v>5.5389666538178455</v>
      </c>
      <c r="F8" s="55">
        <f t="shared" si="5"/>
        <v>5.6692759140561142</v>
      </c>
      <c r="G8" s="55">
        <f t="shared" si="5"/>
        <v>5.8246613300118222</v>
      </c>
      <c r="H8" s="55">
        <f t="shared" si="5"/>
        <v>5.9649898181517305</v>
      </c>
      <c r="I8" s="55">
        <f t="shared" si="5"/>
        <v>6.1191305009667776</v>
      </c>
      <c r="J8" s="55">
        <f t="shared" si="5"/>
        <v>6.2748940650398959</v>
      </c>
      <c r="K8" s="55">
        <f t="shared" si="5"/>
        <v>6.413412689265904</v>
      </c>
      <c r="L8" s="55">
        <f t="shared" si="5"/>
        <v>6.4891183372762198</v>
      </c>
      <c r="M8" s="55">
        <f t="shared" si="5"/>
        <v>6.6105805233864006</v>
      </c>
      <c r="N8" s="55">
        <f t="shared" si="5"/>
        <v>6.6918095637133428</v>
      </c>
      <c r="O8" s="55">
        <f t="shared" si="5"/>
        <v>6.8009761119230143</v>
      </c>
      <c r="P8" s="55">
        <f t="shared" si="5"/>
        <v>6.8971363587269137</v>
      </c>
      <c r="Q8" s="55">
        <f t="shared" si="5"/>
        <v>6.9204554404122636</v>
      </c>
      <c r="R8" s="55">
        <f t="shared" si="5"/>
        <v>7.1081085789618301</v>
      </c>
      <c r="S8" s="55">
        <f t="shared" si="5"/>
        <v>7.3197513170065323</v>
      </c>
      <c r="T8" s="55">
        <f t="shared" si="5"/>
        <v>7.4535629846666733</v>
      </c>
      <c r="U8" s="55">
        <f t="shared" si="5"/>
        <v>7.5917165157823145</v>
      </c>
      <c r="V8" s="55">
        <f t="shared" si="5"/>
        <v>7.1853605527136857</v>
      </c>
      <c r="W8" s="55">
        <f t="shared" si="5"/>
        <v>7.8680985690484944</v>
      </c>
      <c r="X8" s="55">
        <f t="shared" ref="X8:Y8" si="10">X16*X48/11630</f>
        <v>7.8963148538747774</v>
      </c>
      <c r="Y8" s="55">
        <f t="shared" si="10"/>
        <v>7.9286924597528117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12.812381719522012</v>
      </c>
      <c r="C9" s="63">
        <f t="shared" si="4"/>
        <v>14.681628335431878</v>
      </c>
      <c r="D9" s="63">
        <f t="shared" si="5"/>
        <v>16.542212293504527</v>
      </c>
      <c r="E9" s="63">
        <f t="shared" si="5"/>
        <v>18.400882754617786</v>
      </c>
      <c r="F9" s="63">
        <f t="shared" si="5"/>
        <v>20.426003454892474</v>
      </c>
      <c r="G9" s="63">
        <f t="shared" si="5"/>
        <v>22.29727086476181</v>
      </c>
      <c r="H9" s="63">
        <f t="shared" si="5"/>
        <v>23.881508308729703</v>
      </c>
      <c r="I9" s="63">
        <f t="shared" si="5"/>
        <v>25.271517299732409</v>
      </c>
      <c r="J9" s="63">
        <f t="shared" si="5"/>
        <v>26.552302076461128</v>
      </c>
      <c r="K9" s="63">
        <f t="shared" si="5"/>
        <v>27.700343385505683</v>
      </c>
      <c r="L9" s="63">
        <f t="shared" si="5"/>
        <v>28.842362265679991</v>
      </c>
      <c r="M9" s="63">
        <f t="shared" si="5"/>
        <v>30.406987266566759</v>
      </c>
      <c r="N9" s="63">
        <f t="shared" si="5"/>
        <v>31.00418537485762</v>
      </c>
      <c r="O9" s="63">
        <f t="shared" si="5"/>
        <v>31.396951279766931</v>
      </c>
      <c r="P9" s="63">
        <f t="shared" si="5"/>
        <v>31.748804801236268</v>
      </c>
      <c r="Q9" s="63">
        <f t="shared" si="5"/>
        <v>32.109520818532246</v>
      </c>
      <c r="R9" s="63">
        <f t="shared" si="5"/>
        <v>32.421434932244154</v>
      </c>
      <c r="S9" s="63">
        <f t="shared" si="5"/>
        <v>32.82144647232758</v>
      </c>
      <c r="T9" s="63">
        <f t="shared" si="5"/>
        <v>33.208529026660578</v>
      </c>
      <c r="U9" s="63">
        <f t="shared" si="5"/>
        <v>33.647652205590475</v>
      </c>
      <c r="V9" s="63">
        <f t="shared" si="5"/>
        <v>33.831313254841078</v>
      </c>
      <c r="W9" s="63">
        <f t="shared" si="5"/>
        <v>34.667494218275856</v>
      </c>
      <c r="X9" s="63">
        <f t="shared" ref="X9:Y9" si="11">X17*X49/11630</f>
        <v>35.125162559118046</v>
      </c>
      <c r="Y9" s="63">
        <f t="shared" si="11"/>
        <v>35.519068813330342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208.81078622315601</v>
      </c>
      <c r="C11" s="179">
        <f t="shared" ref="C11:W11" si="13">SUM(C12:C17)</f>
        <v>215.17448877737809</v>
      </c>
      <c r="D11" s="179">
        <f t="shared" si="13"/>
        <v>221.19533163214459</v>
      </c>
      <c r="E11" s="179">
        <f t="shared" si="13"/>
        <v>226.4534645373077</v>
      </c>
      <c r="F11" s="179">
        <f t="shared" si="13"/>
        <v>233.55647823720466</v>
      </c>
      <c r="G11" s="179">
        <f t="shared" si="13"/>
        <v>240.59329846442915</v>
      </c>
      <c r="H11" s="179">
        <f t="shared" si="13"/>
        <v>246.05474073057738</v>
      </c>
      <c r="I11" s="179">
        <f t="shared" si="13"/>
        <v>251.56803903358536</v>
      </c>
      <c r="J11" s="179">
        <f t="shared" si="13"/>
        <v>257.22214543283349</v>
      </c>
      <c r="K11" s="179">
        <f t="shared" si="13"/>
        <v>262.14172577239179</v>
      </c>
      <c r="L11" s="179">
        <f t="shared" si="13"/>
        <v>265.76746899151209</v>
      </c>
      <c r="M11" s="179">
        <f t="shared" si="13"/>
        <v>271.13452606590278</v>
      </c>
      <c r="N11" s="179">
        <f t="shared" si="13"/>
        <v>274.52441659478995</v>
      </c>
      <c r="O11" s="179">
        <f t="shared" si="13"/>
        <v>277.29524685952384</v>
      </c>
      <c r="P11" s="179">
        <f t="shared" si="13"/>
        <v>279.76250323747524</v>
      </c>
      <c r="Q11" s="179">
        <f t="shared" si="13"/>
        <v>281.16620557032434</v>
      </c>
      <c r="R11" s="179">
        <f t="shared" si="13"/>
        <v>282.57126244060538</v>
      </c>
      <c r="S11" s="179">
        <f t="shared" si="13"/>
        <v>283.48896451317808</v>
      </c>
      <c r="T11" s="179">
        <f t="shared" si="13"/>
        <v>283.81996768840594</v>
      </c>
      <c r="U11" s="179">
        <f t="shared" si="13"/>
        <v>283.13377903828797</v>
      </c>
      <c r="V11" s="179">
        <f t="shared" si="13"/>
        <v>282.41129630757609</v>
      </c>
      <c r="W11" s="179">
        <f t="shared" si="13"/>
        <v>281.40398503181206</v>
      </c>
      <c r="X11" s="179">
        <f t="shared" ref="X11:Y11" si="14">SUM(X12:X17)</f>
        <v>280.4043944011064</v>
      </c>
      <c r="Y11" s="179">
        <f t="shared" si="14"/>
        <v>279.30572618934718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3.260949989102166</v>
      </c>
      <c r="C12" s="180">
        <f t="shared" ref="C12:W12" si="15">C20*C52</f>
        <v>3.3003785543325308</v>
      </c>
      <c r="D12" s="180">
        <f t="shared" si="15"/>
        <v>3.3418304749466095</v>
      </c>
      <c r="E12" s="180">
        <f t="shared" si="15"/>
        <v>3.358976823708816</v>
      </c>
      <c r="F12" s="180">
        <f t="shared" si="15"/>
        <v>3.4119491249457887</v>
      </c>
      <c r="G12" s="180">
        <f t="shared" si="15"/>
        <v>3.4703600425658463</v>
      </c>
      <c r="H12" s="180">
        <f t="shared" si="15"/>
        <v>3.5232228016856575</v>
      </c>
      <c r="I12" s="180">
        <f t="shared" si="15"/>
        <v>3.5770970869136236</v>
      </c>
      <c r="J12" s="180">
        <f t="shared" si="15"/>
        <v>3.6266351274229427</v>
      </c>
      <c r="K12" s="180">
        <f t="shared" si="15"/>
        <v>3.6699442623055054</v>
      </c>
      <c r="L12" s="180">
        <f t="shared" si="15"/>
        <v>3.6830278399927221</v>
      </c>
      <c r="M12" s="180">
        <f t="shared" si="15"/>
        <v>3.7389960027508993</v>
      </c>
      <c r="N12" s="180">
        <f t="shared" si="15"/>
        <v>3.8026788015957989</v>
      </c>
      <c r="O12" s="180">
        <f t="shared" si="15"/>
        <v>3.8787049280689052</v>
      </c>
      <c r="P12" s="180">
        <f t="shared" si="15"/>
        <v>3.9428775165034864</v>
      </c>
      <c r="Q12" s="180">
        <f t="shared" si="15"/>
        <v>4.0023345352651774</v>
      </c>
      <c r="R12" s="180">
        <f t="shared" si="15"/>
        <v>4.0337625129013102</v>
      </c>
      <c r="S12" s="180">
        <f t="shared" si="15"/>
        <v>4.0574590181127057</v>
      </c>
      <c r="T12" s="180">
        <f t="shared" si="15"/>
        <v>4.0772283148617099</v>
      </c>
      <c r="U12" s="180">
        <f t="shared" si="15"/>
        <v>4.1225058172144848</v>
      </c>
      <c r="V12" s="180">
        <f t="shared" si="15"/>
        <v>4.1654282390521447</v>
      </c>
      <c r="W12" s="180">
        <f t="shared" si="15"/>
        <v>4.2145530519528265</v>
      </c>
      <c r="X12" s="180">
        <f t="shared" ref="X12:Y12" si="16">X20*X52</f>
        <v>4.2450577785168093</v>
      </c>
      <c r="Y12" s="180">
        <f t="shared" si="16"/>
        <v>4.2682962768213519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18.804434265259278</v>
      </c>
      <c r="C13" s="180">
        <f t="shared" ref="C13:W13" si="17">C21*C53/1000</f>
        <v>19.073274515206226</v>
      </c>
      <c r="D13" s="180">
        <f t="shared" si="17"/>
        <v>19.345757005565357</v>
      </c>
      <c r="E13" s="180">
        <f t="shared" si="17"/>
        <v>19.710673456832044</v>
      </c>
      <c r="F13" s="180">
        <f t="shared" si="17"/>
        <v>20.046280217506109</v>
      </c>
      <c r="G13" s="180">
        <f t="shared" si="17"/>
        <v>20.530642370777059</v>
      </c>
      <c r="H13" s="180">
        <f t="shared" si="17"/>
        <v>20.804691460752018</v>
      </c>
      <c r="I13" s="180">
        <f t="shared" si="17"/>
        <v>20.950236152418174</v>
      </c>
      <c r="J13" s="180">
        <f t="shared" si="17"/>
        <v>21.376944283161865</v>
      </c>
      <c r="K13" s="180">
        <f t="shared" si="17"/>
        <v>21.749657079271028</v>
      </c>
      <c r="L13" s="180">
        <f t="shared" si="17"/>
        <v>22.165561469358611</v>
      </c>
      <c r="M13" s="180">
        <f t="shared" si="17"/>
        <v>22.591409697016012</v>
      </c>
      <c r="N13" s="180">
        <f t="shared" si="17"/>
        <v>23.141368617280467</v>
      </c>
      <c r="O13" s="180">
        <f t="shared" si="17"/>
        <v>23.681468590790043</v>
      </c>
      <c r="P13" s="180">
        <f t="shared" si="17"/>
        <v>24.422464733691534</v>
      </c>
      <c r="Q13" s="180">
        <f t="shared" si="17"/>
        <v>25.049036084020084</v>
      </c>
      <c r="R13" s="180">
        <f t="shared" si="17"/>
        <v>24.980486426884966</v>
      </c>
      <c r="S13" s="180">
        <f t="shared" si="17"/>
        <v>24.756488910911294</v>
      </c>
      <c r="T13" s="180">
        <f t="shared" si="17"/>
        <v>24.437526612291386</v>
      </c>
      <c r="U13" s="180">
        <f t="shared" si="17"/>
        <v>23.913872584752522</v>
      </c>
      <c r="V13" s="180">
        <f t="shared" si="17"/>
        <v>23.346543358706917</v>
      </c>
      <c r="W13" s="180">
        <f t="shared" si="17"/>
        <v>22.761966037418905</v>
      </c>
      <c r="X13" s="180">
        <f t="shared" ref="X13:Y13" si="18">X21*X53/1000</f>
        <v>22.314707196553893</v>
      </c>
      <c r="Y13" s="180">
        <f t="shared" si="18"/>
        <v>22.17939059305651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59.210451070275589</v>
      </c>
      <c r="C14" s="180">
        <f t="shared" ref="C14:W14" si="19">C22*C54</f>
        <v>59.322583774381826</v>
      </c>
      <c r="D14" s="180">
        <f t="shared" si="19"/>
        <v>59.386561836891055</v>
      </c>
      <c r="E14" s="180">
        <f t="shared" si="19"/>
        <v>58.840733760496477</v>
      </c>
      <c r="F14" s="180">
        <f t="shared" si="19"/>
        <v>58.51888026898861</v>
      </c>
      <c r="G14" s="180">
        <f t="shared" si="19"/>
        <v>58.139505445242641</v>
      </c>
      <c r="H14" s="180">
        <f t="shared" si="19"/>
        <v>57.330016322021521</v>
      </c>
      <c r="I14" s="180">
        <f t="shared" si="19"/>
        <v>57.126176144119874</v>
      </c>
      <c r="J14" s="180">
        <f t="shared" si="19"/>
        <v>57.205557234408239</v>
      </c>
      <c r="K14" s="180">
        <f t="shared" si="19"/>
        <v>57.366803195859355</v>
      </c>
      <c r="L14" s="180">
        <f t="shared" si="19"/>
        <v>57.46427425548714</v>
      </c>
      <c r="M14" s="180">
        <f t="shared" si="19"/>
        <v>58.015761055999967</v>
      </c>
      <c r="N14" s="180">
        <f t="shared" si="19"/>
        <v>58.541624776345188</v>
      </c>
      <c r="O14" s="180">
        <f t="shared" si="19"/>
        <v>59.215299323015557</v>
      </c>
      <c r="P14" s="180">
        <f t="shared" si="19"/>
        <v>59.803449180070324</v>
      </c>
      <c r="Q14" s="180">
        <f t="shared" si="19"/>
        <v>60.219975415189055</v>
      </c>
      <c r="R14" s="180">
        <f t="shared" si="19"/>
        <v>59.644723389013663</v>
      </c>
      <c r="S14" s="180">
        <f t="shared" si="19"/>
        <v>58.633915855794378</v>
      </c>
      <c r="T14" s="180">
        <f t="shared" si="19"/>
        <v>56.688857050230212</v>
      </c>
      <c r="U14" s="180">
        <f t="shared" si="19"/>
        <v>53.936656344804305</v>
      </c>
      <c r="V14" s="180">
        <f t="shared" si="19"/>
        <v>51.162914539448607</v>
      </c>
      <c r="W14" s="180">
        <f t="shared" si="19"/>
        <v>48.310771582642296</v>
      </c>
      <c r="X14" s="180">
        <f t="shared" ref="X14:Y14" si="20">X22*X54</f>
        <v>45.643873099212875</v>
      </c>
      <c r="Y14" s="180">
        <f t="shared" si="20"/>
        <v>42.748496454640289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8.1282038244898054</v>
      </c>
      <c r="C15" s="180">
        <f t="shared" ref="C15:W15" si="21">C23*C55/1000</f>
        <v>8.2669110289778267</v>
      </c>
      <c r="D15" s="180">
        <f t="shared" si="21"/>
        <v>8.4030607166560429</v>
      </c>
      <c r="E15" s="180">
        <f t="shared" si="21"/>
        <v>8.5091028925975856</v>
      </c>
      <c r="F15" s="180">
        <f t="shared" si="21"/>
        <v>8.6491268652932618</v>
      </c>
      <c r="G15" s="180">
        <f t="shared" si="21"/>
        <v>8.7955250674169339</v>
      </c>
      <c r="H15" s="180">
        <f t="shared" si="21"/>
        <v>8.9815208520097762</v>
      </c>
      <c r="I15" s="180">
        <f t="shared" si="21"/>
        <v>9.1705680216822625</v>
      </c>
      <c r="J15" s="180">
        <f t="shared" si="21"/>
        <v>9.3453903445313902</v>
      </c>
      <c r="K15" s="180">
        <f t="shared" si="21"/>
        <v>9.5598577718518012</v>
      </c>
      <c r="L15" s="180">
        <f t="shared" si="21"/>
        <v>9.7362878457873183</v>
      </c>
      <c r="M15" s="180">
        <f t="shared" si="21"/>
        <v>9.9151871327155376</v>
      </c>
      <c r="N15" s="180">
        <f t="shared" si="21"/>
        <v>10.184080752463771</v>
      </c>
      <c r="O15" s="180">
        <f t="shared" si="21"/>
        <v>10.462618612040517</v>
      </c>
      <c r="P15" s="180">
        <f t="shared" si="21"/>
        <v>10.78070482360927</v>
      </c>
      <c r="Q15" s="180">
        <f t="shared" si="21"/>
        <v>11.171299744629476</v>
      </c>
      <c r="R15" s="180">
        <f t="shared" si="21"/>
        <v>11.369478810634471</v>
      </c>
      <c r="S15" s="180">
        <f t="shared" si="21"/>
        <v>11.544945864508572</v>
      </c>
      <c r="T15" s="180">
        <f t="shared" si="21"/>
        <v>11.720052599425232</v>
      </c>
      <c r="U15" s="180">
        <f t="shared" si="21"/>
        <v>11.866156430418613</v>
      </c>
      <c r="V15" s="180">
        <f t="shared" si="21"/>
        <v>11.996578931063537</v>
      </c>
      <c r="W15" s="180">
        <f t="shared" si="21"/>
        <v>12.120756971179466</v>
      </c>
      <c r="X15" s="180">
        <f t="shared" ref="X15:Y15" si="22">X23*X55/1000</f>
        <v>12.198143574899646</v>
      </c>
      <c r="Y15" s="180">
        <f t="shared" si="22"/>
        <v>12.317641620822064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70.632175965489097</v>
      </c>
      <c r="C16" s="55">
        <f t="shared" ref="C16:W16" si="23">C24*C56</f>
        <v>72.050398732872139</v>
      </c>
      <c r="D16" s="55">
        <f t="shared" si="23"/>
        <v>73.486557674472763</v>
      </c>
      <c r="E16" s="55">
        <f t="shared" si="23"/>
        <v>74.600725312436495</v>
      </c>
      <c r="F16" s="55">
        <f t="shared" si="23"/>
        <v>76.073370605940767</v>
      </c>
      <c r="G16" s="55">
        <f t="shared" si="23"/>
        <v>77.889260901144695</v>
      </c>
      <c r="H16" s="55">
        <f t="shared" si="23"/>
        <v>79.508795554580601</v>
      </c>
      <c r="I16" s="55">
        <f t="shared" si="23"/>
        <v>81.316510991854344</v>
      </c>
      <c r="J16" s="55">
        <f t="shared" si="23"/>
        <v>83.148465748555111</v>
      </c>
      <c r="K16" s="55">
        <f t="shared" si="23"/>
        <v>84.754540501413615</v>
      </c>
      <c r="L16" s="55">
        <f t="shared" si="23"/>
        <v>85.535354836710425</v>
      </c>
      <c r="M16" s="55">
        <f t="shared" si="23"/>
        <v>86.994792582283907</v>
      </c>
      <c r="N16" s="55">
        <f t="shared" si="23"/>
        <v>87.927309497030279</v>
      </c>
      <c r="O16" s="55">
        <f t="shared" si="23"/>
        <v>89.22939642281581</v>
      </c>
      <c r="P16" s="55">
        <f t="shared" si="23"/>
        <v>90.362742776900788</v>
      </c>
      <c r="Q16" s="55">
        <f t="shared" si="23"/>
        <v>90.544966022708309</v>
      </c>
      <c r="R16" s="55">
        <f t="shared" si="23"/>
        <v>92.76591288828125</v>
      </c>
      <c r="S16" s="55">
        <f t="shared" si="23"/>
        <v>94.821634556399573</v>
      </c>
      <c r="T16" s="55">
        <f t="shared" si="23"/>
        <v>96.851098639418879</v>
      </c>
      <c r="U16" s="55">
        <f t="shared" si="23"/>
        <v>98.665730184666046</v>
      </c>
      <c r="V16" s="55">
        <f t="shared" si="23"/>
        <v>100.22842141103337</v>
      </c>
      <c r="W16" s="55">
        <f t="shared" si="23"/>
        <v>101.67530100977604</v>
      </c>
      <c r="X16" s="55">
        <f t="shared" ref="X16:Y16" si="24">X24*X56</f>
        <v>102.76592529605601</v>
      </c>
      <c r="Y16" s="55">
        <f t="shared" si="24"/>
        <v>103.55569320059433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48.774571108540115</v>
      </c>
      <c r="C17" s="63">
        <f t="shared" ref="C17:W17" si="25">C25*C57/1000</f>
        <v>53.160942171607537</v>
      </c>
      <c r="D17" s="63">
        <f t="shared" si="25"/>
        <v>57.231563923612747</v>
      </c>
      <c r="E17" s="63">
        <f t="shared" si="25"/>
        <v>61.433252291236272</v>
      </c>
      <c r="F17" s="63">
        <f t="shared" si="25"/>
        <v>66.856871154530111</v>
      </c>
      <c r="G17" s="63">
        <f t="shared" si="25"/>
        <v>71.768004637281976</v>
      </c>
      <c r="H17" s="63">
        <f t="shared" si="25"/>
        <v>75.906493739527804</v>
      </c>
      <c r="I17" s="63">
        <f t="shared" si="25"/>
        <v>79.427450636597101</v>
      </c>
      <c r="J17" s="63">
        <f t="shared" si="25"/>
        <v>82.519152694753942</v>
      </c>
      <c r="K17" s="63">
        <f t="shared" si="25"/>
        <v>85.040922961690512</v>
      </c>
      <c r="L17" s="63">
        <f t="shared" si="25"/>
        <v>87.182962744175867</v>
      </c>
      <c r="M17" s="63">
        <f t="shared" si="25"/>
        <v>89.878379595136479</v>
      </c>
      <c r="N17" s="63">
        <f t="shared" si="25"/>
        <v>90.927354150074464</v>
      </c>
      <c r="O17" s="63">
        <f t="shared" si="25"/>
        <v>90.827758982793</v>
      </c>
      <c r="P17" s="63">
        <f t="shared" si="25"/>
        <v>90.450264206699842</v>
      </c>
      <c r="Q17" s="63">
        <f t="shared" si="25"/>
        <v>90.178593768512201</v>
      </c>
      <c r="R17" s="63">
        <f t="shared" si="25"/>
        <v>89.776898412889722</v>
      </c>
      <c r="S17" s="63">
        <f t="shared" si="25"/>
        <v>89.674520307451502</v>
      </c>
      <c r="T17" s="63">
        <f t="shared" si="25"/>
        <v>90.045204472178497</v>
      </c>
      <c r="U17" s="63">
        <f t="shared" si="25"/>
        <v>90.628857676432006</v>
      </c>
      <c r="V17" s="63">
        <f t="shared" si="25"/>
        <v>91.511409828271553</v>
      </c>
      <c r="W17" s="63">
        <f t="shared" si="25"/>
        <v>92.320636378842565</v>
      </c>
      <c r="X17" s="63">
        <f t="shared" ref="X17:Y17" si="26">X25*X57/1000</f>
        <v>93.236687455867198</v>
      </c>
      <c r="Y17" s="63">
        <f t="shared" si="26"/>
        <v>94.236208043412645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5.0073922332814425</v>
      </c>
      <c r="C20" s="181">
        <v>5.0999759165312222</v>
      </c>
      <c r="D20" s="181">
        <v>5.200079226645828</v>
      </c>
      <c r="E20" s="181">
        <v>5.2620210624088077</v>
      </c>
      <c r="F20" s="181">
        <v>5.3912442586365241</v>
      </c>
      <c r="G20" s="181">
        <v>5.5350608494499971</v>
      </c>
      <c r="H20" s="181">
        <v>5.6738802836610063</v>
      </c>
      <c r="I20" s="181">
        <v>5.8204630725472244</v>
      </c>
      <c r="J20" s="181">
        <v>5.9654199335487679</v>
      </c>
      <c r="K20" s="181">
        <v>6.1052534038395434</v>
      </c>
      <c r="L20" s="181">
        <v>6.1947916632065043</v>
      </c>
      <c r="M20" s="181">
        <v>6.3740730957545422</v>
      </c>
      <c r="N20" s="181">
        <v>6.5791867960267671</v>
      </c>
      <c r="O20" s="181">
        <v>6.8215386502110462</v>
      </c>
      <c r="P20" s="181">
        <v>7.0551696342228256</v>
      </c>
      <c r="Q20" s="181">
        <v>7.2962202792599591</v>
      </c>
      <c r="R20" s="181">
        <v>7.485594298677003</v>
      </c>
      <c r="S20" s="181">
        <v>7.6677891904905966</v>
      </c>
      <c r="T20" s="181">
        <v>7.8524774877176888</v>
      </c>
      <c r="U20" s="181">
        <v>8.0393495865301698</v>
      </c>
      <c r="V20" s="181">
        <v>8.2284343507290831</v>
      </c>
      <c r="W20" s="181">
        <v>8.4210705119937508</v>
      </c>
      <c r="X20" s="181">
        <v>8.5912565411890096</v>
      </c>
      <c r="Y20" s="181">
        <v>8.7491699994347165</v>
      </c>
      <c r="DA20" s="190" t="s">
        <v>922</v>
      </c>
    </row>
    <row r="21" spans="1:105" ht="12" customHeight="1" x14ac:dyDescent="0.25">
      <c r="A21" s="131" t="s">
        <v>156</v>
      </c>
      <c r="B21" s="181">
        <v>101.1584660182092</v>
      </c>
      <c r="C21" s="181">
        <v>103.60309202086675</v>
      </c>
      <c r="D21" s="181">
        <v>106.31762618371752</v>
      </c>
      <c r="E21" s="181">
        <v>109.88753053275572</v>
      </c>
      <c r="F21" s="181">
        <v>113.66719230503114</v>
      </c>
      <c r="G21" s="181">
        <v>118.79484158671897</v>
      </c>
      <c r="H21" s="181">
        <v>123.00920741794724</v>
      </c>
      <c r="I21" s="181">
        <v>126.84445270532615</v>
      </c>
      <c r="J21" s="181">
        <v>131.40953921161278</v>
      </c>
      <c r="K21" s="181">
        <v>135.97356146720762</v>
      </c>
      <c r="L21" s="181">
        <v>141.28473935473585</v>
      </c>
      <c r="M21" s="181">
        <v>147.03234359983054</v>
      </c>
      <c r="N21" s="181">
        <v>154.43573857070569</v>
      </c>
      <c r="O21" s="181">
        <v>162.62943970360089</v>
      </c>
      <c r="P21" s="181">
        <v>173.6929059368772</v>
      </c>
      <c r="Q21" s="181">
        <v>185.16296798638362</v>
      </c>
      <c r="R21" s="181">
        <v>191.80732015037282</v>
      </c>
      <c r="S21" s="181">
        <v>198.40568195345406</v>
      </c>
      <c r="T21" s="181">
        <v>205.2453233266188</v>
      </c>
      <c r="U21" s="181">
        <v>212.05740679217004</v>
      </c>
      <c r="V21" s="181">
        <v>218.73271835065384</v>
      </c>
      <c r="W21" s="181">
        <v>225.15502088224324</v>
      </c>
      <c r="X21" s="181">
        <v>231.3978035766267</v>
      </c>
      <c r="Y21" s="181">
        <v>238.70197635800616</v>
      </c>
      <c r="DA21" s="190" t="s">
        <v>923</v>
      </c>
    </row>
    <row r="22" spans="1:105" ht="12" customHeight="1" x14ac:dyDescent="0.25">
      <c r="A22" s="131" t="s">
        <v>160</v>
      </c>
      <c r="B22" s="181">
        <v>1.484773941644693</v>
      </c>
      <c r="C22" s="181">
        <v>1.5056668266291342</v>
      </c>
      <c r="D22" s="181">
        <v>1.5347313289519449</v>
      </c>
      <c r="E22" s="181">
        <v>1.552958076242261</v>
      </c>
      <c r="F22" s="181">
        <v>1.583457903508886</v>
      </c>
      <c r="G22" s="181">
        <v>1.6204874799336781</v>
      </c>
      <c r="H22" s="181">
        <v>1.6528533128214147</v>
      </c>
      <c r="I22" s="181">
        <v>1.6874118015675261</v>
      </c>
      <c r="J22" s="181">
        <v>1.730921821434583</v>
      </c>
      <c r="K22" s="181">
        <v>1.7797070129743435</v>
      </c>
      <c r="L22" s="181">
        <v>1.8344541433119332</v>
      </c>
      <c r="M22" s="181">
        <v>1.9127877412034469</v>
      </c>
      <c r="N22" s="181">
        <v>2.0017918148234051</v>
      </c>
      <c r="O22" s="181">
        <v>2.1055129903183412</v>
      </c>
      <c r="P22" s="181">
        <v>2.2234998106950536</v>
      </c>
      <c r="Q22" s="181">
        <v>2.3453828087497106</v>
      </c>
      <c r="R22" s="181">
        <v>2.4548681899961005</v>
      </c>
      <c r="S22" s="181">
        <v>2.5649363092242652</v>
      </c>
      <c r="T22" s="181">
        <v>2.6746384709567232</v>
      </c>
      <c r="U22" s="181">
        <v>2.7811048413926476</v>
      </c>
      <c r="V22" s="181">
        <v>2.8790934604988134</v>
      </c>
      <c r="W22" s="181">
        <v>2.9607121131609451</v>
      </c>
      <c r="X22" s="181">
        <v>3.0278246849969817</v>
      </c>
      <c r="Y22" s="181">
        <v>3.0871908146334817</v>
      </c>
      <c r="DA22" s="190" t="s">
        <v>924</v>
      </c>
    </row>
    <row r="23" spans="1:105" ht="12" customHeight="1" x14ac:dyDescent="0.25">
      <c r="A23" s="131" t="s">
        <v>172</v>
      </c>
      <c r="B23" s="181">
        <v>12.483798542010396</v>
      </c>
      <c r="C23" s="181">
        <v>12.837566006617998</v>
      </c>
      <c r="D23" s="181">
        <v>13.234722670931093</v>
      </c>
      <c r="E23" s="181">
        <v>13.60313035174859</v>
      </c>
      <c r="F23" s="181">
        <v>14.055647585169423</v>
      </c>
      <c r="G23" s="181">
        <v>14.548515171890346</v>
      </c>
      <c r="H23" s="181">
        <v>15.146246163255539</v>
      </c>
      <c r="I23" s="181">
        <v>15.772239275775574</v>
      </c>
      <c r="J23" s="181">
        <v>16.418907753133251</v>
      </c>
      <c r="K23" s="181">
        <v>17.195177703842237</v>
      </c>
      <c r="L23" s="181">
        <v>17.959262411385176</v>
      </c>
      <c r="M23" s="181">
        <v>18.666245282794367</v>
      </c>
      <c r="N23" s="181">
        <v>19.556786442106624</v>
      </c>
      <c r="O23" s="181">
        <v>20.499814385387925</v>
      </c>
      <c r="P23" s="181">
        <v>21.616953274202206</v>
      </c>
      <c r="Q23" s="181">
        <v>22.928122711993602</v>
      </c>
      <c r="R23" s="181">
        <v>23.844488460509474</v>
      </c>
      <c r="S23" s="181">
        <v>24.760129235968602</v>
      </c>
      <c r="T23" s="181">
        <v>25.706575835556773</v>
      </c>
      <c r="U23" s="181">
        <v>26.647445150880756</v>
      </c>
      <c r="V23" s="181">
        <v>27.563572475855921</v>
      </c>
      <c r="W23" s="181">
        <v>28.433914118444143</v>
      </c>
      <c r="X23" s="181">
        <v>29.266279987305179</v>
      </c>
      <c r="Y23" s="181">
        <v>30.221888659601145</v>
      </c>
      <c r="DA23" s="190" t="s">
        <v>925</v>
      </c>
    </row>
    <row r="24" spans="1:105" ht="12" customHeight="1" x14ac:dyDescent="0.25">
      <c r="A24" s="60" t="s">
        <v>159</v>
      </c>
      <c r="B24" s="36">
        <v>1.5614563732958959</v>
      </c>
      <c r="C24" s="36">
        <v>1.5973730522435239</v>
      </c>
      <c r="D24" s="36">
        <v>1.634595824230284</v>
      </c>
      <c r="E24" s="36">
        <v>1.6651697017103262</v>
      </c>
      <c r="F24" s="36">
        <v>1.7052328599621829</v>
      </c>
      <c r="G24" s="36">
        <v>1.7545492716425486</v>
      </c>
      <c r="H24" s="36">
        <v>1.8003689927508932</v>
      </c>
      <c r="I24" s="36">
        <v>1.852570754879191</v>
      </c>
      <c r="J24" s="36">
        <v>1.9074363784670245</v>
      </c>
      <c r="K24" s="36">
        <v>1.9596306178674054</v>
      </c>
      <c r="L24" s="36">
        <v>1.9949068565773007</v>
      </c>
      <c r="M24" s="36">
        <v>2.053110254326441</v>
      </c>
      <c r="N24" s="36">
        <v>2.1050525260792901</v>
      </c>
      <c r="O24" s="36">
        <v>2.1760196199831907</v>
      </c>
      <c r="P24" s="36">
        <v>2.2529402236276574</v>
      </c>
      <c r="Q24" s="36">
        <v>2.3159842174788894</v>
      </c>
      <c r="R24" s="36">
        <v>2.3991641420699152</v>
      </c>
      <c r="S24" s="36">
        <v>2.4810886841632582</v>
      </c>
      <c r="T24" s="36">
        <v>2.5643151673986591</v>
      </c>
      <c r="U24" s="36">
        <v>2.6483882847049967</v>
      </c>
      <c r="V24" s="36">
        <v>2.7326360858869005</v>
      </c>
      <c r="W24" s="36">
        <v>2.8158435877769112</v>
      </c>
      <c r="X24" s="36">
        <v>2.8931668111202367</v>
      </c>
      <c r="Y24" s="36">
        <v>2.9654542022181944</v>
      </c>
      <c r="DA24" s="89" t="s">
        <v>926</v>
      </c>
    </row>
    <row r="25" spans="1:105" ht="12" customHeight="1" x14ac:dyDescent="0.25">
      <c r="A25" s="62" t="s">
        <v>157</v>
      </c>
      <c r="B25" s="38">
        <v>141.90129654823005</v>
      </c>
      <c r="C25" s="38">
        <v>157.69512615297157</v>
      </c>
      <c r="D25" s="38">
        <v>174.32861445506182</v>
      </c>
      <c r="E25" s="38">
        <v>192.92461882520911</v>
      </c>
      <c r="F25" s="38">
        <v>218.4287149605637</v>
      </c>
      <c r="G25" s="38">
        <v>244.67286147269317</v>
      </c>
      <c r="H25" s="38">
        <v>272.5004921595044</v>
      </c>
      <c r="I25" s="38">
        <v>300.43408596426718</v>
      </c>
      <c r="J25" s="38">
        <v>330.21819187191267</v>
      </c>
      <c r="K25" s="38">
        <v>362.10537303405454</v>
      </c>
      <c r="L25" s="38">
        <v>397.77012831177342</v>
      </c>
      <c r="M25" s="38">
        <v>447.45870350231161</v>
      </c>
      <c r="N25" s="38">
        <v>486.86613485728913</v>
      </c>
      <c r="O25" s="38">
        <v>519.82986780360216</v>
      </c>
      <c r="P25" s="38">
        <v>555.9439527603879</v>
      </c>
      <c r="Q25" s="38">
        <v>589.95531077669386</v>
      </c>
      <c r="R25" s="38">
        <v>626.59498358953147</v>
      </c>
      <c r="S25" s="38">
        <v>659.12238453802331</v>
      </c>
      <c r="T25" s="38">
        <v>690.91552781221651</v>
      </c>
      <c r="U25" s="38">
        <v>720.1670329428789</v>
      </c>
      <c r="V25" s="38">
        <v>747.6453482550354</v>
      </c>
      <c r="W25" s="38">
        <v>779.04724437544837</v>
      </c>
      <c r="X25" s="38">
        <v>807.79302919152292</v>
      </c>
      <c r="Y25" s="38">
        <v>835.00774482622512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0.30977094473346423</v>
      </c>
      <c r="D28" s="182">
        <v>0.32343384236328809</v>
      </c>
      <c r="E28" s="182">
        <v>0.29158940484117934</v>
      </c>
      <c r="F28" s="182">
        <v>0.36536648327635834</v>
      </c>
      <c r="G28" s="182">
        <v>0.38663933107574344</v>
      </c>
      <c r="H28" s="182">
        <v>0.38851055999063977</v>
      </c>
      <c r="I28" s="182">
        <v>0.40333657654943522</v>
      </c>
      <c r="J28" s="182">
        <v>0.40897308213704875</v>
      </c>
      <c r="K28" s="182">
        <v>0.41131754714538094</v>
      </c>
      <c r="L28" s="182">
        <v>0.36870142467781353</v>
      </c>
      <c r="M28" s="182">
        <v>0.46634089389578737</v>
      </c>
      <c r="N28" s="182">
        <v>0.50029280908302809</v>
      </c>
      <c r="O28" s="182">
        <v>0.54588027951211693</v>
      </c>
      <c r="P28" s="182">
        <v>0.54574489123631764</v>
      </c>
      <c r="Q28" s="182">
        <v>0.56199287961615418</v>
      </c>
      <c r="R28" s="182">
        <v>0.51939429583642482</v>
      </c>
      <c r="S28" s="182">
        <v>0.52154998788185036</v>
      </c>
      <c r="T28" s="182">
        <v>0.53364225386565778</v>
      </c>
      <c r="U28" s="182">
        <v>0.49664304354594524</v>
      </c>
      <c r="V28" s="182">
        <v>0.51251860656220138</v>
      </c>
      <c r="W28" s="182">
        <v>0.48422556610584699</v>
      </c>
      <c r="X28" s="182">
        <v>0.53555251247161628</v>
      </c>
      <c r="Y28" s="182">
        <v>0.54455278932145035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15.134392067278426</v>
      </c>
      <c r="D29" s="182">
        <v>15.950529704120896</v>
      </c>
      <c r="E29" s="182">
        <v>17.375641750057554</v>
      </c>
      <c r="F29" s="182">
        <v>18.179665503888572</v>
      </c>
      <c r="G29" s="182">
        <v>20.147499467680944</v>
      </c>
      <c r="H29" s="182">
        <v>19.880743688784889</v>
      </c>
      <c r="I29" s="182">
        <v>20.175980523514866</v>
      </c>
      <c r="J29" s="182">
        <v>19.699478573565059</v>
      </c>
      <c r="K29" s="182">
        <v>20.514551959715732</v>
      </c>
      <c r="L29" s="182">
        <v>22.686819637585785</v>
      </c>
      <c r="M29" s="182">
        <v>23.927269748983264</v>
      </c>
      <c r="N29" s="182">
        <v>27.550894438556099</v>
      </c>
      <c r="O29" s="182">
        <v>28.074444821680089</v>
      </c>
      <c r="P29" s="182">
        <v>31.239446756791153</v>
      </c>
      <c r="Q29" s="182">
        <v>31.16954062307147</v>
      </c>
      <c r="R29" s="182">
        <v>27.158904123704929</v>
      </c>
      <c r="S29" s="182">
        <v>29.285181440667031</v>
      </c>
      <c r="T29" s="182">
        <v>30.766911122148002</v>
      </c>
      <c r="U29" s="182">
        <v>34.362977904107339</v>
      </c>
      <c r="V29" s="182">
        <v>34.749756380163888</v>
      </c>
      <c r="W29" s="182">
        <v>37.661749288380548</v>
      </c>
      <c r="X29" s="182">
        <v>37.412323317454934</v>
      </c>
      <c r="Y29" s="182">
        <v>34.463076905084392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0.2527642367363474</v>
      </c>
      <c r="D30" s="182">
        <v>0.26695948968898864</v>
      </c>
      <c r="E30" s="182">
        <v>0.26230185439758591</v>
      </c>
      <c r="F30" s="182">
        <v>0.2809156034415492</v>
      </c>
      <c r="G30" s="182">
        <v>0.29395074180086556</v>
      </c>
      <c r="H30" s="182">
        <v>0.29596138675607775</v>
      </c>
      <c r="I30" s="182">
        <v>0.28732272548245885</v>
      </c>
      <c r="J30" s="182">
        <v>0.31046950955604546</v>
      </c>
      <c r="K30" s="182">
        <v>0.31108704593734648</v>
      </c>
      <c r="L30" s="182">
        <v>0.33566273377913891</v>
      </c>
      <c r="M30" s="182">
        <v>0.37228433969237917</v>
      </c>
      <c r="N30" s="182">
        <v>0.38496546037603596</v>
      </c>
      <c r="O30" s="182">
        <v>0.39104390097739494</v>
      </c>
      <c r="P30" s="182">
        <v>0.42845632993275795</v>
      </c>
      <c r="Q30" s="182">
        <v>0.43297004399200345</v>
      </c>
      <c r="R30" s="182">
        <v>0.44514811502552876</v>
      </c>
      <c r="S30" s="182">
        <v>0.4823524589205439</v>
      </c>
      <c r="T30" s="182">
        <v>0.49466762210849424</v>
      </c>
      <c r="U30" s="182">
        <v>0.49751027141331905</v>
      </c>
      <c r="V30" s="182">
        <v>0.52644494903892358</v>
      </c>
      <c r="W30" s="182">
        <v>0.51458869665413509</v>
      </c>
      <c r="X30" s="182">
        <v>0.51226068686156534</v>
      </c>
      <c r="Y30" s="182">
        <v>0.54171858855704391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1.4883338056017603</v>
      </c>
      <c r="D31" s="182">
        <v>1.5556217208285492</v>
      </c>
      <c r="E31" s="182">
        <v>1.5512748598238773</v>
      </c>
      <c r="F31" s="182">
        <v>1.6603005457454127</v>
      </c>
      <c r="G31" s="182">
        <v>1.7260918704102259</v>
      </c>
      <c r="H31" s="182">
        <v>1.8569321397515548</v>
      </c>
      <c r="I31" s="182">
        <v>1.9117183070921886</v>
      </c>
      <c r="J31" s="182">
        <v>1.9594764255365664</v>
      </c>
      <c r="K31" s="182">
        <v>2.1167311286321411</v>
      </c>
      <c r="L31" s="182">
        <v>2.1327816079628974</v>
      </c>
      <c r="M31" s="182">
        <v>2.195316677010954</v>
      </c>
      <c r="N31" s="182">
        <v>2.4461628801408075</v>
      </c>
      <c r="O31" s="182">
        <v>2.4943028031051782</v>
      </c>
      <c r="P31" s="182">
        <v>2.7774394345596924</v>
      </c>
      <c r="Q31" s="182">
        <v>3.0372613082016215</v>
      </c>
      <c r="R31" s="182">
        <v>2.7732978882674288</v>
      </c>
      <c r="S31" s="182">
        <v>2.8273590825513146</v>
      </c>
      <c r="T31" s="182">
        <v>2.9059230251247392</v>
      </c>
      <c r="U31" s="182">
        <v>3.057600443956126</v>
      </c>
      <c r="V31" s="182">
        <v>3.0489089329380619</v>
      </c>
      <c r="W31" s="182">
        <v>3.0656583195991765</v>
      </c>
      <c r="X31" s="182">
        <v>3.2785287490018433</v>
      </c>
      <c r="Y31" s="182">
        <v>3.4499114754011444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8.039078912404185E-2</v>
      </c>
      <c r="D32" s="41">
        <v>8.6701619429403687E-2</v>
      </c>
      <c r="E32" s="41">
        <v>8.5620652660959307E-2</v>
      </c>
      <c r="F32" s="41">
        <v>0.10130442829823383</v>
      </c>
      <c r="G32" s="41">
        <v>0.11744925224308522</v>
      </c>
      <c r="H32" s="41">
        <v>0.12161965079023362</v>
      </c>
      <c r="I32" s="41">
        <v>0.13653156978529957</v>
      </c>
      <c r="J32" s="41">
        <v>0.14868518897941052</v>
      </c>
      <c r="K32" s="41">
        <v>0.15657145897220293</v>
      </c>
      <c r="L32" s="41">
        <v>0.15139918087098159</v>
      </c>
      <c r="M32" s="41">
        <v>0.18739382600028054</v>
      </c>
      <c r="N32" s="41">
        <v>0.19567068959262746</v>
      </c>
      <c r="O32" s="41">
        <v>0.23086948276020181</v>
      </c>
      <c r="P32" s="41">
        <v>0.25481704435012187</v>
      </c>
      <c r="Q32" s="41">
        <v>0.2609593836218056</v>
      </c>
      <c r="R32" s="41">
        <v>0.16357071371506793</v>
      </c>
      <c r="S32" s="41">
        <v>0.1686261615227469</v>
      </c>
      <c r="T32" s="41">
        <v>0.16884713589636036</v>
      </c>
      <c r="U32" s="41">
        <v>0.18537754560457165</v>
      </c>
      <c r="V32" s="41">
        <v>0.20169705342498911</v>
      </c>
      <c r="W32" s="41">
        <v>0.20482715268024432</v>
      </c>
      <c r="X32" s="41">
        <v>0.21385479312862499</v>
      </c>
      <c r="Y32" s="41">
        <v>0.22097258007736809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44.174088914387525</v>
      </c>
      <c r="D33" s="42">
        <v>45.013747611736278</v>
      </c>
      <c r="E33" s="42">
        <v>46.976263679793306</v>
      </c>
      <c r="F33" s="42">
        <v>53.884355445000608</v>
      </c>
      <c r="G33" s="42">
        <v>54.624405821775497</v>
      </c>
      <c r="H33" s="42">
        <v>72.001719601198772</v>
      </c>
      <c r="I33" s="42">
        <v>72.947341416499057</v>
      </c>
      <c r="J33" s="42">
        <v>76.760369587438788</v>
      </c>
      <c r="K33" s="42">
        <v>85.77153660714248</v>
      </c>
      <c r="L33" s="42">
        <v>90.289161099494379</v>
      </c>
      <c r="M33" s="42">
        <v>121.69029479173696</v>
      </c>
      <c r="N33" s="42">
        <v>112.35477277147658</v>
      </c>
      <c r="O33" s="42">
        <v>109.72410253375182</v>
      </c>
      <c r="P33" s="42">
        <v>121.88562156392823</v>
      </c>
      <c r="Q33" s="42">
        <v>124.30051911580034</v>
      </c>
      <c r="R33" s="42">
        <v>158.32996760457456</v>
      </c>
      <c r="S33" s="42">
        <v>144.88217371996836</v>
      </c>
      <c r="T33" s="42">
        <v>141.51724580794496</v>
      </c>
      <c r="U33" s="42">
        <v>151.13712669459062</v>
      </c>
      <c r="V33" s="42">
        <v>151.77883442795689</v>
      </c>
      <c r="W33" s="42">
        <v>189.73186372498753</v>
      </c>
      <c r="X33" s="42">
        <v>173.62795853604291</v>
      </c>
      <c r="Y33" s="42">
        <v>168.73196144264716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0.2171872614836845</v>
      </c>
      <c r="D36" s="182">
        <v>0.22333053224868227</v>
      </c>
      <c r="E36" s="182">
        <v>0.22964756907819961</v>
      </c>
      <c r="F36" s="182">
        <v>0.23614328704864196</v>
      </c>
      <c r="G36" s="182">
        <v>0.24282274026227046</v>
      </c>
      <c r="H36" s="182">
        <v>0.2496911257796306</v>
      </c>
      <c r="I36" s="182">
        <v>0.2567537876632171</v>
      </c>
      <c r="J36" s="182">
        <v>0.26401622113550527</v>
      </c>
      <c r="K36" s="182">
        <v>0.27148407685460541</v>
      </c>
      <c r="L36" s="182">
        <v>0.27916316531085261</v>
      </c>
      <c r="M36" s="182">
        <v>0.28705946134774951</v>
      </c>
      <c r="N36" s="182">
        <v>0.29517910881080311</v>
      </c>
      <c r="O36" s="182">
        <v>0.30352842532783786</v>
      </c>
      <c r="P36" s="182">
        <v>0.31211390722453825</v>
      </c>
      <c r="Q36" s="182">
        <v>0.32094223457902071</v>
      </c>
      <c r="R36" s="182">
        <v>0.33002027641938092</v>
      </c>
      <c r="S36" s="182">
        <v>0.33935509606825676</v>
      </c>
      <c r="T36" s="182">
        <v>0.34895395663856554</v>
      </c>
      <c r="U36" s="182">
        <v>0.30977094473346334</v>
      </c>
      <c r="V36" s="182">
        <v>0.32343384236328809</v>
      </c>
      <c r="W36" s="182">
        <v>0.29158940484117934</v>
      </c>
      <c r="X36" s="182">
        <v>0.36536648327635746</v>
      </c>
      <c r="Y36" s="182">
        <v>0.38663933107574344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12.689766064620869</v>
      </c>
      <c r="D37" s="182">
        <v>13.235995541270128</v>
      </c>
      <c r="E37" s="182">
        <v>13.805737401019357</v>
      </c>
      <c r="F37" s="182">
        <v>14.400003731613168</v>
      </c>
      <c r="G37" s="182">
        <v>15.019850185993107</v>
      </c>
      <c r="H37" s="182">
        <v>15.666377857556625</v>
      </c>
      <c r="I37" s="182">
        <v>16.34073523613597</v>
      </c>
      <c r="J37" s="182">
        <v>15.134392067278412</v>
      </c>
      <c r="K37" s="182">
        <v>15.950529704120896</v>
      </c>
      <c r="L37" s="182">
        <v>17.375641750057554</v>
      </c>
      <c r="M37" s="182">
        <v>18.179665503888572</v>
      </c>
      <c r="N37" s="182">
        <v>20.147499467680944</v>
      </c>
      <c r="O37" s="182">
        <v>19.880743688784889</v>
      </c>
      <c r="P37" s="182">
        <v>20.175980523514852</v>
      </c>
      <c r="Q37" s="182">
        <v>19.699478573565045</v>
      </c>
      <c r="R37" s="182">
        <v>20.514551959715732</v>
      </c>
      <c r="S37" s="182">
        <v>22.686819637585785</v>
      </c>
      <c r="T37" s="182">
        <v>23.927269748983264</v>
      </c>
      <c r="U37" s="182">
        <v>27.550894438556099</v>
      </c>
      <c r="V37" s="182">
        <v>28.074444821680089</v>
      </c>
      <c r="W37" s="182">
        <v>31.239446756791125</v>
      </c>
      <c r="X37" s="182">
        <v>31.169540623071441</v>
      </c>
      <c r="Y37" s="182">
        <v>27.158904123704929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0.23187135175190621</v>
      </c>
      <c r="D38" s="182">
        <v>0.23789498736617798</v>
      </c>
      <c r="E38" s="182">
        <v>0.24407510710726976</v>
      </c>
      <c r="F38" s="182">
        <v>0.25041577617492417</v>
      </c>
      <c r="G38" s="182">
        <v>0.25692116537607346</v>
      </c>
      <c r="H38" s="182">
        <v>0.26359555386834121</v>
      </c>
      <c r="I38" s="182">
        <v>0.2527642367363474</v>
      </c>
      <c r="J38" s="182">
        <v>0.26695948968898864</v>
      </c>
      <c r="K38" s="182">
        <v>0.26230185439758591</v>
      </c>
      <c r="L38" s="182">
        <v>0.2809156034415492</v>
      </c>
      <c r="M38" s="182">
        <v>0.29395074180086578</v>
      </c>
      <c r="N38" s="182">
        <v>0.29596138675607797</v>
      </c>
      <c r="O38" s="182">
        <v>0.28732272548245863</v>
      </c>
      <c r="P38" s="182">
        <v>0.31046950955604569</v>
      </c>
      <c r="Q38" s="182">
        <v>0.31108704593734648</v>
      </c>
      <c r="R38" s="182">
        <v>0.33566273377913891</v>
      </c>
      <c r="S38" s="182">
        <v>0.37228433969237917</v>
      </c>
      <c r="T38" s="182">
        <v>0.38496546037603618</v>
      </c>
      <c r="U38" s="182">
        <v>0.39104390097739472</v>
      </c>
      <c r="V38" s="182">
        <v>0.42845632993275773</v>
      </c>
      <c r="W38" s="182">
        <v>0.43297004399200345</v>
      </c>
      <c r="X38" s="182">
        <v>0.44514811502552876</v>
      </c>
      <c r="Y38" s="182">
        <v>0.4823524589205439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1.1345663409941587</v>
      </c>
      <c r="D39" s="182">
        <v>1.1584650565154533</v>
      </c>
      <c r="E39" s="182">
        <v>1.1828671790063812</v>
      </c>
      <c r="F39" s="182">
        <v>1.2077833123245796</v>
      </c>
      <c r="G39" s="182">
        <v>1.233224283689303</v>
      </c>
      <c r="H39" s="182">
        <v>1.2592011483863619</v>
      </c>
      <c r="I39" s="182">
        <v>1.2857251945721533</v>
      </c>
      <c r="J39" s="182">
        <v>1.3128079481788895</v>
      </c>
      <c r="K39" s="182">
        <v>1.3404611779231566</v>
      </c>
      <c r="L39" s="182">
        <v>1.368696900419959</v>
      </c>
      <c r="M39" s="182">
        <v>1.4883338056017621</v>
      </c>
      <c r="N39" s="182">
        <v>1.555621720828551</v>
      </c>
      <c r="O39" s="182">
        <v>1.5512748598238773</v>
      </c>
      <c r="P39" s="182">
        <v>1.660300545745411</v>
      </c>
      <c r="Q39" s="182">
        <v>1.7260918704102259</v>
      </c>
      <c r="R39" s="182">
        <v>1.8569321397515566</v>
      </c>
      <c r="S39" s="182">
        <v>1.9117183070921868</v>
      </c>
      <c r="T39" s="182">
        <v>1.9594764255365682</v>
      </c>
      <c r="U39" s="182">
        <v>2.1167311286321429</v>
      </c>
      <c r="V39" s="182">
        <v>2.1327816079628974</v>
      </c>
      <c r="W39" s="182">
        <v>2.195316677010954</v>
      </c>
      <c r="X39" s="182">
        <v>2.4461628801408075</v>
      </c>
      <c r="Y39" s="182">
        <v>2.4943028031051746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4.4474110176413895E-2</v>
      </c>
      <c r="D40" s="41">
        <v>4.9478847442643525E-2</v>
      </c>
      <c r="E40" s="41">
        <v>5.5046775180917162E-2</v>
      </c>
      <c r="F40" s="41">
        <v>6.1241270046377139E-2</v>
      </c>
      <c r="G40" s="41">
        <v>6.813284056271951E-2</v>
      </c>
      <c r="H40" s="41">
        <v>7.5799929681888978E-2</v>
      </c>
      <c r="I40" s="41">
        <v>8.4329807657001821E-2</v>
      </c>
      <c r="J40" s="41">
        <v>9.3819565391576987E-2</v>
      </c>
      <c r="K40" s="41">
        <v>0.104377219571822</v>
      </c>
      <c r="L40" s="41">
        <v>0.1161229421610861</v>
      </c>
      <c r="M40" s="41">
        <v>0.12919042825114024</v>
      </c>
      <c r="N40" s="41">
        <v>0.14372841783977819</v>
      </c>
      <c r="O40" s="41">
        <v>0.15990238885630115</v>
      </c>
      <c r="P40" s="41">
        <v>0.17789644070565513</v>
      </c>
      <c r="Q40" s="41">
        <v>0.19791538977057366</v>
      </c>
      <c r="R40" s="41">
        <v>8.0390789124042072E-2</v>
      </c>
      <c r="S40" s="41">
        <v>8.6701619429403909E-2</v>
      </c>
      <c r="T40" s="41">
        <v>8.5620652660959529E-2</v>
      </c>
      <c r="U40" s="41">
        <v>0.10130442829823405</v>
      </c>
      <c r="V40" s="41">
        <v>0.11744925224308522</v>
      </c>
      <c r="W40" s="41">
        <v>0.12161965079023362</v>
      </c>
      <c r="X40" s="41">
        <v>0.13653156978529957</v>
      </c>
      <c r="Y40" s="41">
        <v>0.1486851889794103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28.380259309646021</v>
      </c>
      <c r="D41" s="42">
        <v>28.380259309646021</v>
      </c>
      <c r="E41" s="42">
        <v>28.380259309646021</v>
      </c>
      <c r="F41" s="42">
        <v>28.380259309646021</v>
      </c>
      <c r="G41" s="42">
        <v>28.380259309646021</v>
      </c>
      <c r="H41" s="42">
        <v>44.174088914387539</v>
      </c>
      <c r="I41" s="42">
        <v>45.013747611736278</v>
      </c>
      <c r="J41" s="42">
        <v>46.976263679793306</v>
      </c>
      <c r="K41" s="42">
        <v>53.884355445000608</v>
      </c>
      <c r="L41" s="42">
        <v>54.624405821775497</v>
      </c>
      <c r="M41" s="42">
        <v>72.001719601198772</v>
      </c>
      <c r="N41" s="42">
        <v>72.947341416499057</v>
      </c>
      <c r="O41" s="42">
        <v>76.760369587438845</v>
      </c>
      <c r="P41" s="42">
        <v>85.77153660714248</v>
      </c>
      <c r="Q41" s="42">
        <v>90.289161099494436</v>
      </c>
      <c r="R41" s="42">
        <v>121.69029479173696</v>
      </c>
      <c r="S41" s="42">
        <v>112.35477277147652</v>
      </c>
      <c r="T41" s="42">
        <v>109.72410253375176</v>
      </c>
      <c r="U41" s="42">
        <v>121.88562156392823</v>
      </c>
      <c r="V41" s="42">
        <v>124.3005191158004</v>
      </c>
      <c r="W41" s="42">
        <v>158.32996760457456</v>
      </c>
      <c r="X41" s="42">
        <v>144.88217371996836</v>
      </c>
      <c r="Y41" s="42">
        <v>141.51724580794496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8759.9999999999964</v>
      </c>
      <c r="C44" s="184">
        <v>8759.9999999999964</v>
      </c>
      <c r="D44" s="184">
        <v>8759.9999999999982</v>
      </c>
      <c r="E44" s="184">
        <v>8759.9999999999982</v>
      </c>
      <c r="F44" s="184">
        <v>8759.9999999999964</v>
      </c>
      <c r="G44" s="184">
        <v>8759.9999999999964</v>
      </c>
      <c r="H44" s="184">
        <v>8759.9999999999964</v>
      </c>
      <c r="I44" s="184">
        <v>8759.9999999999964</v>
      </c>
      <c r="J44" s="184">
        <v>8760</v>
      </c>
      <c r="K44" s="184">
        <v>8760</v>
      </c>
      <c r="L44" s="184">
        <v>8759.9999999999927</v>
      </c>
      <c r="M44" s="184">
        <v>8760</v>
      </c>
      <c r="N44" s="184">
        <v>8759.9999999999982</v>
      </c>
      <c r="O44" s="184">
        <v>8759.9999999999964</v>
      </c>
      <c r="P44" s="184">
        <v>8759.9999999999964</v>
      </c>
      <c r="Q44" s="184">
        <v>8759.9999999999982</v>
      </c>
      <c r="R44" s="184">
        <v>8760.0000000000018</v>
      </c>
      <c r="S44" s="184">
        <v>8760</v>
      </c>
      <c r="T44" s="184">
        <v>8760.0000000000018</v>
      </c>
      <c r="U44" s="184">
        <v>8760</v>
      </c>
      <c r="V44" s="184">
        <v>8760.0000000000036</v>
      </c>
      <c r="W44" s="184">
        <v>8760.0000000000018</v>
      </c>
      <c r="X44" s="184">
        <v>8760.0000000000018</v>
      </c>
      <c r="Y44" s="184">
        <v>8760.0000000000018</v>
      </c>
      <c r="DA44" s="193" t="s">
        <v>940</v>
      </c>
    </row>
    <row r="45" spans="1:105" ht="12" customHeight="1" x14ac:dyDescent="0.25">
      <c r="A45" s="131" t="s">
        <v>6</v>
      </c>
      <c r="B45" s="184">
        <v>4002.6704848373065</v>
      </c>
      <c r="C45" s="184">
        <v>4005.5674164954839</v>
      </c>
      <c r="D45" s="184">
        <v>4010.8635008300794</v>
      </c>
      <c r="E45" s="184">
        <v>4012.426770624244</v>
      </c>
      <c r="F45" s="184">
        <v>4019.105074839365</v>
      </c>
      <c r="G45" s="184">
        <v>4023.0303038887996</v>
      </c>
      <c r="H45" s="184">
        <v>4024.3051595040497</v>
      </c>
      <c r="I45" s="184">
        <v>4028.2583760414168</v>
      </c>
      <c r="J45" s="184">
        <v>4027.0421875515212</v>
      </c>
      <c r="K45" s="184">
        <v>4022.8660020568027</v>
      </c>
      <c r="L45" s="184">
        <v>4021.8769636949296</v>
      </c>
      <c r="M45" s="184">
        <v>4012.8947562989283</v>
      </c>
      <c r="N45" s="184">
        <v>3992.5736447945001</v>
      </c>
      <c r="O45" s="184">
        <v>3960.771832692943</v>
      </c>
      <c r="P45" s="184">
        <v>3925.2552026638732</v>
      </c>
      <c r="Q45" s="184">
        <v>3884.4814812516956</v>
      </c>
      <c r="R45" s="184">
        <v>3889.7525978042304</v>
      </c>
      <c r="S45" s="184">
        <v>3927.497451408939</v>
      </c>
      <c r="T45" s="184">
        <v>3900.8611517533495</v>
      </c>
      <c r="U45" s="184">
        <v>3883.8121901650375</v>
      </c>
      <c r="V45" s="184">
        <v>3900.0074592840792</v>
      </c>
      <c r="W45" s="184">
        <v>3907.1337405396689</v>
      </c>
      <c r="X45" s="184">
        <v>3876.4203664857023</v>
      </c>
      <c r="Y45" s="184">
        <v>3845.7069924317357</v>
      </c>
      <c r="DA45" s="193" t="s">
        <v>941</v>
      </c>
    </row>
    <row r="46" spans="1:105" ht="12" customHeight="1" x14ac:dyDescent="0.25">
      <c r="A46" s="131" t="s">
        <v>5</v>
      </c>
      <c r="B46" s="184">
        <v>2447.5446128044427</v>
      </c>
      <c r="C46" s="184">
        <v>2468.3483188655582</v>
      </c>
      <c r="D46" s="184">
        <v>2482.0956269047783</v>
      </c>
      <c r="E46" s="184">
        <v>2495.3836933614866</v>
      </c>
      <c r="F46" s="184">
        <v>2510.4184339163221</v>
      </c>
      <c r="G46" s="184">
        <v>2522.7038747237984</v>
      </c>
      <c r="H46" s="184">
        <v>2532.096770162796</v>
      </c>
      <c r="I46" s="184">
        <v>2544.251729986278</v>
      </c>
      <c r="J46" s="184">
        <v>2554.2314439682787</v>
      </c>
      <c r="K46" s="184">
        <v>2565.1470152503293</v>
      </c>
      <c r="L46" s="184">
        <v>2575.4715960798017</v>
      </c>
      <c r="M46" s="184">
        <v>2587.0409341246645</v>
      </c>
      <c r="N46" s="184">
        <v>2594.3006115027169</v>
      </c>
      <c r="O46" s="184">
        <v>2599.7535505002388</v>
      </c>
      <c r="P46" s="184">
        <v>2604.8931452441138</v>
      </c>
      <c r="Q46" s="184">
        <v>2608.9190541565317</v>
      </c>
      <c r="R46" s="184">
        <v>2625.8664156680384</v>
      </c>
      <c r="S46" s="184">
        <v>2629.1126504297035</v>
      </c>
      <c r="T46" s="184">
        <v>2619.6797246321321</v>
      </c>
      <c r="U46" s="184">
        <v>2622.4266160801908</v>
      </c>
      <c r="V46" s="184">
        <v>2443.359499279496</v>
      </c>
      <c r="W46" s="184">
        <v>2637.4486988694366</v>
      </c>
      <c r="X46" s="184">
        <v>2619.7303532975438</v>
      </c>
      <c r="Y46" s="184">
        <v>2610.8711805115977</v>
      </c>
      <c r="DA46" s="193" t="s">
        <v>942</v>
      </c>
    </row>
    <row r="47" spans="1:105" ht="12" customHeight="1" x14ac:dyDescent="0.25">
      <c r="A47" s="131" t="s">
        <v>171</v>
      </c>
      <c r="B47" s="184">
        <v>8759.9999999999982</v>
      </c>
      <c r="C47" s="184">
        <v>8760</v>
      </c>
      <c r="D47" s="184">
        <v>8760.0000000000018</v>
      </c>
      <c r="E47" s="184">
        <v>8759.9999999999982</v>
      </c>
      <c r="F47" s="184">
        <v>8759.9999999999982</v>
      </c>
      <c r="G47" s="184">
        <v>8760.0000000000018</v>
      </c>
      <c r="H47" s="184">
        <v>8760.0000000000018</v>
      </c>
      <c r="I47" s="184">
        <v>8759.9999999999945</v>
      </c>
      <c r="J47" s="184">
        <v>8760.0000000000036</v>
      </c>
      <c r="K47" s="184">
        <v>8760.0000000000018</v>
      </c>
      <c r="L47" s="184">
        <v>8759.9999999999982</v>
      </c>
      <c r="M47" s="184">
        <v>8760.0000000000036</v>
      </c>
      <c r="N47" s="184">
        <v>8759.9999999999982</v>
      </c>
      <c r="O47" s="184">
        <v>8760</v>
      </c>
      <c r="P47" s="184">
        <v>8760</v>
      </c>
      <c r="Q47" s="184">
        <v>8759.9999999999982</v>
      </c>
      <c r="R47" s="184">
        <v>8760.0000000000018</v>
      </c>
      <c r="S47" s="184">
        <v>8760</v>
      </c>
      <c r="T47" s="184">
        <v>8760</v>
      </c>
      <c r="U47" s="184">
        <v>8760.0000000000018</v>
      </c>
      <c r="V47" s="184">
        <v>8760.0000000000018</v>
      </c>
      <c r="W47" s="184">
        <v>8760</v>
      </c>
      <c r="X47" s="184">
        <v>8760</v>
      </c>
      <c r="Y47" s="184">
        <v>8760</v>
      </c>
      <c r="DA47" s="193" t="s">
        <v>943</v>
      </c>
    </row>
    <row r="48" spans="1:105" ht="12" customHeight="1" x14ac:dyDescent="0.25">
      <c r="A48" s="60" t="s">
        <v>4</v>
      </c>
      <c r="B48" s="44">
        <v>852.25242908791142</v>
      </c>
      <c r="C48" s="44">
        <v>856.32353845019907</v>
      </c>
      <c r="D48" s="44">
        <v>860.05714873698867</v>
      </c>
      <c r="E48" s="44">
        <v>863.50611088713572</v>
      </c>
      <c r="F48" s="44">
        <v>866.71168051706752</v>
      </c>
      <c r="G48" s="44">
        <v>869.7066897837509</v>
      </c>
      <c r="H48" s="44">
        <v>872.51770198785221</v>
      </c>
      <c r="I48" s="44">
        <v>875.16651733093204</v>
      </c>
      <c r="J48" s="44">
        <v>877.671251290432</v>
      </c>
      <c r="K48" s="44">
        <v>880.04712355107881</v>
      </c>
      <c r="L48" s="44">
        <v>882.30704609332577</v>
      </c>
      <c r="M48" s="44">
        <v>883.74314375502411</v>
      </c>
      <c r="N48" s="44">
        <v>885.11459831049103</v>
      </c>
      <c r="O48" s="44">
        <v>886.42706722871094</v>
      </c>
      <c r="P48" s="44">
        <v>887.68549279248805</v>
      </c>
      <c r="Q48" s="44">
        <v>888.89421805966924</v>
      </c>
      <c r="R48" s="44">
        <v>891.13878362716048</v>
      </c>
      <c r="S48" s="44">
        <v>897.77726586385427</v>
      </c>
      <c r="T48" s="44">
        <v>895.03308407894735</v>
      </c>
      <c r="U48" s="44">
        <v>894.85643002183951</v>
      </c>
      <c r="V48" s="44">
        <v>833.75296200026821</v>
      </c>
      <c r="W48" s="44">
        <v>899.98244853227163</v>
      </c>
      <c r="X48" s="44">
        <v>893.62443325451295</v>
      </c>
      <c r="Y48" s="44">
        <v>890.44542561563367</v>
      </c>
      <c r="DA48" s="95" t="s">
        <v>944</v>
      </c>
    </row>
    <row r="49" spans="1:105" ht="12" customHeight="1" x14ac:dyDescent="0.25">
      <c r="A49" s="62" t="s">
        <v>3</v>
      </c>
      <c r="B49" s="185">
        <v>3055.0345397491492</v>
      </c>
      <c r="C49" s="185">
        <v>3211.8944955845109</v>
      </c>
      <c r="D49" s="185">
        <v>3361.535414797263</v>
      </c>
      <c r="E49" s="185">
        <v>3483.4923832729137</v>
      </c>
      <c r="F49" s="185">
        <v>3553.1788442705665</v>
      </c>
      <c r="G49" s="185">
        <v>3613.27114314768</v>
      </c>
      <c r="H49" s="185">
        <v>3659.0010675976482</v>
      </c>
      <c r="I49" s="185">
        <v>3700.32959436906</v>
      </c>
      <c r="J49" s="185">
        <v>3742.2012110513915</v>
      </c>
      <c r="K49" s="185">
        <v>3788.2349150720815</v>
      </c>
      <c r="L49" s="185">
        <v>3847.5025692134636</v>
      </c>
      <c r="M49" s="185">
        <v>3934.5754062671967</v>
      </c>
      <c r="N49" s="185">
        <v>3965.5687694867211</v>
      </c>
      <c r="O49" s="185">
        <v>4020.2086616808983</v>
      </c>
      <c r="P49" s="185">
        <v>4082.2279854769899</v>
      </c>
      <c r="Q49" s="185">
        <v>4141.0462451669155</v>
      </c>
      <c r="R49" s="185">
        <v>4199.9812304482875</v>
      </c>
      <c r="S49" s="185">
        <v>4256.654188552724</v>
      </c>
      <c r="T49" s="185">
        <v>4289.1256102304978</v>
      </c>
      <c r="U49" s="185">
        <v>4317.8542153552971</v>
      </c>
      <c r="V49" s="185">
        <v>4299.5531802226333</v>
      </c>
      <c r="W49" s="185">
        <v>4367.2029740356838</v>
      </c>
      <c r="X49" s="185">
        <v>4381.3830339683145</v>
      </c>
      <c r="Y49" s="185">
        <v>4383.52496217517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0.65122719315423017</v>
      </c>
      <c r="C52" s="180">
        <v>0.6471361058068098</v>
      </c>
      <c r="D52" s="180">
        <v>0.64264991537487937</v>
      </c>
      <c r="E52" s="180">
        <v>0.63834347750998344</v>
      </c>
      <c r="F52" s="180">
        <v>0.63286858492452902</v>
      </c>
      <c r="G52" s="180">
        <v>0.62697775814166268</v>
      </c>
      <c r="H52" s="180">
        <v>0.62095473036881532</v>
      </c>
      <c r="I52" s="180">
        <v>0.61457259367993367</v>
      </c>
      <c r="J52" s="180">
        <v>0.60794297263587516</v>
      </c>
      <c r="K52" s="180">
        <v>0.60111252057080999</v>
      </c>
      <c r="L52" s="180">
        <v>0.59453619108254874</v>
      </c>
      <c r="M52" s="180">
        <v>0.5865944658277078</v>
      </c>
      <c r="N52" s="180">
        <v>0.57798614319512442</v>
      </c>
      <c r="O52" s="180">
        <v>0.56859678247940515</v>
      </c>
      <c r="P52" s="180">
        <v>0.55886360228357868</v>
      </c>
      <c r="Q52" s="180">
        <v>0.54854902704104302</v>
      </c>
      <c r="R52" s="180">
        <v>0.53887004183678955</v>
      </c>
      <c r="S52" s="180">
        <v>0.52915630794136415</v>
      </c>
      <c r="T52" s="180">
        <v>0.51922827174468611</v>
      </c>
      <c r="U52" s="180">
        <v>0.51279096310498695</v>
      </c>
      <c r="V52" s="180">
        <v>0.5062236704462576</v>
      </c>
      <c r="W52" s="180">
        <v>0.50047711225671709</v>
      </c>
      <c r="X52" s="180">
        <v>0.49411372575882873</v>
      </c>
      <c r="Y52" s="180">
        <v>0.48785156501669608</v>
      </c>
      <c r="DA52" s="189" t="s">
        <v>946</v>
      </c>
    </row>
    <row r="53" spans="1:105" ht="12" customHeight="1" x14ac:dyDescent="0.25">
      <c r="A53" s="131" t="s">
        <v>100</v>
      </c>
      <c r="B53" s="180">
        <v>185.89086020614781</v>
      </c>
      <c r="C53" s="180">
        <v>184.09947177411141</v>
      </c>
      <c r="D53" s="180">
        <v>181.9618975703593</v>
      </c>
      <c r="E53" s="180">
        <v>179.37133868848392</v>
      </c>
      <c r="F53" s="180">
        <v>176.3594209638872</v>
      </c>
      <c r="G53" s="180">
        <v>172.82435917716097</v>
      </c>
      <c r="H53" s="180">
        <v>169.13117235252247</v>
      </c>
      <c r="I53" s="180">
        <v>165.16478021382551</v>
      </c>
      <c r="J53" s="180">
        <v>162.67421993420066</v>
      </c>
      <c r="K53" s="180">
        <v>159.95504452912587</v>
      </c>
      <c r="L53" s="180">
        <v>156.88574414045959</v>
      </c>
      <c r="M53" s="180">
        <v>153.64925256514817</v>
      </c>
      <c r="N53" s="180">
        <v>149.84464626810197</v>
      </c>
      <c r="O53" s="180">
        <v>145.61612358715945</v>
      </c>
      <c r="P53" s="180">
        <v>140.60715146631867</v>
      </c>
      <c r="Q53" s="180">
        <v>135.28102490700041</v>
      </c>
      <c r="R53" s="180">
        <v>130.2373986941729</v>
      </c>
      <c r="S53" s="180">
        <v>124.77711659850127</v>
      </c>
      <c r="T53" s="180">
        <v>119.06496194996136</v>
      </c>
      <c r="U53" s="180">
        <v>112.77074895190839</v>
      </c>
      <c r="V53" s="180">
        <v>106.73548765246774</v>
      </c>
      <c r="W53" s="180">
        <v>101.09464114204</v>
      </c>
      <c r="X53" s="180">
        <v>96.434395018639165</v>
      </c>
      <c r="Y53" s="180">
        <v>92.916660898491145</v>
      </c>
      <c r="DA53" s="189" t="s">
        <v>947</v>
      </c>
    </row>
    <row r="54" spans="1:105" ht="12" customHeight="1" x14ac:dyDescent="0.25">
      <c r="A54" s="131" t="s">
        <v>140</v>
      </c>
      <c r="B54" s="180">
        <v>39.878428230419921</v>
      </c>
      <c r="C54" s="180">
        <v>39.399542266061871</v>
      </c>
      <c r="D54" s="180">
        <v>38.695086701231048</v>
      </c>
      <c r="E54" s="180">
        <v>37.889454107399445</v>
      </c>
      <c r="F54" s="180">
        <v>36.956385224585297</v>
      </c>
      <c r="G54" s="180">
        <v>35.877787496156479</v>
      </c>
      <c r="H54" s="180">
        <v>34.685483507401749</v>
      </c>
      <c r="I54" s="180">
        <v>33.854318247064732</v>
      </c>
      <c r="J54" s="180">
        <v>33.049186003673142</v>
      </c>
      <c r="K54" s="180">
        <v>32.233846794807434</v>
      </c>
      <c r="L54" s="180">
        <v>31.32499902763491</v>
      </c>
      <c r="M54" s="180">
        <v>30.330475152197938</v>
      </c>
      <c r="N54" s="180">
        <v>29.24461192359788</v>
      </c>
      <c r="O54" s="180">
        <v>28.123929700411182</v>
      </c>
      <c r="P54" s="180">
        <v>26.896089170961567</v>
      </c>
      <c r="Q54" s="180">
        <v>25.675968626755409</v>
      </c>
      <c r="R54" s="180">
        <v>24.296507499699366</v>
      </c>
      <c r="S54" s="180">
        <v>22.859794079459039</v>
      </c>
      <c r="T54" s="180">
        <v>21.194960614603175</v>
      </c>
      <c r="U54" s="180">
        <v>19.393967297469931</v>
      </c>
      <c r="V54" s="180">
        <v>17.770494512041456</v>
      </c>
      <c r="W54" s="180">
        <v>16.317281024349331</v>
      </c>
      <c r="X54" s="180">
        <v>15.074807113298364</v>
      </c>
      <c r="Y54" s="180">
        <v>13.847053525816962</v>
      </c>
      <c r="DA54" s="189" t="s">
        <v>948</v>
      </c>
    </row>
    <row r="55" spans="1:105" ht="12" customHeight="1" x14ac:dyDescent="0.25">
      <c r="A55" s="131" t="s">
        <v>173</v>
      </c>
      <c r="B55" s="180">
        <v>651.10020777224406</v>
      </c>
      <c r="C55" s="180">
        <v>643.96249450371545</v>
      </c>
      <c r="D55" s="180">
        <v>634.9253343337997</v>
      </c>
      <c r="E55" s="180">
        <v>625.52535133972299</v>
      </c>
      <c r="F55" s="180">
        <v>615.34887047248117</v>
      </c>
      <c r="G55" s="180">
        <v>604.56513695714125</v>
      </c>
      <c r="H55" s="180">
        <v>592.98658923151197</v>
      </c>
      <c r="I55" s="180">
        <v>581.43728746033207</v>
      </c>
      <c r="J55" s="180">
        <v>569.18465497487136</v>
      </c>
      <c r="K55" s="180">
        <v>555.96155715888096</v>
      </c>
      <c r="L55" s="180">
        <v>542.13183274247672</v>
      </c>
      <c r="M55" s="180">
        <v>531.18273024381995</v>
      </c>
      <c r="N55" s="180">
        <v>520.74407943306039</v>
      </c>
      <c r="O55" s="180">
        <v>510.37626074791064</v>
      </c>
      <c r="P55" s="180">
        <v>498.71527623992341</v>
      </c>
      <c r="Q55" s="180">
        <v>487.23133092731649</v>
      </c>
      <c r="R55" s="180">
        <v>476.81789565182999</v>
      </c>
      <c r="S55" s="180">
        <v>466.27163188378813</v>
      </c>
      <c r="T55" s="180">
        <v>455.91652013078732</v>
      </c>
      <c r="U55" s="180">
        <v>445.30184275569883</v>
      </c>
      <c r="V55" s="180">
        <v>435.23309402552371</v>
      </c>
      <c r="W55" s="180">
        <v>426.27817333516987</v>
      </c>
      <c r="X55" s="180">
        <v>416.79856750467877</v>
      </c>
      <c r="Y55" s="180">
        <v>407.57352260673127</v>
      </c>
      <c r="DA55" s="189" t="s">
        <v>949</v>
      </c>
    </row>
    <row r="56" spans="1:105" ht="12" customHeight="1" x14ac:dyDescent="0.25">
      <c r="A56" s="60" t="s">
        <v>99</v>
      </c>
      <c r="B56" s="55">
        <v>45.234805898803231</v>
      </c>
      <c r="C56" s="55">
        <v>45.105555419053019</v>
      </c>
      <c r="D56" s="55">
        <v>44.957020313615999</v>
      </c>
      <c r="E56" s="55">
        <v>44.80067421105052</v>
      </c>
      <c r="F56" s="55">
        <v>44.611719837270698</v>
      </c>
      <c r="G56" s="55">
        <v>44.392746422120965</v>
      </c>
      <c r="H56" s="55">
        <v>44.162499951242928</v>
      </c>
      <c r="I56" s="55">
        <v>43.893875997819649</v>
      </c>
      <c r="J56" s="55">
        <v>43.591737416364147</v>
      </c>
      <c r="K56" s="55">
        <v>43.250263457124838</v>
      </c>
      <c r="L56" s="55">
        <v>42.876866433486043</v>
      </c>
      <c r="M56" s="55">
        <v>42.372197206147646</v>
      </c>
      <c r="N56" s="55">
        <v>41.769651069371157</v>
      </c>
      <c r="O56" s="55">
        <v>41.005786714140513</v>
      </c>
      <c r="P56" s="55">
        <v>40.108806185456523</v>
      </c>
      <c r="Q56" s="55">
        <v>39.095674892496817</v>
      </c>
      <c r="R56" s="55">
        <v>38.665930046889599</v>
      </c>
      <c r="S56" s="55">
        <v>38.217753021745757</v>
      </c>
      <c r="T56" s="55">
        <v>37.768796858799689</v>
      </c>
      <c r="U56" s="55">
        <v>37.255009303009508</v>
      </c>
      <c r="V56" s="55">
        <v>36.678290947220425</v>
      </c>
      <c r="W56" s="55">
        <v>36.108291472981982</v>
      </c>
      <c r="X56" s="55">
        <v>35.520221267941672</v>
      </c>
      <c r="Y56" s="55">
        <v>34.920685378696277</v>
      </c>
      <c r="DA56" s="101" t="s">
        <v>950</v>
      </c>
    </row>
    <row r="57" spans="1:105" ht="12" customHeight="1" x14ac:dyDescent="0.25">
      <c r="A57" s="62" t="s">
        <v>98</v>
      </c>
      <c r="B57" s="63">
        <v>343.72181435257284</v>
      </c>
      <c r="C57" s="63">
        <v>337.11214460768412</v>
      </c>
      <c r="D57" s="63">
        <v>328.29701596903254</v>
      </c>
      <c r="E57" s="63">
        <v>318.43137835558031</v>
      </c>
      <c r="F57" s="63">
        <v>306.08096177556513</v>
      </c>
      <c r="G57" s="63">
        <v>293.32229249009572</v>
      </c>
      <c r="H57" s="63">
        <v>278.55543723237383</v>
      </c>
      <c r="I57" s="63">
        <v>264.37562962161354</v>
      </c>
      <c r="J57" s="63">
        <v>249.89281246734595</v>
      </c>
      <c r="K57" s="63">
        <v>234.85131482346921</v>
      </c>
      <c r="L57" s="63">
        <v>219.17926093193603</v>
      </c>
      <c r="M57" s="63">
        <v>200.86407726936113</v>
      </c>
      <c r="N57" s="63">
        <v>186.76048227656503</v>
      </c>
      <c r="O57" s="63">
        <v>174.72593363394193</v>
      </c>
      <c r="P57" s="63">
        <v>162.69673185146408</v>
      </c>
      <c r="Q57" s="63">
        <v>152.85665222640233</v>
      </c>
      <c r="R57" s="63">
        <v>143.27739730470071</v>
      </c>
      <c r="S57" s="63">
        <v>136.05139563012122</v>
      </c>
      <c r="T57" s="63">
        <v>130.32737121614065</v>
      </c>
      <c r="U57" s="63">
        <v>125.84421881419328</v>
      </c>
      <c r="V57" s="63">
        <v>122.39949067008085</v>
      </c>
      <c r="W57" s="63">
        <v>118.50454134248915</v>
      </c>
      <c r="X57" s="63">
        <v>115.42150536899636</v>
      </c>
      <c r="Y57" s="63">
        <v>112.85668741075486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0.58387275821126761</v>
      </c>
      <c r="D60" s="180">
        <v>0.57783327468282808</v>
      </c>
      <c r="E60" s="180">
        <v>0.57169117882898124</v>
      </c>
      <c r="F60" s="180">
        <v>0.56588450421022085</v>
      </c>
      <c r="G60" s="180">
        <v>0.5600663765700874</v>
      </c>
      <c r="H60" s="180">
        <v>0.55460116739681764</v>
      </c>
      <c r="I60" s="180">
        <v>0.54812617192059498</v>
      </c>
      <c r="J60" s="180">
        <v>0.54153339870022221</v>
      </c>
      <c r="K60" s="180">
        <v>0.53512657013112452</v>
      </c>
      <c r="L60" s="180">
        <v>0.52856378961635209</v>
      </c>
      <c r="M60" s="180">
        <v>0.52088309907970587</v>
      </c>
      <c r="N60" s="180">
        <v>0.51152336533195109</v>
      </c>
      <c r="O60" s="180">
        <v>0.50137750201654308</v>
      </c>
      <c r="P60" s="180">
        <v>0.49002685407643076</v>
      </c>
      <c r="Q60" s="180">
        <v>0.47769880916390928</v>
      </c>
      <c r="R60" s="180">
        <v>0.47429507391103942</v>
      </c>
      <c r="S60" s="180">
        <v>0.46916647990018273</v>
      </c>
      <c r="T60" s="180">
        <v>0.46288988677606857</v>
      </c>
      <c r="U60" s="180">
        <v>0.45534578850310636</v>
      </c>
      <c r="V60" s="180">
        <v>0.44839983401811956</v>
      </c>
      <c r="W60" s="180">
        <v>0.44570943501401084</v>
      </c>
      <c r="X60" s="180">
        <v>0.44301903600990211</v>
      </c>
      <c r="Y60" s="180">
        <v>0.44032863700579339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173.62783835866657</v>
      </c>
      <c r="D61" s="180">
        <v>171.33807703605652</v>
      </c>
      <c r="E61" s="180">
        <v>168.70035044965493</v>
      </c>
      <c r="F61" s="180">
        <v>165.7035901277182</v>
      </c>
      <c r="G61" s="180">
        <v>162.62142256255933</v>
      </c>
      <c r="H61" s="180">
        <v>160.26993738811464</v>
      </c>
      <c r="I61" s="180">
        <v>157.76869022065489</v>
      </c>
      <c r="J61" s="180">
        <v>155.05283040113568</v>
      </c>
      <c r="K61" s="180">
        <v>151.38745849376937</v>
      </c>
      <c r="L61" s="180">
        <v>147.53858390378326</v>
      </c>
      <c r="M61" s="180">
        <v>143.69730040423315</v>
      </c>
      <c r="N61" s="180">
        <v>138.88383744893304</v>
      </c>
      <c r="O61" s="180">
        <v>132.73229598694107</v>
      </c>
      <c r="P61" s="180">
        <v>125.61471381245907</v>
      </c>
      <c r="Q61" s="180">
        <v>118.09706485894336</v>
      </c>
      <c r="R61" s="180">
        <v>111.82690628278252</v>
      </c>
      <c r="S61" s="180">
        <v>106.64723839816305</v>
      </c>
      <c r="T61" s="180">
        <v>101.38560084789826</v>
      </c>
      <c r="U61" s="180">
        <v>96.112738728720828</v>
      </c>
      <c r="V61" s="180">
        <v>90.908732111225959</v>
      </c>
      <c r="W61" s="180">
        <v>88.672377301289799</v>
      </c>
      <c r="X61" s="180">
        <v>86.436022491353654</v>
      </c>
      <c r="Y61" s="180">
        <v>84.199667681417495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37.025798762018042</v>
      </c>
      <c r="D62" s="180">
        <v>35.776425305932669</v>
      </c>
      <c r="E62" s="180">
        <v>35.026452963190629</v>
      </c>
      <c r="F62" s="180">
        <v>34.402980639199775</v>
      </c>
      <c r="G62" s="180">
        <v>33.564254235709413</v>
      </c>
      <c r="H62" s="180">
        <v>32.7822739307937</v>
      </c>
      <c r="I62" s="180">
        <v>31.862977668615891</v>
      </c>
      <c r="J62" s="180">
        <v>31.018303042469729</v>
      </c>
      <c r="K62" s="180">
        <v>30.051876633103788</v>
      </c>
      <c r="L62" s="180">
        <v>29.082183226511098</v>
      </c>
      <c r="M62" s="180">
        <v>27.983245923534351</v>
      </c>
      <c r="N62" s="180">
        <v>26.569009500046164</v>
      </c>
      <c r="O62" s="180">
        <v>25.134344527142922</v>
      </c>
      <c r="P62" s="180">
        <v>23.849308496655478</v>
      </c>
      <c r="Q62" s="180">
        <v>22.554160264179632</v>
      </c>
      <c r="R62" s="180">
        <v>20.637070650909781</v>
      </c>
      <c r="S62" s="180">
        <v>19.502163871880914</v>
      </c>
      <c r="T62" s="180">
        <v>16.744763146312568</v>
      </c>
      <c r="U62" s="180">
        <v>14.223689104699867</v>
      </c>
      <c r="V62" s="180">
        <v>14.141355897034206</v>
      </c>
      <c r="W62" s="180">
        <v>13.434288102182496</v>
      </c>
      <c r="X62" s="180">
        <v>12.727220307330784</v>
      </c>
      <c r="Y62" s="180">
        <v>12.020152512479074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589.53413645398825</v>
      </c>
      <c r="D63" s="180">
        <v>572.39270624098651</v>
      </c>
      <c r="E63" s="180">
        <v>564.83042731643684</v>
      </c>
      <c r="F63" s="180">
        <v>557.97845797739774</v>
      </c>
      <c r="G63" s="180">
        <v>550.00015105680927</v>
      </c>
      <c r="H63" s="180">
        <v>541.67941434242584</v>
      </c>
      <c r="I63" s="180">
        <v>536.78573207644592</v>
      </c>
      <c r="J63" s="180">
        <v>525.44232594761672</v>
      </c>
      <c r="K63" s="180">
        <v>513.64198507318042</v>
      </c>
      <c r="L63" s="180">
        <v>500.56175756123042</v>
      </c>
      <c r="M63" s="180">
        <v>481.17106877135177</v>
      </c>
      <c r="N63" s="180">
        <v>473.93415860918122</v>
      </c>
      <c r="O63" s="180">
        <v>462.95305449633537</v>
      </c>
      <c r="P63" s="180">
        <v>448.07391094744048</v>
      </c>
      <c r="Q63" s="180">
        <v>441.16905808053428</v>
      </c>
      <c r="R63" s="180">
        <v>434.15494059725728</v>
      </c>
      <c r="S63" s="180">
        <v>425.00797733346167</v>
      </c>
      <c r="T63" s="180">
        <v>414.56658527229939</v>
      </c>
      <c r="U63" s="180">
        <v>403.37049669393821</v>
      </c>
      <c r="V63" s="180">
        <v>392.93118855689886</v>
      </c>
      <c r="W63" s="180">
        <v>385.0725647857609</v>
      </c>
      <c r="X63" s="180">
        <v>377.21394101462289</v>
      </c>
      <c r="Y63" s="180">
        <v>369.35531724348493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42.666585887627996</v>
      </c>
      <c r="D64" s="55">
        <v>42.378966228617074</v>
      </c>
      <c r="E64" s="55">
        <v>42.094958594855377</v>
      </c>
      <c r="F64" s="55">
        <v>41.882495447854986</v>
      </c>
      <c r="G64" s="55">
        <v>41.701977831715247</v>
      </c>
      <c r="H64" s="55">
        <v>41.509161775561502</v>
      </c>
      <c r="I64" s="55">
        <v>41.179911188034801</v>
      </c>
      <c r="J64" s="55">
        <v>40.863953083721171</v>
      </c>
      <c r="K64" s="55">
        <v>40.413227685193917</v>
      </c>
      <c r="L64" s="55">
        <v>39.852349594237076</v>
      </c>
      <c r="M64" s="55">
        <v>38.973224718119333</v>
      </c>
      <c r="N64" s="55">
        <v>37.992629419091692</v>
      </c>
      <c r="O64" s="55">
        <v>36.969981248325581</v>
      </c>
      <c r="P64" s="55">
        <v>36.027642275291306</v>
      </c>
      <c r="Q64" s="55">
        <v>35.005016335048154</v>
      </c>
      <c r="R64" s="55">
        <v>34.547427506807324</v>
      </c>
      <c r="S64" s="55">
        <v>33.980769164993973</v>
      </c>
      <c r="T64" s="55">
        <v>33.365457351345654</v>
      </c>
      <c r="U64" s="55">
        <v>32.676631803167609</v>
      </c>
      <c r="V64" s="55">
        <v>32.030995148685477</v>
      </c>
      <c r="W64" s="55">
        <v>31.710685197198622</v>
      </c>
      <c r="X64" s="55">
        <v>31.390375245711766</v>
      </c>
      <c r="Y64" s="55">
        <v>31.070065294224911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320.12624668235378</v>
      </c>
      <c r="D65" s="63">
        <v>307.14030062470397</v>
      </c>
      <c r="E65" s="63">
        <v>297.09903462022146</v>
      </c>
      <c r="F65" s="63">
        <v>281.68719769682451</v>
      </c>
      <c r="G65" s="63">
        <v>268.48891962891469</v>
      </c>
      <c r="H65" s="63">
        <v>253.87969187776073</v>
      </c>
      <c r="I65" s="63">
        <v>237.79472334353167</v>
      </c>
      <c r="J65" s="63">
        <v>222.09774052831298</v>
      </c>
      <c r="K65" s="63">
        <v>206.36570186460256</v>
      </c>
      <c r="L65" s="63">
        <v>186.1584190423871</v>
      </c>
      <c r="M65" s="63">
        <v>172.36535809103924</v>
      </c>
      <c r="N65" s="63">
        <v>163.72662212700027</v>
      </c>
      <c r="O65" s="63">
        <v>154.46660386211315</v>
      </c>
      <c r="P65" s="63">
        <v>142.12347899263546</v>
      </c>
      <c r="Q65" s="63">
        <v>133.03578429428788</v>
      </c>
      <c r="R65" s="63">
        <v>129.94063090912286</v>
      </c>
      <c r="S65" s="63">
        <v>126.26183643295971</v>
      </c>
      <c r="T65" s="63">
        <v>122.38362572741352</v>
      </c>
      <c r="U65" s="63">
        <v>118.47824668708401</v>
      </c>
      <c r="V65" s="63">
        <v>114.76546954816182</v>
      </c>
      <c r="W65" s="63">
        <v>112.6996910962949</v>
      </c>
      <c r="X65" s="63">
        <v>110.63391264442799</v>
      </c>
      <c r="Y65" s="63">
        <v>108.56813419256108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629.53472932080729</v>
      </c>
      <c r="C68" s="187">
        <f>1000000*C20/SER_summary!C$8</f>
        <v>636.50913197036493</v>
      </c>
      <c r="D68" s="187">
        <f>1000000*D20/SER_summary!D$8</f>
        <v>643.34050889470018</v>
      </c>
      <c r="E68" s="187">
        <f>1000000*E20/SER_summary!E$8</f>
        <v>648.93090023092759</v>
      </c>
      <c r="F68" s="187">
        <f>1000000*F20/SER_summary!F$8</f>
        <v>659.02855800358498</v>
      </c>
      <c r="G68" s="187">
        <f>1000000*G20/SER_summary!G$8</f>
        <v>669.26020949243423</v>
      </c>
      <c r="H68" s="187">
        <f>1000000*H20/SER_summary!H$8</f>
        <v>681.02586048721184</v>
      </c>
      <c r="I68" s="187">
        <f>1000000*I20/SER_summary!I$8</f>
        <v>692.90076827084636</v>
      </c>
      <c r="J68" s="187">
        <f>1000000*J20/SER_summary!J$8</f>
        <v>705.61480801727089</v>
      </c>
      <c r="K68" s="187">
        <f>1000000*K20/SER_summary!K$8</f>
        <v>717.97433996693746</v>
      </c>
      <c r="L68" s="187">
        <f>1000000*L20/SER_summary!L$8</f>
        <v>725.4642162597919</v>
      </c>
      <c r="M68" s="187">
        <f>1000000*M20/SER_summary!M$8</f>
        <v>734.34739725245026</v>
      </c>
      <c r="N68" s="187">
        <f>1000000*N20/SER_summary!N$8</f>
        <v>745.67638122976928</v>
      </c>
      <c r="O68" s="187">
        <f>1000000*O20/SER_summary!O$8</f>
        <v>756.93518881589455</v>
      </c>
      <c r="P68" s="187">
        <f>1000000*P20/SER_summary!P$8</f>
        <v>764.59646049736773</v>
      </c>
      <c r="Q68" s="187">
        <f>1000000*Q20/SER_summary!Q$8</f>
        <v>775.2045873828032</v>
      </c>
      <c r="R68" s="187">
        <f>1000000*R20/SER_summary!R$8</f>
        <v>778.47175249479756</v>
      </c>
      <c r="S68" s="187">
        <f>1000000*S20/SER_summary!S$8</f>
        <v>781.7173955366676</v>
      </c>
      <c r="T68" s="187">
        <f>1000000*T20/SER_summary!T$8</f>
        <v>785.0553408497351</v>
      </c>
      <c r="U68" s="187">
        <f>1000000*U20/SER_summary!U$8</f>
        <v>788.55462447245748</v>
      </c>
      <c r="V68" s="187">
        <f>1000000*V20/SER_summary!V$8</f>
        <v>792.34374721149618</v>
      </c>
      <c r="W68" s="187">
        <f>1000000*W20/SER_summary!W$8</f>
        <v>796.57711518108295</v>
      </c>
      <c r="X68" s="187">
        <f>1000000*X20/SER_summary!X$8</f>
        <v>798.70227346022955</v>
      </c>
      <c r="Y68" s="187">
        <f>1000000*Y20/SER_summary!Y$8</f>
        <v>799.76697776673007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0.23329904524494741</v>
      </c>
      <c r="C69" s="187">
        <f>1000*C21/SER_summary!C$3</f>
        <v>0.23599793171040262</v>
      </c>
      <c r="D69" s="187">
        <f>1000*D21/SER_summary!D$3</f>
        <v>0.23942715050944155</v>
      </c>
      <c r="E69" s="187">
        <f>1000*E21/SER_summary!E$3</f>
        <v>0.24512052316028488</v>
      </c>
      <c r="F69" s="187">
        <f>1000*F21/SER_summary!F$3</f>
        <v>0.24983996901932287</v>
      </c>
      <c r="G69" s="187">
        <f>1000*G21/SER_summary!G$3</f>
        <v>0.25756096001283302</v>
      </c>
      <c r="H69" s="187">
        <f>1000*H21/SER_summary!H$3</f>
        <v>0.26223167482710469</v>
      </c>
      <c r="I69" s="187">
        <f>1000*I21/SER_summary!I$3</f>
        <v>0.26637529522084002</v>
      </c>
      <c r="J69" s="187">
        <f>1000*J21/SER_summary!J$3</f>
        <v>0.27162011333552316</v>
      </c>
      <c r="K69" s="187">
        <f>1000*K21/SER_summary!K$3</f>
        <v>0.2755289999335514</v>
      </c>
      <c r="L69" s="187">
        <f>1000*L21/SER_summary!L$3</f>
        <v>0.28140670619945557</v>
      </c>
      <c r="M69" s="187">
        <f>1000*M21/SER_summary!M$3</f>
        <v>0.28726231556703374</v>
      </c>
      <c r="N69" s="187">
        <f>1000*N21/SER_summary!N$3</f>
        <v>0.29424570035934955</v>
      </c>
      <c r="O69" s="187">
        <f>1000*O21/SER_summary!O$3</f>
        <v>0.30282612566983197</v>
      </c>
      <c r="P69" s="187">
        <f>1000*P21/SER_summary!P$3</f>
        <v>0.3159891317437003</v>
      </c>
      <c r="Q69" s="187">
        <f>1000*Q21/SER_summary!Q$3</f>
        <v>0.32891080326842076</v>
      </c>
      <c r="R69" s="187">
        <f>1000*R21/SER_summary!R$3</f>
        <v>0.33285492929336591</v>
      </c>
      <c r="S69" s="187">
        <f>1000*S21/SER_summary!S$3</f>
        <v>0.33590107785512663</v>
      </c>
      <c r="T69" s="187">
        <f>1000*T21/SER_summary!T$3</f>
        <v>0.3409362435970113</v>
      </c>
      <c r="U69" s="187">
        <f>1000*U21/SER_summary!U$3</f>
        <v>0.34543000386413625</v>
      </c>
      <c r="V69" s="187">
        <f>1000*V21/SER_summary!V$3</f>
        <v>0.34935301633368976</v>
      </c>
      <c r="W69" s="187">
        <f>1000*W21/SER_summary!W$3</f>
        <v>0.35472566427023022</v>
      </c>
      <c r="X69" s="187">
        <f>1000*X21/SER_summary!X$3</f>
        <v>0.35853560456064515</v>
      </c>
      <c r="Y69" s="187">
        <f>1000*Y21/SER_summary!Y$3</f>
        <v>0.36122688455817969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186.66737453545588</v>
      </c>
      <c r="C70" s="187">
        <f>1000000*C22/SER_summary!C$8</f>
        <v>187.9167079491084</v>
      </c>
      <c r="D70" s="187">
        <f>1000000*D22/SER_summary!D$8</f>
        <v>189.87303676552838</v>
      </c>
      <c r="E70" s="187">
        <f>1000000*E22/SER_summary!E$8</f>
        <v>191.51623881479756</v>
      </c>
      <c r="F70" s="187">
        <f>1000000*F22/SER_summary!F$8</f>
        <v>193.56273408260657</v>
      </c>
      <c r="G70" s="187">
        <f>1000000*G22/SER_summary!G$8</f>
        <v>195.93782612309434</v>
      </c>
      <c r="H70" s="187">
        <f>1000000*H22/SER_summary!H$8</f>
        <v>198.38907297089446</v>
      </c>
      <c r="I70" s="187">
        <f>1000000*I22/SER_summary!I$8</f>
        <v>200.87902270355747</v>
      </c>
      <c r="J70" s="187">
        <f>1000000*J22/SER_summary!J$8</f>
        <v>204.74066911126758</v>
      </c>
      <c r="K70" s="187">
        <f>1000000*K22/SER_summary!K$8</f>
        <v>209.29253602662854</v>
      </c>
      <c r="L70" s="187">
        <f>1000000*L22/SER_summary!L$8</f>
        <v>214.83060443286388</v>
      </c>
      <c r="M70" s="187">
        <f>1000000*M22/SER_summary!M$8</f>
        <v>220.36940558223495</v>
      </c>
      <c r="N70" s="187">
        <f>1000000*N22/SER_summary!N$8</f>
        <v>226.8804523614283</v>
      </c>
      <c r="O70" s="187">
        <f>1000000*O22/SER_summary!O$8</f>
        <v>233.63304887697512</v>
      </c>
      <c r="P70" s="187">
        <f>1000000*P22/SER_summary!P$8</f>
        <v>240.96941297163869</v>
      </c>
      <c r="Q70" s="187">
        <f>1000000*Q22/SER_summary!Q$8</f>
        <v>249.19087457923499</v>
      </c>
      <c r="R70" s="187">
        <f>1000000*R22/SER_summary!R$8</f>
        <v>255.29643549447403</v>
      </c>
      <c r="S70" s="187">
        <f>1000000*S22/SER_summary!S$8</f>
        <v>261.49066980751707</v>
      </c>
      <c r="T70" s="187">
        <f>1000000*T22/SER_summary!T$8</f>
        <v>267.3983108835414</v>
      </c>
      <c r="U70" s="187">
        <f>1000000*U22/SER_summary!U$8</f>
        <v>272.78986443099149</v>
      </c>
      <c r="V70" s="187">
        <f>1000000*V22/SER_summary!V$8</f>
        <v>277.23763766330762</v>
      </c>
      <c r="W70" s="187">
        <f>1000000*W22/SER_summary!W$8</f>
        <v>280.06362262665061</v>
      </c>
      <c r="X70" s="187">
        <f>1000000*X22/SER_summary!X$8</f>
        <v>281.487399189153</v>
      </c>
      <c r="Y70" s="187">
        <f>1000000*Y22/SER_summary!Y$8</f>
        <v>282.20199947745363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2.8791048297994455E-2</v>
      </c>
      <c r="C71" s="187">
        <f>1000*C23/SER_summary!C$3</f>
        <v>2.9242747167694753E-2</v>
      </c>
      <c r="D71" s="187">
        <f>1000*D23/SER_summary!D$3</f>
        <v>2.9804577572190277E-2</v>
      </c>
      <c r="E71" s="187">
        <f>1000*E23/SER_summary!E$3</f>
        <v>3.0343810733322752E-2</v>
      </c>
      <c r="F71" s="187">
        <f>1000*F23/SER_summary!F$3</f>
        <v>3.0894249132164198E-2</v>
      </c>
      <c r="G71" s="187">
        <f>1000*G23/SER_summary!G$3</f>
        <v>3.154286401988237E-2</v>
      </c>
      <c r="H71" s="187">
        <f>1000*H23/SER_summary!H$3</f>
        <v>3.2288847169294199E-2</v>
      </c>
      <c r="I71" s="187">
        <f>1000*I23/SER_summary!I$3</f>
        <v>3.3121944269321871E-2</v>
      </c>
      <c r="J71" s="187">
        <f>1000*J23/SER_summary!J$3</f>
        <v>3.3937456987578003E-2</v>
      </c>
      <c r="K71" s="187">
        <f>1000*K23/SER_summary!K$3</f>
        <v>3.484331854881912E-2</v>
      </c>
      <c r="L71" s="187">
        <f>1000*L23/SER_summary!L$3</f>
        <v>3.5770720206875536E-2</v>
      </c>
      <c r="M71" s="187">
        <f>1000*M23/SER_summary!M$3</f>
        <v>3.6468906851348792E-2</v>
      </c>
      <c r="N71" s="187">
        <f>1000*N23/SER_summary!N$3</f>
        <v>3.7261455001889335E-2</v>
      </c>
      <c r="O71" s="187">
        <f>1000*O23/SER_summary!O$3</f>
        <v>3.8171928640914211E-2</v>
      </c>
      <c r="P71" s="187">
        <f>1000*P23/SER_summary!P$3</f>
        <v>3.9326432240944197E-2</v>
      </c>
      <c r="Q71" s="187">
        <f>1000*Q23/SER_summary!Q$3</f>
        <v>4.0727945445297162E-2</v>
      </c>
      <c r="R71" s="187">
        <f>1000*R23/SER_summary!R$3</f>
        <v>4.1378793647380688E-2</v>
      </c>
      <c r="S71" s="187">
        <f>1000*S23/SER_summary!S$3</f>
        <v>4.1918931032152808E-2</v>
      </c>
      <c r="T71" s="187">
        <f>1000*T23/SER_summary!T$3</f>
        <v>4.2701598550770797E-2</v>
      </c>
      <c r="U71" s="187">
        <f>1000*U23/SER_summary!U$3</f>
        <v>4.3407241561052488E-2</v>
      </c>
      <c r="V71" s="187">
        <f>1000*V23/SER_summary!V$3</f>
        <v>4.402367079777917E-2</v>
      </c>
      <c r="W71" s="187">
        <f>1000*W23/SER_summary!W$3</f>
        <v>4.4796864995264356E-2</v>
      </c>
      <c r="X71" s="187">
        <f>1000*X23/SER_summary!X$3</f>
        <v>4.5346166758297883E-2</v>
      </c>
      <c r="Y71" s="187">
        <f>1000*Y23/SER_summary!Y$3</f>
        <v>4.5734680761916294E-2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196.30797219671925</v>
      </c>
      <c r="C72" s="187">
        <f>1000000*C24/SER_summary!C$8</f>
        <v>199.36222279416589</v>
      </c>
      <c r="D72" s="187">
        <f>1000000*D24/SER_summary!D$8</f>
        <v>202.22801683653776</v>
      </c>
      <c r="E72" s="187">
        <f>1000000*E24/SER_summary!E$8</f>
        <v>205.3545701836259</v>
      </c>
      <c r="F72" s="187">
        <f>1000000*F24/SER_summary!F$8</f>
        <v>208.44856935593955</v>
      </c>
      <c r="G72" s="187">
        <f>1000000*G24/SER_summary!G$8</f>
        <v>212.14762493911368</v>
      </c>
      <c r="H72" s="187">
        <f>1000000*H24/SER_summary!H$8</f>
        <v>216.09512030302241</v>
      </c>
      <c r="I72" s="187">
        <f>1000000*I24/SER_summary!I$8</f>
        <v>220.5404764762346</v>
      </c>
      <c r="J72" s="187">
        <f>1000000*J24/SER_summary!J$8</f>
        <v>225.61954883140916</v>
      </c>
      <c r="K72" s="187">
        <f>1000000*K24/SER_summary!K$8</f>
        <v>230.451449985274</v>
      </c>
      <c r="L72" s="187">
        <f>1000000*L24/SER_summary!L$8</f>
        <v>233.62101873641214</v>
      </c>
      <c r="M72" s="187">
        <f>1000000*M24/SER_summary!M$8</f>
        <v>236.5357517693264</v>
      </c>
      <c r="N72" s="187">
        <f>1000000*N24/SER_summary!N$8</f>
        <v>238.58388560928819</v>
      </c>
      <c r="O72" s="187">
        <f>1000000*O24/SER_summary!O$8</f>
        <v>241.45664290388635</v>
      </c>
      <c r="P72" s="187">
        <f>1000000*P24/SER_summary!P$8</f>
        <v>244.15998622372035</v>
      </c>
      <c r="Q72" s="187">
        <f>1000000*Q24/SER_summary!Q$8</f>
        <v>246.06735007703284</v>
      </c>
      <c r="R72" s="187">
        <f>1000000*R24/SER_summary!R$8</f>
        <v>249.50343816120741</v>
      </c>
      <c r="S72" s="187">
        <f>1000000*S24/SER_summary!S$8</f>
        <v>252.94255437863796</v>
      </c>
      <c r="T72" s="187">
        <f>1000000*T24/SER_summary!T$8</f>
        <v>256.36868376090217</v>
      </c>
      <c r="U72" s="187">
        <f>1000000*U24/SER_summary!U$8</f>
        <v>259.77211300798399</v>
      </c>
      <c r="V72" s="187">
        <f>1000000*V24/SER_summary!V$8</f>
        <v>263.13476218779522</v>
      </c>
      <c r="W72" s="187">
        <f>1000000*W24/SER_summary!W$8</f>
        <v>266.36002616981142</v>
      </c>
      <c r="X72" s="187">
        <f>1000000*X24/SER_summary!X$8</f>
        <v>268.96867745281054</v>
      </c>
      <c r="Y72" s="187">
        <f>1000000*Y24/SER_summary!Y$8</f>
        <v>271.07398132244873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0.32726313779573352</v>
      </c>
      <c r="C73" s="52">
        <f>1000*C25/SER_summary!C$3</f>
        <v>0.35921441037123364</v>
      </c>
      <c r="D73" s="52">
        <f>1000*D25/SER_summary!D$3</f>
        <v>0.39258780420011669</v>
      </c>
      <c r="E73" s="52">
        <f>1000*E25/SER_summary!E$3</f>
        <v>0.43034713099533595</v>
      </c>
      <c r="F73" s="52">
        <f>1000*F25/SER_summary!F$3</f>
        <v>0.48010531686425995</v>
      </c>
      <c r="G73" s="52">
        <f>1000*G25/SER_summary!G$3</f>
        <v>0.53047907003597594</v>
      </c>
      <c r="H73" s="52">
        <f>1000*H25/SER_summary!H$3</f>
        <v>0.58091798126463889</v>
      </c>
      <c r="I73" s="52">
        <f>1000*I25/SER_summary!I$3</f>
        <v>0.63091618621312051</v>
      </c>
      <c r="J73" s="52">
        <f>1000*J25/SER_summary!J$3</f>
        <v>0.68255244816941063</v>
      </c>
      <c r="K73" s="52">
        <f>1000*K25/SER_summary!K$3</f>
        <v>0.73374948943070828</v>
      </c>
      <c r="L73" s="52">
        <f>1000*L25/SER_summary!L$3</f>
        <v>0.79226661098694873</v>
      </c>
      <c r="M73" s="52">
        <f>1000*M25/SER_summary!M$3</f>
        <v>0.87421597276944285</v>
      </c>
      <c r="N73" s="52">
        <f>1000*N25/SER_summary!N$3</f>
        <v>0.927623801059133</v>
      </c>
      <c r="O73" s="52">
        <f>1000*O25/SER_summary!O$3</f>
        <v>0.96795552614168079</v>
      </c>
      <c r="P73" s="52">
        <f>1000*P25/SER_summary!P$3</f>
        <v>1.0113956352066438</v>
      </c>
      <c r="Q73" s="52">
        <f>1000*Q25/SER_summary!Q$3</f>
        <v>1.0479561721774873</v>
      </c>
      <c r="R73" s="52">
        <f>1000*R25/SER_summary!R$3</f>
        <v>1.0873684528555043</v>
      </c>
      <c r="S73" s="52">
        <f>1000*S25/SER_summary!S$3</f>
        <v>1.1158950551461708</v>
      </c>
      <c r="T73" s="52">
        <f>1000*T25/SER_summary!T$3</f>
        <v>1.1476906799980342</v>
      </c>
      <c r="U73" s="52">
        <f>1000*U25/SER_summary!U$3</f>
        <v>1.1731130015000617</v>
      </c>
      <c r="V73" s="52">
        <f>1000*V25/SER_summary!V$3</f>
        <v>1.1941156290209283</v>
      </c>
      <c r="W73" s="52">
        <f>1000*W25/SER_summary!W$3</f>
        <v>1.2273679271114464</v>
      </c>
      <c r="X73" s="52">
        <f>1000*X25/SER_summary!X$3</f>
        <v>1.2516219151801495</v>
      </c>
      <c r="Y73" s="52">
        <f>1000*Y25/SER_summary!Y$3</f>
        <v>1.2636143648561462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2.4562271629006847</v>
      </c>
      <c r="C3" s="198">
        <f>'SER_se-appl'!C4</f>
        <v>2.4859257210621633</v>
      </c>
      <c r="D3" s="198">
        <f>'SER_se-appl'!D4</f>
        <v>2.5171483199081939</v>
      </c>
      <c r="E3" s="198">
        <f>'SER_se-appl'!E4</f>
        <v>2.5300633685029426</v>
      </c>
      <c r="F3" s="198">
        <f>'SER_se-appl'!F4</f>
        <v>2.5699633993572739</v>
      </c>
      <c r="G3" s="198">
        <f>'SER_se-appl'!G4</f>
        <v>2.6139599288802065</v>
      </c>
      <c r="H3" s="198">
        <f>'SER_se-appl'!H4</f>
        <v>2.6537774499369173</v>
      </c>
      <c r="I3" s="198">
        <f>'SER_se-appl'!I4</f>
        <v>2.6943568771593576</v>
      </c>
      <c r="J3" s="198">
        <f>'SER_se-appl'!J4</f>
        <v>2.7316701389703337</v>
      </c>
      <c r="K3" s="198">
        <f>'SER_se-appl'!K4</f>
        <v>2.7642916369558237</v>
      </c>
      <c r="L3" s="198">
        <f>'SER_se-appl'!L4</f>
        <v>2.7741465071656251</v>
      </c>
      <c r="M3" s="198">
        <f>'SER_se-appl'!M4</f>
        <v>2.8163030940754838</v>
      </c>
      <c r="N3" s="198">
        <f>'SER_se-appl'!N4</f>
        <v>2.8642705332742211</v>
      </c>
      <c r="O3" s="198">
        <f>'SER_se-appl'!O4</f>
        <v>2.9215352682617017</v>
      </c>
      <c r="P3" s="198">
        <f>'SER_se-appl'!P4</f>
        <v>2.9698716289398561</v>
      </c>
      <c r="Q3" s="198">
        <f>'SER_se-appl'!Q4</f>
        <v>3.0146561073880438</v>
      </c>
      <c r="R3" s="198">
        <f>'SER_se-appl'!R4</f>
        <v>3.0383284276023632</v>
      </c>
      <c r="S3" s="198">
        <f>'SER_se-appl'!S4</f>
        <v>3.0561772139868699</v>
      </c>
      <c r="T3" s="198">
        <f>'SER_se-appl'!T4</f>
        <v>3.0710679310566285</v>
      </c>
      <c r="U3" s="198">
        <f>'SER_se-appl'!U4</f>
        <v>3.1051720514874361</v>
      </c>
      <c r="V3" s="198">
        <f>'SER_se-appl'!V4</f>
        <v>3.1375022677641273</v>
      </c>
      <c r="W3" s="198">
        <f>'SER_se-appl'!W4</f>
        <v>3.1745042764494209</v>
      </c>
      <c r="X3" s="198">
        <f>'SER_se-appl'!X4</f>
        <v>3.1974811814107698</v>
      </c>
      <c r="Y3" s="198">
        <f>'SER_se-appl'!Y4</f>
        <v>3.2149849858086887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3.260949989102166</v>
      </c>
      <c r="C5" s="59">
        <f>'SER_se-appl'!C12</f>
        <v>3.3003785543325308</v>
      </c>
      <c r="D5" s="59">
        <f>'SER_se-appl'!D12</f>
        <v>3.3418304749466095</v>
      </c>
      <c r="E5" s="59">
        <f>'SER_se-appl'!E12</f>
        <v>3.358976823708816</v>
      </c>
      <c r="F5" s="59">
        <f>'SER_se-appl'!F12</f>
        <v>3.4119491249457887</v>
      </c>
      <c r="G5" s="59">
        <f>'SER_se-appl'!G12</f>
        <v>3.4703600425658463</v>
      </c>
      <c r="H5" s="59">
        <f>'SER_se-appl'!H12</f>
        <v>3.5232228016856575</v>
      </c>
      <c r="I5" s="59">
        <f>'SER_se-appl'!I12</f>
        <v>3.5770970869136236</v>
      </c>
      <c r="J5" s="59">
        <f>'SER_se-appl'!J12</f>
        <v>3.6266351274229427</v>
      </c>
      <c r="K5" s="59">
        <f>'SER_se-appl'!K12</f>
        <v>3.6699442623055054</v>
      </c>
      <c r="L5" s="59">
        <f>'SER_se-appl'!L12</f>
        <v>3.6830278399927221</v>
      </c>
      <c r="M5" s="59">
        <f>'SER_se-appl'!M12</f>
        <v>3.7389960027508993</v>
      </c>
      <c r="N5" s="59">
        <f>'SER_se-appl'!N12</f>
        <v>3.8026788015957989</v>
      </c>
      <c r="O5" s="59">
        <f>'SER_se-appl'!O12</f>
        <v>3.8787049280689052</v>
      </c>
      <c r="P5" s="59">
        <f>'SER_se-appl'!P12</f>
        <v>3.9428775165034864</v>
      </c>
      <c r="Q5" s="59">
        <f>'SER_se-appl'!Q12</f>
        <v>4.0023345352651774</v>
      </c>
      <c r="R5" s="59">
        <f>'SER_se-appl'!R12</f>
        <v>4.0337625129013102</v>
      </c>
      <c r="S5" s="59">
        <f>'SER_se-appl'!S12</f>
        <v>4.0574590181127057</v>
      </c>
      <c r="T5" s="59">
        <f>'SER_se-appl'!T12</f>
        <v>4.0772283148617099</v>
      </c>
      <c r="U5" s="59">
        <f>'SER_se-appl'!U12</f>
        <v>4.1225058172144848</v>
      </c>
      <c r="V5" s="59">
        <f>'SER_se-appl'!V12</f>
        <v>4.1654282390521447</v>
      </c>
      <c r="W5" s="59">
        <f>'SER_se-appl'!W12</f>
        <v>4.2145530519528265</v>
      </c>
      <c r="X5" s="59">
        <f>'SER_se-appl'!X12</f>
        <v>4.2450577785168093</v>
      </c>
      <c r="Y5" s="59">
        <f>'SER_se-appl'!Y12</f>
        <v>4.2682962768213519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629.53472932080729</v>
      </c>
      <c r="C6" s="201">
        <f>'SER_se-appl'!C68</f>
        <v>636.50913197036493</v>
      </c>
      <c r="D6" s="201">
        <f>'SER_se-appl'!D68</f>
        <v>643.34050889470018</v>
      </c>
      <c r="E6" s="201">
        <f>'SER_se-appl'!E68</f>
        <v>648.93090023092759</v>
      </c>
      <c r="F6" s="201">
        <f>'SER_se-appl'!F68</f>
        <v>659.02855800358498</v>
      </c>
      <c r="G6" s="201">
        <f>'SER_se-appl'!G68</f>
        <v>669.26020949243423</v>
      </c>
      <c r="H6" s="201">
        <f>'SER_se-appl'!H68</f>
        <v>681.02586048721184</v>
      </c>
      <c r="I6" s="201">
        <f>'SER_se-appl'!I68</f>
        <v>692.90076827084636</v>
      </c>
      <c r="J6" s="201">
        <f>'SER_se-appl'!J68</f>
        <v>705.61480801727089</v>
      </c>
      <c r="K6" s="201">
        <f>'SER_se-appl'!K68</f>
        <v>717.97433996693746</v>
      </c>
      <c r="L6" s="201">
        <f>'SER_se-appl'!L68</f>
        <v>725.4642162597919</v>
      </c>
      <c r="M6" s="201">
        <f>'SER_se-appl'!M68</f>
        <v>734.34739725245026</v>
      </c>
      <c r="N6" s="201">
        <f>'SER_se-appl'!N68</f>
        <v>745.67638122976928</v>
      </c>
      <c r="O6" s="201">
        <f>'SER_se-appl'!O68</f>
        <v>756.93518881589455</v>
      </c>
      <c r="P6" s="201">
        <f>'SER_se-appl'!P68</f>
        <v>764.59646049736773</v>
      </c>
      <c r="Q6" s="201">
        <f>'SER_se-appl'!Q68</f>
        <v>775.2045873828032</v>
      </c>
      <c r="R6" s="201">
        <f>'SER_se-appl'!R68</f>
        <v>778.47175249479756</v>
      </c>
      <c r="S6" s="201">
        <f>'SER_se-appl'!S68</f>
        <v>781.7173955366676</v>
      </c>
      <c r="T6" s="201">
        <f>'SER_se-appl'!T68</f>
        <v>785.0553408497351</v>
      </c>
      <c r="U6" s="201">
        <f>'SER_se-appl'!U68</f>
        <v>788.55462447245748</v>
      </c>
      <c r="V6" s="201">
        <f>'SER_se-appl'!V68</f>
        <v>792.34374721149618</v>
      </c>
      <c r="W6" s="201">
        <f>'SER_se-appl'!W68</f>
        <v>796.57711518108295</v>
      </c>
      <c r="X6" s="201">
        <f>'SER_se-appl'!X68</f>
        <v>798.70227346022955</v>
      </c>
      <c r="Y6" s="201">
        <f>'SER_se-appl'!Y68</f>
        <v>799.76697776673007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5.0073922332814425</v>
      </c>
      <c r="C8" s="34">
        <f>'SER_se-appl'!C20</f>
        <v>5.0999759165312222</v>
      </c>
      <c r="D8" s="34">
        <f>'SER_se-appl'!D20</f>
        <v>5.200079226645828</v>
      </c>
      <c r="E8" s="34">
        <f>'SER_se-appl'!E20</f>
        <v>5.2620210624088077</v>
      </c>
      <c r="F8" s="34">
        <f>'SER_se-appl'!F20</f>
        <v>5.3912442586365241</v>
      </c>
      <c r="G8" s="34">
        <f>'SER_se-appl'!G20</f>
        <v>5.5350608494499971</v>
      </c>
      <c r="H8" s="34">
        <f>'SER_se-appl'!H20</f>
        <v>5.6738802836610063</v>
      </c>
      <c r="I8" s="34">
        <f>'SER_se-appl'!I20</f>
        <v>5.8204630725472244</v>
      </c>
      <c r="J8" s="34">
        <f>'SER_se-appl'!J20</f>
        <v>5.9654199335487679</v>
      </c>
      <c r="K8" s="34">
        <f>'SER_se-appl'!K20</f>
        <v>6.1052534038395434</v>
      </c>
      <c r="L8" s="34">
        <f>'SER_se-appl'!L20</f>
        <v>6.1947916632065043</v>
      </c>
      <c r="M8" s="34">
        <f>'SER_se-appl'!M20</f>
        <v>6.3740730957545422</v>
      </c>
      <c r="N8" s="34">
        <f>'SER_se-appl'!N20</f>
        <v>6.5791867960267671</v>
      </c>
      <c r="O8" s="34">
        <f>'SER_se-appl'!O20</f>
        <v>6.8215386502110462</v>
      </c>
      <c r="P8" s="34">
        <f>'SER_se-appl'!P20</f>
        <v>7.0551696342228256</v>
      </c>
      <c r="Q8" s="34">
        <f>'SER_se-appl'!Q20</f>
        <v>7.2962202792599591</v>
      </c>
      <c r="R8" s="34">
        <f>'SER_se-appl'!R20</f>
        <v>7.485594298677003</v>
      </c>
      <c r="S8" s="34">
        <f>'SER_se-appl'!S20</f>
        <v>7.6677891904905966</v>
      </c>
      <c r="T8" s="34">
        <f>'SER_se-appl'!T20</f>
        <v>7.8524774877176888</v>
      </c>
      <c r="U8" s="34">
        <f>'SER_se-appl'!U20</f>
        <v>8.0393495865301698</v>
      </c>
      <c r="V8" s="34">
        <f>'SER_se-appl'!V20</f>
        <v>8.2284343507290831</v>
      </c>
      <c r="W8" s="34">
        <f>'SER_se-appl'!W20</f>
        <v>8.4210705119937508</v>
      </c>
      <c r="X8" s="34">
        <f>'SER_se-appl'!X20</f>
        <v>8.5912565411890096</v>
      </c>
      <c r="Y8" s="34">
        <f>'SER_se-appl'!Y20</f>
        <v>8.7491699994347165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0.30977094473346423</v>
      </c>
      <c r="D9" s="36">
        <f>'SER_se-appl'!D28</f>
        <v>0.32343384236328809</v>
      </c>
      <c r="E9" s="36">
        <f>'SER_se-appl'!E28</f>
        <v>0.29158940484117934</v>
      </c>
      <c r="F9" s="36">
        <f>'SER_se-appl'!F28</f>
        <v>0.36536648327635834</v>
      </c>
      <c r="G9" s="36">
        <f>'SER_se-appl'!G28</f>
        <v>0.38663933107574344</v>
      </c>
      <c r="H9" s="36">
        <f>'SER_se-appl'!H28</f>
        <v>0.38851055999063977</v>
      </c>
      <c r="I9" s="36">
        <f>'SER_se-appl'!I28</f>
        <v>0.40333657654943522</v>
      </c>
      <c r="J9" s="36">
        <f>'SER_se-appl'!J28</f>
        <v>0.40897308213704875</v>
      </c>
      <c r="K9" s="36">
        <f>'SER_se-appl'!K28</f>
        <v>0.41131754714538094</v>
      </c>
      <c r="L9" s="36">
        <f>'SER_se-appl'!L28</f>
        <v>0.36870142467781353</v>
      </c>
      <c r="M9" s="36">
        <f>'SER_se-appl'!M28</f>
        <v>0.46634089389578737</v>
      </c>
      <c r="N9" s="36">
        <f>'SER_se-appl'!N28</f>
        <v>0.50029280908302809</v>
      </c>
      <c r="O9" s="36">
        <f>'SER_se-appl'!O28</f>
        <v>0.54588027951211693</v>
      </c>
      <c r="P9" s="36">
        <f>'SER_se-appl'!P28</f>
        <v>0.54574489123631764</v>
      </c>
      <c r="Q9" s="36">
        <f>'SER_se-appl'!Q28</f>
        <v>0.56199287961615418</v>
      </c>
      <c r="R9" s="36">
        <f>'SER_se-appl'!R28</f>
        <v>0.51939429583642482</v>
      </c>
      <c r="S9" s="36">
        <f>'SER_se-appl'!S28</f>
        <v>0.52154998788185036</v>
      </c>
      <c r="T9" s="36">
        <f>'SER_se-appl'!T28</f>
        <v>0.53364225386565778</v>
      </c>
      <c r="U9" s="36">
        <f>'SER_se-appl'!U28</f>
        <v>0.49664304354594524</v>
      </c>
      <c r="V9" s="36">
        <f>'SER_se-appl'!V28</f>
        <v>0.51251860656220138</v>
      </c>
      <c r="W9" s="36">
        <f>'SER_se-appl'!W28</f>
        <v>0.48422556610584699</v>
      </c>
      <c r="X9" s="36">
        <f>'SER_se-appl'!X28</f>
        <v>0.53555251247161628</v>
      </c>
      <c r="Y9" s="36">
        <f>'SER_se-appl'!Y28</f>
        <v>0.54455278932145035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0.2171872614836845</v>
      </c>
      <c r="D10" s="38">
        <f>'SER_se-appl'!D36</f>
        <v>0.22333053224868227</v>
      </c>
      <c r="E10" s="38">
        <f>'SER_se-appl'!E36</f>
        <v>0.22964756907819961</v>
      </c>
      <c r="F10" s="38">
        <f>'SER_se-appl'!F36</f>
        <v>0.23614328704864196</v>
      </c>
      <c r="G10" s="38">
        <f>'SER_se-appl'!G36</f>
        <v>0.24282274026227046</v>
      </c>
      <c r="H10" s="38">
        <f>'SER_se-appl'!H36</f>
        <v>0.2496911257796306</v>
      </c>
      <c r="I10" s="38">
        <f>'SER_se-appl'!I36</f>
        <v>0.2567537876632171</v>
      </c>
      <c r="J10" s="38">
        <f>'SER_se-appl'!J36</f>
        <v>0.26401622113550527</v>
      </c>
      <c r="K10" s="38">
        <f>'SER_se-appl'!K36</f>
        <v>0.27148407685460541</v>
      </c>
      <c r="L10" s="38">
        <f>'SER_se-appl'!L36</f>
        <v>0.27916316531085261</v>
      </c>
      <c r="M10" s="38">
        <f>'SER_se-appl'!M36</f>
        <v>0.28705946134774951</v>
      </c>
      <c r="N10" s="38">
        <f>'SER_se-appl'!N36</f>
        <v>0.29517910881080311</v>
      </c>
      <c r="O10" s="38">
        <f>'SER_se-appl'!O36</f>
        <v>0.30352842532783786</v>
      </c>
      <c r="P10" s="38">
        <f>'SER_se-appl'!P36</f>
        <v>0.31211390722453825</v>
      </c>
      <c r="Q10" s="38">
        <f>'SER_se-appl'!Q36</f>
        <v>0.32094223457902071</v>
      </c>
      <c r="R10" s="38">
        <f>'SER_se-appl'!R36</f>
        <v>0.33002027641938092</v>
      </c>
      <c r="S10" s="38">
        <f>'SER_se-appl'!S36</f>
        <v>0.33935509606825676</v>
      </c>
      <c r="T10" s="38">
        <f>'SER_se-appl'!T36</f>
        <v>0.34895395663856554</v>
      </c>
      <c r="U10" s="38">
        <f>'SER_se-appl'!U36</f>
        <v>0.30977094473346334</v>
      </c>
      <c r="V10" s="38">
        <f>'SER_se-appl'!V36</f>
        <v>0.32343384236328809</v>
      </c>
      <c r="W10" s="38">
        <f>'SER_se-appl'!W36</f>
        <v>0.29158940484117934</v>
      </c>
      <c r="X10" s="38">
        <f>'SER_se-appl'!X36</f>
        <v>0.36536648327635746</v>
      </c>
      <c r="Y10" s="38">
        <f>'SER_se-appl'!Y36</f>
        <v>0.38663933107574344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8759.9999999999964</v>
      </c>
      <c r="C12" s="204">
        <f>'SER_se-appl'!C44</f>
        <v>8759.9999999999964</v>
      </c>
      <c r="D12" s="204">
        <f>'SER_se-appl'!D44</f>
        <v>8759.9999999999982</v>
      </c>
      <c r="E12" s="204">
        <f>'SER_se-appl'!E44</f>
        <v>8759.9999999999982</v>
      </c>
      <c r="F12" s="204">
        <f>'SER_se-appl'!F44</f>
        <v>8759.9999999999964</v>
      </c>
      <c r="G12" s="204">
        <f>'SER_se-appl'!G44</f>
        <v>8759.9999999999964</v>
      </c>
      <c r="H12" s="204">
        <f>'SER_se-appl'!H44</f>
        <v>8759.9999999999964</v>
      </c>
      <c r="I12" s="204">
        <f>'SER_se-appl'!I44</f>
        <v>8759.9999999999964</v>
      </c>
      <c r="J12" s="204">
        <f>'SER_se-appl'!J44</f>
        <v>8760</v>
      </c>
      <c r="K12" s="204">
        <f>'SER_se-appl'!K44</f>
        <v>8760</v>
      </c>
      <c r="L12" s="204">
        <f>'SER_se-appl'!L44</f>
        <v>8759.9999999999927</v>
      </c>
      <c r="M12" s="204">
        <f>'SER_se-appl'!M44</f>
        <v>8760</v>
      </c>
      <c r="N12" s="204">
        <f>'SER_se-appl'!N44</f>
        <v>8759.9999999999982</v>
      </c>
      <c r="O12" s="204">
        <f>'SER_se-appl'!O44</f>
        <v>8759.9999999999964</v>
      </c>
      <c r="P12" s="204">
        <f>'SER_se-appl'!P44</f>
        <v>8759.9999999999964</v>
      </c>
      <c r="Q12" s="204">
        <f>'SER_se-appl'!Q44</f>
        <v>8759.9999999999982</v>
      </c>
      <c r="R12" s="204">
        <f>'SER_se-appl'!R44</f>
        <v>8760.0000000000018</v>
      </c>
      <c r="S12" s="204">
        <f>'SER_se-appl'!S44</f>
        <v>8760</v>
      </c>
      <c r="T12" s="204">
        <f>'SER_se-appl'!T44</f>
        <v>8760.0000000000018</v>
      </c>
      <c r="U12" s="204">
        <f>'SER_se-appl'!U44</f>
        <v>8760</v>
      </c>
      <c r="V12" s="204">
        <f>'SER_se-appl'!V44</f>
        <v>8760.0000000000036</v>
      </c>
      <c r="W12" s="204">
        <f>'SER_se-appl'!W44</f>
        <v>8760.0000000000018</v>
      </c>
      <c r="X12" s="204">
        <f>'SER_se-appl'!X44</f>
        <v>8760.0000000000018</v>
      </c>
      <c r="Y12" s="204">
        <f>'SER_se-appl'!Y44</f>
        <v>8760.0000000000018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0.65122719315423017</v>
      </c>
      <c r="C14" s="59">
        <f>'SER_se-appl'!C52</f>
        <v>0.6471361058068098</v>
      </c>
      <c r="D14" s="59">
        <f>'SER_se-appl'!D52</f>
        <v>0.64264991537487937</v>
      </c>
      <c r="E14" s="59">
        <f>'SER_se-appl'!E52</f>
        <v>0.63834347750998344</v>
      </c>
      <c r="F14" s="59">
        <f>'SER_se-appl'!F52</f>
        <v>0.63286858492452902</v>
      </c>
      <c r="G14" s="59">
        <f>'SER_se-appl'!G52</f>
        <v>0.62697775814166268</v>
      </c>
      <c r="H14" s="59">
        <f>'SER_se-appl'!H52</f>
        <v>0.62095473036881532</v>
      </c>
      <c r="I14" s="59">
        <f>'SER_se-appl'!I52</f>
        <v>0.61457259367993367</v>
      </c>
      <c r="J14" s="59">
        <f>'SER_se-appl'!J52</f>
        <v>0.60794297263587516</v>
      </c>
      <c r="K14" s="59">
        <f>'SER_se-appl'!K52</f>
        <v>0.60111252057080999</v>
      </c>
      <c r="L14" s="59">
        <f>'SER_se-appl'!L52</f>
        <v>0.59453619108254874</v>
      </c>
      <c r="M14" s="59">
        <f>'SER_se-appl'!M52</f>
        <v>0.5865944658277078</v>
      </c>
      <c r="N14" s="59">
        <f>'SER_se-appl'!N52</f>
        <v>0.57798614319512442</v>
      </c>
      <c r="O14" s="59">
        <f>'SER_se-appl'!O52</f>
        <v>0.56859678247940515</v>
      </c>
      <c r="P14" s="59">
        <f>'SER_se-appl'!P52</f>
        <v>0.55886360228357868</v>
      </c>
      <c r="Q14" s="59">
        <f>'SER_se-appl'!Q52</f>
        <v>0.54854902704104302</v>
      </c>
      <c r="R14" s="59">
        <f>'SER_se-appl'!R52</f>
        <v>0.53887004183678955</v>
      </c>
      <c r="S14" s="59">
        <f>'SER_se-appl'!S52</f>
        <v>0.52915630794136415</v>
      </c>
      <c r="T14" s="59">
        <f>'SER_se-appl'!T52</f>
        <v>0.51922827174468611</v>
      </c>
      <c r="U14" s="59">
        <f>'SER_se-appl'!U52</f>
        <v>0.51279096310498695</v>
      </c>
      <c r="V14" s="59">
        <f>'SER_se-appl'!V52</f>
        <v>0.5062236704462576</v>
      </c>
      <c r="W14" s="59">
        <f>'SER_se-appl'!W52</f>
        <v>0.50047711225671709</v>
      </c>
      <c r="X14" s="59">
        <f>'SER_se-appl'!X52</f>
        <v>0.49411372575882873</v>
      </c>
      <c r="Y14" s="59">
        <f>'SER_se-appl'!Y52</f>
        <v>0.48785156501669608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0.58387275821126761</v>
      </c>
      <c r="D15" s="63">
        <f>'SER_se-appl'!D60</f>
        <v>0.57783327468282808</v>
      </c>
      <c r="E15" s="63">
        <f>'SER_se-appl'!E60</f>
        <v>0.57169117882898124</v>
      </c>
      <c r="F15" s="63">
        <f>'SER_se-appl'!F60</f>
        <v>0.56588450421022085</v>
      </c>
      <c r="G15" s="63">
        <f>'SER_se-appl'!G60</f>
        <v>0.5600663765700874</v>
      </c>
      <c r="H15" s="63">
        <f>'SER_se-appl'!H60</f>
        <v>0.55460116739681764</v>
      </c>
      <c r="I15" s="63">
        <f>'SER_se-appl'!I60</f>
        <v>0.54812617192059498</v>
      </c>
      <c r="J15" s="63">
        <f>'SER_se-appl'!J60</f>
        <v>0.54153339870022221</v>
      </c>
      <c r="K15" s="63">
        <f>'SER_se-appl'!K60</f>
        <v>0.53512657013112452</v>
      </c>
      <c r="L15" s="63">
        <f>'SER_se-appl'!L60</f>
        <v>0.52856378961635209</v>
      </c>
      <c r="M15" s="63">
        <f>'SER_se-appl'!M60</f>
        <v>0.52088309907970587</v>
      </c>
      <c r="N15" s="63">
        <f>'SER_se-appl'!N60</f>
        <v>0.51152336533195109</v>
      </c>
      <c r="O15" s="63">
        <f>'SER_se-appl'!O60</f>
        <v>0.50137750201654308</v>
      </c>
      <c r="P15" s="63">
        <f>'SER_se-appl'!P60</f>
        <v>0.49002685407643076</v>
      </c>
      <c r="Q15" s="63">
        <f>'SER_se-appl'!Q60</f>
        <v>0.47769880916390928</v>
      </c>
      <c r="R15" s="63">
        <f>'SER_se-appl'!R60</f>
        <v>0.47429507391103942</v>
      </c>
      <c r="S15" s="63">
        <f>'SER_se-appl'!S60</f>
        <v>0.46916647990018273</v>
      </c>
      <c r="T15" s="63">
        <f>'SER_se-appl'!T60</f>
        <v>0.46288988677606857</v>
      </c>
      <c r="U15" s="63">
        <f>'SER_se-appl'!U60</f>
        <v>0.45534578850310636</v>
      </c>
      <c r="V15" s="63">
        <f>'SER_se-appl'!V60</f>
        <v>0.44839983401811956</v>
      </c>
      <c r="W15" s="63">
        <f>'SER_se-appl'!W60</f>
        <v>0.44570943501401084</v>
      </c>
      <c r="X15" s="63">
        <f>'SER_se-appl'!X60</f>
        <v>0.44301903600990211</v>
      </c>
      <c r="Y15" s="63">
        <f>'SER_se-appl'!Y60</f>
        <v>0.44032863700579339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6.4718791072757194</v>
      </c>
      <c r="C3" s="198">
        <f>'SER_se-appl'!C5</f>
        <v>6.5691562273416819</v>
      </c>
      <c r="D3" s="198">
        <f>'SER_se-appl'!D5</f>
        <v>6.6718134711564838</v>
      </c>
      <c r="E3" s="198">
        <f>'SER_se-appl'!E5</f>
        <v>6.8003124544476012</v>
      </c>
      <c r="F3" s="198">
        <f>'SER_se-appl'!F5</f>
        <v>6.9276101937945631</v>
      </c>
      <c r="G3" s="198">
        <f>'SER_se-appl'!G5</f>
        <v>7.101925745136672</v>
      </c>
      <c r="H3" s="198">
        <f>'SER_se-appl'!H5</f>
        <v>7.1990049172307993</v>
      </c>
      <c r="I3" s="198">
        <f>'SER_se-appl'!I5</f>
        <v>7.2564887584715576</v>
      </c>
      <c r="J3" s="198">
        <f>'SER_se-appl'!J5</f>
        <v>7.4020512871221964</v>
      </c>
      <c r="K3" s="198">
        <f>'SER_se-appl'!K5</f>
        <v>7.5232980241266967</v>
      </c>
      <c r="L3" s="198">
        <f>'SER_se-appl'!L5</f>
        <v>7.6652761015457722</v>
      </c>
      <c r="M3" s="198">
        <f>'SER_se-appl'!M5</f>
        <v>7.7950945408904824</v>
      </c>
      <c r="N3" s="198">
        <f>'SER_se-appl'!N5</f>
        <v>7.9444211905269588</v>
      </c>
      <c r="O3" s="198">
        <f>'SER_se-appl'!O5</f>
        <v>8.0650811479968905</v>
      </c>
      <c r="P3" s="198">
        <f>'SER_se-appl'!P5</f>
        <v>8.2428552672224988</v>
      </c>
      <c r="Q3" s="198">
        <f>'SER_se-appl'!Q5</f>
        <v>8.3665104721910151</v>
      </c>
      <c r="R3" s="198">
        <f>'SER_se-appl'!R5</f>
        <v>8.3549365411340588</v>
      </c>
      <c r="S3" s="198">
        <f>'SER_se-appl'!S5</f>
        <v>8.3603651851623191</v>
      </c>
      <c r="T3" s="198">
        <f>'SER_se-appl'!T5</f>
        <v>8.1966808432352636</v>
      </c>
      <c r="U3" s="198">
        <f>'SER_se-appl'!U5</f>
        <v>7.9859836507923756</v>
      </c>
      <c r="V3" s="198">
        <f>'SER_se-appl'!V5</f>
        <v>7.8290363927305382</v>
      </c>
      <c r="W3" s="198">
        <f>'SER_se-appl'!W5</f>
        <v>7.6469514622370962</v>
      </c>
      <c r="X3" s="198">
        <f>'SER_se-appl'!X5</f>
        <v>7.4377631512370233</v>
      </c>
      <c r="Y3" s="198">
        <f>'SER_se-appl'!Y5</f>
        <v>7.3340874885289837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18.804434265259278</v>
      </c>
      <c r="C5" s="59">
        <f>'SER_se-appl'!C13</f>
        <v>19.073274515206226</v>
      </c>
      <c r="D5" s="59">
        <f>'SER_se-appl'!D13</f>
        <v>19.345757005565357</v>
      </c>
      <c r="E5" s="59">
        <f>'SER_se-appl'!E13</f>
        <v>19.710673456832044</v>
      </c>
      <c r="F5" s="59">
        <f>'SER_se-appl'!F13</f>
        <v>20.046280217506109</v>
      </c>
      <c r="G5" s="59">
        <f>'SER_se-appl'!G13</f>
        <v>20.530642370777059</v>
      </c>
      <c r="H5" s="59">
        <f>'SER_se-appl'!H13</f>
        <v>20.804691460752018</v>
      </c>
      <c r="I5" s="59">
        <f>'SER_se-appl'!I13</f>
        <v>20.950236152418174</v>
      </c>
      <c r="J5" s="59">
        <f>'SER_se-appl'!J13</f>
        <v>21.376944283161865</v>
      </c>
      <c r="K5" s="59">
        <f>'SER_se-appl'!K13</f>
        <v>21.749657079271028</v>
      </c>
      <c r="L5" s="59">
        <f>'SER_se-appl'!L13</f>
        <v>22.165561469358611</v>
      </c>
      <c r="M5" s="59">
        <f>'SER_se-appl'!M13</f>
        <v>22.591409697016012</v>
      </c>
      <c r="N5" s="59">
        <f>'SER_se-appl'!N13</f>
        <v>23.141368617280467</v>
      </c>
      <c r="O5" s="59">
        <f>'SER_se-appl'!O13</f>
        <v>23.681468590790043</v>
      </c>
      <c r="P5" s="59">
        <f>'SER_se-appl'!P13</f>
        <v>24.422464733691534</v>
      </c>
      <c r="Q5" s="59">
        <f>'SER_se-appl'!Q13</f>
        <v>25.049036084020084</v>
      </c>
      <c r="R5" s="59">
        <f>'SER_se-appl'!R13</f>
        <v>24.980486426884966</v>
      </c>
      <c r="S5" s="59">
        <f>'SER_se-appl'!S13</f>
        <v>24.756488910911294</v>
      </c>
      <c r="T5" s="59">
        <f>'SER_se-appl'!T13</f>
        <v>24.437526612291386</v>
      </c>
      <c r="U5" s="59">
        <f>'SER_se-appl'!U13</f>
        <v>23.913872584752522</v>
      </c>
      <c r="V5" s="59">
        <f>'SER_se-appl'!V13</f>
        <v>23.346543358706917</v>
      </c>
      <c r="W5" s="59">
        <f>'SER_se-appl'!W13</f>
        <v>22.761966037418905</v>
      </c>
      <c r="X5" s="59">
        <f>'SER_se-appl'!X13</f>
        <v>22.314707196553893</v>
      </c>
      <c r="Y5" s="59">
        <f>'SER_se-appl'!Y13</f>
        <v>22.17939059305651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0.23329904524494741</v>
      </c>
      <c r="C6" s="201">
        <f>'SER_se-appl'!C69</f>
        <v>0.23599793171040262</v>
      </c>
      <c r="D6" s="201">
        <f>'SER_se-appl'!D69</f>
        <v>0.23942715050944155</v>
      </c>
      <c r="E6" s="201">
        <f>'SER_se-appl'!E69</f>
        <v>0.24512052316028488</v>
      </c>
      <c r="F6" s="201">
        <f>'SER_se-appl'!F69</f>
        <v>0.24983996901932287</v>
      </c>
      <c r="G6" s="201">
        <f>'SER_se-appl'!G69</f>
        <v>0.25756096001283302</v>
      </c>
      <c r="H6" s="201">
        <f>'SER_se-appl'!H69</f>
        <v>0.26223167482710469</v>
      </c>
      <c r="I6" s="201">
        <f>'SER_se-appl'!I69</f>
        <v>0.26637529522084002</v>
      </c>
      <c r="J6" s="201">
        <f>'SER_se-appl'!J69</f>
        <v>0.27162011333552316</v>
      </c>
      <c r="K6" s="201">
        <f>'SER_se-appl'!K69</f>
        <v>0.2755289999335514</v>
      </c>
      <c r="L6" s="201">
        <f>'SER_se-appl'!L69</f>
        <v>0.28140670619945557</v>
      </c>
      <c r="M6" s="201">
        <f>'SER_se-appl'!M69</f>
        <v>0.28726231556703374</v>
      </c>
      <c r="N6" s="201">
        <f>'SER_se-appl'!N69</f>
        <v>0.29424570035934955</v>
      </c>
      <c r="O6" s="201">
        <f>'SER_se-appl'!O69</f>
        <v>0.30282612566983197</v>
      </c>
      <c r="P6" s="201">
        <f>'SER_se-appl'!P69</f>
        <v>0.3159891317437003</v>
      </c>
      <c r="Q6" s="201">
        <f>'SER_se-appl'!Q69</f>
        <v>0.32891080326842076</v>
      </c>
      <c r="R6" s="201">
        <f>'SER_se-appl'!R69</f>
        <v>0.33285492929336591</v>
      </c>
      <c r="S6" s="201">
        <f>'SER_se-appl'!S69</f>
        <v>0.33590107785512663</v>
      </c>
      <c r="T6" s="201">
        <f>'SER_se-appl'!T69</f>
        <v>0.3409362435970113</v>
      </c>
      <c r="U6" s="201">
        <f>'SER_se-appl'!U69</f>
        <v>0.34543000386413625</v>
      </c>
      <c r="V6" s="201">
        <f>'SER_se-appl'!V69</f>
        <v>0.34935301633368976</v>
      </c>
      <c r="W6" s="201">
        <f>'SER_se-appl'!W69</f>
        <v>0.35472566427023022</v>
      </c>
      <c r="X6" s="201">
        <f>'SER_se-appl'!X69</f>
        <v>0.35853560456064515</v>
      </c>
      <c r="Y6" s="201">
        <f>'SER_se-appl'!Y69</f>
        <v>0.36122688455817969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101.1584660182092</v>
      </c>
      <c r="C8" s="34">
        <f>'SER_se-appl'!C21</f>
        <v>103.60309202086675</v>
      </c>
      <c r="D8" s="34">
        <f>'SER_se-appl'!D21</f>
        <v>106.31762618371752</v>
      </c>
      <c r="E8" s="34">
        <f>'SER_se-appl'!E21</f>
        <v>109.88753053275572</v>
      </c>
      <c r="F8" s="34">
        <f>'SER_se-appl'!F21</f>
        <v>113.66719230503114</v>
      </c>
      <c r="G8" s="34">
        <f>'SER_se-appl'!G21</f>
        <v>118.79484158671897</v>
      </c>
      <c r="H8" s="34">
        <f>'SER_se-appl'!H21</f>
        <v>123.00920741794724</v>
      </c>
      <c r="I8" s="34">
        <f>'SER_se-appl'!I21</f>
        <v>126.84445270532615</v>
      </c>
      <c r="J8" s="34">
        <f>'SER_se-appl'!J21</f>
        <v>131.40953921161278</v>
      </c>
      <c r="K8" s="34">
        <f>'SER_se-appl'!K21</f>
        <v>135.97356146720762</v>
      </c>
      <c r="L8" s="34">
        <f>'SER_se-appl'!L21</f>
        <v>141.28473935473585</v>
      </c>
      <c r="M8" s="34">
        <f>'SER_se-appl'!M21</f>
        <v>147.03234359983054</v>
      </c>
      <c r="N8" s="34">
        <f>'SER_se-appl'!N21</f>
        <v>154.43573857070569</v>
      </c>
      <c r="O8" s="34">
        <f>'SER_se-appl'!O21</f>
        <v>162.62943970360089</v>
      </c>
      <c r="P8" s="34">
        <f>'SER_se-appl'!P21</f>
        <v>173.6929059368772</v>
      </c>
      <c r="Q8" s="34">
        <f>'SER_se-appl'!Q21</f>
        <v>185.16296798638362</v>
      </c>
      <c r="R8" s="34">
        <f>'SER_se-appl'!R21</f>
        <v>191.80732015037282</v>
      </c>
      <c r="S8" s="34">
        <f>'SER_se-appl'!S21</f>
        <v>198.40568195345406</v>
      </c>
      <c r="T8" s="34">
        <f>'SER_se-appl'!T21</f>
        <v>205.2453233266188</v>
      </c>
      <c r="U8" s="34">
        <f>'SER_se-appl'!U21</f>
        <v>212.05740679217004</v>
      </c>
      <c r="V8" s="34">
        <f>'SER_se-appl'!V21</f>
        <v>218.73271835065384</v>
      </c>
      <c r="W8" s="34">
        <f>'SER_se-appl'!W21</f>
        <v>225.15502088224324</v>
      </c>
      <c r="X8" s="34">
        <f>'SER_se-appl'!X21</f>
        <v>231.3978035766267</v>
      </c>
      <c r="Y8" s="34">
        <f>'SER_se-appl'!Y21</f>
        <v>238.70197635800616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15.134392067278426</v>
      </c>
      <c r="D9" s="36">
        <f>'SER_se-appl'!D29</f>
        <v>15.950529704120896</v>
      </c>
      <c r="E9" s="36">
        <f>'SER_se-appl'!E29</f>
        <v>17.375641750057554</v>
      </c>
      <c r="F9" s="36">
        <f>'SER_se-appl'!F29</f>
        <v>18.179665503888572</v>
      </c>
      <c r="G9" s="36">
        <f>'SER_se-appl'!G29</f>
        <v>20.147499467680944</v>
      </c>
      <c r="H9" s="36">
        <f>'SER_se-appl'!H29</f>
        <v>19.880743688784889</v>
      </c>
      <c r="I9" s="36">
        <f>'SER_se-appl'!I29</f>
        <v>20.175980523514866</v>
      </c>
      <c r="J9" s="36">
        <f>'SER_se-appl'!J29</f>
        <v>19.699478573565059</v>
      </c>
      <c r="K9" s="36">
        <f>'SER_se-appl'!K29</f>
        <v>20.514551959715732</v>
      </c>
      <c r="L9" s="36">
        <f>'SER_se-appl'!L29</f>
        <v>22.686819637585785</v>
      </c>
      <c r="M9" s="36">
        <f>'SER_se-appl'!M29</f>
        <v>23.927269748983264</v>
      </c>
      <c r="N9" s="36">
        <f>'SER_se-appl'!N29</f>
        <v>27.550894438556099</v>
      </c>
      <c r="O9" s="36">
        <f>'SER_se-appl'!O29</f>
        <v>28.074444821680089</v>
      </c>
      <c r="P9" s="36">
        <f>'SER_se-appl'!P29</f>
        <v>31.239446756791153</v>
      </c>
      <c r="Q9" s="36">
        <f>'SER_se-appl'!Q29</f>
        <v>31.16954062307147</v>
      </c>
      <c r="R9" s="36">
        <f>'SER_se-appl'!R29</f>
        <v>27.158904123704929</v>
      </c>
      <c r="S9" s="36">
        <f>'SER_se-appl'!S29</f>
        <v>29.285181440667031</v>
      </c>
      <c r="T9" s="36">
        <f>'SER_se-appl'!T29</f>
        <v>30.766911122148002</v>
      </c>
      <c r="U9" s="36">
        <f>'SER_se-appl'!U29</f>
        <v>34.362977904107339</v>
      </c>
      <c r="V9" s="36">
        <f>'SER_se-appl'!V29</f>
        <v>34.749756380163888</v>
      </c>
      <c r="W9" s="36">
        <f>'SER_se-appl'!W29</f>
        <v>37.661749288380548</v>
      </c>
      <c r="X9" s="36">
        <f>'SER_se-appl'!X29</f>
        <v>37.412323317454934</v>
      </c>
      <c r="Y9" s="36">
        <f>'SER_se-appl'!Y29</f>
        <v>34.463076905084392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12.689766064620869</v>
      </c>
      <c r="D10" s="38">
        <f>'SER_se-appl'!D37</f>
        <v>13.235995541270128</v>
      </c>
      <c r="E10" s="38">
        <f>'SER_se-appl'!E37</f>
        <v>13.805737401019357</v>
      </c>
      <c r="F10" s="38">
        <f>'SER_se-appl'!F37</f>
        <v>14.400003731613168</v>
      </c>
      <c r="G10" s="38">
        <f>'SER_se-appl'!G37</f>
        <v>15.019850185993107</v>
      </c>
      <c r="H10" s="38">
        <f>'SER_se-appl'!H37</f>
        <v>15.666377857556625</v>
      </c>
      <c r="I10" s="38">
        <f>'SER_se-appl'!I37</f>
        <v>16.34073523613597</v>
      </c>
      <c r="J10" s="38">
        <f>'SER_se-appl'!J37</f>
        <v>15.134392067278412</v>
      </c>
      <c r="K10" s="38">
        <f>'SER_se-appl'!K37</f>
        <v>15.950529704120896</v>
      </c>
      <c r="L10" s="38">
        <f>'SER_se-appl'!L37</f>
        <v>17.375641750057554</v>
      </c>
      <c r="M10" s="38">
        <f>'SER_se-appl'!M37</f>
        <v>18.179665503888572</v>
      </c>
      <c r="N10" s="38">
        <f>'SER_se-appl'!N37</f>
        <v>20.147499467680944</v>
      </c>
      <c r="O10" s="38">
        <f>'SER_se-appl'!O37</f>
        <v>19.880743688784889</v>
      </c>
      <c r="P10" s="38">
        <f>'SER_se-appl'!P37</f>
        <v>20.175980523514852</v>
      </c>
      <c r="Q10" s="38">
        <f>'SER_se-appl'!Q37</f>
        <v>19.699478573565045</v>
      </c>
      <c r="R10" s="38">
        <f>'SER_se-appl'!R37</f>
        <v>20.514551959715732</v>
      </c>
      <c r="S10" s="38">
        <f>'SER_se-appl'!S37</f>
        <v>22.686819637585785</v>
      </c>
      <c r="T10" s="38">
        <f>'SER_se-appl'!T37</f>
        <v>23.927269748983264</v>
      </c>
      <c r="U10" s="38">
        <f>'SER_se-appl'!U37</f>
        <v>27.550894438556099</v>
      </c>
      <c r="V10" s="38">
        <f>'SER_se-appl'!V37</f>
        <v>28.074444821680089</v>
      </c>
      <c r="W10" s="38">
        <f>'SER_se-appl'!W37</f>
        <v>31.239446756791125</v>
      </c>
      <c r="X10" s="38">
        <f>'SER_se-appl'!X37</f>
        <v>31.169540623071441</v>
      </c>
      <c r="Y10" s="38">
        <f>'SER_se-appl'!Y37</f>
        <v>27.158904123704929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4002.6704848373065</v>
      </c>
      <c r="C12" s="204">
        <f>'SER_se-appl'!C45</f>
        <v>4005.5674164954839</v>
      </c>
      <c r="D12" s="204">
        <f>'SER_se-appl'!D45</f>
        <v>4010.8635008300794</v>
      </c>
      <c r="E12" s="204">
        <f>'SER_se-appl'!E45</f>
        <v>4012.426770624244</v>
      </c>
      <c r="F12" s="204">
        <f>'SER_se-appl'!F45</f>
        <v>4019.105074839365</v>
      </c>
      <c r="G12" s="204">
        <f>'SER_se-appl'!G45</f>
        <v>4023.0303038887996</v>
      </c>
      <c r="H12" s="204">
        <f>'SER_se-appl'!H45</f>
        <v>4024.3051595040497</v>
      </c>
      <c r="I12" s="204">
        <f>'SER_se-appl'!I45</f>
        <v>4028.2583760414168</v>
      </c>
      <c r="J12" s="204">
        <f>'SER_se-appl'!J45</f>
        <v>4027.0421875515212</v>
      </c>
      <c r="K12" s="204">
        <f>'SER_se-appl'!K45</f>
        <v>4022.8660020568027</v>
      </c>
      <c r="L12" s="204">
        <f>'SER_se-appl'!L45</f>
        <v>4021.8769636949296</v>
      </c>
      <c r="M12" s="204">
        <f>'SER_se-appl'!M45</f>
        <v>4012.8947562989283</v>
      </c>
      <c r="N12" s="204">
        <f>'SER_se-appl'!N45</f>
        <v>3992.5736447945001</v>
      </c>
      <c r="O12" s="204">
        <f>'SER_se-appl'!O45</f>
        <v>3960.771832692943</v>
      </c>
      <c r="P12" s="204">
        <f>'SER_se-appl'!P45</f>
        <v>3925.2552026638732</v>
      </c>
      <c r="Q12" s="204">
        <f>'SER_se-appl'!Q45</f>
        <v>3884.4814812516956</v>
      </c>
      <c r="R12" s="204">
        <f>'SER_se-appl'!R45</f>
        <v>3889.7525978042304</v>
      </c>
      <c r="S12" s="204">
        <f>'SER_se-appl'!S45</f>
        <v>3927.497451408939</v>
      </c>
      <c r="T12" s="204">
        <f>'SER_se-appl'!T45</f>
        <v>3900.8611517533495</v>
      </c>
      <c r="U12" s="204">
        <f>'SER_se-appl'!U45</f>
        <v>3883.8121901650375</v>
      </c>
      <c r="V12" s="204">
        <f>'SER_se-appl'!V45</f>
        <v>3900.0074592840792</v>
      </c>
      <c r="W12" s="204">
        <f>'SER_se-appl'!W45</f>
        <v>3907.1337405396689</v>
      </c>
      <c r="X12" s="204">
        <f>'SER_se-appl'!X45</f>
        <v>3876.4203664857023</v>
      </c>
      <c r="Y12" s="204">
        <f>'SER_se-appl'!Y45</f>
        <v>3845.7069924317357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185.89086020614781</v>
      </c>
      <c r="C14" s="59">
        <f>'SER_se-appl'!C53</f>
        <v>184.09947177411141</v>
      </c>
      <c r="D14" s="59">
        <f>'SER_se-appl'!D53</f>
        <v>181.9618975703593</v>
      </c>
      <c r="E14" s="59">
        <f>'SER_se-appl'!E53</f>
        <v>179.37133868848392</v>
      </c>
      <c r="F14" s="59">
        <f>'SER_se-appl'!F53</f>
        <v>176.3594209638872</v>
      </c>
      <c r="G14" s="59">
        <f>'SER_se-appl'!G53</f>
        <v>172.82435917716097</v>
      </c>
      <c r="H14" s="59">
        <f>'SER_se-appl'!H53</f>
        <v>169.13117235252247</v>
      </c>
      <c r="I14" s="59">
        <f>'SER_se-appl'!I53</f>
        <v>165.16478021382551</v>
      </c>
      <c r="J14" s="59">
        <f>'SER_se-appl'!J53</f>
        <v>162.67421993420066</v>
      </c>
      <c r="K14" s="59">
        <f>'SER_se-appl'!K53</f>
        <v>159.95504452912587</v>
      </c>
      <c r="L14" s="59">
        <f>'SER_se-appl'!L53</f>
        <v>156.88574414045959</v>
      </c>
      <c r="M14" s="59">
        <f>'SER_se-appl'!M53</f>
        <v>153.64925256514817</v>
      </c>
      <c r="N14" s="59">
        <f>'SER_se-appl'!N53</f>
        <v>149.84464626810197</v>
      </c>
      <c r="O14" s="59">
        <f>'SER_se-appl'!O53</f>
        <v>145.61612358715945</v>
      </c>
      <c r="P14" s="59">
        <f>'SER_se-appl'!P53</f>
        <v>140.60715146631867</v>
      </c>
      <c r="Q14" s="59">
        <f>'SER_se-appl'!Q53</f>
        <v>135.28102490700041</v>
      </c>
      <c r="R14" s="59">
        <f>'SER_se-appl'!R53</f>
        <v>130.2373986941729</v>
      </c>
      <c r="S14" s="59">
        <f>'SER_se-appl'!S53</f>
        <v>124.77711659850127</v>
      </c>
      <c r="T14" s="59">
        <f>'SER_se-appl'!T53</f>
        <v>119.06496194996136</v>
      </c>
      <c r="U14" s="59">
        <f>'SER_se-appl'!U53</f>
        <v>112.77074895190839</v>
      </c>
      <c r="V14" s="59">
        <f>'SER_se-appl'!V53</f>
        <v>106.73548765246774</v>
      </c>
      <c r="W14" s="59">
        <f>'SER_se-appl'!W53</f>
        <v>101.09464114204</v>
      </c>
      <c r="X14" s="59">
        <f>'SER_se-appl'!X53</f>
        <v>96.434395018639165</v>
      </c>
      <c r="Y14" s="59">
        <f>'SER_se-appl'!Y53</f>
        <v>92.916660898491145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173.62783835866657</v>
      </c>
      <c r="D15" s="63">
        <f>'SER_se-appl'!D61</f>
        <v>171.33807703605652</v>
      </c>
      <c r="E15" s="63">
        <f>'SER_se-appl'!E61</f>
        <v>168.70035044965493</v>
      </c>
      <c r="F15" s="63">
        <f>'SER_se-appl'!F61</f>
        <v>165.7035901277182</v>
      </c>
      <c r="G15" s="63">
        <f>'SER_se-appl'!G61</f>
        <v>162.62142256255933</v>
      </c>
      <c r="H15" s="63">
        <f>'SER_se-appl'!H61</f>
        <v>160.26993738811464</v>
      </c>
      <c r="I15" s="63">
        <f>'SER_se-appl'!I61</f>
        <v>157.76869022065489</v>
      </c>
      <c r="J15" s="63">
        <f>'SER_se-appl'!J61</f>
        <v>155.05283040113568</v>
      </c>
      <c r="K15" s="63">
        <f>'SER_se-appl'!K61</f>
        <v>151.38745849376937</v>
      </c>
      <c r="L15" s="63">
        <f>'SER_se-appl'!L61</f>
        <v>147.53858390378326</v>
      </c>
      <c r="M15" s="63">
        <f>'SER_se-appl'!M61</f>
        <v>143.69730040423315</v>
      </c>
      <c r="N15" s="63">
        <f>'SER_se-appl'!N61</f>
        <v>138.88383744893304</v>
      </c>
      <c r="O15" s="63">
        <f>'SER_se-appl'!O61</f>
        <v>132.73229598694107</v>
      </c>
      <c r="P15" s="63">
        <f>'SER_se-appl'!P61</f>
        <v>125.61471381245907</v>
      </c>
      <c r="Q15" s="63">
        <f>'SER_se-appl'!Q61</f>
        <v>118.09706485894336</v>
      </c>
      <c r="R15" s="63">
        <f>'SER_se-appl'!R61</f>
        <v>111.82690628278252</v>
      </c>
      <c r="S15" s="63">
        <f>'SER_se-appl'!S61</f>
        <v>106.64723839816305</v>
      </c>
      <c r="T15" s="63">
        <f>'SER_se-appl'!T61</f>
        <v>101.38560084789826</v>
      </c>
      <c r="U15" s="63">
        <f>'SER_se-appl'!U61</f>
        <v>96.112738728720828</v>
      </c>
      <c r="V15" s="63">
        <f>'SER_se-appl'!V61</f>
        <v>90.908732111225959</v>
      </c>
      <c r="W15" s="63">
        <f>'SER_se-appl'!W61</f>
        <v>88.672377301289799</v>
      </c>
      <c r="X15" s="63">
        <f>'SER_se-appl'!X61</f>
        <v>86.436022491353654</v>
      </c>
      <c r="Y15" s="63">
        <f>'SER_se-appl'!Y61</f>
        <v>84.199667681417495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12.460896005053661</v>
      </c>
      <c r="C3" s="198">
        <f>'SER_se-appl'!C6</f>
        <v>12.590610484114928</v>
      </c>
      <c r="D3" s="198">
        <f>'SER_se-appl'!D6</f>
        <v>12.674387397442604</v>
      </c>
      <c r="E3" s="198">
        <f>'SER_se-appl'!E6</f>
        <v>12.62512532513909</v>
      </c>
      <c r="F3" s="198">
        <f>'SER_se-appl'!F6</f>
        <v>12.631717606140253</v>
      </c>
      <c r="G3" s="198">
        <f>'SER_se-appl'!G6</f>
        <v>12.611242963133188</v>
      </c>
      <c r="H3" s="198">
        <f>'SER_se-appl'!H6</f>
        <v>12.481956075870254</v>
      </c>
      <c r="I3" s="198">
        <f>'SER_se-appl'!I6</f>
        <v>12.497280522973158</v>
      </c>
      <c r="J3" s="198">
        <f>'SER_se-appl'!J6</f>
        <v>12.563734570752585</v>
      </c>
      <c r="K3" s="198">
        <f>'SER_se-appl'!K6</f>
        <v>12.652990884979509</v>
      </c>
      <c r="L3" s="198">
        <f>'SER_se-appl'!L6</f>
        <v>12.72550353691719</v>
      </c>
      <c r="M3" s="198">
        <f>'SER_se-appl'!M6</f>
        <v>12.905343824270634</v>
      </c>
      <c r="N3" s="198">
        <f>'SER_se-appl'!N6</f>
        <v>13.058862678902402</v>
      </c>
      <c r="O3" s="198">
        <f>'SER_se-appl'!O6</f>
        <v>13.236903238086336</v>
      </c>
      <c r="P3" s="198">
        <f>'SER_se-appl'!P6</f>
        <v>13.394806090380044</v>
      </c>
      <c r="Q3" s="198">
        <f>'SER_se-appl'!Q6</f>
        <v>13.508945941661619</v>
      </c>
      <c r="R3" s="198">
        <f>'SER_se-appl'!R6</f>
        <v>13.466816510663881</v>
      </c>
      <c r="S3" s="198">
        <f>'SER_se-appl'!S6</f>
        <v>13.254958720610471</v>
      </c>
      <c r="T3" s="198">
        <f>'SER_se-appl'!T6</f>
        <v>12.769273381518262</v>
      </c>
      <c r="U3" s="198">
        <f>'SER_se-appl'!U6</f>
        <v>12.162074220205099</v>
      </c>
      <c r="V3" s="198">
        <f>'SER_se-appl'!V6</f>
        <v>10.748873022423629</v>
      </c>
      <c r="W3" s="198">
        <f>'SER_se-appl'!W6</f>
        <v>10.955905559072956</v>
      </c>
      <c r="X3" s="198">
        <f>'SER_se-appl'!X6</f>
        <v>10.281568340504661</v>
      </c>
      <c r="Y3" s="198">
        <f>'SER_se-appl'!Y6</f>
        <v>9.5968028721945426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59.210451070275589</v>
      </c>
      <c r="C5" s="59">
        <f>'SER_se-appl'!C14</f>
        <v>59.322583774381826</v>
      </c>
      <c r="D5" s="59">
        <f>'SER_se-appl'!D14</f>
        <v>59.386561836891055</v>
      </c>
      <c r="E5" s="59">
        <f>'SER_se-appl'!E14</f>
        <v>58.840733760496477</v>
      </c>
      <c r="F5" s="59">
        <f>'SER_se-appl'!F14</f>
        <v>58.51888026898861</v>
      </c>
      <c r="G5" s="59">
        <f>'SER_se-appl'!G14</f>
        <v>58.139505445242641</v>
      </c>
      <c r="H5" s="59">
        <f>'SER_se-appl'!H14</f>
        <v>57.330016322021521</v>
      </c>
      <c r="I5" s="59">
        <f>'SER_se-appl'!I14</f>
        <v>57.126176144119874</v>
      </c>
      <c r="J5" s="59">
        <f>'SER_se-appl'!J14</f>
        <v>57.205557234408239</v>
      </c>
      <c r="K5" s="59">
        <f>'SER_se-appl'!K14</f>
        <v>57.366803195859355</v>
      </c>
      <c r="L5" s="59">
        <f>'SER_se-appl'!L14</f>
        <v>57.46427425548714</v>
      </c>
      <c r="M5" s="59">
        <f>'SER_se-appl'!M14</f>
        <v>58.015761055999967</v>
      </c>
      <c r="N5" s="59">
        <f>'SER_se-appl'!N14</f>
        <v>58.541624776345188</v>
      </c>
      <c r="O5" s="59">
        <f>'SER_se-appl'!O14</f>
        <v>59.215299323015557</v>
      </c>
      <c r="P5" s="59">
        <f>'SER_se-appl'!P14</f>
        <v>59.803449180070324</v>
      </c>
      <c r="Q5" s="59">
        <f>'SER_se-appl'!Q14</f>
        <v>60.219975415189055</v>
      </c>
      <c r="R5" s="59">
        <f>'SER_se-appl'!R14</f>
        <v>59.644723389013663</v>
      </c>
      <c r="S5" s="59">
        <f>'SER_se-appl'!S14</f>
        <v>58.633915855794378</v>
      </c>
      <c r="T5" s="59">
        <f>'SER_se-appl'!T14</f>
        <v>56.688857050230212</v>
      </c>
      <c r="U5" s="59">
        <f>'SER_se-appl'!U14</f>
        <v>53.936656344804305</v>
      </c>
      <c r="V5" s="59">
        <f>'SER_se-appl'!V14</f>
        <v>51.162914539448607</v>
      </c>
      <c r="W5" s="59">
        <f>'SER_se-appl'!W14</f>
        <v>48.310771582642296</v>
      </c>
      <c r="X5" s="59">
        <f>'SER_se-appl'!X14</f>
        <v>45.643873099212875</v>
      </c>
      <c r="Y5" s="59">
        <f>'SER_se-appl'!Y14</f>
        <v>42.748496454640289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186.66737453545588</v>
      </c>
      <c r="C6" s="201">
        <f>'SER_se-appl'!C70</f>
        <v>187.9167079491084</v>
      </c>
      <c r="D6" s="201">
        <f>'SER_se-appl'!D70</f>
        <v>189.87303676552838</v>
      </c>
      <c r="E6" s="201">
        <f>'SER_se-appl'!E70</f>
        <v>191.51623881479756</v>
      </c>
      <c r="F6" s="201">
        <f>'SER_se-appl'!F70</f>
        <v>193.56273408260657</v>
      </c>
      <c r="G6" s="201">
        <f>'SER_se-appl'!G70</f>
        <v>195.93782612309434</v>
      </c>
      <c r="H6" s="201">
        <f>'SER_se-appl'!H70</f>
        <v>198.38907297089446</v>
      </c>
      <c r="I6" s="201">
        <f>'SER_se-appl'!I70</f>
        <v>200.87902270355747</v>
      </c>
      <c r="J6" s="201">
        <f>'SER_se-appl'!J70</f>
        <v>204.74066911126758</v>
      </c>
      <c r="K6" s="201">
        <f>'SER_se-appl'!K70</f>
        <v>209.29253602662854</v>
      </c>
      <c r="L6" s="201">
        <f>'SER_se-appl'!L70</f>
        <v>214.83060443286388</v>
      </c>
      <c r="M6" s="201">
        <f>'SER_se-appl'!M70</f>
        <v>220.36940558223495</v>
      </c>
      <c r="N6" s="201">
        <f>'SER_se-appl'!N70</f>
        <v>226.8804523614283</v>
      </c>
      <c r="O6" s="201">
        <f>'SER_se-appl'!O70</f>
        <v>233.63304887697512</v>
      </c>
      <c r="P6" s="201">
        <f>'SER_se-appl'!P70</f>
        <v>240.96941297163869</v>
      </c>
      <c r="Q6" s="201">
        <f>'SER_se-appl'!Q70</f>
        <v>249.19087457923499</v>
      </c>
      <c r="R6" s="201">
        <f>'SER_se-appl'!R70</f>
        <v>255.29643549447403</v>
      </c>
      <c r="S6" s="201">
        <f>'SER_se-appl'!S70</f>
        <v>261.49066980751707</v>
      </c>
      <c r="T6" s="201">
        <f>'SER_se-appl'!T70</f>
        <v>267.3983108835414</v>
      </c>
      <c r="U6" s="201">
        <f>'SER_se-appl'!U70</f>
        <v>272.78986443099149</v>
      </c>
      <c r="V6" s="201">
        <f>'SER_se-appl'!V70</f>
        <v>277.23763766330762</v>
      </c>
      <c r="W6" s="201">
        <f>'SER_se-appl'!W70</f>
        <v>280.06362262665061</v>
      </c>
      <c r="X6" s="201">
        <f>'SER_se-appl'!X70</f>
        <v>281.487399189153</v>
      </c>
      <c r="Y6" s="201">
        <f>'SER_se-appl'!Y70</f>
        <v>282.20199947745363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1.484773941644693</v>
      </c>
      <c r="C8" s="34">
        <f>'SER_se-appl'!C22</f>
        <v>1.5056668266291342</v>
      </c>
      <c r="D8" s="34">
        <f>'SER_se-appl'!D22</f>
        <v>1.5347313289519449</v>
      </c>
      <c r="E8" s="34">
        <f>'SER_se-appl'!E22</f>
        <v>1.552958076242261</v>
      </c>
      <c r="F8" s="34">
        <f>'SER_se-appl'!F22</f>
        <v>1.583457903508886</v>
      </c>
      <c r="G8" s="34">
        <f>'SER_se-appl'!G22</f>
        <v>1.6204874799336781</v>
      </c>
      <c r="H8" s="34">
        <f>'SER_se-appl'!H22</f>
        <v>1.6528533128214147</v>
      </c>
      <c r="I8" s="34">
        <f>'SER_se-appl'!I22</f>
        <v>1.6874118015675261</v>
      </c>
      <c r="J8" s="34">
        <f>'SER_se-appl'!J22</f>
        <v>1.730921821434583</v>
      </c>
      <c r="K8" s="34">
        <f>'SER_se-appl'!K22</f>
        <v>1.7797070129743435</v>
      </c>
      <c r="L8" s="34">
        <f>'SER_se-appl'!L22</f>
        <v>1.8344541433119332</v>
      </c>
      <c r="M8" s="34">
        <f>'SER_se-appl'!M22</f>
        <v>1.9127877412034469</v>
      </c>
      <c r="N8" s="34">
        <f>'SER_se-appl'!N22</f>
        <v>2.0017918148234051</v>
      </c>
      <c r="O8" s="34">
        <f>'SER_se-appl'!O22</f>
        <v>2.1055129903183412</v>
      </c>
      <c r="P8" s="34">
        <f>'SER_se-appl'!P22</f>
        <v>2.2234998106950536</v>
      </c>
      <c r="Q8" s="34">
        <f>'SER_se-appl'!Q22</f>
        <v>2.3453828087497106</v>
      </c>
      <c r="R8" s="34">
        <f>'SER_se-appl'!R22</f>
        <v>2.4548681899961005</v>
      </c>
      <c r="S8" s="34">
        <f>'SER_se-appl'!S22</f>
        <v>2.5649363092242652</v>
      </c>
      <c r="T8" s="34">
        <f>'SER_se-appl'!T22</f>
        <v>2.6746384709567232</v>
      </c>
      <c r="U8" s="34">
        <f>'SER_se-appl'!U22</f>
        <v>2.7811048413926476</v>
      </c>
      <c r="V8" s="34">
        <f>'SER_se-appl'!V22</f>
        <v>2.8790934604988134</v>
      </c>
      <c r="W8" s="34">
        <f>'SER_se-appl'!W22</f>
        <v>2.9607121131609451</v>
      </c>
      <c r="X8" s="34">
        <f>'SER_se-appl'!X22</f>
        <v>3.0278246849969817</v>
      </c>
      <c r="Y8" s="34">
        <f>'SER_se-appl'!Y22</f>
        <v>3.0871908146334817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0.2527642367363474</v>
      </c>
      <c r="D9" s="36">
        <f>'SER_se-appl'!D30</f>
        <v>0.26695948968898864</v>
      </c>
      <c r="E9" s="36">
        <f>'SER_se-appl'!E30</f>
        <v>0.26230185439758591</v>
      </c>
      <c r="F9" s="36">
        <f>'SER_se-appl'!F30</f>
        <v>0.2809156034415492</v>
      </c>
      <c r="G9" s="36">
        <f>'SER_se-appl'!G30</f>
        <v>0.29395074180086556</v>
      </c>
      <c r="H9" s="36">
        <f>'SER_se-appl'!H30</f>
        <v>0.29596138675607775</v>
      </c>
      <c r="I9" s="36">
        <f>'SER_se-appl'!I30</f>
        <v>0.28732272548245885</v>
      </c>
      <c r="J9" s="36">
        <f>'SER_se-appl'!J30</f>
        <v>0.31046950955604546</v>
      </c>
      <c r="K9" s="36">
        <f>'SER_se-appl'!K30</f>
        <v>0.31108704593734648</v>
      </c>
      <c r="L9" s="36">
        <f>'SER_se-appl'!L30</f>
        <v>0.33566273377913891</v>
      </c>
      <c r="M9" s="36">
        <f>'SER_se-appl'!M30</f>
        <v>0.37228433969237917</v>
      </c>
      <c r="N9" s="36">
        <f>'SER_se-appl'!N30</f>
        <v>0.38496546037603596</v>
      </c>
      <c r="O9" s="36">
        <f>'SER_se-appl'!O30</f>
        <v>0.39104390097739494</v>
      </c>
      <c r="P9" s="36">
        <f>'SER_se-appl'!P30</f>
        <v>0.42845632993275795</v>
      </c>
      <c r="Q9" s="36">
        <f>'SER_se-appl'!Q30</f>
        <v>0.43297004399200345</v>
      </c>
      <c r="R9" s="36">
        <f>'SER_se-appl'!R30</f>
        <v>0.44514811502552876</v>
      </c>
      <c r="S9" s="36">
        <f>'SER_se-appl'!S30</f>
        <v>0.4823524589205439</v>
      </c>
      <c r="T9" s="36">
        <f>'SER_se-appl'!T30</f>
        <v>0.49466762210849424</v>
      </c>
      <c r="U9" s="36">
        <f>'SER_se-appl'!U30</f>
        <v>0.49751027141331905</v>
      </c>
      <c r="V9" s="36">
        <f>'SER_se-appl'!V30</f>
        <v>0.52644494903892358</v>
      </c>
      <c r="W9" s="36">
        <f>'SER_se-appl'!W30</f>
        <v>0.51458869665413509</v>
      </c>
      <c r="X9" s="36">
        <f>'SER_se-appl'!X30</f>
        <v>0.51226068686156534</v>
      </c>
      <c r="Y9" s="36">
        <f>'SER_se-appl'!Y30</f>
        <v>0.54171858855704391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0.23187135175190621</v>
      </c>
      <c r="D10" s="38">
        <f>'SER_se-appl'!D38</f>
        <v>0.23789498736617798</v>
      </c>
      <c r="E10" s="38">
        <f>'SER_se-appl'!E38</f>
        <v>0.24407510710726976</v>
      </c>
      <c r="F10" s="38">
        <f>'SER_se-appl'!F38</f>
        <v>0.25041577617492417</v>
      </c>
      <c r="G10" s="38">
        <f>'SER_se-appl'!G38</f>
        <v>0.25692116537607346</v>
      </c>
      <c r="H10" s="38">
        <f>'SER_se-appl'!H38</f>
        <v>0.26359555386834121</v>
      </c>
      <c r="I10" s="38">
        <f>'SER_se-appl'!I38</f>
        <v>0.2527642367363474</v>
      </c>
      <c r="J10" s="38">
        <f>'SER_se-appl'!J38</f>
        <v>0.26695948968898864</v>
      </c>
      <c r="K10" s="38">
        <f>'SER_se-appl'!K38</f>
        <v>0.26230185439758591</v>
      </c>
      <c r="L10" s="38">
        <f>'SER_se-appl'!L38</f>
        <v>0.2809156034415492</v>
      </c>
      <c r="M10" s="38">
        <f>'SER_se-appl'!M38</f>
        <v>0.29395074180086578</v>
      </c>
      <c r="N10" s="38">
        <f>'SER_se-appl'!N38</f>
        <v>0.29596138675607797</v>
      </c>
      <c r="O10" s="38">
        <f>'SER_se-appl'!O38</f>
        <v>0.28732272548245863</v>
      </c>
      <c r="P10" s="38">
        <f>'SER_se-appl'!P38</f>
        <v>0.31046950955604569</v>
      </c>
      <c r="Q10" s="38">
        <f>'SER_se-appl'!Q38</f>
        <v>0.31108704593734648</v>
      </c>
      <c r="R10" s="38">
        <f>'SER_se-appl'!R38</f>
        <v>0.33566273377913891</v>
      </c>
      <c r="S10" s="38">
        <f>'SER_se-appl'!S38</f>
        <v>0.37228433969237917</v>
      </c>
      <c r="T10" s="38">
        <f>'SER_se-appl'!T38</f>
        <v>0.38496546037603618</v>
      </c>
      <c r="U10" s="38">
        <f>'SER_se-appl'!U38</f>
        <v>0.39104390097739472</v>
      </c>
      <c r="V10" s="38">
        <f>'SER_se-appl'!V38</f>
        <v>0.42845632993275773</v>
      </c>
      <c r="W10" s="38">
        <f>'SER_se-appl'!W38</f>
        <v>0.43297004399200345</v>
      </c>
      <c r="X10" s="38">
        <f>'SER_se-appl'!X38</f>
        <v>0.44514811502552876</v>
      </c>
      <c r="Y10" s="38">
        <f>'SER_se-appl'!Y38</f>
        <v>0.4823524589205439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2447.5446128044427</v>
      </c>
      <c r="C12" s="204">
        <f>'SER_se-appl'!C46</f>
        <v>2468.3483188655582</v>
      </c>
      <c r="D12" s="204">
        <f>'SER_se-appl'!D46</f>
        <v>2482.0956269047783</v>
      </c>
      <c r="E12" s="204">
        <f>'SER_se-appl'!E46</f>
        <v>2495.3836933614866</v>
      </c>
      <c r="F12" s="204">
        <f>'SER_se-appl'!F46</f>
        <v>2510.4184339163221</v>
      </c>
      <c r="G12" s="204">
        <f>'SER_se-appl'!G46</f>
        <v>2522.7038747237984</v>
      </c>
      <c r="H12" s="204">
        <f>'SER_se-appl'!H46</f>
        <v>2532.096770162796</v>
      </c>
      <c r="I12" s="204">
        <f>'SER_se-appl'!I46</f>
        <v>2544.251729986278</v>
      </c>
      <c r="J12" s="204">
        <f>'SER_se-appl'!J46</f>
        <v>2554.2314439682787</v>
      </c>
      <c r="K12" s="204">
        <f>'SER_se-appl'!K46</f>
        <v>2565.1470152503293</v>
      </c>
      <c r="L12" s="204">
        <f>'SER_se-appl'!L46</f>
        <v>2575.4715960798017</v>
      </c>
      <c r="M12" s="204">
        <f>'SER_se-appl'!M46</f>
        <v>2587.0409341246645</v>
      </c>
      <c r="N12" s="204">
        <f>'SER_se-appl'!N46</f>
        <v>2594.3006115027169</v>
      </c>
      <c r="O12" s="204">
        <f>'SER_se-appl'!O46</f>
        <v>2599.7535505002388</v>
      </c>
      <c r="P12" s="204">
        <f>'SER_se-appl'!P46</f>
        <v>2604.8931452441138</v>
      </c>
      <c r="Q12" s="204">
        <f>'SER_se-appl'!Q46</f>
        <v>2608.9190541565317</v>
      </c>
      <c r="R12" s="204">
        <f>'SER_se-appl'!R46</f>
        <v>2625.8664156680384</v>
      </c>
      <c r="S12" s="204">
        <f>'SER_se-appl'!S46</f>
        <v>2629.1126504297035</v>
      </c>
      <c r="T12" s="204">
        <f>'SER_se-appl'!T46</f>
        <v>2619.6797246321321</v>
      </c>
      <c r="U12" s="204">
        <f>'SER_se-appl'!U46</f>
        <v>2622.4266160801908</v>
      </c>
      <c r="V12" s="204">
        <f>'SER_se-appl'!V46</f>
        <v>2443.359499279496</v>
      </c>
      <c r="W12" s="204">
        <f>'SER_se-appl'!W46</f>
        <v>2637.4486988694366</v>
      </c>
      <c r="X12" s="204">
        <f>'SER_se-appl'!X46</f>
        <v>2619.7303532975438</v>
      </c>
      <c r="Y12" s="204">
        <f>'SER_se-appl'!Y46</f>
        <v>2610.8711805115977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39.878428230419921</v>
      </c>
      <c r="C14" s="59">
        <f>'SER_se-appl'!C54</f>
        <v>39.399542266061871</v>
      </c>
      <c r="D14" s="59">
        <f>'SER_se-appl'!D54</f>
        <v>38.695086701231048</v>
      </c>
      <c r="E14" s="59">
        <f>'SER_se-appl'!E54</f>
        <v>37.889454107399445</v>
      </c>
      <c r="F14" s="59">
        <f>'SER_se-appl'!F54</f>
        <v>36.956385224585297</v>
      </c>
      <c r="G14" s="59">
        <f>'SER_se-appl'!G54</f>
        <v>35.877787496156479</v>
      </c>
      <c r="H14" s="59">
        <f>'SER_se-appl'!H54</f>
        <v>34.685483507401749</v>
      </c>
      <c r="I14" s="59">
        <f>'SER_se-appl'!I54</f>
        <v>33.854318247064732</v>
      </c>
      <c r="J14" s="59">
        <f>'SER_se-appl'!J54</f>
        <v>33.049186003673142</v>
      </c>
      <c r="K14" s="59">
        <f>'SER_se-appl'!K54</f>
        <v>32.233846794807434</v>
      </c>
      <c r="L14" s="59">
        <f>'SER_se-appl'!L54</f>
        <v>31.32499902763491</v>
      </c>
      <c r="M14" s="59">
        <f>'SER_se-appl'!M54</f>
        <v>30.330475152197938</v>
      </c>
      <c r="N14" s="59">
        <f>'SER_se-appl'!N54</f>
        <v>29.24461192359788</v>
      </c>
      <c r="O14" s="59">
        <f>'SER_se-appl'!O54</f>
        <v>28.123929700411182</v>
      </c>
      <c r="P14" s="59">
        <f>'SER_se-appl'!P54</f>
        <v>26.896089170961567</v>
      </c>
      <c r="Q14" s="59">
        <f>'SER_se-appl'!Q54</f>
        <v>25.675968626755409</v>
      </c>
      <c r="R14" s="59">
        <f>'SER_se-appl'!R54</f>
        <v>24.296507499699366</v>
      </c>
      <c r="S14" s="59">
        <f>'SER_se-appl'!S54</f>
        <v>22.859794079459039</v>
      </c>
      <c r="T14" s="59">
        <f>'SER_se-appl'!T54</f>
        <v>21.194960614603175</v>
      </c>
      <c r="U14" s="59">
        <f>'SER_se-appl'!U54</f>
        <v>19.393967297469931</v>
      </c>
      <c r="V14" s="59">
        <f>'SER_se-appl'!V54</f>
        <v>17.770494512041456</v>
      </c>
      <c r="W14" s="59">
        <f>'SER_se-appl'!W54</f>
        <v>16.317281024349331</v>
      </c>
      <c r="X14" s="59">
        <f>'SER_se-appl'!X54</f>
        <v>15.074807113298364</v>
      </c>
      <c r="Y14" s="59">
        <f>'SER_se-appl'!Y54</f>
        <v>13.847053525816962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37.025798762018042</v>
      </c>
      <c r="D15" s="63">
        <f>'SER_se-appl'!D62</f>
        <v>35.776425305932669</v>
      </c>
      <c r="E15" s="63">
        <f>'SER_se-appl'!E62</f>
        <v>35.026452963190629</v>
      </c>
      <c r="F15" s="63">
        <f>'SER_se-appl'!F62</f>
        <v>34.402980639199775</v>
      </c>
      <c r="G15" s="63">
        <f>'SER_se-appl'!G62</f>
        <v>33.564254235709413</v>
      </c>
      <c r="H15" s="63">
        <f>'SER_se-appl'!H62</f>
        <v>32.7822739307937</v>
      </c>
      <c r="I15" s="63">
        <f>'SER_se-appl'!I62</f>
        <v>31.862977668615891</v>
      </c>
      <c r="J15" s="63">
        <f>'SER_se-appl'!J62</f>
        <v>31.018303042469729</v>
      </c>
      <c r="K15" s="63">
        <f>'SER_se-appl'!K62</f>
        <v>30.051876633103788</v>
      </c>
      <c r="L15" s="63">
        <f>'SER_se-appl'!L62</f>
        <v>29.082183226511098</v>
      </c>
      <c r="M15" s="63">
        <f>'SER_se-appl'!M62</f>
        <v>27.983245923534351</v>
      </c>
      <c r="N15" s="63">
        <f>'SER_se-appl'!N62</f>
        <v>26.569009500046164</v>
      </c>
      <c r="O15" s="63">
        <f>'SER_se-appl'!O62</f>
        <v>25.134344527142922</v>
      </c>
      <c r="P15" s="63">
        <f>'SER_se-appl'!P62</f>
        <v>23.849308496655478</v>
      </c>
      <c r="Q15" s="63">
        <f>'SER_se-appl'!Q62</f>
        <v>22.554160264179632</v>
      </c>
      <c r="R15" s="63">
        <f>'SER_se-appl'!R62</f>
        <v>20.637070650909781</v>
      </c>
      <c r="S15" s="63">
        <f>'SER_se-appl'!S62</f>
        <v>19.502163871880914</v>
      </c>
      <c r="T15" s="63">
        <f>'SER_se-appl'!T62</f>
        <v>16.744763146312568</v>
      </c>
      <c r="U15" s="63">
        <f>'SER_se-appl'!U62</f>
        <v>14.223689104699867</v>
      </c>
      <c r="V15" s="63">
        <f>'SER_se-appl'!V62</f>
        <v>14.141355897034206</v>
      </c>
      <c r="W15" s="63">
        <f>'SER_se-appl'!W62</f>
        <v>13.434288102182496</v>
      </c>
      <c r="X15" s="63">
        <f>'SER_se-appl'!X62</f>
        <v>12.727220307330784</v>
      </c>
      <c r="Y15" s="63">
        <f>'SER_se-appl'!Y62</f>
        <v>12.020152512479074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6.1223616081281751</v>
      </c>
      <c r="C3" s="198">
        <f>'SER_se-appl'!C7</f>
        <v>6.2268392617236259</v>
      </c>
      <c r="D3" s="198">
        <f>'SER_se-appl'!D7</f>
        <v>6.329390531204381</v>
      </c>
      <c r="E3" s="198">
        <f>'SER_se-appl'!E7</f>
        <v>6.4092640876315423</v>
      </c>
      <c r="F3" s="198">
        <f>'SER_se-appl'!F7</f>
        <v>6.5147335631959544</v>
      </c>
      <c r="G3" s="198">
        <f>'SER_se-appl'!G7</f>
        <v>6.6250042640216984</v>
      </c>
      <c r="H3" s="198">
        <f>'SER_se-appl'!H7</f>
        <v>6.7651008309205203</v>
      </c>
      <c r="I3" s="198">
        <f>'SER_se-appl'!I7</f>
        <v>6.907495775574942</v>
      </c>
      <c r="J3" s="198">
        <f>'SER_se-appl'!J7</f>
        <v>7.0391762182368884</v>
      </c>
      <c r="K3" s="198">
        <f>'SER_se-appl'!K7</f>
        <v>7.2007183217043682</v>
      </c>
      <c r="L3" s="198">
        <f>'SER_se-appl'!L7</f>
        <v>7.3336097617452189</v>
      </c>
      <c r="M3" s="198">
        <f>'SER_se-appl'!M7</f>
        <v>7.4683610733093841</v>
      </c>
      <c r="N3" s="198">
        <f>'SER_se-appl'!N7</f>
        <v>7.6708983139795883</v>
      </c>
      <c r="O3" s="198">
        <f>'SER_se-appl'!O7</f>
        <v>7.8806998315971564</v>
      </c>
      <c r="P3" s="198">
        <f>'SER_se-appl'!P7</f>
        <v>8.1202901336902151</v>
      </c>
      <c r="Q3" s="198">
        <f>'SER_se-appl'!Q7</f>
        <v>8.4144957663761115</v>
      </c>
      <c r="R3" s="198">
        <f>'SER_se-appl'!R7</f>
        <v>8.5637690783454854</v>
      </c>
      <c r="S3" s="198">
        <f>'SER_se-appl'!S7</f>
        <v>8.6959351481595082</v>
      </c>
      <c r="T3" s="198">
        <f>'SER_se-appl'!T7</f>
        <v>8.8278298169359442</v>
      </c>
      <c r="U3" s="198">
        <f>'SER_se-appl'!U7</f>
        <v>8.9378787902379244</v>
      </c>
      <c r="V3" s="198">
        <f>'SER_se-appl'!V7</f>
        <v>9.0361162025895627</v>
      </c>
      <c r="W3" s="198">
        <f>'SER_se-appl'!W7</f>
        <v>9.1296501347835015</v>
      </c>
      <c r="X3" s="198">
        <f>'SER_se-appl'!X7</f>
        <v>9.1879396144557948</v>
      </c>
      <c r="Y3" s="198">
        <f>'SER_se-appl'!Y7</f>
        <v>9.2779484607395766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8.1282038244898054</v>
      </c>
      <c r="C5" s="59">
        <f>'SER_se-appl'!C15</f>
        <v>8.2669110289778267</v>
      </c>
      <c r="D5" s="59">
        <f>'SER_se-appl'!D15</f>
        <v>8.4030607166560429</v>
      </c>
      <c r="E5" s="59">
        <f>'SER_se-appl'!E15</f>
        <v>8.5091028925975856</v>
      </c>
      <c r="F5" s="59">
        <f>'SER_se-appl'!F15</f>
        <v>8.6491268652932618</v>
      </c>
      <c r="G5" s="59">
        <f>'SER_se-appl'!G15</f>
        <v>8.7955250674169339</v>
      </c>
      <c r="H5" s="59">
        <f>'SER_se-appl'!H15</f>
        <v>8.9815208520097762</v>
      </c>
      <c r="I5" s="59">
        <f>'SER_se-appl'!I15</f>
        <v>9.1705680216822625</v>
      </c>
      <c r="J5" s="59">
        <f>'SER_se-appl'!J15</f>
        <v>9.3453903445313902</v>
      </c>
      <c r="K5" s="59">
        <f>'SER_se-appl'!K15</f>
        <v>9.5598577718518012</v>
      </c>
      <c r="L5" s="59">
        <f>'SER_se-appl'!L15</f>
        <v>9.7362878457873183</v>
      </c>
      <c r="M5" s="59">
        <f>'SER_se-appl'!M15</f>
        <v>9.9151871327155376</v>
      </c>
      <c r="N5" s="59">
        <f>'SER_se-appl'!N15</f>
        <v>10.184080752463771</v>
      </c>
      <c r="O5" s="59">
        <f>'SER_se-appl'!O15</f>
        <v>10.462618612040517</v>
      </c>
      <c r="P5" s="59">
        <f>'SER_se-appl'!P15</f>
        <v>10.78070482360927</v>
      </c>
      <c r="Q5" s="59">
        <f>'SER_se-appl'!Q15</f>
        <v>11.171299744629476</v>
      </c>
      <c r="R5" s="59">
        <f>'SER_se-appl'!R15</f>
        <v>11.369478810634471</v>
      </c>
      <c r="S5" s="59">
        <f>'SER_se-appl'!S15</f>
        <v>11.544945864508572</v>
      </c>
      <c r="T5" s="59">
        <f>'SER_se-appl'!T15</f>
        <v>11.720052599425232</v>
      </c>
      <c r="U5" s="59">
        <f>'SER_se-appl'!U15</f>
        <v>11.866156430418613</v>
      </c>
      <c r="V5" s="59">
        <f>'SER_se-appl'!V15</f>
        <v>11.996578931063537</v>
      </c>
      <c r="W5" s="59">
        <f>'SER_se-appl'!W15</f>
        <v>12.120756971179466</v>
      </c>
      <c r="X5" s="59">
        <f>'SER_se-appl'!X15</f>
        <v>12.198143574899646</v>
      </c>
      <c r="Y5" s="59">
        <f>'SER_se-appl'!Y15</f>
        <v>12.317641620822064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2.8791048297994455E-2</v>
      </c>
      <c r="C6" s="201">
        <f>'SER_se-appl'!C71</f>
        <v>2.9242747167694753E-2</v>
      </c>
      <c r="D6" s="201">
        <f>'SER_se-appl'!D71</f>
        <v>2.9804577572190277E-2</v>
      </c>
      <c r="E6" s="201">
        <f>'SER_se-appl'!E71</f>
        <v>3.0343810733322752E-2</v>
      </c>
      <c r="F6" s="201">
        <f>'SER_se-appl'!F71</f>
        <v>3.0894249132164198E-2</v>
      </c>
      <c r="G6" s="201">
        <f>'SER_se-appl'!G71</f>
        <v>3.154286401988237E-2</v>
      </c>
      <c r="H6" s="201">
        <f>'SER_se-appl'!H71</f>
        <v>3.2288847169294199E-2</v>
      </c>
      <c r="I6" s="201">
        <f>'SER_se-appl'!I71</f>
        <v>3.3121944269321871E-2</v>
      </c>
      <c r="J6" s="201">
        <f>'SER_se-appl'!J71</f>
        <v>3.3937456987578003E-2</v>
      </c>
      <c r="K6" s="201">
        <f>'SER_se-appl'!K71</f>
        <v>3.484331854881912E-2</v>
      </c>
      <c r="L6" s="201">
        <f>'SER_se-appl'!L71</f>
        <v>3.5770720206875536E-2</v>
      </c>
      <c r="M6" s="201">
        <f>'SER_se-appl'!M71</f>
        <v>3.6468906851348792E-2</v>
      </c>
      <c r="N6" s="201">
        <f>'SER_se-appl'!N71</f>
        <v>3.7261455001889335E-2</v>
      </c>
      <c r="O6" s="201">
        <f>'SER_se-appl'!O71</f>
        <v>3.8171928640914211E-2</v>
      </c>
      <c r="P6" s="201">
        <f>'SER_se-appl'!P71</f>
        <v>3.9326432240944197E-2</v>
      </c>
      <c r="Q6" s="201">
        <f>'SER_se-appl'!Q71</f>
        <v>4.0727945445297162E-2</v>
      </c>
      <c r="R6" s="201">
        <f>'SER_se-appl'!R71</f>
        <v>4.1378793647380688E-2</v>
      </c>
      <c r="S6" s="201">
        <f>'SER_se-appl'!S71</f>
        <v>4.1918931032152808E-2</v>
      </c>
      <c r="T6" s="201">
        <f>'SER_se-appl'!T71</f>
        <v>4.2701598550770797E-2</v>
      </c>
      <c r="U6" s="201">
        <f>'SER_se-appl'!U71</f>
        <v>4.3407241561052488E-2</v>
      </c>
      <c r="V6" s="201">
        <f>'SER_se-appl'!V71</f>
        <v>4.402367079777917E-2</v>
      </c>
      <c r="W6" s="201">
        <f>'SER_se-appl'!W71</f>
        <v>4.4796864995264356E-2</v>
      </c>
      <c r="X6" s="201">
        <f>'SER_se-appl'!X71</f>
        <v>4.5346166758297883E-2</v>
      </c>
      <c r="Y6" s="201">
        <f>'SER_se-appl'!Y71</f>
        <v>4.5734680761916294E-2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12.483798542010396</v>
      </c>
      <c r="C8" s="34">
        <f>'SER_se-appl'!C23</f>
        <v>12.837566006617998</v>
      </c>
      <c r="D8" s="34">
        <f>'SER_se-appl'!D23</f>
        <v>13.234722670931093</v>
      </c>
      <c r="E8" s="34">
        <f>'SER_se-appl'!E23</f>
        <v>13.60313035174859</v>
      </c>
      <c r="F8" s="34">
        <f>'SER_se-appl'!F23</f>
        <v>14.055647585169423</v>
      </c>
      <c r="G8" s="34">
        <f>'SER_se-appl'!G23</f>
        <v>14.548515171890346</v>
      </c>
      <c r="H8" s="34">
        <f>'SER_se-appl'!H23</f>
        <v>15.146246163255539</v>
      </c>
      <c r="I8" s="34">
        <f>'SER_se-appl'!I23</f>
        <v>15.772239275775574</v>
      </c>
      <c r="J8" s="34">
        <f>'SER_se-appl'!J23</f>
        <v>16.418907753133251</v>
      </c>
      <c r="K8" s="34">
        <f>'SER_se-appl'!K23</f>
        <v>17.195177703842237</v>
      </c>
      <c r="L8" s="34">
        <f>'SER_se-appl'!L23</f>
        <v>17.959262411385176</v>
      </c>
      <c r="M8" s="34">
        <f>'SER_se-appl'!M23</f>
        <v>18.666245282794367</v>
      </c>
      <c r="N8" s="34">
        <f>'SER_se-appl'!N23</f>
        <v>19.556786442106624</v>
      </c>
      <c r="O8" s="34">
        <f>'SER_se-appl'!O23</f>
        <v>20.499814385387925</v>
      </c>
      <c r="P8" s="34">
        <f>'SER_se-appl'!P23</f>
        <v>21.616953274202206</v>
      </c>
      <c r="Q8" s="34">
        <f>'SER_se-appl'!Q23</f>
        <v>22.928122711993602</v>
      </c>
      <c r="R8" s="34">
        <f>'SER_se-appl'!R23</f>
        <v>23.844488460509474</v>
      </c>
      <c r="S8" s="34">
        <f>'SER_se-appl'!S23</f>
        <v>24.760129235968602</v>
      </c>
      <c r="T8" s="34">
        <f>'SER_se-appl'!T23</f>
        <v>25.706575835556773</v>
      </c>
      <c r="U8" s="34">
        <f>'SER_se-appl'!U23</f>
        <v>26.647445150880756</v>
      </c>
      <c r="V8" s="34">
        <f>'SER_se-appl'!V23</f>
        <v>27.563572475855921</v>
      </c>
      <c r="W8" s="34">
        <f>'SER_se-appl'!W23</f>
        <v>28.433914118444143</v>
      </c>
      <c r="X8" s="34">
        <f>'SER_se-appl'!X23</f>
        <v>29.266279987305179</v>
      </c>
      <c r="Y8" s="34">
        <f>'SER_se-appl'!Y23</f>
        <v>30.221888659601145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1.4883338056017603</v>
      </c>
      <c r="D9" s="36">
        <f>'SER_se-appl'!D31</f>
        <v>1.5556217208285492</v>
      </c>
      <c r="E9" s="36">
        <f>'SER_se-appl'!E31</f>
        <v>1.5512748598238773</v>
      </c>
      <c r="F9" s="36">
        <f>'SER_se-appl'!F31</f>
        <v>1.6603005457454127</v>
      </c>
      <c r="G9" s="36">
        <f>'SER_se-appl'!G31</f>
        <v>1.7260918704102259</v>
      </c>
      <c r="H9" s="36">
        <f>'SER_se-appl'!H31</f>
        <v>1.8569321397515548</v>
      </c>
      <c r="I9" s="36">
        <f>'SER_se-appl'!I31</f>
        <v>1.9117183070921886</v>
      </c>
      <c r="J9" s="36">
        <f>'SER_se-appl'!J31</f>
        <v>1.9594764255365664</v>
      </c>
      <c r="K9" s="36">
        <f>'SER_se-appl'!K31</f>
        <v>2.1167311286321411</v>
      </c>
      <c r="L9" s="36">
        <f>'SER_se-appl'!L31</f>
        <v>2.1327816079628974</v>
      </c>
      <c r="M9" s="36">
        <f>'SER_se-appl'!M31</f>
        <v>2.195316677010954</v>
      </c>
      <c r="N9" s="36">
        <f>'SER_se-appl'!N31</f>
        <v>2.4461628801408075</v>
      </c>
      <c r="O9" s="36">
        <f>'SER_se-appl'!O31</f>
        <v>2.4943028031051782</v>
      </c>
      <c r="P9" s="36">
        <f>'SER_se-appl'!P31</f>
        <v>2.7774394345596924</v>
      </c>
      <c r="Q9" s="36">
        <f>'SER_se-appl'!Q31</f>
        <v>3.0372613082016215</v>
      </c>
      <c r="R9" s="36">
        <f>'SER_se-appl'!R31</f>
        <v>2.7732978882674288</v>
      </c>
      <c r="S9" s="36">
        <f>'SER_se-appl'!S31</f>
        <v>2.8273590825513146</v>
      </c>
      <c r="T9" s="36">
        <f>'SER_se-appl'!T31</f>
        <v>2.9059230251247392</v>
      </c>
      <c r="U9" s="36">
        <f>'SER_se-appl'!U31</f>
        <v>3.057600443956126</v>
      </c>
      <c r="V9" s="36">
        <f>'SER_se-appl'!V31</f>
        <v>3.0489089329380619</v>
      </c>
      <c r="W9" s="36">
        <f>'SER_se-appl'!W31</f>
        <v>3.0656583195991765</v>
      </c>
      <c r="X9" s="36">
        <f>'SER_se-appl'!X31</f>
        <v>3.2785287490018433</v>
      </c>
      <c r="Y9" s="36">
        <f>'SER_se-appl'!Y31</f>
        <v>3.4499114754011444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1.1345663409941587</v>
      </c>
      <c r="D10" s="38">
        <f>'SER_se-appl'!D39</f>
        <v>1.1584650565154533</v>
      </c>
      <c r="E10" s="38">
        <f>'SER_se-appl'!E39</f>
        <v>1.1828671790063812</v>
      </c>
      <c r="F10" s="38">
        <f>'SER_se-appl'!F39</f>
        <v>1.2077833123245796</v>
      </c>
      <c r="G10" s="38">
        <f>'SER_se-appl'!G39</f>
        <v>1.233224283689303</v>
      </c>
      <c r="H10" s="38">
        <f>'SER_se-appl'!H39</f>
        <v>1.2592011483863619</v>
      </c>
      <c r="I10" s="38">
        <f>'SER_se-appl'!I39</f>
        <v>1.2857251945721533</v>
      </c>
      <c r="J10" s="38">
        <f>'SER_se-appl'!J39</f>
        <v>1.3128079481788895</v>
      </c>
      <c r="K10" s="38">
        <f>'SER_se-appl'!K39</f>
        <v>1.3404611779231566</v>
      </c>
      <c r="L10" s="38">
        <f>'SER_se-appl'!L39</f>
        <v>1.368696900419959</v>
      </c>
      <c r="M10" s="38">
        <f>'SER_se-appl'!M39</f>
        <v>1.4883338056017621</v>
      </c>
      <c r="N10" s="38">
        <f>'SER_se-appl'!N39</f>
        <v>1.555621720828551</v>
      </c>
      <c r="O10" s="38">
        <f>'SER_se-appl'!O39</f>
        <v>1.5512748598238773</v>
      </c>
      <c r="P10" s="38">
        <f>'SER_se-appl'!P39</f>
        <v>1.660300545745411</v>
      </c>
      <c r="Q10" s="38">
        <f>'SER_se-appl'!Q39</f>
        <v>1.7260918704102259</v>
      </c>
      <c r="R10" s="38">
        <f>'SER_se-appl'!R39</f>
        <v>1.8569321397515566</v>
      </c>
      <c r="S10" s="38">
        <f>'SER_se-appl'!S39</f>
        <v>1.9117183070921868</v>
      </c>
      <c r="T10" s="38">
        <f>'SER_se-appl'!T39</f>
        <v>1.9594764255365682</v>
      </c>
      <c r="U10" s="38">
        <f>'SER_se-appl'!U39</f>
        <v>2.1167311286321429</v>
      </c>
      <c r="V10" s="38">
        <f>'SER_se-appl'!V39</f>
        <v>2.1327816079628974</v>
      </c>
      <c r="W10" s="38">
        <f>'SER_se-appl'!W39</f>
        <v>2.195316677010954</v>
      </c>
      <c r="X10" s="38">
        <f>'SER_se-appl'!X39</f>
        <v>2.4461628801408075</v>
      </c>
      <c r="Y10" s="38">
        <f>'SER_se-appl'!Y39</f>
        <v>2.4943028031051746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8759.9999999999982</v>
      </c>
      <c r="C12" s="204">
        <f>'SER_se-appl'!C47</f>
        <v>8760</v>
      </c>
      <c r="D12" s="204">
        <f>'SER_se-appl'!D47</f>
        <v>8760.0000000000018</v>
      </c>
      <c r="E12" s="204">
        <f>'SER_se-appl'!E47</f>
        <v>8759.9999999999982</v>
      </c>
      <c r="F12" s="204">
        <f>'SER_se-appl'!F47</f>
        <v>8759.9999999999982</v>
      </c>
      <c r="G12" s="204">
        <f>'SER_se-appl'!G47</f>
        <v>8760.0000000000018</v>
      </c>
      <c r="H12" s="204">
        <f>'SER_se-appl'!H47</f>
        <v>8760.0000000000018</v>
      </c>
      <c r="I12" s="204">
        <f>'SER_se-appl'!I47</f>
        <v>8759.9999999999945</v>
      </c>
      <c r="J12" s="204">
        <f>'SER_se-appl'!J47</f>
        <v>8760.0000000000036</v>
      </c>
      <c r="K12" s="204">
        <f>'SER_se-appl'!K47</f>
        <v>8760.0000000000018</v>
      </c>
      <c r="L12" s="204">
        <f>'SER_se-appl'!L47</f>
        <v>8759.9999999999982</v>
      </c>
      <c r="M12" s="204">
        <f>'SER_se-appl'!M47</f>
        <v>8760.0000000000036</v>
      </c>
      <c r="N12" s="204">
        <f>'SER_se-appl'!N47</f>
        <v>8759.9999999999982</v>
      </c>
      <c r="O12" s="204">
        <f>'SER_se-appl'!O47</f>
        <v>8760</v>
      </c>
      <c r="P12" s="204">
        <f>'SER_se-appl'!P47</f>
        <v>8760</v>
      </c>
      <c r="Q12" s="204">
        <f>'SER_se-appl'!Q47</f>
        <v>8759.9999999999982</v>
      </c>
      <c r="R12" s="204">
        <f>'SER_se-appl'!R47</f>
        <v>8760.0000000000018</v>
      </c>
      <c r="S12" s="204">
        <f>'SER_se-appl'!S47</f>
        <v>8760</v>
      </c>
      <c r="T12" s="204">
        <f>'SER_se-appl'!T47</f>
        <v>8760</v>
      </c>
      <c r="U12" s="204">
        <f>'SER_se-appl'!U47</f>
        <v>8760.0000000000018</v>
      </c>
      <c r="V12" s="204">
        <f>'SER_se-appl'!V47</f>
        <v>8760.0000000000018</v>
      </c>
      <c r="W12" s="204">
        <f>'SER_se-appl'!W47</f>
        <v>8760</v>
      </c>
      <c r="X12" s="204">
        <f>'SER_se-appl'!X47</f>
        <v>8760</v>
      </c>
      <c r="Y12" s="204">
        <f>'SER_se-appl'!Y47</f>
        <v>8760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651.10020777224406</v>
      </c>
      <c r="C14" s="59">
        <f>'SER_se-appl'!C55</f>
        <v>643.96249450371545</v>
      </c>
      <c r="D14" s="59">
        <f>'SER_se-appl'!D55</f>
        <v>634.9253343337997</v>
      </c>
      <c r="E14" s="59">
        <f>'SER_se-appl'!E55</f>
        <v>625.52535133972299</v>
      </c>
      <c r="F14" s="59">
        <f>'SER_se-appl'!F55</f>
        <v>615.34887047248117</v>
      </c>
      <c r="G14" s="59">
        <f>'SER_se-appl'!G55</f>
        <v>604.56513695714125</v>
      </c>
      <c r="H14" s="59">
        <f>'SER_se-appl'!H55</f>
        <v>592.98658923151197</v>
      </c>
      <c r="I14" s="59">
        <f>'SER_se-appl'!I55</f>
        <v>581.43728746033207</v>
      </c>
      <c r="J14" s="59">
        <f>'SER_se-appl'!J55</f>
        <v>569.18465497487136</v>
      </c>
      <c r="K14" s="59">
        <f>'SER_se-appl'!K55</f>
        <v>555.96155715888096</v>
      </c>
      <c r="L14" s="59">
        <f>'SER_se-appl'!L55</f>
        <v>542.13183274247672</v>
      </c>
      <c r="M14" s="59">
        <f>'SER_se-appl'!M55</f>
        <v>531.18273024381995</v>
      </c>
      <c r="N14" s="59">
        <f>'SER_se-appl'!N55</f>
        <v>520.74407943306039</v>
      </c>
      <c r="O14" s="59">
        <f>'SER_se-appl'!O55</f>
        <v>510.37626074791064</v>
      </c>
      <c r="P14" s="59">
        <f>'SER_se-appl'!P55</f>
        <v>498.71527623992341</v>
      </c>
      <c r="Q14" s="59">
        <f>'SER_se-appl'!Q55</f>
        <v>487.23133092731649</v>
      </c>
      <c r="R14" s="59">
        <f>'SER_se-appl'!R55</f>
        <v>476.81789565182999</v>
      </c>
      <c r="S14" s="59">
        <f>'SER_se-appl'!S55</f>
        <v>466.27163188378813</v>
      </c>
      <c r="T14" s="59">
        <f>'SER_se-appl'!T55</f>
        <v>455.91652013078732</v>
      </c>
      <c r="U14" s="59">
        <f>'SER_se-appl'!U55</f>
        <v>445.30184275569883</v>
      </c>
      <c r="V14" s="59">
        <f>'SER_se-appl'!V55</f>
        <v>435.23309402552371</v>
      </c>
      <c r="W14" s="59">
        <f>'SER_se-appl'!W55</f>
        <v>426.27817333516987</v>
      </c>
      <c r="X14" s="59">
        <f>'SER_se-appl'!X55</f>
        <v>416.79856750467877</v>
      </c>
      <c r="Y14" s="59">
        <f>'SER_se-appl'!Y55</f>
        <v>407.57352260673127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589.53413645398825</v>
      </c>
      <c r="D15" s="63">
        <f>'SER_se-appl'!D63</f>
        <v>572.39270624098651</v>
      </c>
      <c r="E15" s="63">
        <f>'SER_se-appl'!E63</f>
        <v>564.83042731643684</v>
      </c>
      <c r="F15" s="63">
        <f>'SER_se-appl'!F63</f>
        <v>557.97845797739774</v>
      </c>
      <c r="G15" s="63">
        <f>'SER_se-appl'!G63</f>
        <v>550.00015105680927</v>
      </c>
      <c r="H15" s="63">
        <f>'SER_se-appl'!H63</f>
        <v>541.67941434242584</v>
      </c>
      <c r="I15" s="63">
        <f>'SER_se-appl'!I63</f>
        <v>536.78573207644592</v>
      </c>
      <c r="J15" s="63">
        <f>'SER_se-appl'!J63</f>
        <v>525.44232594761672</v>
      </c>
      <c r="K15" s="63">
        <f>'SER_se-appl'!K63</f>
        <v>513.64198507318042</v>
      </c>
      <c r="L15" s="63">
        <f>'SER_se-appl'!L63</f>
        <v>500.56175756123042</v>
      </c>
      <c r="M15" s="63">
        <f>'SER_se-appl'!M63</f>
        <v>481.17106877135177</v>
      </c>
      <c r="N15" s="63">
        <f>'SER_se-appl'!N63</f>
        <v>473.93415860918122</v>
      </c>
      <c r="O15" s="63">
        <f>'SER_se-appl'!O63</f>
        <v>462.95305449633537</v>
      </c>
      <c r="P15" s="63">
        <f>'SER_se-appl'!P63</f>
        <v>448.07391094744048</v>
      </c>
      <c r="Q15" s="63">
        <f>'SER_se-appl'!Q63</f>
        <v>441.16905808053428</v>
      </c>
      <c r="R15" s="63">
        <f>'SER_se-appl'!R63</f>
        <v>434.15494059725728</v>
      </c>
      <c r="S15" s="63">
        <f>'SER_se-appl'!S63</f>
        <v>425.00797733346167</v>
      </c>
      <c r="T15" s="63">
        <f>'SER_se-appl'!T63</f>
        <v>414.56658527229939</v>
      </c>
      <c r="U15" s="63">
        <f>'SER_se-appl'!U63</f>
        <v>403.37049669393821</v>
      </c>
      <c r="V15" s="63">
        <f>'SER_se-appl'!V63</f>
        <v>392.93118855689886</v>
      </c>
      <c r="W15" s="63">
        <f>'SER_se-appl'!W63</f>
        <v>385.0725647857609</v>
      </c>
      <c r="X15" s="63">
        <f>'SER_se-appl'!X63</f>
        <v>377.21394101462289</v>
      </c>
      <c r="Y15" s="63">
        <f>'SER_se-appl'!Y63</f>
        <v>369.35531724348493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5.1759624710535581</v>
      </c>
      <c r="C3" s="198">
        <f>'SER_se-appl'!C8</f>
        <v>5.305111985355186</v>
      </c>
      <c r="D3" s="198">
        <f>'SER_se-appl'!D8</f>
        <v>5.4344487759246185</v>
      </c>
      <c r="E3" s="198">
        <f>'SER_se-appl'!E8</f>
        <v>5.5389666538178455</v>
      </c>
      <c r="F3" s="198">
        <f>'SER_se-appl'!F8</f>
        <v>5.6692759140561142</v>
      </c>
      <c r="G3" s="198">
        <f>'SER_se-appl'!G8</f>
        <v>5.8246613300118222</v>
      </c>
      <c r="H3" s="198">
        <f>'SER_se-appl'!H8</f>
        <v>5.9649898181517305</v>
      </c>
      <c r="I3" s="198">
        <f>'SER_se-appl'!I8</f>
        <v>6.1191305009667776</v>
      </c>
      <c r="J3" s="198">
        <f>'SER_se-appl'!J8</f>
        <v>6.2748940650398959</v>
      </c>
      <c r="K3" s="198">
        <f>'SER_se-appl'!K8</f>
        <v>6.413412689265904</v>
      </c>
      <c r="L3" s="198">
        <f>'SER_se-appl'!L8</f>
        <v>6.4891183372762198</v>
      </c>
      <c r="M3" s="198">
        <f>'SER_se-appl'!M8</f>
        <v>6.6105805233864006</v>
      </c>
      <c r="N3" s="198">
        <f>'SER_se-appl'!N8</f>
        <v>6.6918095637133428</v>
      </c>
      <c r="O3" s="198">
        <f>'SER_se-appl'!O8</f>
        <v>6.8009761119230143</v>
      </c>
      <c r="P3" s="198">
        <f>'SER_se-appl'!P8</f>
        <v>6.8971363587269137</v>
      </c>
      <c r="Q3" s="198">
        <f>'SER_se-appl'!Q8</f>
        <v>6.9204554404122636</v>
      </c>
      <c r="R3" s="198">
        <f>'SER_se-appl'!R8</f>
        <v>7.1081085789618301</v>
      </c>
      <c r="S3" s="198">
        <f>'SER_se-appl'!S8</f>
        <v>7.3197513170065323</v>
      </c>
      <c r="T3" s="198">
        <f>'SER_se-appl'!T8</f>
        <v>7.4535629846666733</v>
      </c>
      <c r="U3" s="198">
        <f>'SER_se-appl'!U8</f>
        <v>7.5917165157823145</v>
      </c>
      <c r="V3" s="198">
        <f>'SER_se-appl'!V8</f>
        <v>7.1853605527136857</v>
      </c>
      <c r="W3" s="198">
        <f>'SER_se-appl'!W8</f>
        <v>7.8680985690484944</v>
      </c>
      <c r="X3" s="198">
        <f>'SER_se-appl'!X8</f>
        <v>7.8963148538747774</v>
      </c>
      <c r="Y3" s="198">
        <f>'SER_se-appl'!Y8</f>
        <v>7.9286924597528117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70.632175965489097</v>
      </c>
      <c r="C5" s="59">
        <f>'SER_se-appl'!C16</f>
        <v>72.050398732872139</v>
      </c>
      <c r="D5" s="59">
        <f>'SER_se-appl'!D16</f>
        <v>73.486557674472763</v>
      </c>
      <c r="E5" s="59">
        <f>'SER_se-appl'!E16</f>
        <v>74.600725312436495</v>
      </c>
      <c r="F5" s="59">
        <f>'SER_se-appl'!F16</f>
        <v>76.073370605940767</v>
      </c>
      <c r="G5" s="59">
        <f>'SER_se-appl'!G16</f>
        <v>77.889260901144695</v>
      </c>
      <c r="H5" s="59">
        <f>'SER_se-appl'!H16</f>
        <v>79.508795554580601</v>
      </c>
      <c r="I5" s="59">
        <f>'SER_se-appl'!I16</f>
        <v>81.316510991854344</v>
      </c>
      <c r="J5" s="59">
        <f>'SER_se-appl'!J16</f>
        <v>83.148465748555111</v>
      </c>
      <c r="K5" s="59">
        <f>'SER_se-appl'!K16</f>
        <v>84.754540501413615</v>
      </c>
      <c r="L5" s="59">
        <f>'SER_se-appl'!L16</f>
        <v>85.535354836710425</v>
      </c>
      <c r="M5" s="59">
        <f>'SER_se-appl'!M16</f>
        <v>86.994792582283907</v>
      </c>
      <c r="N5" s="59">
        <f>'SER_se-appl'!N16</f>
        <v>87.927309497030279</v>
      </c>
      <c r="O5" s="59">
        <f>'SER_se-appl'!O16</f>
        <v>89.22939642281581</v>
      </c>
      <c r="P5" s="59">
        <f>'SER_se-appl'!P16</f>
        <v>90.362742776900788</v>
      </c>
      <c r="Q5" s="59">
        <f>'SER_se-appl'!Q16</f>
        <v>90.544966022708309</v>
      </c>
      <c r="R5" s="59">
        <f>'SER_se-appl'!R16</f>
        <v>92.76591288828125</v>
      </c>
      <c r="S5" s="59">
        <f>'SER_se-appl'!S16</f>
        <v>94.821634556399573</v>
      </c>
      <c r="T5" s="59">
        <f>'SER_se-appl'!T16</f>
        <v>96.851098639418879</v>
      </c>
      <c r="U5" s="59">
        <f>'SER_se-appl'!U16</f>
        <v>98.665730184666046</v>
      </c>
      <c r="V5" s="59">
        <f>'SER_se-appl'!V16</f>
        <v>100.22842141103337</v>
      </c>
      <c r="W5" s="59">
        <f>'SER_se-appl'!W16</f>
        <v>101.67530100977604</v>
      </c>
      <c r="X5" s="59">
        <f>'SER_se-appl'!X16</f>
        <v>102.76592529605601</v>
      </c>
      <c r="Y5" s="59">
        <f>'SER_se-appl'!Y16</f>
        <v>103.55569320059433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196.30797219671925</v>
      </c>
      <c r="C6" s="201">
        <f>'SER_se-appl'!C72</f>
        <v>199.36222279416589</v>
      </c>
      <c r="D6" s="201">
        <f>'SER_se-appl'!D72</f>
        <v>202.22801683653776</v>
      </c>
      <c r="E6" s="201">
        <f>'SER_se-appl'!E72</f>
        <v>205.3545701836259</v>
      </c>
      <c r="F6" s="201">
        <f>'SER_se-appl'!F72</f>
        <v>208.44856935593955</v>
      </c>
      <c r="G6" s="201">
        <f>'SER_se-appl'!G72</f>
        <v>212.14762493911368</v>
      </c>
      <c r="H6" s="201">
        <f>'SER_se-appl'!H72</f>
        <v>216.09512030302241</v>
      </c>
      <c r="I6" s="201">
        <f>'SER_se-appl'!I72</f>
        <v>220.5404764762346</v>
      </c>
      <c r="J6" s="201">
        <f>'SER_se-appl'!J72</f>
        <v>225.61954883140916</v>
      </c>
      <c r="K6" s="201">
        <f>'SER_se-appl'!K72</f>
        <v>230.451449985274</v>
      </c>
      <c r="L6" s="201">
        <f>'SER_se-appl'!L72</f>
        <v>233.62101873641214</v>
      </c>
      <c r="M6" s="201">
        <f>'SER_se-appl'!M72</f>
        <v>236.5357517693264</v>
      </c>
      <c r="N6" s="201">
        <f>'SER_se-appl'!N72</f>
        <v>238.58388560928819</v>
      </c>
      <c r="O6" s="201">
        <f>'SER_se-appl'!O72</f>
        <v>241.45664290388635</v>
      </c>
      <c r="P6" s="201">
        <f>'SER_se-appl'!P72</f>
        <v>244.15998622372035</v>
      </c>
      <c r="Q6" s="201">
        <f>'SER_se-appl'!Q72</f>
        <v>246.06735007703284</v>
      </c>
      <c r="R6" s="201">
        <f>'SER_se-appl'!R72</f>
        <v>249.50343816120741</v>
      </c>
      <c r="S6" s="201">
        <f>'SER_se-appl'!S72</f>
        <v>252.94255437863796</v>
      </c>
      <c r="T6" s="201">
        <f>'SER_se-appl'!T72</f>
        <v>256.36868376090217</v>
      </c>
      <c r="U6" s="201">
        <f>'SER_se-appl'!U72</f>
        <v>259.77211300798399</v>
      </c>
      <c r="V6" s="201">
        <f>'SER_se-appl'!V72</f>
        <v>263.13476218779522</v>
      </c>
      <c r="W6" s="201">
        <f>'SER_se-appl'!W72</f>
        <v>266.36002616981142</v>
      </c>
      <c r="X6" s="201">
        <f>'SER_se-appl'!X72</f>
        <v>268.96867745281054</v>
      </c>
      <c r="Y6" s="201">
        <f>'SER_se-appl'!Y72</f>
        <v>271.07398132244873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1.5614563732958959</v>
      </c>
      <c r="C8" s="34">
        <f>'SER_se-appl'!C24</f>
        <v>1.5973730522435239</v>
      </c>
      <c r="D8" s="34">
        <f>'SER_se-appl'!D24</f>
        <v>1.634595824230284</v>
      </c>
      <c r="E8" s="34">
        <f>'SER_se-appl'!E24</f>
        <v>1.6651697017103262</v>
      </c>
      <c r="F8" s="34">
        <f>'SER_se-appl'!F24</f>
        <v>1.7052328599621829</v>
      </c>
      <c r="G8" s="34">
        <f>'SER_se-appl'!G24</f>
        <v>1.7545492716425486</v>
      </c>
      <c r="H8" s="34">
        <f>'SER_se-appl'!H24</f>
        <v>1.8003689927508932</v>
      </c>
      <c r="I8" s="34">
        <f>'SER_se-appl'!I24</f>
        <v>1.852570754879191</v>
      </c>
      <c r="J8" s="34">
        <f>'SER_se-appl'!J24</f>
        <v>1.9074363784670245</v>
      </c>
      <c r="K8" s="34">
        <f>'SER_se-appl'!K24</f>
        <v>1.9596306178674054</v>
      </c>
      <c r="L8" s="34">
        <f>'SER_se-appl'!L24</f>
        <v>1.9949068565773007</v>
      </c>
      <c r="M8" s="34">
        <f>'SER_se-appl'!M24</f>
        <v>2.053110254326441</v>
      </c>
      <c r="N8" s="34">
        <f>'SER_se-appl'!N24</f>
        <v>2.1050525260792901</v>
      </c>
      <c r="O8" s="34">
        <f>'SER_se-appl'!O24</f>
        <v>2.1760196199831907</v>
      </c>
      <c r="P8" s="34">
        <f>'SER_se-appl'!P24</f>
        <v>2.2529402236276574</v>
      </c>
      <c r="Q8" s="34">
        <f>'SER_se-appl'!Q24</f>
        <v>2.3159842174788894</v>
      </c>
      <c r="R8" s="34">
        <f>'SER_se-appl'!R24</f>
        <v>2.3991641420699152</v>
      </c>
      <c r="S8" s="34">
        <f>'SER_se-appl'!S24</f>
        <v>2.4810886841632582</v>
      </c>
      <c r="T8" s="34">
        <f>'SER_se-appl'!T24</f>
        <v>2.5643151673986591</v>
      </c>
      <c r="U8" s="34">
        <f>'SER_se-appl'!U24</f>
        <v>2.6483882847049967</v>
      </c>
      <c r="V8" s="34">
        <f>'SER_se-appl'!V24</f>
        <v>2.7326360858869005</v>
      </c>
      <c r="W8" s="34">
        <f>'SER_se-appl'!W24</f>
        <v>2.8158435877769112</v>
      </c>
      <c r="X8" s="34">
        <f>'SER_se-appl'!X24</f>
        <v>2.8931668111202367</v>
      </c>
      <c r="Y8" s="34">
        <f>'SER_se-appl'!Y24</f>
        <v>2.9654542022181944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8.039078912404185E-2</v>
      </c>
      <c r="D9" s="36">
        <f>'SER_se-appl'!D32</f>
        <v>8.6701619429403687E-2</v>
      </c>
      <c r="E9" s="36">
        <f>'SER_se-appl'!E32</f>
        <v>8.5620652660959307E-2</v>
      </c>
      <c r="F9" s="36">
        <f>'SER_se-appl'!F32</f>
        <v>0.10130442829823383</v>
      </c>
      <c r="G9" s="36">
        <f>'SER_se-appl'!G32</f>
        <v>0.11744925224308522</v>
      </c>
      <c r="H9" s="36">
        <f>'SER_se-appl'!H32</f>
        <v>0.12161965079023362</v>
      </c>
      <c r="I9" s="36">
        <f>'SER_se-appl'!I32</f>
        <v>0.13653156978529957</v>
      </c>
      <c r="J9" s="36">
        <f>'SER_se-appl'!J32</f>
        <v>0.14868518897941052</v>
      </c>
      <c r="K9" s="36">
        <f>'SER_se-appl'!K32</f>
        <v>0.15657145897220293</v>
      </c>
      <c r="L9" s="36">
        <f>'SER_se-appl'!L32</f>
        <v>0.15139918087098159</v>
      </c>
      <c r="M9" s="36">
        <f>'SER_se-appl'!M32</f>
        <v>0.18739382600028054</v>
      </c>
      <c r="N9" s="36">
        <f>'SER_se-appl'!N32</f>
        <v>0.19567068959262746</v>
      </c>
      <c r="O9" s="36">
        <f>'SER_se-appl'!O32</f>
        <v>0.23086948276020181</v>
      </c>
      <c r="P9" s="36">
        <f>'SER_se-appl'!P32</f>
        <v>0.25481704435012187</v>
      </c>
      <c r="Q9" s="36">
        <f>'SER_se-appl'!Q32</f>
        <v>0.2609593836218056</v>
      </c>
      <c r="R9" s="36">
        <f>'SER_se-appl'!R32</f>
        <v>0.16357071371506793</v>
      </c>
      <c r="S9" s="36">
        <f>'SER_se-appl'!S32</f>
        <v>0.1686261615227469</v>
      </c>
      <c r="T9" s="36">
        <f>'SER_se-appl'!T32</f>
        <v>0.16884713589636036</v>
      </c>
      <c r="U9" s="36">
        <f>'SER_se-appl'!U32</f>
        <v>0.18537754560457165</v>
      </c>
      <c r="V9" s="36">
        <f>'SER_se-appl'!V32</f>
        <v>0.20169705342498911</v>
      </c>
      <c r="W9" s="36">
        <f>'SER_se-appl'!W32</f>
        <v>0.20482715268024432</v>
      </c>
      <c r="X9" s="36">
        <f>'SER_se-appl'!X32</f>
        <v>0.21385479312862499</v>
      </c>
      <c r="Y9" s="36">
        <f>'SER_se-appl'!Y32</f>
        <v>0.22097258007736809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4.4474110176413895E-2</v>
      </c>
      <c r="D10" s="38">
        <f>'SER_se-appl'!D40</f>
        <v>4.9478847442643525E-2</v>
      </c>
      <c r="E10" s="38">
        <f>'SER_se-appl'!E40</f>
        <v>5.5046775180917162E-2</v>
      </c>
      <c r="F10" s="38">
        <f>'SER_se-appl'!F40</f>
        <v>6.1241270046377139E-2</v>
      </c>
      <c r="G10" s="38">
        <f>'SER_se-appl'!G40</f>
        <v>6.813284056271951E-2</v>
      </c>
      <c r="H10" s="38">
        <f>'SER_se-appl'!H40</f>
        <v>7.5799929681888978E-2</v>
      </c>
      <c r="I10" s="38">
        <f>'SER_se-appl'!I40</f>
        <v>8.4329807657001821E-2</v>
      </c>
      <c r="J10" s="38">
        <f>'SER_se-appl'!J40</f>
        <v>9.3819565391576987E-2</v>
      </c>
      <c r="K10" s="38">
        <f>'SER_se-appl'!K40</f>
        <v>0.104377219571822</v>
      </c>
      <c r="L10" s="38">
        <f>'SER_se-appl'!L40</f>
        <v>0.1161229421610861</v>
      </c>
      <c r="M10" s="38">
        <f>'SER_se-appl'!M40</f>
        <v>0.12919042825114024</v>
      </c>
      <c r="N10" s="38">
        <f>'SER_se-appl'!N40</f>
        <v>0.14372841783977819</v>
      </c>
      <c r="O10" s="38">
        <f>'SER_se-appl'!O40</f>
        <v>0.15990238885630115</v>
      </c>
      <c r="P10" s="38">
        <f>'SER_se-appl'!P40</f>
        <v>0.17789644070565513</v>
      </c>
      <c r="Q10" s="38">
        <f>'SER_se-appl'!Q40</f>
        <v>0.19791538977057366</v>
      </c>
      <c r="R10" s="38">
        <f>'SER_se-appl'!R40</f>
        <v>8.0390789124042072E-2</v>
      </c>
      <c r="S10" s="38">
        <f>'SER_se-appl'!S40</f>
        <v>8.6701619429403909E-2</v>
      </c>
      <c r="T10" s="38">
        <f>'SER_se-appl'!T40</f>
        <v>8.5620652660959529E-2</v>
      </c>
      <c r="U10" s="38">
        <f>'SER_se-appl'!U40</f>
        <v>0.10130442829823405</v>
      </c>
      <c r="V10" s="38">
        <f>'SER_se-appl'!V40</f>
        <v>0.11744925224308522</v>
      </c>
      <c r="W10" s="38">
        <f>'SER_se-appl'!W40</f>
        <v>0.12161965079023362</v>
      </c>
      <c r="X10" s="38">
        <f>'SER_se-appl'!X40</f>
        <v>0.13653156978529957</v>
      </c>
      <c r="Y10" s="38">
        <f>'SER_se-appl'!Y40</f>
        <v>0.1486851889794103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852.25242908791142</v>
      </c>
      <c r="C12" s="204">
        <f>'SER_se-appl'!C48</f>
        <v>856.32353845019907</v>
      </c>
      <c r="D12" s="204">
        <f>'SER_se-appl'!D48</f>
        <v>860.05714873698867</v>
      </c>
      <c r="E12" s="204">
        <f>'SER_se-appl'!E48</f>
        <v>863.50611088713572</v>
      </c>
      <c r="F12" s="204">
        <f>'SER_se-appl'!F48</f>
        <v>866.71168051706752</v>
      </c>
      <c r="G12" s="204">
        <f>'SER_se-appl'!G48</f>
        <v>869.7066897837509</v>
      </c>
      <c r="H12" s="204">
        <f>'SER_se-appl'!H48</f>
        <v>872.51770198785221</v>
      </c>
      <c r="I12" s="204">
        <f>'SER_se-appl'!I48</f>
        <v>875.16651733093204</v>
      </c>
      <c r="J12" s="204">
        <f>'SER_se-appl'!J48</f>
        <v>877.671251290432</v>
      </c>
      <c r="K12" s="204">
        <f>'SER_se-appl'!K48</f>
        <v>880.04712355107881</v>
      </c>
      <c r="L12" s="204">
        <f>'SER_se-appl'!L48</f>
        <v>882.30704609332577</v>
      </c>
      <c r="M12" s="204">
        <f>'SER_se-appl'!M48</f>
        <v>883.74314375502411</v>
      </c>
      <c r="N12" s="204">
        <f>'SER_se-appl'!N48</f>
        <v>885.11459831049103</v>
      </c>
      <c r="O12" s="204">
        <f>'SER_se-appl'!O48</f>
        <v>886.42706722871094</v>
      </c>
      <c r="P12" s="204">
        <f>'SER_se-appl'!P48</f>
        <v>887.68549279248805</v>
      </c>
      <c r="Q12" s="204">
        <f>'SER_se-appl'!Q48</f>
        <v>888.89421805966924</v>
      </c>
      <c r="R12" s="204">
        <f>'SER_se-appl'!R48</f>
        <v>891.13878362716048</v>
      </c>
      <c r="S12" s="204">
        <f>'SER_se-appl'!S48</f>
        <v>897.77726586385427</v>
      </c>
      <c r="T12" s="204">
        <f>'SER_se-appl'!T48</f>
        <v>895.03308407894735</v>
      </c>
      <c r="U12" s="204">
        <f>'SER_se-appl'!U48</f>
        <v>894.85643002183951</v>
      </c>
      <c r="V12" s="204">
        <f>'SER_se-appl'!V48</f>
        <v>833.75296200026821</v>
      </c>
      <c r="W12" s="204">
        <f>'SER_se-appl'!W48</f>
        <v>899.98244853227163</v>
      </c>
      <c r="X12" s="204">
        <f>'SER_se-appl'!X48</f>
        <v>893.62443325451295</v>
      </c>
      <c r="Y12" s="204">
        <f>'SER_se-appl'!Y48</f>
        <v>890.44542561563367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45.234805898803231</v>
      </c>
      <c r="C14" s="59">
        <f>'SER_se-appl'!C56</f>
        <v>45.105555419053019</v>
      </c>
      <c r="D14" s="59">
        <f>'SER_se-appl'!D56</f>
        <v>44.957020313615999</v>
      </c>
      <c r="E14" s="59">
        <f>'SER_se-appl'!E56</f>
        <v>44.80067421105052</v>
      </c>
      <c r="F14" s="59">
        <f>'SER_se-appl'!F56</f>
        <v>44.611719837270698</v>
      </c>
      <c r="G14" s="59">
        <f>'SER_se-appl'!G56</f>
        <v>44.392746422120965</v>
      </c>
      <c r="H14" s="59">
        <f>'SER_se-appl'!H56</f>
        <v>44.162499951242928</v>
      </c>
      <c r="I14" s="59">
        <f>'SER_se-appl'!I56</f>
        <v>43.893875997819649</v>
      </c>
      <c r="J14" s="59">
        <f>'SER_se-appl'!J56</f>
        <v>43.591737416364147</v>
      </c>
      <c r="K14" s="59">
        <f>'SER_se-appl'!K56</f>
        <v>43.250263457124838</v>
      </c>
      <c r="L14" s="59">
        <f>'SER_se-appl'!L56</f>
        <v>42.876866433486043</v>
      </c>
      <c r="M14" s="59">
        <f>'SER_se-appl'!M56</f>
        <v>42.372197206147646</v>
      </c>
      <c r="N14" s="59">
        <f>'SER_se-appl'!N56</f>
        <v>41.769651069371157</v>
      </c>
      <c r="O14" s="59">
        <f>'SER_se-appl'!O56</f>
        <v>41.005786714140513</v>
      </c>
      <c r="P14" s="59">
        <f>'SER_se-appl'!P56</f>
        <v>40.108806185456523</v>
      </c>
      <c r="Q14" s="59">
        <f>'SER_se-appl'!Q56</f>
        <v>39.095674892496817</v>
      </c>
      <c r="R14" s="59">
        <f>'SER_se-appl'!R56</f>
        <v>38.665930046889599</v>
      </c>
      <c r="S14" s="59">
        <f>'SER_se-appl'!S56</f>
        <v>38.217753021745757</v>
      </c>
      <c r="T14" s="59">
        <f>'SER_se-appl'!T56</f>
        <v>37.768796858799689</v>
      </c>
      <c r="U14" s="59">
        <f>'SER_se-appl'!U56</f>
        <v>37.255009303009508</v>
      </c>
      <c r="V14" s="59">
        <f>'SER_se-appl'!V56</f>
        <v>36.678290947220425</v>
      </c>
      <c r="W14" s="59">
        <f>'SER_se-appl'!W56</f>
        <v>36.108291472981982</v>
      </c>
      <c r="X14" s="59">
        <f>'SER_se-appl'!X56</f>
        <v>35.520221267941672</v>
      </c>
      <c r="Y14" s="59">
        <f>'SER_se-appl'!Y56</f>
        <v>34.920685378696277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42.666585887627996</v>
      </c>
      <c r="D15" s="63">
        <f>'SER_se-appl'!D64</f>
        <v>42.378966228617074</v>
      </c>
      <c r="E15" s="63">
        <f>'SER_se-appl'!E64</f>
        <v>42.094958594855377</v>
      </c>
      <c r="F15" s="63">
        <f>'SER_se-appl'!F64</f>
        <v>41.882495447854986</v>
      </c>
      <c r="G15" s="63">
        <f>'SER_se-appl'!G64</f>
        <v>41.701977831715247</v>
      </c>
      <c r="H15" s="63">
        <f>'SER_se-appl'!H64</f>
        <v>41.509161775561502</v>
      </c>
      <c r="I15" s="63">
        <f>'SER_se-appl'!I64</f>
        <v>41.179911188034801</v>
      </c>
      <c r="J15" s="63">
        <f>'SER_se-appl'!J64</f>
        <v>40.863953083721171</v>
      </c>
      <c r="K15" s="63">
        <f>'SER_se-appl'!K64</f>
        <v>40.413227685193917</v>
      </c>
      <c r="L15" s="63">
        <f>'SER_se-appl'!L64</f>
        <v>39.852349594237076</v>
      </c>
      <c r="M15" s="63">
        <f>'SER_se-appl'!M64</f>
        <v>38.973224718119333</v>
      </c>
      <c r="N15" s="63">
        <f>'SER_se-appl'!N64</f>
        <v>37.992629419091692</v>
      </c>
      <c r="O15" s="63">
        <f>'SER_se-appl'!O64</f>
        <v>36.969981248325581</v>
      </c>
      <c r="P15" s="63">
        <f>'SER_se-appl'!P64</f>
        <v>36.027642275291306</v>
      </c>
      <c r="Q15" s="63">
        <f>'SER_se-appl'!Q64</f>
        <v>35.005016335048154</v>
      </c>
      <c r="R15" s="63">
        <f>'SER_se-appl'!R64</f>
        <v>34.547427506807324</v>
      </c>
      <c r="S15" s="63">
        <f>'SER_se-appl'!S64</f>
        <v>33.980769164993973</v>
      </c>
      <c r="T15" s="63">
        <f>'SER_se-appl'!T64</f>
        <v>33.365457351345654</v>
      </c>
      <c r="U15" s="63">
        <f>'SER_se-appl'!U64</f>
        <v>32.676631803167609</v>
      </c>
      <c r="V15" s="63">
        <f>'SER_se-appl'!V64</f>
        <v>32.030995148685477</v>
      </c>
      <c r="W15" s="63">
        <f>'SER_se-appl'!W64</f>
        <v>31.710685197198622</v>
      </c>
      <c r="X15" s="63">
        <f>'SER_se-appl'!X64</f>
        <v>31.390375245711766</v>
      </c>
      <c r="Y15" s="63">
        <f>'SER_se-appl'!Y64</f>
        <v>31.070065294224911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12.812381719522012</v>
      </c>
      <c r="C3" s="198">
        <f>'SER_se-appl'!C9</f>
        <v>14.681628335431878</v>
      </c>
      <c r="D3" s="198">
        <f>'SER_se-appl'!D9</f>
        <v>16.542212293504527</v>
      </c>
      <c r="E3" s="198">
        <f>'SER_se-appl'!E9</f>
        <v>18.400882754617786</v>
      </c>
      <c r="F3" s="198">
        <f>'SER_se-appl'!F9</f>
        <v>20.426003454892474</v>
      </c>
      <c r="G3" s="198">
        <f>'SER_se-appl'!G9</f>
        <v>22.29727086476181</v>
      </c>
      <c r="H3" s="198">
        <f>'SER_se-appl'!H9</f>
        <v>23.881508308729703</v>
      </c>
      <c r="I3" s="198">
        <f>'SER_se-appl'!I9</f>
        <v>25.271517299732409</v>
      </c>
      <c r="J3" s="198">
        <f>'SER_se-appl'!J9</f>
        <v>26.552302076461128</v>
      </c>
      <c r="K3" s="198">
        <f>'SER_se-appl'!K9</f>
        <v>27.700343385505683</v>
      </c>
      <c r="L3" s="198">
        <f>'SER_se-appl'!L9</f>
        <v>28.842362265679991</v>
      </c>
      <c r="M3" s="198">
        <f>'SER_se-appl'!M9</f>
        <v>30.406987266566759</v>
      </c>
      <c r="N3" s="198">
        <f>'SER_se-appl'!N9</f>
        <v>31.00418537485762</v>
      </c>
      <c r="O3" s="198">
        <f>'SER_se-appl'!O9</f>
        <v>31.396951279766931</v>
      </c>
      <c r="P3" s="198">
        <f>'SER_se-appl'!P9</f>
        <v>31.748804801236268</v>
      </c>
      <c r="Q3" s="198">
        <f>'SER_se-appl'!Q9</f>
        <v>32.109520818532246</v>
      </c>
      <c r="R3" s="198">
        <f>'SER_se-appl'!R9</f>
        <v>32.421434932244154</v>
      </c>
      <c r="S3" s="198">
        <f>'SER_se-appl'!S9</f>
        <v>32.82144647232758</v>
      </c>
      <c r="T3" s="198">
        <f>'SER_se-appl'!T9</f>
        <v>33.208529026660578</v>
      </c>
      <c r="U3" s="198">
        <f>'SER_se-appl'!U9</f>
        <v>33.647652205590475</v>
      </c>
      <c r="V3" s="198">
        <f>'SER_se-appl'!V9</f>
        <v>33.831313254841078</v>
      </c>
      <c r="W3" s="198">
        <f>'SER_se-appl'!W9</f>
        <v>34.667494218275856</v>
      </c>
      <c r="X3" s="198">
        <f>'SER_se-appl'!X9</f>
        <v>35.125162559118046</v>
      </c>
      <c r="Y3" s="198">
        <f>'SER_se-appl'!Y9</f>
        <v>35.519068813330342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48.774571108540115</v>
      </c>
      <c r="C5" s="59">
        <f>'SER_se-appl'!C17</f>
        <v>53.160942171607537</v>
      </c>
      <c r="D5" s="59">
        <f>'SER_se-appl'!D17</f>
        <v>57.231563923612747</v>
      </c>
      <c r="E5" s="59">
        <f>'SER_se-appl'!E17</f>
        <v>61.433252291236272</v>
      </c>
      <c r="F5" s="59">
        <f>'SER_se-appl'!F17</f>
        <v>66.856871154530111</v>
      </c>
      <c r="G5" s="59">
        <f>'SER_se-appl'!G17</f>
        <v>71.768004637281976</v>
      </c>
      <c r="H5" s="59">
        <f>'SER_se-appl'!H17</f>
        <v>75.906493739527804</v>
      </c>
      <c r="I5" s="59">
        <f>'SER_se-appl'!I17</f>
        <v>79.427450636597101</v>
      </c>
      <c r="J5" s="59">
        <f>'SER_se-appl'!J17</f>
        <v>82.519152694753942</v>
      </c>
      <c r="K5" s="59">
        <f>'SER_se-appl'!K17</f>
        <v>85.040922961690512</v>
      </c>
      <c r="L5" s="59">
        <f>'SER_se-appl'!L17</f>
        <v>87.182962744175867</v>
      </c>
      <c r="M5" s="59">
        <f>'SER_se-appl'!M17</f>
        <v>89.878379595136479</v>
      </c>
      <c r="N5" s="59">
        <f>'SER_se-appl'!N17</f>
        <v>90.927354150074464</v>
      </c>
      <c r="O5" s="59">
        <f>'SER_se-appl'!O17</f>
        <v>90.827758982793</v>
      </c>
      <c r="P5" s="59">
        <f>'SER_se-appl'!P17</f>
        <v>90.450264206699842</v>
      </c>
      <c r="Q5" s="59">
        <f>'SER_se-appl'!Q17</f>
        <v>90.178593768512201</v>
      </c>
      <c r="R5" s="59">
        <f>'SER_se-appl'!R17</f>
        <v>89.776898412889722</v>
      </c>
      <c r="S5" s="59">
        <f>'SER_se-appl'!S17</f>
        <v>89.674520307451502</v>
      </c>
      <c r="T5" s="59">
        <f>'SER_se-appl'!T17</f>
        <v>90.045204472178497</v>
      </c>
      <c r="U5" s="59">
        <f>'SER_se-appl'!U17</f>
        <v>90.628857676432006</v>
      </c>
      <c r="V5" s="59">
        <f>'SER_se-appl'!V17</f>
        <v>91.511409828271553</v>
      </c>
      <c r="W5" s="59">
        <f>'SER_se-appl'!W17</f>
        <v>92.320636378842565</v>
      </c>
      <c r="X5" s="59">
        <f>'SER_se-appl'!X17</f>
        <v>93.236687455867198</v>
      </c>
      <c r="Y5" s="59">
        <f>'SER_se-appl'!Y17</f>
        <v>94.236208043412645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0.32726313779573352</v>
      </c>
      <c r="C6" s="201">
        <f>'SER_se-appl'!C73</f>
        <v>0.35921441037123364</v>
      </c>
      <c r="D6" s="201">
        <f>'SER_se-appl'!D73</f>
        <v>0.39258780420011669</v>
      </c>
      <c r="E6" s="201">
        <f>'SER_se-appl'!E73</f>
        <v>0.43034713099533595</v>
      </c>
      <c r="F6" s="201">
        <f>'SER_se-appl'!F73</f>
        <v>0.48010531686425995</v>
      </c>
      <c r="G6" s="201">
        <f>'SER_se-appl'!G73</f>
        <v>0.53047907003597594</v>
      </c>
      <c r="H6" s="201">
        <f>'SER_se-appl'!H73</f>
        <v>0.58091798126463889</v>
      </c>
      <c r="I6" s="201">
        <f>'SER_se-appl'!I73</f>
        <v>0.63091618621312051</v>
      </c>
      <c r="J6" s="201">
        <f>'SER_se-appl'!J73</f>
        <v>0.68255244816941063</v>
      </c>
      <c r="K6" s="201">
        <f>'SER_se-appl'!K73</f>
        <v>0.73374948943070828</v>
      </c>
      <c r="L6" s="201">
        <f>'SER_se-appl'!L73</f>
        <v>0.79226661098694873</v>
      </c>
      <c r="M6" s="201">
        <f>'SER_se-appl'!M73</f>
        <v>0.87421597276944285</v>
      </c>
      <c r="N6" s="201">
        <f>'SER_se-appl'!N73</f>
        <v>0.927623801059133</v>
      </c>
      <c r="O6" s="201">
        <f>'SER_se-appl'!O73</f>
        <v>0.96795552614168079</v>
      </c>
      <c r="P6" s="201">
        <f>'SER_se-appl'!P73</f>
        <v>1.0113956352066438</v>
      </c>
      <c r="Q6" s="201">
        <f>'SER_se-appl'!Q73</f>
        <v>1.0479561721774873</v>
      </c>
      <c r="R6" s="201">
        <f>'SER_se-appl'!R73</f>
        <v>1.0873684528555043</v>
      </c>
      <c r="S6" s="201">
        <f>'SER_se-appl'!S73</f>
        <v>1.1158950551461708</v>
      </c>
      <c r="T6" s="201">
        <f>'SER_se-appl'!T73</f>
        <v>1.1476906799980342</v>
      </c>
      <c r="U6" s="201">
        <f>'SER_se-appl'!U73</f>
        <v>1.1731130015000617</v>
      </c>
      <c r="V6" s="201">
        <f>'SER_se-appl'!V73</f>
        <v>1.1941156290209283</v>
      </c>
      <c r="W6" s="201">
        <f>'SER_se-appl'!W73</f>
        <v>1.2273679271114464</v>
      </c>
      <c r="X6" s="201">
        <f>'SER_se-appl'!X73</f>
        <v>1.2516219151801495</v>
      </c>
      <c r="Y6" s="201">
        <f>'SER_se-appl'!Y73</f>
        <v>1.2636143648561462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141.90129654823005</v>
      </c>
      <c r="C8" s="34">
        <f>'SER_se-appl'!C25</f>
        <v>157.69512615297157</v>
      </c>
      <c r="D8" s="34">
        <f>'SER_se-appl'!D25</f>
        <v>174.32861445506182</v>
      </c>
      <c r="E8" s="34">
        <f>'SER_se-appl'!E25</f>
        <v>192.92461882520911</v>
      </c>
      <c r="F8" s="34">
        <f>'SER_se-appl'!F25</f>
        <v>218.4287149605637</v>
      </c>
      <c r="G8" s="34">
        <f>'SER_se-appl'!G25</f>
        <v>244.67286147269317</v>
      </c>
      <c r="H8" s="34">
        <f>'SER_se-appl'!H25</f>
        <v>272.5004921595044</v>
      </c>
      <c r="I8" s="34">
        <f>'SER_se-appl'!I25</f>
        <v>300.43408596426718</v>
      </c>
      <c r="J8" s="34">
        <f>'SER_se-appl'!J25</f>
        <v>330.21819187191267</v>
      </c>
      <c r="K8" s="34">
        <f>'SER_se-appl'!K25</f>
        <v>362.10537303405454</v>
      </c>
      <c r="L8" s="34">
        <f>'SER_se-appl'!L25</f>
        <v>397.77012831177342</v>
      </c>
      <c r="M8" s="34">
        <f>'SER_se-appl'!M25</f>
        <v>447.45870350231161</v>
      </c>
      <c r="N8" s="34">
        <f>'SER_se-appl'!N25</f>
        <v>486.86613485728913</v>
      </c>
      <c r="O8" s="34">
        <f>'SER_se-appl'!O25</f>
        <v>519.82986780360216</v>
      </c>
      <c r="P8" s="34">
        <f>'SER_se-appl'!P25</f>
        <v>555.9439527603879</v>
      </c>
      <c r="Q8" s="34">
        <f>'SER_se-appl'!Q25</f>
        <v>589.95531077669386</v>
      </c>
      <c r="R8" s="34">
        <f>'SER_se-appl'!R25</f>
        <v>626.59498358953147</v>
      </c>
      <c r="S8" s="34">
        <f>'SER_se-appl'!S25</f>
        <v>659.12238453802331</v>
      </c>
      <c r="T8" s="34">
        <f>'SER_se-appl'!T25</f>
        <v>690.91552781221651</v>
      </c>
      <c r="U8" s="34">
        <f>'SER_se-appl'!U25</f>
        <v>720.1670329428789</v>
      </c>
      <c r="V8" s="34">
        <f>'SER_se-appl'!V25</f>
        <v>747.6453482550354</v>
      </c>
      <c r="W8" s="34">
        <f>'SER_se-appl'!W25</f>
        <v>779.04724437544837</v>
      </c>
      <c r="X8" s="34">
        <f>'SER_se-appl'!X25</f>
        <v>807.79302919152292</v>
      </c>
      <c r="Y8" s="34">
        <f>'SER_se-appl'!Y25</f>
        <v>835.00774482622512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44.174088914387525</v>
      </c>
      <c r="D9" s="36">
        <f>'SER_se-appl'!D33</f>
        <v>45.013747611736278</v>
      </c>
      <c r="E9" s="36">
        <f>'SER_se-appl'!E33</f>
        <v>46.976263679793306</v>
      </c>
      <c r="F9" s="36">
        <f>'SER_se-appl'!F33</f>
        <v>53.884355445000608</v>
      </c>
      <c r="G9" s="36">
        <f>'SER_se-appl'!G33</f>
        <v>54.624405821775497</v>
      </c>
      <c r="H9" s="36">
        <f>'SER_se-appl'!H33</f>
        <v>72.001719601198772</v>
      </c>
      <c r="I9" s="36">
        <f>'SER_se-appl'!I33</f>
        <v>72.947341416499057</v>
      </c>
      <c r="J9" s="36">
        <f>'SER_se-appl'!J33</f>
        <v>76.760369587438788</v>
      </c>
      <c r="K9" s="36">
        <f>'SER_se-appl'!K33</f>
        <v>85.77153660714248</v>
      </c>
      <c r="L9" s="36">
        <f>'SER_se-appl'!L33</f>
        <v>90.289161099494379</v>
      </c>
      <c r="M9" s="36">
        <f>'SER_se-appl'!M33</f>
        <v>121.69029479173696</v>
      </c>
      <c r="N9" s="36">
        <f>'SER_se-appl'!N33</f>
        <v>112.35477277147658</v>
      </c>
      <c r="O9" s="36">
        <f>'SER_se-appl'!O33</f>
        <v>109.72410253375182</v>
      </c>
      <c r="P9" s="36">
        <f>'SER_se-appl'!P33</f>
        <v>121.88562156392823</v>
      </c>
      <c r="Q9" s="36">
        <f>'SER_se-appl'!Q33</f>
        <v>124.30051911580034</v>
      </c>
      <c r="R9" s="36">
        <f>'SER_se-appl'!R33</f>
        <v>158.32996760457456</v>
      </c>
      <c r="S9" s="36">
        <f>'SER_se-appl'!S33</f>
        <v>144.88217371996836</v>
      </c>
      <c r="T9" s="36">
        <f>'SER_se-appl'!T33</f>
        <v>141.51724580794496</v>
      </c>
      <c r="U9" s="36">
        <f>'SER_se-appl'!U33</f>
        <v>151.13712669459062</v>
      </c>
      <c r="V9" s="36">
        <f>'SER_se-appl'!V33</f>
        <v>151.77883442795689</v>
      </c>
      <c r="W9" s="36">
        <f>'SER_se-appl'!W33</f>
        <v>189.73186372498753</v>
      </c>
      <c r="X9" s="36">
        <f>'SER_se-appl'!X33</f>
        <v>173.62795853604291</v>
      </c>
      <c r="Y9" s="36">
        <f>'SER_se-appl'!Y33</f>
        <v>168.73196144264716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28.380259309646021</v>
      </c>
      <c r="D10" s="38">
        <f>'SER_se-appl'!D41</f>
        <v>28.380259309646021</v>
      </c>
      <c r="E10" s="38">
        <f>'SER_se-appl'!E41</f>
        <v>28.380259309646021</v>
      </c>
      <c r="F10" s="38">
        <f>'SER_se-appl'!F41</f>
        <v>28.380259309646021</v>
      </c>
      <c r="G10" s="38">
        <f>'SER_se-appl'!G41</f>
        <v>28.380259309646021</v>
      </c>
      <c r="H10" s="38">
        <f>'SER_se-appl'!H41</f>
        <v>44.174088914387539</v>
      </c>
      <c r="I10" s="38">
        <f>'SER_se-appl'!I41</f>
        <v>45.013747611736278</v>
      </c>
      <c r="J10" s="38">
        <f>'SER_se-appl'!J41</f>
        <v>46.976263679793306</v>
      </c>
      <c r="K10" s="38">
        <f>'SER_se-appl'!K41</f>
        <v>53.884355445000608</v>
      </c>
      <c r="L10" s="38">
        <f>'SER_se-appl'!L41</f>
        <v>54.624405821775497</v>
      </c>
      <c r="M10" s="38">
        <f>'SER_se-appl'!M41</f>
        <v>72.001719601198772</v>
      </c>
      <c r="N10" s="38">
        <f>'SER_se-appl'!N41</f>
        <v>72.947341416499057</v>
      </c>
      <c r="O10" s="38">
        <f>'SER_se-appl'!O41</f>
        <v>76.760369587438845</v>
      </c>
      <c r="P10" s="38">
        <f>'SER_se-appl'!P41</f>
        <v>85.77153660714248</v>
      </c>
      <c r="Q10" s="38">
        <f>'SER_se-appl'!Q41</f>
        <v>90.289161099494436</v>
      </c>
      <c r="R10" s="38">
        <f>'SER_se-appl'!R41</f>
        <v>121.69029479173696</v>
      </c>
      <c r="S10" s="38">
        <f>'SER_se-appl'!S41</f>
        <v>112.35477277147652</v>
      </c>
      <c r="T10" s="38">
        <f>'SER_se-appl'!T41</f>
        <v>109.72410253375176</v>
      </c>
      <c r="U10" s="38">
        <f>'SER_se-appl'!U41</f>
        <v>121.88562156392823</v>
      </c>
      <c r="V10" s="38">
        <f>'SER_se-appl'!V41</f>
        <v>124.3005191158004</v>
      </c>
      <c r="W10" s="38">
        <f>'SER_se-appl'!W41</f>
        <v>158.32996760457456</v>
      </c>
      <c r="X10" s="38">
        <f>'SER_se-appl'!X41</f>
        <v>144.88217371996836</v>
      </c>
      <c r="Y10" s="38">
        <f>'SER_se-appl'!Y41</f>
        <v>141.51724580794496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3055.0345397491492</v>
      </c>
      <c r="C12" s="204">
        <f>'SER_se-appl'!C49</f>
        <v>3211.8944955845109</v>
      </c>
      <c r="D12" s="204">
        <f>'SER_se-appl'!D49</f>
        <v>3361.535414797263</v>
      </c>
      <c r="E12" s="204">
        <f>'SER_se-appl'!E49</f>
        <v>3483.4923832729137</v>
      </c>
      <c r="F12" s="204">
        <f>'SER_se-appl'!F49</f>
        <v>3553.1788442705665</v>
      </c>
      <c r="G12" s="204">
        <f>'SER_se-appl'!G49</f>
        <v>3613.27114314768</v>
      </c>
      <c r="H12" s="204">
        <f>'SER_se-appl'!H49</f>
        <v>3659.0010675976482</v>
      </c>
      <c r="I12" s="204">
        <f>'SER_se-appl'!I49</f>
        <v>3700.32959436906</v>
      </c>
      <c r="J12" s="204">
        <f>'SER_se-appl'!J49</f>
        <v>3742.2012110513915</v>
      </c>
      <c r="K12" s="204">
        <f>'SER_se-appl'!K49</f>
        <v>3788.2349150720815</v>
      </c>
      <c r="L12" s="204">
        <f>'SER_se-appl'!L49</f>
        <v>3847.5025692134636</v>
      </c>
      <c r="M12" s="204">
        <f>'SER_se-appl'!M49</f>
        <v>3934.5754062671967</v>
      </c>
      <c r="N12" s="204">
        <f>'SER_se-appl'!N49</f>
        <v>3965.5687694867211</v>
      </c>
      <c r="O12" s="204">
        <f>'SER_se-appl'!O49</f>
        <v>4020.2086616808983</v>
      </c>
      <c r="P12" s="204">
        <f>'SER_se-appl'!P49</f>
        <v>4082.2279854769899</v>
      </c>
      <c r="Q12" s="204">
        <f>'SER_se-appl'!Q49</f>
        <v>4141.0462451669155</v>
      </c>
      <c r="R12" s="204">
        <f>'SER_se-appl'!R49</f>
        <v>4199.9812304482875</v>
      </c>
      <c r="S12" s="204">
        <f>'SER_se-appl'!S49</f>
        <v>4256.654188552724</v>
      </c>
      <c r="T12" s="204">
        <f>'SER_se-appl'!T49</f>
        <v>4289.1256102304978</v>
      </c>
      <c r="U12" s="204">
        <f>'SER_se-appl'!U49</f>
        <v>4317.8542153552971</v>
      </c>
      <c r="V12" s="204">
        <f>'SER_se-appl'!V49</f>
        <v>4299.5531802226333</v>
      </c>
      <c r="W12" s="204">
        <f>'SER_se-appl'!W49</f>
        <v>4367.2029740356838</v>
      </c>
      <c r="X12" s="204">
        <f>'SER_se-appl'!X49</f>
        <v>4381.3830339683145</v>
      </c>
      <c r="Y12" s="204">
        <f>'SER_se-appl'!Y49</f>
        <v>4383.52496217517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343.72181435257284</v>
      </c>
      <c r="C14" s="59">
        <f>'SER_se-appl'!C57</f>
        <v>337.11214460768412</v>
      </c>
      <c r="D14" s="59">
        <f>'SER_se-appl'!D57</f>
        <v>328.29701596903254</v>
      </c>
      <c r="E14" s="59">
        <f>'SER_se-appl'!E57</f>
        <v>318.43137835558031</v>
      </c>
      <c r="F14" s="59">
        <f>'SER_se-appl'!F57</f>
        <v>306.08096177556513</v>
      </c>
      <c r="G14" s="59">
        <f>'SER_se-appl'!G57</f>
        <v>293.32229249009572</v>
      </c>
      <c r="H14" s="59">
        <f>'SER_se-appl'!H57</f>
        <v>278.55543723237383</v>
      </c>
      <c r="I14" s="59">
        <f>'SER_se-appl'!I57</f>
        <v>264.37562962161354</v>
      </c>
      <c r="J14" s="59">
        <f>'SER_se-appl'!J57</f>
        <v>249.89281246734595</v>
      </c>
      <c r="K14" s="59">
        <f>'SER_se-appl'!K57</f>
        <v>234.85131482346921</v>
      </c>
      <c r="L14" s="59">
        <f>'SER_se-appl'!L57</f>
        <v>219.17926093193603</v>
      </c>
      <c r="M14" s="59">
        <f>'SER_se-appl'!M57</f>
        <v>200.86407726936113</v>
      </c>
      <c r="N14" s="59">
        <f>'SER_se-appl'!N57</f>
        <v>186.76048227656503</v>
      </c>
      <c r="O14" s="59">
        <f>'SER_se-appl'!O57</f>
        <v>174.72593363394193</v>
      </c>
      <c r="P14" s="59">
        <f>'SER_se-appl'!P57</f>
        <v>162.69673185146408</v>
      </c>
      <c r="Q14" s="59">
        <f>'SER_se-appl'!Q57</f>
        <v>152.85665222640233</v>
      </c>
      <c r="R14" s="59">
        <f>'SER_se-appl'!R57</f>
        <v>143.27739730470071</v>
      </c>
      <c r="S14" s="59">
        <f>'SER_se-appl'!S57</f>
        <v>136.05139563012122</v>
      </c>
      <c r="T14" s="59">
        <f>'SER_se-appl'!T57</f>
        <v>130.32737121614065</v>
      </c>
      <c r="U14" s="59">
        <f>'SER_se-appl'!U57</f>
        <v>125.84421881419328</v>
      </c>
      <c r="V14" s="59">
        <f>'SER_se-appl'!V57</f>
        <v>122.39949067008085</v>
      </c>
      <c r="W14" s="59">
        <f>'SER_se-appl'!W57</f>
        <v>118.50454134248915</v>
      </c>
      <c r="X14" s="59">
        <f>'SER_se-appl'!X57</f>
        <v>115.42150536899636</v>
      </c>
      <c r="Y14" s="59">
        <f>'SER_se-appl'!Y57</f>
        <v>112.85668741075486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320.12624668235378</v>
      </c>
      <c r="D15" s="63">
        <f>'SER_se-appl'!D65</f>
        <v>307.14030062470397</v>
      </c>
      <c r="E15" s="63">
        <f>'SER_se-appl'!E65</f>
        <v>297.09903462022146</v>
      </c>
      <c r="F15" s="63">
        <f>'SER_se-appl'!F65</f>
        <v>281.68719769682451</v>
      </c>
      <c r="G15" s="63">
        <f>'SER_se-appl'!G65</f>
        <v>268.48891962891469</v>
      </c>
      <c r="H15" s="63">
        <f>'SER_se-appl'!H65</f>
        <v>253.87969187776073</v>
      </c>
      <c r="I15" s="63">
        <f>'SER_se-appl'!I65</f>
        <v>237.79472334353167</v>
      </c>
      <c r="J15" s="63">
        <f>'SER_se-appl'!J65</f>
        <v>222.09774052831298</v>
      </c>
      <c r="K15" s="63">
        <f>'SER_se-appl'!K65</f>
        <v>206.36570186460256</v>
      </c>
      <c r="L15" s="63">
        <f>'SER_se-appl'!L65</f>
        <v>186.1584190423871</v>
      </c>
      <c r="M15" s="63">
        <f>'SER_se-appl'!M65</f>
        <v>172.36535809103924</v>
      </c>
      <c r="N15" s="63">
        <f>'SER_se-appl'!N65</f>
        <v>163.72662212700027</v>
      </c>
      <c r="O15" s="63">
        <f>'SER_se-appl'!O65</f>
        <v>154.46660386211315</v>
      </c>
      <c r="P15" s="63">
        <f>'SER_se-appl'!P65</f>
        <v>142.12347899263546</v>
      </c>
      <c r="Q15" s="63">
        <f>'SER_se-appl'!Q65</f>
        <v>133.03578429428788</v>
      </c>
      <c r="R15" s="63">
        <f>'SER_se-appl'!R65</f>
        <v>129.94063090912286</v>
      </c>
      <c r="S15" s="63">
        <f>'SER_se-appl'!S65</f>
        <v>126.26183643295971</v>
      </c>
      <c r="T15" s="63">
        <f>'SER_se-appl'!T65</f>
        <v>122.38362572741352</v>
      </c>
      <c r="U15" s="63">
        <f>'SER_se-appl'!U65</f>
        <v>118.47824668708401</v>
      </c>
      <c r="V15" s="63">
        <f>'SER_se-appl'!V65</f>
        <v>114.76546954816182</v>
      </c>
      <c r="W15" s="63">
        <f>'SER_se-appl'!W65</f>
        <v>112.6996910962949</v>
      </c>
      <c r="X15" s="63">
        <f>'SER_se-appl'!X65</f>
        <v>110.63391264442799</v>
      </c>
      <c r="Y15" s="63">
        <f>'SER_se-appl'!Y65</f>
        <v>108.56813419256108</v>
      </c>
      <c r="DA15" s="105" t="s">
        <v>957</v>
      </c>
    </row>
    <row r="17" spans="1:105" ht="12" customHeight="1" x14ac:dyDescent="0.25">
      <c r="A17" s="197" t="s">
        <v>184</v>
      </c>
      <c r="B17" s="198">
        <v>7.7291892957211159</v>
      </c>
      <c r="C17" s="198">
        <v>9.3356387329175305</v>
      </c>
      <c r="D17" s="198">
        <v>10.950207372069217</v>
      </c>
      <c r="E17" s="198">
        <v>12.529954975116663</v>
      </c>
      <c r="F17" s="198">
        <v>14.048837693338395</v>
      </c>
      <c r="G17" s="198">
        <v>15.458378591442225</v>
      </c>
      <c r="H17" s="198">
        <v>16.620847877755743</v>
      </c>
      <c r="I17" s="198">
        <v>17.665790390755369</v>
      </c>
      <c r="J17" s="198">
        <v>18.649040061451913</v>
      </c>
      <c r="K17" s="198">
        <v>19.608592039124066</v>
      </c>
      <c r="L17" s="198">
        <v>20.611171455256255</v>
      </c>
      <c r="M17" s="198">
        <v>22.097340490994796</v>
      </c>
      <c r="N17" s="198">
        <v>22.601897826489068</v>
      </c>
      <c r="O17" s="198">
        <v>23.10645516198333</v>
      </c>
      <c r="P17" s="198">
        <v>23.611012497477589</v>
      </c>
      <c r="Q17" s="198">
        <v>24.115569832971847</v>
      </c>
      <c r="R17" s="198">
        <v>24.620127168466123</v>
      </c>
      <c r="S17" s="198">
        <v>25.124684503960378</v>
      </c>
      <c r="T17" s="198">
        <v>25.629241839454636</v>
      </c>
      <c r="U17" s="198">
        <v>26.133799174948891</v>
      </c>
      <c r="V17" s="198">
        <v>26.63835651044316</v>
      </c>
      <c r="W17" s="198">
        <v>27.142913845937429</v>
      </c>
      <c r="X17" s="198">
        <v>27.647471181431715</v>
      </c>
      <c r="Y17" s="198">
        <v>28.000866580601279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290.22148861674492</v>
      </c>
      <c r="C3" s="219">
        <v>280.69695000960132</v>
      </c>
      <c r="D3" s="219">
        <v>356.85689720392139</v>
      </c>
      <c r="E3" s="219">
        <v>246.46316195650499</v>
      </c>
      <c r="F3" s="219">
        <v>296.62549704621102</v>
      </c>
      <c r="G3" s="219">
        <v>202.03632939027699</v>
      </c>
      <c r="H3" s="219">
        <v>186.53400088175181</v>
      </c>
      <c r="I3" s="219">
        <v>236.02980020808911</v>
      </c>
      <c r="J3" s="219">
        <v>197.82947731005899</v>
      </c>
      <c r="K3" s="219">
        <v>145.11908991494531</v>
      </c>
      <c r="L3" s="219">
        <v>172.57314810530701</v>
      </c>
      <c r="M3" s="219">
        <v>162.7484892423347</v>
      </c>
      <c r="N3" s="219">
        <v>189.6711760831777</v>
      </c>
      <c r="O3" s="219">
        <v>177.71253926425629</v>
      </c>
      <c r="P3" s="219">
        <v>201.30568749488171</v>
      </c>
      <c r="Q3" s="219">
        <v>158.76331099999999</v>
      </c>
      <c r="R3" s="219">
        <v>159.8922244732577</v>
      </c>
      <c r="S3" s="219">
        <v>177.18106731664781</v>
      </c>
      <c r="T3" s="219">
        <v>179.87060779514579</v>
      </c>
      <c r="U3" s="219">
        <v>170.15886816558421</v>
      </c>
      <c r="V3" s="219">
        <v>156.79152838670291</v>
      </c>
      <c r="W3" s="219">
        <v>163.6204134434914</v>
      </c>
      <c r="X3" s="219">
        <v>200.89704492408191</v>
      </c>
      <c r="Y3" s="219">
        <v>153.80000000000001</v>
      </c>
      <c r="DA3" s="210" t="s">
        <v>974</v>
      </c>
    </row>
    <row r="5" spans="1:105" x14ac:dyDescent="0.25">
      <c r="A5" s="218" t="s">
        <v>120</v>
      </c>
      <c r="B5" s="219">
        <v>165.21207833980381</v>
      </c>
      <c r="C5" s="219">
        <v>183.3808467094054</v>
      </c>
      <c r="D5" s="219">
        <v>170.97846471448639</v>
      </c>
      <c r="E5" s="219">
        <v>178.24231416513669</v>
      </c>
      <c r="F5" s="219">
        <v>185.54822710007619</v>
      </c>
      <c r="G5" s="219">
        <v>166.5715206543976</v>
      </c>
      <c r="H5" s="219">
        <v>178.74597098696469</v>
      </c>
      <c r="I5" s="219">
        <v>211.84075354324301</v>
      </c>
      <c r="J5" s="219">
        <v>209.42228613216579</v>
      </c>
      <c r="K5" s="219">
        <v>216.1746470696832</v>
      </c>
      <c r="L5" s="219">
        <v>227.89522157354401</v>
      </c>
      <c r="M5" s="219">
        <v>215.46134812219529</v>
      </c>
      <c r="N5" s="219">
        <v>211.16295441896119</v>
      </c>
      <c r="O5" s="219">
        <v>223.9174599330432</v>
      </c>
      <c r="P5" s="219">
        <v>221.96606109827729</v>
      </c>
      <c r="Q5" s="219">
        <v>214.54551041566251</v>
      </c>
      <c r="R5" s="219">
        <v>244.05045644213459</v>
      </c>
      <c r="S5" s="219">
        <v>246.10287684504931</v>
      </c>
      <c r="T5" s="219">
        <v>231.71295396960059</v>
      </c>
      <c r="U5" s="219">
        <v>213.0278921282258</v>
      </c>
      <c r="V5" s="219">
        <v>232.24310538347279</v>
      </c>
      <c r="W5" s="219">
        <v>234.7605757874197</v>
      </c>
      <c r="X5" s="219">
        <v>257.19257200354758</v>
      </c>
      <c r="Y5" s="219">
        <v>234.7424643693777</v>
      </c>
      <c r="DA5" s="210" t="s">
        <v>975</v>
      </c>
    </row>
    <row r="6" spans="1:105" x14ac:dyDescent="0.25">
      <c r="A6" s="220" t="s">
        <v>119</v>
      </c>
      <c r="B6" s="221">
        <v>206.51509792475471</v>
      </c>
      <c r="C6" s="221">
        <v>196.18934302851699</v>
      </c>
      <c r="D6" s="221">
        <v>185.86358813227929</v>
      </c>
      <c r="E6" s="221">
        <v>196.18934302851699</v>
      </c>
      <c r="F6" s="221">
        <v>196.18934302851699</v>
      </c>
      <c r="G6" s="221">
        <v>185.86358813227929</v>
      </c>
      <c r="H6" s="221">
        <v>196.18934302851699</v>
      </c>
      <c r="I6" s="221">
        <v>227.16660771723019</v>
      </c>
      <c r="J6" s="221">
        <v>227.16660771723019</v>
      </c>
      <c r="K6" s="221">
        <v>237.49236261346789</v>
      </c>
      <c r="L6" s="221">
        <v>247.8181175097057</v>
      </c>
      <c r="M6" s="221">
        <v>237.49236261346789</v>
      </c>
      <c r="N6" s="221">
        <v>237.49236261346789</v>
      </c>
      <c r="O6" s="221">
        <v>237.49236261346789</v>
      </c>
      <c r="P6" s="221">
        <v>237.49236261346789</v>
      </c>
      <c r="Q6" s="221">
        <v>237.49236261346789</v>
      </c>
      <c r="R6" s="221">
        <v>258.1438724059434</v>
      </c>
      <c r="S6" s="221">
        <v>268.46962730218121</v>
      </c>
      <c r="T6" s="221">
        <v>268.46962730218121</v>
      </c>
      <c r="U6" s="221">
        <v>258.1438724059434</v>
      </c>
      <c r="V6" s="221">
        <v>247.8181175097057</v>
      </c>
      <c r="W6" s="221">
        <v>247.8181175097057</v>
      </c>
      <c r="X6" s="221">
        <v>278.79538219841891</v>
      </c>
      <c r="Y6" s="221">
        <v>268.46962730218121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10.32575489623774</v>
      </c>
      <c r="F7" s="225">
        <v>10.32575489623774</v>
      </c>
      <c r="G7" s="225">
        <v>0</v>
      </c>
      <c r="H7" s="225">
        <v>10.32575489623774</v>
      </c>
      <c r="I7" s="225">
        <v>41.303019584950952</v>
      </c>
      <c r="J7" s="225">
        <v>10.32575489623774</v>
      </c>
      <c r="K7" s="225">
        <v>10.32575489623774</v>
      </c>
      <c r="L7" s="225">
        <v>20.651509792475469</v>
      </c>
      <c r="M7" s="225">
        <v>0</v>
      </c>
      <c r="N7" s="225">
        <v>0</v>
      </c>
      <c r="O7" s="225">
        <v>10.32575489623774</v>
      </c>
      <c r="P7" s="225">
        <v>10.32575489623774</v>
      </c>
      <c r="Q7" s="225">
        <v>0</v>
      </c>
      <c r="R7" s="225">
        <v>30.977264688713209</v>
      </c>
      <c r="S7" s="225">
        <v>20.651509792475469</v>
      </c>
      <c r="T7" s="225">
        <v>0</v>
      </c>
      <c r="U7" s="225">
        <v>0</v>
      </c>
      <c r="V7" s="225">
        <v>0</v>
      </c>
      <c r="W7" s="225">
        <v>0</v>
      </c>
      <c r="X7" s="225">
        <v>41.303019584950952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10.325754896237726</v>
      </c>
      <c r="D8" s="227">
        <f t="shared" ref="D8" si="1">IF(C6=0,0,C6+D7-D6)</f>
        <v>10.325754896237697</v>
      </c>
      <c r="E8" s="227">
        <f t="shared" ref="E8" si="2">IF(D6=0,0,D6+E7-E6)</f>
        <v>5.6843418860808015E-14</v>
      </c>
      <c r="F8" s="227">
        <f t="shared" ref="F8" si="3">IF(E6=0,0,E6+F7-F6)</f>
        <v>10.325754896237754</v>
      </c>
      <c r="G8" s="227">
        <f t="shared" ref="G8" si="4">IF(F6=0,0,F6+G7-G6)</f>
        <v>10.325754896237697</v>
      </c>
      <c r="H8" s="227">
        <f t="shared" ref="H8" si="5">IF(G6=0,0,G6+H7-H6)</f>
        <v>5.6843418860808015E-14</v>
      </c>
      <c r="I8" s="227">
        <f t="shared" ref="I8" si="6">IF(H6=0,0,H6+I7-I6)</f>
        <v>10.325754896237754</v>
      </c>
      <c r="J8" s="227">
        <f t="shared" ref="J8" si="7">IF(I6=0,0,I6+J7-J6)</f>
        <v>10.325754896237754</v>
      </c>
      <c r="K8" s="227">
        <f t="shared" ref="K8" si="8">IF(J6=0,0,J6+K7-K6)</f>
        <v>5.6843418860808015E-14</v>
      </c>
      <c r="L8" s="227">
        <f t="shared" ref="L8" si="9">IF(K6=0,0,K6+L7-L6)</f>
        <v>10.32575489623764</v>
      </c>
      <c r="M8" s="227">
        <f t="shared" ref="M8" si="10">IF(L6=0,0,L6+M7-M6)</f>
        <v>10.325754896237811</v>
      </c>
      <c r="N8" s="227">
        <f t="shared" ref="N8" si="11">IF(M6=0,0,M6+N7-N6)</f>
        <v>0</v>
      </c>
      <c r="O8" s="227">
        <f t="shared" ref="O8" si="12">IF(N6=0,0,N6+O7-O6)</f>
        <v>10.325754896237754</v>
      </c>
      <c r="P8" s="227">
        <f t="shared" ref="P8" si="13">IF(O6=0,0,O6+P7-P6)</f>
        <v>10.325754896237754</v>
      </c>
      <c r="Q8" s="227">
        <f t="shared" ref="Q8" si="14">IF(P6=0,0,P6+Q7-Q6)</f>
        <v>0</v>
      </c>
      <c r="R8" s="227">
        <f t="shared" ref="R8" si="15">IF(Q6=0,0,Q6+R7-R6)</f>
        <v>10.325754896237697</v>
      </c>
      <c r="S8" s="227">
        <f t="shared" ref="S8" si="16">IF(R6=0,0,R6+S7-S6)</f>
        <v>10.32575489623764</v>
      </c>
      <c r="T8" s="227">
        <f t="shared" ref="T8" si="17">IF(S6=0,0,S6+T7-T6)</f>
        <v>0</v>
      </c>
      <c r="U8" s="227">
        <f t="shared" ref="U8" si="18">IF(T6=0,0,T6+U7-U6)</f>
        <v>10.325754896237811</v>
      </c>
      <c r="V8" s="227">
        <f t="shared" ref="V8" si="19">IF(U6=0,0,U6+V7-V6)</f>
        <v>10.325754896237697</v>
      </c>
      <c r="W8" s="227">
        <f t="shared" ref="W8" si="20">IF(V6=0,0,V6+W7-W6)</f>
        <v>0</v>
      </c>
      <c r="X8" s="227">
        <f t="shared" ref="X8" si="21">IF(W6=0,0,W6+X7-X6)</f>
        <v>10.325754896237754</v>
      </c>
      <c r="Y8" s="227">
        <f t="shared" ref="Y8" si="22">IF(X6=0,0,X6+Y7-Y6)</f>
        <v>10.325754896237697</v>
      </c>
      <c r="DA8" s="213" t="s">
        <v>978</v>
      </c>
    </row>
    <row r="9" spans="1:105" x14ac:dyDescent="0.25">
      <c r="A9" s="222" t="s">
        <v>116</v>
      </c>
      <c r="B9" s="223">
        <f>B6-B5</f>
        <v>41.303019584950903</v>
      </c>
      <c r="C9" s="223">
        <f t="shared" ref="C9:W9" si="23">C6-C5</f>
        <v>12.808496319111583</v>
      </c>
      <c r="D9" s="223">
        <f t="shared" si="23"/>
        <v>14.885123417792897</v>
      </c>
      <c r="E9" s="223">
        <f t="shared" si="23"/>
        <v>17.947028863380297</v>
      </c>
      <c r="F9" s="223">
        <f t="shared" si="23"/>
        <v>10.641115928440797</v>
      </c>
      <c r="G9" s="223">
        <f t="shared" si="23"/>
        <v>19.292067477881687</v>
      </c>
      <c r="H9" s="223">
        <f t="shared" si="23"/>
        <v>17.443372041552294</v>
      </c>
      <c r="I9" s="223">
        <f t="shared" si="23"/>
        <v>15.325854173987182</v>
      </c>
      <c r="J9" s="223">
        <f t="shared" si="23"/>
        <v>17.744321585064398</v>
      </c>
      <c r="K9" s="223">
        <f t="shared" si="23"/>
        <v>21.317715543784686</v>
      </c>
      <c r="L9" s="223">
        <f t="shared" si="23"/>
        <v>19.922895936161694</v>
      </c>
      <c r="M9" s="223">
        <f t="shared" si="23"/>
        <v>22.0310144912726</v>
      </c>
      <c r="N9" s="223">
        <f t="shared" si="23"/>
        <v>26.329408194506698</v>
      </c>
      <c r="O9" s="223">
        <f t="shared" si="23"/>
        <v>13.574902680424685</v>
      </c>
      <c r="P9" s="223">
        <f t="shared" si="23"/>
        <v>15.526301515190596</v>
      </c>
      <c r="Q9" s="223">
        <f t="shared" si="23"/>
        <v>22.946852197805384</v>
      </c>
      <c r="R9" s="223">
        <f t="shared" si="23"/>
        <v>14.093415963808809</v>
      </c>
      <c r="S9" s="223">
        <f t="shared" si="23"/>
        <v>22.3667504571319</v>
      </c>
      <c r="T9" s="223">
        <f t="shared" si="23"/>
        <v>36.756673332580618</v>
      </c>
      <c r="U9" s="223">
        <f t="shared" si="23"/>
        <v>45.115980277717597</v>
      </c>
      <c r="V9" s="223">
        <f t="shared" si="23"/>
        <v>15.575012126232906</v>
      </c>
      <c r="W9" s="223">
        <f t="shared" si="23"/>
        <v>13.057541722286004</v>
      </c>
      <c r="X9" s="223">
        <f t="shared" ref="X9:Y9" si="24">X6-X5</f>
        <v>21.602810194871324</v>
      </c>
      <c r="Y9" s="223">
        <f t="shared" si="24"/>
        <v>33.727162932803509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18.581685296646608</v>
      </c>
      <c r="C12" s="229">
        <f t="shared" ref="C12:W12" si="25">SUM(C13,C14,C18,C19,C26,C27)</f>
        <v>20.138779019776436</v>
      </c>
      <c r="D12" s="229">
        <f t="shared" si="25"/>
        <v>19.458899398108336</v>
      </c>
      <c r="E12" s="229">
        <f t="shared" si="25"/>
        <v>21.306706792777302</v>
      </c>
      <c r="F12" s="229">
        <f t="shared" si="25"/>
        <v>21.76595012897678</v>
      </c>
      <c r="G12" s="229">
        <f t="shared" si="25"/>
        <v>22.369561478933786</v>
      </c>
      <c r="H12" s="229">
        <f t="shared" si="25"/>
        <v>23.247205503009457</v>
      </c>
      <c r="I12" s="229">
        <f t="shared" si="25"/>
        <v>24.957953568357688</v>
      </c>
      <c r="J12" s="229">
        <f t="shared" si="25"/>
        <v>25.862854686156485</v>
      </c>
      <c r="K12" s="229">
        <f t="shared" si="25"/>
        <v>29.796130696474638</v>
      </c>
      <c r="L12" s="229">
        <f t="shared" si="25"/>
        <v>29.279105760963031</v>
      </c>
      <c r="M12" s="229">
        <f t="shared" si="25"/>
        <v>24.998108340498707</v>
      </c>
      <c r="N12" s="229">
        <f t="shared" si="25"/>
        <v>24.983147033533964</v>
      </c>
      <c r="O12" s="229">
        <f t="shared" si="25"/>
        <v>26.398710232158209</v>
      </c>
      <c r="P12" s="229">
        <f t="shared" si="25"/>
        <v>25.351332760103176</v>
      </c>
      <c r="Q12" s="229">
        <f t="shared" si="25"/>
        <v>25.032588134135853</v>
      </c>
      <c r="R12" s="229">
        <f t="shared" si="25"/>
        <v>28.898624247635425</v>
      </c>
      <c r="S12" s="229">
        <f t="shared" si="25"/>
        <v>26.889165950128969</v>
      </c>
      <c r="T12" s="229">
        <f t="shared" si="25"/>
        <v>26.656147893379192</v>
      </c>
      <c r="U12" s="229">
        <f t="shared" si="25"/>
        <v>24.35133276010318</v>
      </c>
      <c r="V12" s="229">
        <f t="shared" si="25"/>
        <v>28.106706792777299</v>
      </c>
      <c r="W12" s="229">
        <f t="shared" si="25"/>
        <v>27.141358555460013</v>
      </c>
      <c r="X12" s="229">
        <f t="shared" ref="X12:Y12" si="26">SUM(X13,X14,X18,X19,X26,X27)</f>
        <v>25.443164230438526</v>
      </c>
      <c r="Y12" s="229">
        <f t="shared" si="26"/>
        <v>23.797936371453133</v>
      </c>
      <c r="DA12" s="210" t="s">
        <v>980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DA13" s="9" t="s">
        <v>981</v>
      </c>
    </row>
    <row r="14" spans="1:105" x14ac:dyDescent="0.25">
      <c r="A14" s="60" t="s">
        <v>28</v>
      </c>
      <c r="B14" s="55">
        <f>SUM(B15:B17)</f>
        <v>15.48813413585555</v>
      </c>
      <c r="C14" s="55">
        <f t="shared" ref="C14:W14" si="27">SUM(C15:C17)</f>
        <v>16.325107480653479</v>
      </c>
      <c r="D14" s="55">
        <f t="shared" si="27"/>
        <v>16.15967325881341</v>
      </c>
      <c r="E14" s="55">
        <f t="shared" si="27"/>
        <v>17.185554600171969</v>
      </c>
      <c r="F14" s="55">
        <f t="shared" si="27"/>
        <v>16.625451418744621</v>
      </c>
      <c r="G14" s="55">
        <f t="shared" si="27"/>
        <v>16.864918314703349</v>
      </c>
      <c r="H14" s="55">
        <f t="shared" si="27"/>
        <v>17.296216680997421</v>
      </c>
      <c r="I14" s="55">
        <f t="shared" si="27"/>
        <v>18.538263112639719</v>
      </c>
      <c r="J14" s="55">
        <f t="shared" si="27"/>
        <v>18.660017196904551</v>
      </c>
      <c r="K14" s="55">
        <f t="shared" si="27"/>
        <v>20.94006878761823</v>
      </c>
      <c r="L14" s="55">
        <f t="shared" si="27"/>
        <v>21.398796216680999</v>
      </c>
      <c r="M14" s="55">
        <f t="shared" si="27"/>
        <v>16.979621668099739</v>
      </c>
      <c r="N14" s="55">
        <f t="shared" si="27"/>
        <v>17.66354256233878</v>
      </c>
      <c r="O14" s="55">
        <f t="shared" si="27"/>
        <v>19.381513327601031</v>
      </c>
      <c r="P14" s="55">
        <f t="shared" si="27"/>
        <v>19.438263112639721</v>
      </c>
      <c r="Q14" s="55">
        <f t="shared" si="27"/>
        <v>19.355116079105759</v>
      </c>
      <c r="R14" s="55">
        <f t="shared" si="27"/>
        <v>22.776784178847809</v>
      </c>
      <c r="S14" s="55">
        <f t="shared" si="27"/>
        <v>20.387102321582109</v>
      </c>
      <c r="T14" s="55">
        <f t="shared" si="27"/>
        <v>19.542820292347379</v>
      </c>
      <c r="U14" s="55">
        <f t="shared" si="27"/>
        <v>19.259673258813411</v>
      </c>
      <c r="V14" s="55">
        <f t="shared" si="27"/>
        <v>23.516509028374891</v>
      </c>
      <c r="W14" s="55">
        <f t="shared" si="27"/>
        <v>23.801633705932929</v>
      </c>
      <c r="X14" s="55">
        <f t="shared" ref="X14:Y14" si="28">SUM(X15:X17)</f>
        <v>20.171969045571799</v>
      </c>
      <c r="Y14" s="55">
        <f t="shared" si="28"/>
        <v>20.380997420464311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5">
        <v>0</v>
      </c>
      <c r="DA15" s="10" t="s">
        <v>982</v>
      </c>
    </row>
    <row r="16" spans="1:105" x14ac:dyDescent="0.25">
      <c r="A16" s="61" t="s">
        <v>165</v>
      </c>
      <c r="B16" s="55">
        <v>14.460017196904561</v>
      </c>
      <c r="C16" s="55">
        <v>16.325107480653479</v>
      </c>
      <c r="D16" s="55">
        <v>16.15967325881341</v>
      </c>
      <c r="E16" s="55">
        <v>17.185554600171969</v>
      </c>
      <c r="F16" s="55">
        <v>16.625451418744621</v>
      </c>
      <c r="G16" s="55">
        <v>16.864918314703349</v>
      </c>
      <c r="H16" s="55">
        <v>17.296216680997421</v>
      </c>
      <c r="I16" s="55">
        <v>18.538263112639719</v>
      </c>
      <c r="J16" s="55">
        <v>18.660017196904551</v>
      </c>
      <c r="K16" s="55">
        <v>20.94006878761823</v>
      </c>
      <c r="L16" s="55">
        <v>21.398796216680999</v>
      </c>
      <c r="M16" s="55">
        <v>16.979621668099739</v>
      </c>
      <c r="N16" s="55">
        <v>17.66354256233878</v>
      </c>
      <c r="O16" s="55">
        <v>19.381513327601031</v>
      </c>
      <c r="P16" s="55">
        <v>19.438263112639721</v>
      </c>
      <c r="Q16" s="55">
        <v>19.355116079105759</v>
      </c>
      <c r="R16" s="55">
        <v>22.776784178847809</v>
      </c>
      <c r="S16" s="55">
        <v>20.387102321582109</v>
      </c>
      <c r="T16" s="55">
        <v>19.542820292347379</v>
      </c>
      <c r="U16" s="55">
        <v>19.259673258813411</v>
      </c>
      <c r="V16" s="55">
        <v>23.516509028374891</v>
      </c>
      <c r="W16" s="55">
        <v>23.801633705932929</v>
      </c>
      <c r="X16" s="55">
        <v>20.171969045571799</v>
      </c>
      <c r="Y16" s="55">
        <v>20.380997420464311</v>
      </c>
      <c r="DA16" s="10" t="s">
        <v>983</v>
      </c>
    </row>
    <row r="17" spans="1:105" x14ac:dyDescent="0.25">
      <c r="A17" s="61" t="s">
        <v>113</v>
      </c>
      <c r="B17" s="55">
        <v>1.028116938950989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DA17" s="10" t="s">
        <v>984</v>
      </c>
    </row>
    <row r="18" spans="1:105" x14ac:dyDescent="0.25">
      <c r="A18" s="60" t="s">
        <v>149</v>
      </c>
      <c r="B18" s="55">
        <v>2.493551160791057E-2</v>
      </c>
      <c r="C18" s="55">
        <v>1.659501289767842E-2</v>
      </c>
      <c r="D18" s="55">
        <v>1.616509028374892E-2</v>
      </c>
      <c r="E18" s="55">
        <v>2.6913155631986239E-2</v>
      </c>
      <c r="F18" s="55">
        <v>2.8288907996560621E-2</v>
      </c>
      <c r="G18" s="55">
        <v>2.553740326741186E-2</v>
      </c>
      <c r="H18" s="55">
        <v>3.3447979363714533E-2</v>
      </c>
      <c r="I18" s="55">
        <v>2.708512467755804E-2</v>
      </c>
      <c r="J18" s="55">
        <v>2.8374892519346519E-2</v>
      </c>
      <c r="K18" s="55">
        <v>2.665520206362855E-2</v>
      </c>
      <c r="L18" s="55">
        <v>3.2072226999140148E-2</v>
      </c>
      <c r="M18" s="55">
        <v>0</v>
      </c>
      <c r="N18" s="55">
        <v>0</v>
      </c>
      <c r="O18" s="55">
        <v>0</v>
      </c>
      <c r="P18" s="55">
        <v>5.1341564276992683E-4</v>
      </c>
      <c r="Q18" s="55">
        <v>5.9817686595714211E-4</v>
      </c>
      <c r="R18" s="55">
        <v>1.0250380908915528E-3</v>
      </c>
      <c r="S18" s="55">
        <v>7.6796082869658448E-4</v>
      </c>
      <c r="T18" s="55">
        <v>2.5609396378394001E-4</v>
      </c>
      <c r="U18" s="55">
        <v>7.7037557775809203E-4</v>
      </c>
      <c r="V18" s="55">
        <v>8.5321771869375878E-4</v>
      </c>
      <c r="W18" s="55">
        <v>0</v>
      </c>
      <c r="X18" s="55">
        <v>4.2693637736220978E-3</v>
      </c>
      <c r="Y18" s="55">
        <v>5.0359756357528426E-3</v>
      </c>
      <c r="DA18" s="10" t="s">
        <v>985</v>
      </c>
    </row>
    <row r="19" spans="1:105" x14ac:dyDescent="0.25">
      <c r="A19" s="60" t="s">
        <v>51</v>
      </c>
      <c r="B19" s="55">
        <f>SUM(B20:B25)</f>
        <v>0.1792777300085984</v>
      </c>
      <c r="C19" s="55">
        <f t="shared" ref="C19:W19" si="29">SUM(C20:C25)</f>
        <v>0.46268271711092002</v>
      </c>
      <c r="D19" s="55">
        <f t="shared" si="29"/>
        <v>0.59363714531384348</v>
      </c>
      <c r="E19" s="55">
        <f t="shared" si="29"/>
        <v>1.21195184866724</v>
      </c>
      <c r="F19" s="55">
        <f t="shared" si="29"/>
        <v>1.8870163370593289</v>
      </c>
      <c r="G19" s="55">
        <f t="shared" si="29"/>
        <v>2.729492691315563</v>
      </c>
      <c r="H19" s="55">
        <f t="shared" si="29"/>
        <v>3.3388650042992261</v>
      </c>
      <c r="I19" s="55">
        <f t="shared" si="29"/>
        <v>3.8354256233877901</v>
      </c>
      <c r="J19" s="55">
        <f t="shared" si="29"/>
        <v>4.6286328460877044</v>
      </c>
      <c r="K19" s="55">
        <f t="shared" si="29"/>
        <v>5.6760103181427342</v>
      </c>
      <c r="L19" s="55">
        <f t="shared" si="29"/>
        <v>4.4680137575236456</v>
      </c>
      <c r="M19" s="55">
        <f t="shared" si="29"/>
        <v>4.0336199484092861</v>
      </c>
      <c r="N19" s="55">
        <f t="shared" si="29"/>
        <v>4.0629406706792777</v>
      </c>
      <c r="O19" s="55">
        <f t="shared" si="29"/>
        <v>3.5977644024075661</v>
      </c>
      <c r="P19" s="55">
        <f t="shared" si="29"/>
        <v>2.5787643143658285</v>
      </c>
      <c r="Q19" s="55">
        <f t="shared" si="29"/>
        <v>2.5116116253696403</v>
      </c>
      <c r="R19" s="55">
        <f t="shared" si="29"/>
        <v>3.1737814967328402</v>
      </c>
      <c r="S19" s="55">
        <f t="shared" si="29"/>
        <v>3.6504788147516982</v>
      </c>
      <c r="T19" s="55">
        <f t="shared" si="29"/>
        <v>4.3865022895271872</v>
      </c>
      <c r="U19" s="55">
        <f t="shared" si="29"/>
        <v>2.3424798393835493</v>
      </c>
      <c r="V19" s="55">
        <f t="shared" si="29"/>
        <v>1.5671605398049513</v>
      </c>
      <c r="W19" s="55">
        <f t="shared" si="29"/>
        <v>0.36139294926913162</v>
      </c>
      <c r="X19" s="55">
        <f t="shared" ref="X19:Y19" si="30">SUM(X20:X25)</f>
        <v>2.0475793034662737</v>
      </c>
      <c r="Y19" s="55">
        <f t="shared" si="30"/>
        <v>0.22428474663423856</v>
      </c>
      <c r="DA19" s="10"/>
    </row>
    <row r="20" spans="1:105" x14ac:dyDescent="0.25">
      <c r="A20" s="61" t="s">
        <v>164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X20" s="55">
        <v>0</v>
      </c>
      <c r="Y20" s="55">
        <v>0</v>
      </c>
      <c r="DA20" s="10" t="s">
        <v>986</v>
      </c>
    </row>
    <row r="21" spans="1:105" x14ac:dyDescent="0.25">
      <c r="A21" s="61" t="s">
        <v>50</v>
      </c>
      <c r="B21" s="55">
        <v>0.1792777300085984</v>
      </c>
      <c r="C21" s="55">
        <v>0.46268271711092002</v>
      </c>
      <c r="D21" s="55">
        <v>0.59363714531384348</v>
      </c>
      <c r="E21" s="55">
        <v>1.21195184866724</v>
      </c>
      <c r="F21" s="55">
        <v>1.8870163370593289</v>
      </c>
      <c r="G21" s="55">
        <v>2.729492691315563</v>
      </c>
      <c r="H21" s="55">
        <v>3.3388650042992261</v>
      </c>
      <c r="I21" s="55">
        <v>3.8354256233877901</v>
      </c>
      <c r="J21" s="55">
        <v>4.6286328460877044</v>
      </c>
      <c r="K21" s="55">
        <v>5.6760103181427342</v>
      </c>
      <c r="L21" s="55">
        <v>4.4680137575236456</v>
      </c>
      <c r="M21" s="55">
        <v>4.0336199484092861</v>
      </c>
      <c r="N21" s="55">
        <v>4.0629406706792777</v>
      </c>
      <c r="O21" s="55">
        <v>3.5977644024075661</v>
      </c>
      <c r="P21" s="55">
        <v>2.5787643143658285</v>
      </c>
      <c r="Q21" s="55">
        <v>2.5116116253696403</v>
      </c>
      <c r="R21" s="55">
        <v>3.1737814967328402</v>
      </c>
      <c r="S21" s="55">
        <v>3.6504788147516982</v>
      </c>
      <c r="T21" s="55">
        <v>4.3865022895271872</v>
      </c>
      <c r="U21" s="55">
        <v>2.3424798393835493</v>
      </c>
      <c r="V21" s="55">
        <v>1.5671605398049513</v>
      </c>
      <c r="W21" s="55">
        <v>0.36139294926913162</v>
      </c>
      <c r="X21" s="55">
        <v>2.0475793034662737</v>
      </c>
      <c r="Y21" s="55">
        <v>0.22428474663423856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X26" s="55">
        <v>0</v>
      </c>
      <c r="Y26" s="55">
        <v>0</v>
      </c>
      <c r="DA26" s="10" t="s">
        <v>992</v>
      </c>
    </row>
    <row r="27" spans="1:105" x14ac:dyDescent="0.25">
      <c r="A27" s="62" t="s">
        <v>24</v>
      </c>
      <c r="B27" s="63">
        <v>2.8893379191745479</v>
      </c>
      <c r="C27" s="63">
        <v>3.334393809114359</v>
      </c>
      <c r="D27" s="63">
        <v>2.689423903697334</v>
      </c>
      <c r="E27" s="63">
        <v>2.8822871883061052</v>
      </c>
      <c r="F27" s="63">
        <v>3.2251934651762681</v>
      </c>
      <c r="G27" s="63">
        <v>2.749613069647463</v>
      </c>
      <c r="H27" s="63">
        <v>2.5786758383490969</v>
      </c>
      <c r="I27" s="63">
        <v>2.5571797076526219</v>
      </c>
      <c r="J27" s="63">
        <v>2.5458297506448839</v>
      </c>
      <c r="K27" s="63">
        <v>3.1533963886500431</v>
      </c>
      <c r="L27" s="63">
        <v>3.3802235597592429</v>
      </c>
      <c r="M27" s="63">
        <v>3.9848667239896818</v>
      </c>
      <c r="N27" s="63">
        <v>3.256663800515907</v>
      </c>
      <c r="O27" s="63">
        <v>3.419432502149613</v>
      </c>
      <c r="P27" s="63">
        <v>3.333791917454858</v>
      </c>
      <c r="Q27" s="63">
        <v>3.1652622527944971</v>
      </c>
      <c r="R27" s="63">
        <v>2.9470335339638858</v>
      </c>
      <c r="S27" s="63">
        <v>2.8508168529664659</v>
      </c>
      <c r="T27" s="63">
        <v>2.7265692175408431</v>
      </c>
      <c r="U27" s="63">
        <v>2.748409286328461</v>
      </c>
      <c r="V27" s="63">
        <v>3.0221840068787622</v>
      </c>
      <c r="W27" s="63">
        <v>2.9783319002579529</v>
      </c>
      <c r="X27" s="63">
        <v>3.219346517626827</v>
      </c>
      <c r="Y27" s="63">
        <v>3.187618228718831</v>
      </c>
      <c r="DA27" s="11" t="s">
        <v>993</v>
      </c>
    </row>
    <row r="29" spans="1:105" x14ac:dyDescent="0.25">
      <c r="A29" s="218" t="s">
        <v>84</v>
      </c>
      <c r="B29" s="219">
        <v>47.902629960000013</v>
      </c>
      <c r="C29" s="219">
        <v>50.686298639999997</v>
      </c>
      <c r="D29" s="219">
        <v>50.17204259999999</v>
      </c>
      <c r="E29" s="219">
        <v>53.380001160000006</v>
      </c>
      <c r="F29" s="219">
        <v>51.645557879999991</v>
      </c>
      <c r="G29" s="219">
        <v>52.382021759999986</v>
      </c>
      <c r="H29" s="219">
        <v>53.738670240000005</v>
      </c>
      <c r="I29" s="219">
        <v>57.577073399999982</v>
      </c>
      <c r="J29" s="219">
        <v>57.957834959999985</v>
      </c>
      <c r="K29" s="219">
        <v>65.027470680000022</v>
      </c>
      <c r="L29" s="219">
        <v>66.463358760000006</v>
      </c>
      <c r="M29" s="219">
        <v>52.677897479999992</v>
      </c>
      <c r="N29" s="219">
        <v>54.799706520000001</v>
      </c>
      <c r="O29" s="219">
        <v>60.129571319999997</v>
      </c>
      <c r="P29" s="219">
        <v>60.30683882799196</v>
      </c>
      <c r="Q29" s="219">
        <v>60.049080994712234</v>
      </c>
      <c r="R29" s="219">
        <v>70.665531044137694</v>
      </c>
      <c r="S29" s="219">
        <v>63.25113330240103</v>
      </c>
      <c r="T29" s="219">
        <v>60.630614592170453</v>
      </c>
      <c r="U29" s="219">
        <v>59.75338185415108</v>
      </c>
      <c r="V29" s="219">
        <v>72.960063753340933</v>
      </c>
      <c r="W29" s="219">
        <v>73.842635879999989</v>
      </c>
      <c r="X29" s="219">
        <v>62.5919238594308</v>
      </c>
      <c r="Y29" s="219">
        <v>63.242218033386166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64.025876874971345</v>
      </c>
      <c r="C31" s="59">
        <f t="shared" si="31"/>
        <v>71.745628226767636</v>
      </c>
      <c r="D31" s="59">
        <f t="shared" si="31"/>
        <v>54.52857868398938</v>
      </c>
      <c r="E31" s="59">
        <f t="shared" si="31"/>
        <v>86.449863840249847</v>
      </c>
      <c r="F31" s="59">
        <f t="shared" si="31"/>
        <v>73.378554256871183</v>
      </c>
      <c r="G31" s="59">
        <f t="shared" si="31"/>
        <v>110.72049045061657</v>
      </c>
      <c r="H31" s="59">
        <f t="shared" si="31"/>
        <v>124.6271746336819</v>
      </c>
      <c r="I31" s="59">
        <f t="shared" si="31"/>
        <v>105.74068844846795</v>
      </c>
      <c r="J31" s="59">
        <f t="shared" si="31"/>
        <v>130.7330688925671</v>
      </c>
      <c r="K31" s="59">
        <f t="shared" si="31"/>
        <v>205.32192362795433</v>
      </c>
      <c r="L31" s="59">
        <f t="shared" si="31"/>
        <v>169.66200177965365</v>
      </c>
      <c r="M31" s="59">
        <f t="shared" si="31"/>
        <v>153.59963374699095</v>
      </c>
      <c r="N31" s="59">
        <f t="shared" si="31"/>
        <v>131.71820594700139</v>
      </c>
      <c r="O31" s="59">
        <f t="shared" si="31"/>
        <v>148.5472569434375</v>
      </c>
      <c r="P31" s="59">
        <f t="shared" si="31"/>
        <v>125.9345082376162</v>
      </c>
      <c r="Q31" s="59">
        <f t="shared" si="31"/>
        <v>157.67237390341307</v>
      </c>
      <c r="R31" s="59">
        <f t="shared" si="31"/>
        <v>180.73814622842264</v>
      </c>
      <c r="S31" s="59">
        <f t="shared" si="31"/>
        <v>151.76094352154567</v>
      </c>
      <c r="T31" s="59">
        <f t="shared" si="31"/>
        <v>148.1962407317699</v>
      </c>
      <c r="U31" s="59">
        <f t="shared" si="31"/>
        <v>143.10939548802432</v>
      </c>
      <c r="V31" s="59">
        <f t="shared" si="31"/>
        <v>179.26164176074806</v>
      </c>
      <c r="W31" s="59">
        <f t="shared" si="31"/>
        <v>165.88002672926663</v>
      </c>
      <c r="X31" s="59">
        <f t="shared" si="31"/>
        <v>126.64777742277586</v>
      </c>
      <c r="Y31" s="59">
        <f t="shared" si="31"/>
        <v>154.73300631634027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112.47171201628669</v>
      </c>
      <c r="C32" s="55">
        <f t="shared" si="32"/>
        <v>109.81942433546165</v>
      </c>
      <c r="D32" s="55">
        <f t="shared" si="32"/>
        <v>113.80906613357637</v>
      </c>
      <c r="E32" s="55">
        <f t="shared" si="32"/>
        <v>119.5378711984025</v>
      </c>
      <c r="F32" s="55">
        <f t="shared" si="32"/>
        <v>117.30616060932356</v>
      </c>
      <c r="G32" s="55">
        <f t="shared" si="32"/>
        <v>134.29403412451356</v>
      </c>
      <c r="H32" s="55">
        <f t="shared" si="32"/>
        <v>130.05722800154638</v>
      </c>
      <c r="I32" s="55">
        <f t="shared" si="32"/>
        <v>117.81469406104159</v>
      </c>
      <c r="J32" s="55">
        <f t="shared" si="32"/>
        <v>123.49619118298857</v>
      </c>
      <c r="K32" s="55">
        <f t="shared" si="32"/>
        <v>137.83360398812147</v>
      </c>
      <c r="L32" s="55">
        <f t="shared" si="32"/>
        <v>128.47617233393541</v>
      </c>
      <c r="M32" s="55">
        <f t="shared" si="32"/>
        <v>116.0213122138336</v>
      </c>
      <c r="N32" s="55">
        <f t="shared" si="32"/>
        <v>118.31216844961241</v>
      </c>
      <c r="O32" s="55">
        <f t="shared" si="32"/>
        <v>117.89482713876831</v>
      </c>
      <c r="P32" s="55">
        <f t="shared" si="32"/>
        <v>114.2126532077292</v>
      </c>
      <c r="Q32" s="55">
        <f t="shared" si="32"/>
        <v>116.67728719019792</v>
      </c>
      <c r="R32" s="55">
        <f t="shared" si="32"/>
        <v>118.41249825520164</v>
      </c>
      <c r="S32" s="55">
        <f t="shared" si="32"/>
        <v>109.25986032686184</v>
      </c>
      <c r="T32" s="55">
        <f t="shared" si="32"/>
        <v>115.03952384499109</v>
      </c>
      <c r="U32" s="55">
        <f t="shared" si="32"/>
        <v>114.31053707016741</v>
      </c>
      <c r="V32" s="55">
        <f t="shared" si="32"/>
        <v>121.02278233994656</v>
      </c>
      <c r="W32" s="55">
        <f t="shared" si="32"/>
        <v>115.61293230102248</v>
      </c>
      <c r="X32" s="55">
        <f t="shared" si="32"/>
        <v>98.926512660278448</v>
      </c>
      <c r="Y32" s="55">
        <f t="shared" si="32"/>
        <v>101.37891512464495</v>
      </c>
      <c r="DA32" s="216"/>
    </row>
    <row r="33" spans="1:105" x14ac:dyDescent="0.25">
      <c r="A33" s="35" t="s">
        <v>111</v>
      </c>
      <c r="B33" s="55">
        <f>IF(AGR_ued!B$5=0,"",AGR_ued!B$5/B$5*1000)</f>
        <v>44.237591541670248</v>
      </c>
      <c r="C33" s="55">
        <f>IF(AGR_ued!C$5=0,"",AGR_ued!C$5/C$5*1000)</f>
        <v>43.761926656063153</v>
      </c>
      <c r="D33" s="55">
        <f>IF(AGR_ued!D$5=0,"",AGR_ued!D$5/D$5*1000)</f>
        <v>44.75014615978764</v>
      </c>
      <c r="E33" s="55">
        <f>IF(AGR_ued!E$5=0,"",AGR_ued!E$5/E$5*1000)</f>
        <v>47.070852795245223</v>
      </c>
      <c r="F33" s="55">
        <f>IF(AGR_ued!F$5=0,"",AGR_ued!F$5/F$5*1000)</f>
        <v>46.639105433995312</v>
      </c>
      <c r="G33" s="55">
        <f>IF(AGR_ued!G$5=0,"",AGR_ued!G$5/G$5*1000)</f>
        <v>52.947920043982968</v>
      </c>
      <c r="H33" s="55">
        <f>IF(AGR_ued!H$5=0,"",AGR_ued!H$5/H$5*1000)</f>
        <v>51.126330449310657</v>
      </c>
      <c r="I33" s="55">
        <f>IF(AGR_ued!I$5=0,"",AGR_ued!I$5/I$5*1000)</f>
        <v>46.195503705019405</v>
      </c>
      <c r="J33" s="55">
        <f>IF(AGR_ued!J$5=0,"",AGR_ued!J$5/J$5*1000)</f>
        <v>48.481496609462425</v>
      </c>
      <c r="K33" s="55">
        <f>IF(AGR_ued!K$5=0,"",AGR_ued!K$5/K$5*1000)</f>
        <v>54.349209597467244</v>
      </c>
      <c r="L33" s="55">
        <f>IF(AGR_ued!L$5=0,"",AGR_ued!L$5/L$5*1000)</f>
        <v>50.655248834160339</v>
      </c>
      <c r="M33" s="55">
        <f>IF(AGR_ued!M$5=0,"",AGR_ued!M$5/M$5*1000)</f>
        <v>46.761659649181688</v>
      </c>
      <c r="N33" s="55">
        <f>IF(AGR_ued!N$5=0,"",AGR_ued!N$5/N$5*1000)</f>
        <v>47.014354978596913</v>
      </c>
      <c r="O33" s="55">
        <f>IF(AGR_ued!O$5=0,"",AGR_ued!O$5/O$5*1000)</f>
        <v>46.693623017262041</v>
      </c>
      <c r="P33" s="55">
        <f>IF(AGR_ued!P$5=0,"",AGR_ued!P$5/P$5*1000)</f>
        <v>45.105726281568465</v>
      </c>
      <c r="Q33" s="55">
        <f>IF(AGR_ued!Q$5=0,"",AGR_ued!Q$5/Q$5*1000)</f>
        <v>45.961846409099074</v>
      </c>
      <c r="R33" s="55">
        <f>IF(AGR_ued!R$5=0,"",AGR_ued!R$5/R$5*1000)</f>
        <v>46.18531627401201</v>
      </c>
      <c r="S33" s="55">
        <f>IF(AGR_ued!S$5=0,"",AGR_ued!S$5/S$5*1000)</f>
        <v>42.814364997143421</v>
      </c>
      <c r="T33" s="55">
        <f>IF(AGR_ued!T$5=0,"",AGR_ued!T$5/T$5*1000)</f>
        <v>45.154428076051076</v>
      </c>
      <c r="U33" s="55">
        <f>IF(AGR_ued!U$5=0,"",AGR_ued!U$5/U$5*1000)</f>
        <v>44.729698435379767</v>
      </c>
      <c r="V33" s="55">
        <f>IF(AGR_ued!V$5=0,"",AGR_ued!V$5/V$5*1000)</f>
        <v>47.032300128199218</v>
      </c>
      <c r="W33" s="55">
        <f>IF(AGR_ued!W$5=0,"",AGR_ued!W$5/W$5*1000)</f>
        <v>44.763593774318934</v>
      </c>
      <c r="X33" s="55">
        <f>IF(AGR_ued!X$5=0,"",AGR_ued!X$5/X$5*1000)</f>
        <v>38.886693841819238</v>
      </c>
      <c r="Y33" s="55">
        <f>IF(AGR_ued!Y$5=0,"",AGR_ued!Y$5/Y$5*1000)</f>
        <v>39.686018648410332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2.5779486195821475</v>
      </c>
      <c r="C34" s="217">
        <f t="shared" si="33"/>
        <v>2.5168506288402916</v>
      </c>
      <c r="D34" s="217">
        <f t="shared" si="33"/>
        <v>2.5783597300923082</v>
      </c>
      <c r="E34" s="217">
        <f t="shared" si="33"/>
        <v>2.505314485206843</v>
      </c>
      <c r="F34" s="217">
        <f t="shared" si="33"/>
        <v>2.3727683640717712</v>
      </c>
      <c r="G34" s="217">
        <f t="shared" si="33"/>
        <v>2.3416651153099273</v>
      </c>
      <c r="H34" s="217">
        <f t="shared" si="33"/>
        <v>2.3116184968143068</v>
      </c>
      <c r="I34" s="217">
        <f t="shared" si="33"/>
        <v>2.3069629183459024</v>
      </c>
      <c r="J34" s="217">
        <f t="shared" si="33"/>
        <v>2.2409682018212345</v>
      </c>
      <c r="K34" s="217">
        <f t="shared" si="33"/>
        <v>2.1824132583662554</v>
      </c>
      <c r="L34" s="217">
        <f t="shared" si="33"/>
        <v>2.2699927826557342</v>
      </c>
      <c r="M34" s="217">
        <f t="shared" si="33"/>
        <v>2.1072753490974381</v>
      </c>
      <c r="N34" s="217">
        <f t="shared" si="33"/>
        <v>2.1934669177763859</v>
      </c>
      <c r="O34" s="217">
        <f t="shared" si="33"/>
        <v>2.2777465562219681</v>
      </c>
      <c r="P34" s="217">
        <f t="shared" si="33"/>
        <v>2.3788429349521314</v>
      </c>
      <c r="Q34" s="217">
        <f t="shared" si="33"/>
        <v>2.3988362958293519</v>
      </c>
      <c r="R34" s="217">
        <f t="shared" si="33"/>
        <v>2.4452904899069638</v>
      </c>
      <c r="S34" s="217">
        <f t="shared" si="33"/>
        <v>2.3522906370436401</v>
      </c>
      <c r="T34" s="217">
        <f t="shared" si="33"/>
        <v>2.2745452506747901</v>
      </c>
      <c r="U34" s="217">
        <f t="shared" si="33"/>
        <v>2.4538033479650045</v>
      </c>
      <c r="V34" s="217">
        <f t="shared" si="33"/>
        <v>2.5958239893152402</v>
      </c>
      <c r="W34" s="217">
        <f t="shared" si="33"/>
        <v>2.7206683751335325</v>
      </c>
      <c r="X34" s="217">
        <f t="shared" si="33"/>
        <v>2.4600683819251516</v>
      </c>
      <c r="Y34" s="217">
        <f t="shared" si="33"/>
        <v>2.6574664729858051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18.581685296646608</v>
      </c>
      <c r="C5" s="80">
        <f t="shared" ref="C5:W5" si="1">SUM(C6:C9,C16:C17,C25:C27)</f>
        <v>20.138779019776436</v>
      </c>
      <c r="D5" s="80">
        <f t="shared" si="1"/>
        <v>19.458899398108333</v>
      </c>
      <c r="E5" s="80">
        <f t="shared" si="1"/>
        <v>21.306706792777302</v>
      </c>
      <c r="F5" s="80">
        <f t="shared" si="1"/>
        <v>21.76595012897678</v>
      </c>
      <c r="G5" s="80">
        <f t="shared" si="1"/>
        <v>22.369561478933779</v>
      </c>
      <c r="H5" s="80">
        <f t="shared" si="1"/>
        <v>23.247205503009457</v>
      </c>
      <c r="I5" s="80">
        <f t="shared" si="1"/>
        <v>24.957953568357691</v>
      </c>
      <c r="J5" s="80">
        <f t="shared" si="1"/>
        <v>25.862854686156489</v>
      </c>
      <c r="K5" s="80">
        <f t="shared" si="1"/>
        <v>29.796130696474634</v>
      </c>
      <c r="L5" s="80">
        <f t="shared" si="1"/>
        <v>29.279105760963031</v>
      </c>
      <c r="M5" s="80">
        <f t="shared" si="1"/>
        <v>24.998108340498707</v>
      </c>
      <c r="N5" s="80">
        <f t="shared" si="1"/>
        <v>24.983147033533957</v>
      </c>
      <c r="O5" s="80">
        <f t="shared" si="1"/>
        <v>26.398710232158212</v>
      </c>
      <c r="P5" s="80">
        <f t="shared" si="1"/>
        <v>25.351332760103173</v>
      </c>
      <c r="Q5" s="80">
        <f t="shared" si="1"/>
        <v>25.032588134135839</v>
      </c>
      <c r="R5" s="80">
        <f t="shared" si="1"/>
        <v>28.898624247635425</v>
      </c>
      <c r="S5" s="80">
        <f t="shared" si="1"/>
        <v>26.889165950128962</v>
      </c>
      <c r="T5" s="80">
        <f t="shared" si="1"/>
        <v>26.656147893379188</v>
      </c>
      <c r="U5" s="80">
        <f t="shared" si="1"/>
        <v>24.351332760103165</v>
      </c>
      <c r="V5" s="80">
        <f t="shared" si="1"/>
        <v>28.106706792777292</v>
      </c>
      <c r="W5" s="80">
        <f t="shared" si="1"/>
        <v>27.141358555460013</v>
      </c>
      <c r="X5" s="80">
        <f t="shared" ref="X5:Y5" si="2">SUM(X6:X9,X16:X17,X25:X27)</f>
        <v>25.443164230438526</v>
      </c>
      <c r="Y5" s="80">
        <f t="shared" si="2"/>
        <v>23.797936371453126</v>
      </c>
      <c r="DA5" s="103"/>
    </row>
    <row r="6" spans="1:105" x14ac:dyDescent="0.25">
      <c r="A6" s="238" t="s">
        <v>125</v>
      </c>
      <c r="B6" s="239">
        <v>0.48234541602853542</v>
      </c>
      <c r="C6" s="239">
        <v>0.55255843491570678</v>
      </c>
      <c r="D6" s="239">
        <v>0.46776734331329939</v>
      </c>
      <c r="E6" s="239">
        <v>0.50403458072466234</v>
      </c>
      <c r="F6" s="239">
        <v>0.55183619560779407</v>
      </c>
      <c r="G6" s="239">
        <v>0.49131447064189748</v>
      </c>
      <c r="H6" s="239">
        <v>0.46974696728874171</v>
      </c>
      <c r="I6" s="239">
        <v>0.47184126467846937</v>
      </c>
      <c r="J6" s="239">
        <v>0.47261588955894113</v>
      </c>
      <c r="K6" s="239">
        <v>0.57923254929182122</v>
      </c>
      <c r="L6" s="239">
        <v>0.61152081770810818</v>
      </c>
      <c r="M6" s="239">
        <v>0.66951535952972563</v>
      </c>
      <c r="N6" s="239">
        <v>0.57520904112290139</v>
      </c>
      <c r="O6" s="239">
        <v>0.60451484148578416</v>
      </c>
      <c r="P6" s="239">
        <v>0.58711077390785449</v>
      </c>
      <c r="Q6" s="239">
        <v>0.56213551026512909</v>
      </c>
      <c r="R6" s="239">
        <v>0.54388983286272807</v>
      </c>
      <c r="S6" s="239">
        <v>0.52314021105516784</v>
      </c>
      <c r="T6" s="239">
        <v>0.50328124656178452</v>
      </c>
      <c r="U6" s="239">
        <v>0.4988583049441746</v>
      </c>
      <c r="V6" s="239">
        <v>0.55284148526734478</v>
      </c>
      <c r="W6" s="239">
        <v>0.54274358944120848</v>
      </c>
      <c r="X6" s="239">
        <v>0.57149904890441183</v>
      </c>
      <c r="Y6" s="239">
        <v>0.55831824928472074</v>
      </c>
      <c r="DA6" s="267" t="s">
        <v>995</v>
      </c>
    </row>
    <row r="7" spans="1:105" x14ac:dyDescent="0.25">
      <c r="A7" s="240" t="s">
        <v>124</v>
      </c>
      <c r="B7" s="241">
        <v>0.31352452041854789</v>
      </c>
      <c r="C7" s="241">
        <v>0.35916298269520941</v>
      </c>
      <c r="D7" s="241">
        <v>0.30404877315364459</v>
      </c>
      <c r="E7" s="241">
        <v>0.3276224774710304</v>
      </c>
      <c r="F7" s="241">
        <v>0.35869352714506608</v>
      </c>
      <c r="G7" s="241">
        <v>0.31935440591723319</v>
      </c>
      <c r="H7" s="241">
        <v>0.30533552873768199</v>
      </c>
      <c r="I7" s="241">
        <v>0.30669682204100501</v>
      </c>
      <c r="J7" s="241">
        <v>0.30720032821331161</v>
      </c>
      <c r="K7" s="241">
        <v>0.37650115703968368</v>
      </c>
      <c r="L7" s="241">
        <v>0.39748853151027008</v>
      </c>
      <c r="M7" s="241">
        <v>0.43518498369432163</v>
      </c>
      <c r="N7" s="241">
        <v>0.37388587672988582</v>
      </c>
      <c r="O7" s="241">
        <v>0.39293464696575953</v>
      </c>
      <c r="P7" s="241">
        <v>0.38162200304010552</v>
      </c>
      <c r="Q7" s="241">
        <v>0.36538808167233372</v>
      </c>
      <c r="R7" s="241">
        <v>0.35352839136077319</v>
      </c>
      <c r="S7" s="241">
        <v>0.34004113718585899</v>
      </c>
      <c r="T7" s="241">
        <v>0.32713281026515978</v>
      </c>
      <c r="U7" s="241">
        <v>0.32425789821371342</v>
      </c>
      <c r="V7" s="241">
        <v>0.35934696542377398</v>
      </c>
      <c r="W7" s="241">
        <v>0.35278333313678562</v>
      </c>
      <c r="X7" s="241">
        <v>0.37147438178786768</v>
      </c>
      <c r="Y7" s="241">
        <v>0.36290686203506839</v>
      </c>
      <c r="DA7" s="268" t="s">
        <v>996</v>
      </c>
    </row>
    <row r="8" spans="1:105" x14ac:dyDescent="0.25">
      <c r="A8" s="240" t="s">
        <v>123</v>
      </c>
      <c r="B8" s="241">
        <v>0.43411087442568191</v>
      </c>
      <c r="C8" s="241">
        <v>0.49730259142413608</v>
      </c>
      <c r="D8" s="241">
        <v>0.42099060898196933</v>
      </c>
      <c r="E8" s="241">
        <v>0.45363112265219591</v>
      </c>
      <c r="F8" s="241">
        <v>0.49665257604701468</v>
      </c>
      <c r="G8" s="241">
        <v>0.44218302357770772</v>
      </c>
      <c r="H8" s="241">
        <v>0.42277227055986771</v>
      </c>
      <c r="I8" s="241">
        <v>0.42465713821062251</v>
      </c>
      <c r="J8" s="241">
        <v>0.42535430060304691</v>
      </c>
      <c r="K8" s="241">
        <v>0.52130929436263918</v>
      </c>
      <c r="L8" s="241">
        <v>0.55036873593729696</v>
      </c>
      <c r="M8" s="241">
        <v>0.60256382357675309</v>
      </c>
      <c r="N8" s="241">
        <v>0.51768813701061134</v>
      </c>
      <c r="O8" s="241">
        <v>0.54406335733720546</v>
      </c>
      <c r="P8" s="241">
        <v>0.52839969651706897</v>
      </c>
      <c r="Q8" s="241">
        <v>0.50592195923861594</v>
      </c>
      <c r="R8" s="241">
        <v>0.48950084957645551</v>
      </c>
      <c r="S8" s="241">
        <v>0.47082618994965098</v>
      </c>
      <c r="T8" s="241">
        <v>0.45295312190560599</v>
      </c>
      <c r="U8" s="241">
        <v>0.44897247444975708</v>
      </c>
      <c r="V8" s="241">
        <v>0.4975573367406102</v>
      </c>
      <c r="W8" s="241">
        <v>0.48846923049708768</v>
      </c>
      <c r="X8" s="241">
        <v>0.51434914401397069</v>
      </c>
      <c r="Y8" s="241">
        <v>0.5024864243562488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3.5930485554320004</v>
      </c>
      <c r="C9" s="243">
        <f t="shared" ref="C9:W9" si="4">SUM(C10:C15)</f>
        <v>3.9630973920369779</v>
      </c>
      <c r="D9" s="243">
        <f t="shared" si="4"/>
        <v>3.8653851309248886</v>
      </c>
      <c r="E9" s="243">
        <f t="shared" si="4"/>
        <v>4.2528881247245307</v>
      </c>
      <c r="F9" s="243">
        <f t="shared" si="4"/>
        <v>4.3389933072560485</v>
      </c>
      <c r="G9" s="243">
        <f t="shared" si="4"/>
        <v>4.5372559889140796</v>
      </c>
      <c r="H9" s="243">
        <f t="shared" si="4"/>
        <v>4.7700790091884704</v>
      </c>
      <c r="I9" s="243">
        <f t="shared" si="4"/>
        <v>5.1632759237405912</v>
      </c>
      <c r="J9" s="243">
        <f t="shared" si="4"/>
        <v>5.3913739400374689</v>
      </c>
      <c r="K9" s="243">
        <f t="shared" si="4"/>
        <v>6.1856432887241555</v>
      </c>
      <c r="L9" s="243">
        <f t="shared" si="4"/>
        <v>5.9966342283331855</v>
      </c>
      <c r="M9" s="243">
        <f t="shared" si="4"/>
        <v>5.0243364944708002</v>
      </c>
      <c r="N9" s="243">
        <f t="shared" si="4"/>
        <v>5.0777956014194396</v>
      </c>
      <c r="O9" s="243">
        <f t="shared" si="4"/>
        <v>5.3448783674892439</v>
      </c>
      <c r="P9" s="243">
        <f t="shared" si="4"/>
        <v>5.100621178975743</v>
      </c>
      <c r="Q9" s="243">
        <f t="shared" si="4"/>
        <v>5.0495655965880024</v>
      </c>
      <c r="R9" s="243">
        <f t="shared" si="4"/>
        <v>5.9398487251546248</v>
      </c>
      <c r="S9" s="243">
        <f t="shared" si="4"/>
        <v>5.5301181242365747</v>
      </c>
      <c r="T9" s="243">
        <f t="shared" si="4"/>
        <v>5.5242386485172439</v>
      </c>
      <c r="U9" s="243">
        <f t="shared" si="4"/>
        <v>4.9529744775447258</v>
      </c>
      <c r="V9" s="243">
        <f t="shared" si="4"/>
        <v>5.7084727795095205</v>
      </c>
      <c r="W9" s="243">
        <f t="shared" si="4"/>
        <v>5.4740177544793998</v>
      </c>
      <c r="X9" s="243">
        <f t="shared" ref="X9:Y9" si="5">SUM(X10:X15)</f>
        <v>5.1178263853858308</v>
      </c>
      <c r="Y9" s="243">
        <f t="shared" si="5"/>
        <v>4.7244787508838257</v>
      </c>
      <c r="DA9" s="269"/>
    </row>
    <row r="10" spans="1:105" x14ac:dyDescent="0.25">
      <c r="A10" s="253" t="s">
        <v>166</v>
      </c>
      <c r="B10" s="254">
        <v>3.0439246053363629</v>
      </c>
      <c r="C10" s="254">
        <v>3.236799926678517</v>
      </c>
      <c r="D10" s="254">
        <v>3.31172840418323</v>
      </c>
      <c r="E10" s="254">
        <v>3.4769143573141958</v>
      </c>
      <c r="F10" s="254">
        <v>3.2415683569121692</v>
      </c>
      <c r="G10" s="254">
        <v>3.3126675292717351</v>
      </c>
      <c r="H10" s="254">
        <v>3.3881656500250221</v>
      </c>
      <c r="I10" s="254">
        <v>3.637273294559213</v>
      </c>
      <c r="J10" s="254">
        <v>3.6026498853145532</v>
      </c>
      <c r="K10" s="254">
        <v>3.9722809290724919</v>
      </c>
      <c r="L10" s="254">
        <v>4.1423589256902291</v>
      </c>
      <c r="M10" s="254">
        <v>3.0729774779210168</v>
      </c>
      <c r="N10" s="254">
        <v>3.332316749748105</v>
      </c>
      <c r="O10" s="254">
        <v>3.7387391807121402</v>
      </c>
      <c r="P10" s="254">
        <v>3.8372800701913738</v>
      </c>
      <c r="Q10" s="254">
        <v>3.8483664599483172</v>
      </c>
      <c r="R10" s="254">
        <v>4.620482986976099</v>
      </c>
      <c r="S10" s="254">
        <v>4.0430375317725353</v>
      </c>
      <c r="T10" s="254">
        <v>3.8055477603645498</v>
      </c>
      <c r="U10" s="254">
        <v>3.8998444206309659</v>
      </c>
      <c r="V10" s="254">
        <v>4.9136364648953652</v>
      </c>
      <c r="W10" s="254">
        <v>5.0859044194490144</v>
      </c>
      <c r="X10" s="254">
        <v>4.0646438623083467</v>
      </c>
      <c r="Y10" s="254">
        <v>4.2517680489858201</v>
      </c>
      <c r="DA10" s="270" t="s">
        <v>998</v>
      </c>
    </row>
    <row r="11" spans="1:105" x14ac:dyDescent="0.25">
      <c r="A11" s="253" t="s">
        <v>169</v>
      </c>
      <c r="B11" s="255">
        <v>7.1513110543916111E-2</v>
      </c>
      <c r="C11" s="255">
        <v>0.1546958301890434</v>
      </c>
      <c r="D11" s="255">
        <v>0.2030695388279723</v>
      </c>
      <c r="E11" s="255">
        <v>0.41385948228182501</v>
      </c>
      <c r="F11" s="255">
        <v>0.63141246274579355</v>
      </c>
      <c r="G11" s="255">
        <v>0.93154774221919723</v>
      </c>
      <c r="H11" s="255">
        <v>1.151972356364052</v>
      </c>
      <c r="I11" s="255">
        <v>1.3280292442361681</v>
      </c>
      <c r="J11" s="255">
        <v>1.6059737509964731</v>
      </c>
      <c r="K11" s="255">
        <v>1.9561287167693899</v>
      </c>
      <c r="L11" s="255">
        <v>1.531655830543089</v>
      </c>
      <c r="M11" s="255">
        <v>1.314069089675264</v>
      </c>
      <c r="N11" s="255">
        <v>1.36486025605176</v>
      </c>
      <c r="O11" s="255">
        <v>1.209280891263218</v>
      </c>
      <c r="P11" s="255">
        <v>0.86510306019632877</v>
      </c>
      <c r="Q11" s="255">
        <v>0.84661443427483418</v>
      </c>
      <c r="R11" s="255">
        <v>1.091781367723287</v>
      </c>
      <c r="S11" s="255">
        <v>1.251964794164188</v>
      </c>
      <c r="T11" s="255">
        <v>1.5085279026809411</v>
      </c>
      <c r="U11" s="255">
        <v>0.79901229447203248</v>
      </c>
      <c r="V11" s="255">
        <v>0.53685973349464167</v>
      </c>
      <c r="W11" s="255">
        <v>0.1234993814880582</v>
      </c>
      <c r="X11" s="255">
        <v>0.69133124906974452</v>
      </c>
      <c r="Y11" s="255">
        <v>7.6683719065965397E-2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1002</v>
      </c>
    </row>
    <row r="15" spans="1:105" x14ac:dyDescent="0.25">
      <c r="A15" s="253" t="s">
        <v>24</v>
      </c>
      <c r="B15" s="255">
        <v>0.47761083955172129</v>
      </c>
      <c r="C15" s="255">
        <v>0.57160163516941731</v>
      </c>
      <c r="D15" s="255">
        <v>0.3505871879136862</v>
      </c>
      <c r="E15" s="255">
        <v>0.36211428512850963</v>
      </c>
      <c r="F15" s="255">
        <v>0.46601248759808528</v>
      </c>
      <c r="G15" s="255">
        <v>0.29304071742314669</v>
      </c>
      <c r="H15" s="255">
        <v>0.2299410027993968</v>
      </c>
      <c r="I15" s="255">
        <v>0.19797338494521019</v>
      </c>
      <c r="J15" s="255">
        <v>0.1827503037264423</v>
      </c>
      <c r="K15" s="255">
        <v>0.25723364288227368</v>
      </c>
      <c r="L15" s="255">
        <v>0.3226194720998668</v>
      </c>
      <c r="M15" s="255">
        <v>0.63728992687451913</v>
      </c>
      <c r="N15" s="255">
        <v>0.38061859561957428</v>
      </c>
      <c r="O15" s="255">
        <v>0.39685829551388568</v>
      </c>
      <c r="P15" s="255">
        <v>0.39823804858804013</v>
      </c>
      <c r="Q15" s="255">
        <v>0.35458470236485062</v>
      </c>
      <c r="R15" s="255">
        <v>0.22758437045523891</v>
      </c>
      <c r="S15" s="255">
        <v>0.2351157982998511</v>
      </c>
      <c r="T15" s="255">
        <v>0.21016298547175249</v>
      </c>
      <c r="U15" s="255">
        <v>0.25411776244172718</v>
      </c>
      <c r="V15" s="255">
        <v>0.25797658111951322</v>
      </c>
      <c r="W15" s="255">
        <v>0.2646139535423272</v>
      </c>
      <c r="X15" s="255">
        <v>0.36185127400773981</v>
      </c>
      <c r="Y15" s="255">
        <v>0.39602698283204069</v>
      </c>
      <c r="DA15" s="271" t="s">
        <v>1003</v>
      </c>
    </row>
    <row r="16" spans="1:105" x14ac:dyDescent="0.25">
      <c r="A16" s="256" t="s">
        <v>168</v>
      </c>
      <c r="B16" s="257">
        <v>4.8380896821531447</v>
      </c>
      <c r="C16" s="257">
        <v>5.281909637417904</v>
      </c>
      <c r="D16" s="257">
        <v>5.2130718914722154</v>
      </c>
      <c r="E16" s="257">
        <v>5.6851573295281312</v>
      </c>
      <c r="F16" s="257">
        <v>5.6977225449288778</v>
      </c>
      <c r="G16" s="257">
        <v>5.9285611532631064</v>
      </c>
      <c r="H16" s="257">
        <v>6.1884522693346904</v>
      </c>
      <c r="I16" s="257">
        <v>6.6764826151387533</v>
      </c>
      <c r="J16" s="257">
        <v>6.8892205724338123</v>
      </c>
      <c r="K16" s="257">
        <v>7.8510983872485456</v>
      </c>
      <c r="L16" s="257">
        <v>7.7408561847635067</v>
      </c>
      <c r="M16" s="257">
        <v>6.3304668497151146</v>
      </c>
      <c r="N16" s="257">
        <v>6.4956488023534389</v>
      </c>
      <c r="O16" s="257">
        <v>6.9271745863638046</v>
      </c>
      <c r="P16" s="257">
        <v>6.7084482941240164</v>
      </c>
      <c r="Q16" s="257">
        <v>6.6565213532802296</v>
      </c>
      <c r="R16" s="257">
        <v>7.8352143822484752</v>
      </c>
      <c r="S16" s="257">
        <v>7.2103961798952243</v>
      </c>
      <c r="T16" s="257">
        <v>7.1101211841289</v>
      </c>
      <c r="U16" s="257">
        <v>6.5617657017372073</v>
      </c>
      <c r="V16" s="257">
        <v>7.687889931549738</v>
      </c>
      <c r="W16" s="257">
        <v>7.4812941120417857</v>
      </c>
      <c r="X16" s="257">
        <v>6.8013098616179999</v>
      </c>
      <c r="Y16" s="257">
        <v>6.4305154733290371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6.809140727183113</v>
      </c>
      <c r="C17" s="257">
        <f t="shared" ref="C17:W17" si="7">SUM(C18:C24)</f>
        <v>7.1160168609296779</v>
      </c>
      <c r="D17" s="257">
        <f t="shared" si="7"/>
        <v>7.0398704508897127</v>
      </c>
      <c r="E17" s="257">
        <f t="shared" si="7"/>
        <v>7.7560380754935476</v>
      </c>
      <c r="F17" s="257">
        <f t="shared" si="7"/>
        <v>7.875188428490798</v>
      </c>
      <c r="G17" s="257">
        <f t="shared" si="7"/>
        <v>8.3079495509480701</v>
      </c>
      <c r="H17" s="257">
        <f t="shared" si="7"/>
        <v>8.7507767116292463</v>
      </c>
      <c r="I17" s="257">
        <f t="shared" si="7"/>
        <v>9.4760469316156168</v>
      </c>
      <c r="J17" s="257">
        <f t="shared" si="7"/>
        <v>9.8953595800261915</v>
      </c>
      <c r="K17" s="257">
        <f t="shared" si="7"/>
        <v>11.354572290036476</v>
      </c>
      <c r="L17" s="257">
        <f t="shared" si="7"/>
        <v>10.99654123325517</v>
      </c>
      <c r="M17" s="257">
        <f t="shared" si="7"/>
        <v>9.07927623712024</v>
      </c>
      <c r="N17" s="257">
        <f t="shared" si="7"/>
        <v>9.2854643738221885</v>
      </c>
      <c r="O17" s="257">
        <f t="shared" si="7"/>
        <v>9.7729687449369624</v>
      </c>
      <c r="P17" s="257">
        <f t="shared" si="7"/>
        <v>9.3176251713835558</v>
      </c>
      <c r="Q17" s="257">
        <f t="shared" si="7"/>
        <v>9.2367175812893656</v>
      </c>
      <c r="R17" s="257">
        <f t="shared" si="7"/>
        <v>10.898510235846029</v>
      </c>
      <c r="S17" s="257">
        <f t="shared" si="7"/>
        <v>10.147412875294052</v>
      </c>
      <c r="T17" s="257">
        <f t="shared" si="7"/>
        <v>10.139112788597606</v>
      </c>
      <c r="U17" s="257">
        <f t="shared" si="7"/>
        <v>9.0814030925593165</v>
      </c>
      <c r="V17" s="257">
        <f t="shared" si="7"/>
        <v>10.468844536271909</v>
      </c>
      <c r="W17" s="257">
        <f t="shared" si="7"/>
        <v>10.034735731054626</v>
      </c>
      <c r="X17" s="257">
        <f t="shared" ref="X17:Y17" si="8">SUM(X18:X24)</f>
        <v>9.3596043687552957</v>
      </c>
      <c r="Y17" s="257">
        <f t="shared" si="8"/>
        <v>8.6156737624675834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1005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DA19" s="101" t="s">
        <v>1006</v>
      </c>
    </row>
    <row r="20" spans="1:105" x14ac:dyDescent="0.25">
      <c r="A20" s="61" t="s">
        <v>166</v>
      </c>
      <c r="B20" s="55">
        <v>5.6483236572071087</v>
      </c>
      <c r="C20" s="55">
        <v>6.7914349611258347</v>
      </c>
      <c r="D20" s="55">
        <v>6.6331377541458174</v>
      </c>
      <c r="E20" s="55">
        <v>6.931032553503309</v>
      </c>
      <c r="F20" s="55">
        <v>6.5912956462229806</v>
      </c>
      <c r="G20" s="55">
        <v>6.4844671987114966</v>
      </c>
      <c r="H20" s="55">
        <v>6.5304360844665288</v>
      </c>
      <c r="I20" s="55">
        <v>6.9415654278978121</v>
      </c>
      <c r="J20" s="55">
        <v>6.8443255925813364</v>
      </c>
      <c r="K20" s="55">
        <v>7.6080354867383324</v>
      </c>
      <c r="L20" s="55">
        <v>8.0281110794175206</v>
      </c>
      <c r="M20" s="55">
        <v>6.3597253784750629</v>
      </c>
      <c r="N20" s="55">
        <v>6.5873839593166377</v>
      </c>
      <c r="O20" s="55">
        <v>7.3844852339056839</v>
      </c>
      <c r="P20" s="55">
        <v>7.6034505016429241</v>
      </c>
      <c r="Q20" s="55">
        <v>7.5711222134228828</v>
      </c>
      <c r="R20" s="55">
        <v>8.8154850688386084</v>
      </c>
      <c r="S20" s="55">
        <v>7.7481308939647837</v>
      </c>
      <c r="T20" s="55">
        <v>7.2608823079154723</v>
      </c>
      <c r="U20" s="55">
        <v>7.5371651721544213</v>
      </c>
      <c r="V20" s="55">
        <v>9.4376905122768235</v>
      </c>
      <c r="W20" s="55">
        <v>9.7968421632804326</v>
      </c>
      <c r="X20" s="55">
        <v>7.9990869506615496</v>
      </c>
      <c r="Y20" s="55">
        <v>8.4630367592689915</v>
      </c>
      <c r="DA20" s="101" t="s">
        <v>1007</v>
      </c>
    </row>
    <row r="21" spans="1:105" x14ac:dyDescent="0.25">
      <c r="A21" s="61" t="s">
        <v>129</v>
      </c>
      <c r="B21" s="55">
        <v>1.0281169389091791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1" t="s">
        <v>1008</v>
      </c>
    </row>
    <row r="22" spans="1:105" x14ac:dyDescent="0.25">
      <c r="A22" s="61" t="s">
        <v>169</v>
      </c>
      <c r="B22" s="55">
        <v>0.13270013106682491</v>
      </c>
      <c r="C22" s="55">
        <v>0.32458189980384361</v>
      </c>
      <c r="D22" s="55">
        <v>0.40673269674389551</v>
      </c>
      <c r="E22" s="55">
        <v>0.82500552199023891</v>
      </c>
      <c r="F22" s="55">
        <v>1.283892782267817</v>
      </c>
      <c r="G22" s="55">
        <v>1.8234823522365731</v>
      </c>
      <c r="H22" s="55">
        <v>2.220340627162718</v>
      </c>
      <c r="I22" s="55">
        <v>2.5344815037178039</v>
      </c>
      <c r="J22" s="55">
        <v>3.0510339874448551</v>
      </c>
      <c r="K22" s="55">
        <v>3.7465368032981439</v>
      </c>
      <c r="L22" s="55">
        <v>2.9684301538376499</v>
      </c>
      <c r="M22" s="55">
        <v>2.719550858645178</v>
      </c>
      <c r="N22" s="55">
        <v>2.6980804145055508</v>
      </c>
      <c r="O22" s="55">
        <v>2.3884835110312781</v>
      </c>
      <c r="P22" s="55">
        <v>1.714174669740631</v>
      </c>
      <c r="Q22" s="55">
        <v>1.6655953678664821</v>
      </c>
      <c r="R22" s="55">
        <v>2.0830251670074209</v>
      </c>
      <c r="S22" s="55">
        <v>2.3992819813292678</v>
      </c>
      <c r="T22" s="55">
        <v>2.8782304806821339</v>
      </c>
      <c r="U22" s="55">
        <v>1.544237920404895</v>
      </c>
      <c r="V22" s="55">
        <v>1.031154023995086</v>
      </c>
      <c r="W22" s="55">
        <v>0.23789356777419329</v>
      </c>
      <c r="X22" s="55">
        <v>1.360517418093746</v>
      </c>
      <c r="Y22" s="55">
        <v>0.15263700319859241</v>
      </c>
      <c r="DA22" s="101" t="s">
        <v>1009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1011</v>
      </c>
    </row>
    <row r="25" spans="1:105" x14ac:dyDescent="0.25">
      <c r="A25" s="256" t="s">
        <v>167</v>
      </c>
      <c r="B25" s="257">
        <v>0.92967925173567045</v>
      </c>
      <c r="C25" s="257">
        <v>1.014962954813343</v>
      </c>
      <c r="D25" s="257">
        <v>1.0017352082550199</v>
      </c>
      <c r="E25" s="257">
        <v>1.0924503594077799</v>
      </c>
      <c r="F25" s="257">
        <v>1.0948648702620849</v>
      </c>
      <c r="G25" s="257">
        <v>1.139222432599037</v>
      </c>
      <c r="H25" s="257">
        <v>1.1891626764133381</v>
      </c>
      <c r="I25" s="257">
        <v>1.282941774470383</v>
      </c>
      <c r="J25" s="257">
        <v>1.3238211458643061</v>
      </c>
      <c r="K25" s="257">
        <v>1.50865398400635</v>
      </c>
      <c r="L25" s="257">
        <v>1.4874700260706279</v>
      </c>
      <c r="M25" s="257">
        <v>1.216451961543924</v>
      </c>
      <c r="N25" s="257">
        <v>1.248193050324381</v>
      </c>
      <c r="O25" s="257">
        <v>1.331114325939277</v>
      </c>
      <c r="P25" s="257">
        <v>1.289084246080586</v>
      </c>
      <c r="Q25" s="257">
        <v>1.2791060516525961</v>
      </c>
      <c r="R25" s="257">
        <v>1.505601740072654</v>
      </c>
      <c r="S25" s="257">
        <v>1.3855377154272721</v>
      </c>
      <c r="T25" s="257">
        <v>1.3662690393265129</v>
      </c>
      <c r="U25" s="257">
        <v>1.2608979635410431</v>
      </c>
      <c r="V25" s="257">
        <v>1.4772921191094019</v>
      </c>
      <c r="W25" s="257">
        <v>1.43759301067816</v>
      </c>
      <c r="X25" s="257">
        <v>1.3069283701573411</v>
      </c>
      <c r="Y25" s="257">
        <v>1.2356771383490761</v>
      </c>
      <c r="DA25" s="272" t="s">
        <v>1012</v>
      </c>
    </row>
    <row r="26" spans="1:105" x14ac:dyDescent="0.25">
      <c r="A26" s="256" t="s">
        <v>170</v>
      </c>
      <c r="B26" s="257">
        <v>0.48234541602853542</v>
      </c>
      <c r="C26" s="257">
        <v>0.55255843491570678</v>
      </c>
      <c r="D26" s="257">
        <v>0.46776734331329939</v>
      </c>
      <c r="E26" s="257">
        <v>0.50403458072466234</v>
      </c>
      <c r="F26" s="257">
        <v>0.55183619560779407</v>
      </c>
      <c r="G26" s="257">
        <v>0.49131447064189748</v>
      </c>
      <c r="H26" s="257">
        <v>0.46974696728874171</v>
      </c>
      <c r="I26" s="257">
        <v>0.47184126467846937</v>
      </c>
      <c r="J26" s="257">
        <v>0.47261588955894113</v>
      </c>
      <c r="K26" s="257">
        <v>0.57923254929182122</v>
      </c>
      <c r="L26" s="257">
        <v>0.61152081770810818</v>
      </c>
      <c r="M26" s="257">
        <v>0.66951535952972563</v>
      </c>
      <c r="N26" s="257">
        <v>0.57520904112290139</v>
      </c>
      <c r="O26" s="257">
        <v>0.60451484148578416</v>
      </c>
      <c r="P26" s="257">
        <v>0.58711077390785449</v>
      </c>
      <c r="Q26" s="257">
        <v>0.56213551026512909</v>
      </c>
      <c r="R26" s="257">
        <v>0.54388983286272807</v>
      </c>
      <c r="S26" s="257">
        <v>0.52314021105516784</v>
      </c>
      <c r="T26" s="257">
        <v>0.50328124656178452</v>
      </c>
      <c r="U26" s="257">
        <v>0.4988583049441746</v>
      </c>
      <c r="V26" s="257">
        <v>0.55284148526734478</v>
      </c>
      <c r="W26" s="257">
        <v>0.54274358944120848</v>
      </c>
      <c r="X26" s="257">
        <v>0.57149904890441183</v>
      </c>
      <c r="Y26" s="257">
        <v>0.55831824928472074</v>
      </c>
      <c r="DA26" s="272" t="s">
        <v>1013</v>
      </c>
    </row>
    <row r="27" spans="1:105" x14ac:dyDescent="0.25">
      <c r="A27" s="128" t="s">
        <v>33</v>
      </c>
      <c r="B27" s="258">
        <v>0.69940085324137624</v>
      </c>
      <c r="C27" s="258">
        <v>0.8012097306277749</v>
      </c>
      <c r="D27" s="258">
        <v>0.67826264780428414</v>
      </c>
      <c r="E27" s="258">
        <v>0.73085014205076015</v>
      </c>
      <c r="F27" s="258">
        <v>0.80016248363130149</v>
      </c>
      <c r="G27" s="258">
        <v>0.71240598243075137</v>
      </c>
      <c r="H27" s="258">
        <v>0.68113310256867554</v>
      </c>
      <c r="I27" s="258">
        <v>0.6841698337837806</v>
      </c>
      <c r="J27" s="258">
        <v>0.68529303986046475</v>
      </c>
      <c r="K27" s="258">
        <v>0.83988719647314092</v>
      </c>
      <c r="L27" s="258">
        <v>0.8867051856767566</v>
      </c>
      <c r="M27" s="258">
        <v>0.97079727131810234</v>
      </c>
      <c r="N27" s="258">
        <v>0.83405310962820711</v>
      </c>
      <c r="O27" s="258">
        <v>0.87654652015438683</v>
      </c>
      <c r="P27" s="258">
        <v>0.85131062216638909</v>
      </c>
      <c r="Q27" s="258">
        <v>0.81509648988443717</v>
      </c>
      <c r="R27" s="258">
        <v>0.78864025765095591</v>
      </c>
      <c r="S27" s="258">
        <v>0.75855330602999338</v>
      </c>
      <c r="T27" s="258">
        <v>0.72975780751458741</v>
      </c>
      <c r="U27" s="258">
        <v>0.72334454216905331</v>
      </c>
      <c r="V27" s="258">
        <v>0.80162015363764971</v>
      </c>
      <c r="W27" s="258">
        <v>0.78697820468975244</v>
      </c>
      <c r="X27" s="258">
        <v>0.82867362091139718</v>
      </c>
      <c r="Y27" s="258">
        <v>0.80956146146284536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0.99999999999999978</v>
      </c>
      <c r="C31" s="235">
        <f t="shared" si="9"/>
        <v>1</v>
      </c>
      <c r="D31" s="235">
        <f t="shared" si="9"/>
        <v>1</v>
      </c>
      <c r="E31" s="235">
        <f t="shared" si="9"/>
        <v>0.99999999999999989</v>
      </c>
      <c r="F31" s="235">
        <f t="shared" si="9"/>
        <v>1</v>
      </c>
      <c r="G31" s="235">
        <f t="shared" si="9"/>
        <v>1</v>
      </c>
      <c r="H31" s="235">
        <f t="shared" si="9"/>
        <v>1</v>
      </c>
      <c r="I31" s="235">
        <f t="shared" si="9"/>
        <v>0.99999999999999989</v>
      </c>
      <c r="J31" s="235">
        <f t="shared" si="9"/>
        <v>0.99999999999999989</v>
      </c>
      <c r="K31" s="235">
        <f t="shared" si="9"/>
        <v>1</v>
      </c>
      <c r="L31" s="235">
        <f t="shared" si="9"/>
        <v>1</v>
      </c>
      <c r="M31" s="235">
        <f t="shared" si="9"/>
        <v>1</v>
      </c>
      <c r="N31" s="235">
        <f t="shared" si="9"/>
        <v>0.99999999999999989</v>
      </c>
      <c r="O31" s="235">
        <f t="shared" si="9"/>
        <v>0.99999999999999978</v>
      </c>
      <c r="P31" s="235">
        <f t="shared" si="9"/>
        <v>1.0000000000000002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1</v>
      </c>
      <c r="T31" s="235">
        <f t="shared" si="10"/>
        <v>0.99999999999999989</v>
      </c>
      <c r="U31" s="235">
        <f t="shared" si="10"/>
        <v>1</v>
      </c>
      <c r="V31" s="235">
        <f t="shared" si="10"/>
        <v>1</v>
      </c>
      <c r="W31" s="235">
        <f t="shared" si="10"/>
        <v>1</v>
      </c>
      <c r="X31" s="235">
        <f t="shared" ref="X31:Y31" si="11">SUM(X32:X40)</f>
        <v>1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2.5958109198824023E-2</v>
      </c>
      <c r="C32" s="244">
        <f t="shared" si="12"/>
        <v>2.7437534041815054E-2</v>
      </c>
      <c r="D32" s="244">
        <f t="shared" si="12"/>
        <v>2.4038735888565858E-2</v>
      </c>
      <c r="E32" s="244">
        <f t="shared" si="12"/>
        <v>2.3656146659676358E-2</v>
      </c>
      <c r="F32" s="244">
        <f t="shared" si="12"/>
        <v>2.5353186621205219E-2</v>
      </c>
      <c r="G32" s="244">
        <f t="shared" si="12"/>
        <v>2.1963527139527792E-2</v>
      </c>
      <c r="H32" s="244">
        <f t="shared" si="12"/>
        <v>2.0206599336334459E-2</v>
      </c>
      <c r="I32" s="244">
        <f t="shared" si="12"/>
        <v>1.8905446850285088E-2</v>
      </c>
      <c r="J32" s="244">
        <f t="shared" si="12"/>
        <v>1.827392587918442E-2</v>
      </c>
      <c r="K32" s="244">
        <f t="shared" si="12"/>
        <v>1.943985798667321E-2</v>
      </c>
      <c r="L32" s="244">
        <f t="shared" si="12"/>
        <v>2.0885911704428859E-2</v>
      </c>
      <c r="M32" s="244">
        <f t="shared" si="12"/>
        <v>2.6782640926676173E-2</v>
      </c>
      <c r="N32" s="244">
        <f t="shared" si="12"/>
        <v>2.302388247368594E-2</v>
      </c>
      <c r="O32" s="244">
        <f t="shared" si="12"/>
        <v>2.2899408197199732E-2</v>
      </c>
      <c r="P32" s="244">
        <f t="shared" si="12"/>
        <v>2.3158970751700435E-2</v>
      </c>
      <c r="Q32" s="244">
        <f t="shared" si="12"/>
        <v>2.2456148251749072E-2</v>
      </c>
      <c r="R32" s="244">
        <f t="shared" si="12"/>
        <v>1.8820613334464557E-2</v>
      </c>
      <c r="S32" s="244">
        <f t="shared" si="12"/>
        <v>1.9455427216501626E-2</v>
      </c>
      <c r="T32" s="244">
        <f t="shared" si="12"/>
        <v>1.8880494232506442E-2</v>
      </c>
      <c r="U32" s="244">
        <f t="shared" si="12"/>
        <v>2.0485872779887272E-2</v>
      </c>
      <c r="V32" s="244">
        <f t="shared" si="12"/>
        <v>1.9669379601932269E-2</v>
      </c>
      <c r="W32" s="244">
        <f t="shared" si="12"/>
        <v>1.9996920505367447E-2</v>
      </c>
      <c r="X32" s="244">
        <f t="shared" si="12"/>
        <v>2.246179145519597E-2</v>
      </c>
      <c r="Y32" s="244">
        <f t="shared" si="12"/>
        <v>2.3460784186079796E-2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1.6872770979235608E-2</v>
      </c>
      <c r="C33" s="245">
        <f t="shared" si="13"/>
        <v>1.7834397127179786E-2</v>
      </c>
      <c r="D33" s="245">
        <f t="shared" si="13"/>
        <v>1.562517832756781E-2</v>
      </c>
      <c r="E33" s="245">
        <f t="shared" si="13"/>
        <v>1.5376495328789628E-2</v>
      </c>
      <c r="F33" s="245">
        <f t="shared" si="13"/>
        <v>1.6479571303783389E-2</v>
      </c>
      <c r="G33" s="245">
        <f t="shared" si="13"/>
        <v>1.4276292640693055E-2</v>
      </c>
      <c r="H33" s="245">
        <f t="shared" si="13"/>
        <v>1.3134289568617395E-2</v>
      </c>
      <c r="I33" s="245">
        <f t="shared" si="13"/>
        <v>1.2288540452685303E-2</v>
      </c>
      <c r="J33" s="245">
        <f t="shared" si="13"/>
        <v>1.1878051821469868E-2</v>
      </c>
      <c r="K33" s="245">
        <f t="shared" si="13"/>
        <v>1.2635907691337583E-2</v>
      </c>
      <c r="L33" s="245">
        <f t="shared" si="13"/>
        <v>1.357584260787875E-2</v>
      </c>
      <c r="M33" s="245">
        <f t="shared" si="13"/>
        <v>1.7408716602339509E-2</v>
      </c>
      <c r="N33" s="245">
        <f t="shared" si="13"/>
        <v>1.4965523607895858E-2</v>
      </c>
      <c r="O33" s="245">
        <f t="shared" si="13"/>
        <v>1.4884615328179819E-2</v>
      </c>
      <c r="P33" s="245">
        <f t="shared" si="13"/>
        <v>1.5053330988605288E-2</v>
      </c>
      <c r="Q33" s="245">
        <f t="shared" si="13"/>
        <v>1.459649636363689E-2</v>
      </c>
      <c r="R33" s="245">
        <f t="shared" si="13"/>
        <v>1.223339866740196E-2</v>
      </c>
      <c r="S33" s="245">
        <f t="shared" si="13"/>
        <v>1.2646027690726053E-2</v>
      </c>
      <c r="T33" s="245">
        <f t="shared" si="13"/>
        <v>1.2272321251129181E-2</v>
      </c>
      <c r="U33" s="245">
        <f t="shared" si="13"/>
        <v>1.3315817306926723E-2</v>
      </c>
      <c r="V33" s="245">
        <f t="shared" si="13"/>
        <v>1.2785096741255969E-2</v>
      </c>
      <c r="W33" s="245">
        <f t="shared" si="13"/>
        <v>1.2997998328488844E-2</v>
      </c>
      <c r="X33" s="245">
        <f t="shared" si="13"/>
        <v>1.4600164445877381E-2</v>
      </c>
      <c r="Y33" s="245">
        <f t="shared" si="13"/>
        <v>1.5249509720951864E-2</v>
      </c>
      <c r="DA33" s="276"/>
    </row>
    <row r="34" spans="1:105" x14ac:dyDescent="0.25">
      <c r="A34" s="240" t="s">
        <v>123</v>
      </c>
      <c r="B34" s="245">
        <f t="shared" ref="B34:Y34" si="14">IF(B$8=0,0,B$8/B$5)</f>
        <v>2.3362298278941623E-2</v>
      </c>
      <c r="C34" s="245">
        <f t="shared" si="14"/>
        <v>2.4693780637633549E-2</v>
      </c>
      <c r="D34" s="245">
        <f t="shared" si="14"/>
        <v>2.1634862299709269E-2</v>
      </c>
      <c r="E34" s="245">
        <f t="shared" si="14"/>
        <v>2.1290531993708714E-2</v>
      </c>
      <c r="F34" s="245">
        <f t="shared" si="14"/>
        <v>2.2817867959084696E-2</v>
      </c>
      <c r="G34" s="245">
        <f t="shared" si="14"/>
        <v>1.9767174425575011E-2</v>
      </c>
      <c r="H34" s="245">
        <f t="shared" si="14"/>
        <v>1.818593940270102E-2</v>
      </c>
      <c r="I34" s="245">
        <f t="shared" si="14"/>
        <v>1.7014902165256581E-2</v>
      </c>
      <c r="J34" s="245">
        <f t="shared" si="14"/>
        <v>1.6446533291265976E-2</v>
      </c>
      <c r="K34" s="245">
        <f t="shared" si="14"/>
        <v>1.7495872188005891E-2</v>
      </c>
      <c r="L34" s="245">
        <f t="shared" si="14"/>
        <v>1.8797320533985959E-2</v>
      </c>
      <c r="M34" s="245">
        <f t="shared" si="14"/>
        <v>2.4104376834008557E-2</v>
      </c>
      <c r="N34" s="245">
        <f t="shared" si="14"/>
        <v>2.072149422631735E-2</v>
      </c>
      <c r="O34" s="245">
        <f t="shared" si="14"/>
        <v>2.0609467377479745E-2</v>
      </c>
      <c r="P34" s="245">
        <f t="shared" si="14"/>
        <v>2.0843073676530391E-2</v>
      </c>
      <c r="Q34" s="245">
        <f t="shared" si="14"/>
        <v>2.0210533426574154E-2</v>
      </c>
      <c r="R34" s="245">
        <f t="shared" si="14"/>
        <v>1.6938552001018112E-2</v>
      </c>
      <c r="S34" s="245">
        <f t="shared" si="14"/>
        <v>1.7509884494851462E-2</v>
      </c>
      <c r="T34" s="245">
        <f t="shared" si="14"/>
        <v>1.6992444809255797E-2</v>
      </c>
      <c r="U34" s="245">
        <f t="shared" si="14"/>
        <v>1.8437285501898541E-2</v>
      </c>
      <c r="V34" s="245">
        <f t="shared" si="14"/>
        <v>1.7702441641739036E-2</v>
      </c>
      <c r="W34" s="245">
        <f t="shared" si="14"/>
        <v>1.7997228454830701E-2</v>
      </c>
      <c r="X34" s="245">
        <f t="shared" si="14"/>
        <v>2.0215612309676376E-2</v>
      </c>
      <c r="Y34" s="245">
        <f t="shared" si="14"/>
        <v>2.1114705767471823E-2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0.19336505263494205</v>
      </c>
      <c r="C35" s="246">
        <f t="shared" si="15"/>
        <v>0.19678935789231242</v>
      </c>
      <c r="D35" s="246">
        <f t="shared" si="15"/>
        <v>0.19864356415248521</v>
      </c>
      <c r="E35" s="246">
        <f t="shared" si="15"/>
        <v>0.1996032594847649</v>
      </c>
      <c r="F35" s="246">
        <f t="shared" si="15"/>
        <v>0.19934775562494708</v>
      </c>
      <c r="G35" s="246">
        <f t="shared" si="15"/>
        <v>0.20283169132246856</v>
      </c>
      <c r="H35" s="246">
        <f t="shared" si="15"/>
        <v>0.20518935097687169</v>
      </c>
      <c r="I35" s="246">
        <f t="shared" si="15"/>
        <v>0.20687897786165929</v>
      </c>
      <c r="J35" s="246">
        <f t="shared" si="15"/>
        <v>0.20846012574641612</v>
      </c>
      <c r="K35" s="246">
        <f t="shared" si="15"/>
        <v>0.20759887757694717</v>
      </c>
      <c r="L35" s="246">
        <f t="shared" si="15"/>
        <v>0.20480933664061288</v>
      </c>
      <c r="M35" s="246">
        <f t="shared" si="15"/>
        <v>0.20098866786376068</v>
      </c>
      <c r="N35" s="246">
        <f t="shared" si="15"/>
        <v>0.20324883789074699</v>
      </c>
      <c r="O35" s="246">
        <f t="shared" si="15"/>
        <v>0.20246740543324931</v>
      </c>
      <c r="P35" s="246">
        <f t="shared" si="15"/>
        <v>0.20119735823131474</v>
      </c>
      <c r="Q35" s="246">
        <f t="shared" si="15"/>
        <v>0.20171967714765107</v>
      </c>
      <c r="R35" s="246">
        <f t="shared" si="15"/>
        <v>0.20554088230136566</v>
      </c>
      <c r="S35" s="246">
        <f t="shared" si="15"/>
        <v>0.2056634309332325</v>
      </c>
      <c r="T35" s="246">
        <f t="shared" si="15"/>
        <v>0.20724069624063518</v>
      </c>
      <c r="U35" s="246">
        <f t="shared" si="15"/>
        <v>0.2033964434858202</v>
      </c>
      <c r="V35" s="246">
        <f t="shared" si="15"/>
        <v>0.20310002241089492</v>
      </c>
      <c r="W35" s="246">
        <f t="shared" si="15"/>
        <v>0.20168547360272776</v>
      </c>
      <c r="X35" s="246">
        <f t="shared" si="15"/>
        <v>0.20114740206971585</v>
      </c>
      <c r="Y35" s="246">
        <f t="shared" si="15"/>
        <v>0.19852472404082422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0.26036872355309254</v>
      </c>
      <c r="C36" s="259">
        <f t="shared" si="16"/>
        <v>0.26227556458269036</v>
      </c>
      <c r="D36" s="259">
        <f t="shared" si="16"/>
        <v>0.26790168266037678</v>
      </c>
      <c r="E36" s="259">
        <f t="shared" si="16"/>
        <v>0.26682477892150497</v>
      </c>
      <c r="F36" s="259">
        <f t="shared" si="16"/>
        <v>0.26177228704312611</v>
      </c>
      <c r="G36" s="259">
        <f t="shared" si="16"/>
        <v>0.26502804531265606</v>
      </c>
      <c r="H36" s="259">
        <f t="shared" si="16"/>
        <v>0.26620198580571619</v>
      </c>
      <c r="I36" s="259">
        <f t="shared" si="16"/>
        <v>0.26750921692567625</v>
      </c>
      <c r="J36" s="259">
        <f t="shared" si="16"/>
        <v>0.2663751026726906</v>
      </c>
      <c r="K36" s="259">
        <f t="shared" si="16"/>
        <v>0.26349389010357166</v>
      </c>
      <c r="L36" s="259">
        <f t="shared" si="16"/>
        <v>0.26438157804273388</v>
      </c>
      <c r="M36" s="259">
        <f t="shared" si="16"/>
        <v>0.25323783557891499</v>
      </c>
      <c r="N36" s="259">
        <f t="shared" si="16"/>
        <v>0.26000122377035084</v>
      </c>
      <c r="O36" s="259">
        <f t="shared" si="16"/>
        <v>0.26240579655006413</v>
      </c>
      <c r="P36" s="259">
        <f t="shared" si="16"/>
        <v>0.26461915661812785</v>
      </c>
      <c r="Q36" s="259">
        <f t="shared" si="16"/>
        <v>0.2659142281897342</v>
      </c>
      <c r="R36" s="259">
        <f t="shared" si="16"/>
        <v>0.27112759123436736</v>
      </c>
      <c r="S36" s="259">
        <f t="shared" si="16"/>
        <v>0.26815246680645527</v>
      </c>
      <c r="T36" s="259">
        <f t="shared" si="16"/>
        <v>0.2667347589970005</v>
      </c>
      <c r="U36" s="259">
        <f t="shared" si="16"/>
        <v>0.26946228226521957</v>
      </c>
      <c r="V36" s="259">
        <f t="shared" si="16"/>
        <v>0.27352510517259637</v>
      </c>
      <c r="W36" s="259">
        <f t="shared" si="16"/>
        <v>0.27564184367391503</v>
      </c>
      <c r="X36" s="259">
        <f t="shared" si="16"/>
        <v>0.26731383722632113</v>
      </c>
      <c r="Y36" s="259">
        <f t="shared" si="16"/>
        <v>0.27021315516427624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0.36644365774572352</v>
      </c>
      <c r="C37" s="259">
        <f t="shared" si="17"/>
        <v>0.35334897184887398</v>
      </c>
      <c r="D37" s="259">
        <f t="shared" si="17"/>
        <v>0.36178153280211128</v>
      </c>
      <c r="E37" s="259">
        <f t="shared" si="17"/>
        <v>0.36401862338119489</v>
      </c>
      <c r="F37" s="259">
        <f t="shared" si="17"/>
        <v>0.3618122977322567</v>
      </c>
      <c r="G37" s="259">
        <f t="shared" si="17"/>
        <v>0.37139528008950756</v>
      </c>
      <c r="H37" s="259">
        <f t="shared" si="17"/>
        <v>0.37642273650897173</v>
      </c>
      <c r="I37" s="259">
        <f t="shared" si="17"/>
        <v>0.37968044558066583</v>
      </c>
      <c r="J37" s="259">
        <f t="shared" si="17"/>
        <v>0.38260894630950554</v>
      </c>
      <c r="K37" s="259">
        <f t="shared" si="17"/>
        <v>0.38107539551703962</v>
      </c>
      <c r="L37" s="259">
        <f t="shared" si="17"/>
        <v>0.37557640329017611</v>
      </c>
      <c r="M37" s="259">
        <f t="shared" si="17"/>
        <v>0.36319853140292097</v>
      </c>
      <c r="N37" s="259">
        <f t="shared" si="17"/>
        <v>0.37166912404424679</v>
      </c>
      <c r="O37" s="259">
        <f t="shared" si="17"/>
        <v>0.37020629640579145</v>
      </c>
      <c r="P37" s="259">
        <f t="shared" si="17"/>
        <v>0.36753985518454596</v>
      </c>
      <c r="Q37" s="259">
        <f t="shared" si="17"/>
        <v>0.36898771840110534</v>
      </c>
      <c r="R37" s="259">
        <f t="shared" si="17"/>
        <v>0.37712903363341871</v>
      </c>
      <c r="S37" s="259">
        <f t="shared" si="17"/>
        <v>0.37737923497197146</v>
      </c>
      <c r="T37" s="259">
        <f t="shared" si="17"/>
        <v>0.38036676676437342</v>
      </c>
      <c r="U37" s="259">
        <f t="shared" si="17"/>
        <v>0.3729324871876476</v>
      </c>
      <c r="V37" s="259">
        <f t="shared" si="17"/>
        <v>0.37246784596486898</v>
      </c>
      <c r="W37" s="259">
        <f t="shared" si="17"/>
        <v>0.36972120281119619</v>
      </c>
      <c r="X37" s="259">
        <f t="shared" si="17"/>
        <v>0.3678632218848818</v>
      </c>
      <c r="Y37" s="259">
        <f t="shared" si="17"/>
        <v>0.36203449021750206</v>
      </c>
      <c r="DA37" s="278"/>
    </row>
    <row r="38" spans="1:105" x14ac:dyDescent="0.25">
      <c r="A38" s="127" t="s">
        <v>167</v>
      </c>
      <c r="B38" s="259">
        <f t="shared" ref="B38:Y38" si="18">IF(B$25=0,0,B$25/B$5)</f>
        <v>5.0032020072121632E-2</v>
      </c>
      <c r="C38" s="259">
        <f t="shared" si="18"/>
        <v>5.0398435467048003E-2</v>
      </c>
      <c r="D38" s="259">
        <f t="shared" si="18"/>
        <v>5.1479540942197484E-2</v>
      </c>
      <c r="E38" s="259">
        <f t="shared" si="18"/>
        <v>5.127260491415344E-2</v>
      </c>
      <c r="F38" s="259">
        <f t="shared" si="18"/>
        <v>5.0301726493643978E-2</v>
      </c>
      <c r="G38" s="259">
        <f t="shared" si="18"/>
        <v>5.0927347577728946E-2</v>
      </c>
      <c r="H38" s="259">
        <f t="shared" si="18"/>
        <v>5.1152930026767969E-2</v>
      </c>
      <c r="I38" s="259">
        <f t="shared" si="18"/>
        <v>5.14041253805732E-2</v>
      </c>
      <c r="J38" s="259">
        <f t="shared" si="18"/>
        <v>5.1186195875465475E-2</v>
      </c>
      <c r="K38" s="259">
        <f t="shared" si="18"/>
        <v>5.0632546869075458E-2</v>
      </c>
      <c r="L38" s="259">
        <f t="shared" si="18"/>
        <v>5.0803123504332838E-2</v>
      </c>
      <c r="M38" s="259">
        <f t="shared" si="18"/>
        <v>4.8661760521022529E-2</v>
      </c>
      <c r="N38" s="259">
        <f t="shared" si="18"/>
        <v>4.9961401926225606E-2</v>
      </c>
      <c r="O38" s="259">
        <f t="shared" si="18"/>
        <v>5.0423460624896312E-2</v>
      </c>
      <c r="P38" s="259">
        <f t="shared" si="18"/>
        <v>5.0848776207509327E-2</v>
      </c>
      <c r="Q38" s="259">
        <f t="shared" si="18"/>
        <v>5.1097635002764076E-2</v>
      </c>
      <c r="R38" s="259">
        <f t="shared" si="18"/>
        <v>5.2099426158525419E-2</v>
      </c>
      <c r="S38" s="259">
        <f t="shared" si="18"/>
        <v>5.1527731205832622E-2</v>
      </c>
      <c r="T38" s="259">
        <f t="shared" si="18"/>
        <v>5.1255306835458571E-2</v>
      </c>
      <c r="U38" s="259">
        <f t="shared" si="18"/>
        <v>5.1779423161876302E-2</v>
      </c>
      <c r="V38" s="259">
        <f t="shared" si="18"/>
        <v>5.2560128441978424E-2</v>
      </c>
      <c r="W38" s="259">
        <f t="shared" si="18"/>
        <v>5.2966877385323817E-2</v>
      </c>
      <c r="X38" s="259">
        <f t="shared" si="18"/>
        <v>5.1366581543101392E-2</v>
      </c>
      <c r="Y38" s="259">
        <f t="shared" si="18"/>
        <v>5.1923709646998453E-2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2.5958109198824023E-2</v>
      </c>
      <c r="C39" s="259">
        <f t="shared" si="19"/>
        <v>2.7437534041815054E-2</v>
      </c>
      <c r="D39" s="259">
        <f t="shared" si="19"/>
        <v>2.4038735888565858E-2</v>
      </c>
      <c r="E39" s="259">
        <f t="shared" si="19"/>
        <v>2.3656146659676358E-2</v>
      </c>
      <c r="F39" s="259">
        <f t="shared" si="19"/>
        <v>2.5353186621205219E-2</v>
      </c>
      <c r="G39" s="259">
        <f t="shared" si="19"/>
        <v>2.1963527139527792E-2</v>
      </c>
      <c r="H39" s="259">
        <f t="shared" si="19"/>
        <v>2.0206599336334459E-2</v>
      </c>
      <c r="I39" s="259">
        <f t="shared" si="19"/>
        <v>1.8905446850285088E-2</v>
      </c>
      <c r="J39" s="259">
        <f t="shared" si="19"/>
        <v>1.827392587918442E-2</v>
      </c>
      <c r="K39" s="259">
        <f t="shared" si="19"/>
        <v>1.943985798667321E-2</v>
      </c>
      <c r="L39" s="259">
        <f t="shared" si="19"/>
        <v>2.0885911704428859E-2</v>
      </c>
      <c r="M39" s="259">
        <f t="shared" si="19"/>
        <v>2.6782640926676173E-2</v>
      </c>
      <c r="N39" s="259">
        <f t="shared" si="19"/>
        <v>2.302388247368594E-2</v>
      </c>
      <c r="O39" s="259">
        <f t="shared" si="19"/>
        <v>2.2899408197199732E-2</v>
      </c>
      <c r="P39" s="259">
        <f t="shared" si="19"/>
        <v>2.3158970751700435E-2</v>
      </c>
      <c r="Q39" s="259">
        <f t="shared" si="19"/>
        <v>2.2456148251749072E-2</v>
      </c>
      <c r="R39" s="259">
        <f t="shared" si="19"/>
        <v>1.8820613334464557E-2</v>
      </c>
      <c r="S39" s="259">
        <f t="shared" si="19"/>
        <v>1.9455427216501626E-2</v>
      </c>
      <c r="T39" s="259">
        <f t="shared" si="19"/>
        <v>1.8880494232506442E-2</v>
      </c>
      <c r="U39" s="259">
        <f t="shared" si="19"/>
        <v>2.0485872779887272E-2</v>
      </c>
      <c r="V39" s="259">
        <f t="shared" si="19"/>
        <v>1.9669379601932269E-2</v>
      </c>
      <c r="W39" s="259">
        <f t="shared" si="19"/>
        <v>1.9996920505367447E-2</v>
      </c>
      <c r="X39" s="259">
        <f t="shared" si="19"/>
        <v>2.246179145519597E-2</v>
      </c>
      <c r="Y39" s="259">
        <f t="shared" si="19"/>
        <v>2.3460784186079796E-2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3.7639258338294825E-2</v>
      </c>
      <c r="C40" s="261">
        <f t="shared" si="20"/>
        <v>3.9784424360631836E-2</v>
      </c>
      <c r="D40" s="261">
        <f t="shared" si="20"/>
        <v>3.4856167038420496E-2</v>
      </c>
      <c r="E40" s="261">
        <f t="shared" si="20"/>
        <v>3.4301412656530708E-2</v>
      </c>
      <c r="F40" s="261">
        <f t="shared" si="20"/>
        <v>3.6762120600747572E-2</v>
      </c>
      <c r="G40" s="261">
        <f t="shared" si="20"/>
        <v>3.1847114352315298E-2</v>
      </c>
      <c r="H40" s="261">
        <f t="shared" si="20"/>
        <v>2.9299569037684971E-2</v>
      </c>
      <c r="I40" s="261">
        <f t="shared" si="20"/>
        <v>2.7412897932913377E-2</v>
      </c>
      <c r="J40" s="261">
        <f t="shared" si="20"/>
        <v>2.6497192524817414E-2</v>
      </c>
      <c r="K40" s="261">
        <f t="shared" si="20"/>
        <v>2.8187794080676159E-2</v>
      </c>
      <c r="L40" s="261">
        <f t="shared" si="20"/>
        <v>3.0284571971421835E-2</v>
      </c>
      <c r="M40" s="261">
        <f t="shared" si="20"/>
        <v>3.8834829343680453E-2</v>
      </c>
      <c r="N40" s="261">
        <f t="shared" si="20"/>
        <v>3.3384629586844621E-2</v>
      </c>
      <c r="O40" s="261">
        <f t="shared" si="20"/>
        <v>3.3204141885939599E-2</v>
      </c>
      <c r="P40" s="261">
        <f t="shared" si="20"/>
        <v>3.3580507589965634E-2</v>
      </c>
      <c r="Q40" s="261">
        <f t="shared" si="20"/>
        <v>3.2561414965036152E-2</v>
      </c>
      <c r="R40" s="261">
        <f t="shared" si="20"/>
        <v>2.7289889334973616E-2</v>
      </c>
      <c r="S40" s="261">
        <f t="shared" si="20"/>
        <v>2.8210369463927361E-2</v>
      </c>
      <c r="T40" s="261">
        <f t="shared" si="20"/>
        <v>2.7376716637134337E-2</v>
      </c>
      <c r="U40" s="261">
        <f t="shared" si="20"/>
        <v>2.9704515530836549E-2</v>
      </c>
      <c r="V40" s="261">
        <f t="shared" si="20"/>
        <v>2.852060042280178E-2</v>
      </c>
      <c r="W40" s="261">
        <f t="shared" si="20"/>
        <v>2.8995534732782803E-2</v>
      </c>
      <c r="X40" s="261">
        <f t="shared" si="20"/>
        <v>3.2569597610034154E-2</v>
      </c>
      <c r="Y40" s="261">
        <f t="shared" si="20"/>
        <v>3.401813706981572E-2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112.47171201628666</v>
      </c>
      <c r="C44" s="236">
        <f t="shared" si="21"/>
        <v>109.81942433546165</v>
      </c>
      <c r="D44" s="236">
        <f t="shared" si="21"/>
        <v>113.80906613357635</v>
      </c>
      <c r="E44" s="236">
        <f t="shared" si="21"/>
        <v>119.53787119840247</v>
      </c>
      <c r="F44" s="236">
        <f t="shared" si="21"/>
        <v>117.30616060932356</v>
      </c>
      <c r="G44" s="236">
        <f t="shared" si="21"/>
        <v>134.29403412451353</v>
      </c>
      <c r="H44" s="236">
        <f t="shared" si="21"/>
        <v>130.05722800154635</v>
      </c>
      <c r="I44" s="236">
        <f t="shared" si="21"/>
        <v>117.81469406104162</v>
      </c>
      <c r="J44" s="236">
        <f t="shared" si="21"/>
        <v>123.49619118298858</v>
      </c>
      <c r="K44" s="236">
        <f t="shared" si="21"/>
        <v>137.83360398812141</v>
      </c>
      <c r="L44" s="236">
        <f t="shared" si="21"/>
        <v>128.47617233393538</v>
      </c>
      <c r="M44" s="236">
        <f t="shared" si="21"/>
        <v>116.0213122138336</v>
      </c>
      <c r="N44" s="236">
        <f t="shared" si="21"/>
        <v>118.31216844961237</v>
      </c>
      <c r="O44" s="236">
        <f t="shared" si="21"/>
        <v>117.89482713876831</v>
      </c>
      <c r="P44" s="236">
        <f t="shared" si="21"/>
        <v>114.21265320772919</v>
      </c>
      <c r="Q44" s="236">
        <f t="shared" si="21"/>
        <v>116.67728719019784</v>
      </c>
      <c r="R44" s="236">
        <f t="shared" si="21"/>
        <v>118.41249825520164</v>
      </c>
      <c r="S44" s="236">
        <f t="shared" si="21"/>
        <v>109.25986032686181</v>
      </c>
      <c r="T44" s="236">
        <f t="shared" si="21"/>
        <v>115.03952384499107</v>
      </c>
      <c r="U44" s="236">
        <f t="shared" si="21"/>
        <v>114.31053707016733</v>
      </c>
      <c r="V44" s="236">
        <f t="shared" si="21"/>
        <v>121.02278233994653</v>
      </c>
      <c r="W44" s="236">
        <f t="shared" si="21"/>
        <v>115.6129323010225</v>
      </c>
      <c r="X44" s="236">
        <f t="shared" si="21"/>
        <v>98.926512660278433</v>
      </c>
      <c r="Y44" s="236">
        <f t="shared" si="21"/>
        <v>101.37891512464492</v>
      </c>
      <c r="DA44" s="280"/>
    </row>
    <row r="45" spans="1:105" x14ac:dyDescent="0.25">
      <c r="A45" s="238" t="s">
        <v>125</v>
      </c>
      <c r="B45" s="247">
        <f>IF(B$6=0,0,B$6/AGR!B$5*1000)</f>
        <v>2.9195529822974575</v>
      </c>
      <c r="C45" s="247">
        <f>IF(C$6=0,0,C$6/AGR!C$5*1000)</f>
        <v>3.0131741936567611</v>
      </c>
      <c r="D45" s="247">
        <f>IF(D$6=0,0,D$6/AGR!D$5*1000)</f>
        <v>2.7358260825093672</v>
      </c>
      <c r="E45" s="247">
        <f>IF(E$6=0,0,E$6/AGR!E$5*1000)</f>
        <v>2.8278054124549117</v>
      </c>
      <c r="F45" s="247">
        <f>IF(F$6=0,0,F$6/AGR!F$5*1000)</f>
        <v>2.9740849817452526</v>
      </c>
      <c r="G45" s="247">
        <f>IF(G$6=0,0,G$6/AGR!G$5*1000)</f>
        <v>2.9495706631704239</v>
      </c>
      <c r="H45" s="247">
        <f>IF(H$6=0,0,H$6/AGR!H$5*1000)</f>
        <v>2.6280142970215463</v>
      </c>
      <c r="I45" s="247">
        <f>IF(I$6=0,0,I$6/AGR!I$5*1000)</f>
        <v>2.2273394367536201</v>
      </c>
      <c r="J45" s="247">
        <f>IF(J$6=0,0,J$6/AGR!J$5*1000)</f>
        <v>2.2567602440395222</v>
      </c>
      <c r="K45" s="247">
        <f>IF(K$6=0,0,K$6/AGR!K$5*1000)</f>
        <v>2.6794656873204352</v>
      </c>
      <c r="L45" s="247">
        <f>IF(L$6=0,0,L$6/AGR!L$5*1000)</f>
        <v>2.6833419914895602</v>
      </c>
      <c r="M45" s="247">
        <f>IF(M$6=0,0,M$6/AGR!M$5*1000)</f>
        <v>3.1073571448648933</v>
      </c>
      <c r="N45" s="247">
        <f>IF(N$6=0,0,N$6/AGR!N$5*1000)</f>
        <v>2.7240054615908091</v>
      </c>
      <c r="O45" s="247">
        <f>IF(O$6=0,0,O$6/AGR!O$5*1000)</f>
        <v>2.6997217709889565</v>
      </c>
      <c r="P45" s="247">
        <f>IF(P$6=0,0,P$6/AGR!P$5*1000)</f>
        <v>2.6450474951119052</v>
      </c>
      <c r="Q45" s="247">
        <f>IF(Q$6=0,0,Q$6/AGR!Q$5*1000)</f>
        <v>2.6201224587549863</v>
      </c>
      <c r="R45" s="247">
        <f>IF(R$6=0,0,R$6/AGR!R$5*1000)</f>
        <v>2.2285958436291091</v>
      </c>
      <c r="S45" s="247">
        <f>IF(S$6=0,0,S$6/AGR!S$5*1000)</f>
        <v>2.1256972602743938</v>
      </c>
      <c r="T45" s="247">
        <f>IF(T$6=0,0,T$6/AGR!T$5*1000)</f>
        <v>2.1720030664656416</v>
      </c>
      <c r="U45" s="247">
        <f>IF(U$6=0,0,U$6/AGR!U$5*1000)</f>
        <v>2.341751119820036</v>
      </c>
      <c r="V45" s="247">
        <f>IF(V$6=0,0,V$6/AGR!V$5*1000)</f>
        <v>2.380443046326433</v>
      </c>
      <c r="W45" s="247">
        <f>IF(W$6=0,0,W$6/AGR!W$5*1000)</f>
        <v>2.3119026166159751</v>
      </c>
      <c r="X45" s="247">
        <f>IF(X$6=0,0,X$6/AGR!X$5*1000)</f>
        <v>2.2220666967649785</v>
      </c>
      <c r="Y45" s="247">
        <f>IF(Y$6=0,0,Y$6/AGR!Y$5*1000)</f>
        <v>2.3784288487581953</v>
      </c>
      <c r="DA45" s="281"/>
    </row>
    <row r="46" spans="1:105" x14ac:dyDescent="0.25">
      <c r="A46" s="240" t="s">
        <v>124</v>
      </c>
      <c r="B46" s="248">
        <f>IF(B$7=0,0,B$7/AGR!B$5*1000)</f>
        <v>1.8977094384933466</v>
      </c>
      <c r="C46" s="248">
        <f>IF(C$7=0,0,C$7/AGR!C$5*1000)</f>
        <v>1.9585632258768948</v>
      </c>
      <c r="D46" s="248">
        <f>IF(D$7=0,0,D$7/AGR!D$5*1000)</f>
        <v>1.7782869536310886</v>
      </c>
      <c r="E46" s="248">
        <f>IF(E$7=0,0,E$7/AGR!E$5*1000)</f>
        <v>1.838073518095692</v>
      </c>
      <c r="F46" s="248">
        <f>IF(F$7=0,0,F$7/AGR!F$5*1000)</f>
        <v>1.9331552381344139</v>
      </c>
      <c r="G46" s="248">
        <f>IF(G$7=0,0,G$7/AGR!G$5*1000)</f>
        <v>1.9172209310607744</v>
      </c>
      <c r="H46" s="248">
        <f>IF(H$7=0,0,H$7/AGR!H$5*1000)</f>
        <v>1.7082092930640043</v>
      </c>
      <c r="I46" s="248">
        <f>IF(I$7=0,0,I$7/AGR!I$5*1000)</f>
        <v>1.4477706338898528</v>
      </c>
      <c r="J46" s="248">
        <f>IF(J$7=0,0,J$7/AGR!J$5*1000)</f>
        <v>1.4668941586256887</v>
      </c>
      <c r="K46" s="248">
        <f>IF(K$7=0,0,K$7/AGR!K$5*1000)</f>
        <v>1.7416526967582824</v>
      </c>
      <c r="L46" s="248">
        <f>IF(L$7=0,0,L$7/AGR!L$5*1000)</f>
        <v>1.7441722944682132</v>
      </c>
      <c r="M46" s="248">
        <f>IF(M$7=0,0,M$7/AGR!M$5*1000)</f>
        <v>2.0197821441621806</v>
      </c>
      <c r="N46" s="248">
        <f>IF(N$7=0,0,N$7/AGR!N$5*1000)</f>
        <v>1.7706035500340256</v>
      </c>
      <c r="O46" s="248">
        <f>IF(O$7=0,0,O$7/AGR!O$5*1000)</f>
        <v>1.7548191511428211</v>
      </c>
      <c r="P46" s="248">
        <f>IF(P$7=0,0,P$7/AGR!P$5*1000)</f>
        <v>1.7192808718227388</v>
      </c>
      <c r="Q46" s="248">
        <f>IF(Q$7=0,0,Q$7/AGR!Q$5*1000)</f>
        <v>1.7030795981907398</v>
      </c>
      <c r="R46" s="248">
        <f>IF(R$7=0,0,R$7/AGR!R$5*1000)</f>
        <v>1.4485872983589205</v>
      </c>
      <c r="S46" s="248">
        <f>IF(S$7=0,0,S$7/AGR!S$5*1000)</f>
        <v>1.3817032191783556</v>
      </c>
      <c r="T46" s="248">
        <f>IF(T$7=0,0,T$7/AGR!T$5*1000)</f>
        <v>1.4118019932026662</v>
      </c>
      <c r="U46" s="248">
        <f>IF(U$7=0,0,U$7/AGR!U$5*1000)</f>
        <v>1.5221382278830231</v>
      </c>
      <c r="V46" s="248">
        <f>IF(V$7=0,0,V$7/AGR!V$5*1000)</f>
        <v>1.5472879801121808</v>
      </c>
      <c r="W46" s="248">
        <f>IF(W$7=0,0,W$7/AGR!W$5*1000)</f>
        <v>1.502736700800384</v>
      </c>
      <c r="X46" s="248">
        <f>IF(X$7=0,0,X$7/AGR!X$5*1000)</f>
        <v>1.4443433528972358</v>
      </c>
      <c r="Y46" s="248">
        <f>IF(Y$7=0,0,Y$7/AGR!Y$5*1000)</f>
        <v>1.5459787516928267</v>
      </c>
      <c r="DA46" s="282"/>
    </row>
    <row r="47" spans="1:105" x14ac:dyDescent="0.25">
      <c r="A47" s="240" t="s">
        <v>123</v>
      </c>
      <c r="B47" s="248">
        <f>IF(B$8=0,0,B$8/AGR!B$5*1000)</f>
        <v>2.627597684067712</v>
      </c>
      <c r="C47" s="248">
        <f>IF(C$8=0,0,C$8/AGR!C$5*1000)</f>
        <v>2.7118567742910851</v>
      </c>
      <c r="D47" s="248">
        <f>IF(D$8=0,0,D$8/AGR!D$5*1000)</f>
        <v>2.4622434742584298</v>
      </c>
      <c r="E47" s="248">
        <f>IF(E$8=0,0,E$8/AGR!E$5*1000)</f>
        <v>2.5450248712094194</v>
      </c>
      <c r="F47" s="248">
        <f>IF(F$8=0,0,F$8/AGR!F$5*1000)</f>
        <v>2.6766764835707275</v>
      </c>
      <c r="G47" s="248">
        <f>IF(G$8=0,0,G$8/AGR!G$5*1000)</f>
        <v>2.6546135968533817</v>
      </c>
      <c r="H47" s="248">
        <f>IF(H$8=0,0,H$8/AGR!H$5*1000)</f>
        <v>2.3652128673193928</v>
      </c>
      <c r="I47" s="248">
        <f>IF(I$8=0,0,I$8/AGR!I$5*1000)</f>
        <v>2.0046054930782589</v>
      </c>
      <c r="J47" s="248">
        <f>IF(J$8=0,0,J$8/AGR!J$5*1000)</f>
        <v>2.0310842196355696</v>
      </c>
      <c r="K47" s="248">
        <f>IF(K$8=0,0,K$8/AGR!K$5*1000)</f>
        <v>2.4115191185883922</v>
      </c>
      <c r="L47" s="248">
        <f>IF(L$8=0,0,L$8/AGR!L$5*1000)</f>
        <v>2.4150077923406026</v>
      </c>
      <c r="M47" s="248">
        <f>IF(M$8=0,0,M$8/AGR!M$5*1000)</f>
        <v>2.7966214303784045</v>
      </c>
      <c r="N47" s="248">
        <f>IF(N$8=0,0,N$8/AGR!N$5*1000)</f>
        <v>2.4516049154317288</v>
      </c>
      <c r="O47" s="248">
        <f>IF(O$8=0,0,O$8/AGR!O$5*1000)</f>
        <v>2.4297495938900595</v>
      </c>
      <c r="P47" s="248">
        <f>IF(P$8=0,0,P$8/AGR!P$5*1000)</f>
        <v>2.3805427456007147</v>
      </c>
      <c r="Q47" s="248">
        <f>IF(Q$8=0,0,Q$8/AGR!Q$5*1000)</f>
        <v>2.3581102128794864</v>
      </c>
      <c r="R47" s="248">
        <f>IF(R$8=0,0,R$8/AGR!R$5*1000)</f>
        <v>2.0057362592661994</v>
      </c>
      <c r="S47" s="248">
        <f>IF(S$8=0,0,S$8/AGR!S$5*1000)</f>
        <v>1.913127534246954</v>
      </c>
      <c r="T47" s="248">
        <f>IF(T$8=0,0,T$8/AGR!T$5*1000)</f>
        <v>1.9548027598190769</v>
      </c>
      <c r="U47" s="248">
        <f>IF(U$8=0,0,U$8/AGR!U$5*1000)</f>
        <v>2.1075760078380323</v>
      </c>
      <c r="V47" s="248">
        <f>IF(V$8=0,0,V$8/AGR!V$5*1000)</f>
        <v>2.1423987416937891</v>
      </c>
      <c r="W47" s="248">
        <f>IF(W$8=0,0,W$8/AGR!W$5*1000)</f>
        <v>2.0807123549543776</v>
      </c>
      <c r="X47" s="248">
        <f>IF(X$8=0,0,X$8/AGR!X$5*1000)</f>
        <v>1.9998600270884808</v>
      </c>
      <c r="Y47" s="248">
        <f>IF(Y$8=0,0,Y$8/AGR!Y$5*1000)</f>
        <v>2.1405859638823768</v>
      </c>
      <c r="DA47" s="282"/>
    </row>
    <row r="48" spans="1:105" x14ac:dyDescent="0.25">
      <c r="A48" s="242" t="s">
        <v>122</v>
      </c>
      <c r="B48" s="249">
        <f>IF(B$9=0,0,B$9/AGR!B$5*1000)</f>
        <v>21.748098513971321</v>
      </c>
      <c r="C48" s="249">
        <f>IF(C$9=0,0,C$9/AGR!C$5*1000)</f>
        <v>21.611293999078885</v>
      </c>
      <c r="D48" s="249">
        <f>IF(D$9=0,0,D$9/AGR!D$5*1000)</f>
        <v>22.607438529639506</v>
      </c>
      <c r="E48" s="249">
        <f>IF(E$9=0,0,E$9/AGR!E$5*1000)</f>
        <v>23.860148723071138</v>
      </c>
      <c r="F48" s="249">
        <f>IF(F$9=0,0,F$9/AGR!F$5*1000)</f>
        <v>23.384719838448227</v>
      </c>
      <c r="G48" s="249">
        <f>IF(G$9=0,0,G$9/AGR!G$5*1000)</f>
        <v>27.239086075992386</v>
      </c>
      <c r="H48" s="249">
        <f>IF(H$9=0,0,H$9/AGR!H$5*1000)</f>
        <v>26.686358203488322</v>
      </c>
      <c r="I48" s="249">
        <f>IF(I$9=0,0,I$9/AGR!I$5*1000)</f>
        <v>24.373383484432388</v>
      </c>
      <c r="J48" s="249">
        <f>IF(J$9=0,0,J$9/AGR!J$5*1000)</f>
        <v>25.74403154320925</v>
      </c>
      <c r="K48" s="249">
        <f>IF(K$9=0,0,K$9/AGR!K$5*1000)</f>
        <v>28.614101480319444</v>
      </c>
      <c r="L48" s="249">
        <f>IF(L$9=0,0,L$9/AGR!L$5*1000)</f>
        <v>26.313119629838368</v>
      </c>
      <c r="M48" s="249">
        <f>IF(M$9=0,0,M$9/AGR!M$5*1000)</f>
        <v>23.318968985663879</v>
      </c>
      <c r="N48" s="249">
        <f>IF(N$9=0,0,N$9/AGR!N$5*1000)</f>
        <v>24.046810745718016</v>
      </c>
      <c r="O48" s="249">
        <f>IF(O$9=0,0,O$9/AGR!O$5*1000)</f>
        <v>23.869859764787851</v>
      </c>
      <c r="P48" s="249">
        <f>IF(P$9=0,0,P$9/AGR!P$5*1000)</f>
        <v>22.979284101984405</v>
      </c>
      <c r="Q48" s="249">
        <f>IF(Q$9=0,0,Q$9/AGR!Q$5*1000)</f>
        <v>23.536104702470475</v>
      </c>
      <c r="R48" s="249">
        <f>IF(R$9=0,0,R$9/AGR!R$5*1000)</f>
        <v>24.338609366883066</v>
      </c>
      <c r="S48" s="249">
        <f>IF(S$9=0,0,S$9/AGR!S$5*1000)</f>
        <v>22.470757738108173</v>
      </c>
      <c r="T48" s="249">
        <f>IF(T$9=0,0,T$9/AGR!T$5*1000)</f>
        <v>23.840871016827105</v>
      </c>
      <c r="U48" s="249">
        <f>IF(U$9=0,0,U$9/AGR!U$5*1000)</f>
        <v>23.250356693026049</v>
      </c>
      <c r="V48" s="249">
        <f>IF(V$9=0,0,V$9/AGR!V$5*1000)</f>
        <v>24.579729805471999</v>
      </c>
      <c r="W48" s="249">
        <f>IF(W$9=0,0,W$9/AGR!W$5*1000)</f>
        <v>23.31744900573182</v>
      </c>
      <c r="X48" s="249">
        <f>IF(X$9=0,0,X$9/AGR!X$5*1000)</f>
        <v>19.898811017431864</v>
      </c>
      <c r="Y48" s="249">
        <f>IF(Y$9=0,0,Y$9/AGR!Y$5*1000)</f>
        <v>20.126221148678272</v>
      </c>
      <c r="DA48" s="283"/>
    </row>
    <row r="49" spans="1:105" x14ac:dyDescent="0.25">
      <c r="A49" s="127" t="s">
        <v>168</v>
      </c>
      <c r="B49" s="262">
        <f>IF(B$16=0,0,B$16/AGR!B$5*1000)</f>
        <v>29.284116093511578</v>
      </c>
      <c r="C49" s="262">
        <f>IF(C$16=0,0,C$16/AGR!C$5*1000)</f>
        <v>28.802951519729245</v>
      </c>
      <c r="D49" s="262">
        <f>IF(D$16=0,0,D$16/AGR!D$5*1000)</f>
        <v>30.489640319191206</v>
      </c>
      <c r="E49" s="262">
        <f>IF(E$16=0,0,E$16/AGR!E$5*1000)</f>
        <v>31.895666055261078</v>
      </c>
      <c r="F49" s="262">
        <f>IF(F$16=0,0,F$16/AGR!F$5*1000)</f>
        <v>30.707501946950902</v>
      </c>
      <c r="G49" s="262">
        <f>IF(G$16=0,0,G$16/AGR!G$5*1000)</f>
        <v>35.591685361170946</v>
      </c>
      <c r="H49" s="262">
        <f>IF(H$16=0,0,H$16/AGR!H$5*1000)</f>
        <v>34.621492362398435</v>
      </c>
      <c r="I49" s="262">
        <f>IF(I$16=0,0,I$16/AGR!I$5*1000)</f>
        <v>31.51651655060736</v>
      </c>
      <c r="J49" s="262">
        <f>IF(J$16=0,0,J$16/AGR!J$5*1000)</f>
        <v>32.896310606054818</v>
      </c>
      <c r="K49" s="262">
        <f>IF(K$16=0,0,K$16/AGR!K$5*1000)</f>
        <v>36.318312501825289</v>
      </c>
      <c r="L49" s="262">
        <f>IF(L$16=0,0,L$16/AGR!L$5*1000)</f>
        <v>33.966733182536068</v>
      </c>
      <c r="M49" s="262">
        <f>IF(M$16=0,0,M$16/AGR!M$5*1000)</f>
        <v>29.38098598605675</v>
      </c>
      <c r="N49" s="262">
        <f>IF(N$16=0,0,N$16/AGR!N$5*1000)</f>
        <v>30.761308583823109</v>
      </c>
      <c r="O49" s="262">
        <f>IF(O$16=0,0,O$16/AGR!O$5*1000)</f>
        <v>30.936286024480623</v>
      </c>
      <c r="P49" s="262">
        <f>IF(P$16=0,0,P$16/AGR!P$5*1000)</f>
        <v>30.222855966948011</v>
      </c>
      <c r="Q49" s="262">
        <f>IF(Q$16=0,0,Q$16/AGR!Q$5*1000)</f>
        <v>31.026150770453423</v>
      </c>
      <c r="R49" s="262">
        <f>IF(R$16=0,0,R$16/AGR!R$5*1000)</f>
        <v>32.104895423976551</v>
      </c>
      <c r="S49" s="262">
        <f>IF(S$16=0,0,S$16/AGR!S$5*1000)</f>
        <v>29.298301069576752</v>
      </c>
      <c r="T49" s="262">
        <f>IF(T$16=0,0,T$16/AGR!T$5*1000)</f>
        <v>30.685039667923387</v>
      </c>
      <c r="U49" s="262">
        <f>IF(U$16=0,0,U$16/AGR!U$5*1000)</f>
        <v>30.802378205890275</v>
      </c>
      <c r="V49" s="262">
        <f>IF(V$16=0,0,V$16/AGR!V$5*1000)</f>
        <v>33.102769267814118</v>
      </c>
      <c r="W49" s="262">
        <f>IF(W$16=0,0,W$16/AGR!W$5*1000)</f>
        <v>31.867761812001362</v>
      </c>
      <c r="X49" s="262">
        <f>IF(X$16=0,0,X$16/AGR!X$5*1000)</f>
        <v>26.444425702637268</v>
      </c>
      <c r="Y49" s="262">
        <f>IF(Y$16=0,0,Y$16/AGR!Y$5*1000)</f>
        <v>27.393916522961671</v>
      </c>
      <c r="DA49" s="284"/>
    </row>
    <row r="50" spans="1:105" x14ac:dyDescent="0.25">
      <c r="A50" s="127" t="s">
        <v>121</v>
      </c>
      <c r="B50" s="262">
        <f>IF(B$17=0,0,B$17/AGR!B$5*1000)</f>
        <v>41.214545544171735</v>
      </c>
      <c r="C50" s="262">
        <f>IF(C$17=0,0,C$17/AGR!C$5*1000)</f>
        <v>38.804580677970584</v>
      </c>
      <c r="D50" s="262">
        <f>IF(D$17=0,0,D$17/AGR!D$5*1000)</f>
        <v>41.174018392582106</v>
      </c>
      <c r="E50" s="262">
        <f>IF(E$17=0,0,E$17/AGR!E$5*1000)</f>
        <v>43.514011315561063</v>
      </c>
      <c r="F50" s="262">
        <f>IF(F$17=0,0,F$17/AGR!F$5*1000)</f>
        <v>42.4428115082085</v>
      </c>
      <c r="G50" s="262">
        <f>IF(G$17=0,0,G$17/AGR!G$5*1000)</f>
        <v>49.876170418023584</v>
      </c>
      <c r="H50" s="262">
        <f>IF(H$17=0,0,H$17/AGR!H$5*1000)</f>
        <v>48.956497667113346</v>
      </c>
      <c r="I50" s="262">
        <f>IF(I$17=0,0,I$17/AGR!I$5*1000)</f>
        <v>44.731935537046105</v>
      </c>
      <c r="J50" s="262">
        <f>IF(J$17=0,0,J$17/AGR!J$5*1000)</f>
        <v>47.250747581760514</v>
      </c>
      <c r="K50" s="262">
        <f>IF(K$17=0,0,K$17/AGR!K$5*1000)</f>
        <v>52.524995155312389</v>
      </c>
      <c r="L50" s="262">
        <f>IF(L$17=0,0,L$17/AGR!L$5*1000)</f>
        <v>48.252618713668291</v>
      </c>
      <c r="M50" s="262">
        <f>IF(M$17=0,0,M$17/AGR!M$5*1000)</f>
        <v>42.138770207504137</v>
      </c>
      <c r="N50" s="262">
        <f>IF(N$17=0,0,N$17/AGR!N$5*1000)</f>
        <v>43.972980011442807</v>
      </c>
      <c r="O50" s="262">
        <f>IF(O$17=0,0,O$17/AGR!O$5*1000)</f>
        <v>43.645407320444413</v>
      </c>
      <c r="P50" s="262">
        <f>IF(P$17=0,0,P$17/AGR!P$5*1000)</f>
        <v>41.977702020211552</v>
      </c>
      <c r="Q50" s="262">
        <f>IF(Q$17=0,0,Q$17/AGR!Q$5*1000)</f>
        <v>43.052485989541616</v>
      </c>
      <c r="R50" s="262">
        <f>IF(R$17=0,0,R$17/AGR!R$5*1000)</f>
        <v>44.656791037103069</v>
      </c>
      <c r="S50" s="262">
        <f>IF(S$17=0,0,S$17/AGR!S$5*1000)</f>
        <v>41.232402503295567</v>
      </c>
      <c r="T50" s="262">
        <f>IF(T$17=0,0,T$17/AGR!T$5*1000)</f>
        <v>43.757211735032293</v>
      </c>
      <c r="U50" s="262">
        <f>IF(U$17=0,0,U$17/AGR!U$5*1000)</f>
        <v>42.630112901333298</v>
      </c>
      <c r="V50" s="262">
        <f>IF(V$17=0,0,V$17/AGR!V$5*1000)</f>
        <v>45.077095050835069</v>
      </c>
      <c r="W50" s="262">
        <f>IF(W$17=0,0,W$17/AGR!W$5*1000)</f>
        <v>42.744552390863433</v>
      </c>
      <c r="X50" s="262">
        <f>IF(X$17=0,0,X$17/AGR!X$5*1000)</f>
        <v>36.391425677045575</v>
      </c>
      <c r="Y50" s="262">
        <f>IF(Y$17=0,0,Y$17/AGR!Y$5*1000)</f>
        <v>36.702663855954235</v>
      </c>
      <c r="DA50" s="284"/>
    </row>
    <row r="51" spans="1:105" x14ac:dyDescent="0.25">
      <c r="A51" s="127" t="s">
        <v>167</v>
      </c>
      <c r="B51" s="262">
        <f>IF(B$25=0,0,B$25/AGR!B$5*1000)</f>
        <v>5.6271869531447383</v>
      </c>
      <c r="C51" s="262">
        <f>IF(C$25=0,0,C$25/AGR!C$5*1000)</f>
        <v>5.5347271703991243</v>
      </c>
      <c r="D51" s="262">
        <f>IF(D$25=0,0,D$25/AGR!D$5*1000)</f>
        <v>5.8588384796167059</v>
      </c>
      <c r="E51" s="262">
        <f>IF(E$25=0,0,E$25/AGR!E$5*1000)</f>
        <v>6.1290180422346525</v>
      </c>
      <c r="F51" s="262">
        <f>IF(F$25=0,0,F$25/AGR!F$5*1000)</f>
        <v>5.9007024069896667</v>
      </c>
      <c r="G51" s="262">
        <f>IF(G$25=0,0,G$25/AGR!G$5*1000)</f>
        <v>6.8392389534744922</v>
      </c>
      <c r="H51" s="262">
        <f>IF(H$25=0,0,H$25/AGR!H$5*1000)</f>
        <v>6.6528082834385085</v>
      </c>
      <c r="I51" s="262">
        <f>IF(I$25=0,0,I$25/AGR!I$5*1000)</f>
        <v>6.0561613051876559</v>
      </c>
      <c r="J51" s="262">
        <f>IF(J$25=0,0,J$25/AGR!J$5*1000)</f>
        <v>6.3213002317663864</v>
      </c>
      <c r="K51" s="262">
        <f>IF(K$25=0,0,K$25/AGR!K$5*1000)</f>
        <v>6.9788664140621464</v>
      </c>
      <c r="L51" s="262">
        <f>IF(L$25=0,0,L$25/AGR!L$5*1000)</f>
        <v>6.5269908504448697</v>
      </c>
      <c r="M51" s="262">
        <f>IF(M$25=0,0,M$25/AGR!M$5*1000)</f>
        <v>5.6458013102843561</v>
      </c>
      <c r="N51" s="262">
        <f>IF(N$25=0,0,N$25/AGR!N$5*1000)</f>
        <v>5.9110418006743917</v>
      </c>
      <c r="O51" s="262">
        <f>IF(O$25=0,0,O$25/AGR!O$5*1000)</f>
        <v>5.9446651741106429</v>
      </c>
      <c r="P51" s="262">
        <f>IF(P$25=0,0,P$25/AGR!P$5*1000)</f>
        <v>5.8075736430256946</v>
      </c>
      <c r="Q51" s="262">
        <f>IF(Q$25=0,0,Q$25/AGR!Q$5*1000)</f>
        <v>5.9619334339574097</v>
      </c>
      <c r="R51" s="262">
        <f>IF(R$25=0,0,R$25/AGR!R$5*1000)</f>
        <v>6.1692232090933974</v>
      </c>
      <c r="S51" s="262">
        <f>IF(S$25=0,0,S$25/AGR!S$5*1000)</f>
        <v>5.6299127145093513</v>
      </c>
      <c r="T51" s="262">
        <f>IF(T$25=0,0,T$25/AGR!T$5*1000)</f>
        <v>5.8963860928800704</v>
      </c>
      <c r="U51" s="262">
        <f>IF(U$25=0,0,U$25/AGR!U$5*1000)</f>
        <v>5.9189336708175437</v>
      </c>
      <c r="V51" s="262">
        <f>IF(V$25=0,0,V$25/AGR!V$5*1000)</f>
        <v>6.3609729841931886</v>
      </c>
      <c r="W51" s="262">
        <f>IF(W$25=0,0,W$25/AGR!W$5*1000)</f>
        <v>6.1236560093460017</v>
      </c>
      <c r="X51" s="262">
        <f>IF(X$25=0,0,X$25/AGR!X$5*1000)</f>
        <v>5.0815167793388447</v>
      </c>
      <c r="Y51" s="262">
        <f>IF(Y$25=0,0,Y$25/AGR!Y$5*1000)</f>
        <v>5.2639693532597631</v>
      </c>
      <c r="DA51" s="284"/>
    </row>
    <row r="52" spans="1:105" x14ac:dyDescent="0.25">
      <c r="A52" s="127" t="s">
        <v>170</v>
      </c>
      <c r="B52" s="262">
        <f>IF(B$26=0,0,B$26/AGR!B$5*1000)</f>
        <v>2.9195529822974575</v>
      </c>
      <c r="C52" s="262">
        <f>IF(C$26=0,0,C$26/AGR!C$5*1000)</f>
        <v>3.0131741936567611</v>
      </c>
      <c r="D52" s="262">
        <f>IF(D$26=0,0,D$26/AGR!D$5*1000)</f>
        <v>2.7358260825093672</v>
      </c>
      <c r="E52" s="262">
        <f>IF(E$26=0,0,E$26/AGR!E$5*1000)</f>
        <v>2.8278054124549117</v>
      </c>
      <c r="F52" s="262">
        <f>IF(F$26=0,0,F$26/AGR!F$5*1000)</f>
        <v>2.9740849817452526</v>
      </c>
      <c r="G52" s="262">
        <f>IF(G$26=0,0,G$26/AGR!G$5*1000)</f>
        <v>2.9495706631704239</v>
      </c>
      <c r="H52" s="262">
        <f>IF(H$26=0,0,H$26/AGR!H$5*1000)</f>
        <v>2.6280142970215463</v>
      </c>
      <c r="I52" s="262">
        <f>IF(I$26=0,0,I$26/AGR!I$5*1000)</f>
        <v>2.2273394367536201</v>
      </c>
      <c r="J52" s="262">
        <f>IF(J$26=0,0,J$26/AGR!J$5*1000)</f>
        <v>2.2567602440395222</v>
      </c>
      <c r="K52" s="262">
        <f>IF(K$26=0,0,K$26/AGR!K$5*1000)</f>
        <v>2.6794656873204352</v>
      </c>
      <c r="L52" s="262">
        <f>IF(L$26=0,0,L$26/AGR!L$5*1000)</f>
        <v>2.6833419914895602</v>
      </c>
      <c r="M52" s="262">
        <f>IF(M$26=0,0,M$26/AGR!M$5*1000)</f>
        <v>3.1073571448648933</v>
      </c>
      <c r="N52" s="262">
        <f>IF(N$26=0,0,N$26/AGR!N$5*1000)</f>
        <v>2.7240054615908091</v>
      </c>
      <c r="O52" s="262">
        <f>IF(O$26=0,0,O$26/AGR!O$5*1000)</f>
        <v>2.6997217709889565</v>
      </c>
      <c r="P52" s="262">
        <f>IF(P$26=0,0,P$26/AGR!P$5*1000)</f>
        <v>2.6450474951119052</v>
      </c>
      <c r="Q52" s="262">
        <f>IF(Q$26=0,0,Q$26/AGR!Q$5*1000)</f>
        <v>2.6201224587549863</v>
      </c>
      <c r="R52" s="262">
        <f>IF(R$26=0,0,R$26/AGR!R$5*1000)</f>
        <v>2.2285958436291091</v>
      </c>
      <c r="S52" s="262">
        <f>IF(S$26=0,0,S$26/AGR!S$5*1000)</f>
        <v>2.1256972602743938</v>
      </c>
      <c r="T52" s="262">
        <f>IF(T$26=0,0,T$26/AGR!T$5*1000)</f>
        <v>2.1720030664656416</v>
      </c>
      <c r="U52" s="262">
        <f>IF(U$26=0,0,U$26/AGR!U$5*1000)</f>
        <v>2.341751119820036</v>
      </c>
      <c r="V52" s="262">
        <f>IF(V$26=0,0,V$26/AGR!V$5*1000)</f>
        <v>2.380443046326433</v>
      </c>
      <c r="W52" s="262">
        <f>IF(W$26=0,0,W$26/AGR!W$5*1000)</f>
        <v>2.3119026166159751</v>
      </c>
      <c r="X52" s="262">
        <f>IF(X$26=0,0,X$26/AGR!X$5*1000)</f>
        <v>2.2220666967649785</v>
      </c>
      <c r="Y52" s="262">
        <f>IF(Y$26=0,0,Y$26/AGR!Y$5*1000)</f>
        <v>2.3784288487581953</v>
      </c>
      <c r="DA52" s="284"/>
    </row>
    <row r="53" spans="1:105" x14ac:dyDescent="0.25">
      <c r="A53" s="260" t="s">
        <v>33</v>
      </c>
      <c r="B53" s="263">
        <f>IF(B$27=0,0,B$27/AGR!B$5*1000)</f>
        <v>4.2333518243313133</v>
      </c>
      <c r="C53" s="263">
        <f>IF(C$27=0,0,C$27/AGR!C$5*1000)</f>
        <v>4.3691025808023047</v>
      </c>
      <c r="D53" s="263">
        <f>IF(D$27=0,0,D$27/AGR!D$5*1000)</f>
        <v>3.966947819638583</v>
      </c>
      <c r="E53" s="263">
        <f>IF(E$27=0,0,E$27/AGR!E$5*1000)</f>
        <v>4.1003178480596212</v>
      </c>
      <c r="F53" s="263">
        <f>IF(F$27=0,0,F$27/AGR!F$5*1000)</f>
        <v>4.312423223530617</v>
      </c>
      <c r="G53" s="263">
        <f>IF(G$27=0,0,G$27/AGR!G$5*1000)</f>
        <v>4.276877461597115</v>
      </c>
      <c r="H53" s="263">
        <f>IF(H$27=0,0,H$27/AGR!H$5*1000)</f>
        <v>3.8106207306812423</v>
      </c>
      <c r="I53" s="263">
        <f>IF(I$27=0,0,I$27/AGR!I$5*1000)</f>
        <v>3.2296421832927495</v>
      </c>
      <c r="J53" s="263">
        <f>IF(J$27=0,0,J$27/AGR!J$5*1000)</f>
        <v>3.2723023538573077</v>
      </c>
      <c r="K53" s="263">
        <f>IF(K$27=0,0,K$27/AGR!K$5*1000)</f>
        <v>3.885225246614632</v>
      </c>
      <c r="L53" s="263">
        <f>IF(L$27=0,0,L$27/AGR!L$5*1000)</f>
        <v>3.8908458876598613</v>
      </c>
      <c r="M53" s="263">
        <f>IF(M$27=0,0,M$27/AGR!M$5*1000)</f>
        <v>4.5056678600540963</v>
      </c>
      <c r="N53" s="263">
        <f>IF(N$27=0,0,N$27/AGR!N$5*1000)</f>
        <v>3.9498079193066737</v>
      </c>
      <c r="O53" s="263">
        <f>IF(O$27=0,0,O$27/AGR!O$5*1000)</f>
        <v>3.9145965679339865</v>
      </c>
      <c r="P53" s="263">
        <f>IF(P$27=0,0,P$27/AGR!P$5*1000)</f>
        <v>3.8353188679122634</v>
      </c>
      <c r="Q53" s="263">
        <f>IF(Q$27=0,0,Q$27/AGR!Q$5*1000)</f>
        <v>3.7991775651947295</v>
      </c>
      <c r="R53" s="263">
        <f>IF(R$27=0,0,R$27/AGR!R$5*1000)</f>
        <v>3.2314639732622092</v>
      </c>
      <c r="S53" s="263">
        <f>IF(S$27=0,0,S$27/AGR!S$5*1000)</f>
        <v>3.082261027397871</v>
      </c>
      <c r="T53" s="263">
        <f>IF(T$27=0,0,T$27/AGR!T$5*1000)</f>
        <v>3.1494044463751796</v>
      </c>
      <c r="U53" s="263">
        <f>IF(U$27=0,0,U$27/AGR!U$5*1000)</f>
        <v>3.3955391237390526</v>
      </c>
      <c r="V53" s="263">
        <f>IF(V$27=0,0,V$27/AGR!V$5*1000)</f>
        <v>3.4516424171733266</v>
      </c>
      <c r="W53" s="263">
        <f>IF(W$27=0,0,W$27/AGR!W$5*1000)</f>
        <v>3.3522587940931645</v>
      </c>
      <c r="X53" s="263">
        <f>IF(X$27=0,0,X$27/AGR!X$5*1000)</f>
        <v>3.2219967103092184</v>
      </c>
      <c r="Y53" s="263">
        <f>IF(Y$27=0,0,Y$27/AGR!Y$5*1000)</f>
        <v>3.4487218306993848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7.3085844393466672</v>
      </c>
      <c r="C5" s="80">
        <f t="shared" ref="C5:W5" si="1">SUM(C6:C9,C16:C17,C25:C27)</f>
        <v>8.025099163823759</v>
      </c>
      <c r="D5" s="80">
        <f t="shared" si="1"/>
        <v>7.65131128614936</v>
      </c>
      <c r="E5" s="80">
        <f t="shared" si="1"/>
        <v>8.3900177319510014</v>
      </c>
      <c r="F5" s="80">
        <f t="shared" si="1"/>
        <v>8.6538033268113601</v>
      </c>
      <c r="G5" s="80">
        <f t="shared" si="1"/>
        <v>8.8196155572137016</v>
      </c>
      <c r="H5" s="80">
        <f t="shared" si="1"/>
        <v>9.1386255791624524</v>
      </c>
      <c r="I5" s="80">
        <f t="shared" si="1"/>
        <v>9.786090315180985</v>
      </c>
      <c r="J5" s="80">
        <f t="shared" si="1"/>
        <v>10.153105855062465</v>
      </c>
      <c r="K5" s="80">
        <f t="shared" si="1"/>
        <v>11.74892120324872</v>
      </c>
      <c r="L5" s="80">
        <f t="shared" si="1"/>
        <v>11.544089156923977</v>
      </c>
      <c r="M5" s="80">
        <f t="shared" si="1"/>
        <v>10.075330228443947</v>
      </c>
      <c r="N5" s="80">
        <f t="shared" si="1"/>
        <v>9.927690097382321</v>
      </c>
      <c r="O5" s="80">
        <f t="shared" si="1"/>
        <v>10.455517461096397</v>
      </c>
      <c r="P5" s="80">
        <f t="shared" si="1"/>
        <v>10.011940395696797</v>
      </c>
      <c r="Q5" s="80">
        <f t="shared" si="1"/>
        <v>9.8609077974864459</v>
      </c>
      <c r="R5" s="80">
        <f t="shared" si="1"/>
        <v>11.271547517596979</v>
      </c>
      <c r="S5" s="80">
        <f t="shared" si="1"/>
        <v>10.536738396090978</v>
      </c>
      <c r="T5" s="80">
        <f t="shared" si="1"/>
        <v>10.462865914309663</v>
      </c>
      <c r="U5" s="80">
        <f t="shared" si="1"/>
        <v>9.5286733732201512</v>
      </c>
      <c r="V5" s="80">
        <f t="shared" si="1"/>
        <v>10.92292743510049</v>
      </c>
      <c r="W5" s="80">
        <f t="shared" si="1"/>
        <v>10.508727048773268</v>
      </c>
      <c r="X5" s="80">
        <f t="shared" ref="X5:Y5" si="2">SUM(X6:X9,X16:X17,X25:X27)</f>
        <v>10.001368805892005</v>
      </c>
      <c r="Y5" s="80">
        <f t="shared" si="2"/>
        <v>9.3159938185369207</v>
      </c>
      <c r="DA5" s="103"/>
    </row>
    <row r="6" spans="1:105" x14ac:dyDescent="0.25">
      <c r="A6" s="238" t="s">
        <v>125</v>
      </c>
      <c r="B6" s="239">
        <v>0.2302127819765509</v>
      </c>
      <c r="C6" s="239">
        <v>0.26372390050666172</v>
      </c>
      <c r="D6" s="239">
        <v>0.22325499080842179</v>
      </c>
      <c r="E6" s="239">
        <v>0.24056453981962239</v>
      </c>
      <c r="F6" s="239">
        <v>0.2633791916843069</v>
      </c>
      <c r="G6" s="239">
        <v>0.234493513057697</v>
      </c>
      <c r="H6" s="239">
        <v>0.22419982147853859</v>
      </c>
      <c r="I6" s="239">
        <v>0.22519938322900609</v>
      </c>
      <c r="J6" s="239">
        <v>0.22556909452467869</v>
      </c>
      <c r="K6" s="239">
        <v>0.27645486440354411</v>
      </c>
      <c r="L6" s="239">
        <v>0.29186533965698619</v>
      </c>
      <c r="M6" s="239">
        <v>0.31954484975192637</v>
      </c>
      <c r="N6" s="239">
        <v>0.27453453308475823</v>
      </c>
      <c r="O6" s="239">
        <v>0.28852154240504491</v>
      </c>
      <c r="P6" s="239">
        <v>0.28021496649143429</v>
      </c>
      <c r="Q6" s="239">
        <v>0.26829482641602931</v>
      </c>
      <c r="R6" s="239">
        <v>0.25958656877685038</v>
      </c>
      <c r="S6" s="239">
        <v>0.24968323394139061</v>
      </c>
      <c r="T6" s="239">
        <v>0.24020499011181751</v>
      </c>
      <c r="U6" s="239">
        <v>0.23809401805636921</v>
      </c>
      <c r="V6" s="239">
        <v>0.26385899416926251</v>
      </c>
      <c r="W6" s="239">
        <v>0.25903949218376687</v>
      </c>
      <c r="X6" s="239">
        <v>0.27276383598399151</v>
      </c>
      <c r="Y6" s="239">
        <v>0.26647293231145602</v>
      </c>
      <c r="DA6" s="267" t="s">
        <v>1016</v>
      </c>
    </row>
    <row r="7" spans="1:105" x14ac:dyDescent="0.25">
      <c r="A7" s="240" t="s">
        <v>124</v>
      </c>
      <c r="B7" s="241">
        <v>0.1483855234641881</v>
      </c>
      <c r="C7" s="241">
        <v>0.16998538782561801</v>
      </c>
      <c r="D7" s="241">
        <v>0.1439008225028727</v>
      </c>
      <c r="E7" s="241">
        <v>0.15505783328612979</v>
      </c>
      <c r="F7" s="241">
        <v>0.16976320294687811</v>
      </c>
      <c r="G7" s="241">
        <v>0.15114470354459719</v>
      </c>
      <c r="H7" s="241">
        <v>0.1445098208059494</v>
      </c>
      <c r="I7" s="241">
        <v>0.14515409647259331</v>
      </c>
      <c r="J7" s="241">
        <v>0.14539239689912911</v>
      </c>
      <c r="K7" s="241">
        <v>0.1781912342856769</v>
      </c>
      <c r="L7" s="241">
        <v>0.1881241816124106</v>
      </c>
      <c r="M7" s="241">
        <v>0.20596523526462859</v>
      </c>
      <c r="N7" s="241">
        <v>0.1769534690950727</v>
      </c>
      <c r="O7" s="241">
        <v>0.1859689098619568</v>
      </c>
      <c r="P7" s="241">
        <v>0.18061483870850689</v>
      </c>
      <c r="Q7" s="241">
        <v>0.1729316153458893</v>
      </c>
      <c r="R7" s="241">
        <v>0.16731863696494881</v>
      </c>
      <c r="S7" s="241">
        <v>0.1609353618444973</v>
      </c>
      <c r="T7" s="241">
        <v>0.1548260825938097</v>
      </c>
      <c r="U7" s="241">
        <v>0.15346543836382129</v>
      </c>
      <c r="V7" s="241">
        <v>0.1700724635460433</v>
      </c>
      <c r="W7" s="241">
        <v>0.16696601429151281</v>
      </c>
      <c r="X7" s="241">
        <v>0.17581215185830629</v>
      </c>
      <c r="Y7" s="241">
        <v>0.17175729866337361</v>
      </c>
      <c r="DA7" s="268" t="s">
        <v>1017</v>
      </c>
    </row>
    <row r="8" spans="1:105" x14ac:dyDescent="0.25">
      <c r="A8" s="240" t="s">
        <v>123</v>
      </c>
      <c r="B8" s="241">
        <v>0.29487649505475227</v>
      </c>
      <c r="C8" s="241">
        <v>0.33780044173000662</v>
      </c>
      <c r="D8" s="241">
        <v>0.28596435275159438</v>
      </c>
      <c r="E8" s="241">
        <v>0.30813592419770641</v>
      </c>
      <c r="F8" s="241">
        <v>0.33735890877741509</v>
      </c>
      <c r="G8" s="241">
        <v>0.30035962664563348</v>
      </c>
      <c r="H8" s="241">
        <v>0.28717457380896699</v>
      </c>
      <c r="I8" s="241">
        <v>0.28845489918029521</v>
      </c>
      <c r="J8" s="241">
        <v>0.28892845746890999</v>
      </c>
      <c r="K8" s="241">
        <v>0.35410736430984702</v>
      </c>
      <c r="L8" s="241">
        <v>0.37384643740060969</v>
      </c>
      <c r="M8" s="241">
        <v>0.40930075427889667</v>
      </c>
      <c r="N8" s="241">
        <v>0.35164763742689248</v>
      </c>
      <c r="O8" s="241">
        <v>0.3695634119084516</v>
      </c>
      <c r="P8" s="241">
        <v>0.35892362913756642</v>
      </c>
      <c r="Q8" s="241">
        <v>0.34365528002237622</v>
      </c>
      <c r="R8" s="241">
        <v>0.33250098846381132</v>
      </c>
      <c r="S8" s="241">
        <v>0.31981593839595063</v>
      </c>
      <c r="T8" s="241">
        <v>0.30767538175203868</v>
      </c>
      <c r="U8" s="241">
        <v>0.30497146568132932</v>
      </c>
      <c r="V8" s="241">
        <v>0.33797348140829819</v>
      </c>
      <c r="W8" s="241">
        <v>0.33180024532127189</v>
      </c>
      <c r="X8" s="241">
        <v>0.34937957502655681</v>
      </c>
      <c r="Y8" s="241">
        <v>0.34132164005979521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2.3144328766859665</v>
      </c>
      <c r="C9" s="243">
        <f t="shared" ref="C9:W9" si="4">SUM(C10:C15)</f>
        <v>2.5683501370808508</v>
      </c>
      <c r="D9" s="243">
        <f t="shared" si="4"/>
        <v>2.4601224218907456</v>
      </c>
      <c r="E9" s="243">
        <f t="shared" si="4"/>
        <v>2.7139704566490654</v>
      </c>
      <c r="F9" s="243">
        <f t="shared" si="4"/>
        <v>2.8055048875287696</v>
      </c>
      <c r="G9" s="243">
        <f t="shared" si="4"/>
        <v>2.9064186858042298</v>
      </c>
      <c r="H9" s="243">
        <f t="shared" si="4"/>
        <v>3.0488363894912558</v>
      </c>
      <c r="I9" s="243">
        <f t="shared" si="4"/>
        <v>3.2936697493599887</v>
      </c>
      <c r="J9" s="243">
        <f t="shared" si="4"/>
        <v>3.4482449114196014</v>
      </c>
      <c r="K9" s="243">
        <f t="shared" si="4"/>
        <v>3.9749728181515853</v>
      </c>
      <c r="L9" s="243">
        <f t="shared" si="4"/>
        <v>3.8462340967821786</v>
      </c>
      <c r="M9" s="243">
        <f t="shared" si="4"/>
        <v>3.3104950296641515</v>
      </c>
      <c r="N9" s="243">
        <f t="shared" si="4"/>
        <v>3.2865638217892008</v>
      </c>
      <c r="O9" s="243">
        <f t="shared" si="4"/>
        <v>3.4433284672672246</v>
      </c>
      <c r="P9" s="243">
        <f t="shared" si="4"/>
        <v>3.271197413232148</v>
      </c>
      <c r="Q9" s="243">
        <f t="shared" si="4"/>
        <v>3.2285181453945548</v>
      </c>
      <c r="R9" s="243">
        <f t="shared" si="4"/>
        <v>3.7598274217717402</v>
      </c>
      <c r="S9" s="243">
        <f t="shared" si="4"/>
        <v>3.521670295789832</v>
      </c>
      <c r="T9" s="243">
        <f t="shared" si="4"/>
        <v>3.5294100478627461</v>
      </c>
      <c r="U9" s="243">
        <f t="shared" si="4"/>
        <v>3.1427471263719351</v>
      </c>
      <c r="V9" s="243">
        <f t="shared" si="4"/>
        <v>3.588256068297258</v>
      </c>
      <c r="W9" s="243">
        <f t="shared" si="4"/>
        <v>3.4187202958443192</v>
      </c>
      <c r="X9" s="243">
        <f t="shared" ref="X9:Y9" si="5">SUM(X10:X15)</f>
        <v>3.2615806041569511</v>
      </c>
      <c r="Y9" s="243">
        <f t="shared" si="5"/>
        <v>2.9878152894836258</v>
      </c>
      <c r="DA9" s="269"/>
    </row>
    <row r="10" spans="1:105" x14ac:dyDescent="0.25">
      <c r="A10" s="253" t="s">
        <v>166</v>
      </c>
      <c r="B10" s="254">
        <v>1.8620281539706129</v>
      </c>
      <c r="C10" s="254">
        <v>1.980013756477194</v>
      </c>
      <c r="D10" s="254">
        <v>2.0258489701363431</v>
      </c>
      <c r="E10" s="254">
        <v>2.1268964451070111</v>
      </c>
      <c r="F10" s="254">
        <v>1.982930698417787</v>
      </c>
      <c r="G10" s="254">
        <v>2.0264234513018189</v>
      </c>
      <c r="H10" s="254">
        <v>2.0726071268659378</v>
      </c>
      <c r="I10" s="254">
        <v>2.2249911401489189</v>
      </c>
      <c r="J10" s="254">
        <v>2.2038113242339712</v>
      </c>
      <c r="K10" s="254">
        <v>2.4299218556355111</v>
      </c>
      <c r="L10" s="254">
        <v>2.5339618891888871</v>
      </c>
      <c r="M10" s="254">
        <v>1.8798003637722309</v>
      </c>
      <c r="N10" s="254">
        <v>2.038443263378122</v>
      </c>
      <c r="O10" s="254">
        <v>2.2870598051720621</v>
      </c>
      <c r="P10" s="254">
        <v>2.3473391925806619</v>
      </c>
      <c r="Q10" s="254">
        <v>2.3541209538033709</v>
      </c>
      <c r="R10" s="254">
        <v>2.8264397191733401</v>
      </c>
      <c r="S10" s="254">
        <v>2.4732050519656088</v>
      </c>
      <c r="T10" s="254">
        <v>2.3279279186665578</v>
      </c>
      <c r="U10" s="254">
        <v>2.385611028140969</v>
      </c>
      <c r="V10" s="254">
        <v>3.0057674293154109</v>
      </c>
      <c r="W10" s="254">
        <v>3.1111471029260782</v>
      </c>
      <c r="X10" s="254">
        <v>2.4864220665037311</v>
      </c>
      <c r="Y10" s="254">
        <v>2.6008895875689602</v>
      </c>
      <c r="DA10" s="270" t="s">
        <v>1019</v>
      </c>
    </row>
    <row r="11" spans="1:105" x14ac:dyDescent="0.25">
      <c r="A11" s="253" t="s">
        <v>169</v>
      </c>
      <c r="B11" s="255">
        <v>4.8532557065170137E-2</v>
      </c>
      <c r="C11" s="255">
        <v>0.104984724469272</v>
      </c>
      <c r="D11" s="255">
        <v>0.13781366670261269</v>
      </c>
      <c r="E11" s="255">
        <v>0.28086680593301649</v>
      </c>
      <c r="F11" s="255">
        <v>0.42850969768754998</v>
      </c>
      <c r="G11" s="255">
        <v>0.63219727983192608</v>
      </c>
      <c r="H11" s="255">
        <v>0.78178901319645067</v>
      </c>
      <c r="I11" s="255">
        <v>0.90127047460096565</v>
      </c>
      <c r="J11" s="255">
        <v>1.0898982315632539</v>
      </c>
      <c r="K11" s="255">
        <v>1.3275318029290371</v>
      </c>
      <c r="L11" s="255">
        <v>1.0394621830130559</v>
      </c>
      <c r="M11" s="255">
        <v>0.8917963796733005</v>
      </c>
      <c r="N11" s="255">
        <v>0.92626593584034866</v>
      </c>
      <c r="O11" s="255">
        <v>0.82068159833448684</v>
      </c>
      <c r="P11" s="255">
        <v>0.58710442486553982</v>
      </c>
      <c r="Q11" s="255">
        <v>0.57455707115980947</v>
      </c>
      <c r="R11" s="255">
        <v>0.74094024338629116</v>
      </c>
      <c r="S11" s="255">
        <v>0.84964913921684548</v>
      </c>
      <c r="T11" s="255">
        <v>1.0237663550700169</v>
      </c>
      <c r="U11" s="255">
        <v>0.54225175610873277</v>
      </c>
      <c r="V11" s="255">
        <v>0.36434124391527178</v>
      </c>
      <c r="W11" s="255">
        <v>8.3813174031937152E-2</v>
      </c>
      <c r="X11" s="255">
        <v>0.46917373669277662</v>
      </c>
      <c r="Y11" s="255">
        <v>5.2041603885387921E-2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1023</v>
      </c>
    </row>
    <row r="15" spans="1:105" x14ac:dyDescent="0.25">
      <c r="A15" s="253" t="s">
        <v>24</v>
      </c>
      <c r="B15" s="255">
        <v>0.40387216565018319</v>
      </c>
      <c r="C15" s="255">
        <v>0.48335165613438502</v>
      </c>
      <c r="D15" s="255">
        <v>0.29645978505178988</v>
      </c>
      <c r="E15" s="255">
        <v>0.30620720560903791</v>
      </c>
      <c r="F15" s="255">
        <v>0.39406449142343292</v>
      </c>
      <c r="G15" s="255">
        <v>0.24779795467048479</v>
      </c>
      <c r="H15" s="255">
        <v>0.1944402494288669</v>
      </c>
      <c r="I15" s="255">
        <v>0.1674081346101042</v>
      </c>
      <c r="J15" s="255">
        <v>0.15453535562237641</v>
      </c>
      <c r="K15" s="255">
        <v>0.2175191595870373</v>
      </c>
      <c r="L15" s="255">
        <v>0.27281002458023562</v>
      </c>
      <c r="M15" s="255">
        <v>0.53889828621862013</v>
      </c>
      <c r="N15" s="255">
        <v>0.32185462257073022</v>
      </c>
      <c r="O15" s="255">
        <v>0.33558706376067582</v>
      </c>
      <c r="P15" s="255">
        <v>0.33675379578594611</v>
      </c>
      <c r="Q15" s="255">
        <v>0.2998401204313742</v>
      </c>
      <c r="R15" s="255">
        <v>0.19244745921210879</v>
      </c>
      <c r="S15" s="255">
        <v>0.19881610460737781</v>
      </c>
      <c r="T15" s="255">
        <v>0.17771577412617109</v>
      </c>
      <c r="U15" s="255">
        <v>0.21488434212223331</v>
      </c>
      <c r="V15" s="255">
        <v>0.2181473950665751</v>
      </c>
      <c r="W15" s="255">
        <v>0.22376001888630401</v>
      </c>
      <c r="X15" s="255">
        <v>0.30598480096044339</v>
      </c>
      <c r="Y15" s="255">
        <v>0.33488409802927771</v>
      </c>
      <c r="DA15" s="271" t="s">
        <v>1024</v>
      </c>
    </row>
    <row r="16" spans="1:105" x14ac:dyDescent="0.25">
      <c r="A16" s="256" t="s">
        <v>168</v>
      </c>
      <c r="B16" s="257">
        <v>1.6523544328005431</v>
      </c>
      <c r="C16" s="257">
        <v>1.8039324147367299</v>
      </c>
      <c r="D16" s="257">
        <v>1.7804222356929349</v>
      </c>
      <c r="E16" s="257">
        <v>1.9416537376863261</v>
      </c>
      <c r="F16" s="257">
        <v>1.945945140022894</v>
      </c>
      <c r="G16" s="257">
        <v>2.0247835293048428</v>
      </c>
      <c r="H16" s="257">
        <v>2.1135442315445019</v>
      </c>
      <c r="I16" s="257">
        <v>2.2802214033640311</v>
      </c>
      <c r="J16" s="257">
        <v>2.3528778710723719</v>
      </c>
      <c r="K16" s="257">
        <v>2.6813883319231708</v>
      </c>
      <c r="L16" s="257">
        <v>2.6437372745999062</v>
      </c>
      <c r="M16" s="257">
        <v>2.1620465200158221</v>
      </c>
      <c r="N16" s="257">
        <v>2.2184611691008529</v>
      </c>
      <c r="O16" s="257">
        <v>2.3658403185009789</v>
      </c>
      <c r="P16" s="257">
        <v>2.2911386526997779</v>
      </c>
      <c r="Q16" s="257">
        <v>2.273404026737488</v>
      </c>
      <c r="R16" s="257">
        <v>2.6759634622335269</v>
      </c>
      <c r="S16" s="257">
        <v>2.4625690867300558</v>
      </c>
      <c r="T16" s="257">
        <v>2.4283221329448161</v>
      </c>
      <c r="U16" s="257">
        <v>2.2410420964827482</v>
      </c>
      <c r="V16" s="257">
        <v>2.6256476919265102</v>
      </c>
      <c r="W16" s="257">
        <v>2.5550889506486709</v>
      </c>
      <c r="X16" s="257">
        <v>2.3228536957779391</v>
      </c>
      <c r="Y16" s="257">
        <v>2.1962161608420092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1.8698555741593492</v>
      </c>
      <c r="C17" s="257">
        <f t="shared" ref="C17:W17" si="7">SUM(C18:C24)</f>
        <v>1.978575159557473</v>
      </c>
      <c r="D17" s="257">
        <f t="shared" si="7"/>
        <v>1.9593680859171563</v>
      </c>
      <c r="E17" s="257">
        <f t="shared" si="7"/>
        <v>2.1673448375014379</v>
      </c>
      <c r="F17" s="257">
        <f t="shared" si="7"/>
        <v>2.2108808065113728</v>
      </c>
      <c r="G17" s="257">
        <f t="shared" si="7"/>
        <v>2.3431386120733388</v>
      </c>
      <c r="H17" s="257">
        <f t="shared" si="7"/>
        <v>2.4749090001714515</v>
      </c>
      <c r="I17" s="257">
        <f t="shared" si="7"/>
        <v>2.6830173202368877</v>
      </c>
      <c r="J17" s="257">
        <f t="shared" si="7"/>
        <v>2.8110212156762557</v>
      </c>
      <c r="K17" s="257">
        <f t="shared" si="7"/>
        <v>3.2311827904800667</v>
      </c>
      <c r="L17" s="257">
        <f t="shared" si="7"/>
        <v>3.1141511142889273</v>
      </c>
      <c r="M17" s="257">
        <f t="shared" si="7"/>
        <v>2.5773597909016464</v>
      </c>
      <c r="N17" s="257">
        <f t="shared" si="7"/>
        <v>2.633980846507098</v>
      </c>
      <c r="O17" s="257">
        <f t="shared" si="7"/>
        <v>2.7619135504822601</v>
      </c>
      <c r="P17" s="257">
        <f t="shared" si="7"/>
        <v>2.620308621572125</v>
      </c>
      <c r="Q17" s="257">
        <f t="shared" si="7"/>
        <v>2.5967824417211953</v>
      </c>
      <c r="R17" s="257">
        <f t="shared" si="7"/>
        <v>3.0666765582392923</v>
      </c>
      <c r="S17" s="257">
        <f t="shared" si="7"/>
        <v>2.8658818377507052</v>
      </c>
      <c r="T17" s="257">
        <f t="shared" si="7"/>
        <v>2.8745746335476823</v>
      </c>
      <c r="U17" s="257">
        <f t="shared" si="7"/>
        <v>2.5509753983378407</v>
      </c>
      <c r="V17" s="257">
        <f t="shared" si="7"/>
        <v>2.9235192760493329</v>
      </c>
      <c r="W17" s="257">
        <f t="shared" si="7"/>
        <v>2.7850663967437472</v>
      </c>
      <c r="X17" s="257">
        <f t="shared" ref="X17:Y17" si="8">SUM(X18:X24)</f>
        <v>2.623820333238291</v>
      </c>
      <c r="Y17" s="257">
        <f t="shared" si="8"/>
        <v>2.3900317185014073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1026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DA19" s="101" t="s">
        <v>1027</v>
      </c>
    </row>
    <row r="20" spans="1:105" x14ac:dyDescent="0.25">
      <c r="A20" s="61" t="s">
        <v>166</v>
      </c>
      <c r="B20" s="55">
        <v>1.5645771661817309</v>
      </c>
      <c r="C20" s="55">
        <v>1.8812172797902</v>
      </c>
      <c r="D20" s="55">
        <v>1.837369191305529</v>
      </c>
      <c r="E20" s="55">
        <v>1.9198856031269931</v>
      </c>
      <c r="F20" s="55">
        <v>1.825778990280585</v>
      </c>
      <c r="G20" s="55">
        <v>1.7961876708345319</v>
      </c>
      <c r="H20" s="55">
        <v>1.8089209831183219</v>
      </c>
      <c r="I20" s="55">
        <v>1.9228031935081451</v>
      </c>
      <c r="J20" s="55">
        <v>1.8958679052327809</v>
      </c>
      <c r="K20" s="55">
        <v>2.107414398405222</v>
      </c>
      <c r="L20" s="55">
        <v>2.223774706394567</v>
      </c>
      <c r="M20" s="55">
        <v>1.7616343740593301</v>
      </c>
      <c r="N20" s="55">
        <v>1.8246954588850159</v>
      </c>
      <c r="O20" s="55">
        <v>2.045491314265059</v>
      </c>
      <c r="P20" s="55">
        <v>2.1061443644229438</v>
      </c>
      <c r="Q20" s="55">
        <v>2.0971894771607249</v>
      </c>
      <c r="R20" s="55">
        <v>2.4418761183987749</v>
      </c>
      <c r="S20" s="55">
        <v>2.1462206157071919</v>
      </c>
      <c r="T20" s="55">
        <v>2.0112534894848202</v>
      </c>
      <c r="U20" s="55">
        <v>2.087783427751368</v>
      </c>
      <c r="V20" s="55">
        <v>2.6142260913390238</v>
      </c>
      <c r="W20" s="55">
        <v>2.7137105590252411</v>
      </c>
      <c r="X20" s="55">
        <v>2.215735066339243</v>
      </c>
      <c r="Y20" s="55">
        <v>2.3442484662176968</v>
      </c>
      <c r="DA20" s="101" t="s">
        <v>1028</v>
      </c>
    </row>
    <row r="21" spans="1:105" x14ac:dyDescent="0.25">
      <c r="A21" s="61" t="s">
        <v>129</v>
      </c>
      <c r="B21" s="55">
        <v>0.26547519216887189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1" t="s">
        <v>1029</v>
      </c>
    </row>
    <row r="22" spans="1:105" x14ac:dyDescent="0.25">
      <c r="A22" s="61" t="s">
        <v>169</v>
      </c>
      <c r="B22" s="55">
        <v>3.9803215808746441E-2</v>
      </c>
      <c r="C22" s="55">
        <v>9.7357879767272976E-2</v>
      </c>
      <c r="D22" s="55">
        <v>0.1219988946116273</v>
      </c>
      <c r="E22" s="55">
        <v>0.24745923437444489</v>
      </c>
      <c r="F22" s="55">
        <v>0.38510181623078771</v>
      </c>
      <c r="G22" s="55">
        <v>0.54695094123880694</v>
      </c>
      <c r="H22" s="55">
        <v>0.66598801705312949</v>
      </c>
      <c r="I22" s="55">
        <v>0.76021412672874245</v>
      </c>
      <c r="J22" s="55">
        <v>0.91515331044347459</v>
      </c>
      <c r="K22" s="55">
        <v>1.1237683920748449</v>
      </c>
      <c r="L22" s="55">
        <v>0.89037640789436046</v>
      </c>
      <c r="M22" s="55">
        <v>0.81572541684231625</v>
      </c>
      <c r="N22" s="55">
        <v>0.80928538762208213</v>
      </c>
      <c r="O22" s="55">
        <v>0.71642223621720114</v>
      </c>
      <c r="P22" s="55">
        <v>0.51416425714918101</v>
      </c>
      <c r="Q22" s="55">
        <v>0.49959296456047031</v>
      </c>
      <c r="R22" s="55">
        <v>0.62480043984051725</v>
      </c>
      <c r="S22" s="55">
        <v>0.71966122204351335</v>
      </c>
      <c r="T22" s="55">
        <v>0.86332114406286209</v>
      </c>
      <c r="U22" s="55">
        <v>0.46319197058647282</v>
      </c>
      <c r="V22" s="55">
        <v>0.3092931847103092</v>
      </c>
      <c r="W22" s="55">
        <v>7.1355837718506232E-2</v>
      </c>
      <c r="X22" s="55">
        <v>0.40808526689904789</v>
      </c>
      <c r="Y22" s="55">
        <v>4.578325228371051E-2</v>
      </c>
      <c r="DA22" s="101" t="s">
        <v>1030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1032</v>
      </c>
    </row>
    <row r="25" spans="1:105" x14ac:dyDescent="0.25">
      <c r="A25" s="256" t="s">
        <v>167</v>
      </c>
      <c r="B25" s="257">
        <v>0.22225957217128961</v>
      </c>
      <c r="C25" s="257">
        <v>0.24264845287809081</v>
      </c>
      <c r="D25" s="257">
        <v>0.23948607909664499</v>
      </c>
      <c r="E25" s="257">
        <v>0.26117346283358889</v>
      </c>
      <c r="F25" s="257">
        <v>0.26175070293922631</v>
      </c>
      <c r="G25" s="257">
        <v>0.27235532040182547</v>
      </c>
      <c r="H25" s="257">
        <v>0.28429459645168209</v>
      </c>
      <c r="I25" s="257">
        <v>0.30671448177649152</v>
      </c>
      <c r="J25" s="257">
        <v>0.31648756381492749</v>
      </c>
      <c r="K25" s="257">
        <v>0.36067577975280041</v>
      </c>
      <c r="L25" s="257">
        <v>0.35561130464603857</v>
      </c>
      <c r="M25" s="257">
        <v>0.29081867970583752</v>
      </c>
      <c r="N25" s="257">
        <v>0.29840706118194799</v>
      </c>
      <c r="O25" s="257">
        <v>0.31823115342414482</v>
      </c>
      <c r="P25" s="257">
        <v>0.30818297008534562</v>
      </c>
      <c r="Q25" s="257">
        <v>0.30579747076343811</v>
      </c>
      <c r="R25" s="257">
        <v>0.3599460760086336</v>
      </c>
      <c r="S25" s="257">
        <v>0.33124222067247838</v>
      </c>
      <c r="T25" s="257">
        <v>0.32663563437030352</v>
      </c>
      <c r="U25" s="257">
        <v>0.30144444054772052</v>
      </c>
      <c r="V25" s="257">
        <v>0.35317805980102579</v>
      </c>
      <c r="W25" s="257">
        <v>0.34368714469343747</v>
      </c>
      <c r="X25" s="257">
        <v>0.31244898696769141</v>
      </c>
      <c r="Y25" s="257">
        <v>0.29541486657744193</v>
      </c>
      <c r="DA25" s="272" t="s">
        <v>1033</v>
      </c>
    </row>
    <row r="26" spans="1:105" x14ac:dyDescent="0.25">
      <c r="A26" s="256" t="s">
        <v>170</v>
      </c>
      <c r="B26" s="257">
        <v>0.22828542071413549</v>
      </c>
      <c r="C26" s="257">
        <v>0.26151598127018161</v>
      </c>
      <c r="D26" s="257">
        <v>0.22138588077365021</v>
      </c>
      <c r="E26" s="257">
        <v>0.23855051274789221</v>
      </c>
      <c r="F26" s="257">
        <v>0.26117415837981262</v>
      </c>
      <c r="G26" s="257">
        <v>0.23253031314553441</v>
      </c>
      <c r="H26" s="257">
        <v>0.22232280123992221</v>
      </c>
      <c r="I26" s="257">
        <v>0.2233139945732206</v>
      </c>
      <c r="J26" s="257">
        <v>0.2236806106140449</v>
      </c>
      <c r="K26" s="257">
        <v>0.27414036043950291</v>
      </c>
      <c r="L26" s="257">
        <v>0.28942181786524729</v>
      </c>
      <c r="M26" s="257">
        <v>0.31686959271481319</v>
      </c>
      <c r="N26" s="257">
        <v>0.27223610630011191</v>
      </c>
      <c r="O26" s="257">
        <v>0.28610601517224138</v>
      </c>
      <c r="P26" s="257">
        <v>0.27786898262847221</v>
      </c>
      <c r="Q26" s="257">
        <v>0.26604863899367598</v>
      </c>
      <c r="R26" s="257">
        <v>0.25741328763838273</v>
      </c>
      <c r="S26" s="257">
        <v>0.24759286437614969</v>
      </c>
      <c r="T26" s="257">
        <v>0.23819397322124569</v>
      </c>
      <c r="U26" s="257">
        <v>0.2361006744058789</v>
      </c>
      <c r="V26" s="257">
        <v>0.26164994391698981</v>
      </c>
      <c r="W26" s="257">
        <v>0.25687079121771189</v>
      </c>
      <c r="X26" s="257">
        <v>0.27048023362816348</v>
      </c>
      <c r="Y26" s="257">
        <v>0.26424199794365177</v>
      </c>
      <c r="DA26" s="272" t="s">
        <v>1034</v>
      </c>
    </row>
    <row r="27" spans="1:105" x14ac:dyDescent="0.25">
      <c r="A27" s="128" t="s">
        <v>33</v>
      </c>
      <c r="B27" s="258">
        <v>0.34792176231989208</v>
      </c>
      <c r="C27" s="258">
        <v>0.39856728823814691</v>
      </c>
      <c r="D27" s="258">
        <v>0.33740641671533822</v>
      </c>
      <c r="E27" s="258">
        <v>0.36356642722923249</v>
      </c>
      <c r="F27" s="258">
        <v>0.39804632802068562</v>
      </c>
      <c r="G27" s="258">
        <v>0.35439125323600301</v>
      </c>
      <c r="H27" s="258">
        <v>0.33883434417018488</v>
      </c>
      <c r="I27" s="258">
        <v>0.34034498698846938</v>
      </c>
      <c r="J27" s="258">
        <v>0.34090373357254528</v>
      </c>
      <c r="K27" s="258">
        <v>0.41780765950252541</v>
      </c>
      <c r="L27" s="258">
        <v>0.44109759007167498</v>
      </c>
      <c r="M27" s="258">
        <v>0.48292977614622512</v>
      </c>
      <c r="N27" s="258">
        <v>0.41490545289638597</v>
      </c>
      <c r="O27" s="258">
        <v>0.43604409207409478</v>
      </c>
      <c r="P27" s="258">
        <v>0.42349032114142049</v>
      </c>
      <c r="Q27" s="258">
        <v>0.4054753520917988</v>
      </c>
      <c r="R27" s="258">
        <v>0.39231451749979351</v>
      </c>
      <c r="S27" s="258">
        <v>0.37734755658991598</v>
      </c>
      <c r="T27" s="258">
        <v>0.36302303790520363</v>
      </c>
      <c r="U27" s="258">
        <v>0.35983271497250741</v>
      </c>
      <c r="V27" s="258">
        <v>0.39877145598577052</v>
      </c>
      <c r="W27" s="258">
        <v>0.39148771782883091</v>
      </c>
      <c r="X27" s="258">
        <v>0.41222938925411512</v>
      </c>
      <c r="Y27" s="258">
        <v>0.4027219141541612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1.0000000000000002</v>
      </c>
      <c r="D31" s="235">
        <f t="shared" si="9"/>
        <v>0.99999999999999989</v>
      </c>
      <c r="E31" s="235">
        <f t="shared" si="9"/>
        <v>1.0000000000000002</v>
      </c>
      <c r="F31" s="235">
        <f t="shared" si="9"/>
        <v>1</v>
      </c>
      <c r="G31" s="235">
        <f t="shared" si="9"/>
        <v>1</v>
      </c>
      <c r="H31" s="235">
        <f t="shared" si="9"/>
        <v>1.0000000000000002</v>
      </c>
      <c r="I31" s="235">
        <f t="shared" si="9"/>
        <v>0.99999999999999989</v>
      </c>
      <c r="J31" s="235">
        <f t="shared" si="9"/>
        <v>1</v>
      </c>
      <c r="K31" s="235">
        <f t="shared" si="9"/>
        <v>1</v>
      </c>
      <c r="L31" s="235">
        <f t="shared" si="9"/>
        <v>1.0000000000000004</v>
      </c>
      <c r="M31" s="235">
        <f t="shared" si="9"/>
        <v>1</v>
      </c>
      <c r="N31" s="235">
        <f t="shared" si="9"/>
        <v>1</v>
      </c>
      <c r="O31" s="235">
        <f t="shared" si="9"/>
        <v>1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0.99999999999999967</v>
      </c>
      <c r="T31" s="235">
        <f t="shared" si="10"/>
        <v>0.99999999999999989</v>
      </c>
      <c r="U31" s="235">
        <f t="shared" si="10"/>
        <v>0.99999999999999989</v>
      </c>
      <c r="V31" s="235">
        <f t="shared" si="10"/>
        <v>1.0000000000000002</v>
      </c>
      <c r="W31" s="235">
        <f t="shared" si="10"/>
        <v>1.0000000000000002</v>
      </c>
      <c r="X31" s="235">
        <f t="shared" ref="X31:Y31" si="11">SUM(X32:X40)</f>
        <v>1</v>
      </c>
      <c r="Y31" s="235">
        <f t="shared" si="11"/>
        <v>1.0000000000000002</v>
      </c>
      <c r="DA31" s="274"/>
    </row>
    <row r="32" spans="1:105" x14ac:dyDescent="0.25">
      <c r="A32" s="238" t="s">
        <v>125</v>
      </c>
      <c r="B32" s="244">
        <f t="shared" ref="B32:Y32" si="12">IF(B$6=0,0,B$6/B$5)</f>
        <v>3.1498956314600667E-2</v>
      </c>
      <c r="C32" s="244">
        <f t="shared" si="12"/>
        <v>3.2862385264408857E-2</v>
      </c>
      <c r="D32" s="244">
        <f t="shared" si="12"/>
        <v>2.9178657416875049E-2</v>
      </c>
      <c r="E32" s="244">
        <f t="shared" si="12"/>
        <v>2.8672709344045914E-2</v>
      </c>
      <c r="F32" s="244">
        <f t="shared" si="12"/>
        <v>3.0435079437072601E-2</v>
      </c>
      <c r="G32" s="244">
        <f t="shared" si="12"/>
        <v>2.6587725001902277E-2</v>
      </c>
      <c r="H32" s="244">
        <f t="shared" si="12"/>
        <v>2.4533210113099557E-2</v>
      </c>
      <c r="I32" s="244">
        <f t="shared" si="12"/>
        <v>2.3012191383484204E-2</v>
      </c>
      <c r="J32" s="244">
        <f t="shared" si="12"/>
        <v>2.2216757881255333E-2</v>
      </c>
      <c r="K32" s="244">
        <f t="shared" si="12"/>
        <v>2.3530233935614528E-2</v>
      </c>
      <c r="L32" s="244">
        <f t="shared" si="12"/>
        <v>2.5282665066903923E-2</v>
      </c>
      <c r="M32" s="244">
        <f t="shared" si="12"/>
        <v>3.1715570855415771E-2</v>
      </c>
      <c r="N32" s="244">
        <f t="shared" si="12"/>
        <v>2.7653414882193594E-2</v>
      </c>
      <c r="O32" s="244">
        <f t="shared" si="12"/>
        <v>2.7595147105688032E-2</v>
      </c>
      <c r="P32" s="244">
        <f t="shared" si="12"/>
        <v>2.7988077776798657E-2</v>
      </c>
      <c r="Q32" s="244">
        <f t="shared" si="12"/>
        <v>2.7207923644151494E-2</v>
      </c>
      <c r="R32" s="244">
        <f t="shared" si="12"/>
        <v>2.3030251025565704E-2</v>
      </c>
      <c r="S32" s="244">
        <f t="shared" si="12"/>
        <v>2.3696444246354309E-2</v>
      </c>
      <c r="T32" s="244">
        <f t="shared" si="12"/>
        <v>2.2957858017017909E-2</v>
      </c>
      <c r="U32" s="244">
        <f t="shared" si="12"/>
        <v>2.4987110873746627E-2</v>
      </c>
      <c r="V32" s="244">
        <f t="shared" si="12"/>
        <v>2.4156435693361816E-2</v>
      </c>
      <c r="W32" s="244">
        <f t="shared" si="12"/>
        <v>2.46499400908891E-2</v>
      </c>
      <c r="X32" s="244">
        <f t="shared" si="12"/>
        <v>2.7272650501929389E-2</v>
      </c>
      <c r="Y32" s="244">
        <f t="shared" si="12"/>
        <v>2.8603811627829705E-2</v>
      </c>
      <c r="DA32" s="275"/>
    </row>
    <row r="33" spans="1:105" x14ac:dyDescent="0.25">
      <c r="A33" s="240" t="s">
        <v>124</v>
      </c>
      <c r="B33" s="245">
        <f t="shared" ref="B33:Y33" si="13">IF(B$7=0,0,B$7/B$5)</f>
        <v>2.0302908818476025E-2</v>
      </c>
      <c r="C33" s="245">
        <f t="shared" si="13"/>
        <v>2.1181718051770992E-2</v>
      </c>
      <c r="D33" s="245">
        <f t="shared" si="13"/>
        <v>1.8807341267550626E-2</v>
      </c>
      <c r="E33" s="245">
        <f t="shared" si="13"/>
        <v>1.8481228316793188E-2</v>
      </c>
      <c r="F33" s="245">
        <f t="shared" si="13"/>
        <v>1.9617178312906058E-2</v>
      </c>
      <c r="G33" s="245">
        <f t="shared" si="13"/>
        <v>1.7137334679057929E-2</v>
      </c>
      <c r="H33" s="245">
        <f t="shared" si="13"/>
        <v>1.5813080375615258E-2</v>
      </c>
      <c r="I33" s="245">
        <f t="shared" si="13"/>
        <v>1.4832695366342408E-2</v>
      </c>
      <c r="J33" s="245">
        <f t="shared" si="13"/>
        <v>1.4319992224510754E-2</v>
      </c>
      <c r="K33" s="245">
        <f t="shared" si="13"/>
        <v>1.5166603912230243E-2</v>
      </c>
      <c r="L33" s="245">
        <f t="shared" si="13"/>
        <v>1.6296147669612931E-2</v>
      </c>
      <c r="M33" s="245">
        <f t="shared" si="13"/>
        <v>2.0442529484856226E-2</v>
      </c>
      <c r="N33" s="245">
        <f t="shared" si="13"/>
        <v>1.7824233770323956E-2</v>
      </c>
      <c r="O33" s="245">
        <f t="shared" si="13"/>
        <v>1.7786676800447477E-2</v>
      </c>
      <c r="P33" s="245">
        <f t="shared" si="13"/>
        <v>1.803994346451927E-2</v>
      </c>
      <c r="Q33" s="245">
        <f t="shared" si="13"/>
        <v>1.7537088764785908E-2</v>
      </c>
      <c r="R33" s="245">
        <f t="shared" si="13"/>
        <v>1.4844335855722859E-2</v>
      </c>
      <c r="S33" s="245">
        <f t="shared" si="13"/>
        <v>1.5273736121625898E-2</v>
      </c>
      <c r="T33" s="245">
        <f t="shared" si="13"/>
        <v>1.4797674352498388E-2</v>
      </c>
      <c r="U33" s="245">
        <f t="shared" si="13"/>
        <v>1.6105645807435068E-2</v>
      </c>
      <c r="V33" s="245">
        <f t="shared" si="13"/>
        <v>1.557022735494156E-2</v>
      </c>
      <c r="W33" s="245">
        <f t="shared" si="13"/>
        <v>1.5888319633442522E-2</v>
      </c>
      <c r="X33" s="245">
        <f t="shared" si="13"/>
        <v>1.7578808988098896E-2</v>
      </c>
      <c r="Y33" s="245">
        <f t="shared" si="13"/>
        <v>1.8436819732706534E-2</v>
      </c>
      <c r="DA33" s="276"/>
    </row>
    <row r="34" spans="1:105" x14ac:dyDescent="0.25">
      <c r="A34" s="240" t="s">
        <v>123</v>
      </c>
      <c r="B34" s="245">
        <f t="shared" ref="B34:Y34" si="14">IF(B$8=0,0,B$8/B$5)</f>
        <v>4.0346594816261301E-2</v>
      </c>
      <c r="C34" s="245">
        <f t="shared" si="14"/>
        <v>4.2092992850826426E-2</v>
      </c>
      <c r="D34" s="245">
        <f t="shared" si="14"/>
        <v>3.7374554773278654E-2</v>
      </c>
      <c r="E34" s="245">
        <f t="shared" si="14"/>
        <v>3.6726492606119078E-2</v>
      </c>
      <c r="F34" s="245">
        <f t="shared" si="14"/>
        <v>3.8983889052828832E-2</v>
      </c>
      <c r="G34" s="245">
        <f t="shared" si="14"/>
        <v>3.4055863852247466E-2</v>
      </c>
      <c r="H34" s="245">
        <f t="shared" si="14"/>
        <v>3.1424263016505631E-2</v>
      </c>
      <c r="I34" s="245">
        <f t="shared" si="14"/>
        <v>2.9476010325882679E-2</v>
      </c>
      <c r="J34" s="245">
        <f t="shared" si="14"/>
        <v>2.8457150116764189E-2</v>
      </c>
      <c r="K34" s="245">
        <f t="shared" si="14"/>
        <v>3.0139564150956432E-2</v>
      </c>
      <c r="L34" s="245">
        <f t="shared" si="14"/>
        <v>3.2384229913572871E-2</v>
      </c>
      <c r="M34" s="245">
        <f t="shared" si="14"/>
        <v>4.0624053504806051E-2</v>
      </c>
      <c r="N34" s="245">
        <f t="shared" si="14"/>
        <v>3.5420891866841511E-2</v>
      </c>
      <c r="O34" s="245">
        <f t="shared" si="14"/>
        <v>3.534625744575038E-2</v>
      </c>
      <c r="P34" s="245">
        <f t="shared" si="14"/>
        <v>3.5849557123995096E-2</v>
      </c>
      <c r="Q34" s="245">
        <f t="shared" si="14"/>
        <v>3.4850268056453609E-2</v>
      </c>
      <c r="R34" s="245">
        <f t="shared" si="14"/>
        <v>2.9499142681580815E-2</v>
      </c>
      <c r="S34" s="245">
        <f t="shared" si="14"/>
        <v>3.0352460730599429E-2</v>
      </c>
      <c r="T34" s="245">
        <f t="shared" si="14"/>
        <v>2.9406415438359271E-2</v>
      </c>
      <c r="U34" s="245">
        <f t="shared" si="14"/>
        <v>3.2005658472714159E-2</v>
      </c>
      <c r="V34" s="245">
        <f t="shared" si="14"/>
        <v>3.0941657666078676E-2</v>
      </c>
      <c r="W34" s="245">
        <f t="shared" si="14"/>
        <v>3.1573780894804421E-2</v>
      </c>
      <c r="X34" s="245">
        <f t="shared" si="14"/>
        <v>3.4933175828965567E-2</v>
      </c>
      <c r="Y34" s="245">
        <f t="shared" si="14"/>
        <v>3.66382424364253E-2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0.31667320749910627</v>
      </c>
      <c r="C35" s="246">
        <f t="shared" si="15"/>
        <v>0.32003967610253131</v>
      </c>
      <c r="D35" s="246">
        <f t="shared" si="15"/>
        <v>0.32152951695275228</v>
      </c>
      <c r="E35" s="246">
        <f t="shared" si="15"/>
        <v>0.32347612881837889</v>
      </c>
      <c r="F35" s="246">
        <f t="shared" si="15"/>
        <v>0.32419328029292122</v>
      </c>
      <c r="G35" s="246">
        <f t="shared" si="15"/>
        <v>0.32954029197191304</v>
      </c>
      <c r="H35" s="246">
        <f t="shared" si="15"/>
        <v>0.33362088894889153</v>
      </c>
      <c r="I35" s="246">
        <f t="shared" si="15"/>
        <v>0.33656645741870767</v>
      </c>
      <c r="J35" s="246">
        <f t="shared" si="15"/>
        <v>0.33962463906551937</v>
      </c>
      <c r="K35" s="246">
        <f t="shared" si="15"/>
        <v>0.33832662160100768</v>
      </c>
      <c r="L35" s="246">
        <f t="shared" si="15"/>
        <v>0.33317778860667091</v>
      </c>
      <c r="M35" s="246">
        <f t="shared" si="15"/>
        <v>0.32857434492005039</v>
      </c>
      <c r="N35" s="246">
        <f t="shared" si="15"/>
        <v>0.33105020297277249</v>
      </c>
      <c r="O35" s="246">
        <f t="shared" si="15"/>
        <v>0.32933123397090541</v>
      </c>
      <c r="P35" s="246">
        <f t="shared" si="15"/>
        <v>0.32672961323642435</v>
      </c>
      <c r="Q35" s="246">
        <f t="shared" si="15"/>
        <v>0.32740577355540296</v>
      </c>
      <c r="R35" s="246">
        <f t="shared" si="15"/>
        <v>0.33356798752806138</v>
      </c>
      <c r="S35" s="246">
        <f t="shared" si="15"/>
        <v>0.3342277432925862</v>
      </c>
      <c r="T35" s="246">
        <f t="shared" si="15"/>
        <v>0.33732727502850879</v>
      </c>
      <c r="U35" s="246">
        <f t="shared" si="15"/>
        <v>0.32982000780974036</v>
      </c>
      <c r="V35" s="246">
        <f t="shared" si="15"/>
        <v>0.32850681189792652</v>
      </c>
      <c r="W35" s="246">
        <f t="shared" si="15"/>
        <v>0.32532201854490095</v>
      </c>
      <c r="X35" s="246">
        <f t="shared" si="15"/>
        <v>0.32611342181837044</v>
      </c>
      <c r="Y35" s="246">
        <f t="shared" si="15"/>
        <v>0.32071889995659775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0.22608405861809419</v>
      </c>
      <c r="C36" s="259">
        <f t="shared" si="16"/>
        <v>0.22478630829493718</v>
      </c>
      <c r="D36" s="259">
        <f t="shared" si="16"/>
        <v>0.23269504652305942</v>
      </c>
      <c r="E36" s="259">
        <f t="shared" si="16"/>
        <v>0.23142427104678084</v>
      </c>
      <c r="F36" s="259">
        <f t="shared" si="16"/>
        <v>0.22486588457515944</v>
      </c>
      <c r="G36" s="259">
        <f t="shared" si="16"/>
        <v>0.22957730029952844</v>
      </c>
      <c r="H36" s="259">
        <f t="shared" si="16"/>
        <v>0.23127594113974045</v>
      </c>
      <c r="I36" s="259">
        <f t="shared" si="16"/>
        <v>0.23300637230240609</v>
      </c>
      <c r="J36" s="259">
        <f t="shared" si="16"/>
        <v>0.23173971636464299</v>
      </c>
      <c r="K36" s="259">
        <f t="shared" si="16"/>
        <v>0.22822421612477359</v>
      </c>
      <c r="L36" s="259">
        <f t="shared" si="16"/>
        <v>0.22901220171313652</v>
      </c>
      <c r="M36" s="259">
        <f t="shared" si="16"/>
        <v>0.21458815453136096</v>
      </c>
      <c r="N36" s="259">
        <f t="shared" si="16"/>
        <v>0.22346196822620445</v>
      </c>
      <c r="O36" s="259">
        <f t="shared" si="16"/>
        <v>0.22627673162078865</v>
      </c>
      <c r="P36" s="259">
        <f t="shared" si="16"/>
        <v>0.22884062051393408</v>
      </c>
      <c r="Q36" s="259">
        <f t="shared" si="16"/>
        <v>0.23054713353236916</v>
      </c>
      <c r="R36" s="259">
        <f t="shared" si="16"/>
        <v>0.23740870169387576</v>
      </c>
      <c r="S36" s="259">
        <f t="shared" si="16"/>
        <v>0.23371265320999557</v>
      </c>
      <c r="T36" s="259">
        <f t="shared" si="16"/>
        <v>0.23208957783007544</v>
      </c>
      <c r="U36" s="259">
        <f t="shared" si="16"/>
        <v>0.23518930796611021</v>
      </c>
      <c r="V36" s="259">
        <f t="shared" si="16"/>
        <v>0.24037948686622895</v>
      </c>
      <c r="W36" s="259">
        <f t="shared" si="16"/>
        <v>0.24313971985283775</v>
      </c>
      <c r="X36" s="259">
        <f t="shared" si="16"/>
        <v>0.23225357857111517</v>
      </c>
      <c r="Y36" s="259">
        <f t="shared" si="16"/>
        <v>0.23574684608227076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0.25584373960198786</v>
      </c>
      <c r="C37" s="259">
        <f t="shared" si="17"/>
        <v>0.24654837518727077</v>
      </c>
      <c r="D37" s="259">
        <f t="shared" si="17"/>
        <v>0.25608265206306075</v>
      </c>
      <c r="E37" s="259">
        <f t="shared" si="17"/>
        <v>0.25832422609164701</v>
      </c>
      <c r="F37" s="259">
        <f t="shared" si="17"/>
        <v>0.2554808242130468</v>
      </c>
      <c r="G37" s="259">
        <f t="shared" si="17"/>
        <v>0.26567355423523525</v>
      </c>
      <c r="H37" s="259">
        <f t="shared" si="17"/>
        <v>0.27081851408976043</v>
      </c>
      <c r="I37" s="259">
        <f t="shared" si="17"/>
        <v>0.27416641721308982</v>
      </c>
      <c r="J37" s="259">
        <f t="shared" si="17"/>
        <v>0.27686318411372079</v>
      </c>
      <c r="K37" s="259">
        <f t="shared" si="17"/>
        <v>0.27501953026858372</v>
      </c>
      <c r="L37" s="259">
        <f t="shared" si="17"/>
        <v>0.26976152660958136</v>
      </c>
      <c r="M37" s="259">
        <f t="shared" si="17"/>
        <v>0.25580896431815503</v>
      </c>
      <c r="N37" s="259">
        <f t="shared" si="17"/>
        <v>0.26531658630254901</v>
      </c>
      <c r="O37" s="259">
        <f t="shared" si="17"/>
        <v>0.26415847525088804</v>
      </c>
      <c r="P37" s="259">
        <f t="shared" si="17"/>
        <v>0.26171836007916627</v>
      </c>
      <c r="Q37" s="259">
        <f t="shared" si="17"/>
        <v>0.26334111372414593</v>
      </c>
      <c r="R37" s="259">
        <f t="shared" si="17"/>
        <v>0.27207236215361208</v>
      </c>
      <c r="S37" s="259">
        <f t="shared" si="17"/>
        <v>0.27198946486266734</v>
      </c>
      <c r="T37" s="259">
        <f t="shared" si="17"/>
        <v>0.27474065491140776</v>
      </c>
      <c r="U37" s="259">
        <f t="shared" si="17"/>
        <v>0.26771569329968076</v>
      </c>
      <c r="V37" s="259">
        <f t="shared" si="17"/>
        <v>0.26764979383225546</v>
      </c>
      <c r="W37" s="259">
        <f t="shared" si="17"/>
        <v>0.2650241445817037</v>
      </c>
      <c r="X37" s="259">
        <f t="shared" si="17"/>
        <v>0.26234612323190665</v>
      </c>
      <c r="Y37" s="259">
        <f t="shared" si="17"/>
        <v>0.25655144958831266</v>
      </c>
      <c r="DA37" s="278"/>
    </row>
    <row r="38" spans="1:105" x14ac:dyDescent="0.25">
      <c r="A38" s="127" t="s">
        <v>167</v>
      </c>
      <c r="B38" s="259">
        <f t="shared" ref="B38:Y38" si="18">IF(B$25=0,0,B$25/B$5)</f>
        <v>3.0410755190119682E-2</v>
      </c>
      <c r="C38" s="259">
        <f t="shared" si="18"/>
        <v>3.0236193712337243E-2</v>
      </c>
      <c r="D38" s="259">
        <f t="shared" si="18"/>
        <v>3.130000468418663E-2</v>
      </c>
      <c r="E38" s="259">
        <f t="shared" si="18"/>
        <v>3.1129071615544252E-2</v>
      </c>
      <c r="F38" s="259">
        <f t="shared" si="18"/>
        <v>3.0246897584125333E-2</v>
      </c>
      <c r="G38" s="259">
        <f t="shared" si="18"/>
        <v>3.0880634040682396E-2</v>
      </c>
      <c r="H38" s="259">
        <f t="shared" si="18"/>
        <v>3.110911963609931E-2</v>
      </c>
      <c r="I38" s="259">
        <f t="shared" si="18"/>
        <v>3.1341881374290087E-2</v>
      </c>
      <c r="J38" s="259">
        <f t="shared" si="18"/>
        <v>3.1171502428207508E-2</v>
      </c>
      <c r="K38" s="259">
        <f t="shared" si="18"/>
        <v>3.0698629560394802E-2</v>
      </c>
      <c r="L38" s="259">
        <f t="shared" si="18"/>
        <v>3.080462215875629E-2</v>
      </c>
      <c r="M38" s="259">
        <f t="shared" si="18"/>
        <v>2.886443154833964E-2</v>
      </c>
      <c r="N38" s="259">
        <f t="shared" si="18"/>
        <v>3.0058055625712E-2</v>
      </c>
      <c r="O38" s="259">
        <f t="shared" si="18"/>
        <v>3.0436671796325816E-2</v>
      </c>
      <c r="P38" s="259">
        <f t="shared" si="18"/>
        <v>3.0781542628620207E-2</v>
      </c>
      <c r="Q38" s="259">
        <f t="shared" si="18"/>
        <v>3.10110871172922E-2</v>
      </c>
      <c r="R38" s="259">
        <f t="shared" si="18"/>
        <v>3.1934042370552133E-2</v>
      </c>
      <c r="S38" s="259">
        <f t="shared" si="18"/>
        <v>3.1436883807931103E-2</v>
      </c>
      <c r="T38" s="259">
        <f t="shared" si="18"/>
        <v>3.1218562585570021E-2</v>
      </c>
      <c r="U38" s="259">
        <f t="shared" si="18"/>
        <v>3.1635509870126796E-2</v>
      </c>
      <c r="V38" s="259">
        <f t="shared" si="18"/>
        <v>3.2333645160554578E-2</v>
      </c>
      <c r="W38" s="259">
        <f t="shared" si="18"/>
        <v>3.2704926400534649E-2</v>
      </c>
      <c r="X38" s="259">
        <f t="shared" si="18"/>
        <v>3.1240622461959557E-2</v>
      </c>
      <c r="Y38" s="259">
        <f t="shared" si="18"/>
        <v>3.1710504786899581E-2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3.1235244336116953E-2</v>
      </c>
      <c r="C39" s="259">
        <f t="shared" si="19"/>
        <v>3.2587258541186145E-2</v>
      </c>
      <c r="D39" s="259">
        <f t="shared" si="19"/>
        <v>2.8934371180847102E-2</v>
      </c>
      <c r="E39" s="259">
        <f t="shared" si="19"/>
        <v>2.8432658948912622E-2</v>
      </c>
      <c r="F39" s="259">
        <f t="shared" si="19"/>
        <v>3.0180274327547798E-2</v>
      </c>
      <c r="G39" s="259">
        <f t="shared" si="19"/>
        <v>2.6365130275473766E-2</v>
      </c>
      <c r="H39" s="259">
        <f t="shared" si="19"/>
        <v>2.4327815962485018E-2</v>
      </c>
      <c r="I39" s="259">
        <f t="shared" si="19"/>
        <v>2.2819531332834486E-2</v>
      </c>
      <c r="J39" s="259">
        <f t="shared" si="19"/>
        <v>2.2030757268478095E-2</v>
      </c>
      <c r="K39" s="259">
        <f t="shared" si="19"/>
        <v>2.3333236788046528E-2</v>
      </c>
      <c r="L39" s="259">
        <f t="shared" si="19"/>
        <v>2.5070996414789146E-2</v>
      </c>
      <c r="M39" s="259">
        <f t="shared" si="19"/>
        <v>3.1450045361317264E-2</v>
      </c>
      <c r="N39" s="259">
        <f t="shared" si="19"/>
        <v>2.742189810819071E-2</v>
      </c>
      <c r="O39" s="259">
        <f t="shared" si="19"/>
        <v>2.7364118154534597E-2</v>
      </c>
      <c r="P39" s="259">
        <f t="shared" si="19"/>
        <v>2.7753759176183494E-2</v>
      </c>
      <c r="Q39" s="259">
        <f t="shared" si="19"/>
        <v>2.6980136561209102E-2</v>
      </c>
      <c r="R39" s="259">
        <f t="shared" si="19"/>
        <v>2.2837439778035162E-2</v>
      </c>
      <c r="S39" s="259">
        <f t="shared" si="19"/>
        <v>2.3498055571732152E-2</v>
      </c>
      <c r="T39" s="259">
        <f t="shared" si="19"/>
        <v>2.2765652849997521E-2</v>
      </c>
      <c r="U39" s="259">
        <f t="shared" si="19"/>
        <v>2.4777916626823181E-2</v>
      </c>
      <c r="V39" s="259">
        <f t="shared" si="19"/>
        <v>2.3954195930679333E-2</v>
      </c>
      <c r="W39" s="259">
        <f t="shared" si="19"/>
        <v>2.4443568666834638E-2</v>
      </c>
      <c r="X39" s="259">
        <f t="shared" si="19"/>
        <v>2.7044321520152143E-2</v>
      </c>
      <c r="Y39" s="259">
        <f t="shared" si="19"/>
        <v>2.8364338050317756E-2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4.7604534805237013E-2</v>
      </c>
      <c r="C40" s="261">
        <f t="shared" si="20"/>
        <v>4.9665091994731139E-2</v>
      </c>
      <c r="D40" s="261">
        <f t="shared" si="20"/>
        <v>4.4097855138389382E-2</v>
      </c>
      <c r="E40" s="261">
        <f t="shared" si="20"/>
        <v>4.3333213211778202E-2</v>
      </c>
      <c r="F40" s="261">
        <f t="shared" si="20"/>
        <v>4.5996692204391995E-2</v>
      </c>
      <c r="G40" s="261">
        <f t="shared" si="20"/>
        <v>4.0182165643959489E-2</v>
      </c>
      <c r="H40" s="261">
        <f t="shared" si="20"/>
        <v>3.7077166717802958E-2</v>
      </c>
      <c r="I40" s="261">
        <f t="shared" si="20"/>
        <v>3.4778443282962382E-2</v>
      </c>
      <c r="J40" s="261">
        <f t="shared" si="20"/>
        <v>3.3576300536900874E-2</v>
      </c>
      <c r="K40" s="261">
        <f t="shared" si="20"/>
        <v>3.5561363658392436E-2</v>
      </c>
      <c r="L40" s="261">
        <f t="shared" si="20"/>
        <v>3.8209821846976209E-2</v>
      </c>
      <c r="M40" s="261">
        <f t="shared" si="20"/>
        <v>4.7931905475698706E-2</v>
      </c>
      <c r="N40" s="261">
        <f t="shared" si="20"/>
        <v>4.1792748245212244E-2</v>
      </c>
      <c r="O40" s="261">
        <f t="shared" si="20"/>
        <v>4.1704687854671699E-2</v>
      </c>
      <c r="P40" s="261">
        <f t="shared" si="20"/>
        <v>4.2298526000358494E-2</v>
      </c>
      <c r="Q40" s="261">
        <f t="shared" si="20"/>
        <v>4.1119475044189627E-2</v>
      </c>
      <c r="R40" s="261">
        <f t="shared" si="20"/>
        <v>3.4805736912994219E-2</v>
      </c>
      <c r="S40" s="261">
        <f t="shared" si="20"/>
        <v>3.5812558156507711E-2</v>
      </c>
      <c r="T40" s="261">
        <f t="shared" si="20"/>
        <v>3.4696328986564842E-2</v>
      </c>
      <c r="U40" s="261">
        <f t="shared" si="20"/>
        <v>3.7763149273622794E-2</v>
      </c>
      <c r="V40" s="261">
        <f t="shared" si="20"/>
        <v>3.6507745597973193E-2</v>
      </c>
      <c r="W40" s="261">
        <f t="shared" si="20"/>
        <v>3.7253581334052356E-2</v>
      </c>
      <c r="X40" s="261">
        <f t="shared" si="20"/>
        <v>4.1217297077502289E-2</v>
      </c>
      <c r="Y40" s="261">
        <f t="shared" si="20"/>
        <v>4.3229087738640079E-2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0.39332193623285772</v>
      </c>
      <c r="C44" s="237">
        <f>IF(C$5=0,0,C$5/AGR_fec!C$5)</f>
        <v>0.39848985660665176</v>
      </c>
      <c r="D44" s="237">
        <f>IF(D$5=0,0,D$5/AGR_fec!D$5)</f>
        <v>0.39320370230667673</v>
      </c>
      <c r="E44" s="237">
        <f>IF(E$5=0,0,E$5/AGR_fec!E$5)</f>
        <v>0.39377355747886433</v>
      </c>
      <c r="F44" s="237">
        <f>IF(F$5=0,0,F$5/AGR_fec!F$5)</f>
        <v>0.39758445073760612</v>
      </c>
      <c r="G44" s="237">
        <f>IF(G$5=0,0,G$5/AGR_fec!G$5)</f>
        <v>0.3942685942019673</v>
      </c>
      <c r="H44" s="237">
        <f>IF(H$5=0,0,H$5/AGR_fec!H$5)</f>
        <v>0.3931064134990081</v>
      </c>
      <c r="I44" s="237">
        <f>IF(I$5=0,0,I$5/AGR_fec!I$5)</f>
        <v>0.3921030740111654</v>
      </c>
      <c r="J44" s="237">
        <f>IF(J$5=0,0,J$5/AGR_fec!J$5)</f>
        <v>0.39257483283533584</v>
      </c>
      <c r="K44" s="237">
        <f>IF(K$5=0,0,K$5/AGR_fec!K$5)</f>
        <v>0.39431029897579312</v>
      </c>
      <c r="L44" s="237">
        <f>IF(L$5=0,0,L$5/AGR_fec!L$5)</f>
        <v>0.39427738166496096</v>
      </c>
      <c r="M44" s="237">
        <f>IF(M$5=0,0,M$5/AGR_fec!M$5)</f>
        <v>0.40304370599599326</v>
      </c>
      <c r="N44" s="237">
        <f>IF(N$5=0,0,N$5/AGR_fec!N$5)</f>
        <v>0.39737548212227825</v>
      </c>
      <c r="O44" s="237">
        <f>IF(O$5=0,0,O$5/AGR_fec!O$5)</f>
        <v>0.39606167760270961</v>
      </c>
      <c r="P44" s="237">
        <f>IF(P$5=0,0,P$5/AGR_fec!P$5)</f>
        <v>0.39492757601498391</v>
      </c>
      <c r="Q44" s="237">
        <f>IF(Q$5=0,0,Q$5/AGR_fec!Q$5)</f>
        <v>0.39392282350699326</v>
      </c>
      <c r="R44" s="237">
        <f>IF(R$5=0,0,R$5/AGR_fec!R$5)</f>
        <v>0.39003751254765184</v>
      </c>
      <c r="S44" s="237">
        <f>IF(S$5=0,0,S$5/AGR_fec!S$5)</f>
        <v>0.39185813407650316</v>
      </c>
      <c r="T44" s="237">
        <f>IF(T$5=0,0,T$5/AGR_fec!T$5)</f>
        <v>0.39251229983265562</v>
      </c>
      <c r="U44" s="237">
        <f>IF(U$5=0,0,U$5/AGR_fec!U$5)</f>
        <v>0.39129987122642329</v>
      </c>
      <c r="V44" s="237">
        <f>IF(V$5=0,0,V$5/AGR_fec!V$5)</f>
        <v>0.38862352376008008</v>
      </c>
      <c r="W44" s="237">
        <f>IF(W$5=0,0,W$5/AGR_fec!W$5)</f>
        <v>0.38718500502839542</v>
      </c>
      <c r="X44" s="237">
        <f>IF(X$5=0,0,X$5/AGR_fec!X$5)</f>
        <v>0.39308667409877524</v>
      </c>
      <c r="Y44" s="237">
        <f>IF(Y$5=0,0,Y$5/AGR_fec!Y$5)</f>
        <v>0.39146225425293363</v>
      </c>
      <c r="DA44" s="286"/>
    </row>
    <row r="45" spans="1:105" x14ac:dyDescent="0.25">
      <c r="A45" s="238" t="s">
        <v>125</v>
      </c>
      <c r="B45" s="250">
        <f>IF(B$6=0,0,B$6/AGR_fec!B$6)</f>
        <v>0.47727784763052788</v>
      </c>
      <c r="C45" s="250">
        <f>IF(C$6=0,0,C$6/AGR_fec!C$6)</f>
        <v>0.477277847630528</v>
      </c>
      <c r="D45" s="250">
        <f>IF(D$6=0,0,D$6/AGR_fec!D$6)</f>
        <v>0.477277847630528</v>
      </c>
      <c r="E45" s="250">
        <f>IF(E$6=0,0,E$6/AGR_fec!E$6)</f>
        <v>0.47727784763052788</v>
      </c>
      <c r="F45" s="250">
        <f>IF(F$6=0,0,F$6/AGR_fec!F$6)</f>
        <v>0.47727784763052783</v>
      </c>
      <c r="G45" s="250">
        <f>IF(G$6=0,0,G$6/AGR_fec!G$6)</f>
        <v>0.47727784763052788</v>
      </c>
      <c r="H45" s="250">
        <f>IF(H$6=0,0,H$6/AGR_fec!H$6)</f>
        <v>0.47727784763052777</v>
      </c>
      <c r="I45" s="250">
        <f>IF(I$6=0,0,I$6/AGR_fec!I$6)</f>
        <v>0.47727784763052788</v>
      </c>
      <c r="J45" s="250">
        <f>IF(J$6=0,0,J$6/AGR_fec!J$6)</f>
        <v>0.47727784763052788</v>
      </c>
      <c r="K45" s="250">
        <f>IF(K$6=0,0,K$6/AGR_fec!K$6)</f>
        <v>0.47727784763052794</v>
      </c>
      <c r="L45" s="250">
        <f>IF(L$6=0,0,L$6/AGR_fec!L$6)</f>
        <v>0.47727784763052777</v>
      </c>
      <c r="M45" s="250">
        <f>IF(M$6=0,0,M$6/AGR_fec!M$6)</f>
        <v>0.47727784763052772</v>
      </c>
      <c r="N45" s="250">
        <f>IF(N$6=0,0,N$6/AGR_fec!N$6)</f>
        <v>0.477277847630528</v>
      </c>
      <c r="O45" s="250">
        <f>IF(O$6=0,0,O$6/AGR_fec!O$6)</f>
        <v>0.47727784763052805</v>
      </c>
      <c r="P45" s="250">
        <f>IF(P$6=0,0,P$6/AGR_fec!P$6)</f>
        <v>0.47727784763052788</v>
      </c>
      <c r="Q45" s="250">
        <f>IF(Q$6=0,0,Q$6/AGR_fec!Q$6)</f>
        <v>0.47727784763052783</v>
      </c>
      <c r="R45" s="250">
        <f>IF(R$6=0,0,R$6/AGR_fec!R$6)</f>
        <v>0.47727784763052783</v>
      </c>
      <c r="S45" s="250">
        <f>IF(S$6=0,0,S$6/AGR_fec!S$6)</f>
        <v>0.47727784763052794</v>
      </c>
      <c r="T45" s="250">
        <f>IF(T$6=0,0,T$6/AGR_fec!T$6)</f>
        <v>0.47727784763052783</v>
      </c>
      <c r="U45" s="250">
        <f>IF(U$6=0,0,U$6/AGR_fec!U$6)</f>
        <v>0.47727784763052794</v>
      </c>
      <c r="V45" s="250">
        <f>IF(V$6=0,0,V$6/AGR_fec!V$6)</f>
        <v>0.47727784763052788</v>
      </c>
      <c r="W45" s="250">
        <f>IF(W$6=0,0,W$6/AGR_fec!W$6)</f>
        <v>0.47727784763052788</v>
      </c>
      <c r="X45" s="250">
        <f>IF(X$6=0,0,X$6/AGR_fec!X$6)</f>
        <v>0.47727784763052794</v>
      </c>
      <c r="Y45" s="250">
        <f>IF(Y$6=0,0,Y$6/AGR_fec!Y$6)</f>
        <v>0.47727784763052788</v>
      </c>
      <c r="DA45" s="287"/>
    </row>
    <row r="46" spans="1:105" x14ac:dyDescent="0.25">
      <c r="A46" s="240" t="s">
        <v>124</v>
      </c>
      <c r="B46" s="251">
        <f>IF(B$7=0,0,B$7/AGR_fec!B$7)</f>
        <v>0.47328203633354388</v>
      </c>
      <c r="C46" s="251">
        <f>IF(C$7=0,0,C$7/AGR_fec!C$7)</f>
        <v>0.47328203633354365</v>
      </c>
      <c r="D46" s="251">
        <f>IF(D$7=0,0,D$7/AGR_fec!D$7)</f>
        <v>0.47328203633354399</v>
      </c>
      <c r="E46" s="251">
        <f>IF(E$7=0,0,E$7/AGR_fec!E$7)</f>
        <v>0.47328203633354365</v>
      </c>
      <c r="F46" s="251">
        <f>IF(F$7=0,0,F$7/AGR_fec!F$7)</f>
        <v>0.47328203633354371</v>
      </c>
      <c r="G46" s="251">
        <f>IF(G$7=0,0,G$7/AGR_fec!G$7)</f>
        <v>0.4732820363335436</v>
      </c>
      <c r="H46" s="251">
        <f>IF(H$7=0,0,H$7/AGR_fec!H$7)</f>
        <v>0.47328203633354377</v>
      </c>
      <c r="I46" s="251">
        <f>IF(I$7=0,0,I$7/AGR_fec!I$7)</f>
        <v>0.47328203633354365</v>
      </c>
      <c r="J46" s="251">
        <f>IF(J$7=0,0,J$7/AGR_fec!J$7)</f>
        <v>0.47328203633354377</v>
      </c>
      <c r="K46" s="251">
        <f>IF(K$7=0,0,K$7/AGR_fec!K$7)</f>
        <v>0.47328203633354393</v>
      </c>
      <c r="L46" s="251">
        <f>IF(L$7=0,0,L$7/AGR_fec!L$7)</f>
        <v>0.47328203633354377</v>
      </c>
      <c r="M46" s="251">
        <f>IF(M$7=0,0,M$7/AGR_fec!M$7)</f>
        <v>0.47328203633354382</v>
      </c>
      <c r="N46" s="251">
        <f>IF(N$7=0,0,N$7/AGR_fec!N$7)</f>
        <v>0.47328203633354382</v>
      </c>
      <c r="O46" s="251">
        <f>IF(O$7=0,0,O$7/AGR_fec!O$7)</f>
        <v>0.47328203633354377</v>
      </c>
      <c r="P46" s="251">
        <f>IF(P$7=0,0,P$7/AGR_fec!P$7)</f>
        <v>0.47328203633354354</v>
      </c>
      <c r="Q46" s="251">
        <f>IF(Q$7=0,0,Q$7/AGR_fec!Q$7)</f>
        <v>0.47328203633354377</v>
      </c>
      <c r="R46" s="251">
        <f>IF(R$7=0,0,R$7/AGR_fec!R$7)</f>
        <v>0.47328203633354399</v>
      </c>
      <c r="S46" s="251">
        <f>IF(S$7=0,0,S$7/AGR_fec!S$7)</f>
        <v>0.47328203633354393</v>
      </c>
      <c r="T46" s="251">
        <f>IF(T$7=0,0,T$7/AGR_fec!T$7)</f>
        <v>0.47328203633354399</v>
      </c>
      <c r="U46" s="251">
        <f>IF(U$7=0,0,U$7/AGR_fec!U$7)</f>
        <v>0.47328203633354388</v>
      </c>
      <c r="V46" s="251">
        <f>IF(V$7=0,0,V$7/AGR_fec!V$7)</f>
        <v>0.47328203633354377</v>
      </c>
      <c r="W46" s="251">
        <f>IF(W$7=0,0,W$7/AGR_fec!W$7)</f>
        <v>0.47328203633354365</v>
      </c>
      <c r="X46" s="251">
        <f>IF(X$7=0,0,X$7/AGR_fec!X$7)</f>
        <v>0.47328203633354371</v>
      </c>
      <c r="Y46" s="251">
        <f>IF(Y$7=0,0,Y$7/AGR_fec!Y$7)</f>
        <v>0.47328203633354382</v>
      </c>
      <c r="DA46" s="288"/>
    </row>
    <row r="47" spans="1:105" x14ac:dyDescent="0.25">
      <c r="A47" s="240" t="s">
        <v>123</v>
      </c>
      <c r="B47" s="251">
        <f>IF(B$8=0,0,B$8/AGR_fec!B$8)</f>
        <v>0.67926539606930303</v>
      </c>
      <c r="C47" s="251">
        <f>IF(C$8=0,0,C$8/AGR_fec!C$8)</f>
        <v>0.67926539606930314</v>
      </c>
      <c r="D47" s="251">
        <f>IF(D$8=0,0,D$8/AGR_fec!D$8)</f>
        <v>0.67926539606930281</v>
      </c>
      <c r="E47" s="251">
        <f>IF(E$8=0,0,E$8/AGR_fec!E$8)</f>
        <v>0.67926539606930303</v>
      </c>
      <c r="F47" s="251">
        <f>IF(F$8=0,0,F$8/AGR_fec!F$8)</f>
        <v>0.67926539606930303</v>
      </c>
      <c r="G47" s="251">
        <f>IF(G$8=0,0,G$8/AGR_fec!G$8)</f>
        <v>0.67926539606930281</v>
      </c>
      <c r="H47" s="251">
        <f>IF(H$8=0,0,H$8/AGR_fec!H$8)</f>
        <v>0.67926539606930281</v>
      </c>
      <c r="I47" s="251">
        <f>IF(I$8=0,0,I$8/AGR_fec!I$8)</f>
        <v>0.67926539606930292</v>
      </c>
      <c r="J47" s="251">
        <f>IF(J$8=0,0,J$8/AGR_fec!J$8)</f>
        <v>0.67926539606930292</v>
      </c>
      <c r="K47" s="251">
        <f>IF(K$8=0,0,K$8/AGR_fec!K$8)</f>
        <v>0.67926539606930314</v>
      </c>
      <c r="L47" s="251">
        <f>IF(L$8=0,0,L$8/AGR_fec!L$8)</f>
        <v>0.67926539606930303</v>
      </c>
      <c r="M47" s="251">
        <f>IF(M$8=0,0,M$8/AGR_fec!M$8)</f>
        <v>0.67926539606930281</v>
      </c>
      <c r="N47" s="251">
        <f>IF(N$8=0,0,N$8/AGR_fec!N$8)</f>
        <v>0.67926539606930292</v>
      </c>
      <c r="O47" s="251">
        <f>IF(O$8=0,0,O$8/AGR_fec!O$8)</f>
        <v>0.67926539606930303</v>
      </c>
      <c r="P47" s="251">
        <f>IF(P$8=0,0,P$8/AGR_fec!P$8)</f>
        <v>0.67926539606930314</v>
      </c>
      <c r="Q47" s="251">
        <f>IF(Q$8=0,0,Q$8/AGR_fec!Q$8)</f>
        <v>0.67926539606930303</v>
      </c>
      <c r="R47" s="251">
        <f>IF(R$8=0,0,R$8/AGR_fec!R$8)</f>
        <v>0.67926539606930292</v>
      </c>
      <c r="S47" s="251">
        <f>IF(S$8=0,0,S$8/AGR_fec!S$8)</f>
        <v>0.67926539606930314</v>
      </c>
      <c r="T47" s="251">
        <f>IF(T$8=0,0,T$8/AGR_fec!T$8)</f>
        <v>0.67926539606930292</v>
      </c>
      <c r="U47" s="251">
        <f>IF(U$8=0,0,U$8/AGR_fec!U$8)</f>
        <v>0.67926539606930314</v>
      </c>
      <c r="V47" s="251">
        <f>IF(V$8=0,0,V$8/AGR_fec!V$8)</f>
        <v>0.67926539606930303</v>
      </c>
      <c r="W47" s="251">
        <f>IF(W$8=0,0,W$8/AGR_fec!W$8)</f>
        <v>0.67926539606930292</v>
      </c>
      <c r="X47" s="251">
        <f>IF(X$8=0,0,X$8/AGR_fec!X$8)</f>
        <v>0.67926539606930303</v>
      </c>
      <c r="Y47" s="251">
        <f>IF(Y$8=0,0,Y$8/AGR_fec!Y$8)</f>
        <v>0.67926539606930303</v>
      </c>
      <c r="DA47" s="288"/>
    </row>
    <row r="48" spans="1:105" x14ac:dyDescent="0.25">
      <c r="A48" s="242" t="s">
        <v>122</v>
      </c>
      <c r="B48" s="252">
        <f>IF(B$9=0,0,B$9/AGR_fec!B$9)</f>
        <v>0.64414183136684522</v>
      </c>
      <c r="C48" s="252">
        <f>IF(C$9=0,0,C$9/AGR_fec!C$9)</f>
        <v>0.64806636905805481</v>
      </c>
      <c r="D48" s="252">
        <f>IF(D$9=0,0,D$9/AGR_fec!D$9)</f>
        <v>0.63644949689711794</v>
      </c>
      <c r="E48" s="252">
        <f>IF(E$9=0,0,E$9/AGR_fec!E$9)</f>
        <v>0.63814762510943213</v>
      </c>
      <c r="F48" s="252">
        <f>IF(F$9=0,0,F$9/AGR_fec!F$9)</f>
        <v>0.64657967617446099</v>
      </c>
      <c r="G48" s="252">
        <f>IF(G$9=0,0,G$9/AGR_fec!G$9)</f>
        <v>0.64056749121176104</v>
      </c>
      <c r="H48" s="252">
        <f>IF(H$9=0,0,H$9/AGR_fec!H$9)</f>
        <v>0.63915846752608652</v>
      </c>
      <c r="I48" s="252">
        <f>IF(I$9=0,0,I$9/AGR_fec!I$9)</f>
        <v>0.63790310609119139</v>
      </c>
      <c r="J48" s="252">
        <f>IF(J$9=0,0,J$9/AGR_fec!J$9)</f>
        <v>0.63958555829567199</v>
      </c>
      <c r="K48" s="252">
        <f>IF(K$9=0,0,K$9/AGR_fec!K$9)</f>
        <v>0.6426126811091073</v>
      </c>
      <c r="L48" s="252">
        <f>IF(L$9=0,0,L$9/AGR_fec!L$9)</f>
        <v>0.64139881645762331</v>
      </c>
      <c r="M48" s="252">
        <f>IF(M$9=0,0,M$9/AGR_fec!M$9)</f>
        <v>0.65889198171883934</v>
      </c>
      <c r="N48" s="252">
        <f>IF(N$9=0,0,N$9/AGR_fec!N$9)</f>
        <v>0.647242244424033</v>
      </c>
      <c r="O48" s="252">
        <f>IF(O$9=0,0,O$9/AGR_fec!O$9)</f>
        <v>0.64422952788067422</v>
      </c>
      <c r="P48" s="252">
        <f>IF(P$9=0,0,P$9/AGR_fec!P$9)</f>
        <v>0.64133314324845392</v>
      </c>
      <c r="Q48" s="252">
        <f>IF(Q$9=0,0,Q$9/AGR_fec!Q$9)</f>
        <v>0.63936552236811584</v>
      </c>
      <c r="R48" s="252">
        <f>IF(R$9=0,0,R$9/AGR_fec!R$9)</f>
        <v>0.63298369971094937</v>
      </c>
      <c r="S48" s="252">
        <f>IF(S$9=0,0,S$9/AGR_fec!S$9)</f>
        <v>0.63681646877588061</v>
      </c>
      <c r="T48" s="252">
        <f>IF(T$9=0,0,T$9/AGR_fec!T$9)</f>
        <v>0.63889528900241699</v>
      </c>
      <c r="U48" s="252">
        <f>IF(U$9=0,0,U$9/AGR_fec!U$9)</f>
        <v>0.63451712513767056</v>
      </c>
      <c r="V48" s="252">
        <f>IF(V$9=0,0,V$9/AGR_fec!V$9)</f>
        <v>0.62858424781795419</v>
      </c>
      <c r="W48" s="252">
        <f>IF(W$9=0,0,W$9/AGR_fec!W$9)</f>
        <v>0.62453584353955982</v>
      </c>
      <c r="X48" s="252">
        <f>IF(X$9=0,0,X$9/AGR_fec!X$9)</f>
        <v>0.63729801649202722</v>
      </c>
      <c r="Y48" s="252">
        <f>IF(Y$9=0,0,Y$9/AGR_fec!Y$9)</f>
        <v>0.63241162613435065</v>
      </c>
      <c r="DA48" s="289"/>
    </row>
    <row r="49" spans="1:105" x14ac:dyDescent="0.25">
      <c r="A49" s="127" t="s">
        <v>168</v>
      </c>
      <c r="B49" s="264">
        <f>IF(B$16=0,0,B$16/AGR_fec!B$16)</f>
        <v>0.34153034386604814</v>
      </c>
      <c r="C49" s="264">
        <f>IF(C$16=0,0,C$16/AGR_fec!C$16)</f>
        <v>0.34153034386604808</v>
      </c>
      <c r="D49" s="264">
        <f>IF(D$16=0,0,D$16/AGR_fec!D$16)</f>
        <v>0.34153034386604797</v>
      </c>
      <c r="E49" s="264">
        <f>IF(E$16=0,0,E$16/AGR_fec!E$16)</f>
        <v>0.34153034386604803</v>
      </c>
      <c r="F49" s="264">
        <f>IF(F$16=0,0,F$16/AGR_fec!F$16)</f>
        <v>0.34153034386604803</v>
      </c>
      <c r="G49" s="264">
        <f>IF(G$16=0,0,G$16/AGR_fec!G$16)</f>
        <v>0.34153034386604803</v>
      </c>
      <c r="H49" s="264">
        <f>IF(H$16=0,0,H$16/AGR_fec!H$16)</f>
        <v>0.34153034386604797</v>
      </c>
      <c r="I49" s="264">
        <f>IF(I$16=0,0,I$16/AGR_fec!I$16)</f>
        <v>0.34153034386604819</v>
      </c>
      <c r="J49" s="264">
        <f>IF(J$16=0,0,J$16/AGR_fec!J$16)</f>
        <v>0.34153034386604797</v>
      </c>
      <c r="K49" s="264">
        <f>IF(K$16=0,0,K$16/AGR_fec!K$16)</f>
        <v>0.34153034386604803</v>
      </c>
      <c r="L49" s="264">
        <f>IF(L$16=0,0,L$16/AGR_fec!L$16)</f>
        <v>0.34153034386604819</v>
      </c>
      <c r="M49" s="264">
        <f>IF(M$16=0,0,M$16/AGR_fec!M$16)</f>
        <v>0.34153034386604819</v>
      </c>
      <c r="N49" s="264">
        <f>IF(N$16=0,0,N$16/AGR_fec!N$16)</f>
        <v>0.34153034386604803</v>
      </c>
      <c r="O49" s="264">
        <f>IF(O$16=0,0,O$16/AGR_fec!O$16)</f>
        <v>0.34153034386604797</v>
      </c>
      <c r="P49" s="264">
        <f>IF(P$16=0,0,P$16/AGR_fec!P$16)</f>
        <v>0.34153034386604791</v>
      </c>
      <c r="Q49" s="264">
        <f>IF(Q$16=0,0,Q$16/AGR_fec!Q$16)</f>
        <v>0.34153034386604797</v>
      </c>
      <c r="R49" s="264">
        <f>IF(R$16=0,0,R$16/AGR_fec!R$16)</f>
        <v>0.34153034386604803</v>
      </c>
      <c r="S49" s="264">
        <f>IF(S$16=0,0,S$16/AGR_fec!S$16)</f>
        <v>0.34153034386604814</v>
      </c>
      <c r="T49" s="264">
        <f>IF(T$16=0,0,T$16/AGR_fec!T$16)</f>
        <v>0.34153034386604808</v>
      </c>
      <c r="U49" s="264">
        <f>IF(U$16=0,0,U$16/AGR_fec!U$16)</f>
        <v>0.34153034386604803</v>
      </c>
      <c r="V49" s="264">
        <f>IF(V$16=0,0,V$16/AGR_fec!V$16)</f>
        <v>0.34153034386604797</v>
      </c>
      <c r="W49" s="264">
        <f>IF(W$16=0,0,W$16/AGR_fec!W$16)</f>
        <v>0.34153034386604797</v>
      </c>
      <c r="X49" s="264">
        <f>IF(X$16=0,0,X$16/AGR_fec!X$16)</f>
        <v>0.34153034386604803</v>
      </c>
      <c r="Y49" s="264">
        <f>IF(Y$16=0,0,Y$16/AGR_fec!Y$16)</f>
        <v>0.34153034386604814</v>
      </c>
      <c r="DA49" s="290"/>
    </row>
    <row r="50" spans="1:105" x14ac:dyDescent="0.25">
      <c r="A50" s="127" t="s">
        <v>121</v>
      </c>
      <c r="B50" s="264">
        <f>IF(B$17=0,0,B$17/AGR_fec!B$17)</f>
        <v>0.27460962389785903</v>
      </c>
      <c r="C50" s="264">
        <f>IF(C$17=0,0,C$17/AGR_fec!C$17)</f>
        <v>0.27804531639333135</v>
      </c>
      <c r="D50" s="264">
        <f>IF(D$17=0,0,D$17/AGR_fec!D$17)</f>
        <v>0.27832445207418943</v>
      </c>
      <c r="E50" s="264">
        <f>IF(E$17=0,0,E$17/AGR_fec!E$17)</f>
        <v>0.27943968510798228</v>
      </c>
      <c r="F50" s="264">
        <f>IF(F$17=0,0,F$17/AGR_fec!F$17)</f>
        <v>0.28074005169360322</v>
      </c>
      <c r="G50" s="264">
        <f>IF(G$17=0,0,G$17/AGR_fec!G$17)</f>
        <v>0.2820357294786352</v>
      </c>
      <c r="H50" s="264">
        <f>IF(H$17=0,0,H$17/AGR_fec!H$17)</f>
        <v>0.28282163763617107</v>
      </c>
      <c r="I50" s="264">
        <f>IF(I$17=0,0,I$17/AGR_fec!I$17)</f>
        <v>0.28313676996315246</v>
      </c>
      <c r="J50" s="264">
        <f>IF(J$17=0,0,J$17/AGR_fec!J$17)</f>
        <v>0.28407469106532612</v>
      </c>
      <c r="K50" s="264">
        <f>IF(K$17=0,0,K$17/AGR_fec!K$17)</f>
        <v>0.28457107039737617</v>
      </c>
      <c r="L50" s="264">
        <f>IF(L$17=0,0,L$17/AGR_fec!L$17)</f>
        <v>0.28319369229219754</v>
      </c>
      <c r="M50" s="264">
        <f>IF(M$17=0,0,M$17/AGR_fec!M$17)</f>
        <v>0.28387282461615376</v>
      </c>
      <c r="N50" s="264">
        <f>IF(N$17=0,0,N$17/AGR_fec!N$17)</f>
        <v>0.28366711027753033</v>
      </c>
      <c r="O50" s="264">
        <f>IF(O$17=0,0,O$17/AGR_fec!O$17)</f>
        <v>0.28260742693085067</v>
      </c>
      <c r="P50" s="264">
        <f>IF(P$17=0,0,P$17/AGR_fec!P$17)</f>
        <v>0.28122065154752734</v>
      </c>
      <c r="Q50" s="264">
        <f>IF(Q$17=0,0,Q$17/AGR_fec!Q$17)</f>
        <v>0.28113693190982103</v>
      </c>
      <c r="R50" s="264">
        <f>IF(R$17=0,0,R$17/AGR_fec!R$17)</f>
        <v>0.28138493169027451</v>
      </c>
      <c r="S50" s="264">
        <f>IF(S$17=0,0,S$17/AGR_fec!S$17)</f>
        <v>0.28242487745110673</v>
      </c>
      <c r="T50" s="264">
        <f>IF(T$17=0,0,T$17/AGR_fec!T$17)</f>
        <v>0.2835134289836892</v>
      </c>
      <c r="U50" s="264">
        <f>IF(U$17=0,0,U$17/AGR_fec!U$17)</f>
        <v>0.28090102072750589</v>
      </c>
      <c r="V50" s="264">
        <f>IF(V$17=0,0,V$17/AGR_fec!V$17)</f>
        <v>0.27925902098556099</v>
      </c>
      <c r="W50" s="264">
        <f>IF(W$17=0,0,W$17/AGR_fec!W$17)</f>
        <v>0.27754257524936771</v>
      </c>
      <c r="X50" s="264">
        <f>IF(X$17=0,0,X$17/AGR_fec!X$17)</f>
        <v>0.28033453443793638</v>
      </c>
      <c r="Y50" s="264">
        <f>IF(Y$17=0,0,Y$17/AGR_fec!Y$17)</f>
        <v>0.27740508570706224</v>
      </c>
      <c r="DA50" s="290"/>
    </row>
    <row r="51" spans="1:105" x14ac:dyDescent="0.25">
      <c r="A51" s="127" t="s">
        <v>167</v>
      </c>
      <c r="B51" s="264">
        <f>IF(B$25=0,0,B$25/AGR_fec!B$25)</f>
        <v>0.23907124070623359</v>
      </c>
      <c r="C51" s="264">
        <f>IF(C$25=0,0,C$25/AGR_fec!C$25)</f>
        <v>0.23907124070623359</v>
      </c>
      <c r="D51" s="264">
        <f>IF(D$25=0,0,D$25/AGR_fec!D$25)</f>
        <v>0.23907124070623367</v>
      </c>
      <c r="E51" s="264">
        <f>IF(E$25=0,0,E$25/AGR_fec!E$25)</f>
        <v>0.23907124070623373</v>
      </c>
      <c r="F51" s="264">
        <f>IF(F$25=0,0,F$25/AGR_fec!F$25)</f>
        <v>0.23907124070623378</v>
      </c>
      <c r="G51" s="264">
        <f>IF(G$25=0,0,G$25/AGR_fec!G$25)</f>
        <v>0.2390712407062337</v>
      </c>
      <c r="H51" s="264">
        <f>IF(H$25=0,0,H$25/AGR_fec!H$25)</f>
        <v>0.23907124070623356</v>
      </c>
      <c r="I51" s="264">
        <f>IF(I$25=0,0,I$25/AGR_fec!I$25)</f>
        <v>0.2390712407062337</v>
      </c>
      <c r="J51" s="264">
        <f>IF(J$25=0,0,J$25/AGR_fec!J$25)</f>
        <v>0.23907124070623359</v>
      </c>
      <c r="K51" s="264">
        <f>IF(K$25=0,0,K$25/AGR_fec!K$25)</f>
        <v>0.23907124070623362</v>
      </c>
      <c r="L51" s="264">
        <f>IF(L$25=0,0,L$25/AGR_fec!L$25)</f>
        <v>0.23907124070623353</v>
      </c>
      <c r="M51" s="264">
        <f>IF(M$25=0,0,M$25/AGR_fec!M$25)</f>
        <v>0.23907124070623365</v>
      </c>
      <c r="N51" s="264">
        <f>IF(N$25=0,0,N$25/AGR_fec!N$25)</f>
        <v>0.23907124070623356</v>
      </c>
      <c r="O51" s="264">
        <f>IF(O$25=0,0,O$25/AGR_fec!O$25)</f>
        <v>0.23907124070623362</v>
      </c>
      <c r="P51" s="264">
        <f>IF(P$25=0,0,P$25/AGR_fec!P$25)</f>
        <v>0.23907124070623373</v>
      </c>
      <c r="Q51" s="264">
        <f>IF(Q$25=0,0,Q$25/AGR_fec!Q$25)</f>
        <v>0.23907124070623378</v>
      </c>
      <c r="R51" s="264">
        <f>IF(R$25=0,0,R$25/AGR_fec!R$25)</f>
        <v>0.23907124070623359</v>
      </c>
      <c r="S51" s="264">
        <f>IF(S$25=0,0,S$25/AGR_fec!S$25)</f>
        <v>0.23907124070623362</v>
      </c>
      <c r="T51" s="264">
        <f>IF(T$25=0,0,T$25/AGR_fec!T$25)</f>
        <v>0.23907124070623376</v>
      </c>
      <c r="U51" s="264">
        <f>IF(U$25=0,0,U$25/AGR_fec!U$25)</f>
        <v>0.23907124070623365</v>
      </c>
      <c r="V51" s="264">
        <f>IF(V$25=0,0,V$25/AGR_fec!V$25)</f>
        <v>0.23907124070623362</v>
      </c>
      <c r="W51" s="264">
        <f>IF(W$25=0,0,W$25/AGR_fec!W$25)</f>
        <v>0.23907124070623362</v>
      </c>
      <c r="X51" s="264">
        <f>IF(X$25=0,0,X$25/AGR_fec!X$25)</f>
        <v>0.23907124070623373</v>
      </c>
      <c r="Y51" s="264">
        <f>IF(Y$25=0,0,Y$25/AGR_fec!Y$25)</f>
        <v>0.23907124070623362</v>
      </c>
      <c r="DA51" s="290"/>
    </row>
    <row r="52" spans="1:105" x14ac:dyDescent="0.25">
      <c r="A52" s="127" t="s">
        <v>170</v>
      </c>
      <c r="B52" s="264">
        <f>IF(B$26=0,0,B$26/AGR_fec!B$26)</f>
        <v>0.47328203633354354</v>
      </c>
      <c r="C52" s="264">
        <f>IF(C$26=0,0,C$26/AGR_fec!C$26)</f>
        <v>0.47328203633354377</v>
      </c>
      <c r="D52" s="264">
        <f>IF(D$26=0,0,D$26/AGR_fec!D$26)</f>
        <v>0.47328203633354377</v>
      </c>
      <c r="E52" s="264">
        <f>IF(E$26=0,0,E$26/AGR_fec!E$26)</f>
        <v>0.47328203633354393</v>
      </c>
      <c r="F52" s="264">
        <f>IF(F$26=0,0,F$26/AGR_fec!F$26)</f>
        <v>0.47328203633354388</v>
      </c>
      <c r="G52" s="264">
        <f>IF(G$26=0,0,G$26/AGR_fec!G$26)</f>
        <v>0.47328203633354388</v>
      </c>
      <c r="H52" s="264">
        <f>IF(H$26=0,0,H$26/AGR_fec!H$26)</f>
        <v>0.47328203633354365</v>
      </c>
      <c r="I52" s="264">
        <f>IF(I$26=0,0,I$26/AGR_fec!I$26)</f>
        <v>0.47328203633354382</v>
      </c>
      <c r="J52" s="264">
        <f>IF(J$26=0,0,J$26/AGR_fec!J$26)</f>
        <v>0.47328203633354382</v>
      </c>
      <c r="K52" s="264">
        <f>IF(K$26=0,0,K$26/AGR_fec!K$26)</f>
        <v>0.47328203633354377</v>
      </c>
      <c r="L52" s="264">
        <f>IF(L$26=0,0,L$26/AGR_fec!L$26)</f>
        <v>0.47328203633354382</v>
      </c>
      <c r="M52" s="264">
        <f>IF(M$26=0,0,M$26/AGR_fec!M$26)</f>
        <v>0.47328203633354371</v>
      </c>
      <c r="N52" s="264">
        <f>IF(N$26=0,0,N$26/AGR_fec!N$26)</f>
        <v>0.47328203633354382</v>
      </c>
      <c r="O52" s="264">
        <f>IF(O$26=0,0,O$26/AGR_fec!O$26)</f>
        <v>0.47328203633354382</v>
      </c>
      <c r="P52" s="264">
        <f>IF(P$26=0,0,P$26/AGR_fec!P$26)</f>
        <v>0.47328203633354382</v>
      </c>
      <c r="Q52" s="264">
        <f>IF(Q$26=0,0,Q$26/AGR_fec!Q$26)</f>
        <v>0.47328203633354377</v>
      </c>
      <c r="R52" s="264">
        <f>IF(R$26=0,0,R$26/AGR_fec!R$26)</f>
        <v>0.47328203633354377</v>
      </c>
      <c r="S52" s="264">
        <f>IF(S$26=0,0,S$26/AGR_fec!S$26)</f>
        <v>0.47328203633354377</v>
      </c>
      <c r="T52" s="264">
        <f>IF(T$26=0,0,T$26/AGR_fec!T$26)</f>
        <v>0.47328203633354377</v>
      </c>
      <c r="U52" s="264">
        <f>IF(U$26=0,0,U$26/AGR_fec!U$26)</f>
        <v>0.47328203633354377</v>
      </c>
      <c r="V52" s="264">
        <f>IF(V$26=0,0,V$26/AGR_fec!V$26)</f>
        <v>0.47328203633354382</v>
      </c>
      <c r="W52" s="264">
        <f>IF(W$26=0,0,W$26/AGR_fec!W$26)</f>
        <v>0.4732820363335436</v>
      </c>
      <c r="X52" s="264">
        <f>IF(X$26=0,0,X$26/AGR_fec!X$26)</f>
        <v>0.47328203633354365</v>
      </c>
      <c r="Y52" s="264">
        <f>IF(Y$26=0,0,Y$26/AGR_fec!Y$26)</f>
        <v>0.47328203633354382</v>
      </c>
      <c r="DA52" s="290"/>
    </row>
    <row r="53" spans="1:105" x14ac:dyDescent="0.25">
      <c r="A53" s="260" t="s">
        <v>33</v>
      </c>
      <c r="B53" s="265">
        <f>IF(B$27=0,0,B$27/AGR_fec!B$27)</f>
        <v>0.49745687427667151</v>
      </c>
      <c r="C53" s="265">
        <f>IF(C$27=0,0,C$27/AGR_fec!C$27)</f>
        <v>0.49745687427667157</v>
      </c>
      <c r="D53" s="265">
        <f>IF(D$27=0,0,D$27/AGR_fec!D$27)</f>
        <v>0.49745687427667168</v>
      </c>
      <c r="E53" s="265">
        <f>IF(E$27=0,0,E$27/AGR_fec!E$27)</f>
        <v>0.49745687427667151</v>
      </c>
      <c r="F53" s="265">
        <f>IF(F$27=0,0,F$27/AGR_fec!F$27)</f>
        <v>0.49745687427667157</v>
      </c>
      <c r="G53" s="265">
        <f>IF(G$27=0,0,G$27/AGR_fec!G$27)</f>
        <v>0.49745687427667162</v>
      </c>
      <c r="H53" s="265">
        <f>IF(H$27=0,0,H$27/AGR_fec!H$27)</f>
        <v>0.49745687427667157</v>
      </c>
      <c r="I53" s="265">
        <f>IF(I$27=0,0,I$27/AGR_fec!I$27)</f>
        <v>0.49745687427667151</v>
      </c>
      <c r="J53" s="265">
        <f>IF(J$27=0,0,J$27/AGR_fec!J$27)</f>
        <v>0.49745687427667157</v>
      </c>
      <c r="K53" s="265">
        <f>IF(K$27=0,0,K$27/AGR_fec!K$27)</f>
        <v>0.49745687427667157</v>
      </c>
      <c r="L53" s="265">
        <f>IF(L$27=0,0,L$27/AGR_fec!L$27)</f>
        <v>0.49745687427667151</v>
      </c>
      <c r="M53" s="265">
        <f>IF(M$27=0,0,M$27/AGR_fec!M$27)</f>
        <v>0.49745687427667162</v>
      </c>
      <c r="N53" s="265">
        <f>IF(N$27=0,0,N$27/AGR_fec!N$27)</f>
        <v>0.49745687427667157</v>
      </c>
      <c r="O53" s="265">
        <f>IF(O$27=0,0,O$27/AGR_fec!O$27)</f>
        <v>0.49745687427667157</v>
      </c>
      <c r="P53" s="265">
        <f>IF(P$27=0,0,P$27/AGR_fec!P$27)</f>
        <v>0.49745687427667157</v>
      </c>
      <c r="Q53" s="265">
        <f>IF(Q$27=0,0,Q$27/AGR_fec!Q$27)</f>
        <v>0.49745687427667162</v>
      </c>
      <c r="R53" s="265">
        <f>IF(R$27=0,0,R$27/AGR_fec!R$27)</f>
        <v>0.49745687427667168</v>
      </c>
      <c r="S53" s="265">
        <f>IF(S$27=0,0,S$27/AGR_fec!S$27)</f>
        <v>0.49745687427667157</v>
      </c>
      <c r="T53" s="265">
        <f>IF(T$27=0,0,T$27/AGR_fec!T$27)</f>
        <v>0.49745687427667162</v>
      </c>
      <c r="U53" s="265">
        <f>IF(U$27=0,0,U$27/AGR_fec!U$27)</f>
        <v>0.49745687427667168</v>
      </c>
      <c r="V53" s="265">
        <f>IF(V$27=0,0,V$27/AGR_fec!V$27)</f>
        <v>0.49745687427667162</v>
      </c>
      <c r="W53" s="265">
        <f>IF(W$27=0,0,W$27/AGR_fec!W$27)</f>
        <v>0.49745687427667162</v>
      </c>
      <c r="X53" s="265">
        <f>IF(X$27=0,0,X$27/AGR_fec!X$27)</f>
        <v>0.49745687427667157</v>
      </c>
      <c r="Y53" s="265">
        <f>IF(Y$27=0,0,Y$27/AGR_fec!Y$27)</f>
        <v>0.49745687427667162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47.902629958411865</v>
      </c>
      <c r="C5" s="80">
        <f t="shared" ref="C5:W5" si="0">SUM(C6:C9,C16:C17,C25:C27)</f>
        <v>50.686298638081794</v>
      </c>
      <c r="D5" s="80">
        <f t="shared" si="0"/>
        <v>50.172042597649458</v>
      </c>
      <c r="E5" s="80">
        <f t="shared" si="0"/>
        <v>53.38000115870009</v>
      </c>
      <c r="F5" s="80">
        <f t="shared" si="0"/>
        <v>51.645557878700139</v>
      </c>
      <c r="G5" s="80">
        <f t="shared" si="0"/>
        <v>52.382021757335416</v>
      </c>
      <c r="H5" s="80">
        <f t="shared" si="0"/>
        <v>53.738670237645678</v>
      </c>
      <c r="I5" s="80">
        <f t="shared" si="0"/>
        <v>57.577073398218729</v>
      </c>
      <c r="J5" s="80">
        <f t="shared" si="0"/>
        <v>57.95783495779321</v>
      </c>
      <c r="K5" s="80">
        <f t="shared" si="0"/>
        <v>65.027470678284388</v>
      </c>
      <c r="L5" s="80">
        <f t="shared" si="0"/>
        <v>66.463358757704583</v>
      </c>
      <c r="M5" s="80">
        <f t="shared" si="0"/>
        <v>52.677897478620594</v>
      </c>
      <c r="N5" s="80">
        <f t="shared" si="0"/>
        <v>54.799706518150288</v>
      </c>
      <c r="O5" s="80">
        <f t="shared" si="0"/>
        <v>60.129571317889962</v>
      </c>
      <c r="P5" s="80">
        <f t="shared" si="0"/>
        <v>60.306838826127937</v>
      </c>
      <c r="Q5" s="80">
        <f t="shared" si="0"/>
        <v>60.049080992224873</v>
      </c>
      <c r="R5" s="80">
        <f t="shared" si="0"/>
        <v>70.665531041928773</v>
      </c>
      <c r="S5" s="80">
        <f t="shared" si="0"/>
        <v>63.251133300780609</v>
      </c>
      <c r="T5" s="80">
        <f t="shared" si="0"/>
        <v>60.630614590271932</v>
      </c>
      <c r="U5" s="80">
        <f t="shared" si="0"/>
        <v>59.753381851824905</v>
      </c>
      <c r="V5" s="80">
        <f t="shared" si="0"/>
        <v>72.960063751654531</v>
      </c>
      <c r="W5" s="80">
        <f t="shared" si="0"/>
        <v>73.842635878499863</v>
      </c>
      <c r="X5" s="80">
        <f t="shared" ref="X5:Y5" si="1">SUM(X6:X9,X16:X17,X25:X27)</f>
        <v>62.591923856866089</v>
      </c>
      <c r="Y5" s="80">
        <f t="shared" si="1"/>
        <v>63.242218031737316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9.4640388962966142</v>
      </c>
      <c r="C9" s="243">
        <f t="shared" ref="C9:W9" si="2">SUM(C10:C15)</f>
        <v>10.054489911530606</v>
      </c>
      <c r="D9" s="243">
        <f t="shared" si="2"/>
        <v>10.287012301345172</v>
      </c>
      <c r="E9" s="243">
        <f t="shared" si="2"/>
        <v>10.807961779543826</v>
      </c>
      <c r="F9" s="243">
        <f t="shared" si="2"/>
        <v>10.078607266681482</v>
      </c>
      <c r="G9" s="243">
        <f t="shared" si="2"/>
        <v>10.297563544771805</v>
      </c>
      <c r="H9" s="243">
        <f t="shared" si="2"/>
        <v>10.53834551231056</v>
      </c>
      <c r="I9" s="243">
        <f t="shared" si="2"/>
        <v>11.306218326813225</v>
      </c>
      <c r="J9" s="243">
        <f t="shared" si="2"/>
        <v>11.199911949291458</v>
      </c>
      <c r="K9" s="243">
        <f t="shared" si="2"/>
        <v>12.345154696469956</v>
      </c>
      <c r="L9" s="243">
        <f t="shared" si="2"/>
        <v>12.87697200369305</v>
      </c>
      <c r="M9" s="243">
        <f t="shared" si="2"/>
        <v>9.5336630994787477</v>
      </c>
      <c r="N9" s="243">
        <f t="shared" si="2"/>
        <v>10.33824213197342</v>
      </c>
      <c r="O9" s="243">
        <f t="shared" si="2"/>
        <v>11.59913472253794</v>
      </c>
      <c r="P9" s="243">
        <f t="shared" si="2"/>
        <v>11.905254298390258</v>
      </c>
      <c r="Q9" s="243">
        <f t="shared" si="2"/>
        <v>11.939717937700649</v>
      </c>
      <c r="R9" s="243">
        <f t="shared" si="2"/>
        <v>14.335501232699256</v>
      </c>
      <c r="S9" s="243">
        <f t="shared" si="2"/>
        <v>12.543814141084919</v>
      </c>
      <c r="T9" s="243">
        <f t="shared" si="2"/>
        <v>11.806609765351062</v>
      </c>
      <c r="U9" s="243">
        <f t="shared" si="2"/>
        <v>12.099567643684734</v>
      </c>
      <c r="V9" s="243">
        <f t="shared" si="2"/>
        <v>15.244844290060538</v>
      </c>
      <c r="W9" s="243">
        <f t="shared" si="2"/>
        <v>15.778605485901711</v>
      </c>
      <c r="X9" s="243">
        <f t="shared" ref="X9:Y9" si="3">SUM(X10:X15)</f>
        <v>12.613606229584393</v>
      </c>
      <c r="Y9" s="243">
        <f t="shared" si="3"/>
        <v>13.19472051160354</v>
      </c>
      <c r="DA9" s="269"/>
    </row>
    <row r="10" spans="1:105" x14ac:dyDescent="0.25">
      <c r="A10" s="253" t="s">
        <v>166</v>
      </c>
      <c r="B10" s="254">
        <v>9.4435289213781139</v>
      </c>
      <c r="C10" s="254">
        <v>10.04190894436605</v>
      </c>
      <c r="D10" s="254">
        <v>10.274368461632051</v>
      </c>
      <c r="E10" s="254">
        <v>10.78684446812148</v>
      </c>
      <c r="F10" s="254">
        <v>10.056702611969421</v>
      </c>
      <c r="G10" s="254">
        <v>10.277282020962179</v>
      </c>
      <c r="H10" s="254">
        <v>10.511508810151851</v>
      </c>
      <c r="I10" s="254">
        <v>11.284345049778439</v>
      </c>
      <c r="J10" s="254">
        <v>11.176928734017711</v>
      </c>
      <c r="K10" s="254">
        <v>12.323679033235971</v>
      </c>
      <c r="L10" s="254">
        <v>12.85133220740917</v>
      </c>
      <c r="M10" s="254">
        <v>9.5336630994787477</v>
      </c>
      <c r="N10" s="254">
        <v>10.33824213197342</v>
      </c>
      <c r="O10" s="254">
        <v>11.59913472253794</v>
      </c>
      <c r="P10" s="254">
        <v>11.90484983062704</v>
      </c>
      <c r="Q10" s="254">
        <v>11.93924445463311</v>
      </c>
      <c r="R10" s="254">
        <v>14.3346732838748</v>
      </c>
      <c r="S10" s="254">
        <v>12.543195647676709</v>
      </c>
      <c r="T10" s="254">
        <v>11.80640291605288</v>
      </c>
      <c r="U10" s="254">
        <v>12.098950647640621</v>
      </c>
      <c r="V10" s="254">
        <v>15.24415814505692</v>
      </c>
      <c r="W10" s="254">
        <v>15.778605485901711</v>
      </c>
      <c r="X10" s="254">
        <v>12.610227533730029</v>
      </c>
      <c r="Y10" s="254">
        <v>13.190765128412931</v>
      </c>
      <c r="DA10" s="270" t="s">
        <v>1040</v>
      </c>
    </row>
    <row r="11" spans="1:105" x14ac:dyDescent="0.25">
      <c r="A11" s="253" t="s">
        <v>169</v>
      </c>
      <c r="B11" s="255">
        <v>2.0509974918500571E-2</v>
      </c>
      <c r="C11" s="255">
        <v>1.2580967164555741E-2</v>
      </c>
      <c r="D11" s="255">
        <v>1.264383971312146E-2</v>
      </c>
      <c r="E11" s="255">
        <v>2.1117311422345769E-2</v>
      </c>
      <c r="F11" s="255">
        <v>2.1904654712061829E-2</v>
      </c>
      <c r="G11" s="255">
        <v>2.028152380962606E-2</v>
      </c>
      <c r="H11" s="255">
        <v>2.683670215870896E-2</v>
      </c>
      <c r="I11" s="255">
        <v>2.1873277034785522E-2</v>
      </c>
      <c r="J11" s="255">
        <v>2.298321527374704E-2</v>
      </c>
      <c r="K11" s="255">
        <v>2.1475663233985282E-2</v>
      </c>
      <c r="L11" s="255">
        <v>2.5639796283880009E-2</v>
      </c>
      <c r="M11" s="255">
        <v>0</v>
      </c>
      <c r="N11" s="255">
        <v>0</v>
      </c>
      <c r="O11" s="255">
        <v>0</v>
      </c>
      <c r="P11" s="255">
        <v>4.0446776321786108E-4</v>
      </c>
      <c r="Q11" s="255">
        <v>4.7348306753840772E-4</v>
      </c>
      <c r="R11" s="255">
        <v>8.2794882445559744E-4</v>
      </c>
      <c r="S11" s="255">
        <v>6.1849340820954409E-4</v>
      </c>
      <c r="T11" s="255">
        <v>2.0684929818257501E-4</v>
      </c>
      <c r="U11" s="255">
        <v>6.169960441140532E-4</v>
      </c>
      <c r="V11" s="255">
        <v>6.8614500361800974E-4</v>
      </c>
      <c r="W11" s="255">
        <v>0</v>
      </c>
      <c r="X11" s="255">
        <v>3.3786958543637509E-3</v>
      </c>
      <c r="Y11" s="255">
        <v>3.9553831906101533E-3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15.00978038599794</v>
      </c>
      <c r="C16" s="257">
        <v>16.386695759026491</v>
      </c>
      <c r="D16" s="257">
        <v>16.173132241854962</v>
      </c>
      <c r="E16" s="257">
        <v>17.637738980085871</v>
      </c>
      <c r="F16" s="257">
        <v>17.676721540571201</v>
      </c>
      <c r="G16" s="257">
        <v>18.392879578833139</v>
      </c>
      <c r="H16" s="257">
        <v>19.199170663286601</v>
      </c>
      <c r="I16" s="257">
        <v>20.713245183079628</v>
      </c>
      <c r="J16" s="257">
        <v>21.373247421265422</v>
      </c>
      <c r="K16" s="257">
        <v>24.35739523724958</v>
      </c>
      <c r="L16" s="257">
        <v>24.015377755706581</v>
      </c>
      <c r="M16" s="257">
        <v>19.63975936733295</v>
      </c>
      <c r="N16" s="257">
        <v>20.15222296261879</v>
      </c>
      <c r="O16" s="257">
        <v>21.490996667617299</v>
      </c>
      <c r="P16" s="257">
        <v>20.812416106518281</v>
      </c>
      <c r="Q16" s="257">
        <v>20.651316989018031</v>
      </c>
      <c r="R16" s="257">
        <v>24.30811640151806</v>
      </c>
      <c r="S16" s="257">
        <v>22.369668663955132</v>
      </c>
      <c r="T16" s="257">
        <v>22.05857363191976</v>
      </c>
      <c r="U16" s="257">
        <v>20.357345274264709</v>
      </c>
      <c r="V16" s="257">
        <v>23.85105425597062</v>
      </c>
      <c r="W16" s="257">
        <v>23.210107501527741</v>
      </c>
      <c r="X16" s="257">
        <v>21.100511579309082</v>
      </c>
      <c r="Y16" s="257">
        <v>19.950152098146901</v>
      </c>
      <c r="DA16" s="272" t="s">
        <v>1046</v>
      </c>
    </row>
    <row r="17" spans="1:105" x14ac:dyDescent="0.25">
      <c r="A17" s="256" t="s">
        <v>121</v>
      </c>
      <c r="B17" s="257">
        <f>SUM(B18:B24)</f>
        <v>20.544556287562628</v>
      </c>
      <c r="C17" s="257">
        <f t="shared" ref="C17:W17" si="4">SUM(C18:C24)</f>
        <v>21.096272815208227</v>
      </c>
      <c r="D17" s="257">
        <f t="shared" si="4"/>
        <v>20.604095911737037</v>
      </c>
      <c r="E17" s="257">
        <f t="shared" si="4"/>
        <v>21.545061865976937</v>
      </c>
      <c r="F17" s="257">
        <f t="shared" si="4"/>
        <v>20.493499714486802</v>
      </c>
      <c r="G17" s="257">
        <f t="shared" si="4"/>
        <v>20.157233541453483</v>
      </c>
      <c r="H17" s="257">
        <f t="shared" si="4"/>
        <v>20.311873418485469</v>
      </c>
      <c r="I17" s="257">
        <f t="shared" si="4"/>
        <v>21.577387207903598</v>
      </c>
      <c r="J17" s="257">
        <f t="shared" si="4"/>
        <v>21.277627976469361</v>
      </c>
      <c r="K17" s="257">
        <f t="shared" si="4"/>
        <v>23.644444261888651</v>
      </c>
      <c r="L17" s="257">
        <f t="shared" si="4"/>
        <v>24.956254024986951</v>
      </c>
      <c r="M17" s="257">
        <f t="shared" si="4"/>
        <v>19.730531577018152</v>
      </c>
      <c r="N17" s="257">
        <f t="shared" si="4"/>
        <v>20.436823838202368</v>
      </c>
      <c r="O17" s="257">
        <f t="shared" si="4"/>
        <v>22.909765817991389</v>
      </c>
      <c r="P17" s="257">
        <f t="shared" si="4"/>
        <v>23.589889221395165</v>
      </c>
      <c r="Q17" s="257">
        <f t="shared" si="4"/>
        <v>23.489723403665408</v>
      </c>
      <c r="R17" s="257">
        <f t="shared" si="4"/>
        <v>27.350906263997352</v>
      </c>
      <c r="S17" s="257">
        <f t="shared" si="4"/>
        <v>24.039132239289945</v>
      </c>
      <c r="T17" s="257">
        <f t="shared" si="4"/>
        <v>22.526692439536596</v>
      </c>
      <c r="U17" s="257">
        <f t="shared" si="4"/>
        <v>23.384635386904016</v>
      </c>
      <c r="V17" s="257">
        <f t="shared" si="4"/>
        <v>29.280986362206527</v>
      </c>
      <c r="W17" s="257">
        <f t="shared" si="4"/>
        <v>30.393907307993889</v>
      </c>
      <c r="X17" s="257">
        <f t="shared" ref="X17:Y17" si="5">SUM(X18:X24)</f>
        <v>24.823166902143114</v>
      </c>
      <c r="Y17" s="257">
        <f t="shared" si="5"/>
        <v>26.263757437242493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1047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DA19" s="101" t="s">
        <v>1048</v>
      </c>
    </row>
    <row r="20" spans="1:105" x14ac:dyDescent="0.25">
      <c r="A20" s="61" t="s">
        <v>166</v>
      </c>
      <c r="B20" s="55">
        <v>17.52346550260409</v>
      </c>
      <c r="C20" s="55">
        <v>21.06987550237406</v>
      </c>
      <c r="D20" s="55">
        <v>20.57877127145176</v>
      </c>
      <c r="E20" s="55">
        <v>21.502965697400668</v>
      </c>
      <c r="F20" s="55">
        <v>20.44895952920033</v>
      </c>
      <c r="G20" s="55">
        <v>20.117532945265879</v>
      </c>
      <c r="H20" s="55">
        <v>20.26014768064735</v>
      </c>
      <c r="I20" s="55">
        <v>21.535643084940219</v>
      </c>
      <c r="J20" s="55">
        <v>21.233964391745481</v>
      </c>
      <c r="K20" s="55">
        <v>23.603312325124161</v>
      </c>
      <c r="L20" s="55">
        <v>24.906562741273209</v>
      </c>
      <c r="M20" s="55">
        <v>19.730531577018152</v>
      </c>
      <c r="N20" s="55">
        <v>20.436823838202368</v>
      </c>
      <c r="O20" s="55">
        <v>22.909765817991389</v>
      </c>
      <c r="P20" s="55">
        <v>23.589087781166441</v>
      </c>
      <c r="Q20" s="55">
        <v>23.48879189202076</v>
      </c>
      <c r="R20" s="55">
        <v>27.349326608684191</v>
      </c>
      <c r="S20" s="55">
        <v>24.037946950297151</v>
      </c>
      <c r="T20" s="55">
        <v>22.52629777666435</v>
      </c>
      <c r="U20" s="55">
        <v>23.383442928797109</v>
      </c>
      <c r="V20" s="55">
        <v>29.279668473869251</v>
      </c>
      <c r="W20" s="55">
        <v>30.393907307993889</v>
      </c>
      <c r="X20" s="55">
        <v>24.816517738567061</v>
      </c>
      <c r="Y20" s="55">
        <v>26.2558843470472</v>
      </c>
      <c r="DA20" s="101" t="s">
        <v>1049</v>
      </c>
    </row>
    <row r="21" spans="1:105" x14ac:dyDescent="0.25">
      <c r="A21" s="61" t="s">
        <v>129</v>
      </c>
      <c r="B21" s="55">
        <v>2.983032359878691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1" t="s">
        <v>1050</v>
      </c>
    </row>
    <row r="22" spans="1:105" x14ac:dyDescent="0.25">
      <c r="A22" s="61" t="s">
        <v>169</v>
      </c>
      <c r="B22" s="55">
        <v>3.8058425079845172E-2</v>
      </c>
      <c r="C22" s="55">
        <v>2.6397312834166509E-2</v>
      </c>
      <c r="D22" s="55">
        <v>2.5324640285276829E-2</v>
      </c>
      <c r="E22" s="55">
        <v>4.2096168576268259E-2</v>
      </c>
      <c r="F22" s="55">
        <v>4.4540185286471468E-2</v>
      </c>
      <c r="G22" s="55">
        <v>3.9700596187604457E-2</v>
      </c>
      <c r="H22" s="55">
        <v>5.1725737838118797E-2</v>
      </c>
      <c r="I22" s="55">
        <v>4.1744122963380072E-2</v>
      </c>
      <c r="J22" s="55">
        <v>4.3663584723881287E-2</v>
      </c>
      <c r="K22" s="55">
        <v>4.113193676449059E-2</v>
      </c>
      <c r="L22" s="55">
        <v>4.9691283713742131E-2</v>
      </c>
      <c r="M22" s="55">
        <v>0</v>
      </c>
      <c r="N22" s="55">
        <v>0</v>
      </c>
      <c r="O22" s="55">
        <v>0</v>
      </c>
      <c r="P22" s="55">
        <v>8.0144022872530687E-4</v>
      </c>
      <c r="Q22" s="55">
        <v>9.3151164464929672E-4</v>
      </c>
      <c r="R22" s="55">
        <v>1.5796553131618651E-3</v>
      </c>
      <c r="S22" s="55">
        <v>1.1852889927937351E-3</v>
      </c>
      <c r="T22" s="55">
        <v>3.9466287224699468E-4</v>
      </c>
      <c r="U22" s="55">
        <v>1.192458106905991E-3</v>
      </c>
      <c r="V22" s="55">
        <v>1.3178883372744049E-3</v>
      </c>
      <c r="W22" s="55">
        <v>0</v>
      </c>
      <c r="X22" s="55">
        <v>6.6491635760547989E-3</v>
      </c>
      <c r="Y22" s="55">
        <v>7.8730901952925522E-3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2.8842543885546772</v>
      </c>
      <c r="C25" s="257">
        <v>3.1488401523164651</v>
      </c>
      <c r="D25" s="257">
        <v>3.1078021427122891</v>
      </c>
      <c r="E25" s="257">
        <v>3.389238533093454</v>
      </c>
      <c r="F25" s="257">
        <v>3.396729356960654</v>
      </c>
      <c r="G25" s="257">
        <v>3.5343450922769861</v>
      </c>
      <c r="H25" s="257">
        <v>3.689280643563055</v>
      </c>
      <c r="I25" s="257">
        <v>3.9802226804222771</v>
      </c>
      <c r="J25" s="257">
        <v>4.1070476107669656</v>
      </c>
      <c r="K25" s="257">
        <v>4.6804764826761991</v>
      </c>
      <c r="L25" s="257">
        <v>4.6147549733180053</v>
      </c>
      <c r="M25" s="257">
        <v>3.7739434347907461</v>
      </c>
      <c r="N25" s="257">
        <v>3.8724175853557048</v>
      </c>
      <c r="O25" s="257">
        <v>4.1296741097433394</v>
      </c>
      <c r="P25" s="257">
        <v>3.9992791998242381</v>
      </c>
      <c r="Q25" s="257">
        <v>3.9683226618407872</v>
      </c>
      <c r="R25" s="257">
        <v>4.6710071437141139</v>
      </c>
      <c r="S25" s="257">
        <v>4.2985182564506204</v>
      </c>
      <c r="T25" s="257">
        <v>4.2387387534645136</v>
      </c>
      <c r="U25" s="257">
        <v>3.911833546971446</v>
      </c>
      <c r="V25" s="257">
        <v>4.5831788434168486</v>
      </c>
      <c r="W25" s="257">
        <v>4.460015583076526</v>
      </c>
      <c r="X25" s="257">
        <v>4.054639145829495</v>
      </c>
      <c r="Y25" s="257">
        <v>3.833587984744375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0.99999999999999989</v>
      </c>
      <c r="C31" s="235">
        <f t="shared" si="6"/>
        <v>1</v>
      </c>
      <c r="D31" s="235">
        <f t="shared" si="6"/>
        <v>1</v>
      </c>
      <c r="E31" s="235">
        <f t="shared" si="6"/>
        <v>0.99999999999999989</v>
      </c>
      <c r="F31" s="235">
        <f t="shared" si="6"/>
        <v>1</v>
      </c>
      <c r="G31" s="235">
        <f t="shared" si="6"/>
        <v>1</v>
      </c>
      <c r="H31" s="235">
        <f t="shared" si="6"/>
        <v>1.0000000000000002</v>
      </c>
      <c r="I31" s="235">
        <f t="shared" si="6"/>
        <v>1</v>
      </c>
      <c r="J31" s="235">
        <f t="shared" si="6"/>
        <v>1</v>
      </c>
      <c r="K31" s="235">
        <f t="shared" si="6"/>
        <v>1</v>
      </c>
      <c r="L31" s="235">
        <f t="shared" si="6"/>
        <v>1</v>
      </c>
      <c r="M31" s="235">
        <f t="shared" si="6"/>
        <v>1.0000000000000002</v>
      </c>
      <c r="N31" s="235">
        <f t="shared" si="6"/>
        <v>0.99999999999999989</v>
      </c>
      <c r="O31" s="235">
        <f t="shared" si="6"/>
        <v>1</v>
      </c>
      <c r="P31" s="235">
        <f t="shared" si="6"/>
        <v>1.0000000000000002</v>
      </c>
      <c r="Q31" s="235">
        <f t="shared" si="6"/>
        <v>1</v>
      </c>
      <c r="R31" s="235">
        <f t="shared" ref="R31:W31" si="7">SUM(R32:R40)</f>
        <v>1.0000000000000002</v>
      </c>
      <c r="S31" s="235">
        <f t="shared" si="7"/>
        <v>1</v>
      </c>
      <c r="T31" s="235">
        <f t="shared" si="7"/>
        <v>1</v>
      </c>
      <c r="U31" s="235">
        <f t="shared" si="7"/>
        <v>1</v>
      </c>
      <c r="V31" s="235">
        <f t="shared" si="7"/>
        <v>1</v>
      </c>
      <c r="W31" s="235">
        <f t="shared" si="7"/>
        <v>1.0000000000000002</v>
      </c>
      <c r="X31" s="235">
        <f t="shared" ref="X31:Y31" si="8">SUM(X32:X40)</f>
        <v>0.99999999999999978</v>
      </c>
      <c r="Y31" s="235">
        <f t="shared" si="8"/>
        <v>1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0.19756825260978592</v>
      </c>
      <c r="C35" s="246">
        <f t="shared" si="12"/>
        <v>0.19836701794548545</v>
      </c>
      <c r="D35" s="246">
        <f t="shared" si="12"/>
        <v>0.20503475180073921</v>
      </c>
      <c r="E35" s="246">
        <f t="shared" si="12"/>
        <v>0.20247211586623018</v>
      </c>
      <c r="F35" s="246">
        <f t="shared" si="12"/>
        <v>0.19514954781499497</v>
      </c>
      <c r="G35" s="246">
        <f t="shared" si="12"/>
        <v>0.19658583611904529</v>
      </c>
      <c r="H35" s="246">
        <f t="shared" si="12"/>
        <v>0.19610357803249304</v>
      </c>
      <c r="I35" s="246">
        <f t="shared" si="12"/>
        <v>0.1963666726965495</v>
      </c>
      <c r="J35" s="246">
        <f t="shared" si="12"/>
        <v>0.19324241420418137</v>
      </c>
      <c r="K35" s="246">
        <f t="shared" si="12"/>
        <v>0.18984522337561197</v>
      </c>
      <c r="L35" s="246">
        <f t="shared" si="12"/>
        <v>0.19374542972823086</v>
      </c>
      <c r="M35" s="246">
        <f t="shared" si="12"/>
        <v>0.1809803267745832</v>
      </c>
      <c r="N35" s="246">
        <f t="shared" si="12"/>
        <v>0.18865506384690722</v>
      </c>
      <c r="O35" s="246">
        <f t="shared" si="12"/>
        <v>0.19290233521234043</v>
      </c>
      <c r="P35" s="246">
        <f t="shared" si="12"/>
        <v>0.19741134720582149</v>
      </c>
      <c r="Q35" s="246">
        <f t="shared" si="12"/>
        <v>0.19883265056540331</v>
      </c>
      <c r="R35" s="246">
        <f t="shared" si="12"/>
        <v>0.20286412655971428</v>
      </c>
      <c r="S35" s="246">
        <f t="shared" si="12"/>
        <v>0.1983176187758538</v>
      </c>
      <c r="T35" s="246">
        <f t="shared" si="12"/>
        <v>0.19473016800402698</v>
      </c>
      <c r="U35" s="246">
        <f t="shared" si="12"/>
        <v>0.20249176312211031</v>
      </c>
      <c r="V35" s="246">
        <f t="shared" si="12"/>
        <v>0.20894779289052948</v>
      </c>
      <c r="W35" s="246">
        <f t="shared" si="12"/>
        <v>0.2136787954301051</v>
      </c>
      <c r="X35" s="246">
        <f t="shared" si="12"/>
        <v>0.20152130582259983</v>
      </c>
      <c r="Y35" s="246">
        <f t="shared" si="12"/>
        <v>0.20863785177461572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0.31333938030185693</v>
      </c>
      <c r="C36" s="259">
        <f t="shared" si="13"/>
        <v>0.32329635817429336</v>
      </c>
      <c r="D36" s="259">
        <f t="shared" si="13"/>
        <v>0.3223534742556538</v>
      </c>
      <c r="E36" s="259">
        <f t="shared" si="13"/>
        <v>0.33041848252585138</v>
      </c>
      <c r="F36" s="259">
        <f t="shared" si="13"/>
        <v>0.34226993117372256</v>
      </c>
      <c r="G36" s="259">
        <f t="shared" si="13"/>
        <v>0.35112962351930327</v>
      </c>
      <c r="H36" s="259">
        <f t="shared" si="13"/>
        <v>0.35726918024549409</v>
      </c>
      <c r="I36" s="259">
        <f t="shared" si="13"/>
        <v>0.3597481421089464</v>
      </c>
      <c r="J36" s="259">
        <f t="shared" si="13"/>
        <v>0.3687723572978549</v>
      </c>
      <c r="K36" s="259">
        <f t="shared" si="13"/>
        <v>0.37457085418184066</v>
      </c>
      <c r="L36" s="259">
        <f t="shared" si="13"/>
        <v>0.36133259294426889</v>
      </c>
      <c r="M36" s="259">
        <f t="shared" si="13"/>
        <v>0.372827320515284</v>
      </c>
      <c r="N36" s="259">
        <f t="shared" si="13"/>
        <v>0.36774326439036942</v>
      </c>
      <c r="O36" s="259">
        <f t="shared" si="13"/>
        <v>0.35741143993859176</v>
      </c>
      <c r="P36" s="259">
        <f t="shared" si="13"/>
        <v>0.34510872252022773</v>
      </c>
      <c r="Q36" s="259">
        <f t="shared" si="13"/>
        <v>0.34390729462940417</v>
      </c>
      <c r="R36" s="259">
        <f t="shared" si="13"/>
        <v>0.34398830721437657</v>
      </c>
      <c r="S36" s="259">
        <f t="shared" si="13"/>
        <v>0.35366431392746378</v>
      </c>
      <c r="T36" s="259">
        <f t="shared" si="13"/>
        <v>0.36381906700083189</v>
      </c>
      <c r="U36" s="259">
        <f t="shared" si="13"/>
        <v>0.34068942448724321</v>
      </c>
      <c r="V36" s="259">
        <f t="shared" si="13"/>
        <v>0.32690561150215203</v>
      </c>
      <c r="W36" s="259">
        <f t="shared" si="13"/>
        <v>0.31431851294850149</v>
      </c>
      <c r="X36" s="259">
        <f t="shared" si="13"/>
        <v>0.33711236656603322</v>
      </c>
      <c r="Y36" s="259">
        <f t="shared" si="13"/>
        <v>0.31545623665721478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0.42888159387906288</v>
      </c>
      <c r="C37" s="259">
        <f t="shared" si="14"/>
        <v>0.41621253439402078</v>
      </c>
      <c r="D37" s="259">
        <f t="shared" si="14"/>
        <v>0.41066886746010878</v>
      </c>
      <c r="E37" s="259">
        <f t="shared" si="14"/>
        <v>0.40361673657373898</v>
      </c>
      <c r="F37" s="259">
        <f t="shared" si="14"/>
        <v>0.39681050135269835</v>
      </c>
      <c r="G37" s="259">
        <f t="shared" si="14"/>
        <v>0.38481205698462234</v>
      </c>
      <c r="H37" s="259">
        <f t="shared" si="14"/>
        <v>0.37797499135466778</v>
      </c>
      <c r="I37" s="259">
        <f t="shared" si="14"/>
        <v>0.37475658164610953</v>
      </c>
      <c r="J37" s="259">
        <f t="shared" si="14"/>
        <v>0.36712254679569079</v>
      </c>
      <c r="K37" s="259">
        <f t="shared" si="14"/>
        <v>0.36360701124093697</v>
      </c>
      <c r="L37" s="259">
        <f t="shared" si="14"/>
        <v>0.37548890834672066</v>
      </c>
      <c r="M37" s="259">
        <f t="shared" si="14"/>
        <v>0.37455047603268182</v>
      </c>
      <c r="N37" s="259">
        <f t="shared" si="14"/>
        <v>0.37293673883880124</v>
      </c>
      <c r="O37" s="259">
        <f t="shared" si="14"/>
        <v>0.38100663809614077</v>
      </c>
      <c r="P37" s="259">
        <f t="shared" si="14"/>
        <v>0.39116441320042872</v>
      </c>
      <c r="Q37" s="259">
        <f t="shared" si="14"/>
        <v>0.39117540211326207</v>
      </c>
      <c r="R37" s="259">
        <f t="shared" si="14"/>
        <v>0.38704734629063964</v>
      </c>
      <c r="S37" s="259">
        <f t="shared" si="14"/>
        <v>0.38005852203431217</v>
      </c>
      <c r="T37" s="259">
        <f t="shared" si="14"/>
        <v>0.3715398993028014</v>
      </c>
      <c r="U37" s="259">
        <f t="shared" si="14"/>
        <v>0.3913525002633777</v>
      </c>
      <c r="V37" s="259">
        <f t="shared" si="14"/>
        <v>0.40132895801564478</v>
      </c>
      <c r="W37" s="259">
        <f t="shared" si="14"/>
        <v>0.41160376991422415</v>
      </c>
      <c r="X37" s="259">
        <f t="shared" si="14"/>
        <v>0.3965873769738763</v>
      </c>
      <c r="Y37" s="259">
        <f t="shared" si="14"/>
        <v>0.41528836676889408</v>
      </c>
      <c r="DA37" s="278"/>
    </row>
    <row r="38" spans="1:105" x14ac:dyDescent="0.25">
      <c r="A38" s="127" t="s">
        <v>167</v>
      </c>
      <c r="B38" s="259">
        <f t="shared" ref="B38:Y38" si="15">IF(B$25=0,0,B$25/B$5)</f>
        <v>6.0210773209294167E-2</v>
      </c>
      <c r="C38" s="259">
        <f t="shared" si="15"/>
        <v>6.2124089486200289E-2</v>
      </c>
      <c r="D38" s="259">
        <f t="shared" si="15"/>
        <v>6.1942906483498213E-2</v>
      </c>
      <c r="E38" s="259">
        <f t="shared" si="15"/>
        <v>6.3492665034179413E-2</v>
      </c>
      <c r="F38" s="259">
        <f t="shared" si="15"/>
        <v>6.5770019658584158E-2</v>
      </c>
      <c r="G38" s="259">
        <f t="shared" si="15"/>
        <v>6.7472483377029019E-2</v>
      </c>
      <c r="H38" s="259">
        <f t="shared" si="15"/>
        <v>6.8652250367345236E-2</v>
      </c>
      <c r="I38" s="259">
        <f t="shared" si="15"/>
        <v>6.9128603548394563E-2</v>
      </c>
      <c r="J38" s="259">
        <f t="shared" si="15"/>
        <v>7.0862681702272903E-2</v>
      </c>
      <c r="K38" s="259">
        <f t="shared" si="15"/>
        <v>7.19769112016104E-2</v>
      </c>
      <c r="L38" s="259">
        <f t="shared" si="15"/>
        <v>6.9433068980779611E-2</v>
      </c>
      <c r="M38" s="259">
        <f t="shared" si="15"/>
        <v>7.1641876677451047E-2</v>
      </c>
      <c r="N38" s="259">
        <f t="shared" si="15"/>
        <v>7.0664932923922064E-2</v>
      </c>
      <c r="O38" s="259">
        <f t="shared" si="15"/>
        <v>6.8679586752927083E-2</v>
      </c>
      <c r="P38" s="259">
        <f t="shared" si="15"/>
        <v>6.6315517073522193E-2</v>
      </c>
      <c r="Q38" s="259">
        <f t="shared" si="15"/>
        <v>6.608465269193052E-2</v>
      </c>
      <c r="R38" s="259">
        <f t="shared" si="15"/>
        <v>6.6100219935269613E-2</v>
      </c>
      <c r="S38" s="259">
        <f t="shared" si="15"/>
        <v>6.7959545262370358E-2</v>
      </c>
      <c r="T38" s="259">
        <f t="shared" si="15"/>
        <v>6.9910865692339716E-2</v>
      </c>
      <c r="U38" s="259">
        <f t="shared" si="15"/>
        <v>6.5466312127268764E-2</v>
      </c>
      <c r="V38" s="259">
        <f t="shared" si="15"/>
        <v>6.2817637591673775E-2</v>
      </c>
      <c r="W38" s="259">
        <f t="shared" si="15"/>
        <v>6.0398921707169331E-2</v>
      </c>
      <c r="X38" s="259">
        <f t="shared" si="15"/>
        <v>6.4778950637490548E-2</v>
      </c>
      <c r="Y38" s="259">
        <f t="shared" si="15"/>
        <v>6.0617544799275336E-2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2.577948619496679</v>
      </c>
      <c r="C44" s="237">
        <f>IF(C$5=0,0,C$5/AGR_fec!C$5)</f>
        <v>2.5168506287450425</v>
      </c>
      <c r="D44" s="237">
        <f>IF(D$5=0,0,D$5/AGR_fec!D$5)</f>
        <v>2.5783597299715142</v>
      </c>
      <c r="E44" s="237">
        <f>IF(E$5=0,0,E$5/AGR_fec!E$5)</f>
        <v>2.5053144851458331</v>
      </c>
      <c r="F44" s="237">
        <f>IF(F$5=0,0,F$5/AGR_fec!F$5)</f>
        <v>2.3727683640120518</v>
      </c>
      <c r="G44" s="237">
        <f>IF(G$5=0,0,G$5/AGR_fec!G$5)</f>
        <v>2.3416651151908119</v>
      </c>
      <c r="H44" s="237">
        <f>IF(H$5=0,0,H$5/AGR_fec!H$5)</f>
        <v>2.3116184967130335</v>
      </c>
      <c r="I44" s="237">
        <f>IF(I$5=0,0,I$5/AGR_fec!I$5)</f>
        <v>2.3069629182745319</v>
      </c>
      <c r="J44" s="237">
        <f>IF(J$5=0,0,J$5/AGR_fec!J$5)</f>
        <v>2.240968201735908</v>
      </c>
      <c r="K44" s="237">
        <f>IF(K$5=0,0,K$5/AGR_fec!K$5)</f>
        <v>2.1824132583086766</v>
      </c>
      <c r="L44" s="237">
        <f>IF(L$5=0,0,L$5/AGR_fec!L$5)</f>
        <v>2.2699927825773361</v>
      </c>
      <c r="M44" s="237">
        <f>IF(M$5=0,0,M$5/AGR_fec!M$5)</f>
        <v>2.1072753490422582</v>
      </c>
      <c r="N44" s="237">
        <f>IF(N$5=0,0,N$5/AGR_fec!N$5)</f>
        <v>2.1934669177023478</v>
      </c>
      <c r="O44" s="237">
        <f>IF(O$5=0,0,O$5/AGR_fec!O$5)</f>
        <v>2.2777465561420387</v>
      </c>
      <c r="P44" s="237">
        <f>IF(P$5=0,0,P$5/AGR_fec!P$5)</f>
        <v>2.378842934878604</v>
      </c>
      <c r="Q44" s="237">
        <f>IF(Q$5=0,0,Q$5/AGR_fec!Q$5)</f>
        <v>2.3988362957299882</v>
      </c>
      <c r="R44" s="237">
        <f>IF(R$5=0,0,R$5/AGR_fec!R$5)</f>
        <v>2.4452904898305272</v>
      </c>
      <c r="S44" s="237">
        <f>IF(S$5=0,0,S$5/AGR_fec!S$5)</f>
        <v>2.3522906369833776</v>
      </c>
      <c r="T44" s="237">
        <f>IF(T$5=0,0,T$5/AGR_fec!T$5)</f>
        <v>2.2745452506035679</v>
      </c>
      <c r="U44" s="237">
        <f>IF(U$5=0,0,U$5/AGR_fec!U$5)</f>
        <v>2.4538033478694805</v>
      </c>
      <c r="V44" s="237">
        <f>IF(V$5=0,0,V$5/AGR_fec!V$5)</f>
        <v>2.595823989255241</v>
      </c>
      <c r="W44" s="237">
        <f>IF(W$5=0,0,W$5/AGR_fec!W$5)</f>
        <v>2.7206683750782616</v>
      </c>
      <c r="X44" s="237">
        <f>IF(X$5=0,0,X$5/AGR_fec!X$5)</f>
        <v>2.4600683818243501</v>
      </c>
      <c r="Y44" s="237">
        <f>IF(Y$5=0,0,Y$5/AGR_fec!Y$5)</f>
        <v>2.6574664729165205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2.6339858062838597</v>
      </c>
      <c r="C48" s="252">
        <f>IF(C$9=0,0,C$9/AGR_fec!C$9)</f>
        <v>2.5370282173062457</v>
      </c>
      <c r="D48" s="252">
        <f>IF(D$9=0,0,D$9/AGR_fec!D$9)</f>
        <v>2.6613162603240395</v>
      </c>
      <c r="E48" s="252">
        <f>IF(E$9=0,0,E$9/AGR_fec!E$9)</f>
        <v>2.5413228522779168</v>
      </c>
      <c r="F48" s="252">
        <f>IF(F$9=0,0,F$9/AGR_fec!F$9)</f>
        <v>2.3227985279044203</v>
      </c>
      <c r="G48" s="252">
        <f>IF(G$9=0,0,G$9/AGR_fec!G$9)</f>
        <v>2.2695575409304523</v>
      </c>
      <c r="H48" s="252">
        <f>IF(H$9=0,0,H$9/AGR_fec!H$9)</f>
        <v>2.2092601594252081</v>
      </c>
      <c r="I48" s="252">
        <f>IF(I$9=0,0,I$9/AGR_fec!I$9)</f>
        <v>2.1897373864579976</v>
      </c>
      <c r="J48" s="252">
        <f>IF(J$9=0,0,J$9/AGR_fec!J$9)</f>
        <v>2.0773762075968376</v>
      </c>
      <c r="K48" s="252">
        <f>IF(K$9=0,0,K$9/AGR_fec!K$9)</f>
        <v>1.9957753980049269</v>
      </c>
      <c r="L48" s="252">
        <f>IF(L$9=0,0,L$9/AGR_fec!L$9)</f>
        <v>2.1473665915541944</v>
      </c>
      <c r="M48" s="252">
        <f>IF(M$9=0,0,M$9/AGR_fec!M$9)</f>
        <v>1.8974969351615656</v>
      </c>
      <c r="N48" s="252">
        <f>IF(N$9=0,0,N$9/AGR_fec!N$9)</f>
        <v>2.0359705162380863</v>
      </c>
      <c r="O48" s="252">
        <f>IF(O$9=0,0,O$9/AGR_fec!O$9)</f>
        <v>2.1701400714917733</v>
      </c>
      <c r="P48" s="252">
        <f>IF(P$9=0,0,P$9/AGR_fec!P$9)</f>
        <v>2.3340792975299833</v>
      </c>
      <c r="Q48" s="252">
        <f>IF(Q$9=0,0,Q$9/AGR_fec!Q$9)</f>
        <v>2.3645039774843863</v>
      </c>
      <c r="R48" s="252">
        <f>IF(R$9=0,0,R$9/AGR_fec!R$9)</f>
        <v>2.413445509477361</v>
      </c>
      <c r="S48" s="252">
        <f>IF(S$9=0,0,S$9/AGR_fec!S$9)</f>
        <v>2.2682723694652682</v>
      </c>
      <c r="T48" s="252">
        <f>IF(T$9=0,0,T$9/AGR_fec!T$9)</f>
        <v>2.1372374577843525</v>
      </c>
      <c r="U48" s="252">
        <f>IF(U$9=0,0,U$9/AGR_fec!U$9)</f>
        <v>2.4428891565140263</v>
      </c>
      <c r="V48" s="252">
        <f>IF(V$9=0,0,V$9/AGR_fec!V$9)</f>
        <v>2.6705644186973587</v>
      </c>
      <c r="W48" s="252">
        <f>IF(W$9=0,0,W$9/AGR_fec!W$9)</f>
        <v>2.8824542034029843</v>
      </c>
      <c r="X48" s="252">
        <f>IF(X$9=0,0,X$9/AGR_fec!X$9)</f>
        <v>2.4646412909986704</v>
      </c>
      <c r="Y48" s="252">
        <f>IF(Y$9=0,0,Y$9/AGR_fec!Y$9)</f>
        <v>2.7928415402725975</v>
      </c>
      <c r="DA48" s="289"/>
    </row>
    <row r="49" spans="1:105" x14ac:dyDescent="0.25">
      <c r="A49" s="127" t="s">
        <v>168</v>
      </c>
      <c r="B49" s="264">
        <f>IF(B$16=0,0,B$16/AGR_fec!B$16)</f>
        <v>3.1024188000000001</v>
      </c>
      <c r="C49" s="264">
        <f>IF(C$16=0,0,C$16/AGR_fec!C$16)</f>
        <v>3.1024188000000006</v>
      </c>
      <c r="D49" s="264">
        <f>IF(D$16=0,0,D$16/AGR_fec!D$16)</f>
        <v>3.1024188000000001</v>
      </c>
      <c r="E49" s="264">
        <f>IF(E$16=0,0,E$16/AGR_fec!E$16)</f>
        <v>3.1024188000000001</v>
      </c>
      <c r="F49" s="264">
        <f>IF(F$16=0,0,F$16/AGR_fec!F$16)</f>
        <v>3.102418800000001</v>
      </c>
      <c r="G49" s="264">
        <f>IF(G$16=0,0,G$16/AGR_fec!G$16)</f>
        <v>3.1024187999999993</v>
      </c>
      <c r="H49" s="264">
        <f>IF(H$16=0,0,H$16/AGR_fec!H$16)</f>
        <v>3.1024187999999993</v>
      </c>
      <c r="I49" s="264">
        <f>IF(I$16=0,0,I$16/AGR_fec!I$16)</f>
        <v>3.1024187999999993</v>
      </c>
      <c r="J49" s="264">
        <f>IF(J$16=0,0,J$16/AGR_fec!J$16)</f>
        <v>3.1024188000000001</v>
      </c>
      <c r="K49" s="264">
        <f>IF(K$16=0,0,K$16/AGR_fec!K$16)</f>
        <v>3.1024188000000015</v>
      </c>
      <c r="L49" s="264">
        <f>IF(L$16=0,0,L$16/AGR_fec!L$16)</f>
        <v>3.1024188000000006</v>
      </c>
      <c r="M49" s="264">
        <f>IF(M$16=0,0,M$16/AGR_fec!M$16)</f>
        <v>3.1024188000000006</v>
      </c>
      <c r="N49" s="264">
        <f>IF(N$16=0,0,N$16/AGR_fec!N$16)</f>
        <v>3.1024187999999997</v>
      </c>
      <c r="O49" s="264">
        <f>IF(O$16=0,0,O$16/AGR_fec!O$16)</f>
        <v>3.102418800000001</v>
      </c>
      <c r="P49" s="264">
        <f>IF(P$16=0,0,P$16/AGR_fec!P$16)</f>
        <v>3.1024188000000006</v>
      </c>
      <c r="Q49" s="264">
        <f>IF(Q$16=0,0,Q$16/AGR_fec!Q$16)</f>
        <v>3.1024188000000006</v>
      </c>
      <c r="R49" s="264">
        <f>IF(R$16=0,0,R$16/AGR_fec!R$16)</f>
        <v>3.1024188000000006</v>
      </c>
      <c r="S49" s="264">
        <f>IF(S$16=0,0,S$16/AGR_fec!S$16)</f>
        <v>3.1024188000000006</v>
      </c>
      <c r="T49" s="264">
        <f>IF(T$16=0,0,T$16/AGR_fec!T$16)</f>
        <v>3.1024187999999997</v>
      </c>
      <c r="U49" s="264">
        <f>IF(U$16=0,0,U$16/AGR_fec!U$16)</f>
        <v>3.1024188000000006</v>
      </c>
      <c r="V49" s="264">
        <f>IF(V$16=0,0,V$16/AGR_fec!V$16)</f>
        <v>3.1024188000000001</v>
      </c>
      <c r="W49" s="264">
        <f>IF(W$16=0,0,W$16/AGR_fec!W$16)</f>
        <v>3.1024187999999997</v>
      </c>
      <c r="X49" s="264">
        <f>IF(X$16=0,0,X$16/AGR_fec!X$16)</f>
        <v>3.1024188000000001</v>
      </c>
      <c r="Y49" s="264">
        <f>IF(Y$16=0,0,Y$16/AGR_fec!Y$16)</f>
        <v>3.1024187999999997</v>
      </c>
      <c r="DA49" s="290"/>
    </row>
    <row r="50" spans="1:105" x14ac:dyDescent="0.25">
      <c r="A50" s="127" t="s">
        <v>121</v>
      </c>
      <c r="B50" s="264">
        <f>IF(B$17=0,0,B$17/AGR_fec!B$17)</f>
        <v>3.0172024798291615</v>
      </c>
      <c r="C50" s="264">
        <f>IF(C$17=0,0,C$17/AGR_fec!C$17)</f>
        <v>2.9646181603414705</v>
      </c>
      <c r="D50" s="264">
        <f>IF(D$17=0,0,D$17/AGR_fec!D$17)</f>
        <v>2.9267720273365332</v>
      </c>
      <c r="E50" s="264">
        <f>IF(E$17=0,0,E$17/AGR_fec!E$17)</f>
        <v>2.7778437465452925</v>
      </c>
      <c r="F50" s="264">
        <f>IF(F$17=0,0,F$17/AGR_fec!F$17)</f>
        <v>2.6022869040625838</v>
      </c>
      <c r="G50" s="264">
        <f>IF(G$17=0,0,G$17/AGR_fec!G$17)</f>
        <v>2.4262585392268323</v>
      </c>
      <c r="H50" s="264">
        <f>IF(H$17=0,0,H$17/AGR_fec!H$17)</f>
        <v>2.321150920408269</v>
      </c>
      <c r="I50" s="264">
        <f>IF(I$17=0,0,I$17/AGR_fec!I$17)</f>
        <v>2.2770452028802652</v>
      </c>
      <c r="J50" s="264">
        <f>IF(J$17=0,0,J$17/AGR_fec!J$17)</f>
        <v>2.150263242522112</v>
      </c>
      <c r="K50" s="264">
        <f>IF(K$17=0,0,K$17/AGR_fec!K$17)</f>
        <v>2.0823720751363233</v>
      </c>
      <c r="L50" s="264">
        <f>IF(L$17=0,0,L$17/AGR_fec!L$17)</f>
        <v>2.269463961042181</v>
      </c>
      <c r="M50" s="264">
        <f>IF(M$17=0,0,M$17/AGR_fec!M$17)</f>
        <v>2.1731392527028421</v>
      </c>
      <c r="N50" s="264">
        <f>IF(N$17=0,0,N$17/AGR_fec!N$17)</f>
        <v>2.2009479564445229</v>
      </c>
      <c r="O50" s="264">
        <f>IF(O$17=0,0,O$17/AGR_fec!O$17)</f>
        <v>2.3441971846947887</v>
      </c>
      <c r="P50" s="264">
        <f>IF(P$17=0,0,P$17/AGR_fec!P$17)</f>
        <v>2.5317491085437545</v>
      </c>
      <c r="Q50" s="264">
        <f>IF(Q$17=0,0,Q$17/AGR_fec!Q$17)</f>
        <v>2.5430812620327456</v>
      </c>
      <c r="R50" s="264">
        <f>IF(R$17=0,0,R$17/AGR_fec!R$17)</f>
        <v>2.5096004565870058</v>
      </c>
      <c r="S50" s="264">
        <f>IF(S$17=0,0,S$17/AGR_fec!S$17)</f>
        <v>2.3689912428633035</v>
      </c>
      <c r="T50" s="264">
        <f>IF(T$17=0,0,T$17/AGR_fec!T$17)</f>
        <v>2.2217616974209022</v>
      </c>
      <c r="U50" s="264">
        <f>IF(U$17=0,0,U$17/AGR_fec!U$17)</f>
        <v>2.5750024691739313</v>
      </c>
      <c r="V50" s="264">
        <f>IF(V$17=0,0,V$17/AGR_fec!V$17)</f>
        <v>2.7969644845479635</v>
      </c>
      <c r="W50" s="264">
        <f>IF(W$17=0,0,W$17/AGR_fec!W$17)</f>
        <v>3.0288697303640464</v>
      </c>
      <c r="X50" s="264">
        <f>IF(X$17=0,0,X$17/AGR_fec!X$17)</f>
        <v>2.6521598482313062</v>
      </c>
      <c r="Y50" s="264">
        <f>IF(Y$17=0,0,Y$17/AGR_fec!Y$17)</f>
        <v>3.0483695368846448</v>
      </c>
      <c r="DA50" s="290"/>
    </row>
    <row r="51" spans="1:105" x14ac:dyDescent="0.25">
      <c r="A51" s="127" t="s">
        <v>167</v>
      </c>
      <c r="B51" s="264">
        <f>IF(B$25=0,0,B$25/AGR_fec!B$25)</f>
        <v>3.1024188000000006</v>
      </c>
      <c r="C51" s="264">
        <f>IF(C$25=0,0,C$25/AGR_fec!C$25)</f>
        <v>3.1024187999999993</v>
      </c>
      <c r="D51" s="264">
        <f>IF(D$25=0,0,D$25/AGR_fec!D$25)</f>
        <v>3.1024188000000001</v>
      </c>
      <c r="E51" s="264">
        <f>IF(E$25=0,0,E$25/AGR_fec!E$25)</f>
        <v>3.1024188000000006</v>
      </c>
      <c r="F51" s="264">
        <f>IF(F$25=0,0,F$25/AGR_fec!F$25)</f>
        <v>3.102418800000001</v>
      </c>
      <c r="G51" s="264">
        <f>IF(G$25=0,0,G$25/AGR_fec!G$25)</f>
        <v>3.1024188000000006</v>
      </c>
      <c r="H51" s="264">
        <f>IF(H$25=0,0,H$25/AGR_fec!H$25)</f>
        <v>3.1024187999999988</v>
      </c>
      <c r="I51" s="264">
        <f>IF(I$25=0,0,I$25/AGR_fec!I$25)</f>
        <v>3.1024188000000006</v>
      </c>
      <c r="J51" s="264">
        <f>IF(J$25=0,0,J$25/AGR_fec!J$25)</f>
        <v>3.1024188000000001</v>
      </c>
      <c r="K51" s="264">
        <f>IF(K$25=0,0,K$25/AGR_fec!K$25)</f>
        <v>3.1024187999999997</v>
      </c>
      <c r="L51" s="264">
        <f>IF(L$25=0,0,L$25/AGR_fec!L$25)</f>
        <v>3.1024187999999993</v>
      </c>
      <c r="M51" s="264">
        <f>IF(M$25=0,0,M$25/AGR_fec!M$25)</f>
        <v>3.1024187999999993</v>
      </c>
      <c r="N51" s="264">
        <f>IF(N$25=0,0,N$25/AGR_fec!N$25)</f>
        <v>3.1024187999999993</v>
      </c>
      <c r="O51" s="264">
        <f>IF(O$25=0,0,O$25/AGR_fec!O$25)</f>
        <v>3.1024187999999988</v>
      </c>
      <c r="P51" s="264">
        <f>IF(P$25=0,0,P$25/AGR_fec!P$25)</f>
        <v>3.1024188000000015</v>
      </c>
      <c r="Q51" s="264">
        <f>IF(Q$25=0,0,Q$25/AGR_fec!Q$25)</f>
        <v>3.1024188000000015</v>
      </c>
      <c r="R51" s="264">
        <f>IF(R$25=0,0,R$25/AGR_fec!R$25)</f>
        <v>3.1024187999999993</v>
      </c>
      <c r="S51" s="264">
        <f>IF(S$25=0,0,S$25/AGR_fec!S$25)</f>
        <v>3.102418800000001</v>
      </c>
      <c r="T51" s="264">
        <f>IF(T$25=0,0,T$25/AGR_fec!T$25)</f>
        <v>3.1024188000000006</v>
      </c>
      <c r="U51" s="264">
        <f>IF(U$25=0,0,U$25/AGR_fec!U$25)</f>
        <v>3.1024187999999993</v>
      </c>
      <c r="V51" s="264">
        <f>IF(V$25=0,0,V$25/AGR_fec!V$25)</f>
        <v>3.1024188000000006</v>
      </c>
      <c r="W51" s="264">
        <f>IF(W$25=0,0,W$25/AGR_fec!W$25)</f>
        <v>3.102418800000001</v>
      </c>
      <c r="X51" s="264">
        <f>IF(X$25=0,0,X$25/AGR_fec!X$25)</f>
        <v>3.102418800000001</v>
      </c>
      <c r="Y51" s="264">
        <f>IF(Y$25=0,0,Y$25/AGR_fec!Y$25)</f>
        <v>3.1024188000000001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2025-11-06T10:27:26Z</dcterms:created>
  <dcterms:modified xsi:type="dcterms:W3CDTF">2025-11-06T10:27:26Z</dcterms:modified>
</cp:coreProperties>
</file>