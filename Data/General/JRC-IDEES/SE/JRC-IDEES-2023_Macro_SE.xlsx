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E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78" i="59" l="1"/>
  <c r="AA88" i="59"/>
  <c r="AA84" i="59"/>
  <c r="AA82" i="59"/>
  <c r="AA81" i="59"/>
  <c r="AA79" i="59"/>
  <c r="AA110" i="59"/>
  <c r="AA74" i="59"/>
  <c r="AA105" i="59"/>
  <c r="AA70" i="59"/>
  <c r="AA101" i="59"/>
  <c r="AA66" i="59"/>
  <c r="AA97" i="59"/>
  <c r="AA94" i="59"/>
  <c r="AA5" i="59"/>
  <c r="Z115" i="59"/>
  <c r="Z111" i="59"/>
  <c r="Z107" i="59"/>
  <c r="Z103" i="59"/>
  <c r="Z99" i="59"/>
  <c r="K75" i="57"/>
  <c r="Y75" i="57"/>
  <c r="U75" i="57"/>
  <c r="J75" i="57"/>
  <c r="F75" i="57"/>
  <c r="E75" i="57"/>
  <c r="Q54" i="57"/>
  <c r="S54" i="57"/>
  <c r="K54" i="57"/>
  <c r="J54" i="57"/>
  <c r="O39" i="57"/>
  <c r="U39" i="57"/>
  <c r="Q39" i="57"/>
  <c r="I39" i="57"/>
  <c r="H39" i="57"/>
  <c r="O16" i="57"/>
  <c r="G16" i="57"/>
  <c r="M16" i="57"/>
  <c r="E16" i="57"/>
  <c r="T75" i="57"/>
  <c r="Q75" i="57"/>
  <c r="D75" i="57"/>
  <c r="O75" i="57"/>
  <c r="P54" i="57"/>
  <c r="L54" i="57"/>
  <c r="R54" i="57"/>
  <c r="I54" i="57"/>
  <c r="E39" i="57"/>
  <c r="S16" i="57"/>
  <c r="Y16" i="57"/>
  <c r="V16" i="57" l="1"/>
  <c r="J16" i="57"/>
  <c r="J39" i="57"/>
  <c r="L39" i="57"/>
  <c r="D54" i="57"/>
  <c r="AA89" i="59"/>
  <c r="AA80" i="59"/>
  <c r="F16" i="57"/>
  <c r="P16" i="57"/>
  <c r="F39" i="57"/>
  <c r="AA98" i="59"/>
  <c r="AA102" i="59"/>
  <c r="AA106" i="59"/>
  <c r="AA113" i="59"/>
  <c r="AA114" i="59"/>
  <c r="Z54" i="55"/>
  <c r="AA93" i="59"/>
  <c r="AA109" i="59"/>
  <c r="AA117" i="59"/>
  <c r="AA121" i="59"/>
  <c r="X16" i="57"/>
  <c r="D39" i="57"/>
  <c r="N39" i="57"/>
  <c r="F54" i="57"/>
  <c r="N54" i="57"/>
  <c r="V54" i="57"/>
  <c r="H54" i="57"/>
  <c r="X54" i="57"/>
  <c r="V75" i="57"/>
  <c r="N16" i="57"/>
  <c r="H16" i="57"/>
  <c r="R39" i="57"/>
  <c r="T39" i="57"/>
  <c r="V39" i="57"/>
  <c r="T54" i="57"/>
  <c r="W16" i="57"/>
  <c r="I16" i="57"/>
  <c r="Q16" i="57"/>
  <c r="K16" i="57"/>
  <c r="U16" i="57"/>
  <c r="K39" i="57"/>
  <c r="S39" i="57"/>
  <c r="M39" i="57"/>
  <c r="G39" i="57"/>
  <c r="W39" i="57"/>
  <c r="Y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Z5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AA95" i="59" s="1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" i="59" l="1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T1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4" i="4"/>
  <c r="B7" i="4"/>
  <c r="B6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<sst xmlns="http://schemas.openxmlformats.org/spreadsheetml/2006/main" count="722" uniqueCount="281">
  <si>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</si>
  <si>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</si>
  <si>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</si>
  <si>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</si>
  <si>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</si>
  <si>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</si>
  <si>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</si>
  <si>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</si>
  <si>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</si>
  <si>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</si>
  <si>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</si>
  <si>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</si>
  <si>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</si>
  <si>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</si>
  <si>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</si>
  <si>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</si>
  <si>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</si>
  <si>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</si>
  <si>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</si>
  <si>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</si>
  <si>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</si>
  <si>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</si>
  <si>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</si>
  <si>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</si>
  <si>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</si>
  <si>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</si>
  <si>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</si>
  <si>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</si>
  <si>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</si>
  <si>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</si>
  <si>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</si>
  <si>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</si>
  <si>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</si>
  <si>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</si>
  <si>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</si>
  <si>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</si>
  <si>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</si>
  <si>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</si>
  <si>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</si>
  <si>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</si>
  <si>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</si>
  <si>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</si>
  <si>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</si>
  <si>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</si>
  <si>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</si>
  <si>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</si>
  <si>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</si>
  <si>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</si>
  <si>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</si>
  <si>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</si>
  <si>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</si>
  <si>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</si>
  <si>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</si>
  <si>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</si>
  <si>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</si>
  <si>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</si>
  <si>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</si>
  <si>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</si>
  <si>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</si>
  <si>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</si>
  <si>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</si>
  <si>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</si>
  <si>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</si>
  <si>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</si>
  <si>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</si>
  <si>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</si>
  <si>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</si>
  <si>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</si>
  <si>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</si>
  <si>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</si>
  <si>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</si>
  <si>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</si>
  <si>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</si>
  <si>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</si>
  <si>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</si>
  <si>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</si>
  <si>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</si>
  <si>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</si>
  <si>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</si>
  <si>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</si>
  <si>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</si>
  <si>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</si>
  <si>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</si>
  <si>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</si>
  <si>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</si>
  <si>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</si>
  <si>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</si>
  <si>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</si>
  <si>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</si>
  <si>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</si>
  <si>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</si>
  <si>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</si>
  <si>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</si>
  <si>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</si>
  <si>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</si>
  <si>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</si>
  <si>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</si>
  <si>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</si>
  <si>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</si>
  <si>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</si>
  <si>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</si>
  <si>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</si>
  <si>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</si>
  <si>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</si>
  <si>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</si>
  <si>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</si>
  <si>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</si>
  <si>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</si>
  <si>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</si>
  <si>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</si>
  <si>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</si>
  <si>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</si>
  <si>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</si>
  <si>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</si>
  <si>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</si>
  <si>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</si>
  <si>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</si>
  <si>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</si>
  <si>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</si>
  <si>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</si>
  <si>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</si>
  <si>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</si>
  <si>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</si>
  <si>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</si>
  <si>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</si>
  <si>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</si>
  <si>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</si>
  <si>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</si>
  <si>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</si>
  <si>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</si>
  <si>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</si>
  <si>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</si>
  <si>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</si>
  <si>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</si>
  <si>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</si>
  <si>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</si>
  <si>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</si>
  <si>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</si>
  <si>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</si>
  <si>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</si>
  <si>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</si>
  <si>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</si>
  <si>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</si>
  <si>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</si>
  <si>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</si>
  <si>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</si>
  <si>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</si>
  <si>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</si>
  <si>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</si>
  <si>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</si>
  <si>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</si>
  <si>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</si>
  <si>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</si>
  <si>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</si>
  <si>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</si>
  <si>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</si>
  <si>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</si>
  <si>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</si>
  <si>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</si>
  <si>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</si>
  <si>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</si>
  <si>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</si>
  <si>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</si>
  <si>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</si>
  <si>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</si>
  <si>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</si>
  <si>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</si>
  <si>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</si>
  <si>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</si>
  <si>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</si>
  <si>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</si>
  <si>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</si>
  <si>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</si>
  <si>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</si>
  <si>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</si>
  <si>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</si>
  <si>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</si>
  <si>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</si>
  <si>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</si>
  <si>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</si>
  <si>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</si>
  <si>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</si>
  <si>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</si>
  <si>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</si>
  <si>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</si>
  <si>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</si>
  <si>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</si>
  <si>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</si>
  <si>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</si>
  <si>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</si>
  <si>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</si>
  <si>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</si>
  <si>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</si>
  <si>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</si>
  <si>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</si>
  <si>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</si>
  <si>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</si>
  <si>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</si>
  <si>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</si>
  <si>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</si>
  <si>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</si>
  <si>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</si>
  <si>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</si>
  <si>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</si>
  <si>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</si>
  <si>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</si>
  <si>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</si>
  <si>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</si>
  <si>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</si>
  <si>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</si>
  <si>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</si>
  <si>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</si>
  <si>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</si>
  <si>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</si>
  <si>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</si>
  <si>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</si>
  <si>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</si>
  <si>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</si>
  <si>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</si>
  <si>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</si>
  <si>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</si>
  <si>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</si>
  <si>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</si>
  <si>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</si>
  <si>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</si>
  <si>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</si>
  <si>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</si>
  <si>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</si>
  <si>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</si>
  <si>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</si>
  <si>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</si>
  <si>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</si>
  <si>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</si>
  <si>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</si>
  <si>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</si>
  <si>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</si>
  <si>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</si>
  <si>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</si>
  <si>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</si>
  <si>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</si>
  <si>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</si>
  <si>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</si>
  <si>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</si>
  <si>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</si>
  <si>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</si>
  <si>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</si>
  <si>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</si>
  <si>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</si>
  <si>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</si>
  <si>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</si>
  <si>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</si>
  <si>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</si>
  <si>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</si>
  <si>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</si>
  <si>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</si>
  <si>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</si>
  <si>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</si>
  <si>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</si>
  <si>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</si>
  <si>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</si>
  <si>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</si>
  <si>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</si>
  <si>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</si>
  <si>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</si>
  <si>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</si>
  <si>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</si>
  <si>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</si>
  <si>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</si>
  <si>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</si>
  <si>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</si>
  <si>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</si>
  <si>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</si>
  <si>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</si>
  <si>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</si>
  <si>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</si>
  <si>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</si>
  <si>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</si>
  <si>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</si>
  <si>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</si>
  <si>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SE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</si>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</sst>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45967.479629629626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285224.2</v>
      </c>
      <c r="E2" s="19">
        <v>270638.2</v>
      </c>
      <c r="F2" s="19">
        <v>284182.8</v>
      </c>
      <c r="G2" s="19">
        <v>296070.90000000002</v>
      </c>
      <c r="H2" s="19">
        <v>309720.90000000002</v>
      </c>
      <c r="I2" s="19">
        <v>315348.40000000002</v>
      </c>
      <c r="J2" s="19">
        <v>336866.7</v>
      </c>
      <c r="K2" s="19">
        <v>358064.8</v>
      </c>
      <c r="L2" s="19">
        <v>352761.59999999998</v>
      </c>
      <c r="M2" s="19">
        <v>313033.59999999998</v>
      </c>
      <c r="N2" s="19">
        <v>372381.5</v>
      </c>
      <c r="O2" s="19">
        <v>410287.8</v>
      </c>
      <c r="P2" s="19">
        <v>427901.2</v>
      </c>
      <c r="Q2" s="19">
        <v>439805.4</v>
      </c>
      <c r="R2" s="19">
        <v>435639.5</v>
      </c>
      <c r="S2" s="19">
        <v>452337.2</v>
      </c>
      <c r="T2" s="19">
        <v>463918.8</v>
      </c>
      <c r="U2" s="19">
        <v>474838.2</v>
      </c>
      <c r="V2" s="19">
        <v>465753.3</v>
      </c>
      <c r="W2" s="19">
        <v>474202.9</v>
      </c>
      <c r="X2" s="19">
        <v>478106.9</v>
      </c>
      <c r="Y2" s="19">
        <v>533953.6</v>
      </c>
      <c r="Z2" s="19">
        <v>547190.4</v>
      </c>
      <c r="AA2" s="19">
        <v>535176.80000000005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137683.20000000001</v>
      </c>
      <c r="E3" s="23">
        <v>129334.1</v>
      </c>
      <c r="F3" s="23">
        <v>135839</v>
      </c>
      <c r="G3" s="23">
        <v>141261.79999999999</v>
      </c>
      <c r="H3" s="23">
        <v>145951</v>
      </c>
      <c r="I3" s="23">
        <v>149300.29999999999</v>
      </c>
      <c r="J3" s="23">
        <v>155244.70000000001</v>
      </c>
      <c r="K3" s="23">
        <v>164231.4</v>
      </c>
      <c r="L3" s="23">
        <v>162574.70000000001</v>
      </c>
      <c r="M3" s="23">
        <v>151824.1</v>
      </c>
      <c r="N3" s="23">
        <v>177905.9</v>
      </c>
      <c r="O3" s="23">
        <v>194044.3</v>
      </c>
      <c r="P3" s="23">
        <v>204578.8</v>
      </c>
      <c r="Q3" s="23">
        <v>210786</v>
      </c>
      <c r="R3" s="23">
        <v>207949.8</v>
      </c>
      <c r="S3" s="23">
        <v>212891.9</v>
      </c>
      <c r="T3" s="23">
        <v>216765.6</v>
      </c>
      <c r="U3" s="23">
        <v>222153.8</v>
      </c>
      <c r="V3" s="23">
        <v>217974.39999999999</v>
      </c>
      <c r="W3" s="23">
        <v>217233.5</v>
      </c>
      <c r="X3" s="23">
        <v>214549.5</v>
      </c>
      <c r="Y3" s="23">
        <v>239444.6</v>
      </c>
      <c r="Z3" s="23">
        <v>250746.9</v>
      </c>
      <c r="AA3" s="23">
        <v>243760.9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253550.9</v>
      </c>
      <c r="E4" s="27">
        <v>240467</v>
      </c>
      <c r="F4" s="27">
        <v>252113.4</v>
      </c>
      <c r="G4" s="27">
        <v>262619.3</v>
      </c>
      <c r="H4" s="27">
        <v>275203.8</v>
      </c>
      <c r="I4" s="27">
        <v>279117.3</v>
      </c>
      <c r="J4" s="27">
        <v>298661.90000000002</v>
      </c>
      <c r="K4" s="27">
        <v>317465</v>
      </c>
      <c r="L4" s="27">
        <v>312144.90000000002</v>
      </c>
      <c r="M4" s="27">
        <v>275978.09999999998</v>
      </c>
      <c r="N4" s="27">
        <v>328308.3</v>
      </c>
      <c r="O4" s="27">
        <v>363283.5</v>
      </c>
      <c r="P4" s="27">
        <v>379375</v>
      </c>
      <c r="Q4" s="27">
        <v>389842.6</v>
      </c>
      <c r="R4" s="27">
        <v>386743.3</v>
      </c>
      <c r="S4" s="27">
        <v>401567.2</v>
      </c>
      <c r="T4" s="27">
        <v>410330.5</v>
      </c>
      <c r="U4" s="27">
        <v>420027.7</v>
      </c>
      <c r="V4" s="27">
        <v>411827.20000000001</v>
      </c>
      <c r="W4" s="27">
        <v>420490.7</v>
      </c>
      <c r="X4" s="27">
        <v>423900.4</v>
      </c>
      <c r="Y4" s="27">
        <v>473274.1</v>
      </c>
      <c r="Z4" s="27">
        <v>485266.9</v>
      </c>
      <c r="AA4" s="27">
        <v>478096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5090.6000000000004</v>
      </c>
      <c r="E6" s="19">
        <v>4849.2</v>
      </c>
      <c r="F6" s="19">
        <v>4978.8999999999996</v>
      </c>
      <c r="G6" s="19">
        <v>5067.3999999999996</v>
      </c>
      <c r="H6" s="19">
        <v>5205.2</v>
      </c>
      <c r="I6" s="19">
        <v>3659</v>
      </c>
      <c r="J6" s="19">
        <v>4178.2</v>
      </c>
      <c r="K6" s="19">
        <v>5151.8999999999996</v>
      </c>
      <c r="L6" s="19">
        <v>4443.3</v>
      </c>
      <c r="M6" s="19">
        <v>3566.5</v>
      </c>
      <c r="N6" s="19">
        <v>5070.3999999999996</v>
      </c>
      <c r="O6" s="19">
        <v>5791.9</v>
      </c>
      <c r="P6" s="19">
        <v>5359.7</v>
      </c>
      <c r="Q6" s="19">
        <v>5412.4</v>
      </c>
      <c r="R6" s="19">
        <v>5452.4</v>
      </c>
      <c r="S6" s="19">
        <v>5894.5</v>
      </c>
      <c r="T6" s="19">
        <v>5943.7</v>
      </c>
      <c r="U6" s="19">
        <v>6272.7</v>
      </c>
      <c r="V6" s="19">
        <v>5822.3</v>
      </c>
      <c r="W6" s="19">
        <v>5961.6</v>
      </c>
      <c r="X6" s="19">
        <v>5719.2</v>
      </c>
      <c r="Y6" s="19">
        <v>6190.8</v>
      </c>
      <c r="Z6" s="19">
        <v>6778.4</v>
      </c>
      <c r="AA6" s="19">
        <v>6862.5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63782.9</v>
      </c>
      <c r="E7" s="23">
        <v>58924.4</v>
      </c>
      <c r="F7" s="23">
        <v>60890.2</v>
      </c>
      <c r="G7" s="23">
        <v>61592.1</v>
      </c>
      <c r="H7" s="23">
        <v>63253</v>
      </c>
      <c r="I7" s="23">
        <v>63999.3</v>
      </c>
      <c r="J7" s="23">
        <v>68167.3</v>
      </c>
      <c r="K7" s="23">
        <v>72046.8</v>
      </c>
      <c r="L7" s="23">
        <v>68504.600000000006</v>
      </c>
      <c r="M7" s="23">
        <v>54327.199999999997</v>
      </c>
      <c r="N7" s="23">
        <v>70766.7</v>
      </c>
      <c r="O7" s="23">
        <v>76766.5</v>
      </c>
      <c r="P7" s="23">
        <v>76808.399999999994</v>
      </c>
      <c r="Q7" s="23">
        <v>74378.8</v>
      </c>
      <c r="R7" s="23">
        <v>71458.600000000006</v>
      </c>
      <c r="S7" s="23">
        <v>76124.899999999994</v>
      </c>
      <c r="T7" s="23">
        <v>76249.7</v>
      </c>
      <c r="U7" s="23">
        <v>78121.8</v>
      </c>
      <c r="V7" s="23">
        <v>76638.600000000006</v>
      </c>
      <c r="W7" s="23">
        <v>78614.3</v>
      </c>
      <c r="X7" s="23">
        <v>76067.899999999994</v>
      </c>
      <c r="Y7" s="23">
        <v>89217.2</v>
      </c>
      <c r="Z7" s="23">
        <v>97364.800000000003</v>
      </c>
      <c r="AA7" s="23">
        <v>90025.5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10372.799999999999</v>
      </c>
      <c r="E8" s="23">
        <v>10575.1</v>
      </c>
      <c r="F8" s="23">
        <v>11450.7</v>
      </c>
      <c r="G8" s="23">
        <v>12113.5</v>
      </c>
      <c r="H8" s="23">
        <v>13392</v>
      </c>
      <c r="I8" s="23">
        <v>13519.2</v>
      </c>
      <c r="J8" s="23">
        <v>15519.6</v>
      </c>
      <c r="K8" s="23">
        <v>17558</v>
      </c>
      <c r="L8" s="23">
        <v>16671.3</v>
      </c>
      <c r="M8" s="23">
        <v>15588.5</v>
      </c>
      <c r="N8" s="23">
        <v>18079.900000000001</v>
      </c>
      <c r="O8" s="23">
        <v>20610.099999999999</v>
      </c>
      <c r="P8" s="23">
        <v>22058.799999999999</v>
      </c>
      <c r="Q8" s="23">
        <v>22311</v>
      </c>
      <c r="R8" s="23">
        <v>22676.400000000001</v>
      </c>
      <c r="S8" s="23">
        <v>24630.400000000001</v>
      </c>
      <c r="T8" s="23">
        <v>25840.6</v>
      </c>
      <c r="U8" s="23">
        <v>27215.9</v>
      </c>
      <c r="V8" s="23">
        <v>27098.5</v>
      </c>
      <c r="W8" s="23">
        <v>27493.599999999999</v>
      </c>
      <c r="X8" s="23">
        <v>28247.5</v>
      </c>
      <c r="Y8" s="23">
        <v>31335.7</v>
      </c>
      <c r="Z8" s="23">
        <v>32643.3</v>
      </c>
      <c r="AA8" s="23">
        <v>30856.3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44849.3</v>
      </c>
      <c r="E9" s="23">
        <v>42719.5</v>
      </c>
      <c r="F9" s="23">
        <v>45110.5</v>
      </c>
      <c r="G9" s="23">
        <v>47464.5</v>
      </c>
      <c r="H9" s="23">
        <v>50127.7</v>
      </c>
      <c r="I9" s="23">
        <v>51658.2</v>
      </c>
      <c r="J9" s="23">
        <v>54731.4</v>
      </c>
      <c r="K9" s="23">
        <v>58235.7</v>
      </c>
      <c r="L9" s="23">
        <v>58179.9</v>
      </c>
      <c r="M9" s="23">
        <v>51774.400000000001</v>
      </c>
      <c r="N9" s="23">
        <v>60896.3</v>
      </c>
      <c r="O9" s="23">
        <v>67261.5</v>
      </c>
      <c r="P9" s="23">
        <v>70042</v>
      </c>
      <c r="Q9" s="23">
        <v>72391.600000000006</v>
      </c>
      <c r="R9" s="23">
        <v>72588.600000000006</v>
      </c>
      <c r="S9" s="23">
        <v>73625.600000000006</v>
      </c>
      <c r="T9" s="23">
        <v>75191.8</v>
      </c>
      <c r="U9" s="23">
        <v>77696.3</v>
      </c>
      <c r="V9" s="23">
        <v>73801.8</v>
      </c>
      <c r="W9" s="23">
        <v>75369</v>
      </c>
      <c r="X9" s="23">
        <v>72721.7</v>
      </c>
      <c r="Y9" s="23">
        <v>82507.600000000006</v>
      </c>
      <c r="Z9" s="23">
        <v>82559.399999999994</v>
      </c>
      <c r="AA9" s="23">
        <v>81231.3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14316.3</v>
      </c>
      <c r="E10" s="23">
        <v>14524</v>
      </c>
      <c r="F10" s="23">
        <v>14925.8</v>
      </c>
      <c r="G10" s="23">
        <v>15607.3</v>
      </c>
      <c r="H10" s="23">
        <v>18349.5</v>
      </c>
      <c r="I10" s="23">
        <v>18644.599999999999</v>
      </c>
      <c r="J10" s="23">
        <v>19909.2</v>
      </c>
      <c r="K10" s="23">
        <v>20467.900000000001</v>
      </c>
      <c r="L10" s="23">
        <v>20132.599999999999</v>
      </c>
      <c r="M10" s="23">
        <v>18274.099999999999</v>
      </c>
      <c r="N10" s="23">
        <v>21792.400000000001</v>
      </c>
      <c r="O10" s="23">
        <v>24084.5</v>
      </c>
      <c r="P10" s="23">
        <v>25143.7</v>
      </c>
      <c r="Q10" s="23">
        <v>26680.6</v>
      </c>
      <c r="R10" s="23">
        <v>26759.5</v>
      </c>
      <c r="S10" s="23">
        <v>29744.799999999999</v>
      </c>
      <c r="T10" s="23">
        <v>28275.599999999999</v>
      </c>
      <c r="U10" s="23">
        <v>25949</v>
      </c>
      <c r="V10" s="23">
        <v>28061.3</v>
      </c>
      <c r="W10" s="23">
        <v>31357.200000000001</v>
      </c>
      <c r="X10" s="23">
        <v>33831.5</v>
      </c>
      <c r="Y10" s="23">
        <v>38970</v>
      </c>
      <c r="Z10" s="23">
        <v>37963</v>
      </c>
      <c r="AA10" s="23">
        <v>34986.699999999997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11180.4</v>
      </c>
      <c r="E11" s="23">
        <v>10364</v>
      </c>
      <c r="F11" s="23">
        <v>9943.2000000000007</v>
      </c>
      <c r="G11" s="23">
        <v>10568</v>
      </c>
      <c r="H11" s="23">
        <v>12135.8</v>
      </c>
      <c r="I11" s="23">
        <v>12562</v>
      </c>
      <c r="J11" s="23">
        <v>11556</v>
      </c>
      <c r="K11" s="23">
        <v>12092.3</v>
      </c>
      <c r="L11" s="23">
        <v>11901.9</v>
      </c>
      <c r="M11" s="23">
        <v>12612.6</v>
      </c>
      <c r="N11" s="23">
        <v>13394.7</v>
      </c>
      <c r="O11" s="23">
        <v>15278.1</v>
      </c>
      <c r="P11" s="23">
        <v>16820.900000000001</v>
      </c>
      <c r="Q11" s="23">
        <v>17833</v>
      </c>
      <c r="R11" s="23">
        <v>18044.3</v>
      </c>
      <c r="S11" s="23">
        <v>19077</v>
      </c>
      <c r="T11" s="23">
        <v>18102.2</v>
      </c>
      <c r="U11" s="23">
        <v>17011.599999999999</v>
      </c>
      <c r="V11" s="23">
        <v>16008.5</v>
      </c>
      <c r="W11" s="23">
        <v>15685.7</v>
      </c>
      <c r="X11" s="23">
        <v>18123.2</v>
      </c>
      <c r="Y11" s="23">
        <v>20459</v>
      </c>
      <c r="Z11" s="23">
        <v>21026.3</v>
      </c>
      <c r="AA11" s="23">
        <v>21481.5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25067.5</v>
      </c>
      <c r="E12" s="23">
        <v>22818.400000000001</v>
      </c>
      <c r="F12" s="23">
        <v>24142.2</v>
      </c>
      <c r="G12" s="23">
        <v>25045.7</v>
      </c>
      <c r="H12" s="23">
        <v>24211.599999999999</v>
      </c>
      <c r="I12" s="23">
        <v>24543.4</v>
      </c>
      <c r="J12" s="23">
        <v>26817.599999999999</v>
      </c>
      <c r="K12" s="23">
        <v>27736.5</v>
      </c>
      <c r="L12" s="23">
        <v>28764.799999999999</v>
      </c>
      <c r="M12" s="23">
        <v>26082</v>
      </c>
      <c r="N12" s="23">
        <v>28472.799999999999</v>
      </c>
      <c r="O12" s="23">
        <v>31658.799999999999</v>
      </c>
      <c r="P12" s="23">
        <v>33157.9</v>
      </c>
      <c r="Q12" s="23">
        <v>34521.599999999999</v>
      </c>
      <c r="R12" s="23">
        <v>34374.199999999997</v>
      </c>
      <c r="S12" s="23">
        <v>33247.800000000003</v>
      </c>
      <c r="T12" s="23">
        <v>34404.300000000003</v>
      </c>
      <c r="U12" s="23">
        <v>36203.699999999997</v>
      </c>
      <c r="V12" s="23">
        <v>36015.300000000003</v>
      </c>
      <c r="W12" s="23">
        <v>37105.5</v>
      </c>
      <c r="X12" s="23">
        <v>38159</v>
      </c>
      <c r="Y12" s="23">
        <v>39473.9</v>
      </c>
      <c r="Z12" s="23">
        <v>37719.300000000003</v>
      </c>
      <c r="AA12" s="23">
        <v>41553.699999999997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21244.3</v>
      </c>
      <c r="E13" s="23">
        <v>20705.7</v>
      </c>
      <c r="F13" s="23">
        <v>21459.3</v>
      </c>
      <c r="G13" s="23">
        <v>22238.2</v>
      </c>
      <c r="H13" s="23">
        <v>23771.1</v>
      </c>
      <c r="I13" s="23">
        <v>24711.9</v>
      </c>
      <c r="J13" s="23">
        <v>28417.1</v>
      </c>
      <c r="K13" s="23">
        <v>31427.1</v>
      </c>
      <c r="L13" s="23">
        <v>31006.1</v>
      </c>
      <c r="M13" s="23">
        <v>26529.1</v>
      </c>
      <c r="N13" s="23">
        <v>32666.400000000001</v>
      </c>
      <c r="O13" s="23">
        <v>37120.5</v>
      </c>
      <c r="P13" s="23">
        <v>39534.699999999997</v>
      </c>
      <c r="Q13" s="23">
        <v>42020</v>
      </c>
      <c r="R13" s="23">
        <v>41950.8</v>
      </c>
      <c r="S13" s="23">
        <v>43705.599999999999</v>
      </c>
      <c r="T13" s="23">
        <v>46112.9</v>
      </c>
      <c r="U13" s="23">
        <v>48523.8</v>
      </c>
      <c r="V13" s="23">
        <v>47777.5</v>
      </c>
      <c r="W13" s="23">
        <v>48034.400000000001</v>
      </c>
      <c r="X13" s="23">
        <v>48396.2</v>
      </c>
      <c r="Y13" s="23">
        <v>52878</v>
      </c>
      <c r="Z13" s="23">
        <v>57065.599999999999</v>
      </c>
      <c r="AA13" s="23">
        <v>57745.599999999999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51048.300000000017</v>
      </c>
      <c r="E14" s="23">
        <v>48534.299999999988</v>
      </c>
      <c r="F14" s="23">
        <v>52258.200000000012</v>
      </c>
      <c r="G14" s="23">
        <v>55609.799999999988</v>
      </c>
      <c r="H14" s="23">
        <v>57059.799999999988</v>
      </c>
      <c r="I14" s="23">
        <v>57859.099999999977</v>
      </c>
      <c r="J14" s="23">
        <v>60809.5</v>
      </c>
      <c r="K14" s="23">
        <v>63803.100000000006</v>
      </c>
      <c r="L14" s="23">
        <v>63628.500000000029</v>
      </c>
      <c r="M14" s="23">
        <v>59143.999999999942</v>
      </c>
      <c r="N14" s="23">
        <v>67756.700000000012</v>
      </c>
      <c r="O14" s="23">
        <v>74269.299999999988</v>
      </c>
      <c r="P14" s="23">
        <v>79328.5</v>
      </c>
      <c r="Q14" s="23">
        <v>82575.399999999965</v>
      </c>
      <c r="R14" s="23">
        <v>81987.700000000012</v>
      </c>
      <c r="S14" s="23">
        <v>83827.100000000035</v>
      </c>
      <c r="T14" s="23">
        <v>88196.399999999965</v>
      </c>
      <c r="U14" s="23">
        <v>90625.800000000047</v>
      </c>
      <c r="V14" s="23">
        <v>88560.100000000035</v>
      </c>
      <c r="W14" s="23">
        <v>88455.399999999965</v>
      </c>
      <c r="X14" s="23">
        <v>90878.5</v>
      </c>
      <c r="Y14" s="23">
        <v>99272.499999999942</v>
      </c>
      <c r="Z14" s="23">
        <v>98419.600000000035</v>
      </c>
      <c r="AA14" s="23">
        <v>99374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6598.5</v>
      </c>
      <c r="E15" s="23">
        <v>6452.4</v>
      </c>
      <c r="F15" s="23">
        <v>6954.4</v>
      </c>
      <c r="G15" s="23">
        <v>7312.8</v>
      </c>
      <c r="H15" s="23">
        <v>7698.1</v>
      </c>
      <c r="I15" s="23">
        <v>7960.6</v>
      </c>
      <c r="J15" s="23">
        <v>8556</v>
      </c>
      <c r="K15" s="23">
        <v>8945.7000000000007</v>
      </c>
      <c r="L15" s="23">
        <v>8911.9</v>
      </c>
      <c r="M15" s="23">
        <v>8079.7</v>
      </c>
      <c r="N15" s="23">
        <v>9412</v>
      </c>
      <c r="O15" s="23">
        <v>10442.299999999999</v>
      </c>
      <c r="P15" s="23">
        <v>11120.4</v>
      </c>
      <c r="Q15" s="23">
        <v>11718.2</v>
      </c>
      <c r="R15" s="23">
        <v>11450.8</v>
      </c>
      <c r="S15" s="23">
        <v>11689.5</v>
      </c>
      <c r="T15" s="23">
        <v>12013.3</v>
      </c>
      <c r="U15" s="23">
        <v>12407.1</v>
      </c>
      <c r="V15" s="23">
        <v>12043.3</v>
      </c>
      <c r="W15" s="23">
        <v>12414</v>
      </c>
      <c r="X15" s="23">
        <v>11755.7</v>
      </c>
      <c r="Y15" s="23">
        <v>12969.4</v>
      </c>
      <c r="Z15" s="23">
        <v>13727.2</v>
      </c>
      <c r="AA15" s="23">
        <v>13978.9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253550.9</v>
      </c>
      <c r="E16" s="30">
        <f t="shared" ref="E16:Y16" si="0">SUM(E6:E15)</f>
        <v>240467</v>
      </c>
      <c r="F16" s="30">
        <f t="shared" si="0"/>
        <v>252113.4</v>
      </c>
      <c r="G16" s="30">
        <f t="shared" si="0"/>
        <v>262619.3</v>
      </c>
      <c r="H16" s="30">
        <f t="shared" si="0"/>
        <v>275203.79999999993</v>
      </c>
      <c r="I16" s="30">
        <f t="shared" si="0"/>
        <v>279117.29999999993</v>
      </c>
      <c r="J16" s="30">
        <f t="shared" si="0"/>
        <v>298661.90000000002</v>
      </c>
      <c r="K16" s="30">
        <f t="shared" si="0"/>
        <v>317465</v>
      </c>
      <c r="L16" s="30">
        <f t="shared" si="0"/>
        <v>312144.90000000002</v>
      </c>
      <c r="M16" s="30">
        <f t="shared" si="0"/>
        <v>275978.09999999998</v>
      </c>
      <c r="N16" s="30">
        <f t="shared" si="0"/>
        <v>328308.3</v>
      </c>
      <c r="O16" s="30">
        <f t="shared" si="0"/>
        <v>363283.5</v>
      </c>
      <c r="P16" s="30">
        <f t="shared" si="0"/>
        <v>379375</v>
      </c>
      <c r="Q16" s="30">
        <f t="shared" si="0"/>
        <v>389842.6</v>
      </c>
      <c r="R16" s="30">
        <f t="shared" si="0"/>
        <v>386743.3</v>
      </c>
      <c r="S16" s="30">
        <f t="shared" si="0"/>
        <v>401567.2</v>
      </c>
      <c r="T16" s="30">
        <f t="shared" si="0"/>
        <v>410330.5</v>
      </c>
      <c r="U16" s="30">
        <f t="shared" si="0"/>
        <v>420027.7</v>
      </c>
      <c r="V16" s="30">
        <f t="shared" si="0"/>
        <v>411827.20000000001</v>
      </c>
      <c r="W16" s="30">
        <f t="shared" si="0"/>
        <v>420490.7</v>
      </c>
      <c r="X16" s="30">
        <f t="shared" si="0"/>
        <v>423900.4</v>
      </c>
      <c r="Y16" s="30">
        <f t="shared" si="0"/>
        <v>473274.1</v>
      </c>
      <c r="Z16" s="30">
        <f t="shared" ref="Z16:AA16" si="1">SUM(Z6:Z15)</f>
        <v>485266.9</v>
      </c>
      <c r="AA16" s="30">
        <f t="shared" si="1"/>
        <v>478096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5090.6000000000004</v>
      </c>
      <c r="E18" s="19">
        <v>4849.2</v>
      </c>
      <c r="F18" s="19">
        <v>4978.8999999999996</v>
      </c>
      <c r="G18" s="19">
        <v>5067.3999999999996</v>
      </c>
      <c r="H18" s="19">
        <v>5205.2</v>
      </c>
      <c r="I18" s="19">
        <v>3659</v>
      </c>
      <c r="J18" s="19">
        <v>4178.2</v>
      </c>
      <c r="K18" s="19">
        <v>5151.8999999999996</v>
      </c>
      <c r="L18" s="19">
        <v>4443.3</v>
      </c>
      <c r="M18" s="19">
        <v>3566.5</v>
      </c>
      <c r="N18" s="19">
        <v>5070.3999999999996</v>
      </c>
      <c r="O18" s="19">
        <v>5791.9</v>
      </c>
      <c r="P18" s="19">
        <v>5359.7</v>
      </c>
      <c r="Q18" s="19">
        <v>5412.4</v>
      </c>
      <c r="R18" s="19">
        <v>5452.4</v>
      </c>
      <c r="S18" s="19">
        <v>5894.5</v>
      </c>
      <c r="T18" s="19">
        <v>5943.7</v>
      </c>
      <c r="U18" s="19">
        <v>6272.7</v>
      </c>
      <c r="V18" s="19">
        <v>5822.3</v>
      </c>
      <c r="W18" s="19">
        <v>5961.6</v>
      </c>
      <c r="X18" s="19">
        <v>5719.2</v>
      </c>
      <c r="Y18" s="19">
        <v>6190.8</v>
      </c>
      <c r="Z18" s="19">
        <v>6778.4</v>
      </c>
      <c r="AA18" s="19">
        <v>6862.5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546.30764847534533</v>
      </c>
      <c r="E19" s="23">
        <v>501.90000000000003</v>
      </c>
      <c r="F19" s="23">
        <v>520.59999999999968</v>
      </c>
      <c r="G19" s="23">
        <v>604.39305199507953</v>
      </c>
      <c r="H19" s="23">
        <v>809.19999999999993</v>
      </c>
      <c r="I19" s="23">
        <v>1217.5885180819464</v>
      </c>
      <c r="J19" s="23">
        <v>1693.3851976818385</v>
      </c>
      <c r="K19" s="23">
        <v>1781.1000000000008</v>
      </c>
      <c r="L19" s="23">
        <v>2082.5847168814398</v>
      </c>
      <c r="M19" s="23">
        <v>1053.190592900909</v>
      </c>
      <c r="N19" s="23">
        <v>2786.1183211678822</v>
      </c>
      <c r="O19" s="23">
        <v>3214.8999999999996</v>
      </c>
      <c r="P19" s="23">
        <v>2747.2834280371571</v>
      </c>
      <c r="Q19" s="23">
        <v>2202.0000000000005</v>
      </c>
      <c r="R19" s="23">
        <v>1918.3868909814009</v>
      </c>
      <c r="S19" s="23">
        <v>1674.1095802355503</v>
      </c>
      <c r="T19" s="23">
        <v>1765.2253467388493</v>
      </c>
      <c r="U19" s="23">
        <v>2694.2081831241699</v>
      </c>
      <c r="V19" s="23">
        <v>2716.6650254632764</v>
      </c>
      <c r="W19" s="23">
        <v>3359.913165262622</v>
      </c>
      <c r="X19" s="23">
        <v>2948.7914523231138</v>
      </c>
      <c r="Y19" s="23">
        <v>5221.5537815456255</v>
      </c>
      <c r="Z19" s="23">
        <v>3989.2383753538738</v>
      </c>
      <c r="AA19" s="23">
        <v>3433.3525300772126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56640.2</v>
      </c>
      <c r="E20" s="23">
        <v>51337.4</v>
      </c>
      <c r="F20" s="23">
        <v>52892.9</v>
      </c>
      <c r="G20" s="23">
        <v>52893.3</v>
      </c>
      <c r="H20" s="23">
        <v>53145.9</v>
      </c>
      <c r="I20" s="23">
        <v>53394.9</v>
      </c>
      <c r="J20" s="23">
        <v>56727.3</v>
      </c>
      <c r="K20" s="23">
        <v>60384.2</v>
      </c>
      <c r="L20" s="23">
        <v>54877.9</v>
      </c>
      <c r="M20" s="23">
        <v>43131.5</v>
      </c>
      <c r="N20" s="23">
        <v>55559.6</v>
      </c>
      <c r="O20" s="23">
        <v>60582.3</v>
      </c>
      <c r="P20" s="23">
        <v>60230.5</v>
      </c>
      <c r="Q20" s="23">
        <v>58767</v>
      </c>
      <c r="R20" s="23">
        <v>56824.5</v>
      </c>
      <c r="S20" s="23">
        <v>62230.3</v>
      </c>
      <c r="T20" s="23">
        <v>62685.3</v>
      </c>
      <c r="U20" s="23">
        <v>63390.8</v>
      </c>
      <c r="V20" s="23">
        <v>62541</v>
      </c>
      <c r="W20" s="23">
        <v>62522</v>
      </c>
      <c r="X20" s="23">
        <v>60505.1</v>
      </c>
      <c r="Y20" s="23">
        <v>68875.899999999994</v>
      </c>
      <c r="Z20" s="23">
        <v>74889.600000000006</v>
      </c>
      <c r="AA20" s="23">
        <v>71682.3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5131.8718477865232</v>
      </c>
      <c r="E21" s="23">
        <v>5672.7</v>
      </c>
      <c r="F21" s="23">
        <v>5829.5999999999967</v>
      </c>
      <c r="G21" s="23">
        <v>6347.0270356022002</v>
      </c>
      <c r="H21" s="23">
        <v>7421.9999999999991</v>
      </c>
      <c r="I21" s="23">
        <v>7617.4281672874731</v>
      </c>
      <c r="J21" s="23">
        <v>7907.6308773524706</v>
      </c>
      <c r="K21" s="23">
        <v>7851.7000000000044</v>
      </c>
      <c r="L21" s="23">
        <v>9581.5296856195182</v>
      </c>
      <c r="M21" s="23">
        <v>8515.1239429071593</v>
      </c>
      <c r="N21" s="23">
        <v>10629.269896758069</v>
      </c>
      <c r="O21" s="23">
        <v>11004.799999999997</v>
      </c>
      <c r="P21" s="23">
        <v>11561.830257570269</v>
      </c>
      <c r="Q21" s="23">
        <v>10988.500000000002</v>
      </c>
      <c r="R21" s="23">
        <v>10451.828578945215</v>
      </c>
      <c r="S21" s="23">
        <v>9640.1417751189911</v>
      </c>
      <c r="T21" s="23">
        <v>9324.7819128641368</v>
      </c>
      <c r="U21" s="23">
        <v>9577.8651708996276</v>
      </c>
      <c r="V21" s="23">
        <v>8940.6326143006336</v>
      </c>
      <c r="W21" s="23">
        <v>10302.912701740854</v>
      </c>
      <c r="X21" s="23">
        <v>10022.619157923071</v>
      </c>
      <c r="Y21" s="23">
        <v>12122.21346896274</v>
      </c>
      <c r="Z21" s="23">
        <v>15234.479637703378</v>
      </c>
      <c r="AA21" s="23">
        <v>11321.576311725623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1464.5205037381354</v>
      </c>
      <c r="E22" s="23">
        <v>1412.4</v>
      </c>
      <c r="F22" s="23">
        <v>1647.0999999999988</v>
      </c>
      <c r="G22" s="23">
        <v>1747.3799124027169</v>
      </c>
      <c r="H22" s="23">
        <v>1875.8999999999999</v>
      </c>
      <c r="I22" s="23">
        <v>1769.3833146305815</v>
      </c>
      <c r="J22" s="23">
        <v>1838.9839249656909</v>
      </c>
      <c r="K22" s="23">
        <v>2029.8000000000013</v>
      </c>
      <c r="L22" s="23">
        <v>1962.5855974990466</v>
      </c>
      <c r="M22" s="23">
        <v>1627.3854641919286</v>
      </c>
      <c r="N22" s="23">
        <v>1791.7117820740445</v>
      </c>
      <c r="O22" s="23">
        <v>1964.4999999999998</v>
      </c>
      <c r="P22" s="23">
        <v>2268.7863143925679</v>
      </c>
      <c r="Q22" s="23">
        <v>2421.3000000000011</v>
      </c>
      <c r="R22" s="23">
        <v>2263.884530073391</v>
      </c>
      <c r="S22" s="23">
        <v>2580.3486446454494</v>
      </c>
      <c r="T22" s="23">
        <v>2474.3927403970088</v>
      </c>
      <c r="U22" s="23">
        <v>2458.9266459762016</v>
      </c>
      <c r="V22" s="23">
        <v>2440.3023602360954</v>
      </c>
      <c r="W22" s="23">
        <v>2429.4741329965291</v>
      </c>
      <c r="X22" s="23">
        <v>2591.3893897538114</v>
      </c>
      <c r="Y22" s="23">
        <v>2997.5327494916351</v>
      </c>
      <c r="Z22" s="23">
        <v>3251.4819869427438</v>
      </c>
      <c r="AA22" s="23">
        <v>3588.2711581971621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10372.799999999999</v>
      </c>
      <c r="E23" s="23">
        <v>10575.1</v>
      </c>
      <c r="F23" s="23">
        <v>11450.7</v>
      </c>
      <c r="G23" s="23">
        <v>12113.5</v>
      </c>
      <c r="H23" s="23">
        <v>13392</v>
      </c>
      <c r="I23" s="23">
        <v>13519.2</v>
      </c>
      <c r="J23" s="23">
        <v>15519.6</v>
      </c>
      <c r="K23" s="23">
        <v>17558</v>
      </c>
      <c r="L23" s="23">
        <v>16671.3</v>
      </c>
      <c r="M23" s="23">
        <v>15588.5</v>
      </c>
      <c r="N23" s="23">
        <v>18079.900000000001</v>
      </c>
      <c r="O23" s="23">
        <v>20610.099999999999</v>
      </c>
      <c r="P23" s="23">
        <v>22058.799999999999</v>
      </c>
      <c r="Q23" s="23">
        <v>22311</v>
      </c>
      <c r="R23" s="23">
        <v>22676.400000000001</v>
      </c>
      <c r="S23" s="23">
        <v>24630.400000000001</v>
      </c>
      <c r="T23" s="23">
        <v>25840.6</v>
      </c>
      <c r="U23" s="23">
        <v>27215.9</v>
      </c>
      <c r="V23" s="23">
        <v>27098.5</v>
      </c>
      <c r="W23" s="23">
        <v>27493.599999999999</v>
      </c>
      <c r="X23" s="23">
        <v>28247.5</v>
      </c>
      <c r="Y23" s="23">
        <v>31335.7</v>
      </c>
      <c r="Z23" s="23">
        <v>32643.3</v>
      </c>
      <c r="AA23" s="23">
        <v>30856.3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26464.700000000004</v>
      </c>
      <c r="E24" s="23">
        <v>25160.7</v>
      </c>
      <c r="F24" s="23">
        <v>26822.1</v>
      </c>
      <c r="G24" s="23">
        <v>28383.9</v>
      </c>
      <c r="H24" s="23">
        <v>30396.999999999996</v>
      </c>
      <c r="I24" s="23">
        <v>31401.399999999998</v>
      </c>
      <c r="J24" s="23">
        <v>33359.700000000004</v>
      </c>
      <c r="K24" s="23">
        <v>35418.6</v>
      </c>
      <c r="L24" s="23">
        <v>35258.1</v>
      </c>
      <c r="M24" s="23">
        <v>32392.2</v>
      </c>
      <c r="N24" s="23">
        <v>38136.800000000003</v>
      </c>
      <c r="O24" s="23">
        <v>41611</v>
      </c>
      <c r="P24" s="23">
        <v>42647</v>
      </c>
      <c r="Q24" s="23">
        <v>44292.200000000012</v>
      </c>
      <c r="R24" s="23">
        <v>44883.900000000009</v>
      </c>
      <c r="S24" s="23">
        <v>45415.200000000004</v>
      </c>
      <c r="T24" s="23">
        <v>45951.8</v>
      </c>
      <c r="U24" s="23">
        <v>47566.700000000004</v>
      </c>
      <c r="V24" s="23">
        <v>44575.5</v>
      </c>
      <c r="W24" s="23">
        <v>45869.7</v>
      </c>
      <c r="X24" s="23">
        <v>47610.2</v>
      </c>
      <c r="Y24" s="23">
        <v>53881.100000000006</v>
      </c>
      <c r="Z24" s="23">
        <v>49578.399999999994</v>
      </c>
      <c r="AA24" s="23">
        <v>49889.200000000004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14790.1</v>
      </c>
      <c r="E25" s="23">
        <v>14154.3</v>
      </c>
      <c r="F25" s="23">
        <v>14733.5</v>
      </c>
      <c r="G25" s="23">
        <v>15469.1</v>
      </c>
      <c r="H25" s="23">
        <v>16017.9</v>
      </c>
      <c r="I25" s="23">
        <v>16370.9</v>
      </c>
      <c r="J25" s="23">
        <v>17197.099999999999</v>
      </c>
      <c r="K25" s="23">
        <v>18337.3</v>
      </c>
      <c r="L25" s="23">
        <v>18498.400000000001</v>
      </c>
      <c r="M25" s="23">
        <v>15397.3</v>
      </c>
      <c r="N25" s="23">
        <v>17966.099999999999</v>
      </c>
      <c r="O25" s="23">
        <v>20160.8</v>
      </c>
      <c r="P25" s="23">
        <v>21195.599999999999</v>
      </c>
      <c r="Q25" s="23">
        <v>21487.599999999999</v>
      </c>
      <c r="R25" s="23">
        <v>21030.400000000001</v>
      </c>
      <c r="S25" s="23">
        <v>21043.4</v>
      </c>
      <c r="T25" s="23">
        <v>21524.1</v>
      </c>
      <c r="U25" s="23">
        <v>22228.2</v>
      </c>
      <c r="V25" s="23">
        <v>21481.4</v>
      </c>
      <c r="W25" s="23">
        <v>21771.3</v>
      </c>
      <c r="X25" s="23">
        <v>20121.5</v>
      </c>
      <c r="Y25" s="23">
        <v>22652.9</v>
      </c>
      <c r="Z25" s="23">
        <v>24974.799999999999</v>
      </c>
      <c r="AA25" s="23">
        <v>23010.2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3594.5</v>
      </c>
      <c r="E26" s="23">
        <v>3404.5</v>
      </c>
      <c r="F26" s="23">
        <v>3554.9</v>
      </c>
      <c r="G26" s="23">
        <v>3611.5</v>
      </c>
      <c r="H26" s="23">
        <v>3712.8</v>
      </c>
      <c r="I26" s="23">
        <v>3885.9</v>
      </c>
      <c r="J26" s="23">
        <v>4174.6000000000004</v>
      </c>
      <c r="K26" s="23">
        <v>4479.8</v>
      </c>
      <c r="L26" s="23">
        <v>4423.3999999999996</v>
      </c>
      <c r="M26" s="23">
        <v>3984.9</v>
      </c>
      <c r="N26" s="23">
        <v>4793.3999999999996</v>
      </c>
      <c r="O26" s="23">
        <v>5489.7</v>
      </c>
      <c r="P26" s="23">
        <v>6199.4</v>
      </c>
      <c r="Q26" s="23">
        <v>6611.8</v>
      </c>
      <c r="R26" s="23">
        <v>6674.3</v>
      </c>
      <c r="S26" s="23">
        <v>7167</v>
      </c>
      <c r="T26" s="23">
        <v>7715.9</v>
      </c>
      <c r="U26" s="23">
        <v>7901.4</v>
      </c>
      <c r="V26" s="23">
        <v>7744.9</v>
      </c>
      <c r="W26" s="23">
        <v>7728</v>
      </c>
      <c r="X26" s="23">
        <v>4990</v>
      </c>
      <c r="Y26" s="23">
        <v>5973.6</v>
      </c>
      <c r="Z26" s="23">
        <v>8006.2</v>
      </c>
      <c r="AA26" s="23">
        <v>8331.9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14316.3</v>
      </c>
      <c r="E27" s="23">
        <v>14524</v>
      </c>
      <c r="F27" s="23">
        <v>14925.8</v>
      </c>
      <c r="G27" s="23">
        <v>15607.3</v>
      </c>
      <c r="H27" s="23">
        <v>18349.5</v>
      </c>
      <c r="I27" s="23">
        <v>18644.599999999999</v>
      </c>
      <c r="J27" s="23">
        <v>19909.2</v>
      </c>
      <c r="K27" s="23">
        <v>20467.900000000001</v>
      </c>
      <c r="L27" s="23">
        <v>20132.599999999999</v>
      </c>
      <c r="M27" s="23">
        <v>18274.099999999999</v>
      </c>
      <c r="N27" s="23">
        <v>21792.400000000001</v>
      </c>
      <c r="O27" s="23">
        <v>24084.5</v>
      </c>
      <c r="P27" s="23">
        <v>25143.7</v>
      </c>
      <c r="Q27" s="23">
        <v>26680.6</v>
      </c>
      <c r="R27" s="23">
        <v>26759.5</v>
      </c>
      <c r="S27" s="23">
        <v>29744.799999999999</v>
      </c>
      <c r="T27" s="23">
        <v>28275.599999999999</v>
      </c>
      <c r="U27" s="23">
        <v>25949</v>
      </c>
      <c r="V27" s="23">
        <v>28061.3</v>
      </c>
      <c r="W27" s="23">
        <v>31357.200000000001</v>
      </c>
      <c r="X27" s="23">
        <v>33831.5</v>
      </c>
      <c r="Y27" s="23">
        <v>38970</v>
      </c>
      <c r="Z27" s="23">
        <v>37963</v>
      </c>
      <c r="AA27" s="23">
        <v>34986.699999999997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11180.4</v>
      </c>
      <c r="E28" s="23">
        <v>10364</v>
      </c>
      <c r="F28" s="23">
        <v>9943.2000000000007</v>
      </c>
      <c r="G28" s="23">
        <v>10568</v>
      </c>
      <c r="H28" s="23">
        <v>12135.8</v>
      </c>
      <c r="I28" s="23">
        <v>12562</v>
      </c>
      <c r="J28" s="23">
        <v>11556</v>
      </c>
      <c r="K28" s="23">
        <v>12092.3</v>
      </c>
      <c r="L28" s="23">
        <v>11901.9</v>
      </c>
      <c r="M28" s="23">
        <v>12612.6</v>
      </c>
      <c r="N28" s="23">
        <v>13394.7</v>
      </c>
      <c r="O28" s="23">
        <v>15278.1</v>
      </c>
      <c r="P28" s="23">
        <v>16820.900000000001</v>
      </c>
      <c r="Q28" s="23">
        <v>17833</v>
      </c>
      <c r="R28" s="23">
        <v>18044.3</v>
      </c>
      <c r="S28" s="23">
        <v>19077</v>
      </c>
      <c r="T28" s="23">
        <v>18102.2</v>
      </c>
      <c r="U28" s="23">
        <v>17011.599999999999</v>
      </c>
      <c r="V28" s="23">
        <v>16008.5</v>
      </c>
      <c r="W28" s="23">
        <v>15685.7</v>
      </c>
      <c r="X28" s="23">
        <v>18123.2</v>
      </c>
      <c r="Y28" s="23">
        <v>20459</v>
      </c>
      <c r="Z28" s="23">
        <v>21026.3</v>
      </c>
      <c r="AA28" s="23">
        <v>21481.5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25067.5</v>
      </c>
      <c r="E29" s="23">
        <v>22818.400000000001</v>
      </c>
      <c r="F29" s="23">
        <v>24142.2</v>
      </c>
      <c r="G29" s="23">
        <v>25045.7</v>
      </c>
      <c r="H29" s="23">
        <v>24211.599999999999</v>
      </c>
      <c r="I29" s="23">
        <v>24543.4</v>
      </c>
      <c r="J29" s="23">
        <v>26817.599999999999</v>
      </c>
      <c r="K29" s="23">
        <v>27736.5</v>
      </c>
      <c r="L29" s="23">
        <v>28764.799999999999</v>
      </c>
      <c r="M29" s="23">
        <v>26082</v>
      </c>
      <c r="N29" s="23">
        <v>28472.799999999999</v>
      </c>
      <c r="O29" s="23">
        <v>31658.799999999999</v>
      </c>
      <c r="P29" s="23">
        <v>33157.9</v>
      </c>
      <c r="Q29" s="23">
        <v>34521.599999999999</v>
      </c>
      <c r="R29" s="23">
        <v>34374.199999999997</v>
      </c>
      <c r="S29" s="23">
        <v>33247.800000000003</v>
      </c>
      <c r="T29" s="23">
        <v>34404.300000000003</v>
      </c>
      <c r="U29" s="23">
        <v>36203.699999999997</v>
      </c>
      <c r="V29" s="23">
        <v>36015.300000000003</v>
      </c>
      <c r="W29" s="23">
        <v>37105.5</v>
      </c>
      <c r="X29" s="23">
        <v>38159</v>
      </c>
      <c r="Y29" s="23">
        <v>39473.9</v>
      </c>
      <c r="Z29" s="23">
        <v>37719.300000000003</v>
      </c>
      <c r="AA29" s="23">
        <v>41553.699999999997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14609.3</v>
      </c>
      <c r="E30" s="23">
        <v>14006.5</v>
      </c>
      <c r="F30" s="23">
        <v>14601.4</v>
      </c>
      <c r="G30" s="23">
        <v>14932.7</v>
      </c>
      <c r="H30" s="23">
        <v>16334.8</v>
      </c>
      <c r="I30" s="23">
        <v>16940.900000000001</v>
      </c>
      <c r="J30" s="23">
        <v>19585.199999999997</v>
      </c>
      <c r="K30" s="23">
        <v>21768.5</v>
      </c>
      <c r="L30" s="23">
        <v>20960.5</v>
      </c>
      <c r="M30" s="23">
        <v>17898.8</v>
      </c>
      <c r="N30" s="23">
        <v>22075.4</v>
      </c>
      <c r="O30" s="23">
        <v>24873.9</v>
      </c>
      <c r="P30" s="23">
        <v>26771.199999999997</v>
      </c>
      <c r="Q30" s="23">
        <v>28954.6</v>
      </c>
      <c r="R30" s="23">
        <v>28978.200000000004</v>
      </c>
      <c r="S30" s="23">
        <v>29858.5</v>
      </c>
      <c r="T30" s="23">
        <v>31300</v>
      </c>
      <c r="U30" s="23">
        <v>33023.9</v>
      </c>
      <c r="V30" s="23">
        <v>32396</v>
      </c>
      <c r="W30" s="23">
        <v>33040.600000000006</v>
      </c>
      <c r="X30" s="23">
        <v>34313.899999999994</v>
      </c>
      <c r="Y30" s="23">
        <v>36950</v>
      </c>
      <c r="Z30" s="23">
        <v>39585.899999999994</v>
      </c>
      <c r="AA30" s="23">
        <v>40252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6635</v>
      </c>
      <c r="E31" s="23">
        <v>6699.2</v>
      </c>
      <c r="F31" s="23">
        <v>6857.9</v>
      </c>
      <c r="G31" s="23">
        <v>7305.5</v>
      </c>
      <c r="H31" s="23">
        <v>7436.3</v>
      </c>
      <c r="I31" s="23">
        <v>7771</v>
      </c>
      <c r="J31" s="23">
        <v>8831.9</v>
      </c>
      <c r="K31" s="23">
        <v>9658.6</v>
      </c>
      <c r="L31" s="23">
        <v>10045.6</v>
      </c>
      <c r="M31" s="23">
        <v>8630.2999999999993</v>
      </c>
      <c r="N31" s="23">
        <v>10591</v>
      </c>
      <c r="O31" s="23">
        <v>12246.6</v>
      </c>
      <c r="P31" s="23">
        <v>12763.5</v>
      </c>
      <c r="Q31" s="23">
        <v>13065.4</v>
      </c>
      <c r="R31" s="23">
        <v>12972.6</v>
      </c>
      <c r="S31" s="23">
        <v>13847.1</v>
      </c>
      <c r="T31" s="23">
        <v>14812.9</v>
      </c>
      <c r="U31" s="23">
        <v>15499.9</v>
      </c>
      <c r="V31" s="23">
        <v>15381.5</v>
      </c>
      <c r="W31" s="23">
        <v>14993.8</v>
      </c>
      <c r="X31" s="23">
        <v>14082.3</v>
      </c>
      <c r="Y31" s="23">
        <v>15928</v>
      </c>
      <c r="Z31" s="23">
        <v>17479.7</v>
      </c>
      <c r="AA31" s="23">
        <v>17493.599999999999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12156.300000000017</v>
      </c>
      <c r="E32" s="23">
        <v>11033.999999999985</v>
      </c>
      <c r="F32" s="23">
        <v>11575.100000000013</v>
      </c>
      <c r="G32" s="23">
        <v>12164.499999999985</v>
      </c>
      <c r="H32" s="23">
        <v>12369.799999999988</v>
      </c>
      <c r="I32" s="23">
        <v>12418.099999999977</v>
      </c>
      <c r="J32" s="23">
        <v>13321.099999999999</v>
      </c>
      <c r="K32" s="23">
        <v>13786.300000000003</v>
      </c>
      <c r="L32" s="23">
        <v>13374.500000000029</v>
      </c>
      <c r="M32" s="23">
        <v>12307.899999999943</v>
      </c>
      <c r="N32" s="23">
        <v>14248.100000000006</v>
      </c>
      <c r="O32" s="23">
        <v>15263.499999999985</v>
      </c>
      <c r="P32" s="23">
        <v>16636.800000000003</v>
      </c>
      <c r="Q32" s="23">
        <v>17225.599999999962</v>
      </c>
      <c r="R32" s="23">
        <v>16965.000000000015</v>
      </c>
      <c r="S32" s="23">
        <v>16883.000000000029</v>
      </c>
      <c r="T32" s="23">
        <v>17321.899999999965</v>
      </c>
      <c r="U32" s="23">
        <v>17881.700000000041</v>
      </c>
      <c r="V32" s="23">
        <v>17744.000000000029</v>
      </c>
      <c r="W32" s="23">
        <v>17721.399999999965</v>
      </c>
      <c r="X32" s="23">
        <v>18380.100000000006</v>
      </c>
      <c r="Y32" s="23">
        <v>20246.299999999945</v>
      </c>
      <c r="Z32" s="23">
        <v>20678.600000000035</v>
      </c>
      <c r="AA32" s="23">
        <v>20867.300000000003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14271.2</v>
      </c>
      <c r="E33" s="23">
        <v>13803.7</v>
      </c>
      <c r="F33" s="23">
        <v>14581</v>
      </c>
      <c r="G33" s="23">
        <v>15727.1</v>
      </c>
      <c r="H33" s="23">
        <v>16135.6</v>
      </c>
      <c r="I33" s="23">
        <v>16336</v>
      </c>
      <c r="J33" s="23">
        <v>17010.2</v>
      </c>
      <c r="K33" s="23">
        <v>17732.3</v>
      </c>
      <c r="L33" s="23">
        <v>17599.8</v>
      </c>
      <c r="M33" s="23">
        <v>16353.5</v>
      </c>
      <c r="N33" s="23">
        <v>18492.2</v>
      </c>
      <c r="O33" s="23">
        <v>20346.7</v>
      </c>
      <c r="P33" s="23">
        <v>21634.7</v>
      </c>
      <c r="Q33" s="23">
        <v>22335.4</v>
      </c>
      <c r="R33" s="23">
        <v>22120.2</v>
      </c>
      <c r="S33" s="23">
        <v>22628.1</v>
      </c>
      <c r="T33" s="23">
        <v>23866.799999999999</v>
      </c>
      <c r="U33" s="23">
        <v>25013.4</v>
      </c>
      <c r="V33" s="23">
        <v>24636</v>
      </c>
      <c r="W33" s="23">
        <v>24872.5</v>
      </c>
      <c r="X33" s="23">
        <v>25481.200000000001</v>
      </c>
      <c r="Y33" s="23">
        <v>27637.1</v>
      </c>
      <c r="Z33" s="23">
        <v>27503.5</v>
      </c>
      <c r="AA33" s="23">
        <v>27849.3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24620.799999999999</v>
      </c>
      <c r="E34" s="23">
        <v>23696.6</v>
      </c>
      <c r="F34" s="23">
        <v>26102.1</v>
      </c>
      <c r="G34" s="23">
        <v>27718.2</v>
      </c>
      <c r="H34" s="23">
        <v>28554.400000000001</v>
      </c>
      <c r="I34" s="23">
        <v>29105</v>
      </c>
      <c r="J34" s="23">
        <v>30478.2</v>
      </c>
      <c r="K34" s="23">
        <v>32284.5</v>
      </c>
      <c r="L34" s="23">
        <v>32654.2</v>
      </c>
      <c r="M34" s="23">
        <v>30482.6</v>
      </c>
      <c r="N34" s="23">
        <v>35016.400000000001</v>
      </c>
      <c r="O34" s="23">
        <v>38659.1</v>
      </c>
      <c r="P34" s="23">
        <v>41057</v>
      </c>
      <c r="Q34" s="23">
        <v>43014.400000000001</v>
      </c>
      <c r="R34" s="23">
        <v>42902.5</v>
      </c>
      <c r="S34" s="23">
        <v>44316</v>
      </c>
      <c r="T34" s="23">
        <v>47007.7</v>
      </c>
      <c r="U34" s="23">
        <v>47730.7</v>
      </c>
      <c r="V34" s="23">
        <v>46180.1</v>
      </c>
      <c r="W34" s="23">
        <v>45861.5</v>
      </c>
      <c r="X34" s="23">
        <v>47017.2</v>
      </c>
      <c r="Y34" s="23">
        <v>51389.1</v>
      </c>
      <c r="Z34" s="23">
        <v>50237.5</v>
      </c>
      <c r="AA34" s="23">
        <v>50657.4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2922.7</v>
      </c>
      <c r="E35" s="23">
        <v>2839.2</v>
      </c>
      <c r="F35" s="23">
        <v>3054.2999999999997</v>
      </c>
      <c r="G35" s="23">
        <v>3277.7000000000003</v>
      </c>
      <c r="H35" s="23">
        <v>3428.7000000000007</v>
      </c>
      <c r="I35" s="23">
        <v>3526.0000000000009</v>
      </c>
      <c r="J35" s="23">
        <v>3894</v>
      </c>
      <c r="K35" s="23">
        <v>4029.9000000000005</v>
      </c>
      <c r="L35" s="23">
        <v>4006.3999999999996</v>
      </c>
      <c r="M35" s="23">
        <v>3687</v>
      </c>
      <c r="N35" s="23">
        <v>4209.2000000000007</v>
      </c>
      <c r="O35" s="23">
        <v>4691.3999999999996</v>
      </c>
      <c r="P35" s="23">
        <v>5035.7</v>
      </c>
      <c r="Q35" s="23">
        <v>5364.7000000000007</v>
      </c>
      <c r="R35" s="23">
        <v>5185.0999999999995</v>
      </c>
      <c r="S35" s="23">
        <v>5242</v>
      </c>
      <c r="T35" s="23">
        <v>5346.0999999999995</v>
      </c>
      <c r="U35" s="23">
        <v>5624.6</v>
      </c>
      <c r="V35" s="23">
        <v>5469.7</v>
      </c>
      <c r="W35" s="23">
        <v>5898.6</v>
      </c>
      <c r="X35" s="23">
        <v>5345.3</v>
      </c>
      <c r="Y35" s="23">
        <v>5899.8</v>
      </c>
      <c r="Z35" s="23">
        <v>7107.3000000000011</v>
      </c>
      <c r="AA35" s="23">
        <v>7323.5999999999995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3634</v>
      </c>
      <c r="E36" s="23">
        <v>3570</v>
      </c>
      <c r="F36" s="23">
        <v>3851.9</v>
      </c>
      <c r="G36" s="23">
        <v>3979.4</v>
      </c>
      <c r="H36" s="23">
        <v>4203</v>
      </c>
      <c r="I36" s="23">
        <v>4359.3999999999996</v>
      </c>
      <c r="J36" s="23">
        <v>4574.8</v>
      </c>
      <c r="K36" s="23">
        <v>4816.1000000000004</v>
      </c>
      <c r="L36" s="23">
        <v>4799.3999999999996</v>
      </c>
      <c r="M36" s="23">
        <v>4294.3999999999996</v>
      </c>
      <c r="N36" s="23">
        <v>5089.8999999999996</v>
      </c>
      <c r="O36" s="23">
        <v>5623.4</v>
      </c>
      <c r="P36" s="23">
        <v>5940.2</v>
      </c>
      <c r="Q36" s="23">
        <v>6179.7</v>
      </c>
      <c r="R36" s="23">
        <v>6071.4</v>
      </c>
      <c r="S36" s="23">
        <v>6275.2</v>
      </c>
      <c r="T36" s="23">
        <v>6455.2</v>
      </c>
      <c r="U36" s="23">
        <v>6572.6</v>
      </c>
      <c r="V36" s="23">
        <v>6334.7</v>
      </c>
      <c r="W36" s="23">
        <v>6276.4</v>
      </c>
      <c r="X36" s="23">
        <v>6159.8</v>
      </c>
      <c r="Y36" s="23">
        <v>6790.4</v>
      </c>
      <c r="Z36" s="23">
        <v>6370.5</v>
      </c>
      <c r="AA36" s="23">
        <v>6342.5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41.8</v>
      </c>
      <c r="E37" s="23">
        <v>43.2</v>
      </c>
      <c r="F37" s="23">
        <v>48.2</v>
      </c>
      <c r="G37" s="23">
        <v>55.7</v>
      </c>
      <c r="H37" s="23">
        <v>66.400000000000006</v>
      </c>
      <c r="I37" s="23">
        <v>75.2</v>
      </c>
      <c r="J37" s="23">
        <v>87.2</v>
      </c>
      <c r="K37" s="23">
        <v>99.7</v>
      </c>
      <c r="L37" s="23">
        <v>106.1</v>
      </c>
      <c r="M37" s="23">
        <v>98.3</v>
      </c>
      <c r="N37" s="23">
        <v>112.9</v>
      </c>
      <c r="O37" s="23">
        <v>127.5</v>
      </c>
      <c r="P37" s="23">
        <v>144.5</v>
      </c>
      <c r="Q37" s="23">
        <v>173.8</v>
      </c>
      <c r="R37" s="23">
        <v>194.3</v>
      </c>
      <c r="S37" s="23">
        <v>172.3</v>
      </c>
      <c r="T37" s="23">
        <v>212</v>
      </c>
      <c r="U37" s="23">
        <v>209.9</v>
      </c>
      <c r="V37" s="23">
        <v>238.9</v>
      </c>
      <c r="W37" s="23">
        <v>239</v>
      </c>
      <c r="X37" s="23">
        <v>250.6</v>
      </c>
      <c r="Y37" s="23">
        <v>279.2</v>
      </c>
      <c r="Z37" s="23">
        <v>249.4</v>
      </c>
      <c r="AA37" s="23">
        <v>312.8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253550.9</v>
      </c>
      <c r="E39" s="30">
        <f t="shared" ref="E39:Y39" si="2">SUM(E18:E38)</f>
        <v>240467.00000000003</v>
      </c>
      <c r="F39" s="30">
        <f t="shared" si="2"/>
        <v>252113.4</v>
      </c>
      <c r="G39" s="30">
        <f t="shared" si="2"/>
        <v>262619.30000000005</v>
      </c>
      <c r="H39" s="30">
        <f t="shared" si="2"/>
        <v>275203.8</v>
      </c>
      <c r="I39" s="30">
        <f t="shared" si="2"/>
        <v>279117.3</v>
      </c>
      <c r="J39" s="30">
        <f t="shared" si="2"/>
        <v>298661.90000000008</v>
      </c>
      <c r="K39" s="30">
        <f t="shared" si="2"/>
        <v>317464.99999999994</v>
      </c>
      <c r="L39" s="30">
        <f t="shared" si="2"/>
        <v>312144.90000000002</v>
      </c>
      <c r="M39" s="30">
        <f t="shared" si="2"/>
        <v>275978.09999999992</v>
      </c>
      <c r="N39" s="30">
        <f t="shared" si="2"/>
        <v>328308.30000000005</v>
      </c>
      <c r="O39" s="30">
        <f t="shared" si="2"/>
        <v>363283.5</v>
      </c>
      <c r="P39" s="30">
        <f t="shared" si="2"/>
        <v>379375</v>
      </c>
      <c r="Q39" s="30">
        <f t="shared" si="2"/>
        <v>389842.60000000009</v>
      </c>
      <c r="R39" s="30">
        <f t="shared" si="2"/>
        <v>386743.3</v>
      </c>
      <c r="S39" s="30">
        <f t="shared" si="2"/>
        <v>401567.19999999995</v>
      </c>
      <c r="T39" s="30">
        <f t="shared" si="2"/>
        <v>410330.5</v>
      </c>
      <c r="U39" s="30">
        <f t="shared" si="2"/>
        <v>420027.70000000013</v>
      </c>
      <c r="V39" s="30">
        <f t="shared" si="2"/>
        <v>411827.20000000007</v>
      </c>
      <c r="W39" s="30">
        <f t="shared" si="2"/>
        <v>420490.69999999995</v>
      </c>
      <c r="X39" s="30">
        <f t="shared" si="2"/>
        <v>423900.4</v>
      </c>
      <c r="Y39" s="30">
        <f t="shared" si="2"/>
        <v>473274.09999999992</v>
      </c>
      <c r="Z39" s="30">
        <f t="shared" ref="Z39:AA39" si="3">SUM(Z18:Z38)</f>
        <v>485266.90000000008</v>
      </c>
      <c r="AA39" s="30">
        <f t="shared" si="3"/>
        <v>478096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4025.2</v>
      </c>
      <c r="E41" s="19">
        <v>3808</v>
      </c>
      <c r="F41" s="19">
        <v>4080.8</v>
      </c>
      <c r="G41" s="19">
        <v>4042.1</v>
      </c>
      <c r="H41" s="19">
        <v>4065.7</v>
      </c>
      <c r="I41" s="19">
        <v>3915.7</v>
      </c>
      <c r="J41" s="19">
        <v>4136.5</v>
      </c>
      <c r="K41" s="19">
        <v>4049.5</v>
      </c>
      <c r="L41" s="19">
        <v>3870</v>
      </c>
      <c r="M41" s="19">
        <v>3803.2</v>
      </c>
      <c r="N41" s="19">
        <v>4291.8</v>
      </c>
      <c r="O41" s="19">
        <v>4655.1000000000004</v>
      </c>
      <c r="P41" s="19">
        <v>4517.8</v>
      </c>
      <c r="Q41" s="19">
        <v>4818.6000000000004</v>
      </c>
      <c r="R41" s="19">
        <v>4556.7</v>
      </c>
      <c r="S41" s="19">
        <v>4651.7</v>
      </c>
      <c r="T41" s="19">
        <v>4752.6000000000004</v>
      </c>
      <c r="U41" s="19">
        <v>4658.2</v>
      </c>
      <c r="V41" s="19">
        <v>4630.7</v>
      </c>
      <c r="W41" s="19">
        <v>4498.5</v>
      </c>
      <c r="X41" s="19">
        <v>4826.3</v>
      </c>
      <c r="Y41" s="19">
        <v>4922.8999999999996</v>
      </c>
      <c r="Z41" s="19">
        <v>4452.6000000000004</v>
      </c>
      <c r="AA41" s="19">
        <v>3814.2720000022518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646.4</v>
      </c>
      <c r="E42" s="23">
        <v>613.1</v>
      </c>
      <c r="F42" s="23">
        <v>626.9</v>
      </c>
      <c r="G42" s="23">
        <v>609.29999999999995</v>
      </c>
      <c r="H42" s="23">
        <v>587.70000000000005</v>
      </c>
      <c r="I42" s="23">
        <v>555.9</v>
      </c>
      <c r="J42" s="23">
        <v>548.20000000000005</v>
      </c>
      <c r="K42" s="23">
        <v>567.6</v>
      </c>
      <c r="L42" s="23">
        <v>522.70000000000005</v>
      </c>
      <c r="M42" s="23">
        <v>409.7</v>
      </c>
      <c r="N42" s="23">
        <v>469.8</v>
      </c>
      <c r="O42" s="23">
        <v>463.6</v>
      </c>
      <c r="P42" s="23">
        <v>465.3</v>
      </c>
      <c r="Q42" s="23">
        <v>462.9</v>
      </c>
      <c r="R42" s="23">
        <v>459.2</v>
      </c>
      <c r="S42" s="23">
        <v>490.3</v>
      </c>
      <c r="T42" s="23">
        <v>486.4</v>
      </c>
      <c r="U42" s="23">
        <v>496.1</v>
      </c>
      <c r="V42" s="23">
        <v>458.2</v>
      </c>
      <c r="W42" s="23">
        <v>465.7</v>
      </c>
      <c r="X42" s="23">
        <v>436.9</v>
      </c>
      <c r="Y42" s="23">
        <v>470.3</v>
      </c>
      <c r="Z42" s="23">
        <v>506.9</v>
      </c>
      <c r="AA42" s="23">
        <v>478.80461143777256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8912.7999999999993</v>
      </c>
      <c r="E43" s="23">
        <v>8388.7999999999993</v>
      </c>
      <c r="F43" s="23">
        <v>8095.3</v>
      </c>
      <c r="G43" s="23">
        <v>8039</v>
      </c>
      <c r="H43" s="23">
        <v>7578.8</v>
      </c>
      <c r="I43" s="23">
        <v>7665</v>
      </c>
      <c r="J43" s="23">
        <v>7896.6</v>
      </c>
      <c r="K43" s="23">
        <v>8338.9</v>
      </c>
      <c r="L43" s="23">
        <v>6707.4</v>
      </c>
      <c r="M43" s="23">
        <v>5830.2</v>
      </c>
      <c r="N43" s="23">
        <v>6976.4</v>
      </c>
      <c r="O43" s="23">
        <v>7034.6</v>
      </c>
      <c r="P43" s="23">
        <v>6924.1</v>
      </c>
      <c r="Q43" s="23">
        <v>6766.5</v>
      </c>
      <c r="R43" s="23">
        <v>7185.4</v>
      </c>
      <c r="S43" s="23">
        <v>7326.9</v>
      </c>
      <c r="T43" s="23">
        <v>7006</v>
      </c>
      <c r="U43" s="23">
        <v>7260</v>
      </c>
      <c r="V43" s="23">
        <v>7624.3</v>
      </c>
      <c r="W43" s="23">
        <v>6935.3</v>
      </c>
      <c r="X43" s="23">
        <v>6665.8</v>
      </c>
      <c r="Y43" s="23">
        <v>9484.6</v>
      </c>
      <c r="Z43" s="23">
        <v>10361</v>
      </c>
      <c r="AA43" s="23">
        <v>9852.7026840623985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446.1</v>
      </c>
      <c r="E44" s="23">
        <v>430.9</v>
      </c>
      <c r="F44" s="23">
        <v>225</v>
      </c>
      <c r="G44" s="23">
        <v>384.6</v>
      </c>
      <c r="H44" s="23">
        <v>335.1</v>
      </c>
      <c r="I44" s="23">
        <v>405.9</v>
      </c>
      <c r="J44" s="23">
        <v>470.2</v>
      </c>
      <c r="K44" s="23">
        <v>593.1</v>
      </c>
      <c r="L44" s="23">
        <v>748</v>
      </c>
      <c r="M44" s="23">
        <v>918.3</v>
      </c>
      <c r="N44" s="23">
        <v>663.6</v>
      </c>
      <c r="O44" s="23">
        <v>822.3</v>
      </c>
      <c r="P44" s="23">
        <v>964.8</v>
      </c>
      <c r="Q44" s="23">
        <v>1150.5999999999999</v>
      </c>
      <c r="R44" s="23">
        <v>1234.7</v>
      </c>
      <c r="S44" s="23">
        <v>850.8</v>
      </c>
      <c r="T44" s="23">
        <v>737.9</v>
      </c>
      <c r="U44" s="23">
        <v>924.2</v>
      </c>
      <c r="V44" s="23">
        <v>695</v>
      </c>
      <c r="W44" s="23">
        <v>588.79999999999995</v>
      </c>
      <c r="X44" s="23">
        <v>25.3</v>
      </c>
      <c r="Y44" s="23">
        <v>807.8</v>
      </c>
      <c r="Z44" s="23">
        <v>2047.4</v>
      </c>
      <c r="AA44" s="23">
        <v>2462.2646553023715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6302.4000000000005</v>
      </c>
      <c r="E45" s="23">
        <v>6382.1051371579779</v>
      </c>
      <c r="F45" s="23">
        <v>6767.2510721682065</v>
      </c>
      <c r="G45" s="23">
        <v>6577.8991197129744</v>
      </c>
      <c r="H45" s="23">
        <v>6450.4984019277335</v>
      </c>
      <c r="I45" s="23">
        <v>6674.7771292210946</v>
      </c>
      <c r="J45" s="23">
        <v>6878.4609117046193</v>
      </c>
      <c r="K45" s="23">
        <v>6805.7768389370167</v>
      </c>
      <c r="L45" s="23">
        <v>6293.4005394340411</v>
      </c>
      <c r="M45" s="23">
        <v>6591.0533104312162</v>
      </c>
      <c r="N45" s="23">
        <v>7098.5198555788411</v>
      </c>
      <c r="O45" s="23">
        <v>7014.1145725552278</v>
      </c>
      <c r="P45" s="23">
        <v>7076.2114041100012</v>
      </c>
      <c r="Q45" s="23">
        <v>6645.8542864913652</v>
      </c>
      <c r="R45" s="23">
        <v>5885.0702320828668</v>
      </c>
      <c r="S45" s="23">
        <v>6561.9834285865236</v>
      </c>
      <c r="T45" s="23">
        <v>6268.9682148634574</v>
      </c>
      <c r="U45" s="23">
        <v>6007.5099609537747</v>
      </c>
      <c r="V45" s="23">
        <v>6041.5546080826216</v>
      </c>
      <c r="W45" s="23">
        <v>6649.4922897012011</v>
      </c>
      <c r="X45" s="23">
        <v>6976.1626607053022</v>
      </c>
      <c r="Y45" s="23">
        <v>6890.9559607884403</v>
      </c>
      <c r="Z45" s="23">
        <v>8240.7136724741158</v>
      </c>
      <c r="AA45" s="23">
        <v>8199.1697302515458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1575.5999999999995</v>
      </c>
      <c r="E46" s="23">
        <v>1649.6948628420178</v>
      </c>
      <c r="F46" s="23">
        <v>2022.2489278317862</v>
      </c>
      <c r="G46" s="23">
        <v>1836.1008802870183</v>
      </c>
      <c r="H46" s="23">
        <v>1714.1015980722577</v>
      </c>
      <c r="I46" s="23">
        <v>1930.6228707789069</v>
      </c>
      <c r="J46" s="23">
        <v>2134.239088295385</v>
      </c>
      <c r="K46" s="23">
        <v>2060.8231610629746</v>
      </c>
      <c r="L46" s="23">
        <v>1567.2994605659633</v>
      </c>
      <c r="M46" s="23">
        <v>1848.8466895687852</v>
      </c>
      <c r="N46" s="23">
        <v>2361.5801444211647</v>
      </c>
      <c r="O46" s="23">
        <v>2273.4854274447634</v>
      </c>
      <c r="P46" s="23">
        <v>2338.1885958900002</v>
      </c>
      <c r="Q46" s="23">
        <v>1902.2457135086406</v>
      </c>
      <c r="R46" s="23">
        <v>1204.8297679171346</v>
      </c>
      <c r="S46" s="23">
        <v>1820.7165714134881</v>
      </c>
      <c r="T46" s="23">
        <v>1544.8317851365455</v>
      </c>
      <c r="U46" s="23">
        <v>1310.5900390462239</v>
      </c>
      <c r="V46" s="23">
        <v>1340.4453919173857</v>
      </c>
      <c r="W46" s="23">
        <v>1905.8077102987945</v>
      </c>
      <c r="X46" s="23">
        <v>2234.2373392947065</v>
      </c>
      <c r="Y46" s="23">
        <v>2146.9440392115612</v>
      </c>
      <c r="Z46" s="23">
        <v>3660.2863275258842</v>
      </c>
      <c r="AA46" s="23">
        <v>4837.9733439911333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2561.3000000000002</v>
      </c>
      <c r="E47" s="23">
        <v>2438.3000000000002</v>
      </c>
      <c r="F47" s="23">
        <v>2557</v>
      </c>
      <c r="G47" s="23">
        <v>2603</v>
      </c>
      <c r="H47" s="23">
        <v>2533.6</v>
      </c>
      <c r="I47" s="23">
        <v>2540.5</v>
      </c>
      <c r="J47" s="23">
        <v>2761.3</v>
      </c>
      <c r="K47" s="23">
        <v>3107.8</v>
      </c>
      <c r="L47" s="23">
        <v>2912.8</v>
      </c>
      <c r="M47" s="23">
        <v>2207.6</v>
      </c>
      <c r="N47" s="23">
        <v>2887</v>
      </c>
      <c r="O47" s="23">
        <v>3451.8</v>
      </c>
      <c r="P47" s="23">
        <v>3481.9</v>
      </c>
      <c r="Q47" s="23">
        <v>3209</v>
      </c>
      <c r="R47" s="23">
        <v>3153</v>
      </c>
      <c r="S47" s="23">
        <v>3288.2</v>
      </c>
      <c r="T47" s="23">
        <v>3247.9</v>
      </c>
      <c r="U47" s="23">
        <v>3397.5</v>
      </c>
      <c r="V47" s="23">
        <v>3103</v>
      </c>
      <c r="W47" s="23">
        <v>3154.8</v>
      </c>
      <c r="X47" s="23">
        <v>3295.1</v>
      </c>
      <c r="Y47" s="23">
        <v>3394.2</v>
      </c>
      <c r="Z47" s="23">
        <v>3342.6</v>
      </c>
      <c r="AA47" s="23">
        <v>3018.0072293302969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6872.8</v>
      </c>
      <c r="E48" s="23">
        <v>6395.6</v>
      </c>
      <c r="F48" s="23">
        <v>6491.1</v>
      </c>
      <c r="G48" s="23">
        <v>6384.3</v>
      </c>
      <c r="H48" s="23">
        <v>6896.7</v>
      </c>
      <c r="I48" s="23">
        <v>7223.6</v>
      </c>
      <c r="J48" s="23">
        <v>7676.7</v>
      </c>
      <c r="K48" s="23">
        <v>9043.6</v>
      </c>
      <c r="L48" s="23">
        <v>8000.2</v>
      </c>
      <c r="M48" s="23">
        <v>4790.5</v>
      </c>
      <c r="N48" s="23">
        <v>7607.9</v>
      </c>
      <c r="O48" s="23">
        <v>8150</v>
      </c>
      <c r="P48" s="23">
        <v>8524.4</v>
      </c>
      <c r="Q48" s="23">
        <v>8853.7000000000007</v>
      </c>
      <c r="R48" s="23">
        <v>8598.1</v>
      </c>
      <c r="S48" s="23">
        <v>8422.6</v>
      </c>
      <c r="T48" s="23">
        <v>8691.9</v>
      </c>
      <c r="U48" s="23">
        <v>8854</v>
      </c>
      <c r="V48" s="23">
        <v>9045.4</v>
      </c>
      <c r="W48" s="23">
        <v>8963.5</v>
      </c>
      <c r="X48" s="23">
        <v>8945.7999999999993</v>
      </c>
      <c r="Y48" s="23">
        <v>10069.799999999999</v>
      </c>
      <c r="Z48" s="23">
        <v>10780.6</v>
      </c>
      <c r="AA48" s="23">
        <v>10148.83877150091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6798.2</v>
      </c>
      <c r="E49" s="23">
        <v>4069.4</v>
      </c>
      <c r="F49" s="23">
        <v>4416.6000000000004</v>
      </c>
      <c r="G49" s="23">
        <v>4024.8</v>
      </c>
      <c r="H49" s="23">
        <v>4541.2</v>
      </c>
      <c r="I49" s="23">
        <v>4070.2</v>
      </c>
      <c r="J49" s="23">
        <v>4372.3</v>
      </c>
      <c r="K49" s="23">
        <v>4489.7</v>
      </c>
      <c r="L49" s="23">
        <v>4089.4</v>
      </c>
      <c r="M49" s="23">
        <v>3025.7</v>
      </c>
      <c r="N49" s="23">
        <v>2779.6</v>
      </c>
      <c r="O49" s="23">
        <v>2363.6999999999998</v>
      </c>
      <c r="P49" s="23">
        <v>2998.8</v>
      </c>
      <c r="Q49" s="23">
        <v>2868.5</v>
      </c>
      <c r="R49" s="23">
        <v>2488.5</v>
      </c>
      <c r="S49" s="23">
        <v>2349.8000000000002</v>
      </c>
      <c r="T49" s="23">
        <v>2253.8000000000002</v>
      </c>
      <c r="U49" s="23">
        <v>2208.6999999999998</v>
      </c>
      <c r="V49" s="23">
        <v>1949.6</v>
      </c>
      <c r="W49" s="23">
        <v>2237.4</v>
      </c>
      <c r="X49" s="23">
        <v>2413.6999999999998</v>
      </c>
      <c r="Y49" s="23">
        <v>2939.4</v>
      </c>
      <c r="Z49" s="23">
        <v>3097.2</v>
      </c>
      <c r="AA49" s="23">
        <v>2892.5901834825891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2244.1999999999998</v>
      </c>
      <c r="E50" s="23">
        <v>2356</v>
      </c>
      <c r="F50" s="23">
        <v>2285.3000000000002</v>
      </c>
      <c r="G50" s="23">
        <v>2267</v>
      </c>
      <c r="H50" s="23">
        <v>2168.1</v>
      </c>
      <c r="I50" s="23">
        <v>2167.1</v>
      </c>
      <c r="J50" s="23">
        <v>2272.1999999999998</v>
      </c>
      <c r="K50" s="23">
        <v>2445.9</v>
      </c>
      <c r="L50" s="23">
        <v>2325</v>
      </c>
      <c r="M50" s="23">
        <v>1683.6</v>
      </c>
      <c r="N50" s="23">
        <v>1970.8</v>
      </c>
      <c r="O50" s="23">
        <v>2449.6999999999998</v>
      </c>
      <c r="P50" s="23">
        <v>2275.4</v>
      </c>
      <c r="Q50" s="23">
        <v>2192</v>
      </c>
      <c r="R50" s="23">
        <v>1764.4</v>
      </c>
      <c r="S50" s="23">
        <v>2459.6</v>
      </c>
      <c r="T50" s="23">
        <v>2275.8000000000002</v>
      </c>
      <c r="U50" s="23">
        <v>2351.6999999999998</v>
      </c>
      <c r="V50" s="23">
        <v>2238.6999999999998</v>
      </c>
      <c r="W50" s="23">
        <v>2073.6</v>
      </c>
      <c r="X50" s="23">
        <v>1859.3</v>
      </c>
      <c r="Y50" s="23">
        <v>2095.6</v>
      </c>
      <c r="Z50" s="23">
        <v>2235.5</v>
      </c>
      <c r="AA50" s="23">
        <v>2100.7297868305354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5737.3</v>
      </c>
      <c r="E51" s="23">
        <v>5970.7</v>
      </c>
      <c r="F51" s="23">
        <v>6352</v>
      </c>
      <c r="G51" s="23">
        <v>6341.8</v>
      </c>
      <c r="H51" s="23">
        <v>6336.3</v>
      </c>
      <c r="I51" s="23">
        <v>6805.9</v>
      </c>
      <c r="J51" s="23">
        <v>7563.8</v>
      </c>
      <c r="K51" s="23">
        <v>8286</v>
      </c>
      <c r="L51" s="23">
        <v>7741.9</v>
      </c>
      <c r="M51" s="23">
        <v>4349.2</v>
      </c>
      <c r="N51" s="23">
        <v>7408.5</v>
      </c>
      <c r="O51" s="23">
        <v>8848.2999999999993</v>
      </c>
      <c r="P51" s="23">
        <v>8785.2000000000007</v>
      </c>
      <c r="Q51" s="23">
        <v>7276.8</v>
      </c>
      <c r="R51" s="23">
        <v>7410.6</v>
      </c>
      <c r="S51" s="23">
        <v>8013.9</v>
      </c>
      <c r="T51" s="23">
        <v>8099</v>
      </c>
      <c r="U51" s="23">
        <v>9217.1</v>
      </c>
      <c r="V51" s="23">
        <v>9021.7000000000007</v>
      </c>
      <c r="W51" s="23">
        <v>8847.7000000000007</v>
      </c>
      <c r="X51" s="23">
        <v>8204.5</v>
      </c>
      <c r="Y51" s="23">
        <v>10944</v>
      </c>
      <c r="Z51" s="23">
        <v>12078.5</v>
      </c>
      <c r="AA51" s="23">
        <v>11544.997423224469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7388.1</v>
      </c>
      <c r="E52" s="23">
        <v>5726.8</v>
      </c>
      <c r="F52" s="23">
        <v>5692.3</v>
      </c>
      <c r="G52" s="23">
        <v>6396.9</v>
      </c>
      <c r="H52" s="23">
        <v>6574.3</v>
      </c>
      <c r="I52" s="23">
        <v>6013.9</v>
      </c>
      <c r="J52" s="23">
        <v>6300.6</v>
      </c>
      <c r="K52" s="23">
        <v>6606</v>
      </c>
      <c r="L52" s="23">
        <v>6405.7</v>
      </c>
      <c r="M52" s="23">
        <v>4545</v>
      </c>
      <c r="N52" s="23">
        <v>7570.3</v>
      </c>
      <c r="O52" s="23">
        <v>9289.4</v>
      </c>
      <c r="P52" s="23">
        <v>8133.8</v>
      </c>
      <c r="Q52" s="23">
        <v>9180.7999999999993</v>
      </c>
      <c r="R52" s="23">
        <v>9469.4</v>
      </c>
      <c r="S52" s="23">
        <v>12756.3</v>
      </c>
      <c r="T52" s="23">
        <v>13636.6</v>
      </c>
      <c r="U52" s="23">
        <v>13524</v>
      </c>
      <c r="V52" s="23">
        <v>13275.5</v>
      </c>
      <c r="W52" s="23">
        <v>12982.6</v>
      </c>
      <c r="X52" s="23">
        <v>11247.1</v>
      </c>
      <c r="Y52" s="23">
        <v>14628.5</v>
      </c>
      <c r="Z52" s="23">
        <v>13185.4</v>
      </c>
      <c r="AA52" s="23">
        <v>11155.297210950612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3129.8000000000029</v>
      </c>
      <c r="E53" s="23">
        <v>3108.0000000000073</v>
      </c>
      <c r="F53" s="23">
        <v>3281.1000000000058</v>
      </c>
      <c r="G53" s="23">
        <v>3386.5000000000073</v>
      </c>
      <c r="H53" s="23">
        <v>3363.8000000000029</v>
      </c>
      <c r="I53" s="23">
        <v>3425.8000000000029</v>
      </c>
      <c r="J53" s="23">
        <v>3716.1999999999971</v>
      </c>
      <c r="K53" s="23">
        <v>3989.5000000000073</v>
      </c>
      <c r="L53" s="23">
        <v>3694.0999999999985</v>
      </c>
      <c r="M53" s="23">
        <v>3128.6000000000058</v>
      </c>
      <c r="N53" s="23">
        <v>3473.7999999999884</v>
      </c>
      <c r="O53" s="23">
        <v>3766.2000000000189</v>
      </c>
      <c r="P53" s="23">
        <v>3744.5999999999913</v>
      </c>
      <c r="Q53" s="23">
        <v>3439.4999999999854</v>
      </c>
      <c r="R53" s="23">
        <v>3414.5999999999985</v>
      </c>
      <c r="S53" s="23">
        <v>3237.4999999999854</v>
      </c>
      <c r="T53" s="23">
        <v>3683.5999999999913</v>
      </c>
      <c r="U53" s="23">
        <v>3181.2000000000116</v>
      </c>
      <c r="V53" s="23">
        <v>3116.8999999999942</v>
      </c>
      <c r="W53" s="23">
        <v>3218.8000000000102</v>
      </c>
      <c r="X53" s="23">
        <v>3374.8999999999942</v>
      </c>
      <c r="Y53" s="23">
        <v>80.899999999994179</v>
      </c>
      <c r="Z53" s="23">
        <v>900.90000000000873</v>
      </c>
      <c r="AA53" s="23">
        <v>1176.6523696331278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56640.2</v>
      </c>
      <c r="E54" s="30">
        <f t="shared" ref="E54:Y54" si="4">SUM(E41:E53)</f>
        <v>51337.4</v>
      </c>
      <c r="F54" s="30">
        <f t="shared" si="4"/>
        <v>52892.9</v>
      </c>
      <c r="G54" s="30">
        <f t="shared" si="4"/>
        <v>52893.3</v>
      </c>
      <c r="H54" s="30">
        <f t="shared" si="4"/>
        <v>53145.9</v>
      </c>
      <c r="I54" s="30">
        <f t="shared" si="4"/>
        <v>53394.9</v>
      </c>
      <c r="J54" s="30">
        <f t="shared" si="4"/>
        <v>56727.3</v>
      </c>
      <c r="K54" s="30">
        <f t="shared" si="4"/>
        <v>60384.2</v>
      </c>
      <c r="L54" s="30">
        <f t="shared" si="4"/>
        <v>54877.9</v>
      </c>
      <c r="M54" s="30">
        <f t="shared" si="4"/>
        <v>43131.5</v>
      </c>
      <c r="N54" s="30">
        <f t="shared" si="4"/>
        <v>55559.6</v>
      </c>
      <c r="O54" s="30">
        <f t="shared" si="4"/>
        <v>60582.3</v>
      </c>
      <c r="P54" s="30">
        <f t="shared" si="4"/>
        <v>60230.5</v>
      </c>
      <c r="Q54" s="30">
        <f t="shared" si="4"/>
        <v>58767</v>
      </c>
      <c r="R54" s="30">
        <f t="shared" si="4"/>
        <v>56824.5</v>
      </c>
      <c r="S54" s="30">
        <f t="shared" si="4"/>
        <v>62230.3</v>
      </c>
      <c r="T54" s="30">
        <f t="shared" si="4"/>
        <v>62685.3</v>
      </c>
      <c r="U54" s="30">
        <f t="shared" si="4"/>
        <v>63390.8</v>
      </c>
      <c r="V54" s="30">
        <f t="shared" si="4"/>
        <v>62541</v>
      </c>
      <c r="W54" s="30">
        <f t="shared" si="4"/>
        <v>62522</v>
      </c>
      <c r="X54" s="30">
        <f t="shared" si="4"/>
        <v>60505.1</v>
      </c>
      <c r="Y54" s="30">
        <f t="shared" si="4"/>
        <v>68875.899999999994</v>
      </c>
      <c r="Z54" s="30">
        <f t="shared" ref="Z54:AA54" si="5">SUM(Z41:Z53)</f>
        <v>74889.600000000006</v>
      </c>
      <c r="AA54" s="30">
        <f t="shared" si="5"/>
        <v>71682.3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4025.2</v>
      </c>
      <c r="E56" s="19">
        <v>3808</v>
      </c>
      <c r="F56" s="19">
        <v>4080.8</v>
      </c>
      <c r="G56" s="19">
        <v>4042.1</v>
      </c>
      <c r="H56" s="19">
        <v>4065.7</v>
      </c>
      <c r="I56" s="19">
        <v>3915.7</v>
      </c>
      <c r="J56" s="19">
        <v>4136.5</v>
      </c>
      <c r="K56" s="19">
        <v>4049.5</v>
      </c>
      <c r="L56" s="19">
        <v>3870</v>
      </c>
      <c r="M56" s="19">
        <v>3803.2</v>
      </c>
      <c r="N56" s="19">
        <v>4291.8</v>
      </c>
      <c r="O56" s="19">
        <v>4655.1000000000004</v>
      </c>
      <c r="P56" s="19">
        <v>4517.8</v>
      </c>
      <c r="Q56" s="19">
        <v>4818.6000000000004</v>
      </c>
      <c r="R56" s="19">
        <v>4556.7</v>
      </c>
      <c r="S56" s="19">
        <v>4651.7</v>
      </c>
      <c r="T56" s="19">
        <v>4752.6000000000004</v>
      </c>
      <c r="U56" s="19">
        <v>4658.2</v>
      </c>
      <c r="V56" s="19">
        <v>4630.7</v>
      </c>
      <c r="W56" s="19">
        <v>4498.5</v>
      </c>
      <c r="X56" s="19">
        <v>4826.3</v>
      </c>
      <c r="Y56" s="19">
        <v>4922.8999999999996</v>
      </c>
      <c r="Z56" s="19">
        <v>4452.6000000000004</v>
      </c>
      <c r="AA56" s="19">
        <v>3814.2720000022518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646.4</v>
      </c>
      <c r="E57" s="23">
        <v>613.1</v>
      </c>
      <c r="F57" s="23">
        <v>626.9</v>
      </c>
      <c r="G57" s="23">
        <v>609.29999999999995</v>
      </c>
      <c r="H57" s="23">
        <v>587.70000000000005</v>
      </c>
      <c r="I57" s="23">
        <v>555.9</v>
      </c>
      <c r="J57" s="23">
        <v>548.20000000000005</v>
      </c>
      <c r="K57" s="23">
        <v>567.6</v>
      </c>
      <c r="L57" s="23">
        <v>522.70000000000005</v>
      </c>
      <c r="M57" s="23">
        <v>409.7</v>
      </c>
      <c r="N57" s="23">
        <v>469.8</v>
      </c>
      <c r="O57" s="23">
        <v>463.6</v>
      </c>
      <c r="P57" s="23">
        <v>465.3</v>
      </c>
      <c r="Q57" s="23">
        <v>462.9</v>
      </c>
      <c r="R57" s="23">
        <v>459.2</v>
      </c>
      <c r="S57" s="23">
        <v>490.3</v>
      </c>
      <c r="T57" s="23">
        <v>486.4</v>
      </c>
      <c r="U57" s="23">
        <v>496.1</v>
      </c>
      <c r="V57" s="23">
        <v>458.2</v>
      </c>
      <c r="W57" s="23">
        <v>465.7</v>
      </c>
      <c r="X57" s="23">
        <v>436.9</v>
      </c>
      <c r="Y57" s="23">
        <v>470.3</v>
      </c>
      <c r="Z57" s="23">
        <v>506.9</v>
      </c>
      <c r="AA57" s="23">
        <v>478.80461143777256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1836.1</v>
      </c>
      <c r="E58" s="23">
        <v>1717.9</v>
      </c>
      <c r="F58" s="23">
        <v>1850.1</v>
      </c>
      <c r="G58" s="23">
        <v>2033.5</v>
      </c>
      <c r="H58" s="23">
        <v>1960.4</v>
      </c>
      <c r="I58" s="23">
        <v>2466.4</v>
      </c>
      <c r="J58" s="23">
        <v>2620.6999999999998</v>
      </c>
      <c r="K58" s="23">
        <v>3033</v>
      </c>
      <c r="L58" s="23">
        <v>2092</v>
      </c>
      <c r="M58" s="23">
        <v>1813.4</v>
      </c>
      <c r="N58" s="23">
        <v>2248.5</v>
      </c>
      <c r="O58" s="23">
        <v>1988.5</v>
      </c>
      <c r="P58" s="23">
        <v>1912.9</v>
      </c>
      <c r="Q58" s="23">
        <v>2015.7</v>
      </c>
      <c r="R58" s="23">
        <v>2303.3000000000002</v>
      </c>
      <c r="S58" s="23">
        <v>2493.3000000000002</v>
      </c>
      <c r="T58" s="23">
        <v>2262.1</v>
      </c>
      <c r="U58" s="23">
        <v>2594.6</v>
      </c>
      <c r="V58" s="23">
        <v>2464.5</v>
      </c>
      <c r="W58" s="23">
        <v>2267.3000000000002</v>
      </c>
      <c r="X58" s="23">
        <v>2291.8000000000002</v>
      </c>
      <c r="Y58" s="23">
        <v>4338.5</v>
      </c>
      <c r="Z58" s="23">
        <v>3948.2</v>
      </c>
      <c r="AA58" s="23">
        <v>3390.4559554417051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5645.9</v>
      </c>
      <c r="E59" s="23">
        <v>5367.5</v>
      </c>
      <c r="F59" s="23">
        <v>4982.5</v>
      </c>
      <c r="G59" s="23">
        <v>4797</v>
      </c>
      <c r="H59" s="23">
        <v>4393.1000000000004</v>
      </c>
      <c r="I59" s="23">
        <v>4022</v>
      </c>
      <c r="J59" s="23">
        <v>4110.3999999999996</v>
      </c>
      <c r="K59" s="23">
        <v>4116.1000000000004</v>
      </c>
      <c r="L59" s="23">
        <v>3494.6</v>
      </c>
      <c r="M59" s="23">
        <v>3142.3</v>
      </c>
      <c r="N59" s="23">
        <v>3750.7</v>
      </c>
      <c r="O59" s="23">
        <v>4000.1</v>
      </c>
      <c r="P59" s="23">
        <v>3935.5</v>
      </c>
      <c r="Q59" s="23">
        <v>3800.7</v>
      </c>
      <c r="R59" s="23">
        <v>3953.2</v>
      </c>
      <c r="S59" s="23">
        <v>3961.1</v>
      </c>
      <c r="T59" s="23">
        <v>3888.8</v>
      </c>
      <c r="U59" s="23">
        <v>3957.9</v>
      </c>
      <c r="V59" s="23">
        <v>4425.3999999999996</v>
      </c>
      <c r="W59" s="23">
        <v>4070.9</v>
      </c>
      <c r="X59" s="23">
        <v>3818.2</v>
      </c>
      <c r="Y59" s="23">
        <v>4549</v>
      </c>
      <c r="Z59" s="23">
        <v>5843.5</v>
      </c>
      <c r="AA59" s="23">
        <v>5961.8465780522101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1430.7999999999993</v>
      </c>
      <c r="E60" s="23">
        <v>1303.3999999999996</v>
      </c>
      <c r="F60" s="23">
        <v>1262.6999999999998</v>
      </c>
      <c r="G60" s="23">
        <v>1208.5</v>
      </c>
      <c r="H60" s="23">
        <v>1225.3000000000002</v>
      </c>
      <c r="I60" s="23">
        <v>1176.6000000000004</v>
      </c>
      <c r="J60" s="23">
        <v>1165.5000000000009</v>
      </c>
      <c r="K60" s="23">
        <v>1189.7999999999993</v>
      </c>
      <c r="L60" s="23">
        <v>1120.7999999999993</v>
      </c>
      <c r="M60" s="23">
        <v>874.49999999999909</v>
      </c>
      <c r="N60" s="23">
        <v>977.19999999999982</v>
      </c>
      <c r="O60" s="23">
        <v>1046</v>
      </c>
      <c r="P60" s="23">
        <v>1075.7000000000007</v>
      </c>
      <c r="Q60" s="23">
        <v>950.10000000000036</v>
      </c>
      <c r="R60" s="23">
        <v>928.89999999999964</v>
      </c>
      <c r="S60" s="23">
        <v>872.5</v>
      </c>
      <c r="T60" s="23">
        <v>855.10000000000036</v>
      </c>
      <c r="U60" s="23">
        <v>707.5</v>
      </c>
      <c r="V60" s="23">
        <v>734.40000000000055</v>
      </c>
      <c r="W60" s="23">
        <v>597.09999999999945</v>
      </c>
      <c r="X60" s="23">
        <v>555.80000000000018</v>
      </c>
      <c r="Y60" s="23">
        <v>597.10000000000036</v>
      </c>
      <c r="Z60" s="23">
        <v>569.29999999999927</v>
      </c>
      <c r="AA60" s="23">
        <v>500.40015056848279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446.1</v>
      </c>
      <c r="E61" s="23">
        <v>430.9</v>
      </c>
      <c r="F61" s="23">
        <v>225</v>
      </c>
      <c r="G61" s="23">
        <v>384.6</v>
      </c>
      <c r="H61" s="23">
        <v>335.1</v>
      </c>
      <c r="I61" s="23">
        <v>405.9</v>
      </c>
      <c r="J61" s="23">
        <v>470.2</v>
      </c>
      <c r="K61" s="23">
        <v>593.1</v>
      </c>
      <c r="L61" s="23">
        <v>748</v>
      </c>
      <c r="M61" s="23">
        <v>918.3</v>
      </c>
      <c r="N61" s="23">
        <v>663.6</v>
      </c>
      <c r="O61" s="23">
        <v>822.3</v>
      </c>
      <c r="P61" s="23">
        <v>964.8</v>
      </c>
      <c r="Q61" s="23">
        <v>1150.5999999999999</v>
      </c>
      <c r="R61" s="23">
        <v>1234.7</v>
      </c>
      <c r="S61" s="23">
        <v>850.8</v>
      </c>
      <c r="T61" s="23">
        <v>737.9</v>
      </c>
      <c r="U61" s="23">
        <v>924.2</v>
      </c>
      <c r="V61" s="23">
        <v>695</v>
      </c>
      <c r="W61" s="23">
        <v>588.79999999999995</v>
      </c>
      <c r="X61" s="23">
        <v>25.3</v>
      </c>
      <c r="Y61" s="23">
        <v>807.8</v>
      </c>
      <c r="Z61" s="23">
        <v>2047.4</v>
      </c>
      <c r="AA61" s="23">
        <v>2462.2646553023715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6302.4000000000005</v>
      </c>
      <c r="E62" s="23">
        <v>6382.1051371579779</v>
      </c>
      <c r="F62" s="23">
        <v>6767.2510721682065</v>
      </c>
      <c r="G62" s="23">
        <v>6577.8991197129744</v>
      </c>
      <c r="H62" s="23">
        <v>6450.4984019277335</v>
      </c>
      <c r="I62" s="23">
        <v>6674.7771292210946</v>
      </c>
      <c r="J62" s="23">
        <v>6878.4609117046193</v>
      </c>
      <c r="K62" s="23">
        <v>6805.7768389370167</v>
      </c>
      <c r="L62" s="23">
        <v>6293.4005394340411</v>
      </c>
      <c r="M62" s="23">
        <v>6591.0533104312162</v>
      </c>
      <c r="N62" s="23">
        <v>7098.5198555788411</v>
      </c>
      <c r="O62" s="23">
        <v>7014.1145725552278</v>
      </c>
      <c r="P62" s="23">
        <v>7076.2114041100012</v>
      </c>
      <c r="Q62" s="23">
        <v>6645.8542864913652</v>
      </c>
      <c r="R62" s="23">
        <v>5885.0702320828668</v>
      </c>
      <c r="S62" s="23">
        <v>6561.9834285865236</v>
      </c>
      <c r="T62" s="23">
        <v>6268.9682148634574</v>
      </c>
      <c r="U62" s="23">
        <v>6007.5099609537747</v>
      </c>
      <c r="V62" s="23">
        <v>6041.5546080826216</v>
      </c>
      <c r="W62" s="23">
        <v>6649.4922897012011</v>
      </c>
      <c r="X62" s="23">
        <v>6976.1626607053022</v>
      </c>
      <c r="Y62" s="23">
        <v>6890.9559607884403</v>
      </c>
      <c r="Z62" s="23">
        <v>8240.7136724741158</v>
      </c>
      <c r="AA62" s="23">
        <v>8199.1697302515458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1575.5999999999995</v>
      </c>
      <c r="E63" s="23">
        <v>1649.6948628420178</v>
      </c>
      <c r="F63" s="23">
        <v>2022.2489278317862</v>
      </c>
      <c r="G63" s="23">
        <v>1836.1008802870183</v>
      </c>
      <c r="H63" s="23">
        <v>1714.1015980722577</v>
      </c>
      <c r="I63" s="23">
        <v>1930.6228707789069</v>
      </c>
      <c r="J63" s="23">
        <v>2134.239088295385</v>
      </c>
      <c r="K63" s="23">
        <v>2060.8231610629746</v>
      </c>
      <c r="L63" s="23">
        <v>1567.2994605659633</v>
      </c>
      <c r="M63" s="23">
        <v>1848.8466895687852</v>
      </c>
      <c r="N63" s="23">
        <v>2361.5801444211647</v>
      </c>
      <c r="O63" s="23">
        <v>2273.4854274447634</v>
      </c>
      <c r="P63" s="23">
        <v>2338.1885958900002</v>
      </c>
      <c r="Q63" s="23">
        <v>1902.2457135086406</v>
      </c>
      <c r="R63" s="23">
        <v>1204.8297679171346</v>
      </c>
      <c r="S63" s="23">
        <v>1820.7165714134881</v>
      </c>
      <c r="T63" s="23">
        <v>1544.8317851365455</v>
      </c>
      <c r="U63" s="23">
        <v>1310.5900390462239</v>
      </c>
      <c r="V63" s="23">
        <v>1340.4453919173857</v>
      </c>
      <c r="W63" s="23">
        <v>1905.8077102987945</v>
      </c>
      <c r="X63" s="23">
        <v>2234.2373392947065</v>
      </c>
      <c r="Y63" s="23">
        <v>2146.9440392115612</v>
      </c>
      <c r="Z63" s="23">
        <v>3660.2863275258842</v>
      </c>
      <c r="AA63" s="23">
        <v>4837.9733439911333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1583.3</v>
      </c>
      <c r="E64" s="23">
        <v>1468.5</v>
      </c>
      <c r="F64" s="23">
        <v>1537.2</v>
      </c>
      <c r="G64" s="23">
        <v>1610.4</v>
      </c>
      <c r="H64" s="23">
        <v>1528.8</v>
      </c>
      <c r="I64" s="23">
        <v>1474.7</v>
      </c>
      <c r="J64" s="23">
        <v>1600.6</v>
      </c>
      <c r="K64" s="23">
        <v>1758.6</v>
      </c>
      <c r="L64" s="23">
        <v>1559.8</v>
      </c>
      <c r="M64" s="23">
        <v>1217.9000000000001</v>
      </c>
      <c r="N64" s="23">
        <v>1577.3</v>
      </c>
      <c r="O64" s="23">
        <v>1721.6</v>
      </c>
      <c r="P64" s="23">
        <v>1678.1</v>
      </c>
      <c r="Q64" s="23">
        <v>1640.3</v>
      </c>
      <c r="R64" s="23">
        <v>1647.3</v>
      </c>
      <c r="S64" s="23">
        <v>1746.2</v>
      </c>
      <c r="T64" s="23">
        <v>1680.8</v>
      </c>
      <c r="U64" s="23">
        <v>1724</v>
      </c>
      <c r="V64" s="23">
        <v>1612.3</v>
      </c>
      <c r="W64" s="23">
        <v>1599.3</v>
      </c>
      <c r="X64" s="23">
        <v>1703.6</v>
      </c>
      <c r="Y64" s="23">
        <v>1734.9</v>
      </c>
      <c r="Z64" s="23">
        <v>1707</v>
      </c>
      <c r="AA64" s="23">
        <v>1540.9614119949579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978.00000000000023</v>
      </c>
      <c r="E65" s="23">
        <v>969.80000000000018</v>
      </c>
      <c r="F65" s="23">
        <v>1019.8</v>
      </c>
      <c r="G65" s="23">
        <v>992.59999999999991</v>
      </c>
      <c r="H65" s="23">
        <v>1004.8</v>
      </c>
      <c r="I65" s="23">
        <v>1065.8</v>
      </c>
      <c r="J65" s="23">
        <v>1160.7000000000003</v>
      </c>
      <c r="K65" s="23">
        <v>1349.2000000000003</v>
      </c>
      <c r="L65" s="23">
        <v>1353.0000000000002</v>
      </c>
      <c r="M65" s="23">
        <v>989.69999999999982</v>
      </c>
      <c r="N65" s="23">
        <v>1309.7</v>
      </c>
      <c r="O65" s="23">
        <v>1730.2000000000003</v>
      </c>
      <c r="P65" s="23">
        <v>1803.8000000000002</v>
      </c>
      <c r="Q65" s="23">
        <v>1568.7</v>
      </c>
      <c r="R65" s="23">
        <v>1505.7</v>
      </c>
      <c r="S65" s="23">
        <v>1541.9999999999998</v>
      </c>
      <c r="T65" s="23">
        <v>1567.1000000000001</v>
      </c>
      <c r="U65" s="23">
        <v>1673.5</v>
      </c>
      <c r="V65" s="23">
        <v>1490.7</v>
      </c>
      <c r="W65" s="23">
        <v>1555.5000000000002</v>
      </c>
      <c r="X65" s="23">
        <v>1591.5</v>
      </c>
      <c r="Y65" s="23">
        <v>1659.2999999999997</v>
      </c>
      <c r="Z65" s="23">
        <v>1635.6</v>
      </c>
      <c r="AA65" s="23">
        <v>1477.0458173353391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1925.9</v>
      </c>
      <c r="E66" s="23">
        <v>1877.5</v>
      </c>
      <c r="F66" s="23">
        <v>1899.6</v>
      </c>
      <c r="G66" s="23">
        <v>1863.7</v>
      </c>
      <c r="H66" s="23">
        <v>2103.6999999999998</v>
      </c>
      <c r="I66" s="23">
        <v>2217.8000000000002</v>
      </c>
      <c r="J66" s="23">
        <v>2407.4</v>
      </c>
      <c r="K66" s="23">
        <v>3210.8</v>
      </c>
      <c r="L66" s="23">
        <v>2340.9</v>
      </c>
      <c r="M66" s="23">
        <v>794.4</v>
      </c>
      <c r="N66" s="23">
        <v>2618.6999999999998</v>
      </c>
      <c r="O66" s="23">
        <v>2772.8</v>
      </c>
      <c r="P66" s="23">
        <v>2759.6</v>
      </c>
      <c r="Q66" s="23">
        <v>3031.6</v>
      </c>
      <c r="R66" s="23">
        <v>3063.4</v>
      </c>
      <c r="S66" s="23">
        <v>2960.5</v>
      </c>
      <c r="T66" s="23">
        <v>3086</v>
      </c>
      <c r="U66" s="23">
        <v>2849</v>
      </c>
      <c r="V66" s="23">
        <v>3444.6</v>
      </c>
      <c r="W66" s="23">
        <v>3404.3</v>
      </c>
      <c r="X66" s="23">
        <v>3834.7</v>
      </c>
      <c r="Y66" s="23">
        <v>3716.4</v>
      </c>
      <c r="Z66" s="23">
        <v>3936.9</v>
      </c>
      <c r="AA66" s="23">
        <v>3600.8312055829101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4946.8999999999996</v>
      </c>
      <c r="E67" s="23">
        <v>4518.1000000000004</v>
      </c>
      <c r="F67" s="23">
        <v>4591.5</v>
      </c>
      <c r="G67" s="23">
        <v>4520.6000000000004</v>
      </c>
      <c r="H67" s="23">
        <v>4793</v>
      </c>
      <c r="I67" s="23">
        <v>5005.8</v>
      </c>
      <c r="J67" s="23">
        <v>5269.2999999999993</v>
      </c>
      <c r="K67" s="23">
        <v>5832.8</v>
      </c>
      <c r="L67" s="23">
        <v>5659.2999999999993</v>
      </c>
      <c r="M67" s="23">
        <v>3996.1</v>
      </c>
      <c r="N67" s="23">
        <v>4989.2</v>
      </c>
      <c r="O67" s="23">
        <v>5377.2</v>
      </c>
      <c r="P67" s="23">
        <v>5764.7999999999993</v>
      </c>
      <c r="Q67" s="23">
        <v>5822.1</v>
      </c>
      <c r="R67" s="23">
        <v>5534.7000000000007</v>
      </c>
      <c r="S67" s="23">
        <v>5462.1</v>
      </c>
      <c r="T67" s="23">
        <v>5605.9</v>
      </c>
      <c r="U67" s="23">
        <v>6005</v>
      </c>
      <c r="V67" s="23">
        <v>5600.7999999999993</v>
      </c>
      <c r="W67" s="23">
        <v>5559.2</v>
      </c>
      <c r="X67" s="23">
        <v>5111.0999999999995</v>
      </c>
      <c r="Y67" s="23">
        <v>6353.4</v>
      </c>
      <c r="Z67" s="23">
        <v>6843.7000000000007</v>
      </c>
      <c r="AA67" s="23">
        <v>6548.0075659180002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6798.2</v>
      </c>
      <c r="E68" s="23">
        <v>4069.4</v>
      </c>
      <c r="F68" s="23">
        <v>4416.6000000000004</v>
      </c>
      <c r="G68" s="23">
        <v>4024.8</v>
      </c>
      <c r="H68" s="23">
        <v>4541.2</v>
      </c>
      <c r="I68" s="23">
        <v>4070.2</v>
      </c>
      <c r="J68" s="23">
        <v>4372.3</v>
      </c>
      <c r="K68" s="23">
        <v>4489.7</v>
      </c>
      <c r="L68" s="23">
        <v>4089.4</v>
      </c>
      <c r="M68" s="23">
        <v>3025.7</v>
      </c>
      <c r="N68" s="23">
        <v>2779.6</v>
      </c>
      <c r="O68" s="23">
        <v>2363.6999999999998</v>
      </c>
      <c r="P68" s="23">
        <v>2998.8</v>
      </c>
      <c r="Q68" s="23">
        <v>2868.5</v>
      </c>
      <c r="R68" s="23">
        <v>2488.5</v>
      </c>
      <c r="S68" s="23">
        <v>2349.8000000000002</v>
      </c>
      <c r="T68" s="23">
        <v>2253.8000000000002</v>
      </c>
      <c r="U68" s="23">
        <v>2208.6999999999998</v>
      </c>
      <c r="V68" s="23">
        <v>1949.6</v>
      </c>
      <c r="W68" s="23">
        <v>2237.4</v>
      </c>
      <c r="X68" s="23">
        <v>2413.6999999999998</v>
      </c>
      <c r="Y68" s="23">
        <v>2939.4</v>
      </c>
      <c r="Z68" s="23">
        <v>3097.2</v>
      </c>
      <c r="AA68" s="23">
        <v>2892.5901834825891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2244.1999999999998</v>
      </c>
      <c r="E69" s="23">
        <v>2356</v>
      </c>
      <c r="F69" s="23">
        <v>2285.3000000000002</v>
      </c>
      <c r="G69" s="23">
        <v>2267</v>
      </c>
      <c r="H69" s="23">
        <v>2168.1</v>
      </c>
      <c r="I69" s="23">
        <v>2167.1</v>
      </c>
      <c r="J69" s="23">
        <v>2272.1999999999998</v>
      </c>
      <c r="K69" s="23">
        <v>2445.9</v>
      </c>
      <c r="L69" s="23">
        <v>2325</v>
      </c>
      <c r="M69" s="23">
        <v>1683.6</v>
      </c>
      <c r="N69" s="23">
        <v>1970.8</v>
      </c>
      <c r="O69" s="23">
        <v>2449.6999999999998</v>
      </c>
      <c r="P69" s="23">
        <v>2275.4</v>
      </c>
      <c r="Q69" s="23">
        <v>2192</v>
      </c>
      <c r="R69" s="23">
        <v>1764.4</v>
      </c>
      <c r="S69" s="23">
        <v>2459.6</v>
      </c>
      <c r="T69" s="23">
        <v>2275.8000000000002</v>
      </c>
      <c r="U69" s="23">
        <v>2351.6999999999998</v>
      </c>
      <c r="V69" s="23">
        <v>2238.6999999999998</v>
      </c>
      <c r="W69" s="23">
        <v>2073.6</v>
      </c>
      <c r="X69" s="23">
        <v>1859.3</v>
      </c>
      <c r="Y69" s="23">
        <v>2095.6</v>
      </c>
      <c r="Z69" s="23">
        <v>2235.5</v>
      </c>
      <c r="AA69" s="23">
        <v>2100.7297868305354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5737.3</v>
      </c>
      <c r="E70" s="23">
        <v>5970.7</v>
      </c>
      <c r="F70" s="23">
        <v>6352</v>
      </c>
      <c r="G70" s="23">
        <v>6341.8</v>
      </c>
      <c r="H70" s="23">
        <v>6336.3</v>
      </c>
      <c r="I70" s="23">
        <v>6805.9</v>
      </c>
      <c r="J70" s="23">
        <v>7563.8</v>
      </c>
      <c r="K70" s="23">
        <v>8286</v>
      </c>
      <c r="L70" s="23">
        <v>7741.9</v>
      </c>
      <c r="M70" s="23">
        <v>4349.2</v>
      </c>
      <c r="N70" s="23">
        <v>7408.5</v>
      </c>
      <c r="O70" s="23">
        <v>8848.2999999999993</v>
      </c>
      <c r="P70" s="23">
        <v>8785.2000000000007</v>
      </c>
      <c r="Q70" s="23">
        <v>7276.8</v>
      </c>
      <c r="R70" s="23">
        <v>7410.6</v>
      </c>
      <c r="S70" s="23">
        <v>8013.9</v>
      </c>
      <c r="T70" s="23">
        <v>8099</v>
      </c>
      <c r="U70" s="23">
        <v>9217.1</v>
      </c>
      <c r="V70" s="23">
        <v>9021.7000000000007</v>
      </c>
      <c r="W70" s="23">
        <v>8847.7000000000007</v>
      </c>
      <c r="X70" s="23">
        <v>8204.5</v>
      </c>
      <c r="Y70" s="23">
        <v>10944</v>
      </c>
      <c r="Z70" s="23">
        <v>12078.5</v>
      </c>
      <c r="AA70" s="23">
        <v>11544.997423224469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6438.7</v>
      </c>
      <c r="E71" s="23">
        <v>4650.5</v>
      </c>
      <c r="F71" s="23">
        <v>4576.2</v>
      </c>
      <c r="G71" s="23">
        <v>5229.7</v>
      </c>
      <c r="H71" s="23">
        <v>5434.2</v>
      </c>
      <c r="I71" s="23">
        <v>4843.8999999999996</v>
      </c>
      <c r="J71" s="23">
        <v>5174.7</v>
      </c>
      <c r="K71" s="23">
        <v>5476</v>
      </c>
      <c r="L71" s="23">
        <v>5325.6</v>
      </c>
      <c r="M71" s="23">
        <v>3176.5</v>
      </c>
      <c r="N71" s="23">
        <v>6149.1</v>
      </c>
      <c r="O71" s="23">
        <v>7766.1</v>
      </c>
      <c r="P71" s="23">
        <v>6628.3</v>
      </c>
      <c r="Q71" s="23">
        <v>6742.6</v>
      </c>
      <c r="R71" s="23">
        <v>6999</v>
      </c>
      <c r="S71" s="23">
        <v>10099.5</v>
      </c>
      <c r="T71" s="23">
        <v>11073.3</v>
      </c>
      <c r="U71" s="23">
        <v>10891.5</v>
      </c>
      <c r="V71" s="23">
        <v>10993.9</v>
      </c>
      <c r="W71" s="23">
        <v>10570.8</v>
      </c>
      <c r="X71" s="23">
        <v>9088.1</v>
      </c>
      <c r="Y71" s="23">
        <v>11700</v>
      </c>
      <c r="Z71" s="23">
        <v>10966</v>
      </c>
      <c r="AA71" s="23">
        <v>9313.3394985095456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949.40000000000055</v>
      </c>
      <c r="E72" s="23">
        <v>1076.3000000000002</v>
      </c>
      <c r="F72" s="23">
        <v>1116.1000000000004</v>
      </c>
      <c r="G72" s="23">
        <v>1167.1999999999998</v>
      </c>
      <c r="H72" s="23">
        <v>1140.1000000000004</v>
      </c>
      <c r="I72" s="23">
        <v>1170</v>
      </c>
      <c r="J72" s="23">
        <v>1125.9000000000005</v>
      </c>
      <c r="K72" s="23">
        <v>1130</v>
      </c>
      <c r="L72" s="23">
        <v>1080.0999999999995</v>
      </c>
      <c r="M72" s="23">
        <v>1368.5</v>
      </c>
      <c r="N72" s="23">
        <v>1421.1999999999998</v>
      </c>
      <c r="O72" s="23">
        <v>1523.2999999999993</v>
      </c>
      <c r="P72" s="23">
        <v>1505.5</v>
      </c>
      <c r="Q72" s="23">
        <v>2438.1999999999989</v>
      </c>
      <c r="R72" s="23">
        <v>2470.3999999999996</v>
      </c>
      <c r="S72" s="23">
        <v>2656.7999999999993</v>
      </c>
      <c r="T72" s="23">
        <v>2563.3000000000011</v>
      </c>
      <c r="U72" s="23">
        <v>2632.5</v>
      </c>
      <c r="V72" s="23">
        <v>2281.6000000000004</v>
      </c>
      <c r="W72" s="23">
        <v>2411.8000000000011</v>
      </c>
      <c r="X72" s="23">
        <v>2159</v>
      </c>
      <c r="Y72" s="23">
        <v>2928.5</v>
      </c>
      <c r="Z72" s="23">
        <v>2219.3999999999996</v>
      </c>
      <c r="AA72" s="23">
        <v>1841.9577124410662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2029.6</v>
      </c>
      <c r="E73" s="23">
        <v>1980.4</v>
      </c>
      <c r="F73" s="23">
        <v>2062.1</v>
      </c>
      <c r="G73" s="23">
        <v>2158.1</v>
      </c>
      <c r="H73" s="23">
        <v>2180.8000000000002</v>
      </c>
      <c r="I73" s="23">
        <v>2180.6999999999998</v>
      </c>
      <c r="J73" s="23">
        <v>2350.8000000000002</v>
      </c>
      <c r="K73" s="23">
        <v>2456.9</v>
      </c>
      <c r="L73" s="23">
        <v>2266.6999999999998</v>
      </c>
      <c r="M73" s="23">
        <v>1955.6</v>
      </c>
      <c r="N73" s="23">
        <v>2182.8000000000002</v>
      </c>
      <c r="O73" s="23">
        <v>2472.5</v>
      </c>
      <c r="P73" s="23">
        <v>2398.9</v>
      </c>
      <c r="Q73" s="23">
        <v>2164.8000000000002</v>
      </c>
      <c r="R73" s="23">
        <v>2203.6</v>
      </c>
      <c r="S73" s="23">
        <v>2108.3000000000002</v>
      </c>
      <c r="T73" s="23">
        <v>2320.9</v>
      </c>
      <c r="U73" s="23">
        <v>1989.4</v>
      </c>
      <c r="V73" s="23">
        <v>1794.6</v>
      </c>
      <c r="W73" s="23">
        <v>1869.2</v>
      </c>
      <c r="X73" s="23">
        <v>2186.1</v>
      </c>
      <c r="Y73" s="23">
        <v>2216.6999999999998</v>
      </c>
      <c r="Z73" s="23">
        <v>1955.1</v>
      </c>
      <c r="AA73" s="23">
        <v>2427.2189724213308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1100.200000000003</v>
      </c>
      <c r="E74" s="23">
        <v>1127.6000000000072</v>
      </c>
      <c r="F74" s="23">
        <v>1219.0000000000059</v>
      </c>
      <c r="G74" s="23">
        <v>1228.4000000000074</v>
      </c>
      <c r="H74" s="23">
        <v>1183.0000000000027</v>
      </c>
      <c r="I74" s="23">
        <v>1245.1000000000031</v>
      </c>
      <c r="J74" s="23">
        <v>1365.3999999999969</v>
      </c>
      <c r="K74" s="23">
        <v>1532.6000000000072</v>
      </c>
      <c r="L74" s="23">
        <v>1427.3999999999987</v>
      </c>
      <c r="M74" s="23">
        <v>1173.0000000000059</v>
      </c>
      <c r="N74" s="23">
        <v>1290.9999999999882</v>
      </c>
      <c r="O74" s="23">
        <v>1293.7000000000189</v>
      </c>
      <c r="P74" s="23">
        <v>1345.6999999999912</v>
      </c>
      <c r="Q74" s="23">
        <v>1274.6999999999853</v>
      </c>
      <c r="R74" s="23">
        <v>1210.9999999999986</v>
      </c>
      <c r="S74" s="23">
        <v>1129.1999999999853</v>
      </c>
      <c r="T74" s="23">
        <v>1362.6999999999912</v>
      </c>
      <c r="U74" s="23">
        <v>1191.8000000000116</v>
      </c>
      <c r="V74" s="23">
        <v>1322.2999999999943</v>
      </c>
      <c r="W74" s="23">
        <v>1349.6000000000101</v>
      </c>
      <c r="X74" s="23">
        <v>1188.7999999999943</v>
      </c>
      <c r="Y74" s="23">
        <v>-2135.8000000000056</v>
      </c>
      <c r="Z74" s="23">
        <v>-1054.1999999999912</v>
      </c>
      <c r="AA74" s="23">
        <v>-1250.566602788203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56640.2</v>
      </c>
      <c r="E75" s="30">
        <f t="shared" ref="E75:Y75" si="6">SUM(E56:E74)</f>
        <v>51337.4</v>
      </c>
      <c r="F75" s="30">
        <f t="shared" si="6"/>
        <v>52892.899999999994</v>
      </c>
      <c r="G75" s="30">
        <f t="shared" si="6"/>
        <v>52893.3</v>
      </c>
      <c r="H75" s="30">
        <f t="shared" si="6"/>
        <v>53145.899999999994</v>
      </c>
      <c r="I75" s="30">
        <f t="shared" si="6"/>
        <v>53394.9</v>
      </c>
      <c r="J75" s="30">
        <f t="shared" si="6"/>
        <v>56727.3</v>
      </c>
      <c r="K75" s="30">
        <f t="shared" si="6"/>
        <v>60384.2</v>
      </c>
      <c r="L75" s="30">
        <f t="shared" si="6"/>
        <v>54877.9</v>
      </c>
      <c r="M75" s="30">
        <f t="shared" si="6"/>
        <v>43131.500000000007</v>
      </c>
      <c r="N75" s="30">
        <f t="shared" si="6"/>
        <v>55559.6</v>
      </c>
      <c r="O75" s="30">
        <f t="shared" si="6"/>
        <v>60582.299999999996</v>
      </c>
      <c r="P75" s="30">
        <f t="shared" si="6"/>
        <v>60230.5</v>
      </c>
      <c r="Q75" s="30">
        <f t="shared" si="6"/>
        <v>58766.999999999993</v>
      </c>
      <c r="R75" s="30">
        <f t="shared" si="6"/>
        <v>56824.5</v>
      </c>
      <c r="S75" s="30">
        <f t="shared" si="6"/>
        <v>62230.3</v>
      </c>
      <c r="T75" s="30">
        <f t="shared" si="6"/>
        <v>62685.3</v>
      </c>
      <c r="U75" s="30">
        <f t="shared" si="6"/>
        <v>63390.8</v>
      </c>
      <c r="V75" s="30">
        <f t="shared" si="6"/>
        <v>62541</v>
      </c>
      <c r="W75" s="30">
        <f t="shared" si="6"/>
        <v>62522.000000000007</v>
      </c>
      <c r="X75" s="30">
        <f t="shared" si="6"/>
        <v>60505.1</v>
      </c>
      <c r="Y75" s="30">
        <f t="shared" si="6"/>
        <v>68875.899999999994</v>
      </c>
      <c r="Z75" s="30">
        <f t="shared" ref="Z75:AA75" si="7">SUM(Z56:Z74)</f>
        <v>74889.600000000006</v>
      </c>
      <c r="AA75" s="30">
        <f t="shared" si="7"/>
        <v>71682.300000000017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347236.97884931508</v>
      </c>
      <c r="E2" s="19">
        <v>351961.78385971906</v>
      </c>
      <c r="F2" s="19">
        <v>359977.97963535791</v>
      </c>
      <c r="G2" s="19">
        <v>366748.60808540927</v>
      </c>
      <c r="H2" s="19">
        <v>382075.33770747448</v>
      </c>
      <c r="I2" s="19">
        <v>392747.82421849843</v>
      </c>
      <c r="J2" s="19">
        <v>411113.98680301529</v>
      </c>
      <c r="K2" s="19">
        <v>424371.89216870203</v>
      </c>
      <c r="L2" s="19">
        <v>420453.5602246268</v>
      </c>
      <c r="M2" s="19">
        <v>402564.29367487686</v>
      </c>
      <c r="N2" s="19">
        <v>425713.97337478929</v>
      </c>
      <c r="O2" s="19">
        <v>439181.30704225355</v>
      </c>
      <c r="P2" s="19">
        <v>437362.64776391134</v>
      </c>
      <c r="Q2" s="19">
        <v>442338.51915319863</v>
      </c>
      <c r="R2" s="19">
        <v>452491.36268961063</v>
      </c>
      <c r="S2" s="19">
        <v>472348.59772800002</v>
      </c>
      <c r="T2" s="19">
        <v>482416.41875323642</v>
      </c>
      <c r="U2" s="19">
        <v>491500.1803734983</v>
      </c>
      <c r="V2" s="19">
        <v>500198.72470457561</v>
      </c>
      <c r="W2" s="19">
        <v>513247.96465174132</v>
      </c>
      <c r="X2" s="19">
        <v>503320.14280846436</v>
      </c>
      <c r="Y2" s="19">
        <v>529622.24516423186</v>
      </c>
      <c r="Z2" s="19">
        <v>536272.2696349133</v>
      </c>
      <c r="AA2" s="19">
        <v>535176.80000000005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155240.36149422766</v>
      </c>
      <c r="E3" s="23">
        <v>156489.4632326444</v>
      </c>
      <c r="F3" s="23">
        <v>159967.01566816051</v>
      </c>
      <c r="G3" s="23">
        <v>162494.00888052932</v>
      </c>
      <c r="H3" s="23">
        <v>167122.7436697575</v>
      </c>
      <c r="I3" s="23">
        <v>172406.65838559577</v>
      </c>
      <c r="J3" s="23">
        <v>177312.06528452484</v>
      </c>
      <c r="K3" s="23">
        <v>185159.72568719753</v>
      </c>
      <c r="L3" s="23">
        <v>185138.60230099093</v>
      </c>
      <c r="M3" s="23">
        <v>187105.85738754948</v>
      </c>
      <c r="N3" s="23">
        <v>194541.85688924836</v>
      </c>
      <c r="O3" s="23">
        <v>198148.28217380933</v>
      </c>
      <c r="P3" s="23">
        <v>200385.57236066886</v>
      </c>
      <c r="Q3" s="23">
        <v>204049.49106806362</v>
      </c>
      <c r="R3" s="23">
        <v>209954.44563544702</v>
      </c>
      <c r="S3" s="23">
        <v>218733.65373599998</v>
      </c>
      <c r="T3" s="23">
        <v>223455.52039170044</v>
      </c>
      <c r="U3" s="23">
        <v>229049.08156666768</v>
      </c>
      <c r="V3" s="23">
        <v>233372.18520919085</v>
      </c>
      <c r="W3" s="23">
        <v>235206.37690872877</v>
      </c>
      <c r="X3" s="23">
        <v>228155.22970077727</v>
      </c>
      <c r="Y3" s="23">
        <v>241051.70521365094</v>
      </c>
      <c r="Z3" s="23">
        <v>247747.2351963688</v>
      </c>
      <c r="AA3" s="23">
        <v>243760.9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307049.39376462682</v>
      </c>
      <c r="E4" s="27">
        <v>311127.45419436292</v>
      </c>
      <c r="F4" s="27">
        <v>318046.81859589409</v>
      </c>
      <c r="G4" s="27">
        <v>324202.44182541833</v>
      </c>
      <c r="H4" s="27">
        <v>338817.59224037407</v>
      </c>
      <c r="I4" s="27">
        <v>347731.43228090246</v>
      </c>
      <c r="J4" s="27">
        <v>364716.79139435716</v>
      </c>
      <c r="K4" s="27">
        <v>376429.01081074949</v>
      </c>
      <c r="L4" s="27">
        <v>372823.29475741024</v>
      </c>
      <c r="M4" s="27">
        <v>355778.62730602728</v>
      </c>
      <c r="N4" s="27">
        <v>376825.5958821979</v>
      </c>
      <c r="O4" s="27">
        <v>390547.79048432049</v>
      </c>
      <c r="P4" s="27">
        <v>388991.30142630119</v>
      </c>
      <c r="Q4" s="27">
        <v>393281.54661236145</v>
      </c>
      <c r="R4" s="27">
        <v>402512.47299937269</v>
      </c>
      <c r="S4" s="27">
        <v>419742.13147199998</v>
      </c>
      <c r="T4" s="27">
        <v>427150.74039438309</v>
      </c>
      <c r="U4" s="27">
        <v>435743.92959426733</v>
      </c>
      <c r="V4" s="27">
        <v>443692.98701491457</v>
      </c>
      <c r="W4" s="27">
        <v>456162.93287321489</v>
      </c>
      <c r="X4" s="27">
        <v>445832.46005795704</v>
      </c>
      <c r="Y4" s="27">
        <v>469750.72240622918</v>
      </c>
      <c r="Z4" s="27">
        <v>476545.32633151388</v>
      </c>
      <c r="AA4" s="27">
        <v>478096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6164.701619667725</v>
      </c>
      <c r="E6" s="19">
        <v>6274.1218166289118</v>
      </c>
      <c r="F6" s="19">
        <v>6280.9961910279144</v>
      </c>
      <c r="G6" s="19">
        <v>6255.6843830827538</v>
      </c>
      <c r="H6" s="19">
        <v>6408.3901862168877</v>
      </c>
      <c r="I6" s="19">
        <v>4558.4752744305788</v>
      </c>
      <c r="J6" s="19">
        <v>5102.290241252409</v>
      </c>
      <c r="K6" s="19">
        <v>6108.782450965934</v>
      </c>
      <c r="L6" s="19">
        <v>5307.040882601641</v>
      </c>
      <c r="M6" s="19">
        <v>4597.7723387723381</v>
      </c>
      <c r="N6" s="19">
        <v>5819.702095137699</v>
      </c>
      <c r="O6" s="19">
        <v>6226.57992368532</v>
      </c>
      <c r="P6" s="19">
        <v>5495.5563182986398</v>
      </c>
      <c r="Q6" s="19">
        <v>5460.1447940393</v>
      </c>
      <c r="R6" s="19">
        <v>5674.717591182005</v>
      </c>
      <c r="S6" s="19">
        <v>6161.285069999999</v>
      </c>
      <c r="T6" s="19">
        <v>6187.3437526142816</v>
      </c>
      <c r="U6" s="19">
        <v>6507.406409543848</v>
      </c>
      <c r="V6" s="19">
        <v>6272.8097568517496</v>
      </c>
      <c r="W6" s="19">
        <v>6467.3509797409497</v>
      </c>
      <c r="X6" s="19">
        <v>6015.1040328423087</v>
      </c>
      <c r="Y6" s="19">
        <v>6144.7114310131992</v>
      </c>
      <c r="Z6" s="19">
        <v>6656.5736092973439</v>
      </c>
      <c r="AA6" s="19">
        <v>6862.5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77240.904203257873</v>
      </c>
      <c r="E7" s="23">
        <v>76239.145337739974</v>
      </c>
      <c r="F7" s="23">
        <v>76814.379535826782</v>
      </c>
      <c r="G7" s="23">
        <v>76035.193213733131</v>
      </c>
      <c r="H7" s="23">
        <v>77874.030671016837</v>
      </c>
      <c r="I7" s="23">
        <v>79731.955898022672</v>
      </c>
      <c r="J7" s="23">
        <v>83243.824987440865</v>
      </c>
      <c r="K7" s="23">
        <v>85428.332748743662</v>
      </c>
      <c r="L7" s="23">
        <v>81821.329382727345</v>
      </c>
      <c r="M7" s="23">
        <v>70036.197224997217</v>
      </c>
      <c r="N7" s="23">
        <v>81224.58035973119</v>
      </c>
      <c r="O7" s="23">
        <v>82527.797046148786</v>
      </c>
      <c r="P7" s="23">
        <v>78755.319872084117</v>
      </c>
      <c r="Q7" s="23">
        <v>75034.923066826232</v>
      </c>
      <c r="R7" s="23">
        <v>74372.27174478001</v>
      </c>
      <c r="S7" s="23">
        <v>79570.312973999986</v>
      </c>
      <c r="T7" s="23">
        <v>79375.322599342704</v>
      </c>
      <c r="U7" s="23">
        <v>81044.893274842194</v>
      </c>
      <c r="V7" s="23">
        <v>82568.634016017473</v>
      </c>
      <c r="W7" s="23">
        <v>85283.52625581203</v>
      </c>
      <c r="X7" s="23">
        <v>80003.55505312726</v>
      </c>
      <c r="Y7" s="23">
        <v>88553.005860791949</v>
      </c>
      <c r="Z7" s="23">
        <v>95614.888196995467</v>
      </c>
      <c r="AA7" s="23">
        <v>90025.5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12561.430275505711</v>
      </c>
      <c r="E8" s="23">
        <v>13682.55910728211</v>
      </c>
      <c r="F8" s="23">
        <v>14445.319866758391</v>
      </c>
      <c r="G8" s="23">
        <v>14954.065748603414</v>
      </c>
      <c r="H8" s="23">
        <v>16487.581913051672</v>
      </c>
      <c r="I8" s="23">
        <v>16842.563249544106</v>
      </c>
      <c r="J8" s="23">
        <v>18952.061564343712</v>
      </c>
      <c r="K8" s="23">
        <v>20819.11571926083</v>
      </c>
      <c r="L8" s="23">
        <v>19912.063256164725</v>
      </c>
      <c r="M8" s="23">
        <v>20095.997224997223</v>
      </c>
      <c r="N8" s="23">
        <v>20751.741856634606</v>
      </c>
      <c r="O8" s="23">
        <v>22156.880278517725</v>
      </c>
      <c r="P8" s="23">
        <v>22617.940876184497</v>
      </c>
      <c r="Q8" s="23">
        <v>22507.813631625679</v>
      </c>
      <c r="R8" s="23">
        <v>23601.013495832962</v>
      </c>
      <c r="S8" s="23">
        <v>25745.171903999999</v>
      </c>
      <c r="T8" s="23">
        <v>26899.856145802212</v>
      </c>
      <c r="U8" s="23">
        <v>28234.240773750447</v>
      </c>
      <c r="V8" s="23">
        <v>29195.289695832769</v>
      </c>
      <c r="W8" s="23">
        <v>29826.013301228824</v>
      </c>
      <c r="X8" s="23">
        <v>29708.989223617486</v>
      </c>
      <c r="Y8" s="23">
        <v>31102.415517994494</v>
      </c>
      <c r="Z8" s="23">
        <v>32056.610601377317</v>
      </c>
      <c r="AA8" s="23">
        <v>30856.3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54312.370319994443</v>
      </c>
      <c r="E9" s="23">
        <v>55272.487615581704</v>
      </c>
      <c r="F9" s="23">
        <v>56907.927187805493</v>
      </c>
      <c r="G9" s="23">
        <v>58594.729328813868</v>
      </c>
      <c r="H9" s="23">
        <v>61714.796883428928</v>
      </c>
      <c r="I9" s="23">
        <v>64357.099595952372</v>
      </c>
      <c r="J9" s="23">
        <v>66836.314228634859</v>
      </c>
      <c r="K9" s="23">
        <v>69052.04335870588</v>
      </c>
      <c r="L9" s="23">
        <v>69489.592835432049</v>
      </c>
      <c r="M9" s="23">
        <v>66745.241602841605</v>
      </c>
      <c r="N9" s="23">
        <v>69895.535795229938</v>
      </c>
      <c r="O9" s="23">
        <v>72309.45035946065</v>
      </c>
      <c r="P9" s="23">
        <v>71817.406878421054</v>
      </c>
      <c r="Q9" s="23">
        <v>73030.19323630468</v>
      </c>
      <c r="R9" s="23">
        <v>75548.346661887277</v>
      </c>
      <c r="S9" s="23">
        <v>76957.894655999989</v>
      </c>
      <c r="T9" s="23">
        <v>78274.057233343308</v>
      </c>
      <c r="U9" s="23">
        <v>80603.472287506447</v>
      </c>
      <c r="V9" s="23">
        <v>79512.332087529241</v>
      </c>
      <c r="W9" s="23">
        <v>81762.911968615081</v>
      </c>
      <c r="X9" s="23">
        <v>76484.226980198015</v>
      </c>
      <c r="Y9" s="23">
        <v>81893.35673345362</v>
      </c>
      <c r="Z9" s="23">
        <v>81075.581736017819</v>
      </c>
      <c r="AA9" s="23">
        <v>81231.3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17336.997170795003</v>
      </c>
      <c r="E10" s="23">
        <v>18791.830665824946</v>
      </c>
      <c r="F10" s="23">
        <v>18829.237973858573</v>
      </c>
      <c r="G10" s="23">
        <v>19267.147427100183</v>
      </c>
      <c r="H10" s="23">
        <v>22591.015853759083</v>
      </c>
      <c r="I10" s="23">
        <v>23227.916944970857</v>
      </c>
      <c r="J10" s="23">
        <v>24312.507029616216</v>
      </c>
      <c r="K10" s="23">
        <v>24269.482778805032</v>
      </c>
      <c r="L10" s="23">
        <v>24046.211435884543</v>
      </c>
      <c r="M10" s="23">
        <v>23558.152669552666</v>
      </c>
      <c r="N10" s="23">
        <v>25012.873922782979</v>
      </c>
      <c r="O10" s="23">
        <v>25892.032696006336</v>
      </c>
      <c r="P10" s="23">
        <v>25781.036140158129</v>
      </c>
      <c r="Q10" s="23">
        <v>26915.959498899738</v>
      </c>
      <c r="R10" s="23">
        <v>27850.598888789318</v>
      </c>
      <c r="S10" s="23">
        <v>31091.049647999997</v>
      </c>
      <c r="T10" s="23">
        <v>29434.671502838362</v>
      </c>
      <c r="U10" s="23">
        <v>26919.937016157844</v>
      </c>
      <c r="V10" s="23">
        <v>30232.58788278584</v>
      </c>
      <c r="W10" s="23">
        <v>34017.380928263039</v>
      </c>
      <c r="X10" s="23">
        <v>35581.898182806086</v>
      </c>
      <c r="Y10" s="23">
        <v>38679.880543158295</v>
      </c>
      <c r="Z10" s="23">
        <v>37280.70104003232</v>
      </c>
      <c r="AA10" s="23">
        <v>34986.699999999997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13539.431498945711</v>
      </c>
      <c r="E11" s="23">
        <v>13409.428051542944</v>
      </c>
      <c r="F11" s="23">
        <v>12543.57414823129</v>
      </c>
      <c r="G11" s="23">
        <v>13046.152378027893</v>
      </c>
      <c r="H11" s="23">
        <v>14941.009302599497</v>
      </c>
      <c r="I11" s="23">
        <v>15650.059141130618</v>
      </c>
      <c r="J11" s="23">
        <v>14111.834289386063</v>
      </c>
      <c r="K11" s="23">
        <v>14338.249972207412</v>
      </c>
      <c r="L11" s="23">
        <v>14215.531222432981</v>
      </c>
      <c r="M11" s="23">
        <v>16259.6</v>
      </c>
      <c r="N11" s="23">
        <v>15374.16449466333</v>
      </c>
      <c r="O11" s="23">
        <v>16424.715677421347</v>
      </c>
      <c r="P11" s="23">
        <v>17247.271913440978</v>
      </c>
      <c r="Q11" s="23">
        <v>17990.311527622282</v>
      </c>
      <c r="R11" s="23">
        <v>18780.043032529797</v>
      </c>
      <c r="S11" s="23">
        <v>19940.425019999999</v>
      </c>
      <c r="T11" s="23">
        <v>18844.244170899314</v>
      </c>
      <c r="U11" s="23">
        <v>17648.125189566872</v>
      </c>
      <c r="V11" s="23">
        <v>17247.183242457661</v>
      </c>
      <c r="W11" s="23">
        <v>17016.392791016275</v>
      </c>
      <c r="X11" s="23">
        <v>19060.870997343638</v>
      </c>
      <c r="Y11" s="23">
        <v>20306.689146329882</v>
      </c>
      <c r="Z11" s="23">
        <v>20648.399870348276</v>
      </c>
      <c r="AA11" s="23">
        <v>21481.5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30356.668732766411</v>
      </c>
      <c r="E12" s="23">
        <v>29523.513416762595</v>
      </c>
      <c r="F12" s="23">
        <v>30455.937304029834</v>
      </c>
      <c r="G12" s="23">
        <v>30918.813267824869</v>
      </c>
      <c r="H12" s="23">
        <v>29808.149510606469</v>
      </c>
      <c r="I12" s="23">
        <v>30576.792033468017</v>
      </c>
      <c r="J12" s="23">
        <v>32748.834132834862</v>
      </c>
      <c r="K12" s="23">
        <v>32888.108164214493</v>
      </c>
      <c r="L12" s="23">
        <v>34356.439938752657</v>
      </c>
      <c r="M12" s="23">
        <v>33623.748251748249</v>
      </c>
      <c r="N12" s="23">
        <v>32680.501304519701</v>
      </c>
      <c r="O12" s="23">
        <v>34034.781071491016</v>
      </c>
      <c r="P12" s="23">
        <v>33998.378052225773</v>
      </c>
      <c r="Q12" s="23">
        <v>34826.127877079874</v>
      </c>
      <c r="R12" s="23">
        <v>35775.78266869791</v>
      </c>
      <c r="S12" s="23">
        <v>34752.595428000001</v>
      </c>
      <c r="T12" s="23">
        <v>35814.598763071415</v>
      </c>
      <c r="U12" s="23">
        <v>37558.338423518195</v>
      </c>
      <c r="V12" s="23">
        <v>38802.041330048749</v>
      </c>
      <c r="W12" s="23">
        <v>40253.33665102956</v>
      </c>
      <c r="X12" s="23">
        <v>40133.297452306208</v>
      </c>
      <c r="Y12" s="23">
        <v>39180.02916532143</v>
      </c>
      <c r="Z12" s="23">
        <v>37041.380995687679</v>
      </c>
      <c r="AA12" s="23">
        <v>41553.699999999997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25726.784783465024</v>
      </c>
      <c r="E13" s="23">
        <v>26790.00331984106</v>
      </c>
      <c r="F13" s="23">
        <v>27071.397610340704</v>
      </c>
      <c r="G13" s="23">
        <v>27452.966106459113</v>
      </c>
      <c r="H13" s="23">
        <v>29265.827241139679</v>
      </c>
      <c r="I13" s="23">
        <v>30786.713619623129</v>
      </c>
      <c r="J13" s="23">
        <v>34702.094685437231</v>
      </c>
      <c r="K13" s="23">
        <v>37264.177675178384</v>
      </c>
      <c r="L13" s="23">
        <v>37033.430178028655</v>
      </c>
      <c r="M13" s="23">
        <v>34200.129581529582</v>
      </c>
      <c r="N13" s="23">
        <v>37493.830175253657</v>
      </c>
      <c r="O13" s="23">
        <v>39906.379608964402</v>
      </c>
      <c r="P13" s="23">
        <v>40536.81556375193</v>
      </c>
      <c r="Q13" s="23">
        <v>42390.674053198469</v>
      </c>
      <c r="R13" s="23">
        <v>43661.312949188999</v>
      </c>
      <c r="S13" s="23">
        <v>45683.715455999991</v>
      </c>
      <c r="T13" s="23">
        <v>48003.156910666272</v>
      </c>
      <c r="U13" s="23">
        <v>50339.421164000159</v>
      </c>
      <c r="V13" s="23">
        <v>51474.360331481454</v>
      </c>
      <c r="W13" s="23">
        <v>52109.387396213882</v>
      </c>
      <c r="X13" s="23">
        <v>50900.156978990584</v>
      </c>
      <c r="Y13" s="23">
        <v>52484.339834773527</v>
      </c>
      <c r="Z13" s="23">
        <v>56039.975061772471</v>
      </c>
      <c r="AA13" s="23">
        <v>57745.599999999999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61819.341077924808</v>
      </c>
      <c r="E14" s="23">
        <v>62795.947885179521</v>
      </c>
      <c r="F14" s="23">
        <v>65924.914167783063</v>
      </c>
      <c r="G14" s="23">
        <v>68650.068557121063</v>
      </c>
      <c r="H14" s="23">
        <v>70249.262727176349</v>
      </c>
      <c r="I14" s="23">
        <v>72082.338549004155</v>
      </c>
      <c r="J14" s="23">
        <v>74258.704328523861</v>
      </c>
      <c r="K14" s="23">
        <v>75653.498242827816</v>
      </c>
      <c r="L14" s="23">
        <v>75997.355748794507</v>
      </c>
      <c r="M14" s="23">
        <v>76245.800421800348</v>
      </c>
      <c r="N14" s="23">
        <v>77769.763519567816</v>
      </c>
      <c r="O14" s="23">
        <v>79843.18312231946</v>
      </c>
      <c r="P14" s="23">
        <v>81339.298728688853</v>
      </c>
      <c r="Q14" s="23">
        <v>83303.828324904418</v>
      </c>
      <c r="R14" s="23">
        <v>85330.688036562424</v>
      </c>
      <c r="S14" s="23">
        <v>87621.114546000026</v>
      </c>
      <c r="T14" s="23">
        <v>91811.740926202547</v>
      </c>
      <c r="U14" s="23">
        <v>94016.757024891864</v>
      </c>
      <c r="V14" s="23">
        <v>95412.579109246668</v>
      </c>
      <c r="W14" s="23">
        <v>95959.493735469907</v>
      </c>
      <c r="X14" s="23">
        <v>95580.436398213002</v>
      </c>
      <c r="Y14" s="23">
        <v>98533.447298452127</v>
      </c>
      <c r="Z14" s="23">
        <v>96650.730555529502</v>
      </c>
      <c r="AA14" s="23">
        <v>99374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7990.7640823041456</v>
      </c>
      <c r="E15" s="23">
        <v>8348.4169779791282</v>
      </c>
      <c r="F15" s="23">
        <v>8773.1346102320858</v>
      </c>
      <c r="G15" s="23">
        <v>9027.6214146520051</v>
      </c>
      <c r="H15" s="23">
        <v>9477.5279513786645</v>
      </c>
      <c r="I15" s="23">
        <v>9917.5179747559632</v>
      </c>
      <c r="J15" s="23">
        <v>10448.325906887085</v>
      </c>
      <c r="K15" s="23">
        <v>10607.219699840052</v>
      </c>
      <c r="L15" s="23">
        <v>10644.299876591173</v>
      </c>
      <c r="M15" s="23">
        <v>10415.987989787989</v>
      </c>
      <c r="N15" s="23">
        <v>10802.902358677033</v>
      </c>
      <c r="O15" s="23">
        <v>11225.990700305463</v>
      </c>
      <c r="P15" s="23">
        <v>11402.277083047222</v>
      </c>
      <c r="Q15" s="23">
        <v>11821.570601860789</v>
      </c>
      <c r="R15" s="23">
        <v>11917.697929922035</v>
      </c>
      <c r="S15" s="23">
        <v>12218.566769999998</v>
      </c>
      <c r="T15" s="23">
        <v>12505.74838960263</v>
      </c>
      <c r="U15" s="23">
        <v>12871.338030489498</v>
      </c>
      <c r="V15" s="23">
        <v>12975.169562662981</v>
      </c>
      <c r="W15" s="23">
        <v>13467.138865825307</v>
      </c>
      <c r="X15" s="23">
        <v>12363.924758512438</v>
      </c>
      <c r="Y15" s="23">
        <v>12872.846874940651</v>
      </c>
      <c r="Z15" s="23">
        <v>13480.4846644557</v>
      </c>
      <c r="AA15" s="23">
        <v>13978.9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307049.39376462688</v>
      </c>
      <c r="E16" s="30">
        <f t="shared" ref="E16:S16" si="0">SUM(E6:E15)</f>
        <v>311127.45419436292</v>
      </c>
      <c r="F16" s="30">
        <f t="shared" si="0"/>
        <v>318046.81859589415</v>
      </c>
      <c r="G16" s="30">
        <f t="shared" si="0"/>
        <v>324202.44182541827</v>
      </c>
      <c r="H16" s="30">
        <f t="shared" si="0"/>
        <v>338817.59224037407</v>
      </c>
      <c r="I16" s="30">
        <f t="shared" si="0"/>
        <v>347731.43228090246</v>
      </c>
      <c r="J16" s="30">
        <f t="shared" si="0"/>
        <v>364716.7913943571</v>
      </c>
      <c r="K16" s="30">
        <f t="shared" si="0"/>
        <v>376429.01081074949</v>
      </c>
      <c r="L16" s="30">
        <f t="shared" si="0"/>
        <v>372823.2947574103</v>
      </c>
      <c r="M16" s="30">
        <f t="shared" si="0"/>
        <v>355778.62730602722</v>
      </c>
      <c r="N16" s="30">
        <f t="shared" si="0"/>
        <v>376825.59588219796</v>
      </c>
      <c r="O16" s="30">
        <f t="shared" si="0"/>
        <v>390547.79048432043</v>
      </c>
      <c r="P16" s="30">
        <f t="shared" si="0"/>
        <v>388991.30142630119</v>
      </c>
      <c r="Q16" s="30">
        <f t="shared" si="0"/>
        <v>393281.54661236145</v>
      </c>
      <c r="R16" s="30">
        <f t="shared" si="0"/>
        <v>402512.47299937269</v>
      </c>
      <c r="S16" s="30">
        <f t="shared" si="0"/>
        <v>419742.13147199998</v>
      </c>
      <c r="T16" s="30">
        <f t="shared" ref="T16:Y16" si="1">SUM(T6:T15)</f>
        <v>427150.74039438309</v>
      </c>
      <c r="U16" s="30">
        <f t="shared" si="1"/>
        <v>435743.92959426739</v>
      </c>
      <c r="V16" s="30">
        <f t="shared" si="1"/>
        <v>443692.98701491451</v>
      </c>
      <c r="W16" s="30">
        <f t="shared" si="1"/>
        <v>456162.93287321489</v>
      </c>
      <c r="X16" s="30">
        <f t="shared" si="1"/>
        <v>445832.4600579571</v>
      </c>
      <c r="Y16" s="30">
        <f t="shared" si="1"/>
        <v>469750.72240622924</v>
      </c>
      <c r="Z16" s="30">
        <f t="shared" ref="Z16:AA16" si="2">SUM(Z6:Z15)</f>
        <v>476545.32633151388</v>
      </c>
      <c r="AA16" s="30">
        <f t="shared" si="2"/>
        <v>478096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6164.701619667725</v>
      </c>
      <c r="E18" s="19">
        <v>6274.1218166289118</v>
      </c>
      <c r="F18" s="19">
        <v>6280.9961910279144</v>
      </c>
      <c r="G18" s="19">
        <v>6255.6843830827538</v>
      </c>
      <c r="H18" s="19">
        <v>6408.3901862168877</v>
      </c>
      <c r="I18" s="19">
        <v>4558.4752744305788</v>
      </c>
      <c r="J18" s="19">
        <v>5102.290241252409</v>
      </c>
      <c r="K18" s="19">
        <v>6108.782450965934</v>
      </c>
      <c r="L18" s="19">
        <v>5307.040882601641</v>
      </c>
      <c r="M18" s="19">
        <v>4597.7723387723381</v>
      </c>
      <c r="N18" s="19">
        <v>5819.702095137699</v>
      </c>
      <c r="O18" s="19">
        <v>6226.57992368532</v>
      </c>
      <c r="P18" s="19">
        <v>5495.5563182986398</v>
      </c>
      <c r="Q18" s="19">
        <v>5460.1447940393</v>
      </c>
      <c r="R18" s="19">
        <v>5674.717591182005</v>
      </c>
      <c r="S18" s="19">
        <v>6161.285069999999</v>
      </c>
      <c r="T18" s="19">
        <v>6187.3437526142816</v>
      </c>
      <c r="U18" s="19">
        <v>6507.406409543848</v>
      </c>
      <c r="V18" s="19">
        <v>6272.8097568517496</v>
      </c>
      <c r="W18" s="19">
        <v>6467.3509797409497</v>
      </c>
      <c r="X18" s="19">
        <v>6015.1040328423087</v>
      </c>
      <c r="Y18" s="19">
        <v>6144.7114310131992</v>
      </c>
      <c r="Z18" s="19">
        <v>6656.5736092973439</v>
      </c>
      <c r="AA18" s="19">
        <v>6862.5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661.5769546601241</v>
      </c>
      <c r="E19" s="23">
        <v>649.38170002599418</v>
      </c>
      <c r="F19" s="23">
        <v>656.74880336000535</v>
      </c>
      <c r="G19" s="23">
        <v>746.12072790964635</v>
      </c>
      <c r="H19" s="23">
        <v>996.24785573785925</v>
      </c>
      <c r="I19" s="23">
        <v>1516.9027477745622</v>
      </c>
      <c r="J19" s="23">
        <v>2067.9102888357011</v>
      </c>
      <c r="K19" s="23">
        <v>2111.9106394564005</v>
      </c>
      <c r="L19" s="23">
        <v>2487.4220138120686</v>
      </c>
      <c r="M19" s="23">
        <v>1357.7262233268018</v>
      </c>
      <c r="N19" s="23">
        <v>3197.8499982254366</v>
      </c>
      <c r="O19" s="23">
        <v>3456.1770397720838</v>
      </c>
      <c r="P19" s="23">
        <v>2816.9208726433844</v>
      </c>
      <c r="Q19" s="23">
        <v>2221.4246612361508</v>
      </c>
      <c r="R19" s="23">
        <v>1996.6077024695753</v>
      </c>
      <c r="S19" s="23">
        <v>1749.879779837011</v>
      </c>
      <c r="T19" s="23">
        <v>1837.5853460135941</v>
      </c>
      <c r="U19" s="23">
        <v>2795.0177115927286</v>
      </c>
      <c r="V19" s="23">
        <v>2926.8713185208503</v>
      </c>
      <c r="W19" s="23">
        <v>3644.9506342602212</v>
      </c>
      <c r="X19" s="23">
        <v>3101.3581194712006</v>
      </c>
      <c r="Y19" s="23">
        <v>5182.680947391872</v>
      </c>
      <c r="Z19" s="23">
        <v>3917.5408489579859</v>
      </c>
      <c r="AA19" s="23">
        <v>3433.3525300772126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68591.115522394975</v>
      </c>
      <c r="E20" s="23">
        <v>66422.72980058672</v>
      </c>
      <c r="F20" s="23">
        <v>66725.602730004699</v>
      </c>
      <c r="G20" s="23">
        <v>65296.56052013085</v>
      </c>
      <c r="H20" s="23">
        <v>65430.658571748274</v>
      </c>
      <c r="I20" s="23">
        <v>66520.724632602709</v>
      </c>
      <c r="J20" s="23">
        <v>69273.646355511431</v>
      </c>
      <c r="K20" s="23">
        <v>71599.592630993837</v>
      </c>
      <c r="L20" s="23">
        <v>65545.711262198049</v>
      </c>
      <c r="M20" s="23">
        <v>55603.201354201352</v>
      </c>
      <c r="N20" s="23">
        <v>63770.179971010672</v>
      </c>
      <c r="O20" s="23">
        <v>65128.97890341359</v>
      </c>
      <c r="P20" s="23">
        <v>61757.207461105332</v>
      </c>
      <c r="Q20" s="23">
        <v>59285.405570783303</v>
      </c>
      <c r="R20" s="23">
        <v>59141.477103683123</v>
      </c>
      <c r="S20" s="23">
        <v>65046.84337799999</v>
      </c>
      <c r="T20" s="23">
        <v>65254.891622348383</v>
      </c>
      <c r="U20" s="23">
        <v>65762.701584024777</v>
      </c>
      <c r="V20" s="23">
        <v>67380.209711499803</v>
      </c>
      <c r="W20" s="23">
        <v>67826.039646296907</v>
      </c>
      <c r="X20" s="23">
        <v>63635.555850036224</v>
      </c>
      <c r="Y20" s="23">
        <v>68363.140474788714</v>
      </c>
      <c r="Z20" s="23">
        <v>73543.629023196394</v>
      </c>
      <c r="AA20" s="23">
        <v>71682.3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6214.6817058847246</v>
      </c>
      <c r="E21" s="23">
        <v>7339.6046418359374</v>
      </c>
      <c r="F21" s="23">
        <v>7354.1736920236017</v>
      </c>
      <c r="G21" s="23">
        <v>7835.3786765640589</v>
      </c>
      <c r="H21" s="23">
        <v>9137.6070010953918</v>
      </c>
      <c r="I21" s="23">
        <v>9489.9857762588108</v>
      </c>
      <c r="J21" s="23">
        <v>9656.5573349628412</v>
      </c>
      <c r="K21" s="23">
        <v>9310.0268192801195</v>
      </c>
      <c r="L21" s="23">
        <v>11444.100051638203</v>
      </c>
      <c r="M21" s="23">
        <v>10977.317068811604</v>
      </c>
      <c r="N21" s="23">
        <v>12200.060012611828</v>
      </c>
      <c r="O21" s="23">
        <v>11830.706114430877</v>
      </c>
      <c r="P21" s="23">
        <v>11854.896602997684</v>
      </c>
      <c r="Q21" s="23">
        <v>11085.433646681853</v>
      </c>
      <c r="R21" s="23">
        <v>10877.994185488818</v>
      </c>
      <c r="S21" s="23">
        <v>10076.454591860875</v>
      </c>
      <c r="T21" s="23">
        <v>9707.0227489695935</v>
      </c>
      <c r="U21" s="23">
        <v>9936.2413638240341</v>
      </c>
      <c r="V21" s="23">
        <v>9632.4283350930018</v>
      </c>
      <c r="W21" s="23">
        <v>11176.957956888953</v>
      </c>
      <c r="X21" s="23">
        <v>10541.176548549736</v>
      </c>
      <c r="Y21" s="23">
        <v>12031.967382554358</v>
      </c>
      <c r="Z21" s="23">
        <v>14960.674363819497</v>
      </c>
      <c r="AA21" s="23">
        <v>11321.576311725623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1773.530020318052</v>
      </c>
      <c r="E22" s="23">
        <v>1827.4291952913215</v>
      </c>
      <c r="F22" s="23">
        <v>2077.8543104384644</v>
      </c>
      <c r="G22" s="23">
        <v>2157.1332891285842</v>
      </c>
      <c r="H22" s="23">
        <v>2309.5172424353068</v>
      </c>
      <c r="I22" s="23">
        <v>2204.3427413865884</v>
      </c>
      <c r="J22" s="23">
        <v>2245.7110081308933</v>
      </c>
      <c r="K22" s="23">
        <v>2406.8026590133081</v>
      </c>
      <c r="L22" s="23">
        <v>2344.0960550790196</v>
      </c>
      <c r="M22" s="23">
        <v>2097.95257865746</v>
      </c>
      <c r="N22" s="23">
        <v>2056.4903778832477</v>
      </c>
      <c r="O22" s="23">
        <v>2111.9349885322276</v>
      </c>
      <c r="P22" s="23">
        <v>2326.2949353377171</v>
      </c>
      <c r="Q22" s="23">
        <v>2442.6591881249287</v>
      </c>
      <c r="R22" s="23">
        <v>2356.1927531384858</v>
      </c>
      <c r="S22" s="23">
        <v>2697.135224302102</v>
      </c>
      <c r="T22" s="23">
        <v>2575.8228820111322</v>
      </c>
      <c r="U22" s="23">
        <v>2550.9326154006553</v>
      </c>
      <c r="V22" s="23">
        <v>2629.1246509038237</v>
      </c>
      <c r="W22" s="23">
        <v>2635.5780183659413</v>
      </c>
      <c r="X22" s="23">
        <v>2725.4645350701007</v>
      </c>
      <c r="Y22" s="23">
        <v>2975.2170560569998</v>
      </c>
      <c r="Z22" s="23">
        <v>3193.0439610215922</v>
      </c>
      <c r="AA22" s="23">
        <v>3588.2711581971621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12561.430275505711</v>
      </c>
      <c r="E23" s="23">
        <v>13682.55910728211</v>
      </c>
      <c r="F23" s="23">
        <v>14445.319866758391</v>
      </c>
      <c r="G23" s="23">
        <v>14954.065748603414</v>
      </c>
      <c r="H23" s="23">
        <v>16487.581913051672</v>
      </c>
      <c r="I23" s="23">
        <v>16842.563249544106</v>
      </c>
      <c r="J23" s="23">
        <v>18952.061564343712</v>
      </c>
      <c r="K23" s="23">
        <v>20819.11571926083</v>
      </c>
      <c r="L23" s="23">
        <v>19912.063256164725</v>
      </c>
      <c r="M23" s="23">
        <v>20095.997224997223</v>
      </c>
      <c r="N23" s="23">
        <v>20751.741856634606</v>
      </c>
      <c r="O23" s="23">
        <v>22156.880278517725</v>
      </c>
      <c r="P23" s="23">
        <v>22617.940876184497</v>
      </c>
      <c r="Q23" s="23">
        <v>22507.813631625679</v>
      </c>
      <c r="R23" s="23">
        <v>23601.013495832962</v>
      </c>
      <c r="S23" s="23">
        <v>25745.171903999999</v>
      </c>
      <c r="T23" s="23">
        <v>26899.856145802212</v>
      </c>
      <c r="U23" s="23">
        <v>28234.240773750447</v>
      </c>
      <c r="V23" s="23">
        <v>29195.289695832769</v>
      </c>
      <c r="W23" s="23">
        <v>29826.013301228824</v>
      </c>
      <c r="X23" s="23">
        <v>29708.989223617486</v>
      </c>
      <c r="Y23" s="23">
        <v>31102.415517994494</v>
      </c>
      <c r="Z23" s="23">
        <v>32056.610601377317</v>
      </c>
      <c r="AA23" s="23">
        <v>30856.3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32048.67382116459</v>
      </c>
      <c r="E24" s="23">
        <v>32554.090734895461</v>
      </c>
      <c r="F24" s="23">
        <v>33836.692429124872</v>
      </c>
      <c r="G24" s="23">
        <v>35039.807388598216</v>
      </c>
      <c r="H24" s="23">
        <v>37423.314472149912</v>
      </c>
      <c r="I24" s="23">
        <v>39120.662881252902</v>
      </c>
      <c r="J24" s="23">
        <v>40737.846862550388</v>
      </c>
      <c r="K24" s="23">
        <v>41997.034514990977</v>
      </c>
      <c r="L24" s="23">
        <v>42111.983918001686</v>
      </c>
      <c r="M24" s="23">
        <v>41758.575957375957</v>
      </c>
      <c r="N24" s="23">
        <v>43772.644142838326</v>
      </c>
      <c r="O24" s="23">
        <v>44733.889950529163</v>
      </c>
      <c r="P24" s="23">
        <v>43728.005355986737</v>
      </c>
      <c r="Q24" s="23">
        <v>44682.917974751967</v>
      </c>
      <c r="R24" s="23">
        <v>46714.007939779556</v>
      </c>
      <c r="S24" s="23">
        <v>47470.691952000001</v>
      </c>
      <c r="T24" s="23">
        <v>47835.453110247989</v>
      </c>
      <c r="U24" s="23">
        <v>49346.509232204531</v>
      </c>
      <c r="V24" s="23">
        <v>48024.600470011021</v>
      </c>
      <c r="W24" s="23">
        <v>49761.045564181331</v>
      </c>
      <c r="X24" s="23">
        <v>50073.49035257184</v>
      </c>
      <c r="Y24" s="23">
        <v>53479.972069129246</v>
      </c>
      <c r="Z24" s="23">
        <v>48687.340527438246</v>
      </c>
      <c r="AA24" s="23">
        <v>49889.200000000004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17910.767576522929</v>
      </c>
      <c r="E25" s="23">
        <v>18313.495510416276</v>
      </c>
      <c r="F25" s="23">
        <v>18586.647126977805</v>
      </c>
      <c r="G25" s="23">
        <v>19096.540097554058</v>
      </c>
      <c r="H25" s="23">
        <v>19720.462837893545</v>
      </c>
      <c r="I25" s="23">
        <v>20395.283648585832</v>
      </c>
      <c r="J25" s="23">
        <v>21000.573334891054</v>
      </c>
      <c r="K25" s="23">
        <v>21743.158143228251</v>
      </c>
      <c r="L25" s="23">
        <v>22094.336430742511</v>
      </c>
      <c r="M25" s="23">
        <v>19849.510733710733</v>
      </c>
      <c r="N25" s="23">
        <v>20621.124528923439</v>
      </c>
      <c r="O25" s="23">
        <v>21673.860481954969</v>
      </c>
      <c r="P25" s="23">
        <v>21732.860701183025</v>
      </c>
      <c r="Q25" s="23">
        <v>21677.150113886419</v>
      </c>
      <c r="R25" s="23">
        <v>21887.899059055471</v>
      </c>
      <c r="S25" s="23">
        <v>21995.824283999998</v>
      </c>
      <c r="T25" s="23">
        <v>22406.414466686587</v>
      </c>
      <c r="U25" s="23">
        <v>23059.915371789273</v>
      </c>
      <c r="V25" s="23">
        <v>23143.557616549333</v>
      </c>
      <c r="W25" s="23">
        <v>23618.263282547327</v>
      </c>
      <c r="X25" s="23">
        <v>21162.560462448684</v>
      </c>
      <c r="Y25" s="23">
        <v>22484.256247269965</v>
      </c>
      <c r="Z25" s="23">
        <v>24525.934523999662</v>
      </c>
      <c r="AA25" s="23">
        <v>23010.2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4352.9289223069263</v>
      </c>
      <c r="E26" s="23">
        <v>4404.9013702699685</v>
      </c>
      <c r="F26" s="23">
        <v>4484.5876317028133</v>
      </c>
      <c r="G26" s="23">
        <v>4458.3818426615953</v>
      </c>
      <c r="H26" s="23">
        <v>4571.0195733854725</v>
      </c>
      <c r="I26" s="23">
        <v>4841.1530661136339</v>
      </c>
      <c r="J26" s="23">
        <v>5097.8940311934111</v>
      </c>
      <c r="K26" s="23">
        <v>5311.8507004866542</v>
      </c>
      <c r="L26" s="23">
        <v>5283.2724866878434</v>
      </c>
      <c r="M26" s="23">
        <v>5137.1549117549121</v>
      </c>
      <c r="N26" s="23">
        <v>5501.7671234681775</v>
      </c>
      <c r="O26" s="23">
        <v>5901.6999269765192</v>
      </c>
      <c r="P26" s="23">
        <v>6356.5408212512993</v>
      </c>
      <c r="Q26" s="23">
        <v>6670.1251476662937</v>
      </c>
      <c r="R26" s="23">
        <v>6946.4396630522451</v>
      </c>
      <c r="S26" s="23">
        <v>7491.3784199999991</v>
      </c>
      <c r="T26" s="23">
        <v>8032.1896564087247</v>
      </c>
      <c r="U26" s="23">
        <v>8197.0476835126428</v>
      </c>
      <c r="V26" s="23">
        <v>8344.1740009688801</v>
      </c>
      <c r="W26" s="23">
        <v>8383.6031218864155</v>
      </c>
      <c r="X26" s="23">
        <v>5248.1761651774932</v>
      </c>
      <c r="Y26" s="23">
        <v>5929.1284170544113</v>
      </c>
      <c r="Z26" s="23">
        <v>7862.3066845799003</v>
      </c>
      <c r="AA26" s="23">
        <v>8331.9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17336.997170795003</v>
      </c>
      <c r="E27" s="23">
        <v>18791.830665824946</v>
      </c>
      <c r="F27" s="23">
        <v>18829.237973858573</v>
      </c>
      <c r="G27" s="23">
        <v>19267.147427100183</v>
      </c>
      <c r="H27" s="23">
        <v>22591.015853759083</v>
      </c>
      <c r="I27" s="23">
        <v>23227.916944970857</v>
      </c>
      <c r="J27" s="23">
        <v>24312.507029616216</v>
      </c>
      <c r="K27" s="23">
        <v>24269.482778805032</v>
      </c>
      <c r="L27" s="23">
        <v>24046.211435884543</v>
      </c>
      <c r="M27" s="23">
        <v>23558.152669552666</v>
      </c>
      <c r="N27" s="23">
        <v>25012.873922782979</v>
      </c>
      <c r="O27" s="23">
        <v>25892.032696006336</v>
      </c>
      <c r="P27" s="23">
        <v>25781.036140158129</v>
      </c>
      <c r="Q27" s="23">
        <v>26915.959498899738</v>
      </c>
      <c r="R27" s="23">
        <v>27850.598888789318</v>
      </c>
      <c r="S27" s="23">
        <v>31091.049647999997</v>
      </c>
      <c r="T27" s="23">
        <v>29434.671502838362</v>
      </c>
      <c r="U27" s="23">
        <v>26919.937016157844</v>
      </c>
      <c r="V27" s="23">
        <v>30232.58788278584</v>
      </c>
      <c r="W27" s="23">
        <v>34017.380928263039</v>
      </c>
      <c r="X27" s="23">
        <v>35581.898182806086</v>
      </c>
      <c r="Y27" s="23">
        <v>38679.880543158295</v>
      </c>
      <c r="Z27" s="23">
        <v>37280.70104003232</v>
      </c>
      <c r="AA27" s="23">
        <v>34986.699999999997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13539.431498945711</v>
      </c>
      <c r="E28" s="23">
        <v>13409.428051542944</v>
      </c>
      <c r="F28" s="23">
        <v>12543.57414823129</v>
      </c>
      <c r="G28" s="23">
        <v>13046.152378027893</v>
      </c>
      <c r="H28" s="23">
        <v>14941.009302599497</v>
      </c>
      <c r="I28" s="23">
        <v>15650.059141130618</v>
      </c>
      <c r="J28" s="23">
        <v>14111.834289386063</v>
      </c>
      <c r="K28" s="23">
        <v>14338.249972207412</v>
      </c>
      <c r="L28" s="23">
        <v>14215.531222432981</v>
      </c>
      <c r="M28" s="23">
        <v>16259.6</v>
      </c>
      <c r="N28" s="23">
        <v>15374.16449466333</v>
      </c>
      <c r="O28" s="23">
        <v>16424.715677421347</v>
      </c>
      <c r="P28" s="23">
        <v>17247.271913440978</v>
      </c>
      <c r="Q28" s="23">
        <v>17990.311527622282</v>
      </c>
      <c r="R28" s="23">
        <v>18780.043032529797</v>
      </c>
      <c r="S28" s="23">
        <v>19940.425019999999</v>
      </c>
      <c r="T28" s="23">
        <v>18844.244170899314</v>
      </c>
      <c r="U28" s="23">
        <v>17648.125189566872</v>
      </c>
      <c r="V28" s="23">
        <v>17247.183242457661</v>
      </c>
      <c r="W28" s="23">
        <v>17016.392791016275</v>
      </c>
      <c r="X28" s="23">
        <v>19060.870997343638</v>
      </c>
      <c r="Y28" s="23">
        <v>20306.689146329882</v>
      </c>
      <c r="Z28" s="23">
        <v>20648.399870348276</v>
      </c>
      <c r="AA28" s="23">
        <v>21481.5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30356.668732766411</v>
      </c>
      <c r="E29" s="23">
        <v>29523.513416762595</v>
      </c>
      <c r="F29" s="23">
        <v>30455.937304029834</v>
      </c>
      <c r="G29" s="23">
        <v>30918.813267824869</v>
      </c>
      <c r="H29" s="23">
        <v>29808.149510606469</v>
      </c>
      <c r="I29" s="23">
        <v>30576.792033468017</v>
      </c>
      <c r="J29" s="23">
        <v>32748.834132834862</v>
      </c>
      <c r="K29" s="23">
        <v>32888.108164214493</v>
      </c>
      <c r="L29" s="23">
        <v>34356.439938752657</v>
      </c>
      <c r="M29" s="23">
        <v>33623.748251748249</v>
      </c>
      <c r="N29" s="23">
        <v>32680.501304519701</v>
      </c>
      <c r="O29" s="23">
        <v>34034.781071491016</v>
      </c>
      <c r="P29" s="23">
        <v>33998.378052225773</v>
      </c>
      <c r="Q29" s="23">
        <v>34826.127877079874</v>
      </c>
      <c r="R29" s="23">
        <v>35775.78266869791</v>
      </c>
      <c r="S29" s="23">
        <v>34752.595428000001</v>
      </c>
      <c r="T29" s="23">
        <v>35814.598763071415</v>
      </c>
      <c r="U29" s="23">
        <v>37558.338423518195</v>
      </c>
      <c r="V29" s="23">
        <v>38802.041330048749</v>
      </c>
      <c r="W29" s="23">
        <v>40253.33665102956</v>
      </c>
      <c r="X29" s="23">
        <v>40133.297452306208</v>
      </c>
      <c r="Y29" s="23">
        <v>39180.02916532143</v>
      </c>
      <c r="Z29" s="23">
        <v>37041.380995687679</v>
      </c>
      <c r="AA29" s="23">
        <v>41553.699999999997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17691.81930857103</v>
      </c>
      <c r="E30" s="23">
        <v>18122.264955995393</v>
      </c>
      <c r="F30" s="23">
        <v>18419.999956551648</v>
      </c>
      <c r="G30" s="23">
        <v>18434.356511674596</v>
      </c>
      <c r="H30" s="23">
        <v>20110.614772499735</v>
      </c>
      <c r="I30" s="23">
        <v>21105.404147745558</v>
      </c>
      <c r="J30" s="23">
        <v>23916.848124306322</v>
      </c>
      <c r="K30" s="23">
        <v>25811.64828196431</v>
      </c>
      <c r="L30" s="23">
        <v>25035.048369403754</v>
      </c>
      <c r="M30" s="23">
        <v>23074.332689532686</v>
      </c>
      <c r="N30" s="23">
        <v>25337.695572539204</v>
      </c>
      <c r="O30" s="23">
        <v>26740.67687006963</v>
      </c>
      <c r="P30" s="23">
        <v>27449.789598006704</v>
      </c>
      <c r="Q30" s="23">
        <v>29210.019298922904</v>
      </c>
      <c r="R30" s="23">
        <v>30159.76474594498</v>
      </c>
      <c r="S30" s="23">
        <v>31209.895709999997</v>
      </c>
      <c r="T30" s="23">
        <v>32583.047505228566</v>
      </c>
      <c r="U30" s="23">
        <v>34259.559444598832</v>
      </c>
      <c r="V30" s="23">
        <v>34902.692214926967</v>
      </c>
      <c r="W30" s="23">
        <v>35843.59178429094</v>
      </c>
      <c r="X30" s="23">
        <v>36089.256936730257</v>
      </c>
      <c r="Y30" s="23">
        <v>36674.91881112905</v>
      </c>
      <c r="Z30" s="23">
        <v>38874.433087496123</v>
      </c>
      <c r="AA30" s="23">
        <v>40252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8034.965474893992</v>
      </c>
      <c r="E31" s="23">
        <v>8667.7383638456668</v>
      </c>
      <c r="F31" s="23">
        <v>8651.3976537890576</v>
      </c>
      <c r="G31" s="23">
        <v>9018.609594784517</v>
      </c>
      <c r="H31" s="23">
        <v>9155.2124686399457</v>
      </c>
      <c r="I31" s="23">
        <v>9681.3094718775701</v>
      </c>
      <c r="J31" s="23">
        <v>10785.246561130907</v>
      </c>
      <c r="K31" s="23">
        <v>11452.52939321407</v>
      </c>
      <c r="L31" s="23">
        <v>11998.381808624907</v>
      </c>
      <c r="M31" s="23">
        <v>11125.79689199689</v>
      </c>
      <c r="N31" s="23">
        <v>12156.134602714455</v>
      </c>
      <c r="O31" s="23">
        <v>13165.702738894774</v>
      </c>
      <c r="P31" s="23">
        <v>13087.025965745228</v>
      </c>
      <c r="Q31" s="23">
        <v>13180.654754275565</v>
      </c>
      <c r="R31" s="23">
        <v>13501.548203244018</v>
      </c>
      <c r="S31" s="23">
        <v>14473.819745999999</v>
      </c>
      <c r="T31" s="23">
        <v>15420.109405437706</v>
      </c>
      <c r="U31" s="23">
        <v>16079.861719401324</v>
      </c>
      <c r="V31" s="23">
        <v>16571.668116554487</v>
      </c>
      <c r="W31" s="23">
        <v>16265.795611922948</v>
      </c>
      <c r="X31" s="23">
        <v>14810.900042260324</v>
      </c>
      <c r="Y31" s="23">
        <v>15809.421023644478</v>
      </c>
      <c r="Z31" s="23">
        <v>17165.541974276348</v>
      </c>
      <c r="AA31" s="23">
        <v>17493.599999999999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14721.243527121926</v>
      </c>
      <c r="E32" s="23">
        <v>14276.305395670075</v>
      </c>
      <c r="F32" s="23">
        <v>14602.253311126413</v>
      </c>
      <c r="G32" s="23">
        <v>15017.025038088581</v>
      </c>
      <c r="H32" s="23">
        <v>15229.098771510333</v>
      </c>
      <c r="I32" s="23">
        <v>15470.784860728687</v>
      </c>
      <c r="J32" s="23">
        <v>16267.320504702377</v>
      </c>
      <c r="K32" s="23">
        <v>16346.8831894547</v>
      </c>
      <c r="L32" s="23">
        <v>15974.392520053969</v>
      </c>
      <c r="M32" s="23">
        <v>15866.79438339431</v>
      </c>
      <c r="N32" s="23">
        <v>16353.67967452893</v>
      </c>
      <c r="O32" s="23">
        <v>16409.019952894698</v>
      </c>
      <c r="P32" s="23">
        <v>17058.50539326284</v>
      </c>
      <c r="Q32" s="23">
        <v>17377.553426244027</v>
      </c>
      <c r="R32" s="23">
        <v>17656.735370552931</v>
      </c>
      <c r="S32" s="23">
        <v>17647.124580000029</v>
      </c>
      <c r="T32" s="23">
        <v>18031.958165521326</v>
      </c>
      <c r="U32" s="23">
        <v>18550.781831354998</v>
      </c>
      <c r="V32" s="23">
        <v>19116.970325400209</v>
      </c>
      <c r="W32" s="23">
        <v>19224.790937396174</v>
      </c>
      <c r="X32" s="23">
        <v>19331.062672059896</v>
      </c>
      <c r="Y32" s="23">
        <v>20095.572631279025</v>
      </c>
      <c r="Z32" s="23">
        <v>20306.948990501638</v>
      </c>
      <c r="AA32" s="23">
        <v>20867.300000000003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17282.381203512756</v>
      </c>
      <c r="E33" s="23">
        <v>17859.872828549145</v>
      </c>
      <c r="F33" s="23">
        <v>18394.264890111877</v>
      </c>
      <c r="G33" s="23">
        <v>19415.040032596753</v>
      </c>
      <c r="H33" s="23">
        <v>19865.369378452549</v>
      </c>
      <c r="I33" s="23">
        <v>20351.804340830266</v>
      </c>
      <c r="J33" s="23">
        <v>20772.336762661373</v>
      </c>
      <c r="K33" s="23">
        <v>21025.789137068503</v>
      </c>
      <c r="L33" s="23">
        <v>21021.056000182827</v>
      </c>
      <c r="M33" s="23">
        <v>21082.201021201021</v>
      </c>
      <c r="N33" s="23">
        <v>21224.971419159312</v>
      </c>
      <c r="O33" s="23">
        <v>21873.712207263266</v>
      </c>
      <c r="P33" s="23">
        <v>22183.090896784444</v>
      </c>
      <c r="Q33" s="23">
        <v>22532.428873103501</v>
      </c>
      <c r="R33" s="23">
        <v>23022.134850793082</v>
      </c>
      <c r="S33" s="23">
        <v>23652.247805999996</v>
      </c>
      <c r="T33" s="23">
        <v>24845.14626829997</v>
      </c>
      <c r="U33" s="23">
        <v>25949.329552582476</v>
      </c>
      <c r="V33" s="23">
        <v>26542.2498273534</v>
      </c>
      <c r="W33" s="23">
        <v>26982.552879026902</v>
      </c>
      <c r="X33" s="23">
        <v>26799.564428881913</v>
      </c>
      <c r="Y33" s="23">
        <v>27431.350437755198</v>
      </c>
      <c r="Z33" s="23">
        <v>27009.186867595527</v>
      </c>
      <c r="AA33" s="23">
        <v>27849.3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29815.716347290127</v>
      </c>
      <c r="E34" s="23">
        <v>30659.769660960297</v>
      </c>
      <c r="F34" s="23">
        <v>32928.395966544762</v>
      </c>
      <c r="G34" s="23">
        <v>34218.003486435729</v>
      </c>
      <c r="H34" s="23">
        <v>35154.794577213463</v>
      </c>
      <c r="I34" s="23">
        <v>36259.749347445206</v>
      </c>
      <c r="J34" s="23">
        <v>37219.047061160119</v>
      </c>
      <c r="K34" s="23">
        <v>38280.825916304602</v>
      </c>
      <c r="L34" s="23">
        <v>39001.90722855772</v>
      </c>
      <c r="M34" s="23">
        <v>39296.805017205013</v>
      </c>
      <c r="N34" s="23">
        <v>40191.112425879568</v>
      </c>
      <c r="O34" s="23">
        <v>41560.450962161492</v>
      </c>
      <c r="P34" s="23">
        <v>42097.70243864158</v>
      </c>
      <c r="Q34" s="23">
        <v>43393.846025556886</v>
      </c>
      <c r="R34" s="23">
        <v>44651.817815216418</v>
      </c>
      <c r="S34" s="23">
        <v>46321.742159999994</v>
      </c>
      <c r="T34" s="23">
        <v>48934.636492381236</v>
      </c>
      <c r="U34" s="23">
        <v>49516.645640954375</v>
      </c>
      <c r="V34" s="23">
        <v>49753.358956493052</v>
      </c>
      <c r="W34" s="23">
        <v>49752.149919046824</v>
      </c>
      <c r="X34" s="23">
        <v>49449.809297271189</v>
      </c>
      <c r="Y34" s="23">
        <v>51006.524229417904</v>
      </c>
      <c r="Z34" s="23">
        <v>49334.594697432338</v>
      </c>
      <c r="AA34" s="23">
        <v>50657.4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3539.3810992423014</v>
      </c>
      <c r="E35" s="23">
        <v>3673.4897842474647</v>
      </c>
      <c r="F35" s="23">
        <v>3853.0692856366986</v>
      </c>
      <c r="G35" s="23">
        <v>4046.3071205017063</v>
      </c>
      <c r="H35" s="23">
        <v>4221.2494104898651</v>
      </c>
      <c r="I35" s="23">
        <v>4392.7804912933116</v>
      </c>
      <c r="J35" s="23">
        <v>4755.2338804836736</v>
      </c>
      <c r="K35" s="23">
        <v>4778.3890213605891</v>
      </c>
      <c r="L35" s="23">
        <v>4785.2111250771304</v>
      </c>
      <c r="M35" s="23">
        <v>4753.1155511155512</v>
      </c>
      <c r="N35" s="23">
        <v>4831.2342337593891</v>
      </c>
      <c r="O35" s="23">
        <v>5043.4878112497299</v>
      </c>
      <c r="P35" s="23">
        <v>5163.3436483490605</v>
      </c>
      <c r="Q35" s="23">
        <v>5412.0240145929047</v>
      </c>
      <c r="R35" s="23">
        <v>5396.5186307016747</v>
      </c>
      <c r="S35" s="23">
        <v>5479.252919999999</v>
      </c>
      <c r="T35" s="23">
        <v>5565.2469734090228</v>
      </c>
      <c r="U35" s="23">
        <v>5835.0563698439792</v>
      </c>
      <c r="V35" s="23">
        <v>5892.9267689833941</v>
      </c>
      <c r="W35" s="23">
        <v>6399.0063890733982</v>
      </c>
      <c r="X35" s="23">
        <v>5621.8589290026566</v>
      </c>
      <c r="Y35" s="23">
        <v>5855.8778349634413</v>
      </c>
      <c r="Z35" s="23">
        <v>6979.5623765724986</v>
      </c>
      <c r="AA35" s="23">
        <v>7323.5999999999995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4400.7633060685403</v>
      </c>
      <c r="E36" s="23">
        <v>4619.0330127371972</v>
      </c>
      <c r="F36" s="23">
        <v>4859.259922517107</v>
      </c>
      <c r="G36" s="23">
        <v>4912.5528740655</v>
      </c>
      <c r="H36" s="23">
        <v>5174.5300762064053</v>
      </c>
      <c r="I36" s="23">
        <v>5431.0514105910534</v>
      </c>
      <c r="J36" s="23">
        <v>5586.606049418775</v>
      </c>
      <c r="K36" s="23">
        <v>5710.6130091999139</v>
      </c>
      <c r="L36" s="23">
        <v>5732.3637863656095</v>
      </c>
      <c r="M36" s="23">
        <v>5536.1484737484734</v>
      </c>
      <c r="N36" s="23">
        <v>5842.0837989194888</v>
      </c>
      <c r="O36" s="23">
        <v>6045.4340618539727</v>
      </c>
      <c r="P36" s="23">
        <v>6090.7706852916363</v>
      </c>
      <c r="Q36" s="23">
        <v>6234.2134328070106</v>
      </c>
      <c r="R36" s="23">
        <v>6318.9568599336853</v>
      </c>
      <c r="S36" s="23">
        <v>6559.2155519999988</v>
      </c>
      <c r="T36" s="23">
        <v>6719.8111263818346</v>
      </c>
      <c r="U36" s="23">
        <v>6818.5278057882406</v>
      </c>
      <c r="V36" s="23">
        <v>6824.8575248147254</v>
      </c>
      <c r="W36" s="23">
        <v>6808.8569661242109</v>
      </c>
      <c r="X36" s="23">
        <v>6478.5001086694037</v>
      </c>
      <c r="Y36" s="23">
        <v>6739.8475966195037</v>
      </c>
      <c r="Z36" s="23">
        <v>6256.0046881312301</v>
      </c>
      <c r="AA36" s="23">
        <v>6342.5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50.619676993303521</v>
      </c>
      <c r="E37" s="23">
        <v>55.894180994466929</v>
      </c>
      <c r="F37" s="23">
        <v>60.805402078279442</v>
      </c>
      <c r="G37" s="23">
        <v>68.7614200847988</v>
      </c>
      <c r="H37" s="23">
        <v>81.748464682394797</v>
      </c>
      <c r="I37" s="23">
        <v>93.686072871598668</v>
      </c>
      <c r="J37" s="23">
        <v>106.48597698463696</v>
      </c>
      <c r="K37" s="23">
        <v>118.21766927954806</v>
      </c>
      <c r="L37" s="23">
        <v>126.72496514843338</v>
      </c>
      <c r="M37" s="23">
        <v>126.72396492396491</v>
      </c>
      <c r="N37" s="23">
        <v>129.58432599815524</v>
      </c>
      <c r="O37" s="23">
        <v>137.0688272017608</v>
      </c>
      <c r="P37" s="23">
        <v>148.16274940652528</v>
      </c>
      <c r="Q37" s="23">
        <v>175.33315446087326</v>
      </c>
      <c r="R37" s="23">
        <v>202.22243928667444</v>
      </c>
      <c r="S37" s="23">
        <v>180.098298</v>
      </c>
      <c r="T37" s="23">
        <v>220.69028981177175</v>
      </c>
      <c r="U37" s="23">
        <v>217.75385485727895</v>
      </c>
      <c r="V37" s="23">
        <v>257.38526886486147</v>
      </c>
      <c r="W37" s="23">
        <v>259.27551062769845</v>
      </c>
      <c r="X37" s="23">
        <v>263.56572084037674</v>
      </c>
      <c r="Y37" s="23">
        <v>277.1214433577058</v>
      </c>
      <c r="Z37" s="23">
        <v>244.91759975197064</v>
      </c>
      <c r="AA37" s="23">
        <v>312.8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307049.39376462688</v>
      </c>
      <c r="E39" s="30">
        <f t="shared" ref="E39:S39" si="3">SUM(E18:E38)</f>
        <v>311127.45419436286</v>
      </c>
      <c r="F39" s="30">
        <f t="shared" si="3"/>
        <v>318046.81859589403</v>
      </c>
      <c r="G39" s="30">
        <f t="shared" si="3"/>
        <v>324202.44182541838</v>
      </c>
      <c r="H39" s="30">
        <f t="shared" si="3"/>
        <v>338817.59224037407</v>
      </c>
      <c r="I39" s="30">
        <f t="shared" si="3"/>
        <v>347731.43228090246</v>
      </c>
      <c r="J39" s="30">
        <f t="shared" si="3"/>
        <v>364716.7913943571</v>
      </c>
      <c r="K39" s="30">
        <f t="shared" si="3"/>
        <v>376429.01081074949</v>
      </c>
      <c r="L39" s="30">
        <f t="shared" si="3"/>
        <v>372823.29475741024</v>
      </c>
      <c r="M39" s="30">
        <f t="shared" si="3"/>
        <v>355778.62730602722</v>
      </c>
      <c r="N39" s="30">
        <f t="shared" si="3"/>
        <v>376825.59588219807</v>
      </c>
      <c r="O39" s="30">
        <f t="shared" si="3"/>
        <v>390547.79048432055</v>
      </c>
      <c r="P39" s="30">
        <f t="shared" si="3"/>
        <v>388991.30142630119</v>
      </c>
      <c r="Q39" s="30">
        <f t="shared" si="3"/>
        <v>393281.5466123615</v>
      </c>
      <c r="R39" s="30">
        <f t="shared" si="3"/>
        <v>402512.47299937269</v>
      </c>
      <c r="S39" s="30">
        <f t="shared" si="3"/>
        <v>419742.13147199986</v>
      </c>
      <c r="T39" s="30">
        <f t="shared" ref="T39:Y39" si="4">SUM(T18:T38)</f>
        <v>427150.74039438303</v>
      </c>
      <c r="U39" s="30">
        <f t="shared" si="4"/>
        <v>435743.92959426739</v>
      </c>
      <c r="V39" s="30">
        <f t="shared" si="4"/>
        <v>443692.98701491463</v>
      </c>
      <c r="W39" s="30">
        <f t="shared" si="4"/>
        <v>456162.93287321489</v>
      </c>
      <c r="X39" s="30">
        <f t="shared" si="4"/>
        <v>445832.46005795704</v>
      </c>
      <c r="Y39" s="30">
        <f t="shared" si="4"/>
        <v>469750.72240622918</v>
      </c>
      <c r="Z39" s="30">
        <f t="shared" ref="Z39:AA39" si="5">SUM(Z18:Z38)</f>
        <v>476545.32633151393</v>
      </c>
      <c r="AA39" s="30">
        <f t="shared" si="5"/>
        <v>478096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4874.5053548671131</v>
      </c>
      <c r="E41" s="19">
        <v>4926.9685469196766</v>
      </c>
      <c r="F41" s="19">
        <v>5148.0225062457002</v>
      </c>
      <c r="G41" s="19">
        <v>4989.955765256108</v>
      </c>
      <c r="H41" s="19">
        <v>5005.4929647471754</v>
      </c>
      <c r="I41" s="19">
        <v>4878.2786641398789</v>
      </c>
      <c r="J41" s="19">
        <v>5051.3674747356736</v>
      </c>
      <c r="K41" s="19">
        <v>4801.6294056923753</v>
      </c>
      <c r="L41" s="19">
        <v>4622.2960897684943</v>
      </c>
      <c r="M41" s="19">
        <v>4902.9153957153949</v>
      </c>
      <c r="N41" s="19">
        <v>4926.040835419687</v>
      </c>
      <c r="O41" s="19">
        <v>5004.4635098581703</v>
      </c>
      <c r="P41" s="19">
        <v>4632.3160503031131</v>
      </c>
      <c r="Q41" s="19">
        <v>4861.1066633208511</v>
      </c>
      <c r="R41" s="19">
        <v>4742.4960838784837</v>
      </c>
      <c r="S41" s="19">
        <v>4862.2359419999993</v>
      </c>
      <c r="T41" s="19">
        <v>4947.4182611293709</v>
      </c>
      <c r="U41" s="19">
        <v>4832.4964587716859</v>
      </c>
      <c r="V41" s="19">
        <v>4989.0078046568187</v>
      </c>
      <c r="W41" s="19">
        <v>4880.1292240949851</v>
      </c>
      <c r="X41" s="19">
        <v>5076.0065382757793</v>
      </c>
      <c r="Y41" s="19">
        <v>4886.250549805336</v>
      </c>
      <c r="Z41" s="19">
        <v>4372.5745976568742</v>
      </c>
      <c r="AA41" s="19">
        <v>3814.2720000022518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782.78849781032045</v>
      </c>
      <c r="E42" s="23">
        <v>793.25746221545535</v>
      </c>
      <c r="F42" s="23">
        <v>790.84868387704103</v>
      </c>
      <c r="G42" s="23">
        <v>752.17833496710773</v>
      </c>
      <c r="H42" s="23">
        <v>723.54778153378641</v>
      </c>
      <c r="I42" s="23">
        <v>692.55436049629918</v>
      </c>
      <c r="J42" s="23">
        <v>669.44509842864659</v>
      </c>
      <c r="K42" s="23">
        <v>673.02255850623351</v>
      </c>
      <c r="L42" s="23">
        <v>624.30857005736232</v>
      </c>
      <c r="M42" s="23">
        <v>528.1669219669219</v>
      </c>
      <c r="N42" s="23">
        <v>539.22689418895777</v>
      </c>
      <c r="O42" s="23">
        <v>498.39300620185338</v>
      </c>
      <c r="P42" s="23">
        <v>477.09430656647896</v>
      </c>
      <c r="Q42" s="23">
        <v>466.9834131181716</v>
      </c>
      <c r="R42" s="23">
        <v>477.92354153597989</v>
      </c>
      <c r="S42" s="23">
        <v>512.49097799999993</v>
      </c>
      <c r="T42" s="23">
        <v>506.33847624738576</v>
      </c>
      <c r="U42" s="23">
        <v>514.66263646829964</v>
      </c>
      <c r="V42" s="23">
        <v>493.65395644152164</v>
      </c>
      <c r="W42" s="23">
        <v>505.20755355363667</v>
      </c>
      <c r="X42" s="23">
        <v>459.50464259840618</v>
      </c>
      <c r="Y42" s="23">
        <v>466.79876365017566</v>
      </c>
      <c r="Z42" s="23">
        <v>497.78962034592587</v>
      </c>
      <c r="AA42" s="23">
        <v>478.80461143777256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10793.374571911856</v>
      </c>
      <c r="E43" s="23">
        <v>10853.821887184817</v>
      </c>
      <c r="F43" s="23">
        <v>10212.406046562148</v>
      </c>
      <c r="G43" s="23">
        <v>9924.112317086132</v>
      </c>
      <c r="H43" s="23">
        <v>9330.6515682971931</v>
      </c>
      <c r="I43" s="23">
        <v>9549.2519755426038</v>
      </c>
      <c r="J43" s="23">
        <v>9643.0867644138107</v>
      </c>
      <c r="K43" s="23">
        <v>9887.7163726702438</v>
      </c>
      <c r="L43" s="23">
        <v>8011.2632538793787</v>
      </c>
      <c r="M43" s="23">
        <v>7516.0331668331664</v>
      </c>
      <c r="N43" s="23">
        <v>8007.3701673474761</v>
      </c>
      <c r="O43" s="23">
        <v>7562.544092811816</v>
      </c>
      <c r="P43" s="23">
        <v>7099.6103333267938</v>
      </c>
      <c r="Q43" s="23">
        <v>6826.1898139211671</v>
      </c>
      <c r="R43" s="23">
        <v>7478.3793888341243</v>
      </c>
      <c r="S43" s="23">
        <v>7658.5154939999984</v>
      </c>
      <c r="T43" s="23">
        <v>7293.1894831192121</v>
      </c>
      <c r="U43" s="23">
        <v>7531.6483385604824</v>
      </c>
      <c r="V43" s="23">
        <v>8214.2423834506626</v>
      </c>
      <c r="W43" s="23">
        <v>7523.654597725008</v>
      </c>
      <c r="X43" s="23">
        <v>7010.6798961603481</v>
      </c>
      <c r="Y43" s="23">
        <v>9413.9901205963342</v>
      </c>
      <c r="Z43" s="23">
        <v>10174.784486889204</v>
      </c>
      <c r="AA43" s="23">
        <v>9852.7026840623985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540.22578724193068</v>
      </c>
      <c r="E44" s="23">
        <v>557.51857848416194</v>
      </c>
      <c r="F44" s="23">
        <v>283.84264455628369</v>
      </c>
      <c r="G44" s="23">
        <v>474.78711247062154</v>
      </c>
      <c r="H44" s="23">
        <v>412.55889329925446</v>
      </c>
      <c r="I44" s="23">
        <v>505.68054492795079</v>
      </c>
      <c r="J44" s="23">
        <v>574.19388048367307</v>
      </c>
      <c r="K44" s="23">
        <v>703.25877281544592</v>
      </c>
      <c r="L44" s="23">
        <v>893.40503233768311</v>
      </c>
      <c r="M44" s="23">
        <v>1183.8313020313019</v>
      </c>
      <c r="N44" s="23">
        <v>761.66659638951114</v>
      </c>
      <c r="O44" s="23">
        <v>884.0133067294737</v>
      </c>
      <c r="P44" s="23">
        <v>989.25550607208015</v>
      </c>
      <c r="Q44" s="23">
        <v>1160.7498706713507</v>
      </c>
      <c r="R44" s="23">
        <v>1285.0439824357022</v>
      </c>
      <c r="S44" s="23">
        <v>889.30720799999983</v>
      </c>
      <c r="T44" s="23">
        <v>768.14794741559615</v>
      </c>
      <c r="U44" s="23">
        <v>958.78090833300246</v>
      </c>
      <c r="V44" s="23">
        <v>748.77673445407584</v>
      </c>
      <c r="W44" s="23">
        <v>638.75071404848882</v>
      </c>
      <c r="X44" s="23">
        <v>26.608989374547214</v>
      </c>
      <c r="Y44" s="23">
        <v>801.78618174912162</v>
      </c>
      <c r="Z44" s="23">
        <v>2010.6026212196659</v>
      </c>
      <c r="AA44" s="23">
        <v>2462.2646553023715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7632.1878536506256</v>
      </c>
      <c r="E45" s="23">
        <v>8257.4661958802117</v>
      </c>
      <c r="F45" s="23">
        <v>8537.0419586692005</v>
      </c>
      <c r="G45" s="23">
        <v>8120.3893114185285</v>
      </c>
      <c r="H45" s="23">
        <v>7941.5412770155626</v>
      </c>
      <c r="I45" s="23">
        <v>8315.6071347059533</v>
      </c>
      <c r="J45" s="23">
        <v>8399.7664029071439</v>
      </c>
      <c r="K45" s="23">
        <v>8069.8402761872039</v>
      </c>
      <c r="L45" s="23">
        <v>7516.7857118276224</v>
      </c>
      <c r="M45" s="23">
        <v>8496.89123624688</v>
      </c>
      <c r="N45" s="23">
        <v>8147.5368562418626</v>
      </c>
      <c r="O45" s="23">
        <v>7540.5212417170569</v>
      </c>
      <c r="P45" s="23">
        <v>7255.577418787173</v>
      </c>
      <c r="Q45" s="23">
        <v>6704.4798396884189</v>
      </c>
      <c r="R45" s="23">
        <v>6125.0296330684123</v>
      </c>
      <c r="S45" s="23">
        <v>6858.9787985643488</v>
      </c>
      <c r="T45" s="23">
        <v>6525.9453403726502</v>
      </c>
      <c r="U45" s="23">
        <v>6232.2937212538627</v>
      </c>
      <c r="V45" s="23">
        <v>6509.0295402389638</v>
      </c>
      <c r="W45" s="23">
        <v>7213.6004553440271</v>
      </c>
      <c r="X45" s="23">
        <v>7337.1003207043632</v>
      </c>
      <c r="Y45" s="23">
        <v>6839.654949742403</v>
      </c>
      <c r="Z45" s="23">
        <v>8092.6055048340313</v>
      </c>
      <c r="AA45" s="23">
        <v>8199.1697302515458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1908.0469634126555</v>
      </c>
      <c r="E46" s="23">
        <v>2134.4523900308805</v>
      </c>
      <c r="F46" s="23">
        <v>2551.1132605639264</v>
      </c>
      <c r="G46" s="23">
        <v>2266.6589577645336</v>
      </c>
      <c r="H46" s="23">
        <v>2110.3188848199761</v>
      </c>
      <c r="I46" s="23">
        <v>2405.2190819064854</v>
      </c>
      <c r="J46" s="23">
        <v>2606.2675967423729</v>
      </c>
      <c r="K46" s="23">
        <v>2443.587872599554</v>
      </c>
      <c r="L46" s="23">
        <v>1871.9695524729514</v>
      </c>
      <c r="M46" s="23">
        <v>2383.4504886948462</v>
      </c>
      <c r="N46" s="23">
        <v>2710.5737050969242</v>
      </c>
      <c r="O46" s="23">
        <v>2444.1096564717454</v>
      </c>
      <c r="P46" s="23">
        <v>2397.456408290971</v>
      </c>
      <c r="Q46" s="23">
        <v>1919.0261306625116</v>
      </c>
      <c r="R46" s="23">
        <v>1253.9558136562059</v>
      </c>
      <c r="S46" s="23">
        <v>1903.1222034356622</v>
      </c>
      <c r="T46" s="23">
        <v>1608.1574262840611</v>
      </c>
      <c r="U46" s="23">
        <v>1359.6285523576321</v>
      </c>
      <c r="V46" s="23">
        <v>1444.1644939193006</v>
      </c>
      <c r="W46" s="23">
        <v>2067.4864738323208</v>
      </c>
      <c r="X46" s="23">
        <v>2349.8338980833787</v>
      </c>
      <c r="Y46" s="23">
        <v>2130.9607125878611</v>
      </c>
      <c r="Z46" s="23">
        <v>3594.5009692966919</v>
      </c>
      <c r="AA46" s="23">
        <v>4837.9733439911333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3101.7267627499596</v>
      </c>
      <c r="E47" s="23">
        <v>3154.7866092316831</v>
      </c>
      <c r="F47" s="23">
        <v>3225.7139650240774</v>
      </c>
      <c r="G47" s="23">
        <v>3213.3927554888915</v>
      </c>
      <c r="H47" s="23">
        <v>3119.2456343270396</v>
      </c>
      <c r="I47" s="23">
        <v>3165.0195230092609</v>
      </c>
      <c r="J47" s="23">
        <v>3372.0152321981427</v>
      </c>
      <c r="K47" s="23">
        <v>3685.0237972615796</v>
      </c>
      <c r="L47" s="23">
        <v>3479.0243023973308</v>
      </c>
      <c r="M47" s="23">
        <v>2845.9392163392163</v>
      </c>
      <c r="N47" s="23">
        <v>3313.6399393859533</v>
      </c>
      <c r="O47" s="23">
        <v>3710.8562959610817</v>
      </c>
      <c r="P47" s="23">
        <v>3570.1583194365421</v>
      </c>
      <c r="Q47" s="23">
        <v>3237.3077828822916</v>
      </c>
      <c r="R47" s="23">
        <v>3281.5612510081546</v>
      </c>
      <c r="S47" s="23">
        <v>3437.0239319999991</v>
      </c>
      <c r="T47" s="23">
        <v>3381.0376994323278</v>
      </c>
      <c r="U47" s="23">
        <v>3524.6246873635314</v>
      </c>
      <c r="V47" s="23">
        <v>3343.0995784330898</v>
      </c>
      <c r="W47" s="23">
        <v>3422.4367402856196</v>
      </c>
      <c r="X47" s="23">
        <v>3465.5842248249214</v>
      </c>
      <c r="Y47" s="23">
        <v>3368.9312429968663</v>
      </c>
      <c r="Z47" s="23">
        <v>3282.5243341256496</v>
      </c>
      <c r="AA47" s="23">
        <v>3018.0072293302969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8322.9405751094837</v>
      </c>
      <c r="E48" s="23">
        <v>8274.9264807456639</v>
      </c>
      <c r="F48" s="23">
        <v>8188.6710670190805</v>
      </c>
      <c r="G48" s="23">
        <v>7881.3919972599815</v>
      </c>
      <c r="H48" s="23">
        <v>8490.8830779378331</v>
      </c>
      <c r="I48" s="23">
        <v>8999.3446275968108</v>
      </c>
      <c r="J48" s="23">
        <v>9374.551599976634</v>
      </c>
      <c r="K48" s="23">
        <v>10723.303048109537</v>
      </c>
      <c r="L48" s="23">
        <v>9555.3729140480373</v>
      </c>
      <c r="M48" s="23">
        <v>6175.6984126984125</v>
      </c>
      <c r="N48" s="23">
        <v>8732.1930359731195</v>
      </c>
      <c r="O48" s="23">
        <v>8761.6544446615717</v>
      </c>
      <c r="P48" s="23">
        <v>8740.4743324635565</v>
      </c>
      <c r="Q48" s="23">
        <v>8931.8017816469146</v>
      </c>
      <c r="R48" s="23">
        <v>8948.6811900707944</v>
      </c>
      <c r="S48" s="23">
        <v>8803.8068759999987</v>
      </c>
      <c r="T48" s="23">
        <v>9048.1977830893338</v>
      </c>
      <c r="U48" s="23">
        <v>9185.2912382389131</v>
      </c>
      <c r="V48" s="23">
        <v>9745.3022645048895</v>
      </c>
      <c r="W48" s="23">
        <v>9723.9164833111918</v>
      </c>
      <c r="X48" s="23">
        <v>9408.6441560009662</v>
      </c>
      <c r="Y48" s="23">
        <v>9994.8334896970846</v>
      </c>
      <c r="Z48" s="23">
        <v>10586.843127049297</v>
      </c>
      <c r="AA48" s="23">
        <v>10148.83877150091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8232.6001946381821</v>
      </c>
      <c r="E49" s="23">
        <v>5265.1800958074928</v>
      </c>
      <c r="F49" s="23">
        <v>5571.6418842101448</v>
      </c>
      <c r="G49" s="23">
        <v>4968.5989866660357</v>
      </c>
      <c r="H49" s="23">
        <v>5590.9055393929393</v>
      </c>
      <c r="I49" s="23">
        <v>5070.7586941752779</v>
      </c>
      <c r="J49" s="23">
        <v>5339.3192336000939</v>
      </c>
      <c r="K49" s="23">
        <v>5323.5894660419945</v>
      </c>
      <c r="L49" s="23">
        <v>4884.3456406974883</v>
      </c>
      <c r="M49" s="23">
        <v>3900.5971583971582</v>
      </c>
      <c r="N49" s="23">
        <v>3190.3684016339439</v>
      </c>
      <c r="O49" s="23">
        <v>2541.094798876878</v>
      </c>
      <c r="P49" s="23">
        <v>3074.8128229777717</v>
      </c>
      <c r="Q49" s="23">
        <v>2893.8041057020423</v>
      </c>
      <c r="R49" s="23">
        <v>2589.9667532933058</v>
      </c>
      <c r="S49" s="23">
        <v>2456.1519479999997</v>
      </c>
      <c r="T49" s="23">
        <v>2346.1876187630719</v>
      </c>
      <c r="U49" s="23">
        <v>2291.3432073524154</v>
      </c>
      <c r="V49" s="23">
        <v>2100.4534122182249</v>
      </c>
      <c r="W49" s="23">
        <v>2427.2093199933579</v>
      </c>
      <c r="X49" s="23">
        <v>2538.5817254286403</v>
      </c>
      <c r="Y49" s="23">
        <v>2917.5170866964199</v>
      </c>
      <c r="Z49" s="23">
        <v>3041.5348434314492</v>
      </c>
      <c r="AA49" s="23">
        <v>2892.5901834825891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2717.7195958940611</v>
      </c>
      <c r="E50" s="23">
        <v>3048.303019050094</v>
      </c>
      <c r="F50" s="23">
        <v>2882.9582026865564</v>
      </c>
      <c r="G50" s="23">
        <v>2798.6021424100336</v>
      </c>
      <c r="H50" s="23">
        <v>2669.2597331009056</v>
      </c>
      <c r="I50" s="23">
        <v>2699.8283047877853</v>
      </c>
      <c r="J50" s="23">
        <v>2774.7412489047256</v>
      </c>
      <c r="K50" s="23">
        <v>2900.1865325059839</v>
      </c>
      <c r="L50" s="23">
        <v>2776.9608291244831</v>
      </c>
      <c r="M50" s="23">
        <v>2170.4218448218444</v>
      </c>
      <c r="N50" s="23">
        <v>2262.0441955461852</v>
      </c>
      <c r="O50" s="23">
        <v>2633.5490666364972</v>
      </c>
      <c r="P50" s="23">
        <v>2333.076262973063</v>
      </c>
      <c r="Q50" s="23">
        <v>2211.3364475157318</v>
      </c>
      <c r="R50" s="23">
        <v>1836.3421095080205</v>
      </c>
      <c r="S50" s="23">
        <v>2570.9214959999995</v>
      </c>
      <c r="T50" s="23">
        <v>2369.0894412907087</v>
      </c>
      <c r="U50" s="23">
        <v>2439.6938564452735</v>
      </c>
      <c r="V50" s="23">
        <v>2411.9229862191937</v>
      </c>
      <c r="W50" s="23">
        <v>2249.5133842577216</v>
      </c>
      <c r="X50" s="23">
        <v>1955.497784351606</v>
      </c>
      <c r="Y50" s="23">
        <v>2079.9989136834106</v>
      </c>
      <c r="Z50" s="23">
        <v>2195.3219496613083</v>
      </c>
      <c r="AA50" s="23">
        <v>2100.7297868305354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6947.8534165952224</v>
      </c>
      <c r="E51" s="23">
        <v>7725.1709829551774</v>
      </c>
      <c r="F51" s="23">
        <v>8013.1932365400626</v>
      </c>
      <c r="G51" s="23">
        <v>7828.9259226889953</v>
      </c>
      <c r="H51" s="23">
        <v>7800.945734443646</v>
      </c>
      <c r="I51" s="23">
        <v>8478.9633425108168</v>
      </c>
      <c r="J51" s="23">
        <v>9236.6815678485891</v>
      </c>
      <c r="K51" s="23">
        <v>9824.991049652308</v>
      </c>
      <c r="L51" s="23">
        <v>9246.861523870466</v>
      </c>
      <c r="M51" s="23">
        <v>5606.7941835941829</v>
      </c>
      <c r="N51" s="23">
        <v>8503.3257675583081</v>
      </c>
      <c r="O51" s="23">
        <v>9512.3615978771759</v>
      </c>
      <c r="P51" s="23">
        <v>9007.8850248180333</v>
      </c>
      <c r="Q51" s="23">
        <v>7340.9913600741229</v>
      </c>
      <c r="R51" s="23">
        <v>7712.7617528452374</v>
      </c>
      <c r="S51" s="23">
        <v>8376.609113999999</v>
      </c>
      <c r="T51" s="23">
        <v>8430.993665969525</v>
      </c>
      <c r="U51" s="23">
        <v>9561.9773968795907</v>
      </c>
      <c r="V51" s="23">
        <v>9719.7684391717085</v>
      </c>
      <c r="W51" s="23">
        <v>9598.2926166555972</v>
      </c>
      <c r="X51" s="23">
        <v>8628.9902499396285</v>
      </c>
      <c r="Y51" s="23">
        <v>10862.525344221822</v>
      </c>
      <c r="Z51" s="23">
        <v>11861.416313569276</v>
      </c>
      <c r="AA51" s="23">
        <v>11544.997423224469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8946.9673587135348</v>
      </c>
      <c r="E52" s="23">
        <v>7409.6017527572494</v>
      </c>
      <c r="F52" s="23">
        <v>7180.9666027010389</v>
      </c>
      <c r="G52" s="23">
        <v>7896.9466452504375</v>
      </c>
      <c r="H52" s="23">
        <v>8093.9598096606633</v>
      </c>
      <c r="I52" s="23">
        <v>7492.2695963099359</v>
      </c>
      <c r="J52" s="23">
        <v>7694.1003049243536</v>
      </c>
      <c r="K52" s="23">
        <v>7832.9581069277274</v>
      </c>
      <c r="L52" s="23">
        <v>7650.9152615581506</v>
      </c>
      <c r="M52" s="23">
        <v>5859.2107892107888</v>
      </c>
      <c r="N52" s="23">
        <v>8689.0365199631051</v>
      </c>
      <c r="O52" s="23">
        <v>9986.5659875140118</v>
      </c>
      <c r="P52" s="23">
        <v>8339.9735025798982</v>
      </c>
      <c r="Q52" s="23">
        <v>9261.7872524418017</v>
      </c>
      <c r="R52" s="23">
        <v>9855.5078053589023</v>
      </c>
      <c r="S52" s="23">
        <v>13333.650137999997</v>
      </c>
      <c r="T52" s="23">
        <v>14195.590594562296</v>
      </c>
      <c r="U52" s="23">
        <v>14030.029219103575</v>
      </c>
      <c r="V52" s="23">
        <v>14302.713004669185</v>
      </c>
      <c r="W52" s="23">
        <v>14083.975917469279</v>
      </c>
      <c r="X52" s="23">
        <v>11829.010450374306</v>
      </c>
      <c r="Y52" s="23">
        <v>14519.595394549426</v>
      </c>
      <c r="Z52" s="23">
        <v>12948.422292580728</v>
      </c>
      <c r="AA52" s="23">
        <v>11155.297210950612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3790.1785898000362</v>
      </c>
      <c r="E53" s="23">
        <v>4021.2757993241576</v>
      </c>
      <c r="F53" s="23">
        <v>4139.1826713494402</v>
      </c>
      <c r="G53" s="23">
        <v>4180.6202714034407</v>
      </c>
      <c r="H53" s="23">
        <v>4141.3476731722867</v>
      </c>
      <c r="I53" s="23">
        <v>4267.9487824936568</v>
      </c>
      <c r="J53" s="23">
        <v>4538.1099503475634</v>
      </c>
      <c r="K53" s="23">
        <v>4730.4853720236488</v>
      </c>
      <c r="L53" s="23">
        <v>4412.2025801586014</v>
      </c>
      <c r="M53" s="23">
        <v>4033.251237651245</v>
      </c>
      <c r="N53" s="23">
        <v>3987.1570562656343</v>
      </c>
      <c r="O53" s="23">
        <v>4048.8518980962672</v>
      </c>
      <c r="P53" s="23">
        <v>3839.5171725098494</v>
      </c>
      <c r="Q53" s="23">
        <v>3469.841109137923</v>
      </c>
      <c r="R53" s="23">
        <v>3553.8277981898004</v>
      </c>
      <c r="S53" s="23">
        <v>3384.0292499999841</v>
      </c>
      <c r="T53" s="23">
        <v>3834.5978846728326</v>
      </c>
      <c r="U53" s="23">
        <v>3300.2313628965144</v>
      </c>
      <c r="V53" s="23">
        <v>3358.075113122165</v>
      </c>
      <c r="W53" s="23">
        <v>3491.8661657256835</v>
      </c>
      <c r="X53" s="23">
        <v>3549.5129739193371</v>
      </c>
      <c r="Y53" s="23">
        <v>80.297724812452671</v>
      </c>
      <c r="Z53" s="23">
        <v>884.70836253629705</v>
      </c>
      <c r="AA53" s="23">
        <v>1176.6523696331278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68591.115522394975</v>
      </c>
      <c r="E54" s="30">
        <f t="shared" ref="E54:S54" si="6">SUM(E41:E53)</f>
        <v>66422.72980058672</v>
      </c>
      <c r="F54" s="30">
        <f t="shared" si="6"/>
        <v>66725.602730004699</v>
      </c>
      <c r="G54" s="30">
        <f t="shared" si="6"/>
        <v>65296.560520130835</v>
      </c>
      <c r="H54" s="30">
        <f t="shared" si="6"/>
        <v>65430.658571748252</v>
      </c>
      <c r="I54" s="30">
        <f t="shared" si="6"/>
        <v>66520.724632602709</v>
      </c>
      <c r="J54" s="30">
        <f t="shared" si="6"/>
        <v>69273.646355511417</v>
      </c>
      <c r="K54" s="30">
        <f t="shared" si="6"/>
        <v>71599.592630993837</v>
      </c>
      <c r="L54" s="30">
        <f t="shared" si="6"/>
        <v>65545.711262198049</v>
      </c>
      <c r="M54" s="30">
        <f t="shared" si="6"/>
        <v>55603.201354201352</v>
      </c>
      <c r="N54" s="30">
        <f t="shared" si="6"/>
        <v>63770.179971010679</v>
      </c>
      <c r="O54" s="30">
        <f t="shared" si="6"/>
        <v>65128.978903413605</v>
      </c>
      <c r="P54" s="30">
        <f t="shared" si="6"/>
        <v>61757.207461105325</v>
      </c>
      <c r="Q54" s="30">
        <f t="shared" si="6"/>
        <v>59285.405570783303</v>
      </c>
      <c r="R54" s="30">
        <f t="shared" si="6"/>
        <v>59141.477103683123</v>
      </c>
      <c r="S54" s="30">
        <f t="shared" si="6"/>
        <v>65046.84337799999</v>
      </c>
      <c r="T54" s="30">
        <f t="shared" ref="T54:Y54" si="7">SUM(T41:T53)</f>
        <v>65254.891622348361</v>
      </c>
      <c r="U54" s="30">
        <f t="shared" si="7"/>
        <v>65762.701584024791</v>
      </c>
      <c r="V54" s="30">
        <f t="shared" si="7"/>
        <v>67380.209711499803</v>
      </c>
      <c r="W54" s="30">
        <f t="shared" si="7"/>
        <v>67826.039646296922</v>
      </c>
      <c r="X54" s="30">
        <f t="shared" si="7"/>
        <v>63635.555850036217</v>
      </c>
      <c r="Y54" s="30">
        <f t="shared" si="7"/>
        <v>68363.140474788714</v>
      </c>
      <c r="Z54" s="30">
        <f t="shared" ref="Z54:AA54" si="8">SUM(Z41:Z53)</f>
        <v>73543.629023196409</v>
      </c>
      <c r="AA54" s="30">
        <f t="shared" si="8"/>
        <v>71682.3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4874.5053548671131</v>
      </c>
      <c r="E56" s="19">
        <v>4926.9685469196766</v>
      </c>
      <c r="F56" s="19">
        <v>5148.0225062457002</v>
      </c>
      <c r="G56" s="19">
        <v>4989.955765256108</v>
      </c>
      <c r="H56" s="19">
        <v>5005.4929647471754</v>
      </c>
      <c r="I56" s="19">
        <v>4878.2786641398789</v>
      </c>
      <c r="J56" s="19">
        <v>5051.3674747356736</v>
      </c>
      <c r="K56" s="19">
        <v>4801.6294056923753</v>
      </c>
      <c r="L56" s="19">
        <v>4622.2960897684943</v>
      </c>
      <c r="M56" s="19">
        <v>4902.9153957153949</v>
      </c>
      <c r="N56" s="19">
        <v>4926.040835419687</v>
      </c>
      <c r="O56" s="19">
        <v>5004.4635098581703</v>
      </c>
      <c r="P56" s="19">
        <v>4632.3160503031131</v>
      </c>
      <c r="Q56" s="19">
        <v>4861.1066633208511</v>
      </c>
      <c r="R56" s="19">
        <v>4742.4960838784837</v>
      </c>
      <c r="S56" s="19">
        <v>4862.2359419999993</v>
      </c>
      <c r="T56" s="19">
        <v>4947.4182611293709</v>
      </c>
      <c r="U56" s="19">
        <v>4832.4964587716859</v>
      </c>
      <c r="V56" s="19">
        <v>4989.0078046568187</v>
      </c>
      <c r="W56" s="19">
        <v>4880.1292240949851</v>
      </c>
      <c r="X56" s="19">
        <v>5076.0065382757793</v>
      </c>
      <c r="Y56" s="19">
        <v>4886.250549805336</v>
      </c>
      <c r="Z56" s="19">
        <v>4372.5745976568742</v>
      </c>
      <c r="AA56" s="19">
        <v>3814.2720000022518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782.78849781032045</v>
      </c>
      <c r="E57" s="23">
        <v>793.25746221545535</v>
      </c>
      <c r="F57" s="23">
        <v>790.84868387704103</v>
      </c>
      <c r="G57" s="23">
        <v>752.17833496710773</v>
      </c>
      <c r="H57" s="23">
        <v>723.54778153378641</v>
      </c>
      <c r="I57" s="23">
        <v>692.55436049629918</v>
      </c>
      <c r="J57" s="23">
        <v>669.44509842864659</v>
      </c>
      <c r="K57" s="23">
        <v>673.02255850623351</v>
      </c>
      <c r="L57" s="23">
        <v>624.30857005736232</v>
      </c>
      <c r="M57" s="23">
        <v>528.1669219669219</v>
      </c>
      <c r="N57" s="23">
        <v>539.22689418895777</v>
      </c>
      <c r="O57" s="23">
        <v>498.39300620185338</v>
      </c>
      <c r="P57" s="23">
        <v>477.09430656647896</v>
      </c>
      <c r="Q57" s="23">
        <v>466.9834131181716</v>
      </c>
      <c r="R57" s="23">
        <v>477.92354153597989</v>
      </c>
      <c r="S57" s="23">
        <v>512.49097799999993</v>
      </c>
      <c r="T57" s="23">
        <v>506.33847624738576</v>
      </c>
      <c r="U57" s="23">
        <v>514.66263646829964</v>
      </c>
      <c r="V57" s="23">
        <v>493.65395644152164</v>
      </c>
      <c r="W57" s="23">
        <v>505.20755355363667</v>
      </c>
      <c r="X57" s="23">
        <v>459.50464259840618</v>
      </c>
      <c r="Y57" s="23">
        <v>466.79876365017566</v>
      </c>
      <c r="Z57" s="23">
        <v>497.78962034592587</v>
      </c>
      <c r="AA57" s="23">
        <v>478.80461143777256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2223.5116968278612</v>
      </c>
      <c r="E58" s="23">
        <v>2222.6993872776557</v>
      </c>
      <c r="F58" s="23">
        <v>2333.9434519714687</v>
      </c>
      <c r="G58" s="23">
        <v>2510.3473562376726</v>
      </c>
      <c r="H58" s="23">
        <v>2413.5495506531138</v>
      </c>
      <c r="I58" s="23">
        <v>3072.703858118497</v>
      </c>
      <c r="J58" s="23">
        <v>3200.3188060050234</v>
      </c>
      <c r="K58" s="23">
        <v>3596.3309019545563</v>
      </c>
      <c r="L58" s="23">
        <v>2498.6675503348038</v>
      </c>
      <c r="M58" s="23">
        <v>2337.7542013542015</v>
      </c>
      <c r="N58" s="23">
        <v>2580.7826129924892</v>
      </c>
      <c r="O58" s="23">
        <v>2137.7361795349125</v>
      </c>
      <c r="P58" s="23">
        <v>1961.3877047733024</v>
      </c>
      <c r="Q58" s="23">
        <v>2033.4812396247539</v>
      </c>
      <c r="R58" s="23">
        <v>2397.2153597992651</v>
      </c>
      <c r="S58" s="23">
        <v>2606.1467579999999</v>
      </c>
      <c r="T58" s="23">
        <v>2354.827851807589</v>
      </c>
      <c r="U58" s="23">
        <v>2691.6824764778271</v>
      </c>
      <c r="V58" s="23">
        <v>2655.194621672043</v>
      </c>
      <c r="W58" s="23">
        <v>2459.6458796911324</v>
      </c>
      <c r="X58" s="23">
        <v>2410.374776624004</v>
      </c>
      <c r="Y58" s="23">
        <v>4306.2012249548952</v>
      </c>
      <c r="Z58" s="23">
        <v>3877.2400454720546</v>
      </c>
      <c r="AA58" s="23">
        <v>3390.4559554417051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6837.1682855620174</v>
      </c>
      <c r="E59" s="23">
        <v>6944.7226038842873</v>
      </c>
      <c r="F59" s="23">
        <v>6285.5376733408157</v>
      </c>
      <c r="G59" s="23">
        <v>5921.8766992240544</v>
      </c>
      <c r="H59" s="23">
        <v>5408.5719909070567</v>
      </c>
      <c r="I59" s="23">
        <v>5010.7099081059823</v>
      </c>
      <c r="J59" s="23">
        <v>5019.494951807932</v>
      </c>
      <c r="K59" s="23">
        <v>4880.5992830646719</v>
      </c>
      <c r="L59" s="23">
        <v>4173.921425143405</v>
      </c>
      <c r="M59" s="23">
        <v>4050.9126651126653</v>
      </c>
      <c r="N59" s="23">
        <v>4304.9772499670571</v>
      </c>
      <c r="O59" s="23">
        <v>4300.3060054099087</v>
      </c>
      <c r="P59" s="23">
        <v>4035.256057365953</v>
      </c>
      <c r="Q59" s="23">
        <v>3834.2273887194528</v>
      </c>
      <c r="R59" s="23">
        <v>4114.3888162021685</v>
      </c>
      <c r="S59" s="23">
        <v>4140.3793859999996</v>
      </c>
      <c r="T59" s="23">
        <v>4048.2094293397076</v>
      </c>
      <c r="U59" s="23">
        <v>4105.9932450672914</v>
      </c>
      <c r="V59" s="23">
        <v>4767.822389428874</v>
      </c>
      <c r="W59" s="23">
        <v>4416.2538753736299</v>
      </c>
      <c r="X59" s="23">
        <v>4015.7487442646702</v>
      </c>
      <c r="Y59" s="23">
        <v>4515.134118317349</v>
      </c>
      <c r="Z59" s="23">
        <v>5738.4763197700095</v>
      </c>
      <c r="AA59" s="23">
        <v>5961.8465780522101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1732.6945895219772</v>
      </c>
      <c r="E60" s="23">
        <v>1686.3998960228741</v>
      </c>
      <c r="F60" s="23">
        <v>1592.9249212498639</v>
      </c>
      <c r="G60" s="23">
        <v>1491.8882616244048</v>
      </c>
      <c r="H60" s="23">
        <v>1508.5300267370233</v>
      </c>
      <c r="I60" s="23">
        <v>1465.8382093181253</v>
      </c>
      <c r="J60" s="23">
        <v>1423.2730066008539</v>
      </c>
      <c r="K60" s="23">
        <v>1410.7861876510149</v>
      </c>
      <c r="L60" s="23">
        <v>1338.6742784011692</v>
      </c>
      <c r="M60" s="23">
        <v>1127.3663003662991</v>
      </c>
      <c r="N60" s="23">
        <v>1121.6103043879298</v>
      </c>
      <c r="O60" s="23">
        <v>1124.5019078669943</v>
      </c>
      <c r="P60" s="23">
        <v>1102.9665711875386</v>
      </c>
      <c r="Q60" s="23">
        <v>958.48118557696057</v>
      </c>
      <c r="R60" s="23">
        <v>966.77521283269073</v>
      </c>
      <c r="S60" s="23">
        <v>911.98934999999983</v>
      </c>
      <c r="T60" s="23">
        <v>890.15220197191559</v>
      </c>
      <c r="U60" s="23">
        <v>733.97261701536377</v>
      </c>
      <c r="V60" s="23">
        <v>791.22537234974641</v>
      </c>
      <c r="W60" s="23">
        <v>647.75484266024512</v>
      </c>
      <c r="X60" s="23">
        <v>584.55637527167369</v>
      </c>
      <c r="Y60" s="23">
        <v>592.65477732409113</v>
      </c>
      <c r="Z60" s="23">
        <v>559.06812164713995</v>
      </c>
      <c r="AA60" s="23">
        <v>500.40015056848279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540.22578724193068</v>
      </c>
      <c r="E61" s="23">
        <v>557.51857848416194</v>
      </c>
      <c r="F61" s="23">
        <v>283.84264455628369</v>
      </c>
      <c r="G61" s="23">
        <v>474.78711247062154</v>
      </c>
      <c r="H61" s="23">
        <v>412.55889329925446</v>
      </c>
      <c r="I61" s="23">
        <v>505.68054492795079</v>
      </c>
      <c r="J61" s="23">
        <v>574.19388048367307</v>
      </c>
      <c r="K61" s="23">
        <v>703.25877281544592</v>
      </c>
      <c r="L61" s="23">
        <v>893.40503233768311</v>
      </c>
      <c r="M61" s="23">
        <v>1183.8313020313019</v>
      </c>
      <c r="N61" s="23">
        <v>761.66659638951114</v>
      </c>
      <c r="O61" s="23">
        <v>884.0133067294737</v>
      </c>
      <c r="P61" s="23">
        <v>989.25550607208015</v>
      </c>
      <c r="Q61" s="23">
        <v>1160.7498706713507</v>
      </c>
      <c r="R61" s="23">
        <v>1285.0439824357022</v>
      </c>
      <c r="S61" s="23">
        <v>889.30720799999983</v>
      </c>
      <c r="T61" s="23">
        <v>768.14794741559615</v>
      </c>
      <c r="U61" s="23">
        <v>958.78090833300246</v>
      </c>
      <c r="V61" s="23">
        <v>748.77673445407584</v>
      </c>
      <c r="W61" s="23">
        <v>638.75071404848882</v>
      </c>
      <c r="X61" s="23">
        <v>26.608989374547214</v>
      </c>
      <c r="Y61" s="23">
        <v>801.78618174912162</v>
      </c>
      <c r="Z61" s="23">
        <v>2010.6026212196659</v>
      </c>
      <c r="AA61" s="23">
        <v>2462.2646553023715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7632.1878536506256</v>
      </c>
      <c r="E62" s="23">
        <v>8257.4661958802117</v>
      </c>
      <c r="F62" s="23">
        <v>8537.0419586692005</v>
      </c>
      <c r="G62" s="23">
        <v>8120.3893114185285</v>
      </c>
      <c r="H62" s="23">
        <v>7941.5412770155626</v>
      </c>
      <c r="I62" s="23">
        <v>8315.6071347059533</v>
      </c>
      <c r="J62" s="23">
        <v>8399.7664029071439</v>
      </c>
      <c r="K62" s="23">
        <v>8069.8402761872039</v>
      </c>
      <c r="L62" s="23">
        <v>7516.7857118276224</v>
      </c>
      <c r="M62" s="23">
        <v>8496.89123624688</v>
      </c>
      <c r="N62" s="23">
        <v>8147.5368562418626</v>
      </c>
      <c r="O62" s="23">
        <v>7540.5212417170569</v>
      </c>
      <c r="P62" s="23">
        <v>7255.577418787173</v>
      </c>
      <c r="Q62" s="23">
        <v>6704.4798396884189</v>
      </c>
      <c r="R62" s="23">
        <v>6125.0296330684123</v>
      </c>
      <c r="S62" s="23">
        <v>6858.9787985643488</v>
      </c>
      <c r="T62" s="23">
        <v>6525.9453403726502</v>
      </c>
      <c r="U62" s="23">
        <v>6232.2937212538627</v>
      </c>
      <c r="V62" s="23">
        <v>6509.0295402389638</v>
      </c>
      <c r="W62" s="23">
        <v>7213.6004553440271</v>
      </c>
      <c r="X62" s="23">
        <v>7337.1003207043632</v>
      </c>
      <c r="Y62" s="23">
        <v>6839.654949742403</v>
      </c>
      <c r="Z62" s="23">
        <v>8092.6055048340313</v>
      </c>
      <c r="AA62" s="23">
        <v>8199.1697302515458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1908.0469634126555</v>
      </c>
      <c r="E63" s="23">
        <v>2134.4523900308805</v>
      </c>
      <c r="F63" s="23">
        <v>2551.1132605639264</v>
      </c>
      <c r="G63" s="23">
        <v>2266.6589577645336</v>
      </c>
      <c r="H63" s="23">
        <v>2110.3188848199761</v>
      </c>
      <c r="I63" s="23">
        <v>2405.2190819064854</v>
      </c>
      <c r="J63" s="23">
        <v>2606.2675967423729</v>
      </c>
      <c r="K63" s="23">
        <v>2443.587872599554</v>
      </c>
      <c r="L63" s="23">
        <v>1871.9695524729514</v>
      </c>
      <c r="M63" s="23">
        <v>2383.4504886948462</v>
      </c>
      <c r="N63" s="23">
        <v>2710.5737050969242</v>
      </c>
      <c r="O63" s="23">
        <v>2444.1096564717454</v>
      </c>
      <c r="P63" s="23">
        <v>2397.456408290971</v>
      </c>
      <c r="Q63" s="23">
        <v>1919.0261306625116</v>
      </c>
      <c r="R63" s="23">
        <v>1253.9558136562059</v>
      </c>
      <c r="S63" s="23">
        <v>1903.1222034356622</v>
      </c>
      <c r="T63" s="23">
        <v>1608.1574262840611</v>
      </c>
      <c r="U63" s="23">
        <v>1359.6285523576321</v>
      </c>
      <c r="V63" s="23">
        <v>1444.1644939193006</v>
      </c>
      <c r="W63" s="23">
        <v>2067.4864738323208</v>
      </c>
      <c r="X63" s="23">
        <v>2349.8338980833787</v>
      </c>
      <c r="Y63" s="23">
        <v>2130.9607125878611</v>
      </c>
      <c r="Z63" s="23">
        <v>3594.5009692966919</v>
      </c>
      <c r="AA63" s="23">
        <v>4837.9733439911333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1917.3716407535278</v>
      </c>
      <c r="E64" s="23">
        <v>1900.0139997771917</v>
      </c>
      <c r="F64" s="23">
        <v>1939.2129476085302</v>
      </c>
      <c r="G64" s="23">
        <v>1988.0321526850985</v>
      </c>
      <c r="H64" s="23">
        <v>1882.1845302175475</v>
      </c>
      <c r="I64" s="23">
        <v>1837.2187721242894</v>
      </c>
      <c r="J64" s="23">
        <v>1954.6038390092879</v>
      </c>
      <c r="K64" s="23">
        <v>2085.231626830624</v>
      </c>
      <c r="L64" s="23">
        <v>1863.0122586100508</v>
      </c>
      <c r="M64" s="23">
        <v>1570.0622266622267</v>
      </c>
      <c r="N64" s="23">
        <v>1810.3928910264856</v>
      </c>
      <c r="O64" s="23">
        <v>1850.8054345925598</v>
      </c>
      <c r="P64" s="23">
        <v>1720.6360538345332</v>
      </c>
      <c r="Q64" s="23">
        <v>1654.7696965602438</v>
      </c>
      <c r="R64" s="23">
        <v>1714.4674433192938</v>
      </c>
      <c r="S64" s="23">
        <v>1825.2330119999997</v>
      </c>
      <c r="T64" s="23">
        <v>1749.6992411114431</v>
      </c>
      <c r="U64" s="23">
        <v>1788.5071261264836</v>
      </c>
      <c r="V64" s="23">
        <v>1737.0542862738223</v>
      </c>
      <c r="W64" s="23">
        <v>1734.9762516605779</v>
      </c>
      <c r="X64" s="23">
        <v>1791.7420671335426</v>
      </c>
      <c r="Y64" s="23">
        <v>1721.9842123255153</v>
      </c>
      <c r="Z64" s="23">
        <v>1676.3205404034236</v>
      </c>
      <c r="AA64" s="23">
        <v>1540.9614119949579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1184.355121996432</v>
      </c>
      <c r="E65" s="23">
        <v>1254.7726094544914</v>
      </c>
      <c r="F65" s="23">
        <v>1286.501017415547</v>
      </c>
      <c r="G65" s="23">
        <v>1225.3606028037932</v>
      </c>
      <c r="H65" s="23">
        <v>1237.0611041094921</v>
      </c>
      <c r="I65" s="23">
        <v>1327.8007508849714</v>
      </c>
      <c r="J65" s="23">
        <v>1417.4113931888548</v>
      </c>
      <c r="K65" s="23">
        <v>1599.7921704309556</v>
      </c>
      <c r="L65" s="23">
        <v>1616.0120437872799</v>
      </c>
      <c r="M65" s="23">
        <v>1275.8769896769893</v>
      </c>
      <c r="N65" s="23">
        <v>1503.2470483594677</v>
      </c>
      <c r="O65" s="23">
        <v>1860.050861368522</v>
      </c>
      <c r="P65" s="23">
        <v>1849.5222656020092</v>
      </c>
      <c r="Q65" s="23">
        <v>1582.5380863220475</v>
      </c>
      <c r="R65" s="23">
        <v>1567.093807688861</v>
      </c>
      <c r="S65" s="23">
        <v>1611.7909199999995</v>
      </c>
      <c r="T65" s="23">
        <v>1631.3384583208847</v>
      </c>
      <c r="U65" s="23">
        <v>1736.1175612370478</v>
      </c>
      <c r="V65" s="23">
        <v>1606.0452921592675</v>
      </c>
      <c r="W65" s="23">
        <v>1687.4604886250418</v>
      </c>
      <c r="X65" s="23">
        <v>1673.842157691379</v>
      </c>
      <c r="Y65" s="23">
        <v>1646.9470306713511</v>
      </c>
      <c r="Z65" s="23">
        <v>1606.2037937222258</v>
      </c>
      <c r="AA65" s="23">
        <v>1477.0458173353391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2332.2592325694559</v>
      </c>
      <c r="E66" s="23">
        <v>2429.1973337294362</v>
      </c>
      <c r="F66" s="23">
        <v>2396.3888337738508</v>
      </c>
      <c r="G66" s="23">
        <v>2300.7299571281783</v>
      </c>
      <c r="H66" s="23">
        <v>2589.9735715715947</v>
      </c>
      <c r="I66" s="23">
        <v>2762.9916544498874</v>
      </c>
      <c r="J66" s="23">
        <v>2939.8433600093467</v>
      </c>
      <c r="K66" s="23">
        <v>3807.154388392908</v>
      </c>
      <c r="L66" s="23">
        <v>2795.9516580204313</v>
      </c>
      <c r="M66" s="23">
        <v>1024.1049617049616</v>
      </c>
      <c r="N66" s="23">
        <v>3005.6906509421528</v>
      </c>
      <c r="O66" s="23">
        <v>2980.8976005101358</v>
      </c>
      <c r="P66" s="23">
        <v>2829.5496419532674</v>
      </c>
      <c r="Q66" s="23">
        <v>3058.3428714820675</v>
      </c>
      <c r="R66" s="23">
        <v>3188.3078770499151</v>
      </c>
      <c r="S66" s="23">
        <v>3094.4922299999994</v>
      </c>
      <c r="T66" s="23">
        <v>3212.5011054675833</v>
      </c>
      <c r="U66" s="23">
        <v>2955.6013934654015</v>
      </c>
      <c r="V66" s="23">
        <v>3711.1314237417405</v>
      </c>
      <c r="W66" s="23">
        <v>3693.1030160245768</v>
      </c>
      <c r="X66" s="23">
        <v>4033.1024329872012</v>
      </c>
      <c r="Y66" s="23">
        <v>3688.7325648086603</v>
      </c>
      <c r="Z66" s="23">
        <v>3866.1431373838541</v>
      </c>
      <c r="AA66" s="23">
        <v>3600.8312055829101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5990.6813425400278</v>
      </c>
      <c r="E67" s="23">
        <v>5845.7291470162272</v>
      </c>
      <c r="F67" s="23">
        <v>5792.2822332452288</v>
      </c>
      <c r="G67" s="23">
        <v>5580.6620401318032</v>
      </c>
      <c r="H67" s="23">
        <v>5900.909506366238</v>
      </c>
      <c r="I67" s="23">
        <v>6236.3529731469234</v>
      </c>
      <c r="J67" s="23">
        <v>6434.7082399672872</v>
      </c>
      <c r="K67" s="23">
        <v>6916.1486597166295</v>
      </c>
      <c r="L67" s="23">
        <v>6759.4212560276064</v>
      </c>
      <c r="M67" s="23">
        <v>5151.5934509934505</v>
      </c>
      <c r="N67" s="23">
        <v>5726.5023850309663</v>
      </c>
      <c r="O67" s="23">
        <v>5780.7568441514359</v>
      </c>
      <c r="P67" s="23">
        <v>5910.9246905102891</v>
      </c>
      <c r="Q67" s="23">
        <v>5873.4589101648462</v>
      </c>
      <c r="R67" s="23">
        <v>5760.3733130208811</v>
      </c>
      <c r="S67" s="23">
        <v>5709.3146459999998</v>
      </c>
      <c r="T67" s="23">
        <v>5835.6966776217514</v>
      </c>
      <c r="U67" s="23">
        <v>6229.689844773512</v>
      </c>
      <c r="V67" s="23">
        <v>6034.1708407631477</v>
      </c>
      <c r="W67" s="23">
        <v>6030.8134672866154</v>
      </c>
      <c r="X67" s="23">
        <v>5375.5417230137646</v>
      </c>
      <c r="Y67" s="23">
        <v>6306.1009248884238</v>
      </c>
      <c r="Z67" s="23">
        <v>6720.6999896654434</v>
      </c>
      <c r="AA67" s="23">
        <v>6548.0075659180002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8232.6001946381821</v>
      </c>
      <c r="E68" s="23">
        <v>5265.1800958074928</v>
      </c>
      <c r="F68" s="23">
        <v>5571.6418842101448</v>
      </c>
      <c r="G68" s="23">
        <v>4968.5989866660357</v>
      </c>
      <c r="H68" s="23">
        <v>5590.9055393929393</v>
      </c>
      <c r="I68" s="23">
        <v>5070.7586941752779</v>
      </c>
      <c r="J68" s="23">
        <v>5339.3192336000939</v>
      </c>
      <c r="K68" s="23">
        <v>5323.5894660419945</v>
      </c>
      <c r="L68" s="23">
        <v>4884.3456406974883</v>
      </c>
      <c r="M68" s="23">
        <v>3900.5971583971582</v>
      </c>
      <c r="N68" s="23">
        <v>3190.3684016339439</v>
      </c>
      <c r="O68" s="23">
        <v>2541.094798876878</v>
      </c>
      <c r="P68" s="23">
        <v>3074.8128229777717</v>
      </c>
      <c r="Q68" s="23">
        <v>2893.8041057020423</v>
      </c>
      <c r="R68" s="23">
        <v>2589.9667532933058</v>
      </c>
      <c r="S68" s="23">
        <v>2456.1519479999997</v>
      </c>
      <c r="T68" s="23">
        <v>2346.1876187630719</v>
      </c>
      <c r="U68" s="23">
        <v>2291.3432073524154</v>
      </c>
      <c r="V68" s="23">
        <v>2100.4534122182249</v>
      </c>
      <c r="W68" s="23">
        <v>2427.2093199933579</v>
      </c>
      <c r="X68" s="23">
        <v>2538.5817254286403</v>
      </c>
      <c r="Y68" s="23">
        <v>2917.5170866964199</v>
      </c>
      <c r="Z68" s="23">
        <v>3041.5348434314492</v>
      </c>
      <c r="AA68" s="23">
        <v>2892.5901834825891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2717.7195958940611</v>
      </c>
      <c r="E69" s="23">
        <v>3048.303019050094</v>
      </c>
      <c r="F69" s="23">
        <v>2882.9582026865564</v>
      </c>
      <c r="G69" s="23">
        <v>2798.6021424100336</v>
      </c>
      <c r="H69" s="23">
        <v>2669.2597331009056</v>
      </c>
      <c r="I69" s="23">
        <v>2699.8283047877853</v>
      </c>
      <c r="J69" s="23">
        <v>2774.7412489047256</v>
      </c>
      <c r="K69" s="23">
        <v>2900.1865325059839</v>
      </c>
      <c r="L69" s="23">
        <v>2776.9608291244831</v>
      </c>
      <c r="M69" s="23">
        <v>2170.4218448218444</v>
      </c>
      <c r="N69" s="23">
        <v>2262.0441955461852</v>
      </c>
      <c r="O69" s="23">
        <v>2633.5490666364972</v>
      </c>
      <c r="P69" s="23">
        <v>2333.076262973063</v>
      </c>
      <c r="Q69" s="23">
        <v>2211.3364475157318</v>
      </c>
      <c r="R69" s="23">
        <v>1836.3421095080205</v>
      </c>
      <c r="S69" s="23">
        <v>2570.9214959999995</v>
      </c>
      <c r="T69" s="23">
        <v>2369.0894412907087</v>
      </c>
      <c r="U69" s="23">
        <v>2439.6938564452735</v>
      </c>
      <c r="V69" s="23">
        <v>2411.9229862191937</v>
      </c>
      <c r="W69" s="23">
        <v>2249.5133842577216</v>
      </c>
      <c r="X69" s="23">
        <v>1955.497784351606</v>
      </c>
      <c r="Y69" s="23">
        <v>2079.9989136834106</v>
      </c>
      <c r="Z69" s="23">
        <v>2195.3219496613083</v>
      </c>
      <c r="AA69" s="23">
        <v>2100.7297868305354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6947.8534165952224</v>
      </c>
      <c r="E70" s="23">
        <v>7725.1709829551774</v>
      </c>
      <c r="F70" s="23">
        <v>8013.1932365400626</v>
      </c>
      <c r="G70" s="23">
        <v>7828.9259226889953</v>
      </c>
      <c r="H70" s="23">
        <v>7800.945734443646</v>
      </c>
      <c r="I70" s="23">
        <v>8478.9633425108168</v>
      </c>
      <c r="J70" s="23">
        <v>9236.6815678485891</v>
      </c>
      <c r="K70" s="23">
        <v>9824.991049652308</v>
      </c>
      <c r="L70" s="23">
        <v>9246.861523870466</v>
      </c>
      <c r="M70" s="23">
        <v>5606.7941835941829</v>
      </c>
      <c r="N70" s="23">
        <v>8503.3257675583081</v>
      </c>
      <c r="O70" s="23">
        <v>9512.3615978771759</v>
      </c>
      <c r="P70" s="23">
        <v>9007.8850248180333</v>
      </c>
      <c r="Q70" s="23">
        <v>7340.9913600741229</v>
      </c>
      <c r="R70" s="23">
        <v>7712.7617528452374</v>
      </c>
      <c r="S70" s="23">
        <v>8376.609113999999</v>
      </c>
      <c r="T70" s="23">
        <v>8430.993665969525</v>
      </c>
      <c r="U70" s="23">
        <v>9561.9773968795907</v>
      </c>
      <c r="V70" s="23">
        <v>9719.7684391717085</v>
      </c>
      <c r="W70" s="23">
        <v>9598.2926166555972</v>
      </c>
      <c r="X70" s="23">
        <v>8628.9902499396285</v>
      </c>
      <c r="Y70" s="23">
        <v>10862.525344221822</v>
      </c>
      <c r="Z70" s="23">
        <v>11861.416313569276</v>
      </c>
      <c r="AA70" s="23">
        <v>11544.997423224469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7797.2467525546263</v>
      </c>
      <c r="E71" s="23">
        <v>6017.0344609900103</v>
      </c>
      <c r="F71" s="23">
        <v>5772.9809334154015</v>
      </c>
      <c r="G71" s="23">
        <v>6456.0430631503095</v>
      </c>
      <c r="H71" s="23">
        <v>6690.3238972450263</v>
      </c>
      <c r="I71" s="23">
        <v>6034.653834876819</v>
      </c>
      <c r="J71" s="23">
        <v>6319.185608972487</v>
      </c>
      <c r="K71" s="23">
        <v>6493.0788061665507</v>
      </c>
      <c r="L71" s="23">
        <v>6360.8527275635906</v>
      </c>
      <c r="M71" s="23">
        <v>4095.0017760017759</v>
      </c>
      <c r="N71" s="23">
        <v>7057.8120371590467</v>
      </c>
      <c r="O71" s="23">
        <v>8348.9428935811338</v>
      </c>
      <c r="P71" s="23">
        <v>6796.3124698357888</v>
      </c>
      <c r="Q71" s="23">
        <v>6802.0789831293678</v>
      </c>
      <c r="R71" s="23">
        <v>7284.3790662245719</v>
      </c>
      <c r="S71" s="23">
        <v>10556.603369999999</v>
      </c>
      <c r="T71" s="23">
        <v>11527.215972512698</v>
      </c>
      <c r="U71" s="23">
        <v>11299.028633530508</v>
      </c>
      <c r="V71" s="23">
        <v>11844.570562467143</v>
      </c>
      <c r="W71" s="23">
        <v>11467.571413151776</v>
      </c>
      <c r="X71" s="23">
        <v>9558.3065744989144</v>
      </c>
      <c r="Y71" s="23">
        <v>11612.897160763459</v>
      </c>
      <c r="Z71" s="23">
        <v>10768.910981876945</v>
      </c>
      <c r="AA71" s="23">
        <v>9313.3394985095456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1149.7206061589088</v>
      </c>
      <c r="E72" s="23">
        <v>1392.5672917672398</v>
      </c>
      <c r="F72" s="23">
        <v>1407.985669285637</v>
      </c>
      <c r="G72" s="23">
        <v>1440.9035821001282</v>
      </c>
      <c r="H72" s="23">
        <v>1403.6359124156374</v>
      </c>
      <c r="I72" s="23">
        <v>1457.6157614331175</v>
      </c>
      <c r="J72" s="23">
        <v>1374.9146959518671</v>
      </c>
      <c r="K72" s="23">
        <v>1339.8793007611766</v>
      </c>
      <c r="L72" s="23">
        <v>1290.0625339945602</v>
      </c>
      <c r="M72" s="23">
        <v>1764.2090132090132</v>
      </c>
      <c r="N72" s="23">
        <v>1631.2244828040584</v>
      </c>
      <c r="O72" s="23">
        <v>1637.6230939328793</v>
      </c>
      <c r="P72" s="23">
        <v>1543.6610327441094</v>
      </c>
      <c r="Q72" s="23">
        <v>2459.7082693124339</v>
      </c>
      <c r="R72" s="23">
        <v>2571.1287391343308</v>
      </c>
      <c r="S72" s="23">
        <v>2777.0467679999988</v>
      </c>
      <c r="T72" s="23">
        <v>2668.3746220495982</v>
      </c>
      <c r="U72" s="23">
        <v>2731.0005855730674</v>
      </c>
      <c r="V72" s="23">
        <v>2458.1424422020427</v>
      </c>
      <c r="W72" s="23">
        <v>2616.4045043175038</v>
      </c>
      <c r="X72" s="23">
        <v>2270.7038758753924</v>
      </c>
      <c r="Y72" s="23">
        <v>2906.6982337859654</v>
      </c>
      <c r="Z72" s="23">
        <v>2179.5113107037832</v>
      </c>
      <c r="AA72" s="23">
        <v>1841.9577124410662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2457.8396274069096</v>
      </c>
      <c r="E73" s="23">
        <v>2562.3341676259793</v>
      </c>
      <c r="F73" s="23">
        <v>2601.3862992867225</v>
      </c>
      <c r="G73" s="23">
        <v>2664.165541921082</v>
      </c>
      <c r="H73" s="23">
        <v>2684.8953581229903</v>
      </c>
      <c r="I73" s="23">
        <v>2716.7715307326489</v>
      </c>
      <c r="J73" s="23">
        <v>2870.725168526199</v>
      </c>
      <c r="K73" s="23">
        <v>2913.2296053452519</v>
      </c>
      <c r="L73" s="23">
        <v>2707.3277898393399</v>
      </c>
      <c r="M73" s="23">
        <v>2521.0720834720832</v>
      </c>
      <c r="N73" s="23">
        <v>2505.3734879430758</v>
      </c>
      <c r="O73" s="23">
        <v>2658.0601980890474</v>
      </c>
      <c r="P73" s="23">
        <v>2459.7067096976712</v>
      </c>
      <c r="Q73" s="23">
        <v>2183.8965061961935</v>
      </c>
      <c r="R73" s="23">
        <v>2293.4501657854644</v>
      </c>
      <c r="S73" s="23">
        <v>2203.7216579999999</v>
      </c>
      <c r="T73" s="23">
        <v>2416.0381774723637</v>
      </c>
      <c r="U73" s="23">
        <v>2063.8376315058158</v>
      </c>
      <c r="V73" s="23">
        <v>1933.4600397860208</v>
      </c>
      <c r="W73" s="23">
        <v>2027.773156758552</v>
      </c>
      <c r="X73" s="23">
        <v>2299.2059949287614</v>
      </c>
      <c r="Y73" s="23">
        <v>2200.1973620738768</v>
      </c>
      <c r="Z73" s="23">
        <v>1919.961504711619</v>
      </c>
      <c r="AA73" s="23">
        <v>2427.2189724213308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1332.3389623931264</v>
      </c>
      <c r="E74" s="23">
        <v>1458.9416316981783</v>
      </c>
      <c r="F74" s="23">
        <v>1537.7963720627179</v>
      </c>
      <c r="G74" s="23">
        <v>1516.4547294823581</v>
      </c>
      <c r="H74" s="23">
        <v>1456.452315049296</v>
      </c>
      <c r="I74" s="23">
        <v>1551.1772517610079</v>
      </c>
      <c r="J74" s="23">
        <v>1667.3847818213644</v>
      </c>
      <c r="K74" s="23">
        <v>1817.2557666783971</v>
      </c>
      <c r="L74" s="23">
        <v>1704.8747903192616</v>
      </c>
      <c r="M74" s="23">
        <v>1512.1791541791617</v>
      </c>
      <c r="N74" s="23">
        <v>1481.7835683225587</v>
      </c>
      <c r="O74" s="23">
        <v>1390.7917000072198</v>
      </c>
      <c r="P74" s="23">
        <v>1379.8104628121782</v>
      </c>
      <c r="Q74" s="23">
        <v>1285.9446029417293</v>
      </c>
      <c r="R74" s="23">
        <v>1260.3776324043358</v>
      </c>
      <c r="S74" s="23">
        <v>1180.3075919999844</v>
      </c>
      <c r="T74" s="23">
        <v>1418.5597072004689</v>
      </c>
      <c r="U74" s="23">
        <v>1236.3937313906983</v>
      </c>
      <c r="V74" s="23">
        <v>1424.6150733361442</v>
      </c>
      <c r="W74" s="23">
        <v>1464.0930089671315</v>
      </c>
      <c r="X74" s="23">
        <v>1250.306978990576</v>
      </c>
      <c r="Y74" s="23">
        <v>-2119.8996372614242</v>
      </c>
      <c r="Z74" s="23">
        <v>-1035.253142175322</v>
      </c>
      <c r="AA74" s="23">
        <v>-1250.566602788203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68591.11552239499</v>
      </c>
      <c r="E75" s="30">
        <f t="shared" ref="E75:S75" si="9">SUM(E56:E74)</f>
        <v>66422.72980058672</v>
      </c>
      <c r="F75" s="30">
        <f t="shared" si="9"/>
        <v>66725.602730004699</v>
      </c>
      <c r="G75" s="30">
        <f t="shared" si="9"/>
        <v>65296.560520130857</v>
      </c>
      <c r="H75" s="30">
        <f t="shared" si="9"/>
        <v>65430.658571748252</v>
      </c>
      <c r="I75" s="30">
        <f t="shared" si="9"/>
        <v>66520.724632602709</v>
      </c>
      <c r="J75" s="30">
        <f t="shared" si="9"/>
        <v>69273.646355511431</v>
      </c>
      <c r="K75" s="30">
        <f t="shared" si="9"/>
        <v>71599.592630993837</v>
      </c>
      <c r="L75" s="30">
        <f t="shared" si="9"/>
        <v>65545.711262198049</v>
      </c>
      <c r="M75" s="30">
        <f t="shared" si="9"/>
        <v>55603.201354201352</v>
      </c>
      <c r="N75" s="30">
        <f t="shared" si="9"/>
        <v>63770.179971010672</v>
      </c>
      <c r="O75" s="30">
        <f t="shared" si="9"/>
        <v>65128.978903413605</v>
      </c>
      <c r="P75" s="30">
        <f t="shared" si="9"/>
        <v>61757.207461105318</v>
      </c>
      <c r="Q75" s="30">
        <f t="shared" si="9"/>
        <v>59285.405570783296</v>
      </c>
      <c r="R75" s="30">
        <f t="shared" si="9"/>
        <v>59141.477103683123</v>
      </c>
      <c r="S75" s="30">
        <f t="shared" si="9"/>
        <v>65046.84337799999</v>
      </c>
      <c r="T75" s="30">
        <f t="shared" ref="T75:Y75" si="10">SUM(T56:T74)</f>
        <v>65254.891622348368</v>
      </c>
      <c r="U75" s="30">
        <f t="shared" si="10"/>
        <v>65762.701584024777</v>
      </c>
      <c r="V75" s="30">
        <f t="shared" si="10"/>
        <v>67380.209711499789</v>
      </c>
      <c r="W75" s="30">
        <f t="shared" si="10"/>
        <v>67826.039646296922</v>
      </c>
      <c r="X75" s="30">
        <f t="shared" si="10"/>
        <v>63635.555850036217</v>
      </c>
      <c r="Y75" s="30">
        <f t="shared" si="10"/>
        <v>68363.140474788714</v>
      </c>
      <c r="Z75" s="30">
        <f t="shared" ref="Z75:AA75" si="11">SUM(Z56:Z74)</f>
        <v>73543.629023196409</v>
      </c>
      <c r="AA75" s="30">
        <f t="shared" si="11"/>
        <v>71682.300000000017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8861426</v>
      </c>
      <c r="E3" s="42">
        <v>8882792</v>
      </c>
      <c r="F3" s="42">
        <v>8909128</v>
      </c>
      <c r="G3" s="42">
        <v>8940788</v>
      </c>
      <c r="H3" s="42">
        <v>8975670</v>
      </c>
      <c r="I3" s="42">
        <v>9011392</v>
      </c>
      <c r="J3" s="42">
        <v>9047752</v>
      </c>
      <c r="K3" s="42">
        <v>9113257</v>
      </c>
      <c r="L3" s="42">
        <v>9182927</v>
      </c>
      <c r="M3" s="42">
        <v>9256347</v>
      </c>
      <c r="N3" s="42">
        <v>9340682</v>
      </c>
      <c r="O3" s="42">
        <v>9415570</v>
      </c>
      <c r="P3" s="42">
        <v>9482855</v>
      </c>
      <c r="Q3" s="42">
        <v>9555893</v>
      </c>
      <c r="R3" s="42">
        <v>9644864</v>
      </c>
      <c r="S3" s="42">
        <v>9747355</v>
      </c>
      <c r="T3" s="42">
        <v>9851017</v>
      </c>
      <c r="U3" s="42">
        <v>9995153</v>
      </c>
      <c r="V3" s="42">
        <v>10120242</v>
      </c>
      <c r="W3" s="42">
        <v>10230185</v>
      </c>
      <c r="X3" s="42">
        <v>10327589</v>
      </c>
      <c r="Y3" s="42">
        <v>10379295</v>
      </c>
      <c r="Z3" s="42">
        <v>10452326</v>
      </c>
      <c r="AA3" s="42">
        <v>10521556</v>
      </c>
    </row>
    <row r="4" spans="1:27" x14ac:dyDescent="0.25">
      <c r="A4" s="43" t="s">
        <v>239</v>
      </c>
      <c r="B4" s="44"/>
      <c r="C4" s="44"/>
      <c r="D4" s="45">
        <v>4260087</v>
      </c>
      <c r="E4" s="45">
        <v>4286383</v>
      </c>
      <c r="F4" s="45">
        <v>4315284</v>
      </c>
      <c r="G4" s="45">
        <v>4346991</v>
      </c>
      <c r="H4" s="45">
        <v>4380512</v>
      </c>
      <c r="I4" s="45">
        <v>4336570</v>
      </c>
      <c r="J4" s="45">
        <v>4306403</v>
      </c>
      <c r="K4" s="45">
        <v>4329338</v>
      </c>
      <c r="L4" s="45">
        <v>4481663</v>
      </c>
      <c r="M4" s="45">
        <v>4605148</v>
      </c>
      <c r="N4" s="45">
        <v>4556430</v>
      </c>
      <c r="O4" s="45">
        <v>4568447</v>
      </c>
      <c r="P4" s="45">
        <v>4598863</v>
      </c>
      <c r="Q4" s="45">
        <v>4691160</v>
      </c>
      <c r="R4" s="45">
        <v>4734838</v>
      </c>
      <c r="S4" s="45">
        <v>4789855</v>
      </c>
      <c r="T4" s="45">
        <v>4833669</v>
      </c>
      <c r="U4" s="45">
        <v>4866189</v>
      </c>
      <c r="V4" s="45">
        <v>4965771</v>
      </c>
      <c r="W4" s="45">
        <v>5058505</v>
      </c>
      <c r="X4" s="45">
        <v>5140662</v>
      </c>
      <c r="Y4" s="45">
        <v>5202654</v>
      </c>
      <c r="Z4" s="45">
        <v>5303057</v>
      </c>
      <c r="AA4" s="45">
        <v>5359937</v>
      </c>
    </row>
    <row r="5" spans="1:27" x14ac:dyDescent="0.25">
      <c r="A5" s="46" t="s">
        <v>240</v>
      </c>
      <c r="B5" s="47"/>
      <c r="C5" s="47"/>
      <c r="D5" s="48">
        <f>D3/D4</f>
        <v>2.0801044673500799</v>
      </c>
      <c r="E5" s="48">
        <f t="shared" ref="E5:S5" si="0">E3/E4</f>
        <v>2.072328114403216</v>
      </c>
      <c r="F5" s="48">
        <f t="shared" si="0"/>
        <v>2.0645519506943226</v>
      </c>
      <c r="G5" s="48">
        <f t="shared" si="0"/>
        <v>2.0567762850210638</v>
      </c>
      <c r="H5" s="48">
        <f t="shared" si="0"/>
        <v>2.0490002081948413</v>
      </c>
      <c r="I5" s="48">
        <f t="shared" si="0"/>
        <v>2.0779998939253836</v>
      </c>
      <c r="J5" s="48">
        <f t="shared" si="0"/>
        <v>2.1009998367547116</v>
      </c>
      <c r="K5" s="48">
        <f t="shared" si="0"/>
        <v>2.1050001178009201</v>
      </c>
      <c r="L5" s="48">
        <f t="shared" si="0"/>
        <v>2.0489998913349798</v>
      </c>
      <c r="M5" s="48">
        <f t="shared" si="0"/>
        <v>2.0099998957688223</v>
      </c>
      <c r="N5" s="48">
        <f t="shared" si="0"/>
        <v>2.0500001097350338</v>
      </c>
      <c r="O5" s="48">
        <f t="shared" si="0"/>
        <v>2.0610001604483976</v>
      </c>
      <c r="P5" s="48">
        <f t="shared" si="0"/>
        <v>2.061999889972804</v>
      </c>
      <c r="Q5" s="48">
        <f t="shared" si="0"/>
        <v>2.0370000170533515</v>
      </c>
      <c r="R5" s="48">
        <f t="shared" si="0"/>
        <v>2.0369997875323294</v>
      </c>
      <c r="S5" s="48">
        <f t="shared" si="0"/>
        <v>2.0350000156580941</v>
      </c>
      <c r="T5" s="48">
        <f t="shared" ref="T5:Y5" si="1">T3/T4</f>
        <v>2.0379999126957182</v>
      </c>
      <c r="U5" s="48">
        <f t="shared" si="1"/>
        <v>2.0540001631667</v>
      </c>
      <c r="V5" s="48">
        <f t="shared" si="1"/>
        <v>2.0380001413677755</v>
      </c>
      <c r="W5" s="48">
        <f t="shared" si="1"/>
        <v>2.0223732110574173</v>
      </c>
      <c r="X5" s="48">
        <f t="shared" si="1"/>
        <v>2.0089998136426788</v>
      </c>
      <c r="Y5" s="48">
        <f t="shared" si="1"/>
        <v>1.9950000518965898</v>
      </c>
      <c r="Z5" s="48">
        <f t="shared" ref="Z5:AA5" si="2">Z3/Z4</f>
        <v>1.9710001231365231</v>
      </c>
      <c r="AA5" s="48">
        <f t="shared" si="2"/>
        <v>1.9629999382455428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5941.69</v>
      </c>
      <c r="E8" s="42">
        <v>5957.48</v>
      </c>
      <c r="F8" s="42">
        <v>5591.75</v>
      </c>
      <c r="G8" s="42">
        <v>5492.9</v>
      </c>
      <c r="H8" s="42">
        <v>5479.23</v>
      </c>
      <c r="I8" s="42">
        <v>6273.4</v>
      </c>
      <c r="J8" s="42">
        <v>5822.9</v>
      </c>
      <c r="K8" s="42">
        <v>6158.3</v>
      </c>
      <c r="L8" s="42">
        <v>5614.18</v>
      </c>
      <c r="M8" s="42">
        <v>5102.97</v>
      </c>
      <c r="N8" s="42">
        <v>5064.05</v>
      </c>
      <c r="O8" s="42">
        <v>5442.86</v>
      </c>
      <c r="P8" s="42">
        <v>5096.24</v>
      </c>
      <c r="Q8" s="42">
        <v>5350.79</v>
      </c>
      <c r="R8" s="42">
        <v>3655.11</v>
      </c>
      <c r="S8" s="42">
        <v>5504.66</v>
      </c>
      <c r="T8" s="42">
        <v>5737.24</v>
      </c>
      <c r="U8" s="42">
        <v>5245.53</v>
      </c>
      <c r="V8" s="42">
        <v>5549.93</v>
      </c>
      <c r="W8" s="42">
        <v>5303.26</v>
      </c>
      <c r="X8" s="42">
        <v>4925.62</v>
      </c>
      <c r="Y8" s="42">
        <v>5422.89</v>
      </c>
      <c r="Z8" s="42">
        <v>5210.8999999999996</v>
      </c>
      <c r="AA8" s="42">
        <v>5224.63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5443.3376190476192</v>
      </c>
      <c r="E9" s="45">
        <f t="shared" si="3"/>
        <v>5443.3376190476192</v>
      </c>
      <c r="F9" s="45">
        <f t="shared" si="3"/>
        <v>5443.3376190476192</v>
      </c>
      <c r="G9" s="45">
        <f t="shared" si="3"/>
        <v>5443.3376190476192</v>
      </c>
      <c r="H9" s="45">
        <f t="shared" si="3"/>
        <v>5443.3376190476192</v>
      </c>
      <c r="I9" s="45">
        <f t="shared" si="3"/>
        <v>5443.3376190476192</v>
      </c>
      <c r="J9" s="45">
        <f t="shared" si="3"/>
        <v>5443.3376190476192</v>
      </c>
      <c r="K9" s="45">
        <f t="shared" si="3"/>
        <v>5443.3376190476192</v>
      </c>
      <c r="L9" s="45">
        <f t="shared" si="3"/>
        <v>5443.3376190476192</v>
      </c>
      <c r="M9" s="45">
        <f t="shared" si="3"/>
        <v>5443.3376190476192</v>
      </c>
      <c r="N9" s="45">
        <f t="shared" si="3"/>
        <v>5443.3376190476192</v>
      </c>
      <c r="O9" s="45">
        <f t="shared" si="3"/>
        <v>5443.3376190476192</v>
      </c>
      <c r="P9" s="45">
        <f t="shared" si="3"/>
        <v>5443.3376190476192</v>
      </c>
      <c r="Q9" s="45">
        <f t="shared" si="3"/>
        <v>5443.3376190476192</v>
      </c>
      <c r="R9" s="45">
        <f t="shared" si="3"/>
        <v>5443.3376190476192</v>
      </c>
      <c r="S9" s="45">
        <f t="shared" si="3"/>
        <v>5443.3376190476192</v>
      </c>
      <c r="T9" s="45">
        <f t="shared" si="3"/>
        <v>5443.3376190476192</v>
      </c>
      <c r="U9" s="45">
        <f t="shared" si="3"/>
        <v>5443.3376190476192</v>
      </c>
      <c r="V9" s="45">
        <f t="shared" si="3"/>
        <v>5443.3376190476192</v>
      </c>
      <c r="W9" s="45">
        <f t="shared" si="3"/>
        <v>5443.3376190476192</v>
      </c>
      <c r="X9" s="45">
        <f>AVERAGE($D8:$X8)</f>
        <v>5443.3376190476192</v>
      </c>
      <c r="Y9" s="45">
        <f t="shared" ref="Y9:AA9" si="4">AVERAGE($D8:$X8)</f>
        <v>5443.3376190476192</v>
      </c>
      <c r="Z9" s="45">
        <f t="shared" si="4"/>
        <v>5443.3376190476192</v>
      </c>
      <c r="AA9" s="45">
        <f t="shared" si="4"/>
        <v>5443.3376190476192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1.0915527229486039</v>
      </c>
      <c r="E10" s="53">
        <f t="shared" si="5"/>
        <v>1.0944535167455469</v>
      </c>
      <c r="F10" s="53">
        <f t="shared" si="5"/>
        <v>1.0272649597249026</v>
      </c>
      <c r="G10" s="53">
        <f t="shared" si="5"/>
        <v>1.0091051454862821</v>
      </c>
      <c r="H10" s="53">
        <f t="shared" si="5"/>
        <v>1.0065938186209107</v>
      </c>
      <c r="I10" s="53">
        <f t="shared" si="5"/>
        <v>1.1524914379824212</v>
      </c>
      <c r="J10" s="53">
        <f t="shared" si="5"/>
        <v>1.0697297150234069</v>
      </c>
      <c r="K10" s="53">
        <f t="shared" si="5"/>
        <v>1.1313463229711394</v>
      </c>
      <c r="L10" s="53">
        <f t="shared" si="5"/>
        <v>1.0313855933452594</v>
      </c>
      <c r="M10" s="53">
        <f t="shared" si="5"/>
        <v>0.93747078669958184</v>
      </c>
      <c r="N10" s="53">
        <f t="shared" si="5"/>
        <v>0.93032076171053668</v>
      </c>
      <c r="O10" s="53">
        <f t="shared" si="5"/>
        <v>0.99991225621465252</v>
      </c>
      <c r="P10" s="53">
        <f t="shared" si="5"/>
        <v>0.93623441290265796</v>
      </c>
      <c r="Q10" s="53">
        <f t="shared" si="5"/>
        <v>0.98299800131379478</v>
      </c>
      <c r="R10" s="53">
        <f t="shared" si="5"/>
        <v>0.67148324351769817</v>
      </c>
      <c r="S10" s="53">
        <f t="shared" si="5"/>
        <v>1.011265584691605</v>
      </c>
      <c r="T10" s="53">
        <f t="shared" ref="T10:Y10" si="6">IF(T8=0,0,T8/T9)</f>
        <v>1.0539930464581035</v>
      </c>
      <c r="U10" s="53">
        <f t="shared" si="6"/>
        <v>0.96366060073961968</v>
      </c>
      <c r="V10" s="53">
        <f t="shared" si="6"/>
        <v>1.0195821733671979</v>
      </c>
      <c r="W10" s="53">
        <f t="shared" si="6"/>
        <v>0.97426622619228098</v>
      </c>
      <c r="X10" s="53">
        <f t="shared" si="6"/>
        <v>0.90488967334379666</v>
      </c>
      <c r="Y10" s="53">
        <f t="shared" si="6"/>
        <v>0.99624355120357266</v>
      </c>
      <c r="Z10" s="53">
        <f t="shared" ref="Z10:AA10" si="7">IF(Z8=0,0,Z8/Z9)</f>
        <v>0.95729869515455712</v>
      </c>
      <c r="AA10" s="53">
        <f t="shared" si="7"/>
        <v>0.95982104466893514</v>
      </c>
    </row>
    <row r="11" spans="1:27" x14ac:dyDescent="0.25">
      <c r="A11" s="43" t="s">
        <v>251</v>
      </c>
      <c r="B11" s="44"/>
      <c r="C11" s="44"/>
      <c r="D11" s="45">
        <v>0</v>
      </c>
      <c r="E11" s="45">
        <v>0</v>
      </c>
      <c r="F11" s="45">
        <v>7.0000000000000007E-2</v>
      </c>
      <c r="G11" s="45">
        <v>0.4</v>
      </c>
      <c r="H11" s="45">
        <v>0</v>
      </c>
      <c r="I11" s="45">
        <v>0</v>
      </c>
      <c r="J11" s="45">
        <v>0.01</v>
      </c>
      <c r="K11" s="45">
        <v>0</v>
      </c>
      <c r="L11" s="45">
        <v>0.12</v>
      </c>
      <c r="M11" s="45">
        <v>0.09</v>
      </c>
      <c r="N11" s="45">
        <v>0</v>
      </c>
      <c r="O11" s="45">
        <v>0.2</v>
      </c>
      <c r="P11" s="45">
        <v>0.09</v>
      </c>
      <c r="Q11" s="45">
        <v>0</v>
      </c>
      <c r="R11" s="45">
        <v>2.67</v>
      </c>
      <c r="S11" s="45">
        <v>0</v>
      </c>
      <c r="T11" s="45">
        <v>0</v>
      </c>
      <c r="U11" s="45">
        <v>0.01</v>
      </c>
      <c r="V11" s="45">
        <v>0</v>
      </c>
      <c r="W11" s="45">
        <v>0.06</v>
      </c>
      <c r="X11" s="45">
        <v>0.1</v>
      </c>
      <c r="Y11" s="45">
        <v>0.24</v>
      </c>
      <c r="Z11" s="45">
        <v>0.13</v>
      </c>
      <c r="AA11" s="45">
        <v>0.25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0.1819047619047619</v>
      </c>
      <c r="E12" s="45">
        <f t="shared" ref="E12" si="9">AVERAGE($D11:$X11)</f>
        <v>0.1819047619047619</v>
      </c>
      <c r="F12" s="45">
        <f t="shared" ref="F12" si="10">AVERAGE($D11:$X11)</f>
        <v>0.1819047619047619</v>
      </c>
      <c r="G12" s="45">
        <f t="shared" ref="G12" si="11">AVERAGE($D11:$X11)</f>
        <v>0.1819047619047619</v>
      </c>
      <c r="H12" s="45">
        <f t="shared" ref="H12" si="12">AVERAGE($D11:$X11)</f>
        <v>0.1819047619047619</v>
      </c>
      <c r="I12" s="45">
        <f t="shared" ref="I12" si="13">AVERAGE($D11:$X11)</f>
        <v>0.1819047619047619</v>
      </c>
      <c r="J12" s="45">
        <f t="shared" ref="J12" si="14">AVERAGE($D11:$X11)</f>
        <v>0.1819047619047619</v>
      </c>
      <c r="K12" s="45">
        <f t="shared" ref="K12" si="15">AVERAGE($D11:$X11)</f>
        <v>0.1819047619047619</v>
      </c>
      <c r="L12" s="45">
        <f t="shared" ref="L12" si="16">AVERAGE($D11:$X11)</f>
        <v>0.1819047619047619</v>
      </c>
      <c r="M12" s="45">
        <f t="shared" ref="M12" si="17">AVERAGE($D11:$X11)</f>
        <v>0.1819047619047619</v>
      </c>
      <c r="N12" s="45">
        <f t="shared" ref="N12" si="18">AVERAGE($D11:$X11)</f>
        <v>0.1819047619047619</v>
      </c>
      <c r="O12" s="45">
        <f t="shared" ref="O12" si="19">AVERAGE($D11:$X11)</f>
        <v>0.1819047619047619</v>
      </c>
      <c r="P12" s="45">
        <f t="shared" ref="P12" si="20">AVERAGE($D11:$X11)</f>
        <v>0.1819047619047619</v>
      </c>
      <c r="Q12" s="45">
        <f t="shared" ref="Q12" si="21">AVERAGE($D11:$X11)</f>
        <v>0.1819047619047619</v>
      </c>
      <c r="R12" s="45">
        <f t="shared" ref="R12" si="22">AVERAGE($D11:$X11)</f>
        <v>0.1819047619047619</v>
      </c>
      <c r="S12" s="45">
        <f t="shared" ref="S12" si="23">AVERAGE($D11:$X11)</f>
        <v>0.1819047619047619</v>
      </c>
      <c r="T12" s="45">
        <f t="shared" ref="T12" si="24">AVERAGE($D11:$X11)</f>
        <v>0.1819047619047619</v>
      </c>
      <c r="U12" s="45">
        <f t="shared" ref="U12" si="25">AVERAGE($D11:$X11)</f>
        <v>0.1819047619047619</v>
      </c>
      <c r="V12" s="45">
        <f t="shared" ref="V12" si="26">AVERAGE($D11:$X11)</f>
        <v>0.1819047619047619</v>
      </c>
      <c r="W12" s="45">
        <f t="shared" ref="W12" si="27">AVERAGE($D11:$X11)</f>
        <v>0.1819047619047619</v>
      </c>
      <c r="X12" s="45">
        <f>AVERAGE($D11:$X11)</f>
        <v>0.1819047619047619</v>
      </c>
      <c r="Y12" s="45">
        <f t="shared" ref="Y12:AA12" si="28">AVERAGE($D11:$X11)</f>
        <v>0.1819047619047619</v>
      </c>
      <c r="Z12" s="45">
        <f t="shared" si="28"/>
        <v>0.1819047619047619</v>
      </c>
      <c r="AA12" s="45">
        <f t="shared" si="28"/>
        <v>0.1819047619047619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</v>
      </c>
      <c r="E13" s="55">
        <f t="shared" si="29"/>
        <v>0</v>
      </c>
      <c r="F13" s="55">
        <f t="shared" ref="F13" si="30">IF(F11=0,0,F11/F12)</f>
        <v>0.38481675392670162</v>
      </c>
      <c r="G13" s="55">
        <f t="shared" ref="G13" si="31">IF(G11=0,0,G11/G12)</f>
        <v>2.1989528795811522</v>
      </c>
      <c r="H13" s="55">
        <f t="shared" ref="H13" si="32">IF(H11=0,0,H11/H12)</f>
        <v>0</v>
      </c>
      <c r="I13" s="55">
        <f t="shared" ref="I13" si="33">IF(I11=0,0,I11/I12)</f>
        <v>0</v>
      </c>
      <c r="J13" s="55">
        <f t="shared" ref="J13" si="34">IF(J11=0,0,J11/J12)</f>
        <v>5.4973821989528798E-2</v>
      </c>
      <c r="K13" s="55">
        <f t="shared" ref="K13" si="35">IF(K11=0,0,K11/K12)</f>
        <v>0</v>
      </c>
      <c r="L13" s="55">
        <f t="shared" ref="L13" si="36">IF(L11=0,0,L11/L12)</f>
        <v>0.65968586387434558</v>
      </c>
      <c r="M13" s="55">
        <f t="shared" ref="M13" si="37">IF(M11=0,0,M11/M12)</f>
        <v>0.49476439790575916</v>
      </c>
      <c r="N13" s="55">
        <f t="shared" ref="N13" si="38">IF(N11=0,0,N11/N12)</f>
        <v>0</v>
      </c>
      <c r="O13" s="55">
        <f t="shared" ref="O13" si="39">IF(O11=0,0,O11/O12)</f>
        <v>1.0994764397905761</v>
      </c>
      <c r="P13" s="55">
        <f t="shared" ref="P13" si="40">IF(P11=0,0,P11/P12)</f>
        <v>0.49476439790575916</v>
      </c>
      <c r="Q13" s="55">
        <f t="shared" ref="Q13" si="41">IF(Q11=0,0,Q11/Q12)</f>
        <v>0</v>
      </c>
      <c r="R13" s="55">
        <f t="shared" ref="R13" si="42">IF(R11=0,0,R11/R12)</f>
        <v>14.678010471204189</v>
      </c>
      <c r="S13" s="55">
        <f t="shared" ref="S13:Y13" si="43">IF(S11=0,0,S11/S12)</f>
        <v>0</v>
      </c>
      <c r="T13" s="55">
        <f t="shared" si="43"/>
        <v>0</v>
      </c>
      <c r="U13" s="55">
        <f t="shared" si="43"/>
        <v>5.4973821989528798E-2</v>
      </c>
      <c r="V13" s="55">
        <f t="shared" si="43"/>
        <v>0</v>
      </c>
      <c r="W13" s="55">
        <f t="shared" si="43"/>
        <v>0.32984293193717279</v>
      </c>
      <c r="X13" s="55">
        <f t="shared" si="43"/>
        <v>0.54973821989528804</v>
      </c>
      <c r="Y13" s="55">
        <f t="shared" si="43"/>
        <v>1.3193717277486912</v>
      </c>
      <c r="Z13" s="55">
        <f t="shared" ref="Z13:AA13" si="44">IF(Z11=0,0,Z11/Z12)</f>
        <v>0.71465968586387441</v>
      </c>
      <c r="AA13" s="55">
        <f t="shared" si="44"/>
        <v>1.37434554973822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347236.97884931508</v>
      </c>
      <c r="E16" s="42">
        <v>351961.78385971906</v>
      </c>
      <c r="F16" s="42">
        <v>359977.97963535791</v>
      </c>
      <c r="G16" s="42">
        <v>366748.60808540927</v>
      </c>
      <c r="H16" s="42">
        <v>382075.33770747448</v>
      </c>
      <c r="I16" s="42">
        <v>392747.82421849843</v>
      </c>
      <c r="J16" s="42">
        <v>411113.98680301529</v>
      </c>
      <c r="K16" s="42">
        <v>424371.89216870203</v>
      </c>
      <c r="L16" s="42">
        <v>420453.5602246268</v>
      </c>
      <c r="M16" s="42">
        <v>402564.29367487686</v>
      </c>
      <c r="N16" s="42">
        <v>425713.97337478929</v>
      </c>
      <c r="O16" s="42">
        <v>439181.30704225355</v>
      </c>
      <c r="P16" s="42">
        <v>437362.64776391134</v>
      </c>
      <c r="Q16" s="42">
        <v>442338.51915319863</v>
      </c>
      <c r="R16" s="42">
        <v>452491.36268961063</v>
      </c>
      <c r="S16" s="42">
        <v>472348.59772800002</v>
      </c>
      <c r="T16" s="42">
        <v>482416.41875323642</v>
      </c>
      <c r="U16" s="42">
        <v>491500.1803734983</v>
      </c>
      <c r="V16" s="42">
        <v>500198.72470457561</v>
      </c>
      <c r="W16" s="42">
        <v>513247.96465174132</v>
      </c>
      <c r="X16" s="42">
        <v>503320.14280846436</v>
      </c>
      <c r="Y16" s="42">
        <v>529622.24516423186</v>
      </c>
      <c r="Z16" s="42">
        <v>536272.2696349133</v>
      </c>
      <c r="AA16" s="42">
        <v>535176.80000000005</v>
      </c>
    </row>
    <row r="17" spans="1:27" x14ac:dyDescent="0.25">
      <c r="A17" s="46" t="s">
        <v>141</v>
      </c>
      <c r="B17" s="47"/>
      <c r="C17" s="47"/>
      <c r="D17" s="57">
        <v>155240.36149422766</v>
      </c>
      <c r="E17" s="57">
        <v>156489.4632326444</v>
      </c>
      <c r="F17" s="57">
        <v>159967.01566816051</v>
      </c>
      <c r="G17" s="57">
        <v>162494.00888052932</v>
      </c>
      <c r="H17" s="57">
        <v>167122.7436697575</v>
      </c>
      <c r="I17" s="57">
        <v>172406.65838559577</v>
      </c>
      <c r="J17" s="57">
        <v>177312.06528452484</v>
      </c>
      <c r="K17" s="57">
        <v>185159.72568719753</v>
      </c>
      <c r="L17" s="57">
        <v>185138.60230099093</v>
      </c>
      <c r="M17" s="57">
        <v>187105.85738754948</v>
      </c>
      <c r="N17" s="57">
        <v>194541.85688924836</v>
      </c>
      <c r="O17" s="57">
        <v>198148.28217380933</v>
      </c>
      <c r="P17" s="57">
        <v>200385.57236066886</v>
      </c>
      <c r="Q17" s="57">
        <v>204049.49106806362</v>
      </c>
      <c r="R17" s="57">
        <v>209954.44563544702</v>
      </c>
      <c r="S17" s="57">
        <v>218733.65373599998</v>
      </c>
      <c r="T17" s="57">
        <v>223455.52039170044</v>
      </c>
      <c r="U17" s="57">
        <v>229049.08156666768</v>
      </c>
      <c r="V17" s="57">
        <v>233372.18520919085</v>
      </c>
      <c r="W17" s="57">
        <v>235206.37690872877</v>
      </c>
      <c r="X17" s="57">
        <v>228155.22970077727</v>
      </c>
      <c r="Y17" s="57">
        <v>241051.70521365094</v>
      </c>
      <c r="Z17" s="57">
        <v>247747.2351963688</v>
      </c>
      <c r="AA17" s="57">
        <v>243760.9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39185.225814594072</v>
      </c>
      <c r="E20" s="42">
        <f t="shared" ref="E20:S20" si="45">1000000*E16/E$3</f>
        <v>39622.878016249742</v>
      </c>
      <c r="F20" s="42">
        <f t="shared" si="45"/>
        <v>40405.52337281021</v>
      </c>
      <c r="G20" s="42">
        <f t="shared" si="45"/>
        <v>41019.718629432806</v>
      </c>
      <c r="H20" s="42">
        <f t="shared" si="45"/>
        <v>42567.890498143817</v>
      </c>
      <c r="I20" s="42">
        <f t="shared" si="45"/>
        <v>43583.480134755919</v>
      </c>
      <c r="J20" s="42">
        <f t="shared" si="45"/>
        <v>45438.246627782821</v>
      </c>
      <c r="K20" s="42">
        <f t="shared" si="45"/>
        <v>46566.435267731613</v>
      </c>
      <c r="L20" s="42">
        <f t="shared" si="45"/>
        <v>45786.442626041433</v>
      </c>
      <c r="M20" s="42">
        <f t="shared" si="45"/>
        <v>43490.622561457218</v>
      </c>
      <c r="N20" s="42">
        <f t="shared" si="45"/>
        <v>45576.326586729891</v>
      </c>
      <c r="O20" s="42">
        <f t="shared" si="45"/>
        <v>46644.155058297431</v>
      </c>
      <c r="P20" s="42">
        <f t="shared" si="45"/>
        <v>46121.410457495273</v>
      </c>
      <c r="Q20" s="42">
        <f t="shared" si="45"/>
        <v>46289.60570751458</v>
      </c>
      <c r="R20" s="42">
        <f t="shared" si="45"/>
        <v>46915.266269136679</v>
      </c>
      <c r="S20" s="42">
        <f t="shared" si="45"/>
        <v>48459.15612266097</v>
      </c>
      <c r="T20" s="42">
        <f t="shared" ref="T20:Y20" si="46">1000000*T16/T$3</f>
        <v>48971.229950495101</v>
      </c>
      <c r="U20" s="42">
        <f t="shared" si="46"/>
        <v>49173.852603706844</v>
      </c>
      <c r="V20" s="42">
        <f t="shared" si="46"/>
        <v>49425.569537228024</v>
      </c>
      <c r="W20" s="42">
        <f t="shared" si="46"/>
        <v>50169.959257994</v>
      </c>
      <c r="X20" s="42">
        <f t="shared" si="46"/>
        <v>48735.493134793061</v>
      </c>
      <c r="Y20" s="42">
        <f t="shared" si="46"/>
        <v>51026.803377708398</v>
      </c>
      <c r="Z20" s="42">
        <f t="shared" ref="Z20:AA20" si="47">1000000*Z16/Z$3</f>
        <v>51306.500546855634</v>
      </c>
      <c r="AA20" s="42">
        <f t="shared" si="47"/>
        <v>50864.796043474948</v>
      </c>
    </row>
    <row r="21" spans="1:27" x14ac:dyDescent="0.25">
      <c r="A21" s="46" t="s">
        <v>141</v>
      </c>
      <c r="B21" s="47"/>
      <c r="C21" s="47"/>
      <c r="D21" s="57">
        <f>1000000*D17/D$3</f>
        <v>17518.665900299529</v>
      </c>
      <c r="E21" s="57">
        <f t="shared" ref="E21:S21" si="48">1000000*E17/E$3</f>
        <v>17617.148215633599</v>
      </c>
      <c r="F21" s="57">
        <f t="shared" si="48"/>
        <v>17955.406597386471</v>
      </c>
      <c r="G21" s="57">
        <f t="shared" si="48"/>
        <v>18174.461678381071</v>
      </c>
      <c r="H21" s="57">
        <f t="shared" si="48"/>
        <v>18619.528533218971</v>
      </c>
      <c r="I21" s="57">
        <f t="shared" si="48"/>
        <v>19132.078416475029</v>
      </c>
      <c r="J21" s="57">
        <f t="shared" si="48"/>
        <v>19597.361342853434</v>
      </c>
      <c r="K21" s="57">
        <f t="shared" si="48"/>
        <v>20317.623620973001</v>
      </c>
      <c r="L21" s="57">
        <f t="shared" si="48"/>
        <v>20161.175440139177</v>
      </c>
      <c r="M21" s="57">
        <f t="shared" si="48"/>
        <v>20213.790320041964</v>
      </c>
      <c r="N21" s="57">
        <f t="shared" si="48"/>
        <v>20827.371801036406</v>
      </c>
      <c r="O21" s="57">
        <f t="shared" si="48"/>
        <v>21044.746326967917</v>
      </c>
      <c r="P21" s="57">
        <f t="shared" si="48"/>
        <v>21131.354677538446</v>
      </c>
      <c r="Q21" s="57">
        <f t="shared" si="48"/>
        <v>21353.262439006343</v>
      </c>
      <c r="R21" s="57">
        <f t="shared" si="48"/>
        <v>21768.523188657407</v>
      </c>
      <c r="S21" s="57">
        <f t="shared" si="48"/>
        <v>22440.308548934554</v>
      </c>
      <c r="T21" s="57">
        <f t="shared" ref="T21:Y21" si="49">1000000*T17/T$3</f>
        <v>22683.497591335032</v>
      </c>
      <c r="U21" s="57">
        <f t="shared" si="49"/>
        <v>22916.015549403564</v>
      </c>
      <c r="V21" s="57">
        <f t="shared" si="49"/>
        <v>23059.941176227887</v>
      </c>
      <c r="W21" s="57">
        <f t="shared" si="49"/>
        <v>22991.409921592694</v>
      </c>
      <c r="X21" s="57">
        <f t="shared" si="49"/>
        <v>22091.819271736829</v>
      </c>
      <c r="Y21" s="57">
        <f t="shared" si="49"/>
        <v>23224.285003331242</v>
      </c>
      <c r="Z21" s="57">
        <f t="shared" ref="Z21:AA21" si="50">1000000*Z17/Z$3</f>
        <v>23702.593585042105</v>
      </c>
      <c r="AA21" s="57">
        <f t="shared" si="50"/>
        <v>23167.761498394342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307049.39376462682</v>
      </c>
      <c r="E23" s="60">
        <v>311127.45419436292</v>
      </c>
      <c r="F23" s="60">
        <v>318046.81859589409</v>
      </c>
      <c r="G23" s="60">
        <v>324202.44182541833</v>
      </c>
      <c r="H23" s="60">
        <v>338817.59224037407</v>
      </c>
      <c r="I23" s="60">
        <v>347731.43228090246</v>
      </c>
      <c r="J23" s="60">
        <v>364716.79139435716</v>
      </c>
      <c r="K23" s="60">
        <v>376429.01081074949</v>
      </c>
      <c r="L23" s="60">
        <v>372823.29475741024</v>
      </c>
      <c r="M23" s="60">
        <v>355778.62730602728</v>
      </c>
      <c r="N23" s="60">
        <v>376825.5958821979</v>
      </c>
      <c r="O23" s="60">
        <v>390547.79048432049</v>
      </c>
      <c r="P23" s="60">
        <v>388991.30142630119</v>
      </c>
      <c r="Q23" s="60">
        <v>393281.54661236145</v>
      </c>
      <c r="R23" s="60">
        <v>402512.47299937269</v>
      </c>
      <c r="S23" s="60">
        <v>419742.13147199998</v>
      </c>
      <c r="T23" s="60">
        <v>427150.74039438309</v>
      </c>
      <c r="U23" s="60">
        <v>435743.92959426733</v>
      </c>
      <c r="V23" s="60">
        <v>443692.98701491457</v>
      </c>
      <c r="W23" s="60">
        <v>456162.93287321489</v>
      </c>
      <c r="X23" s="60">
        <v>445832.46005795704</v>
      </c>
      <c r="Y23" s="60">
        <v>469750.72240622918</v>
      </c>
      <c r="Z23" s="60">
        <v>476545.32633151388</v>
      </c>
      <c r="AA23" s="60">
        <v>478096</v>
      </c>
    </row>
    <row r="24" spans="1:27" x14ac:dyDescent="0.25">
      <c r="A24" s="61" t="s">
        <v>33</v>
      </c>
      <c r="B24" s="62"/>
      <c r="C24" s="62"/>
      <c r="D24" s="63">
        <v>6164.701619667725</v>
      </c>
      <c r="E24" s="63">
        <v>6274.1218166289118</v>
      </c>
      <c r="F24" s="63">
        <v>6280.9961910279144</v>
      </c>
      <c r="G24" s="63">
        <v>6255.6843830827538</v>
      </c>
      <c r="H24" s="63">
        <v>6408.3901862168877</v>
      </c>
      <c r="I24" s="63">
        <v>4558.4752744305788</v>
      </c>
      <c r="J24" s="63">
        <v>5102.290241252409</v>
      </c>
      <c r="K24" s="63">
        <v>6108.782450965934</v>
      </c>
      <c r="L24" s="63">
        <v>5307.040882601641</v>
      </c>
      <c r="M24" s="63">
        <v>4597.7723387723381</v>
      </c>
      <c r="N24" s="63">
        <v>5819.702095137699</v>
      </c>
      <c r="O24" s="63">
        <v>6226.57992368532</v>
      </c>
      <c r="P24" s="63">
        <v>5495.5563182986398</v>
      </c>
      <c r="Q24" s="63">
        <v>5460.1447940393</v>
      </c>
      <c r="R24" s="63">
        <v>5674.717591182005</v>
      </c>
      <c r="S24" s="63">
        <v>6161.285069999999</v>
      </c>
      <c r="T24" s="63">
        <v>6187.3437526142816</v>
      </c>
      <c r="U24" s="63">
        <v>6507.406409543848</v>
      </c>
      <c r="V24" s="63">
        <v>6272.8097568517496</v>
      </c>
      <c r="W24" s="63">
        <v>6467.3509797409497</v>
      </c>
      <c r="X24" s="63">
        <v>6015.1040328423087</v>
      </c>
      <c r="Y24" s="63">
        <v>6144.7114310131992</v>
      </c>
      <c r="Z24" s="63">
        <v>6656.5736092973439</v>
      </c>
      <c r="AA24" s="63">
        <v>6862.5</v>
      </c>
    </row>
    <row r="25" spans="1:27" x14ac:dyDescent="0.25">
      <c r="A25" s="64" t="s">
        <v>56</v>
      </c>
      <c r="B25" s="65"/>
      <c r="C25" s="65"/>
      <c r="D25" s="66">
        <v>661.5769546601241</v>
      </c>
      <c r="E25" s="66">
        <v>649.38170002599418</v>
      </c>
      <c r="F25" s="66">
        <v>656.74880336000535</v>
      </c>
      <c r="G25" s="66">
        <v>746.12072790964635</v>
      </c>
      <c r="H25" s="66">
        <v>996.24785573785925</v>
      </c>
      <c r="I25" s="66">
        <v>1516.9027477745622</v>
      </c>
      <c r="J25" s="66">
        <v>2067.9102888357011</v>
      </c>
      <c r="K25" s="66">
        <v>2111.9106394564005</v>
      </c>
      <c r="L25" s="66">
        <v>2487.4220138120686</v>
      </c>
      <c r="M25" s="66">
        <v>1357.7262233268018</v>
      </c>
      <c r="N25" s="66">
        <v>3197.8499982254366</v>
      </c>
      <c r="O25" s="66">
        <v>3456.1770397720838</v>
      </c>
      <c r="P25" s="66">
        <v>2816.9208726433844</v>
      </c>
      <c r="Q25" s="66">
        <v>2221.4246612361508</v>
      </c>
      <c r="R25" s="66">
        <v>1996.6077024695753</v>
      </c>
      <c r="S25" s="66">
        <v>1749.879779837011</v>
      </c>
      <c r="T25" s="66">
        <v>1837.5853460135941</v>
      </c>
      <c r="U25" s="66">
        <v>2795.0177115927286</v>
      </c>
      <c r="V25" s="66">
        <v>2926.8713185208503</v>
      </c>
      <c r="W25" s="66">
        <v>3644.9506342602212</v>
      </c>
      <c r="X25" s="66">
        <v>3101.3581194712006</v>
      </c>
      <c r="Y25" s="66">
        <v>5182.680947391872</v>
      </c>
      <c r="Z25" s="66">
        <v>3917.5408489579859</v>
      </c>
      <c r="AA25" s="66">
        <v>3433.3525300772126</v>
      </c>
    </row>
    <row r="26" spans="1:27" x14ac:dyDescent="0.25">
      <c r="A26" s="67" t="s">
        <v>146</v>
      </c>
      <c r="B26" s="44"/>
      <c r="C26" s="44"/>
      <c r="D26" s="45">
        <v>214188.22664890671</v>
      </c>
      <c r="E26" s="45">
        <v>218217.99875970138</v>
      </c>
      <c r="F26" s="45">
        <v>224121.77368478227</v>
      </c>
      <c r="G26" s="45">
        <v>230631.08649860992</v>
      </c>
      <c r="H26" s="45">
        <v>241813.55902757327</v>
      </c>
      <c r="I26" s="45">
        <v>250353.9578520527</v>
      </c>
      <c r="J26" s="45">
        <v>261331.71039127244</v>
      </c>
      <c r="K26" s="45">
        <v>268296.83831747074</v>
      </c>
      <c r="L26" s="45">
        <v>269831.83208131482</v>
      </c>
      <c r="M26" s="45">
        <v>264658.79225009709</v>
      </c>
      <c r="N26" s="45">
        <v>272567.84551690024</v>
      </c>
      <c r="O26" s="45">
        <v>283139.25992450811</v>
      </c>
      <c r="P26" s="45">
        <v>285828.58975788386</v>
      </c>
      <c r="Q26" s="45">
        <v>294007.26891093689</v>
      </c>
      <c r="R26" s="45">
        <v>302481.04055312055</v>
      </c>
      <c r="S26" s="45">
        <v>312142.80434030213</v>
      </c>
      <c r="T26" s="45">
        <v>318682.6004858354</v>
      </c>
      <c r="U26" s="45">
        <v>323744.71548292221</v>
      </c>
      <c r="V26" s="45">
        <v>329709.99327045254</v>
      </c>
      <c r="W26" s="45">
        <v>338685.71336376615</v>
      </c>
      <c r="X26" s="45">
        <v>334080.58326243062</v>
      </c>
      <c r="Y26" s="45">
        <v>344805.90701522515</v>
      </c>
      <c r="Z26" s="45">
        <v>344375.04474269005</v>
      </c>
      <c r="AA26" s="45">
        <v>352689.40455540898</v>
      </c>
    </row>
    <row r="27" spans="1:27" x14ac:dyDescent="0.25">
      <c r="A27" s="68" t="s">
        <v>148</v>
      </c>
      <c r="B27" s="69"/>
      <c r="C27" s="69"/>
      <c r="D27" s="70">
        <v>87622.41867599696</v>
      </c>
      <c r="E27" s="70">
        <v>89187.834550113228</v>
      </c>
      <c r="F27" s="70">
        <v>92849.218212100372</v>
      </c>
      <c r="G27" s="70">
        <v>96251.297617838412</v>
      </c>
      <c r="H27" s="70">
        <v>98761.994548945222</v>
      </c>
      <c r="I27" s="70">
        <v>101711.55575499692</v>
      </c>
      <c r="J27" s="70">
        <v>105112.40557509201</v>
      </c>
      <c r="K27" s="70">
        <v>107486.8961079033</v>
      </c>
      <c r="L27" s="70">
        <v>108160.175791302</v>
      </c>
      <c r="M27" s="70">
        <v>105985.58161838153</v>
      </c>
      <c r="N27" s="70">
        <v>108723.88940571882</v>
      </c>
      <c r="O27" s="70">
        <v>112462.23134250067</v>
      </c>
      <c r="P27" s="70">
        <v>114592.04389947226</v>
      </c>
      <c r="Q27" s="70">
        <v>117063.12760105002</v>
      </c>
      <c r="R27" s="70">
        <v>119561.54538937182</v>
      </c>
      <c r="S27" s="70">
        <v>122587.57017000002</v>
      </c>
      <c r="T27" s="70">
        <v>127815.59202270687</v>
      </c>
      <c r="U27" s="70">
        <v>131108.77645003775</v>
      </c>
      <c r="V27" s="70">
        <v>132793.23749574827</v>
      </c>
      <c r="W27" s="70">
        <v>134360.36652897703</v>
      </c>
      <c r="X27" s="70">
        <v>127613.03195484183</v>
      </c>
      <c r="Y27" s="70">
        <v>132802.70979773995</v>
      </c>
      <c r="Z27" s="70">
        <v>136018.53414068156</v>
      </c>
      <c r="AA27" s="70">
        <v>138039.70000000001</v>
      </c>
    </row>
    <row r="28" spans="1:27" x14ac:dyDescent="0.25">
      <c r="A28" s="68" t="s">
        <v>150</v>
      </c>
      <c r="B28" s="71"/>
      <c r="C28" s="71"/>
      <c r="D28" s="70">
        <v>91411.265169033999</v>
      </c>
      <c r="E28" s="70">
        <v>93189.702647703205</v>
      </c>
      <c r="F28" s="70">
        <v>93820.21236105579</v>
      </c>
      <c r="G28" s="70">
        <v>95666.393473562362</v>
      </c>
      <c r="H28" s="70">
        <v>101862.28044899352</v>
      </c>
      <c r="I28" s="70">
        <v>105766.21922265527</v>
      </c>
      <c r="J28" s="70">
        <v>111568.36216367777</v>
      </c>
      <c r="K28" s="70">
        <v>114588.84926888478</v>
      </c>
      <c r="L28" s="70">
        <v>115510.70152661287</v>
      </c>
      <c r="M28" s="70">
        <v>113304.50294150293</v>
      </c>
      <c r="N28" s="70">
        <v>116533.03802213731</v>
      </c>
      <c r="O28" s="70">
        <v>122440.41194293884</v>
      </c>
      <c r="P28" s="70">
        <v>123802.43510427498</v>
      </c>
      <c r="Q28" s="70">
        <v>128532.61954406825</v>
      </c>
      <c r="R28" s="70">
        <v>132588.91683842638</v>
      </c>
      <c r="S28" s="70">
        <v>138207.09940199999</v>
      </c>
      <c r="T28" s="70">
        <v>139037.17276366896</v>
      </c>
      <c r="U28" s="70">
        <v>139502.10345388859</v>
      </c>
      <c r="V28" s="70">
        <v>144838.41558045329</v>
      </c>
      <c r="W28" s="70">
        <v>150464.63024327465</v>
      </c>
      <c r="X28" s="70">
        <v>152418.28944095632</v>
      </c>
      <c r="Y28" s="70">
        <v>157667.90772956033</v>
      </c>
      <c r="Z28" s="70">
        <v>157511.37925572391</v>
      </c>
      <c r="AA28" s="70">
        <v>162422.79999999999</v>
      </c>
    </row>
    <row r="29" spans="1:27" x14ac:dyDescent="0.25">
      <c r="A29" s="68" t="s">
        <v>152</v>
      </c>
      <c r="B29" s="71"/>
      <c r="C29" s="71"/>
      <c r="D29" s="70">
        <v>35154.542803875767</v>
      </c>
      <c r="E29" s="70">
        <v>35840.461561884964</v>
      </c>
      <c r="F29" s="70">
        <v>37452.343111626054</v>
      </c>
      <c r="G29" s="70">
        <v>38713.395407209158</v>
      </c>
      <c r="H29" s="70">
        <v>41189.284029634517</v>
      </c>
      <c r="I29" s="70">
        <v>42876.182874400496</v>
      </c>
      <c r="J29" s="70">
        <v>44650.942652502643</v>
      </c>
      <c r="K29" s="70">
        <v>46221.092940682684</v>
      </c>
      <c r="L29" s="70">
        <v>46160.954763399968</v>
      </c>
      <c r="M29" s="70">
        <v>45368.707690212577</v>
      </c>
      <c r="N29" s="70">
        <v>47310.918089044128</v>
      </c>
      <c r="O29" s="70">
        <v>48236.616639068612</v>
      </c>
      <c r="P29" s="70">
        <v>47434.110754136636</v>
      </c>
      <c r="Q29" s="70">
        <v>48411.521765818623</v>
      </c>
      <c r="R29" s="70">
        <v>50330.578325322378</v>
      </c>
      <c r="S29" s="70">
        <v>51348.134768302087</v>
      </c>
      <c r="T29" s="70">
        <v>51829.835699459589</v>
      </c>
      <c r="U29" s="70">
        <v>53133.835578995888</v>
      </c>
      <c r="V29" s="70">
        <v>52078.340194250988</v>
      </c>
      <c r="W29" s="70">
        <v>53860.716591514407</v>
      </c>
      <c r="X29" s="70">
        <v>54049.261866632522</v>
      </c>
      <c r="Y29" s="70">
        <v>54335.28948792482</v>
      </c>
      <c r="Z29" s="70">
        <v>50845.131346284514</v>
      </c>
      <c r="AA29" s="70">
        <v>52226.904555408961</v>
      </c>
    </row>
    <row r="30" spans="1:27" x14ac:dyDescent="0.25">
      <c r="A30" s="64" t="s">
        <v>154</v>
      </c>
      <c r="B30" s="65"/>
      <c r="C30" s="65"/>
      <c r="D30" s="66">
        <v>6754.907493126655</v>
      </c>
      <c r="E30" s="66">
        <v>7897.1232203200998</v>
      </c>
      <c r="F30" s="66">
        <v>7638.0163365798853</v>
      </c>
      <c r="G30" s="66">
        <v>8310.1657890346796</v>
      </c>
      <c r="H30" s="66">
        <v>9550.1658943946459</v>
      </c>
      <c r="I30" s="66">
        <v>9995.6663211867617</v>
      </c>
      <c r="J30" s="66">
        <v>10230.751215446515</v>
      </c>
      <c r="K30" s="66">
        <v>10013.285592095566</v>
      </c>
      <c r="L30" s="66">
        <v>12337.505083975886</v>
      </c>
      <c r="M30" s="66">
        <v>12161.148370842906</v>
      </c>
      <c r="N30" s="66">
        <v>12961.72660900134</v>
      </c>
      <c r="O30" s="66">
        <v>12714.719421160351</v>
      </c>
      <c r="P30" s="66">
        <v>12844.152109069764</v>
      </c>
      <c r="Q30" s="66">
        <v>12246.183517353204</v>
      </c>
      <c r="R30" s="66">
        <v>12163.03816792452</v>
      </c>
      <c r="S30" s="66">
        <v>10965.761799860875</v>
      </c>
      <c r="T30" s="66">
        <v>10475.17069638519</v>
      </c>
      <c r="U30" s="66">
        <v>10895.022272157037</v>
      </c>
      <c r="V30" s="66">
        <v>10381.205069547077</v>
      </c>
      <c r="W30" s="66">
        <v>11815.708670937442</v>
      </c>
      <c r="X30" s="66">
        <v>10567.785537924283</v>
      </c>
      <c r="Y30" s="66">
        <v>12833.753564303479</v>
      </c>
      <c r="Z30" s="66">
        <v>16971.276985039163</v>
      </c>
      <c r="AA30" s="66">
        <v>13783.840967027994</v>
      </c>
    </row>
    <row r="31" spans="1:27" x14ac:dyDescent="0.25">
      <c r="A31" s="64" t="s">
        <v>37</v>
      </c>
      <c r="B31" s="65"/>
      <c r="C31" s="65"/>
      <c r="D31" s="66">
        <v>12561.430275505711</v>
      </c>
      <c r="E31" s="66">
        <v>13682.55910728211</v>
      </c>
      <c r="F31" s="66">
        <v>14445.319866758391</v>
      </c>
      <c r="G31" s="66">
        <v>14954.065748603414</v>
      </c>
      <c r="H31" s="66">
        <v>16487.581913051672</v>
      </c>
      <c r="I31" s="66">
        <v>16842.563249544106</v>
      </c>
      <c r="J31" s="66">
        <v>18952.061564343712</v>
      </c>
      <c r="K31" s="66">
        <v>20819.11571926083</v>
      </c>
      <c r="L31" s="66">
        <v>19912.063256164725</v>
      </c>
      <c r="M31" s="66">
        <v>20095.997224997223</v>
      </c>
      <c r="N31" s="66">
        <v>20751.741856634606</v>
      </c>
      <c r="O31" s="66">
        <v>22156.880278517725</v>
      </c>
      <c r="P31" s="66">
        <v>22617.940876184497</v>
      </c>
      <c r="Q31" s="66">
        <v>22507.813631625679</v>
      </c>
      <c r="R31" s="66">
        <v>23601.013495832962</v>
      </c>
      <c r="S31" s="66">
        <v>25745.171903999999</v>
      </c>
      <c r="T31" s="66">
        <v>26899.856145802212</v>
      </c>
      <c r="U31" s="66">
        <v>28234.240773750447</v>
      </c>
      <c r="V31" s="66">
        <v>29195.289695832769</v>
      </c>
      <c r="W31" s="66">
        <v>29826.013301228824</v>
      </c>
      <c r="X31" s="66">
        <v>29708.989223617486</v>
      </c>
      <c r="Y31" s="66">
        <v>31102.415517994494</v>
      </c>
      <c r="Z31" s="66">
        <v>32056.610601377317</v>
      </c>
      <c r="AA31" s="66">
        <v>30856.3</v>
      </c>
    </row>
    <row r="32" spans="1:27" x14ac:dyDescent="0.25">
      <c r="A32" s="64" t="s">
        <v>58</v>
      </c>
      <c r="B32" s="65"/>
      <c r="C32" s="65"/>
      <c r="D32" s="66">
        <v>66718.550772759918</v>
      </c>
      <c r="E32" s="66">
        <v>64406.269590404379</v>
      </c>
      <c r="F32" s="66">
        <v>64903.963713385696</v>
      </c>
      <c r="G32" s="66">
        <v>63305.318678177871</v>
      </c>
      <c r="H32" s="66">
        <v>63561.647363399723</v>
      </c>
      <c r="I32" s="66">
        <v>64463.866835913752</v>
      </c>
      <c r="J32" s="66">
        <v>67032.067693206394</v>
      </c>
      <c r="K32" s="66">
        <v>69079.078091499992</v>
      </c>
      <c r="L32" s="66">
        <v>62947.431439541106</v>
      </c>
      <c r="M32" s="66">
        <v>52907.190897990891</v>
      </c>
      <c r="N32" s="66">
        <v>61526.729806298601</v>
      </c>
      <c r="O32" s="66">
        <v>62854.173896676897</v>
      </c>
      <c r="P32" s="66">
        <v>59388.141492221075</v>
      </c>
      <c r="Q32" s="66">
        <v>56838.71109717022</v>
      </c>
      <c r="R32" s="66">
        <v>56596.055488843085</v>
      </c>
      <c r="S32" s="66">
        <v>62977.228578000009</v>
      </c>
      <c r="T32" s="66">
        <v>63068.183967732322</v>
      </c>
      <c r="U32" s="66">
        <v>63567.526944301077</v>
      </c>
      <c r="V32" s="66">
        <v>65206.817903709583</v>
      </c>
      <c r="W32" s="66">
        <v>65723.195923281281</v>
      </c>
      <c r="X32" s="66">
        <v>62358.639881671101</v>
      </c>
      <c r="Y32" s="66">
        <v>69681.253930301013</v>
      </c>
      <c r="Z32" s="66">
        <v>72568.279544152057</v>
      </c>
      <c r="AA32" s="66">
        <v>70470.601947485833</v>
      </c>
    </row>
    <row r="33" spans="1:27" x14ac:dyDescent="0.25">
      <c r="A33" s="72" t="s">
        <v>158</v>
      </c>
      <c r="B33" s="65"/>
      <c r="C33" s="65"/>
      <c r="D33" s="66">
        <v>2332.2592325694559</v>
      </c>
      <c r="E33" s="66">
        <v>2429.1973337294362</v>
      </c>
      <c r="F33" s="66">
        <v>2396.3888337738508</v>
      </c>
      <c r="G33" s="66">
        <v>2300.7299571281783</v>
      </c>
      <c r="H33" s="66">
        <v>2589.9735715715947</v>
      </c>
      <c r="I33" s="66">
        <v>2762.9916544498874</v>
      </c>
      <c r="J33" s="66">
        <v>2939.8433600093467</v>
      </c>
      <c r="K33" s="66">
        <v>3807.154388392908</v>
      </c>
      <c r="L33" s="66">
        <v>2795.9516580204313</v>
      </c>
      <c r="M33" s="66">
        <v>1024.1049617049616</v>
      </c>
      <c r="N33" s="66">
        <v>3005.6906509421528</v>
      </c>
      <c r="O33" s="66">
        <v>2980.8976005101358</v>
      </c>
      <c r="P33" s="66">
        <v>2829.5496419532674</v>
      </c>
      <c r="Q33" s="66">
        <v>3058.3428714820675</v>
      </c>
      <c r="R33" s="66">
        <v>3188.3078770499151</v>
      </c>
      <c r="S33" s="66">
        <v>3094.4922299999994</v>
      </c>
      <c r="T33" s="66">
        <v>3212.5011054675833</v>
      </c>
      <c r="U33" s="66">
        <v>2955.6013934654015</v>
      </c>
      <c r="V33" s="66">
        <v>3711.1314237417405</v>
      </c>
      <c r="W33" s="66">
        <v>3693.1030160245768</v>
      </c>
      <c r="X33" s="66">
        <v>4033.1024329872012</v>
      </c>
      <c r="Y33" s="66">
        <v>3688.7325648086603</v>
      </c>
      <c r="Z33" s="66">
        <v>3866.1431373838541</v>
      </c>
      <c r="AA33" s="66">
        <v>3600.8312055829101</v>
      </c>
    </row>
    <row r="34" spans="1:27" x14ac:dyDescent="0.25">
      <c r="A34" s="73" t="s">
        <v>5</v>
      </c>
      <c r="B34" s="65"/>
      <c r="C34" s="65"/>
      <c r="D34" s="66">
        <v>1853.4147325148624</v>
      </c>
      <c r="E34" s="66">
        <v>1930.4501247744033</v>
      </c>
      <c r="F34" s="66">
        <v>1904.3776555050229</v>
      </c>
      <c r="G34" s="66">
        <v>1828.3588455910049</v>
      </c>
      <c r="H34" s="66">
        <v>2058.2168171273279</v>
      </c>
      <c r="I34" s="66">
        <v>2195.7119374467002</v>
      </c>
      <c r="J34" s="66">
        <v>2336.2535856378263</v>
      </c>
      <c r="K34" s="66">
        <v>3025.4938790111041</v>
      </c>
      <c r="L34" s="66">
        <v>2221.9048045809795</v>
      </c>
      <c r="M34" s="66">
        <v>680.22523222454993</v>
      </c>
      <c r="N34" s="66">
        <v>2279.2540802025196</v>
      </c>
      <c r="O34" s="66">
        <v>2224.1461567156671</v>
      </c>
      <c r="P34" s="66">
        <v>2002.0331990999377</v>
      </c>
      <c r="Q34" s="66">
        <v>2274.7406762221062</v>
      </c>
      <c r="R34" s="66">
        <v>2411.3887032935104</v>
      </c>
      <c r="S34" s="66">
        <v>2420.8810539651772</v>
      </c>
      <c r="T34" s="66">
        <v>2660.0622648698982</v>
      </c>
      <c r="U34" s="66">
        <v>2274.8888276829844</v>
      </c>
      <c r="V34" s="66">
        <v>2768.60163636979</v>
      </c>
      <c r="W34" s="66">
        <v>2659.3973440878863</v>
      </c>
      <c r="X34" s="66">
        <v>3064.9814051624339</v>
      </c>
      <c r="Y34" s="66">
        <v>2446.865668343145</v>
      </c>
      <c r="Z34" s="66">
        <v>2692.6641728814407</v>
      </c>
      <c r="AA34" s="66">
        <v>2201.0015559674498</v>
      </c>
    </row>
    <row r="35" spans="1:27" x14ac:dyDescent="0.25">
      <c r="A35" s="74" t="s">
        <v>264</v>
      </c>
      <c r="B35" s="44"/>
      <c r="C35" s="44"/>
      <c r="D35" s="45">
        <v>1216.8245951257841</v>
      </c>
      <c r="E35" s="45">
        <v>1346.5923544364402</v>
      </c>
      <c r="F35" s="45">
        <v>1333.0022326548776</v>
      </c>
      <c r="G35" s="45">
        <v>1312.1206299137673</v>
      </c>
      <c r="H35" s="45">
        <v>1486.457748707219</v>
      </c>
      <c r="I35" s="45">
        <v>1580.2801481203555</v>
      </c>
      <c r="J35" s="45">
        <v>1611.418052248531</v>
      </c>
      <c r="K35" s="45">
        <v>2092.5174059978422</v>
      </c>
      <c r="L35" s="45">
        <v>1545.6407552068076</v>
      </c>
      <c r="M35" s="45">
        <v>474.06417671328444</v>
      </c>
      <c r="N35" s="45">
        <v>1636.7117246725077</v>
      </c>
      <c r="O35" s="45">
        <v>1531.7951833088046</v>
      </c>
      <c r="P35" s="45">
        <v>1398.760086537806</v>
      </c>
      <c r="Q35" s="45">
        <v>1611.0925054534043</v>
      </c>
      <c r="R35" s="45">
        <v>1716.2577804461794</v>
      </c>
      <c r="S35" s="45">
        <v>1612.1769652215391</v>
      </c>
      <c r="T35" s="45">
        <v>1799.826344813436</v>
      </c>
      <c r="U35" s="45">
        <v>1498.7170869475926</v>
      </c>
      <c r="V35" s="45">
        <v>1769.8437755090974</v>
      </c>
      <c r="W35" s="45">
        <v>1839.254196461025</v>
      </c>
      <c r="X35" s="45">
        <v>2134.6092647899027</v>
      </c>
      <c r="Y35" s="45">
        <v>1713.8493210724635</v>
      </c>
      <c r="Z35" s="45">
        <v>1833.9981357813456</v>
      </c>
      <c r="AA35" s="45">
        <v>1575.7686934423143</v>
      </c>
    </row>
    <row r="36" spans="1:27" x14ac:dyDescent="0.25">
      <c r="A36" s="74" t="s">
        <v>15</v>
      </c>
      <c r="B36" s="44"/>
      <c r="C36" s="44"/>
      <c r="D36" s="45">
        <v>636.59013738907834</v>
      </c>
      <c r="E36" s="45">
        <v>583.85777033796307</v>
      </c>
      <c r="F36" s="45">
        <v>571.37542285014524</v>
      </c>
      <c r="G36" s="45">
        <v>516.23821567723758</v>
      </c>
      <c r="H36" s="45">
        <v>571.75906842010886</v>
      </c>
      <c r="I36" s="45">
        <v>615.43178932634464</v>
      </c>
      <c r="J36" s="45">
        <v>724.83553338929528</v>
      </c>
      <c r="K36" s="45">
        <v>932.97647301326197</v>
      </c>
      <c r="L36" s="45">
        <v>676.26404937417192</v>
      </c>
      <c r="M36" s="45">
        <v>206.16105551126549</v>
      </c>
      <c r="N36" s="45">
        <v>642.54235553001195</v>
      </c>
      <c r="O36" s="45">
        <v>692.35097340686252</v>
      </c>
      <c r="P36" s="45">
        <v>603.2731125621317</v>
      </c>
      <c r="Q36" s="45">
        <v>663.6481707687019</v>
      </c>
      <c r="R36" s="45">
        <v>695.13092284733102</v>
      </c>
      <c r="S36" s="45">
        <v>808.70408874363807</v>
      </c>
      <c r="T36" s="45">
        <v>860.23592005646219</v>
      </c>
      <c r="U36" s="45">
        <v>776.17174073539172</v>
      </c>
      <c r="V36" s="45">
        <v>998.75786086069252</v>
      </c>
      <c r="W36" s="45">
        <v>820.14314762686126</v>
      </c>
      <c r="X36" s="45">
        <v>930.37214037253125</v>
      </c>
      <c r="Y36" s="45">
        <v>733.01634727068154</v>
      </c>
      <c r="Z36" s="45">
        <v>858.66603710009508</v>
      </c>
      <c r="AA36" s="45">
        <v>625.23286252513549</v>
      </c>
    </row>
    <row r="37" spans="1:27" x14ac:dyDescent="0.25">
      <c r="A37" s="73" t="s">
        <v>263</v>
      </c>
      <c r="B37" s="65"/>
      <c r="C37" s="65"/>
      <c r="D37" s="66">
        <v>478.84450005459371</v>
      </c>
      <c r="E37" s="66">
        <v>498.7472089550331</v>
      </c>
      <c r="F37" s="66">
        <v>492.01117826882796</v>
      </c>
      <c r="G37" s="66">
        <v>472.37111153717342</v>
      </c>
      <c r="H37" s="66">
        <v>531.75675444426679</v>
      </c>
      <c r="I37" s="66">
        <v>567.27971700318722</v>
      </c>
      <c r="J37" s="66">
        <v>603.58977437152043</v>
      </c>
      <c r="K37" s="66">
        <v>781.66050938180388</v>
      </c>
      <c r="L37" s="66">
        <v>574.04685343945175</v>
      </c>
      <c r="M37" s="66">
        <v>343.8797294804117</v>
      </c>
      <c r="N37" s="66">
        <v>726.43657073963323</v>
      </c>
      <c r="O37" s="66">
        <v>756.75144379446874</v>
      </c>
      <c r="P37" s="66">
        <v>827.51644285332964</v>
      </c>
      <c r="Q37" s="66">
        <v>783.60219525996126</v>
      </c>
      <c r="R37" s="66">
        <v>776.91917375640469</v>
      </c>
      <c r="S37" s="66">
        <v>673.61117603482217</v>
      </c>
      <c r="T37" s="66">
        <v>552.43884059768516</v>
      </c>
      <c r="U37" s="66">
        <v>680.71256578241719</v>
      </c>
      <c r="V37" s="66">
        <v>942.52978737195053</v>
      </c>
      <c r="W37" s="66">
        <v>1033.7056719366906</v>
      </c>
      <c r="X37" s="66">
        <v>968.12102782476722</v>
      </c>
      <c r="Y37" s="66">
        <v>1241.8668964655153</v>
      </c>
      <c r="Z37" s="66">
        <v>1173.4789645024134</v>
      </c>
      <c r="AA37" s="66">
        <v>1399.8296496154603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284.56400893133514</v>
      </c>
      <c r="E39" s="45">
        <v>296.39163696644192</v>
      </c>
      <c r="F39" s="45">
        <v>292.38860070700389</v>
      </c>
      <c r="G39" s="45">
        <v>280.71705363023602</v>
      </c>
      <c r="H39" s="45">
        <v>316.0082945585134</v>
      </c>
      <c r="I39" s="45">
        <v>337.11860622280449</v>
      </c>
      <c r="J39" s="45">
        <v>358.69666650768119</v>
      </c>
      <c r="K39" s="45">
        <v>464.51916676005641</v>
      </c>
      <c r="L39" s="45">
        <v>341.14012776699929</v>
      </c>
      <c r="M39" s="45">
        <v>159.94705391521808</v>
      </c>
      <c r="N39" s="45">
        <v>372.62581778724348</v>
      </c>
      <c r="O39" s="45">
        <v>402.68283961510548</v>
      </c>
      <c r="P39" s="45">
        <v>458.36038780947757</v>
      </c>
      <c r="Q39" s="45">
        <v>475.63892984974643</v>
      </c>
      <c r="R39" s="45">
        <v>425.13175942250354</v>
      </c>
      <c r="S39" s="45">
        <v>417.84239558824618</v>
      </c>
      <c r="T39" s="45">
        <v>477.60721477406952</v>
      </c>
      <c r="U39" s="45">
        <v>476.72680876364478</v>
      </c>
      <c r="V39" s="45">
        <v>495.34753148770051</v>
      </c>
      <c r="W39" s="45">
        <v>633.70567193669103</v>
      </c>
      <c r="X39" s="45">
        <v>450.32270415368151</v>
      </c>
      <c r="Y39" s="45">
        <v>406.15877159861543</v>
      </c>
      <c r="Z39" s="45">
        <v>399.40976389149637</v>
      </c>
      <c r="AA39" s="45">
        <v>360.55754649454536</v>
      </c>
    </row>
    <row r="40" spans="1:27" x14ac:dyDescent="0.25">
      <c r="A40" s="75" t="s">
        <v>267</v>
      </c>
      <c r="B40" s="76"/>
      <c r="C40" s="76"/>
      <c r="D40" s="45">
        <v>236.48754131042449</v>
      </c>
      <c r="E40" s="45">
        <v>248.22695746476262</v>
      </c>
      <c r="F40" s="45">
        <v>239.5652063847914</v>
      </c>
      <c r="G40" s="45">
        <v>227.48599657629799</v>
      </c>
      <c r="H40" s="45">
        <v>257.2494716164407</v>
      </c>
      <c r="I40" s="45">
        <v>272.82223885078452</v>
      </c>
      <c r="J40" s="45">
        <v>285.56173474284509</v>
      </c>
      <c r="K40" s="45">
        <v>365.22727490795285</v>
      </c>
      <c r="L40" s="45">
        <v>277.88713550624817</v>
      </c>
      <c r="M40" s="45">
        <v>119.6270278476713</v>
      </c>
      <c r="N40" s="45">
        <v>294.71006407313666</v>
      </c>
      <c r="O40" s="45">
        <v>330.23842987076921</v>
      </c>
      <c r="P40" s="45">
        <v>385.75471463654293</v>
      </c>
      <c r="Q40" s="45">
        <v>401.09748316344195</v>
      </c>
      <c r="R40" s="45">
        <v>425.13175942250354</v>
      </c>
      <c r="S40" s="45">
        <v>417.84239558824618</v>
      </c>
      <c r="T40" s="45">
        <v>477.60721477406952</v>
      </c>
      <c r="U40" s="45">
        <v>476.72680876364478</v>
      </c>
      <c r="V40" s="45">
        <v>495.34753148770051</v>
      </c>
      <c r="W40" s="45">
        <v>633.70567193669103</v>
      </c>
      <c r="X40" s="45">
        <v>450.32270415368151</v>
      </c>
      <c r="Y40" s="45">
        <v>406.15877159861543</v>
      </c>
      <c r="Z40" s="45">
        <v>399.40976389149637</v>
      </c>
      <c r="AA40" s="45">
        <v>360.55754649454536</v>
      </c>
    </row>
    <row r="41" spans="1:27" x14ac:dyDescent="0.25">
      <c r="A41" s="75" t="s">
        <v>268</v>
      </c>
      <c r="B41" s="76"/>
      <c r="C41" s="76"/>
      <c r="D41" s="45">
        <v>48.076467620910648</v>
      </c>
      <c r="E41" s="45">
        <v>48.164679501679302</v>
      </c>
      <c r="F41" s="45">
        <v>52.823394322212494</v>
      </c>
      <c r="G41" s="45">
        <v>53.231057053938031</v>
      </c>
      <c r="H41" s="45">
        <v>58.758822942072698</v>
      </c>
      <c r="I41" s="45">
        <v>64.296367372019972</v>
      </c>
      <c r="J41" s="45">
        <v>73.134931764836097</v>
      </c>
      <c r="K41" s="45">
        <v>99.291891852103561</v>
      </c>
      <c r="L41" s="45">
        <v>63.252992260751114</v>
      </c>
      <c r="M41" s="45">
        <v>40.320026067546777</v>
      </c>
      <c r="N41" s="45">
        <v>77.915753714106813</v>
      </c>
      <c r="O41" s="45">
        <v>72.444409744336269</v>
      </c>
      <c r="P41" s="45">
        <v>72.605673172934644</v>
      </c>
      <c r="Q41" s="45">
        <v>74.541446686304482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</row>
    <row r="42" spans="1:27" x14ac:dyDescent="0.25">
      <c r="A42" s="74" t="s">
        <v>13</v>
      </c>
      <c r="B42" s="44"/>
      <c r="C42" s="44"/>
      <c r="D42" s="45">
        <v>194.28049112325857</v>
      </c>
      <c r="E42" s="45">
        <v>202.35557198859118</v>
      </c>
      <c r="F42" s="45">
        <v>199.62257756182407</v>
      </c>
      <c r="G42" s="45">
        <v>191.6540579069374</v>
      </c>
      <c r="H42" s="45">
        <v>215.74845988575339</v>
      </c>
      <c r="I42" s="45">
        <v>230.1611107803827</v>
      </c>
      <c r="J42" s="45">
        <v>244.89310786383925</v>
      </c>
      <c r="K42" s="45">
        <v>317.14134262174747</v>
      </c>
      <c r="L42" s="45">
        <v>232.90672567245247</v>
      </c>
      <c r="M42" s="45">
        <v>183.93267556519362</v>
      </c>
      <c r="N42" s="45">
        <v>353.81075295238981</v>
      </c>
      <c r="O42" s="45">
        <v>354.06860417936321</v>
      </c>
      <c r="P42" s="45">
        <v>369.15605504385201</v>
      </c>
      <c r="Q42" s="45">
        <v>307.96326541021483</v>
      </c>
      <c r="R42" s="45">
        <v>351.78741433390121</v>
      </c>
      <c r="S42" s="45">
        <v>255.76878044657599</v>
      </c>
      <c r="T42" s="45">
        <v>74.831625823615695</v>
      </c>
      <c r="U42" s="45">
        <v>203.9857570187724</v>
      </c>
      <c r="V42" s="45">
        <v>447.18225588425003</v>
      </c>
      <c r="W42" s="45">
        <v>399.99999999999955</v>
      </c>
      <c r="X42" s="45">
        <v>517.79832367108565</v>
      </c>
      <c r="Y42" s="45">
        <v>835.70812486689988</v>
      </c>
      <c r="Z42" s="45">
        <v>774.06920061091716</v>
      </c>
      <c r="AA42" s="45">
        <v>1039.2721031209148</v>
      </c>
    </row>
    <row r="43" spans="1:27" x14ac:dyDescent="0.25">
      <c r="A43" s="72" t="s">
        <v>265</v>
      </c>
      <c r="B43" s="65"/>
      <c r="C43" s="65"/>
      <c r="D43" s="66">
        <v>9540.2348170632813</v>
      </c>
      <c r="E43" s="66">
        <v>10391.918585911091</v>
      </c>
      <c r="F43" s="66">
        <v>11088.155219233127</v>
      </c>
      <c r="G43" s="66">
        <v>10387.048269183062</v>
      </c>
      <c r="H43" s="66">
        <v>10051.860161835539</v>
      </c>
      <c r="I43" s="66">
        <v>10720.826216612439</v>
      </c>
      <c r="J43" s="66">
        <v>11006.033999649517</v>
      </c>
      <c r="K43" s="66">
        <v>10513.428148786757</v>
      </c>
      <c r="L43" s="66">
        <v>9388.7552643005729</v>
      </c>
      <c r="M43" s="66">
        <v>10880.341724941725</v>
      </c>
      <c r="N43" s="66">
        <v>10858.110561338786</v>
      </c>
      <c r="O43" s="66">
        <v>9984.6308981888033</v>
      </c>
      <c r="P43" s="66">
        <v>9653.0338270781431</v>
      </c>
      <c r="Q43" s="66">
        <v>8623.5059703509305</v>
      </c>
      <c r="R43" s="66">
        <v>7378.9854467246187</v>
      </c>
      <c r="S43" s="66">
        <v>8762.1010020000103</v>
      </c>
      <c r="T43" s="66">
        <v>8134.1027666567115</v>
      </c>
      <c r="U43" s="66">
        <v>7591.9222736114953</v>
      </c>
      <c r="V43" s="66">
        <v>7953.1940341582649</v>
      </c>
      <c r="W43" s="66">
        <v>9281.0869291763483</v>
      </c>
      <c r="X43" s="66">
        <v>9686.934218787741</v>
      </c>
      <c r="Y43" s="66">
        <v>8970.6156623302631</v>
      </c>
      <c r="Z43" s="66">
        <v>11687.106474130724</v>
      </c>
      <c r="AA43" s="66">
        <v>13037.143074242678</v>
      </c>
    </row>
    <row r="44" spans="1:27" x14ac:dyDescent="0.25">
      <c r="A44" s="73" t="s">
        <v>266</v>
      </c>
      <c r="B44" s="65"/>
      <c r="C44" s="65"/>
      <c r="D44" s="66">
        <v>7632.1878536506256</v>
      </c>
      <c r="E44" s="66">
        <v>8257.4661958802117</v>
      </c>
      <c r="F44" s="66">
        <v>8537.0419586692005</v>
      </c>
      <c r="G44" s="66">
        <v>8120.3893114185285</v>
      </c>
      <c r="H44" s="66">
        <v>7941.5412770155626</v>
      </c>
      <c r="I44" s="66">
        <v>8315.6071347059533</v>
      </c>
      <c r="J44" s="66">
        <v>8399.7664029071439</v>
      </c>
      <c r="K44" s="66">
        <v>8069.8402761872039</v>
      </c>
      <c r="L44" s="66">
        <v>7516.7857118276224</v>
      </c>
      <c r="M44" s="66">
        <v>8496.89123624688</v>
      </c>
      <c r="N44" s="66">
        <v>8147.5368562418626</v>
      </c>
      <c r="O44" s="66">
        <v>7540.5212417170569</v>
      </c>
      <c r="P44" s="66">
        <v>7255.577418787173</v>
      </c>
      <c r="Q44" s="66">
        <v>6704.4798396884189</v>
      </c>
      <c r="R44" s="66">
        <v>6125.0296330684123</v>
      </c>
      <c r="S44" s="66">
        <v>6858.9787985643488</v>
      </c>
      <c r="T44" s="66">
        <v>6525.9453403726502</v>
      </c>
      <c r="U44" s="66">
        <v>6232.2937212538627</v>
      </c>
      <c r="V44" s="66">
        <v>6509.0295402389638</v>
      </c>
      <c r="W44" s="66">
        <v>7213.6004553440271</v>
      </c>
      <c r="X44" s="66">
        <v>7337.1003207043632</v>
      </c>
      <c r="Y44" s="66">
        <v>6839.654949742403</v>
      </c>
      <c r="Z44" s="66">
        <v>8092.6055048340313</v>
      </c>
      <c r="AA44" s="66">
        <v>8199.1697302515458</v>
      </c>
    </row>
    <row r="45" spans="1:27" x14ac:dyDescent="0.25">
      <c r="A45" s="74" t="s">
        <v>20</v>
      </c>
      <c r="B45" s="44"/>
      <c r="C45" s="44"/>
      <c r="D45" s="45">
        <v>4358.6249682896296</v>
      </c>
      <c r="E45" s="45">
        <v>4533.6540674431535</v>
      </c>
      <c r="F45" s="45">
        <v>4609.7639230507275</v>
      </c>
      <c r="G45" s="45">
        <v>4495.8664518003116</v>
      </c>
      <c r="H45" s="45">
        <v>4446.0810508480799</v>
      </c>
      <c r="I45" s="45">
        <v>4549.5868328354445</v>
      </c>
      <c r="J45" s="45">
        <v>4813.2118329160639</v>
      </c>
      <c r="K45" s="45">
        <v>4717.7382421337707</v>
      </c>
      <c r="L45" s="45">
        <v>4553.2076435638219</v>
      </c>
      <c r="M45" s="45">
        <v>5146.3772660339746</v>
      </c>
      <c r="N45" s="45">
        <v>5185.4314086323548</v>
      </c>
      <c r="O45" s="45">
        <v>4719.1792514154695</v>
      </c>
      <c r="P45" s="45">
        <v>4490.6634606377829</v>
      </c>
      <c r="Q45" s="45">
        <v>4131.6532548673358</v>
      </c>
      <c r="R45" s="45">
        <v>3743.9301340055795</v>
      </c>
      <c r="S45" s="45">
        <v>4615.326649302996</v>
      </c>
      <c r="T45" s="45">
        <v>4013.420810048674</v>
      </c>
      <c r="U45" s="45">
        <v>3930.0983841816296</v>
      </c>
      <c r="V45" s="45">
        <v>3822.2480393224077</v>
      </c>
      <c r="W45" s="45">
        <v>4576.6485258435714</v>
      </c>
      <c r="X45" s="45">
        <v>3964.4453421494504</v>
      </c>
      <c r="Y45" s="45">
        <v>3817.099085338466</v>
      </c>
      <c r="Z45" s="45">
        <v>4497.7354659747198</v>
      </c>
      <c r="AA45" s="45">
        <v>4302.901680391652</v>
      </c>
    </row>
    <row r="46" spans="1:27" x14ac:dyDescent="0.25">
      <c r="A46" s="74" t="s">
        <v>12</v>
      </c>
      <c r="B46" s="44"/>
      <c r="C46" s="44"/>
      <c r="D46" s="45">
        <v>3273.562885360996</v>
      </c>
      <c r="E46" s="45">
        <v>3723.8121284370582</v>
      </c>
      <c r="F46" s="45">
        <v>3927.278035618473</v>
      </c>
      <c r="G46" s="45">
        <v>3624.5228596182169</v>
      </c>
      <c r="H46" s="45">
        <v>3495.4602261674827</v>
      </c>
      <c r="I46" s="45">
        <v>3766.0203018705088</v>
      </c>
      <c r="J46" s="45">
        <v>3586.5545699910799</v>
      </c>
      <c r="K46" s="45">
        <v>3352.1020340534333</v>
      </c>
      <c r="L46" s="45">
        <v>2963.5780682638006</v>
      </c>
      <c r="M46" s="45">
        <v>3350.5139702129054</v>
      </c>
      <c r="N46" s="45">
        <v>2962.1054476095078</v>
      </c>
      <c r="O46" s="45">
        <v>2821.3419903015874</v>
      </c>
      <c r="P46" s="45">
        <v>2764.9139581493901</v>
      </c>
      <c r="Q46" s="45">
        <v>2572.8265848210831</v>
      </c>
      <c r="R46" s="45">
        <v>2381.0994990628328</v>
      </c>
      <c r="S46" s="45">
        <v>2243.6521492613529</v>
      </c>
      <c r="T46" s="45">
        <v>2512.5245303239763</v>
      </c>
      <c r="U46" s="45">
        <v>2302.1953370722331</v>
      </c>
      <c r="V46" s="45">
        <v>2686.7815009165561</v>
      </c>
      <c r="W46" s="45">
        <v>2636.9519295004557</v>
      </c>
      <c r="X46" s="45">
        <v>3372.6549785549128</v>
      </c>
      <c r="Y46" s="45">
        <v>3022.555864403937</v>
      </c>
      <c r="Z46" s="45">
        <v>3594.8700388593115</v>
      </c>
      <c r="AA46" s="45">
        <v>3896.2680498598938</v>
      </c>
    </row>
    <row r="47" spans="1:27" x14ac:dyDescent="0.25">
      <c r="A47" s="73" t="s">
        <v>11</v>
      </c>
      <c r="B47" s="65"/>
      <c r="C47" s="65"/>
      <c r="D47" s="66">
        <v>1908.0469634126555</v>
      </c>
      <c r="E47" s="66">
        <v>2134.4523900308805</v>
      </c>
      <c r="F47" s="66">
        <v>2551.1132605639264</v>
      </c>
      <c r="G47" s="66">
        <v>2266.6589577645336</v>
      </c>
      <c r="H47" s="66">
        <v>2110.3188848199761</v>
      </c>
      <c r="I47" s="66">
        <v>2405.2190819064854</v>
      </c>
      <c r="J47" s="66">
        <v>2606.2675967423729</v>
      </c>
      <c r="K47" s="66">
        <v>2443.587872599554</v>
      </c>
      <c r="L47" s="66">
        <v>1871.9695524729514</v>
      </c>
      <c r="M47" s="66">
        <v>2383.4504886948462</v>
      </c>
      <c r="N47" s="66">
        <v>2710.5737050969242</v>
      </c>
      <c r="O47" s="66">
        <v>2444.1096564717454</v>
      </c>
      <c r="P47" s="66">
        <v>2397.456408290971</v>
      </c>
      <c r="Q47" s="66">
        <v>1919.0261306625116</v>
      </c>
      <c r="R47" s="66">
        <v>1253.9558136562059</v>
      </c>
      <c r="S47" s="66">
        <v>1903.1222034356622</v>
      </c>
      <c r="T47" s="66">
        <v>1608.1574262840611</v>
      </c>
      <c r="U47" s="66">
        <v>1359.6285523576321</v>
      </c>
      <c r="V47" s="66">
        <v>1444.1644939193006</v>
      </c>
      <c r="W47" s="66">
        <v>2067.4864738323208</v>
      </c>
      <c r="X47" s="66">
        <v>2349.8338980833787</v>
      </c>
      <c r="Y47" s="66">
        <v>2130.9607125878611</v>
      </c>
      <c r="Z47" s="66">
        <v>3594.5009692966919</v>
      </c>
      <c r="AA47" s="66">
        <v>4837.9733439911333</v>
      </c>
    </row>
    <row r="48" spans="1:27" x14ac:dyDescent="0.25">
      <c r="A48" s="72" t="s">
        <v>4</v>
      </c>
      <c r="B48" s="65"/>
      <c r="C48" s="65"/>
      <c r="D48" s="66">
        <v>1184.355121996432</v>
      </c>
      <c r="E48" s="66">
        <v>1254.7726094544914</v>
      </c>
      <c r="F48" s="66">
        <v>1286.501017415547</v>
      </c>
      <c r="G48" s="66">
        <v>1225.3606028037932</v>
      </c>
      <c r="H48" s="66">
        <v>1237.0611041094921</v>
      </c>
      <c r="I48" s="66">
        <v>1327.8007508849714</v>
      </c>
      <c r="J48" s="66">
        <v>1417.4113931888548</v>
      </c>
      <c r="K48" s="66">
        <v>1599.7921704309556</v>
      </c>
      <c r="L48" s="66">
        <v>1616.0120437872799</v>
      </c>
      <c r="M48" s="66">
        <v>1275.8769896769893</v>
      </c>
      <c r="N48" s="66">
        <v>1503.2470483594677</v>
      </c>
      <c r="O48" s="66">
        <v>1860.050861368522</v>
      </c>
      <c r="P48" s="66">
        <v>1849.5222656020092</v>
      </c>
      <c r="Q48" s="66">
        <v>1582.5380863220475</v>
      </c>
      <c r="R48" s="66">
        <v>1567.093807688861</v>
      </c>
      <c r="S48" s="66">
        <v>1611.7909199999995</v>
      </c>
      <c r="T48" s="66">
        <v>1631.3384583208847</v>
      </c>
      <c r="U48" s="66">
        <v>1736.1175612370478</v>
      </c>
      <c r="V48" s="66">
        <v>1606.0452921592675</v>
      </c>
      <c r="W48" s="66">
        <v>1687.4604886250418</v>
      </c>
      <c r="X48" s="66">
        <v>1673.842157691379</v>
      </c>
      <c r="Y48" s="66">
        <v>1646.9470306713511</v>
      </c>
      <c r="Z48" s="66">
        <v>1606.2037937222258</v>
      </c>
      <c r="AA48" s="66">
        <v>1477.0458173353391</v>
      </c>
    </row>
    <row r="49" spans="1:27" x14ac:dyDescent="0.25">
      <c r="A49" s="77" t="s">
        <v>10</v>
      </c>
      <c r="B49" s="44"/>
      <c r="C49" s="44"/>
      <c r="D49" s="45">
        <v>667.67840755893508</v>
      </c>
      <c r="E49" s="45">
        <v>693.77743615034535</v>
      </c>
      <c r="F49" s="45">
        <v>732.5432850533648</v>
      </c>
      <c r="G49" s="45">
        <v>671.35150873181556</v>
      </c>
      <c r="H49" s="45">
        <v>699.63337936780351</v>
      </c>
      <c r="I49" s="45">
        <v>746.12669427595358</v>
      </c>
      <c r="J49" s="45">
        <v>838.74050559121292</v>
      </c>
      <c r="K49" s="45">
        <v>931.30669969740052</v>
      </c>
      <c r="L49" s="45">
        <v>915.78562915304292</v>
      </c>
      <c r="M49" s="45">
        <v>707.55692116806745</v>
      </c>
      <c r="N49" s="45">
        <v>749.37633770392858</v>
      </c>
      <c r="O49" s="45">
        <v>728.15019920769657</v>
      </c>
      <c r="P49" s="45">
        <v>750.00097970260765</v>
      </c>
      <c r="Q49" s="45">
        <v>849.36745269096139</v>
      </c>
      <c r="R49" s="45">
        <v>995.5694623834479</v>
      </c>
      <c r="S49" s="45">
        <v>883.20240285041939</v>
      </c>
      <c r="T49" s="45">
        <v>1075.917296114291</v>
      </c>
      <c r="U49" s="45">
        <v>1106.3690203265805</v>
      </c>
      <c r="V49" s="45">
        <v>1110.3688790115862</v>
      </c>
      <c r="W49" s="45">
        <v>1076.2988907095371</v>
      </c>
      <c r="X49" s="45">
        <v>1066.133307986926</v>
      </c>
      <c r="Y49" s="45">
        <v>1020.7222877718644</v>
      </c>
      <c r="Z49" s="45">
        <v>1032.6215338562552</v>
      </c>
      <c r="AA49" s="45">
        <v>862.82776722550318</v>
      </c>
    </row>
    <row r="50" spans="1:27" x14ac:dyDescent="0.25">
      <c r="A50" s="77" t="s">
        <v>18</v>
      </c>
      <c r="B50" s="44"/>
      <c r="C50" s="44"/>
      <c r="D50" s="45">
        <v>231.84986620543356</v>
      </c>
      <c r="E50" s="45">
        <v>241.74270435062567</v>
      </c>
      <c r="F50" s="45">
        <v>256.14072313329353</v>
      </c>
      <c r="G50" s="45">
        <v>251.66106174775246</v>
      </c>
      <c r="H50" s="45">
        <v>253.27949441584641</v>
      </c>
      <c r="I50" s="45">
        <v>262.93689213291657</v>
      </c>
      <c r="J50" s="45">
        <v>281.62263549704926</v>
      </c>
      <c r="K50" s="45">
        <v>315.22195140602645</v>
      </c>
      <c r="L50" s="45">
        <v>352.64368051551298</v>
      </c>
      <c r="M50" s="45">
        <v>254.44778526807929</v>
      </c>
      <c r="N50" s="45">
        <v>307.09467607397352</v>
      </c>
      <c r="O50" s="45">
        <v>346.75602772700734</v>
      </c>
      <c r="P50" s="45">
        <v>343.37307968615136</v>
      </c>
      <c r="Q50" s="45">
        <v>307.54312418696969</v>
      </c>
      <c r="R50" s="45">
        <v>302.37616864885081</v>
      </c>
      <c r="S50" s="45">
        <v>288.91482482791662</v>
      </c>
      <c r="T50" s="45">
        <v>363.6726874397645</v>
      </c>
      <c r="U50" s="45">
        <v>381.52751487707502</v>
      </c>
      <c r="V50" s="45">
        <v>373.09451024375318</v>
      </c>
      <c r="W50" s="45">
        <v>376.92742308156164</v>
      </c>
      <c r="X50" s="45">
        <v>331.86791943996542</v>
      </c>
      <c r="Y50" s="45">
        <v>320.35894294140672</v>
      </c>
      <c r="Z50" s="45">
        <v>314.3143526176018</v>
      </c>
      <c r="AA50" s="45">
        <v>298.21756906152598</v>
      </c>
    </row>
    <row r="51" spans="1:27" x14ac:dyDescent="0.25">
      <c r="A51" s="77" t="s">
        <v>9</v>
      </c>
      <c r="B51" s="44"/>
      <c r="C51" s="44"/>
      <c r="D51" s="45">
        <v>284.82684823206336</v>
      </c>
      <c r="E51" s="45">
        <v>319.25246895352041</v>
      </c>
      <c r="F51" s="45">
        <v>297.81700922888871</v>
      </c>
      <c r="G51" s="45">
        <v>302.34803232422519</v>
      </c>
      <c r="H51" s="45">
        <v>284.14823032584218</v>
      </c>
      <c r="I51" s="45">
        <v>318.73716447610127</v>
      </c>
      <c r="J51" s="45">
        <v>297.04825210059266</v>
      </c>
      <c r="K51" s="45">
        <v>353.26351932752863</v>
      </c>
      <c r="L51" s="45">
        <v>347.58273411872403</v>
      </c>
      <c r="M51" s="45">
        <v>313.87228324084253</v>
      </c>
      <c r="N51" s="45">
        <v>446.77603458156563</v>
      </c>
      <c r="O51" s="45">
        <v>785.14463443381817</v>
      </c>
      <c r="P51" s="45">
        <v>756.14820621324998</v>
      </c>
      <c r="Q51" s="45">
        <v>425.62750944411647</v>
      </c>
      <c r="R51" s="45">
        <v>269.14817665656233</v>
      </c>
      <c r="S51" s="45">
        <v>439.67369232166345</v>
      </c>
      <c r="T51" s="45">
        <v>191.74847476682913</v>
      </c>
      <c r="U51" s="45">
        <v>248.22102603339221</v>
      </c>
      <c r="V51" s="45">
        <v>122.58190290392821</v>
      </c>
      <c r="W51" s="45">
        <v>234.23417483394303</v>
      </c>
      <c r="X51" s="45">
        <v>275.84093026448767</v>
      </c>
      <c r="Y51" s="45">
        <v>305.86579995807989</v>
      </c>
      <c r="Z51" s="45">
        <v>259.26790724836883</v>
      </c>
      <c r="AA51" s="45">
        <v>316.00048104830989</v>
      </c>
    </row>
    <row r="52" spans="1:27" x14ac:dyDescent="0.25">
      <c r="A52" s="72" t="s">
        <v>3</v>
      </c>
      <c r="B52" s="65"/>
      <c r="C52" s="65"/>
      <c r="D52" s="66">
        <v>8569.8628750839944</v>
      </c>
      <c r="E52" s="66">
        <v>8631.1224999071619</v>
      </c>
      <c r="F52" s="66">
        <v>7878.4625945906791</v>
      </c>
      <c r="G52" s="66">
        <v>7413.7649608484589</v>
      </c>
      <c r="H52" s="66">
        <v>6917.1020176440798</v>
      </c>
      <c r="I52" s="66">
        <v>6476.5481174241077</v>
      </c>
      <c r="J52" s="66">
        <v>6442.7679584087855</v>
      </c>
      <c r="K52" s="66">
        <v>6291.385470715687</v>
      </c>
      <c r="L52" s="66">
        <v>5512.5957035445745</v>
      </c>
      <c r="M52" s="66">
        <v>5178.2789654789649</v>
      </c>
      <c r="N52" s="66">
        <v>5426.5875543549864</v>
      </c>
      <c r="O52" s="66">
        <v>5424.8079132769035</v>
      </c>
      <c r="P52" s="66">
        <v>5138.2226285534916</v>
      </c>
      <c r="Q52" s="66">
        <v>4792.7085742964136</v>
      </c>
      <c r="R52" s="66">
        <v>5081.1640290348596</v>
      </c>
      <c r="S52" s="66">
        <v>5052.3687359999994</v>
      </c>
      <c r="T52" s="66">
        <v>4938.3616313116236</v>
      </c>
      <c r="U52" s="66">
        <v>4839.9658620826549</v>
      </c>
      <c r="V52" s="66">
        <v>5559.04776177862</v>
      </c>
      <c r="W52" s="66">
        <v>5064.0087180338751</v>
      </c>
      <c r="X52" s="66">
        <v>4600.3051195363441</v>
      </c>
      <c r="Y52" s="66">
        <v>5107.7888956414399</v>
      </c>
      <c r="Z52" s="66">
        <v>6297.5444414171498</v>
      </c>
      <c r="AA52" s="66">
        <v>6462.2467286206929</v>
      </c>
    </row>
    <row r="53" spans="1:27" x14ac:dyDescent="0.25">
      <c r="A53" s="73" t="s">
        <v>21</v>
      </c>
      <c r="B53" s="65"/>
      <c r="C53" s="65"/>
      <c r="D53" s="66">
        <v>6837.1682855620174</v>
      </c>
      <c r="E53" s="66">
        <v>6944.7226038842873</v>
      </c>
      <c r="F53" s="66">
        <v>6285.5376733408157</v>
      </c>
      <c r="G53" s="66">
        <v>5921.8766992240544</v>
      </c>
      <c r="H53" s="66">
        <v>5408.5719909070567</v>
      </c>
      <c r="I53" s="66">
        <v>5010.7099081059823</v>
      </c>
      <c r="J53" s="66">
        <v>5019.494951807932</v>
      </c>
      <c r="K53" s="66">
        <v>4880.5992830646719</v>
      </c>
      <c r="L53" s="66">
        <v>4173.921425143405</v>
      </c>
      <c r="M53" s="66">
        <v>4050.9126651126653</v>
      </c>
      <c r="N53" s="66">
        <v>4304.9772499670571</v>
      </c>
      <c r="O53" s="66">
        <v>4300.3060054099087</v>
      </c>
      <c r="P53" s="66">
        <v>4035.256057365953</v>
      </c>
      <c r="Q53" s="66">
        <v>3834.2273887194528</v>
      </c>
      <c r="R53" s="66">
        <v>4114.3888162021685</v>
      </c>
      <c r="S53" s="66">
        <v>4140.3793859999996</v>
      </c>
      <c r="T53" s="66">
        <v>4048.2094293397076</v>
      </c>
      <c r="U53" s="66">
        <v>4105.9932450672914</v>
      </c>
      <c r="V53" s="66">
        <v>4767.822389428874</v>
      </c>
      <c r="W53" s="66">
        <v>4416.2538753736299</v>
      </c>
      <c r="X53" s="66">
        <v>4015.7487442646702</v>
      </c>
      <c r="Y53" s="66">
        <v>4515.134118317349</v>
      </c>
      <c r="Z53" s="66">
        <v>5738.4763197700095</v>
      </c>
      <c r="AA53" s="66">
        <v>5961.8465780522101</v>
      </c>
    </row>
    <row r="54" spans="1:27" x14ac:dyDescent="0.25">
      <c r="A54" s="74" t="s">
        <v>8</v>
      </c>
      <c r="B54" s="44"/>
      <c r="C54" s="44"/>
      <c r="D54" s="45">
        <v>1199.2467238869958</v>
      </c>
      <c r="E54" s="45">
        <v>1191.2628400294484</v>
      </c>
      <c r="F54" s="45">
        <v>1093.1703370704111</v>
      </c>
      <c r="G54" s="45">
        <v>1032.2439382505108</v>
      </c>
      <c r="H54" s="45">
        <v>928.09117236447889</v>
      </c>
      <c r="I54" s="45">
        <v>846.37743668577104</v>
      </c>
      <c r="J54" s="45">
        <v>848.32401640899855</v>
      </c>
      <c r="K54" s="45">
        <v>876.73103382712634</v>
      </c>
      <c r="L54" s="45">
        <v>718.76803616504378</v>
      </c>
      <c r="M54" s="45">
        <v>431.13533412977415</v>
      </c>
      <c r="N54" s="45">
        <v>1165.1757093286362</v>
      </c>
      <c r="O54" s="45">
        <v>850.21613051503221</v>
      </c>
      <c r="P54" s="45">
        <v>510.04733784341738</v>
      </c>
      <c r="Q54" s="45">
        <v>656.89938521808506</v>
      </c>
      <c r="R54" s="45">
        <v>910.57758803456841</v>
      </c>
      <c r="S54" s="45">
        <v>862.90948861191168</v>
      </c>
      <c r="T54" s="45">
        <v>838.00334331518104</v>
      </c>
      <c r="U54" s="45">
        <v>1000.0192497907858</v>
      </c>
      <c r="V54" s="45">
        <v>967.31648012869778</v>
      </c>
      <c r="W54" s="45">
        <v>983.19626743327376</v>
      </c>
      <c r="X54" s="45">
        <v>1005.5227150589629</v>
      </c>
      <c r="Y54" s="45">
        <v>978.4258872311824</v>
      </c>
      <c r="Z54" s="45">
        <v>935.22194920178106</v>
      </c>
      <c r="AA54" s="45">
        <v>929.54606450610515</v>
      </c>
    </row>
    <row r="55" spans="1:27" x14ac:dyDescent="0.25">
      <c r="A55" s="74" t="s">
        <v>17</v>
      </c>
      <c r="B55" s="44"/>
      <c r="C55" s="44"/>
      <c r="D55" s="45">
        <v>5637.9215616750216</v>
      </c>
      <c r="E55" s="45">
        <v>5753.4597638548385</v>
      </c>
      <c r="F55" s="45">
        <v>5192.3673362704048</v>
      </c>
      <c r="G55" s="45">
        <v>4889.6327609735436</v>
      </c>
      <c r="H55" s="45">
        <v>4480.4808185425782</v>
      </c>
      <c r="I55" s="45">
        <v>4164.3324714202117</v>
      </c>
      <c r="J55" s="45">
        <v>4171.1709353989336</v>
      </c>
      <c r="K55" s="45">
        <v>4003.8682492375456</v>
      </c>
      <c r="L55" s="45">
        <v>3455.1533889783614</v>
      </c>
      <c r="M55" s="45">
        <v>3619.7773309828913</v>
      </c>
      <c r="N55" s="45">
        <v>3139.8015406384211</v>
      </c>
      <c r="O55" s="45">
        <v>3450.0898748948766</v>
      </c>
      <c r="P55" s="45">
        <v>3525.2087195225358</v>
      </c>
      <c r="Q55" s="45">
        <v>3177.3280035013677</v>
      </c>
      <c r="R55" s="45">
        <v>3203.8112281676003</v>
      </c>
      <c r="S55" s="45">
        <v>3277.4698973880877</v>
      </c>
      <c r="T55" s="45">
        <v>3210.2060860245265</v>
      </c>
      <c r="U55" s="45">
        <v>3105.9739952765058</v>
      </c>
      <c r="V55" s="45">
        <v>3800.5059093001764</v>
      </c>
      <c r="W55" s="45">
        <v>3433.0576079403563</v>
      </c>
      <c r="X55" s="45">
        <v>3010.2260292057072</v>
      </c>
      <c r="Y55" s="45">
        <v>3536.7082310861665</v>
      </c>
      <c r="Z55" s="45">
        <v>4803.2543705682283</v>
      </c>
      <c r="AA55" s="45">
        <v>5032.3005135461053</v>
      </c>
    </row>
    <row r="56" spans="1:27" x14ac:dyDescent="0.25">
      <c r="A56" s="73" t="s">
        <v>16</v>
      </c>
      <c r="B56" s="65"/>
      <c r="C56" s="65"/>
      <c r="D56" s="66">
        <v>1732.6945895219772</v>
      </c>
      <c r="E56" s="66">
        <v>1686.3998960228741</v>
      </c>
      <c r="F56" s="66">
        <v>1592.9249212498639</v>
      </c>
      <c r="G56" s="66">
        <v>1491.8882616244048</v>
      </c>
      <c r="H56" s="66">
        <v>1508.5300267370233</v>
      </c>
      <c r="I56" s="66">
        <v>1465.8382093181253</v>
      </c>
      <c r="J56" s="66">
        <v>1423.2730066008539</v>
      </c>
      <c r="K56" s="66">
        <v>1410.7861876510149</v>
      </c>
      <c r="L56" s="66">
        <v>1338.6742784011692</v>
      </c>
      <c r="M56" s="66">
        <v>1127.3663003662991</v>
      </c>
      <c r="N56" s="66">
        <v>1121.6103043879298</v>
      </c>
      <c r="O56" s="66">
        <v>1124.5019078669943</v>
      </c>
      <c r="P56" s="66">
        <v>1102.9665711875386</v>
      </c>
      <c r="Q56" s="66">
        <v>958.48118557696057</v>
      </c>
      <c r="R56" s="66">
        <v>966.77521283269073</v>
      </c>
      <c r="S56" s="66">
        <v>911.98934999999983</v>
      </c>
      <c r="T56" s="66">
        <v>890.15220197191559</v>
      </c>
      <c r="U56" s="66">
        <v>733.97261701536377</v>
      </c>
      <c r="V56" s="66">
        <v>791.22537234974641</v>
      </c>
      <c r="W56" s="66">
        <v>647.75484266024512</v>
      </c>
      <c r="X56" s="66">
        <v>584.55637527167369</v>
      </c>
      <c r="Y56" s="66">
        <v>592.65477732409113</v>
      </c>
      <c r="Z56" s="66">
        <v>559.06812164713995</v>
      </c>
      <c r="AA56" s="66">
        <v>500.40015056848279</v>
      </c>
    </row>
    <row r="57" spans="1:27" x14ac:dyDescent="0.25">
      <c r="A57" s="72" t="s">
        <v>2</v>
      </c>
      <c r="B57" s="65"/>
      <c r="C57" s="65"/>
      <c r="D57" s="66">
        <v>4874.5053548671131</v>
      </c>
      <c r="E57" s="66">
        <v>4926.9685469196766</v>
      </c>
      <c r="F57" s="66">
        <v>5148.0225062457002</v>
      </c>
      <c r="G57" s="66">
        <v>4989.955765256108</v>
      </c>
      <c r="H57" s="66">
        <v>5005.4929647471754</v>
      </c>
      <c r="I57" s="66">
        <v>4878.2786641398789</v>
      </c>
      <c r="J57" s="66">
        <v>5051.3674747356736</v>
      </c>
      <c r="K57" s="66">
        <v>4801.6294056923753</v>
      </c>
      <c r="L57" s="66">
        <v>4622.2960897684943</v>
      </c>
      <c r="M57" s="66">
        <v>4902.9153957153949</v>
      </c>
      <c r="N57" s="66">
        <v>4926.040835419687</v>
      </c>
      <c r="O57" s="66">
        <v>5004.4635098581703</v>
      </c>
      <c r="P57" s="66">
        <v>4632.3160503031131</v>
      </c>
      <c r="Q57" s="66">
        <v>4861.1066633208511</v>
      </c>
      <c r="R57" s="66">
        <v>4742.4960838784837</v>
      </c>
      <c r="S57" s="66">
        <v>4862.2359419999993</v>
      </c>
      <c r="T57" s="66">
        <v>4947.4182611293709</v>
      </c>
      <c r="U57" s="66">
        <v>4832.4964587716859</v>
      </c>
      <c r="V57" s="66">
        <v>4989.0078046568187</v>
      </c>
      <c r="W57" s="66">
        <v>4880.1292240949851</v>
      </c>
      <c r="X57" s="66">
        <v>5076.0065382757793</v>
      </c>
      <c r="Y57" s="66">
        <v>4886.250549805336</v>
      </c>
      <c r="Z57" s="66">
        <v>4372.5745976568742</v>
      </c>
      <c r="AA57" s="66">
        <v>3814.2720000022518</v>
      </c>
    </row>
    <row r="58" spans="1:27" x14ac:dyDescent="0.25">
      <c r="A58" s="72" t="s">
        <v>269</v>
      </c>
      <c r="B58" s="65"/>
      <c r="C58" s="65"/>
      <c r="D58" s="66">
        <v>8946.9673587135348</v>
      </c>
      <c r="E58" s="66">
        <v>7409.6017527572494</v>
      </c>
      <c r="F58" s="66">
        <v>7180.9666027010389</v>
      </c>
      <c r="G58" s="66">
        <v>7896.9466452504375</v>
      </c>
      <c r="H58" s="66">
        <v>8093.9598096606633</v>
      </c>
      <c r="I58" s="66">
        <v>7492.2695963099359</v>
      </c>
      <c r="J58" s="66">
        <v>7694.1003049243536</v>
      </c>
      <c r="K58" s="66">
        <v>7832.9581069277274</v>
      </c>
      <c r="L58" s="66">
        <v>7650.9152615581506</v>
      </c>
      <c r="M58" s="66">
        <v>5859.2107892107888</v>
      </c>
      <c r="N58" s="66">
        <v>8689.0365199631051</v>
      </c>
      <c r="O58" s="66">
        <v>9986.5659875140118</v>
      </c>
      <c r="P58" s="66">
        <v>8339.9735025798982</v>
      </c>
      <c r="Q58" s="66">
        <v>9261.7872524418017</v>
      </c>
      <c r="R58" s="66">
        <v>9855.5078053589023</v>
      </c>
      <c r="S58" s="66">
        <v>13333.650137999997</v>
      </c>
      <c r="T58" s="66">
        <v>14195.590594562296</v>
      </c>
      <c r="U58" s="66">
        <v>14030.029219103575</v>
      </c>
      <c r="V58" s="66">
        <v>14302.713004669185</v>
      </c>
      <c r="W58" s="66">
        <v>14083.975917469279</v>
      </c>
      <c r="X58" s="66">
        <v>11829.010450374306</v>
      </c>
      <c r="Y58" s="66">
        <v>14519.595394549426</v>
      </c>
      <c r="Z58" s="66">
        <v>12948.422292580728</v>
      </c>
      <c r="AA58" s="66">
        <v>11155.297210950612</v>
      </c>
    </row>
    <row r="59" spans="1:27" x14ac:dyDescent="0.25">
      <c r="A59" s="72" t="s">
        <v>270</v>
      </c>
      <c r="B59" s="65"/>
      <c r="C59" s="65"/>
      <c r="D59" s="66">
        <v>23888.854549667496</v>
      </c>
      <c r="E59" s="66">
        <v>21884.38324482899</v>
      </c>
      <c r="F59" s="66">
        <v>22260.075556681993</v>
      </c>
      <c r="G59" s="66">
        <v>21176.78909189687</v>
      </c>
      <c r="H59" s="66">
        <v>21962.020513303731</v>
      </c>
      <c r="I59" s="66">
        <v>22485.903314620802</v>
      </c>
      <c r="J59" s="66">
        <v>23785.450290320696</v>
      </c>
      <c r="K59" s="66">
        <v>24964.915707916916</v>
      </c>
      <c r="L59" s="66">
        <v>23667.589249720044</v>
      </c>
      <c r="M59" s="66">
        <v>16829.406637806635</v>
      </c>
      <c r="N59" s="66">
        <v>19682.240749769404</v>
      </c>
      <c r="O59" s="66">
        <v>20467.762307541987</v>
      </c>
      <c r="P59" s="66">
        <v>20326.698801279155</v>
      </c>
      <c r="Q59" s="66">
        <v>18319.590823456743</v>
      </c>
      <c r="R59" s="66">
        <v>17899.443928667446</v>
      </c>
      <c r="S59" s="66">
        <v>19112.997203999999</v>
      </c>
      <c r="T59" s="66">
        <v>18981.967403645056</v>
      </c>
      <c r="U59" s="66">
        <v>20522.704305450792</v>
      </c>
      <c r="V59" s="66">
        <v>20266.315678372273</v>
      </c>
      <c r="W59" s="66">
        <v>20305.828788193292</v>
      </c>
      <c r="X59" s="66">
        <v>18498.611482733639</v>
      </c>
      <c r="Y59" s="66">
        <v>22166.142269490076</v>
      </c>
      <c r="Z59" s="66">
        <v>23818.973096327478</v>
      </c>
      <c r="AA59" s="66">
        <v>23086.324959455596</v>
      </c>
    </row>
    <row r="60" spans="1:27" x14ac:dyDescent="0.25">
      <c r="A60" s="72" t="s">
        <v>1</v>
      </c>
      <c r="B60" s="65"/>
      <c r="C60" s="65"/>
      <c r="D60" s="66">
        <v>782.78849781032045</v>
      </c>
      <c r="E60" s="66">
        <v>793.25746221545535</v>
      </c>
      <c r="F60" s="66">
        <v>790.84868387704103</v>
      </c>
      <c r="G60" s="66">
        <v>752.17833496710773</v>
      </c>
      <c r="H60" s="66">
        <v>723.54778153378641</v>
      </c>
      <c r="I60" s="66">
        <v>692.55436049629918</v>
      </c>
      <c r="J60" s="66">
        <v>669.44509842864659</v>
      </c>
      <c r="K60" s="66">
        <v>673.02255850623351</v>
      </c>
      <c r="L60" s="66">
        <v>624.30857005736232</v>
      </c>
      <c r="M60" s="66">
        <v>528.1669219669219</v>
      </c>
      <c r="N60" s="66">
        <v>539.22689418895777</v>
      </c>
      <c r="O60" s="66">
        <v>498.39300620185338</v>
      </c>
      <c r="P60" s="66">
        <v>477.09430656647896</v>
      </c>
      <c r="Q60" s="66">
        <v>466.9834131181716</v>
      </c>
      <c r="R60" s="66">
        <v>477.92354153597989</v>
      </c>
      <c r="S60" s="66">
        <v>512.49097799999993</v>
      </c>
      <c r="T60" s="66">
        <v>506.33847624738576</v>
      </c>
      <c r="U60" s="66">
        <v>514.66263646829964</v>
      </c>
      <c r="V60" s="66">
        <v>493.65395644152164</v>
      </c>
      <c r="W60" s="66">
        <v>505.20755355363667</v>
      </c>
      <c r="X60" s="66">
        <v>459.50464259840618</v>
      </c>
      <c r="Y60" s="66">
        <v>466.79876365017566</v>
      </c>
      <c r="Z60" s="66">
        <v>497.78962034592587</v>
      </c>
      <c r="AA60" s="66">
        <v>478.80461143777256</v>
      </c>
    </row>
    <row r="61" spans="1:27" x14ac:dyDescent="0.25">
      <c r="A61" s="72" t="s">
        <v>0</v>
      </c>
      <c r="B61" s="65"/>
      <c r="C61" s="65"/>
      <c r="D61" s="66">
        <v>2223.5116968278612</v>
      </c>
      <c r="E61" s="66">
        <v>2222.6993872776557</v>
      </c>
      <c r="F61" s="66">
        <v>2333.9434519714687</v>
      </c>
      <c r="G61" s="66">
        <v>2510.3473562376726</v>
      </c>
      <c r="H61" s="66">
        <v>2413.5495506531138</v>
      </c>
      <c r="I61" s="66">
        <v>3072.703858118497</v>
      </c>
      <c r="J61" s="66">
        <v>3200.3188060050234</v>
      </c>
      <c r="K61" s="66">
        <v>3596.3309019545563</v>
      </c>
      <c r="L61" s="66">
        <v>2498.6675503348038</v>
      </c>
      <c r="M61" s="66">
        <v>2337.7542013542015</v>
      </c>
      <c r="N61" s="66">
        <v>2580.7826129924892</v>
      </c>
      <c r="O61" s="66">
        <v>2137.7361795349125</v>
      </c>
      <c r="P61" s="66">
        <v>1961.3877047733024</v>
      </c>
      <c r="Q61" s="66">
        <v>2033.4812396247539</v>
      </c>
      <c r="R61" s="66">
        <v>2397.2153597992651</v>
      </c>
      <c r="S61" s="66">
        <v>2606.1467579999999</v>
      </c>
      <c r="T61" s="66">
        <v>2354.827851807589</v>
      </c>
      <c r="U61" s="66">
        <v>2691.6824764778271</v>
      </c>
      <c r="V61" s="66">
        <v>2655.194621672043</v>
      </c>
      <c r="W61" s="66">
        <v>2459.6458796911324</v>
      </c>
      <c r="X61" s="66">
        <v>2410.374776624004</v>
      </c>
      <c r="Y61" s="66">
        <v>4306.2012249548952</v>
      </c>
      <c r="Z61" s="66">
        <v>3877.2400454720546</v>
      </c>
      <c r="AA61" s="66">
        <v>3390.4559554417051</v>
      </c>
    </row>
    <row r="62" spans="1:27" x14ac:dyDescent="0.25">
      <c r="A62" s="78" t="s">
        <v>271</v>
      </c>
      <c r="B62" s="79"/>
      <c r="C62" s="79"/>
      <c r="D62" s="80">
        <v>4375.2112681604376</v>
      </c>
      <c r="E62" s="80">
        <v>4462.3481674031709</v>
      </c>
      <c r="F62" s="80">
        <v>4540.5992468952527</v>
      </c>
      <c r="G62" s="80">
        <v>4652.1976946061804</v>
      </c>
      <c r="H62" s="80">
        <v>4567.0798883405378</v>
      </c>
      <c r="I62" s="80">
        <v>4553.9903028569388</v>
      </c>
      <c r="J62" s="80">
        <v>4825.3290075354871</v>
      </c>
      <c r="K62" s="80">
        <v>4998.4612321758759</v>
      </c>
      <c r="L62" s="80">
        <v>4570.3400484493905</v>
      </c>
      <c r="M62" s="80">
        <v>4091.13431013431</v>
      </c>
      <c r="N62" s="80">
        <v>4315.7663789695616</v>
      </c>
      <c r="O62" s="80">
        <v>4508.8656326816072</v>
      </c>
      <c r="P62" s="80">
        <v>4180.3427635322041</v>
      </c>
      <c r="Q62" s="80">
        <v>3838.6662027564371</v>
      </c>
      <c r="R62" s="80">
        <v>4007.9176091047584</v>
      </c>
      <c r="S62" s="80">
        <v>4028.9546699999996</v>
      </c>
      <c r="T62" s="80">
        <v>4165.7374185838071</v>
      </c>
      <c r="U62" s="80">
        <v>3852.3447576322997</v>
      </c>
      <c r="V62" s="80">
        <v>3670.5143260598434</v>
      </c>
      <c r="W62" s="80">
        <v>3762.7494084191298</v>
      </c>
      <c r="X62" s="80">
        <v>4090.948062062304</v>
      </c>
      <c r="Y62" s="80">
        <v>3922.181574399392</v>
      </c>
      <c r="Z62" s="80">
        <v>3596.2820451150428</v>
      </c>
      <c r="AA62" s="80">
        <v>3968.1803844162887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2.0077231041183446E-2</v>
      </c>
      <c r="E66" s="83">
        <f t="shared" ref="E66:S66" si="55">E24/E$23</f>
        <v>2.0165760790461892E-2</v>
      </c>
      <c r="F66" s="83">
        <f t="shared" si="55"/>
        <v>1.9748652788784727E-2</v>
      </c>
      <c r="G66" s="83">
        <f t="shared" si="55"/>
        <v>1.9295611556347913E-2</v>
      </c>
      <c r="H66" s="83">
        <f t="shared" si="55"/>
        <v>1.8913983019129825E-2</v>
      </c>
      <c r="I66" s="83">
        <f t="shared" si="55"/>
        <v>1.310918384492828E-2</v>
      </c>
      <c r="J66" s="83">
        <f t="shared" si="55"/>
        <v>1.3989732202199207E-2</v>
      </c>
      <c r="K66" s="83">
        <f t="shared" si="55"/>
        <v>1.6228245633376909E-2</v>
      </c>
      <c r="L66" s="83">
        <f t="shared" si="55"/>
        <v>1.4234735214318735E-2</v>
      </c>
      <c r="M66" s="83">
        <f t="shared" si="55"/>
        <v>1.2923126871298846E-2</v>
      </c>
      <c r="N66" s="83">
        <f t="shared" si="55"/>
        <v>1.5444020148135153E-2</v>
      </c>
      <c r="O66" s="83">
        <f t="shared" si="55"/>
        <v>1.5943195878700796E-2</v>
      </c>
      <c r="P66" s="83">
        <f t="shared" si="55"/>
        <v>1.4127710049423394E-2</v>
      </c>
      <c r="Q66" s="83">
        <f t="shared" si="55"/>
        <v>1.3883551977131285E-2</v>
      </c>
      <c r="R66" s="83">
        <f t="shared" si="55"/>
        <v>1.4098240357363656E-2</v>
      </c>
      <c r="S66" s="83">
        <f t="shared" si="55"/>
        <v>1.4678738701766477E-2</v>
      </c>
      <c r="T66" s="83">
        <f t="shared" ref="T66:Y66" si="56">T24/T$23</f>
        <v>1.4485152821932563E-2</v>
      </c>
      <c r="U66" s="83">
        <f t="shared" si="56"/>
        <v>1.4934015066149208E-2</v>
      </c>
      <c r="V66" s="83">
        <f t="shared" si="56"/>
        <v>1.413772572574128E-2</v>
      </c>
      <c r="W66" s="83">
        <f t="shared" si="56"/>
        <v>1.4177721409771964E-2</v>
      </c>
      <c r="X66" s="83">
        <f t="shared" si="56"/>
        <v>1.3491848556877984E-2</v>
      </c>
      <c r="Y66" s="83">
        <f t="shared" si="56"/>
        <v>1.3080791870926384E-2</v>
      </c>
      <c r="Z66" s="83">
        <f t="shared" ref="Z66:AA66" si="57">Z24/Z$23</f>
        <v>1.3968395536559364E-2</v>
      </c>
      <c r="AA66" s="83">
        <f t="shared" si="57"/>
        <v>1.4353811786754125E-2</v>
      </c>
    </row>
    <row r="67" spans="1:27" x14ac:dyDescent="0.25">
      <c r="A67" s="64" t="s">
        <v>56</v>
      </c>
      <c r="B67" s="65"/>
      <c r="C67" s="65"/>
      <c r="D67" s="83">
        <f t="shared" si="51"/>
        <v>2.1546271319697365E-3</v>
      </c>
      <c r="E67" s="83">
        <f t="shared" ref="E67:S67" si="58">E25/E$23</f>
        <v>2.0871886786960371E-3</v>
      </c>
      <c r="F67" s="83">
        <f t="shared" si="58"/>
        <v>2.0649437911669896E-3</v>
      </c>
      <c r="G67" s="83">
        <f t="shared" si="58"/>
        <v>2.3014037886593995E-3</v>
      </c>
      <c r="H67" s="83">
        <f t="shared" si="58"/>
        <v>2.9403663757549855E-3</v>
      </c>
      <c r="I67" s="83">
        <f t="shared" si="58"/>
        <v>4.3622825173572069E-3</v>
      </c>
      <c r="J67" s="83">
        <f t="shared" si="58"/>
        <v>5.6699070007986902E-3</v>
      </c>
      <c r="K67" s="83">
        <f t="shared" si="58"/>
        <v>5.6103822468618614E-3</v>
      </c>
      <c r="L67" s="83">
        <f t="shared" si="58"/>
        <v>6.671852453400455E-3</v>
      </c>
      <c r="M67" s="83">
        <f t="shared" si="58"/>
        <v>3.8162107533203145E-3</v>
      </c>
      <c r="N67" s="83">
        <f t="shared" si="58"/>
        <v>8.486286582361403E-3</v>
      </c>
      <c r="O67" s="83">
        <f t="shared" si="58"/>
        <v>8.8495623941081819E-3</v>
      </c>
      <c r="P67" s="83">
        <f t="shared" si="58"/>
        <v>7.2416037641836115E-3</v>
      </c>
      <c r="Q67" s="83">
        <f t="shared" si="58"/>
        <v>5.6484334959801749E-3</v>
      </c>
      <c r="R67" s="83">
        <f t="shared" si="58"/>
        <v>4.9603623152137373E-3</v>
      </c>
      <c r="S67" s="83">
        <f t="shared" si="58"/>
        <v>4.1689400434984482E-3</v>
      </c>
      <c r="T67" s="83">
        <f t="shared" ref="T67:Y67" si="59">T25/T$23</f>
        <v>4.3019598756096587E-3</v>
      </c>
      <c r="U67" s="83">
        <f t="shared" si="59"/>
        <v>6.4143583461856672E-3</v>
      </c>
      <c r="V67" s="83">
        <f t="shared" si="59"/>
        <v>6.5966138843264266E-3</v>
      </c>
      <c r="W67" s="83">
        <f t="shared" si="59"/>
        <v>7.9904577325078108E-3</v>
      </c>
      <c r="X67" s="83">
        <f t="shared" si="59"/>
        <v>6.9563309030213549E-3</v>
      </c>
      <c r="Y67" s="83">
        <f t="shared" si="59"/>
        <v>1.1032832309111413E-2</v>
      </c>
      <c r="Z67" s="83">
        <f t="shared" ref="Z67:AA67" si="60">Z25/Z$23</f>
        <v>8.2207098307217619E-3</v>
      </c>
      <c r="AA67" s="83">
        <f t="shared" si="60"/>
        <v>7.1813036086418053E-3</v>
      </c>
    </row>
    <row r="68" spans="1:27" x14ac:dyDescent="0.25">
      <c r="A68" s="64" t="s">
        <v>146</v>
      </c>
      <c r="B68" s="65"/>
      <c r="C68" s="65"/>
      <c r="D68" s="83">
        <f t="shared" si="51"/>
        <v>0.69756928689165831</v>
      </c>
      <c r="E68" s="83">
        <f t="shared" ref="E68:S68" si="61">E26/E$23</f>
        <v>0.70137815167985618</v>
      </c>
      <c r="F68" s="83">
        <f t="shared" si="61"/>
        <v>0.70468170275756892</v>
      </c>
      <c r="G68" s="83">
        <f t="shared" si="61"/>
        <v>0.71137985636395606</v>
      </c>
      <c r="H68" s="83">
        <f t="shared" si="61"/>
        <v>0.71369835736279796</v>
      </c>
      <c r="I68" s="83">
        <f t="shared" si="61"/>
        <v>0.71996355408507673</v>
      </c>
      <c r="J68" s="83">
        <f t="shared" si="61"/>
        <v>0.71653325692016856</v>
      </c>
      <c r="K68" s="83">
        <f t="shared" si="61"/>
        <v>0.7127421920526672</v>
      </c>
      <c r="L68" s="83">
        <f t="shared" si="61"/>
        <v>0.72375260847606049</v>
      </c>
      <c r="M68" s="83">
        <f t="shared" si="61"/>
        <v>0.74388614699569244</v>
      </c>
      <c r="N68" s="83">
        <f t="shared" si="61"/>
        <v>0.72332625091133562</v>
      </c>
      <c r="O68" s="83">
        <f t="shared" si="61"/>
        <v>0.7249798022756333</v>
      </c>
      <c r="P68" s="83">
        <f t="shared" si="61"/>
        <v>0.73479429671009577</v>
      </c>
      <c r="Q68" s="83">
        <f t="shared" si="61"/>
        <v>0.74757453392728235</v>
      </c>
      <c r="R68" s="83">
        <f t="shared" si="61"/>
        <v>0.75148240326354299</v>
      </c>
      <c r="S68" s="83">
        <f t="shared" si="61"/>
        <v>0.74365373627289655</v>
      </c>
      <c r="T68" s="83">
        <f t="shared" ref="T68:Y68" si="62">T26/T$23</f>
        <v>0.74606589746654683</v>
      </c>
      <c r="U68" s="83">
        <f t="shared" si="62"/>
        <v>0.74297011041408989</v>
      </c>
      <c r="V68" s="83">
        <f t="shared" si="62"/>
        <v>0.74310390950436511</v>
      </c>
      <c r="W68" s="83">
        <f t="shared" si="62"/>
        <v>0.74246653762615089</v>
      </c>
      <c r="X68" s="83">
        <f t="shared" si="62"/>
        <v>0.74934109377993929</v>
      </c>
      <c r="Y68" s="83">
        <f t="shared" si="62"/>
        <v>0.73401889676509158</v>
      </c>
      <c r="Z68" s="83">
        <f t="shared" ref="Z68:AA68" si="63">Z26/Z$23</f>
        <v>0.72264908648610238</v>
      </c>
      <c r="AA68" s="83">
        <f t="shared" si="63"/>
        <v>0.73769578610866637</v>
      </c>
    </row>
    <row r="69" spans="1:27" x14ac:dyDescent="0.25">
      <c r="A69" s="68" t="s">
        <v>148</v>
      </c>
      <c r="B69" s="69"/>
      <c r="C69" s="69"/>
      <c r="D69" s="84">
        <f t="shared" si="51"/>
        <v>0.28536913101077543</v>
      </c>
      <c r="E69" s="84">
        <f t="shared" ref="E69:S69" si="64">E27/E$23</f>
        <v>0.28666012384235667</v>
      </c>
      <c r="F69" s="84">
        <f t="shared" si="64"/>
        <v>0.29193569243046985</v>
      </c>
      <c r="G69" s="84">
        <f t="shared" si="64"/>
        <v>0.29688640553074347</v>
      </c>
      <c r="H69" s="84">
        <f t="shared" si="64"/>
        <v>0.29149016110969395</v>
      </c>
      <c r="I69" s="84">
        <f t="shared" si="64"/>
        <v>0.2925003215493987</v>
      </c>
      <c r="J69" s="84">
        <f t="shared" si="64"/>
        <v>0.28820281395116015</v>
      </c>
      <c r="K69" s="84">
        <f t="shared" si="64"/>
        <v>0.28554360323185235</v>
      </c>
      <c r="L69" s="84">
        <f t="shared" si="64"/>
        <v>0.29011109904406585</v>
      </c>
      <c r="M69" s="84">
        <f t="shared" si="64"/>
        <v>0.29789755056651213</v>
      </c>
      <c r="N69" s="84">
        <f t="shared" si="64"/>
        <v>0.28852575460321905</v>
      </c>
      <c r="O69" s="84">
        <f t="shared" si="64"/>
        <v>0.2879602294076114</v>
      </c>
      <c r="P69" s="84">
        <f t="shared" si="64"/>
        <v>0.29458767710049433</v>
      </c>
      <c r="Q69" s="84">
        <f t="shared" si="64"/>
        <v>0.29765731092497322</v>
      </c>
      <c r="R69" s="84">
        <f t="shared" si="64"/>
        <v>0.29703811287745646</v>
      </c>
      <c r="S69" s="84">
        <f t="shared" si="64"/>
        <v>0.29205448054522387</v>
      </c>
      <c r="T69" s="84">
        <f t="shared" ref="T69:Y69" si="65">T27/T$23</f>
        <v>0.29922830498829589</v>
      </c>
      <c r="U69" s="84">
        <f t="shared" si="65"/>
        <v>0.30088491782803856</v>
      </c>
      <c r="V69" s="84">
        <f t="shared" si="65"/>
        <v>0.29929081906197558</v>
      </c>
      <c r="W69" s="84">
        <f t="shared" si="65"/>
        <v>0.2945446831523264</v>
      </c>
      <c r="X69" s="84">
        <f t="shared" si="65"/>
        <v>0.28623539869271181</v>
      </c>
      <c r="Y69" s="84">
        <f t="shared" si="65"/>
        <v>0.28270889955736</v>
      </c>
      <c r="Z69" s="84">
        <f t="shared" ref="Z69:AA69" si="66">Z27/Z$23</f>
        <v>0.28542622626847208</v>
      </c>
      <c r="AA69" s="84">
        <f t="shared" si="66"/>
        <v>0.28872799605100236</v>
      </c>
    </row>
    <row r="70" spans="1:27" x14ac:dyDescent="0.25">
      <c r="A70" s="68" t="s">
        <v>150</v>
      </c>
      <c r="B70" s="71"/>
      <c r="C70" s="71"/>
      <c r="D70" s="84">
        <f t="shared" si="51"/>
        <v>0.29770866520292377</v>
      </c>
      <c r="E70" s="84">
        <f t="shared" ref="E70:S70" si="67">E28/E$23</f>
        <v>0.29952259561603045</v>
      </c>
      <c r="F70" s="84">
        <f t="shared" si="67"/>
        <v>0.29498868366377989</v>
      </c>
      <c r="G70" s="84">
        <f t="shared" si="67"/>
        <v>0.29508227308503221</v>
      </c>
      <c r="H70" s="84">
        <f t="shared" si="67"/>
        <v>0.30064047080745249</v>
      </c>
      <c r="I70" s="84">
        <f t="shared" si="67"/>
        <v>0.30416065217025245</v>
      </c>
      <c r="J70" s="84">
        <f t="shared" si="67"/>
        <v>0.30590410092482495</v>
      </c>
      <c r="K70" s="84">
        <f t="shared" si="67"/>
        <v>0.30441024994881327</v>
      </c>
      <c r="L70" s="84">
        <f t="shared" si="67"/>
        <v>0.30982694255135995</v>
      </c>
      <c r="M70" s="84">
        <f t="shared" si="67"/>
        <v>0.31846911041129711</v>
      </c>
      <c r="N70" s="84">
        <f t="shared" si="67"/>
        <v>0.3092492635732938</v>
      </c>
      <c r="O70" s="84">
        <f t="shared" si="67"/>
        <v>0.31350942170508711</v>
      </c>
      <c r="P70" s="84">
        <f t="shared" si="67"/>
        <v>0.31826530477759474</v>
      </c>
      <c r="Q70" s="84">
        <f t="shared" si="67"/>
        <v>0.32682087591248371</v>
      </c>
      <c r="R70" s="84">
        <f t="shared" si="67"/>
        <v>0.32940325016619548</v>
      </c>
      <c r="S70" s="84">
        <f t="shared" si="67"/>
        <v>0.32926668313547519</v>
      </c>
      <c r="T70" s="84">
        <f t="shared" ref="T70:Y70" si="68">T28/T$23</f>
        <v>0.32549907940062944</v>
      </c>
      <c r="U70" s="84">
        <f t="shared" si="68"/>
        <v>0.3201469807824579</v>
      </c>
      <c r="V70" s="84">
        <f t="shared" si="68"/>
        <v>0.32643837026791817</v>
      </c>
      <c r="W70" s="84">
        <f t="shared" si="68"/>
        <v>0.32984843660038138</v>
      </c>
      <c r="X70" s="84">
        <f t="shared" si="68"/>
        <v>0.34187346839021621</v>
      </c>
      <c r="Y70" s="84">
        <f t="shared" si="68"/>
        <v>0.3356416503670917</v>
      </c>
      <c r="Z70" s="84">
        <f t="shared" ref="Z70:AA70" si="69">Z28/Z$23</f>
        <v>0.33052759213537941</v>
      </c>
      <c r="AA70" s="84">
        <f t="shared" si="69"/>
        <v>0.33972842274354936</v>
      </c>
    </row>
    <row r="71" spans="1:27" x14ac:dyDescent="0.25">
      <c r="A71" s="68" t="s">
        <v>152</v>
      </c>
      <c r="B71" s="71"/>
      <c r="C71" s="71"/>
      <c r="D71" s="84">
        <f t="shared" si="51"/>
        <v>0.11449149067795911</v>
      </c>
      <c r="E71" s="84">
        <f t="shared" ref="E71:S71" si="70">E29/E$23</f>
        <v>0.11519543222146909</v>
      </c>
      <c r="F71" s="84">
        <f t="shared" si="70"/>
        <v>0.11775732666331898</v>
      </c>
      <c r="G71" s="84">
        <f t="shared" si="70"/>
        <v>0.11941117774818044</v>
      </c>
      <c r="H71" s="84">
        <f t="shared" si="70"/>
        <v>0.12156772544565156</v>
      </c>
      <c r="I71" s="84">
        <f t="shared" si="70"/>
        <v>0.12330258036542552</v>
      </c>
      <c r="J71" s="84">
        <f t="shared" si="70"/>
        <v>0.12242634204418337</v>
      </c>
      <c r="K71" s="84">
        <f t="shared" si="70"/>
        <v>0.12278833887200166</v>
      </c>
      <c r="L71" s="84">
        <f t="shared" si="70"/>
        <v>0.12381456688063473</v>
      </c>
      <c r="M71" s="84">
        <f t="shared" si="70"/>
        <v>0.12751948601788307</v>
      </c>
      <c r="N71" s="84">
        <f t="shared" si="70"/>
        <v>0.12555123273482283</v>
      </c>
      <c r="O71" s="84">
        <f t="shared" si="70"/>
        <v>0.1235101511629348</v>
      </c>
      <c r="P71" s="84">
        <f t="shared" si="70"/>
        <v>0.12194131483200676</v>
      </c>
      <c r="Q71" s="84">
        <f t="shared" si="70"/>
        <v>0.12309634708982548</v>
      </c>
      <c r="R71" s="84">
        <f t="shared" si="70"/>
        <v>0.12504104021989107</v>
      </c>
      <c r="S71" s="84">
        <f t="shared" si="70"/>
        <v>0.12233257259219736</v>
      </c>
      <c r="T71" s="84">
        <f t="shared" ref="T71:Y71" si="71">T29/T$23</f>
        <v>0.12133851307762157</v>
      </c>
      <c r="U71" s="84">
        <f t="shared" si="71"/>
        <v>0.12193821180359346</v>
      </c>
      <c r="V71" s="84">
        <f t="shared" si="71"/>
        <v>0.11737472017447144</v>
      </c>
      <c r="W71" s="84">
        <f t="shared" si="71"/>
        <v>0.11807341787344294</v>
      </c>
      <c r="X71" s="84">
        <f t="shared" si="71"/>
        <v>0.12123222669701139</v>
      </c>
      <c r="Y71" s="84">
        <f t="shared" si="71"/>
        <v>0.1156683468406398</v>
      </c>
      <c r="Z71" s="84">
        <f t="shared" ref="Z71:AA71" si="72">Z29/Z$23</f>
        <v>0.10669526808225069</v>
      </c>
      <c r="AA71" s="84">
        <f t="shared" si="72"/>
        <v>0.10923936731411465</v>
      </c>
    </row>
    <row r="72" spans="1:27" x14ac:dyDescent="0.25">
      <c r="A72" s="64" t="s">
        <v>154</v>
      </c>
      <c r="B72" s="65"/>
      <c r="C72" s="65"/>
      <c r="D72" s="83">
        <f t="shared" si="51"/>
        <v>2.1999416479241536E-2</v>
      </c>
      <c r="E72" s="83">
        <f t="shared" ref="E72:S72" si="73">E30/E$23</f>
        <v>2.5382276986031346E-2</v>
      </c>
      <c r="F72" s="83">
        <f t="shared" si="73"/>
        <v>2.4015383553591348E-2</v>
      </c>
      <c r="G72" s="83">
        <f t="shared" si="73"/>
        <v>2.5632644042544471E-2</v>
      </c>
      <c r="H72" s="83">
        <f t="shared" si="73"/>
        <v>2.8186747421365545E-2</v>
      </c>
      <c r="I72" s="83">
        <f t="shared" si="73"/>
        <v>2.8745363212124345E-2</v>
      </c>
      <c r="J72" s="83">
        <f t="shared" si="73"/>
        <v>2.8051220719323325E-2</v>
      </c>
      <c r="K72" s="83">
        <f t="shared" si="73"/>
        <v>2.6600727639267335E-2</v>
      </c>
      <c r="L72" s="83">
        <f t="shared" si="73"/>
        <v>3.3092098207017057E-2</v>
      </c>
      <c r="M72" s="83">
        <f t="shared" si="73"/>
        <v>3.4181784507202419E-2</v>
      </c>
      <c r="N72" s="83">
        <f t="shared" si="73"/>
        <v>3.4397150168783641E-2</v>
      </c>
      <c r="O72" s="83">
        <f t="shared" si="73"/>
        <v>3.2556116641686172E-2</v>
      </c>
      <c r="P72" s="83">
        <f t="shared" si="73"/>
        <v>3.3019124237417513E-2</v>
      </c>
      <c r="Q72" s="83">
        <f t="shared" si="73"/>
        <v>3.1138464600841475E-2</v>
      </c>
      <c r="R72" s="83">
        <f t="shared" si="73"/>
        <v>3.0217791953849528E-2</v>
      </c>
      <c r="S72" s="83">
        <f t="shared" si="73"/>
        <v>2.6124996700724039E-2</v>
      </c>
      <c r="T72" s="83">
        <f t="shared" ref="T72:Y72" si="74">T30/T$23</f>
        <v>2.4523358397350762E-2</v>
      </c>
      <c r="U72" s="83">
        <f t="shared" si="74"/>
        <v>2.5003268048511152E-2</v>
      </c>
      <c r="V72" s="83">
        <f t="shared" si="74"/>
        <v>2.339727102605324E-2</v>
      </c>
      <c r="W72" s="83">
        <f t="shared" si="74"/>
        <v>2.5902386668101941E-2</v>
      </c>
      <c r="X72" s="83">
        <f t="shared" si="74"/>
        <v>2.3703490626390232E-2</v>
      </c>
      <c r="Y72" s="83">
        <f t="shared" si="74"/>
        <v>2.732034875553668E-2</v>
      </c>
      <c r="Z72" s="83">
        <f t="shared" ref="Z72:AA72" si="75">Z30/Z$23</f>
        <v>3.5613143277860859E-2</v>
      </c>
      <c r="AA72" s="83">
        <f t="shared" si="75"/>
        <v>2.8830697113190643E-2</v>
      </c>
    </row>
    <row r="73" spans="1:27" x14ac:dyDescent="0.25">
      <c r="A73" s="64" t="s">
        <v>37</v>
      </c>
      <c r="B73" s="65"/>
      <c r="C73" s="65"/>
      <c r="D73" s="83">
        <f t="shared" si="51"/>
        <v>4.091012889325181E-2</v>
      </c>
      <c r="E73" s="83">
        <f t="shared" ref="E73:S73" si="76">E31/E$23</f>
        <v>4.3977344084635314E-2</v>
      </c>
      <c r="F73" s="83">
        <f t="shared" si="76"/>
        <v>4.5418847233030857E-2</v>
      </c>
      <c r="G73" s="83">
        <f t="shared" si="76"/>
        <v>4.6125703632596687E-2</v>
      </c>
      <c r="H73" s="83">
        <f t="shared" si="76"/>
        <v>4.8662118764348457E-2</v>
      </c>
      <c r="I73" s="83">
        <f t="shared" si="76"/>
        <v>4.8435550214909653E-2</v>
      </c>
      <c r="J73" s="83">
        <f t="shared" si="76"/>
        <v>5.1963775761153332E-2</v>
      </c>
      <c r="K73" s="83">
        <f t="shared" si="76"/>
        <v>5.5306884223457704E-2</v>
      </c>
      <c r="L73" s="83">
        <f t="shared" si="76"/>
        <v>5.3408849543913735E-2</v>
      </c>
      <c r="M73" s="83">
        <f t="shared" si="76"/>
        <v>5.6484554390366482E-2</v>
      </c>
      <c r="N73" s="83">
        <f t="shared" si="76"/>
        <v>5.5069884008415275E-2</v>
      </c>
      <c r="O73" s="83">
        <f t="shared" si="76"/>
        <v>5.673282711711377E-2</v>
      </c>
      <c r="P73" s="83">
        <f t="shared" si="76"/>
        <v>5.8145107084019779E-2</v>
      </c>
      <c r="Q73" s="83">
        <f t="shared" si="76"/>
        <v>5.7230790067581125E-2</v>
      </c>
      <c r="R73" s="83">
        <f t="shared" si="76"/>
        <v>5.8634241368887327E-2</v>
      </c>
      <c r="S73" s="83">
        <f t="shared" si="76"/>
        <v>6.1335686779199101E-2</v>
      </c>
      <c r="T73" s="83">
        <f t="shared" ref="T73:Y73" si="77">T31/T$23</f>
        <v>6.2975089592413921E-2</v>
      </c>
      <c r="U73" s="83">
        <f t="shared" si="77"/>
        <v>6.479548848802115E-2</v>
      </c>
      <c r="V73" s="83">
        <f t="shared" si="77"/>
        <v>6.5800656197550808E-2</v>
      </c>
      <c r="W73" s="83">
        <f t="shared" si="77"/>
        <v>6.5384561418361922E-2</v>
      </c>
      <c r="X73" s="83">
        <f t="shared" si="77"/>
        <v>6.6637115699820046E-2</v>
      </c>
      <c r="Y73" s="83">
        <f t="shared" si="77"/>
        <v>6.6210468732601266E-2</v>
      </c>
      <c r="Z73" s="83">
        <f t="shared" ref="Z73:AA73" si="78">Z31/Z$23</f>
        <v>6.7268754576089981E-2</v>
      </c>
      <c r="AA73" s="83">
        <f t="shared" si="78"/>
        <v>6.4539966868578699E-2</v>
      </c>
    </row>
    <row r="74" spans="1:27" x14ac:dyDescent="0.25">
      <c r="A74" s="64" t="s">
        <v>58</v>
      </c>
      <c r="B74" s="65"/>
      <c r="C74" s="65"/>
      <c r="D74" s="83">
        <f t="shared" si="51"/>
        <v>0.21728930956269529</v>
      </c>
      <c r="E74" s="83">
        <f t="shared" ref="E74:S74" si="79">E32/E$23</f>
        <v>0.20700927778031911</v>
      </c>
      <c r="F74" s="83">
        <f t="shared" si="79"/>
        <v>0.20407046987585742</v>
      </c>
      <c r="G74" s="83">
        <f t="shared" si="79"/>
        <v>0.19526478061589531</v>
      </c>
      <c r="H74" s="83">
        <f t="shared" si="79"/>
        <v>0.18759842705660315</v>
      </c>
      <c r="I74" s="83">
        <f t="shared" si="79"/>
        <v>0.18538406612560382</v>
      </c>
      <c r="J74" s="83">
        <f t="shared" si="79"/>
        <v>0.18379210739635693</v>
      </c>
      <c r="K74" s="83">
        <f t="shared" si="79"/>
        <v>0.18351156820436895</v>
      </c>
      <c r="L74" s="83">
        <f t="shared" si="79"/>
        <v>0.16883985610528957</v>
      </c>
      <c r="M74" s="83">
        <f t="shared" si="79"/>
        <v>0.1487081764821194</v>
      </c>
      <c r="N74" s="83">
        <f t="shared" si="79"/>
        <v>0.16327640818096897</v>
      </c>
      <c r="O74" s="83">
        <f t="shared" si="79"/>
        <v>0.16093849569275781</v>
      </c>
      <c r="P74" s="83">
        <f t="shared" si="79"/>
        <v>0.15267215815486002</v>
      </c>
      <c r="Q74" s="83">
        <f t="shared" si="79"/>
        <v>0.14452422593118355</v>
      </c>
      <c r="R74" s="83">
        <f t="shared" si="79"/>
        <v>0.14060696074114276</v>
      </c>
      <c r="S74" s="83">
        <f t="shared" si="79"/>
        <v>0.15003790150191554</v>
      </c>
      <c r="T74" s="83">
        <f t="shared" ref="T74:Y74" si="80">T32/T$23</f>
        <v>0.14764854184614601</v>
      </c>
      <c r="U74" s="83">
        <f t="shared" si="80"/>
        <v>0.14588275963704297</v>
      </c>
      <c r="V74" s="83">
        <f t="shared" si="80"/>
        <v>0.14696382366196309</v>
      </c>
      <c r="W74" s="83">
        <f t="shared" si="80"/>
        <v>0.14407833514510543</v>
      </c>
      <c r="X74" s="83">
        <f t="shared" si="80"/>
        <v>0.139870120433951</v>
      </c>
      <c r="Y74" s="83">
        <f t="shared" si="80"/>
        <v>0.1483366615667327</v>
      </c>
      <c r="Z74" s="83">
        <f t="shared" ref="Z74:AA74" si="81">Z32/Z$23</f>
        <v>0.15227991029266574</v>
      </c>
      <c r="AA74" s="83">
        <f t="shared" si="81"/>
        <v>0.14739843451416834</v>
      </c>
    </row>
    <row r="75" spans="1:27" x14ac:dyDescent="0.25">
      <c r="A75" s="85" t="s">
        <v>158</v>
      </c>
      <c r="B75" s="86"/>
      <c r="C75" s="86"/>
      <c r="D75" s="87">
        <f t="shared" si="51"/>
        <v>7.5957135233990503E-3</v>
      </c>
      <c r="E75" s="87">
        <f t="shared" ref="E75:S75" si="82">E33/E$23</f>
        <v>7.8077241367838406E-3</v>
      </c>
      <c r="F75" s="87">
        <f t="shared" si="82"/>
        <v>7.5347046210157802E-3</v>
      </c>
      <c r="G75" s="87">
        <f t="shared" si="82"/>
        <v>7.096584295213643E-3</v>
      </c>
      <c r="H75" s="87">
        <f t="shared" si="82"/>
        <v>7.6441531693966424E-3</v>
      </c>
      <c r="I75" s="87">
        <f t="shared" si="82"/>
        <v>7.9457633045318232E-3</v>
      </c>
      <c r="J75" s="87">
        <f t="shared" si="82"/>
        <v>8.060619717479867E-3</v>
      </c>
      <c r="K75" s="87">
        <f t="shared" si="82"/>
        <v>1.01138708204054E-2</v>
      </c>
      <c r="L75" s="87">
        <f t="shared" si="82"/>
        <v>7.4994017201626562E-3</v>
      </c>
      <c r="M75" s="87">
        <f t="shared" si="82"/>
        <v>2.8784892714313203E-3</v>
      </c>
      <c r="N75" s="87">
        <f t="shared" si="82"/>
        <v>7.9763441862420164E-3</v>
      </c>
      <c r="O75" s="87">
        <f t="shared" si="82"/>
        <v>7.6326064905232419E-3</v>
      </c>
      <c r="P75" s="87">
        <f t="shared" si="82"/>
        <v>7.2740691927512362E-3</v>
      </c>
      <c r="Q75" s="87">
        <f t="shared" si="82"/>
        <v>7.7764718376083074E-3</v>
      </c>
      <c r="R75" s="87">
        <f t="shared" si="82"/>
        <v>7.9210163433988384E-3</v>
      </c>
      <c r="S75" s="87">
        <f t="shared" si="82"/>
        <v>7.3723650736414719E-3</v>
      </c>
      <c r="T75" s="87">
        <f t="shared" ref="T75:Y75" si="83">T33/T$23</f>
        <v>7.520766796521341E-3</v>
      </c>
      <c r="U75" s="87">
        <f t="shared" si="83"/>
        <v>6.7828859858528375E-3</v>
      </c>
      <c r="V75" s="87">
        <f t="shared" si="83"/>
        <v>8.3641876981413558E-3</v>
      </c>
      <c r="W75" s="87">
        <f t="shared" si="83"/>
        <v>8.0960173435464817E-3</v>
      </c>
      <c r="X75" s="87">
        <f t="shared" si="83"/>
        <v>9.0462287839313191E-3</v>
      </c>
      <c r="Y75" s="87">
        <f t="shared" si="83"/>
        <v>7.8525319682610992E-3</v>
      </c>
      <c r="Z75" s="87">
        <f t="shared" ref="Z75:AA75" si="84">Z33/Z$23</f>
        <v>8.1128550082439164E-3</v>
      </c>
      <c r="AA75" s="87">
        <f t="shared" si="84"/>
        <v>7.5316070529410622E-3</v>
      </c>
    </row>
    <row r="76" spans="1:27" x14ac:dyDescent="0.25">
      <c r="A76" s="88" t="s">
        <v>5</v>
      </c>
      <c r="B76" s="44"/>
      <c r="C76" s="44"/>
      <c r="D76" s="89">
        <f t="shared" si="51"/>
        <v>6.0362103627393075E-3</v>
      </c>
      <c r="E76" s="89">
        <f t="shared" ref="E76:S76" si="85">E34/E$23</f>
        <v>6.2046923174077758E-3</v>
      </c>
      <c r="F76" s="89">
        <f t="shared" si="85"/>
        <v>5.9877274167131319E-3</v>
      </c>
      <c r="G76" s="89">
        <f t="shared" si="85"/>
        <v>5.6395591448862945E-3</v>
      </c>
      <c r="H76" s="89">
        <f t="shared" si="85"/>
        <v>6.0747046914468548E-3</v>
      </c>
      <c r="I76" s="89">
        <f t="shared" si="85"/>
        <v>6.3143901689996559E-3</v>
      </c>
      <c r="J76" s="89">
        <f t="shared" si="85"/>
        <v>6.4056650002486627E-3</v>
      </c>
      <c r="K76" s="89">
        <f t="shared" si="85"/>
        <v>8.0373557619664391E-3</v>
      </c>
      <c r="L76" s="89">
        <f t="shared" si="85"/>
        <v>5.959672680932491E-3</v>
      </c>
      <c r="M76" s="89">
        <f t="shared" si="85"/>
        <v>1.9119339387395128E-3</v>
      </c>
      <c r="N76" s="89">
        <f t="shared" si="85"/>
        <v>6.0485649199770739E-3</v>
      </c>
      <c r="O76" s="89">
        <f t="shared" si="85"/>
        <v>5.6949398022646371E-3</v>
      </c>
      <c r="P76" s="89">
        <f t="shared" si="85"/>
        <v>5.1467299956558174E-3</v>
      </c>
      <c r="Q76" s="89">
        <f t="shared" si="85"/>
        <v>5.7840005355354442E-3</v>
      </c>
      <c r="R76" s="89">
        <f t="shared" si="85"/>
        <v>5.9908421851495482E-3</v>
      </c>
      <c r="S76" s="89">
        <f t="shared" si="85"/>
        <v>5.7675436236895097E-3</v>
      </c>
      <c r="T76" s="89">
        <f t="shared" ref="T76:Y76" si="86">T34/T$23</f>
        <v>6.2274555872568428E-3</v>
      </c>
      <c r="U76" s="89">
        <f t="shared" si="86"/>
        <v>5.2207011347265202E-3</v>
      </c>
      <c r="V76" s="89">
        <f t="shared" si="86"/>
        <v>6.2399039817970445E-3</v>
      </c>
      <c r="W76" s="89">
        <f t="shared" si="86"/>
        <v>5.8299286339143089E-3</v>
      </c>
      <c r="X76" s="89">
        <f t="shared" si="86"/>
        <v>6.8747381129763288E-3</v>
      </c>
      <c r="Y76" s="89">
        <f t="shared" si="86"/>
        <v>5.2088598306127866E-3</v>
      </c>
      <c r="Z76" s="89">
        <f t="shared" ref="Z76:AA76" si="87">Z34/Z$23</f>
        <v>5.6503841798424435E-3</v>
      </c>
      <c r="AA76" s="89">
        <f t="shared" si="87"/>
        <v>4.6036811769340257E-3</v>
      </c>
    </row>
    <row r="77" spans="1:27" x14ac:dyDescent="0.25">
      <c r="A77" s="88" t="s">
        <v>263</v>
      </c>
      <c r="B77" s="44"/>
      <c r="C77" s="44"/>
      <c r="D77" s="89">
        <f>D37/D$23</f>
        <v>1.5595031606597436E-3</v>
      </c>
      <c r="E77" s="89">
        <f t="shared" ref="E77:S77" si="88">E37/E$23</f>
        <v>1.6030318193760657E-3</v>
      </c>
      <c r="F77" s="89">
        <f t="shared" si="88"/>
        <v>1.546977204302649E-3</v>
      </c>
      <c r="G77" s="89">
        <f t="shared" si="88"/>
        <v>1.457025150327348E-3</v>
      </c>
      <c r="H77" s="89">
        <f t="shared" si="88"/>
        <v>1.5694484779497874E-3</v>
      </c>
      <c r="I77" s="89">
        <f t="shared" si="88"/>
        <v>1.6313731355321669E-3</v>
      </c>
      <c r="J77" s="89">
        <f t="shared" si="88"/>
        <v>1.6549547172312043E-3</v>
      </c>
      <c r="K77" s="89">
        <f t="shared" si="88"/>
        <v>2.0765150584389613E-3</v>
      </c>
      <c r="L77" s="89">
        <f t="shared" si="88"/>
        <v>1.5397290392301646E-3</v>
      </c>
      <c r="M77" s="89">
        <f t="shared" si="88"/>
        <v>9.6655533269180728E-4</v>
      </c>
      <c r="N77" s="89">
        <f t="shared" si="88"/>
        <v>1.9277792662649425E-3</v>
      </c>
      <c r="O77" s="89">
        <f t="shared" si="88"/>
        <v>1.9376666882586048E-3</v>
      </c>
      <c r="P77" s="89">
        <f t="shared" si="88"/>
        <v>2.1273391970954188E-3</v>
      </c>
      <c r="Q77" s="89">
        <f t="shared" si="88"/>
        <v>1.9924713020728632E-3</v>
      </c>
      <c r="R77" s="89">
        <f t="shared" si="88"/>
        <v>1.9301741582492911E-3</v>
      </c>
      <c r="S77" s="89">
        <f t="shared" si="88"/>
        <v>1.6048214499519622E-3</v>
      </c>
      <c r="T77" s="89">
        <f t="shared" ref="T77:Y77" si="89">T37/T$23</f>
        <v>1.2933112092644978E-3</v>
      </c>
      <c r="U77" s="89">
        <f t="shared" si="89"/>
        <v>1.5621848511263177E-3</v>
      </c>
      <c r="V77" s="89">
        <f t="shared" si="89"/>
        <v>2.1242837163443101E-3</v>
      </c>
      <c r="W77" s="89">
        <f t="shared" si="89"/>
        <v>2.2660887096321719E-3</v>
      </c>
      <c r="X77" s="89">
        <f t="shared" si="89"/>
        <v>2.1714906709549907E-3</v>
      </c>
      <c r="Y77" s="89">
        <f t="shared" si="89"/>
        <v>2.6436721376483134E-3</v>
      </c>
      <c r="Z77" s="89">
        <f t="shared" ref="Z77:AA77" si="90">Z37/Z$23</f>
        <v>2.4624708284014733E-3</v>
      </c>
      <c r="AA77" s="89">
        <f t="shared" si="90"/>
        <v>2.9279258760070369E-3</v>
      </c>
    </row>
    <row r="78" spans="1:27" x14ac:dyDescent="0.25">
      <c r="A78" s="68" t="s">
        <v>265</v>
      </c>
      <c r="B78" s="44"/>
      <c r="C78" s="44"/>
      <c r="D78" s="89">
        <f>D43/D$23</f>
        <v>3.107068442667725E-2</v>
      </c>
      <c r="E78" s="89">
        <f t="shared" ref="E78:S78" si="91">E43/E$23</f>
        <v>3.3400840863819128E-2</v>
      </c>
      <c r="F78" s="89">
        <f t="shared" si="91"/>
        <v>3.48632797780681E-2</v>
      </c>
      <c r="G78" s="89">
        <f t="shared" si="91"/>
        <v>3.2038772474071754E-2</v>
      </c>
      <c r="H78" s="89">
        <f t="shared" si="91"/>
        <v>2.9667468254435409E-2</v>
      </c>
      <c r="I78" s="89">
        <f t="shared" si="91"/>
        <v>3.0830765416547102E-2</v>
      </c>
      <c r="J78" s="89">
        <f t="shared" si="91"/>
        <v>3.0176932511311295E-2</v>
      </c>
      <c r="K78" s="89">
        <f t="shared" si="91"/>
        <v>2.7929378041673857E-2</v>
      </c>
      <c r="L78" s="89">
        <f t="shared" si="91"/>
        <v>2.5182855782682988E-2</v>
      </c>
      <c r="M78" s="89">
        <f t="shared" si="91"/>
        <v>3.0581774423405338E-2</v>
      </c>
      <c r="N78" s="89">
        <f t="shared" si="91"/>
        <v>2.8814684246484191E-2</v>
      </c>
      <c r="O78" s="89">
        <f t="shared" si="91"/>
        <v>2.5565708324215092E-2</v>
      </c>
      <c r="P78" s="89">
        <f t="shared" si="91"/>
        <v>2.4815551894563432E-2</v>
      </c>
      <c r="Q78" s="89">
        <f t="shared" si="91"/>
        <v>2.1927054662574094E-2</v>
      </c>
      <c r="R78" s="89">
        <f t="shared" si="91"/>
        <v>1.8332315000673578E-2</v>
      </c>
      <c r="S78" s="89">
        <f t="shared" si="91"/>
        <v>2.0874961899278652E-2</v>
      </c>
      <c r="T78" s="89">
        <f t="shared" ref="T78:Y78" si="92">T43/T$23</f>
        <v>1.9042698507666388E-2</v>
      </c>
      <c r="U78" s="89">
        <f t="shared" si="92"/>
        <v>1.742289853740598E-2</v>
      </c>
      <c r="V78" s="89">
        <f t="shared" si="92"/>
        <v>1.7924993783800601E-2</v>
      </c>
      <c r="W78" s="89">
        <f t="shared" si="92"/>
        <v>2.0345991005270736E-2</v>
      </c>
      <c r="X78" s="89">
        <f t="shared" si="92"/>
        <v>2.1727745479834432E-2</v>
      </c>
      <c r="Y78" s="89">
        <f t="shared" si="92"/>
        <v>1.9096544687317564E-2</v>
      </c>
      <c r="Z78" s="89">
        <f t="shared" ref="Z78:AA78" si="93">Z43/Z$23</f>
        <v>2.4524648188450519E-2</v>
      </c>
      <c r="AA78" s="89">
        <f t="shared" si="93"/>
        <v>2.7268881300497552E-2</v>
      </c>
    </row>
    <row r="79" spans="1:27" x14ac:dyDescent="0.25">
      <c r="A79" s="88" t="s">
        <v>266</v>
      </c>
      <c r="B79" s="44"/>
      <c r="C79" s="44"/>
      <c r="D79" s="89">
        <f>D44/D$23</f>
        <v>2.4856547541341801E-2</v>
      </c>
      <c r="E79" s="89">
        <f t="shared" ref="E79:S79" si="94">E44/E$23</f>
        <v>2.6540461423638077E-2</v>
      </c>
      <c r="F79" s="89">
        <f t="shared" si="94"/>
        <v>2.6842091979911449E-2</v>
      </c>
      <c r="G79" s="89">
        <f t="shared" si="94"/>
        <v>2.5047279920832072E-2</v>
      </c>
      <c r="H79" s="89">
        <f t="shared" si="94"/>
        <v>2.3438987404707835E-2</v>
      </c>
      <c r="I79" s="89">
        <f t="shared" si="94"/>
        <v>2.3913878248396268E-2</v>
      </c>
      <c r="J79" s="89">
        <f t="shared" si="94"/>
        <v>2.3030928657805427E-2</v>
      </c>
      <c r="K79" s="89">
        <f t="shared" si="94"/>
        <v>2.1437880833909302E-2</v>
      </c>
      <c r="L79" s="89">
        <f t="shared" si="94"/>
        <v>2.0161791973644424E-2</v>
      </c>
      <c r="M79" s="89">
        <f t="shared" si="94"/>
        <v>2.3882522962623543E-2</v>
      </c>
      <c r="N79" s="89">
        <f t="shared" si="94"/>
        <v>2.1621505930793834E-2</v>
      </c>
      <c r="O79" s="89">
        <f t="shared" si="94"/>
        <v>1.9307550638978176E-2</v>
      </c>
      <c r="P79" s="89">
        <f t="shared" si="94"/>
        <v>1.8652287061904454E-2</v>
      </c>
      <c r="Q79" s="89">
        <f t="shared" si="94"/>
        <v>1.7047532225804379E-2</v>
      </c>
      <c r="R79" s="89">
        <f t="shared" si="94"/>
        <v>1.5216993370235158E-2</v>
      </c>
      <c r="S79" s="89">
        <f t="shared" si="94"/>
        <v>1.634093478896315E-2</v>
      </c>
      <c r="T79" s="89">
        <f t="shared" ref="T79:Y79" si="95">T44/T$23</f>
        <v>1.5277850939336601E-2</v>
      </c>
      <c r="U79" s="89">
        <f t="shared" si="95"/>
        <v>1.4302651851184515E-2</v>
      </c>
      <c r="V79" s="89">
        <f t="shared" si="95"/>
        <v>1.4670120400213054E-2</v>
      </c>
      <c r="W79" s="89">
        <f t="shared" si="95"/>
        <v>1.5813648886173228E-2</v>
      </c>
      <c r="X79" s="89">
        <f t="shared" si="95"/>
        <v>1.6457079683589122E-2</v>
      </c>
      <c r="Y79" s="89">
        <f t="shared" si="95"/>
        <v>1.4560179736834196E-2</v>
      </c>
      <c r="Z79" s="89">
        <f t="shared" ref="Z79:AA79" si="96">Z44/Z$23</f>
        <v>1.6981816959850581E-2</v>
      </c>
      <c r="AA79" s="89">
        <f t="shared" si="96"/>
        <v>1.714963047223057E-2</v>
      </c>
    </row>
    <row r="80" spans="1:27" x14ac:dyDescent="0.25">
      <c r="A80" s="88" t="s">
        <v>11</v>
      </c>
      <c r="B80" s="44"/>
      <c r="C80" s="44"/>
      <c r="D80" s="89">
        <f>D47/D$23</f>
        <v>6.2141368853354476E-3</v>
      </c>
      <c r="E80" s="89">
        <f t="shared" ref="E80:S80" si="97">E47/E$23</f>
        <v>6.8603794401810555E-3</v>
      </c>
      <c r="F80" s="89">
        <f t="shared" si="97"/>
        <v>8.0211877981566475E-3</v>
      </c>
      <c r="G80" s="89">
        <f t="shared" si="97"/>
        <v>6.9914925532396826E-3</v>
      </c>
      <c r="H80" s="89">
        <f t="shared" si="97"/>
        <v>6.2284808497275754E-3</v>
      </c>
      <c r="I80" s="89">
        <f t="shared" si="97"/>
        <v>6.9168871681508353E-3</v>
      </c>
      <c r="J80" s="89">
        <f t="shared" si="97"/>
        <v>7.1460038535058699E-3</v>
      </c>
      <c r="K80" s="89">
        <f t="shared" si="97"/>
        <v>6.4914972077645553E-3</v>
      </c>
      <c r="L80" s="89">
        <f t="shared" si="97"/>
        <v>5.0210638090385689E-3</v>
      </c>
      <c r="M80" s="89">
        <f t="shared" si="97"/>
        <v>6.699251460781798E-3</v>
      </c>
      <c r="N80" s="89">
        <f t="shared" si="97"/>
        <v>7.193178315690359E-3</v>
      </c>
      <c r="O80" s="89">
        <f t="shared" si="97"/>
        <v>6.2581576852369118E-3</v>
      </c>
      <c r="P80" s="89">
        <f t="shared" si="97"/>
        <v>6.1632648326589799E-3</v>
      </c>
      <c r="Q80" s="89">
        <f t="shared" si="97"/>
        <v>4.8795224367697131E-3</v>
      </c>
      <c r="R80" s="89">
        <f t="shared" si="97"/>
        <v>3.1153216304384192E-3</v>
      </c>
      <c r="S80" s="89">
        <f t="shared" si="97"/>
        <v>4.5340271103155036E-3</v>
      </c>
      <c r="T80" s="89">
        <f t="shared" ref="T80:Y80" si="98">T47/T$23</f>
        <v>3.7648475683297864E-3</v>
      </c>
      <c r="U80" s="89">
        <f t="shared" si="98"/>
        <v>3.1202466862214652E-3</v>
      </c>
      <c r="V80" s="89">
        <f t="shared" si="98"/>
        <v>3.2548733835875473E-3</v>
      </c>
      <c r="W80" s="89">
        <f t="shared" si="98"/>
        <v>4.5323421190975079E-3</v>
      </c>
      <c r="X80" s="89">
        <f t="shared" si="98"/>
        <v>5.2706657962453126E-3</v>
      </c>
      <c r="Y80" s="89">
        <f t="shared" si="98"/>
        <v>4.5363649504833702E-3</v>
      </c>
      <c r="Z80" s="89">
        <f t="shared" ref="Z80:AA80" si="99">Z47/Z$23</f>
        <v>7.5428312285999392E-3</v>
      </c>
      <c r="AA80" s="89">
        <f t="shared" si="99"/>
        <v>1.0119250828266986E-2</v>
      </c>
    </row>
    <row r="81" spans="1:27" x14ac:dyDescent="0.25">
      <c r="A81" s="68" t="s">
        <v>4</v>
      </c>
      <c r="B81" s="44"/>
      <c r="C81" s="44"/>
      <c r="D81" s="89">
        <f>D48/D$23</f>
        <v>3.857213679777908E-3</v>
      </c>
      <c r="E81" s="89">
        <f t="shared" ref="E81:S81" si="100">E48/E$23</f>
        <v>4.0329858151014492E-3</v>
      </c>
      <c r="F81" s="89">
        <f t="shared" si="100"/>
        <v>4.0450051445103672E-3</v>
      </c>
      <c r="G81" s="89">
        <f t="shared" si="100"/>
        <v>3.7796155880394167E-3</v>
      </c>
      <c r="H81" s="89">
        <f t="shared" si="100"/>
        <v>3.6511123756285341E-3</v>
      </c>
      <c r="I81" s="89">
        <f t="shared" si="100"/>
        <v>3.818466286396436E-3</v>
      </c>
      <c r="J81" s="89">
        <f t="shared" si="100"/>
        <v>3.8863343466307562E-3</v>
      </c>
      <c r="K81" s="89">
        <f t="shared" si="100"/>
        <v>4.2499173137196238E-3</v>
      </c>
      <c r="L81" s="89">
        <f t="shared" si="100"/>
        <v>4.3345254079115185E-3</v>
      </c>
      <c r="M81" s="89">
        <f t="shared" si="100"/>
        <v>3.5861541187507261E-3</v>
      </c>
      <c r="N81" s="89">
        <f t="shared" si="100"/>
        <v>3.9892381642498836E-3</v>
      </c>
      <c r="O81" s="89">
        <f t="shared" si="100"/>
        <v>4.7626715774319517E-3</v>
      </c>
      <c r="P81" s="89">
        <f t="shared" si="100"/>
        <v>4.7546622734761131E-3</v>
      </c>
      <c r="Q81" s="89">
        <f t="shared" si="100"/>
        <v>4.0239317098747038E-3</v>
      </c>
      <c r="R81" s="89">
        <f t="shared" si="100"/>
        <v>3.8932801162941933E-3</v>
      </c>
      <c r="S81" s="89">
        <f t="shared" si="100"/>
        <v>3.8399550560902374E-3</v>
      </c>
      <c r="T81" s="89">
        <f t="shared" ref="T81:Y81" si="101">T48/T$23</f>
        <v>3.8191165414220977E-3</v>
      </c>
      <c r="U81" s="89">
        <f t="shared" si="101"/>
        <v>3.9842610380220154E-3</v>
      </c>
      <c r="V81" s="89">
        <f t="shared" si="101"/>
        <v>3.6197220581836265E-3</v>
      </c>
      <c r="W81" s="89">
        <f t="shared" si="101"/>
        <v>3.6992494721048534E-3</v>
      </c>
      <c r="X81" s="89">
        <f t="shared" si="101"/>
        <v>3.7544196702810379E-3</v>
      </c>
      <c r="Y81" s="89">
        <f t="shared" si="101"/>
        <v>3.5060021243503501E-3</v>
      </c>
      <c r="Z81" s="89">
        <f t="shared" ref="Z81:AA81" si="102">Z48/Z$23</f>
        <v>3.3705163076237009E-3</v>
      </c>
      <c r="AA81" s="89">
        <f t="shared" si="102"/>
        <v>3.0894335391539337E-3</v>
      </c>
    </row>
    <row r="82" spans="1:27" x14ac:dyDescent="0.25">
      <c r="A82" s="68" t="s">
        <v>3</v>
      </c>
      <c r="B82" s="44"/>
      <c r="C82" s="44"/>
      <c r="D82" s="89">
        <f>D52/D$23</f>
        <v>2.7910372236896019E-2</v>
      </c>
      <c r="E82" s="89">
        <f t="shared" ref="E82:S82" si="103">E52/E$23</f>
        <v>2.7741436454898176E-2</v>
      </c>
      <c r="F82" s="89">
        <f t="shared" si="103"/>
        <v>2.4771392555889532E-2</v>
      </c>
      <c r="G82" s="89">
        <f t="shared" si="103"/>
        <v>2.286770241181817E-2</v>
      </c>
      <c r="H82" s="89">
        <f t="shared" si="103"/>
        <v>2.0415415775508917E-2</v>
      </c>
      <c r="I82" s="89">
        <f t="shared" si="103"/>
        <v>1.8625144338957136E-2</v>
      </c>
      <c r="J82" s="89">
        <f t="shared" si="103"/>
        <v>1.7665125682251401E-2</v>
      </c>
      <c r="K82" s="89">
        <f t="shared" si="103"/>
        <v>1.6713338478257445E-2</v>
      </c>
      <c r="L82" s="89">
        <f t="shared" si="103"/>
        <v>1.47860817203805E-2</v>
      </c>
      <c r="M82" s="89">
        <f t="shared" si="103"/>
        <v>1.4554778078405496E-2</v>
      </c>
      <c r="N82" s="89">
        <f t="shared" si="103"/>
        <v>1.4400793400593281E-2</v>
      </c>
      <c r="O82" s="89">
        <f t="shared" si="103"/>
        <v>1.3890253754987498E-2</v>
      </c>
      <c r="P82" s="89">
        <f t="shared" si="103"/>
        <v>1.3209093904448108E-2</v>
      </c>
      <c r="Q82" s="89">
        <f t="shared" si="103"/>
        <v>1.2186456790509812E-2</v>
      </c>
      <c r="R82" s="89">
        <f t="shared" si="103"/>
        <v>1.2623618818994408E-2</v>
      </c>
      <c r="S82" s="89">
        <f t="shared" si="103"/>
        <v>1.2036839662203485E-2</v>
      </c>
      <c r="T82" s="89">
        <f t="shared" ref="T82:Y82" si="104">T52/T$23</f>
        <v>1.1561168375248733E-2</v>
      </c>
      <c r="U82" s="89">
        <f t="shared" si="104"/>
        <v>1.1107362681080318E-2</v>
      </c>
      <c r="V82" s="89">
        <f t="shared" si="104"/>
        <v>1.2529041306645117E-2</v>
      </c>
      <c r="W82" s="89">
        <f t="shared" si="104"/>
        <v>1.1101315677136259E-2</v>
      </c>
      <c r="X82" s="89">
        <f t="shared" si="104"/>
        <v>1.0318461600885492E-2</v>
      </c>
      <c r="Y82" s="89">
        <f t="shared" si="104"/>
        <v>1.0873402960356379E-2</v>
      </c>
      <c r="Z82" s="89">
        <f t="shared" ref="Z82:AA82" si="105">Z52/Z$23</f>
        <v>1.321499570648647E-2</v>
      </c>
      <c r="AA82" s="89">
        <f t="shared" si="105"/>
        <v>1.3516629983561236E-2</v>
      </c>
    </row>
    <row r="83" spans="1:27" x14ac:dyDescent="0.25">
      <c r="A83" s="88" t="s">
        <v>21</v>
      </c>
      <c r="B83" s="44"/>
      <c r="C83" s="44"/>
      <c r="D83" s="89">
        <f>D53/D$23</f>
        <v>2.2267323839118693E-2</v>
      </c>
      <c r="E83" s="89">
        <f t="shared" ref="E83:S83" si="106">E53/E$23</f>
        <v>2.232115009543929E-2</v>
      </c>
      <c r="F83" s="89">
        <f t="shared" si="106"/>
        <v>1.9762932077390574E-2</v>
      </c>
      <c r="G83" s="89">
        <f t="shared" si="106"/>
        <v>1.8265984259344229E-2</v>
      </c>
      <c r="H83" s="89">
        <f t="shared" si="106"/>
        <v>1.5963078998182438E-2</v>
      </c>
      <c r="I83" s="89">
        <f t="shared" si="106"/>
        <v>1.440971233241365E-2</v>
      </c>
      <c r="J83" s="89">
        <f t="shared" si="106"/>
        <v>1.3762719650547992E-2</v>
      </c>
      <c r="K83" s="89">
        <f t="shared" si="106"/>
        <v>1.2965523758524562E-2</v>
      </c>
      <c r="L83" s="89">
        <f t="shared" si="106"/>
        <v>1.1195441604203688E-2</v>
      </c>
      <c r="M83" s="89">
        <f t="shared" si="106"/>
        <v>1.1386048385723361E-2</v>
      </c>
      <c r="N83" s="89">
        <f t="shared" si="106"/>
        <v>1.1424322808774557E-2</v>
      </c>
      <c r="O83" s="89">
        <f t="shared" si="106"/>
        <v>1.1010959760077186E-2</v>
      </c>
      <c r="P83" s="89">
        <f t="shared" si="106"/>
        <v>1.0373640856672159E-2</v>
      </c>
      <c r="Q83" s="89">
        <f t="shared" si="106"/>
        <v>9.7493193406774942E-3</v>
      </c>
      <c r="R83" s="89">
        <f t="shared" si="106"/>
        <v>1.022176725492077E-2</v>
      </c>
      <c r="S83" s="89">
        <f t="shared" si="106"/>
        <v>9.8641024466141654E-3</v>
      </c>
      <c r="T83" s="89">
        <f t="shared" ref="T83:Y83" si="107">T53/T$23</f>
        <v>9.4772384699650641E-3</v>
      </c>
      <c r="U83" s="89">
        <f t="shared" si="107"/>
        <v>9.4229499625858009E-3</v>
      </c>
      <c r="V83" s="89">
        <f t="shared" si="107"/>
        <v>1.0745769099272703E-2</v>
      </c>
      <c r="W83" s="89">
        <f t="shared" si="107"/>
        <v>9.6813080527107971E-3</v>
      </c>
      <c r="X83" s="89">
        <f t="shared" si="107"/>
        <v>9.0073045460678965E-3</v>
      </c>
      <c r="Y83" s="89">
        <f t="shared" si="107"/>
        <v>9.6117662048271837E-3</v>
      </c>
      <c r="Z83" s="89">
        <f t="shared" ref="Z83:AA83" si="108">Z53/Z$23</f>
        <v>1.2041826879187515E-2</v>
      </c>
      <c r="AA83" s="89">
        <f t="shared" si="108"/>
        <v>1.2469977950144344E-2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5.6430483977773279E-3</v>
      </c>
      <c r="E84" s="89">
        <f t="shared" ref="E84:S84" si="110">E56/E$23</f>
        <v>5.4202863594588844E-3</v>
      </c>
      <c r="F84" s="89">
        <f t="shared" si="110"/>
        <v>5.0084604784989611E-3</v>
      </c>
      <c r="G84" s="89">
        <f t="shared" si="110"/>
        <v>4.6017181524739426E-3</v>
      </c>
      <c r="H84" s="89">
        <f t="shared" si="110"/>
        <v>4.4523367773264761E-3</v>
      </c>
      <c r="I84" s="89">
        <f t="shared" si="110"/>
        <v>4.215432006543487E-3</v>
      </c>
      <c r="J84" s="89">
        <f t="shared" si="110"/>
        <v>3.9024060317034105E-3</v>
      </c>
      <c r="K84" s="89">
        <f t="shared" si="110"/>
        <v>3.7478147197328813E-3</v>
      </c>
      <c r="L84" s="89">
        <f t="shared" si="110"/>
        <v>3.5906401161768116E-3</v>
      </c>
      <c r="M84" s="89">
        <f t="shared" si="110"/>
        <v>3.1687296926821333E-3</v>
      </c>
      <c r="N84" s="89">
        <f t="shared" si="110"/>
        <v>2.9764705918187261E-3</v>
      </c>
      <c r="O84" s="89">
        <f t="shared" si="110"/>
        <v>2.879293994910311E-3</v>
      </c>
      <c r="P84" s="89">
        <f t="shared" si="110"/>
        <v>2.8354530477759494E-3</v>
      </c>
      <c r="Q84" s="89">
        <f t="shared" si="110"/>
        <v>2.4371374498323183E-3</v>
      </c>
      <c r="R84" s="89">
        <f t="shared" si="110"/>
        <v>2.4018515640736367E-3</v>
      </c>
      <c r="S84" s="89">
        <f t="shared" si="110"/>
        <v>2.1727372155893208E-3</v>
      </c>
      <c r="T84" s="89">
        <f t="shared" ref="T84:Y84" si="111">T56/T$23</f>
        <v>2.0839299052836683E-3</v>
      </c>
      <c r="U84" s="89">
        <f t="shared" si="111"/>
        <v>1.6844127184945182E-3</v>
      </c>
      <c r="V84" s="89">
        <f t="shared" si="111"/>
        <v>1.7832722073724138E-3</v>
      </c>
      <c r="W84" s="89">
        <f t="shared" si="111"/>
        <v>1.4200076244254615E-3</v>
      </c>
      <c r="X84" s="89">
        <f t="shared" si="111"/>
        <v>1.3111570548175943E-3</v>
      </c>
      <c r="Y84" s="89">
        <f t="shared" si="111"/>
        <v>1.2616367555291963E-3</v>
      </c>
      <c r="Z84" s="89">
        <f t="shared" ref="Z84:AA84" si="112">Z56/Z$23</f>
        <v>1.1731688272989551E-3</v>
      </c>
      <c r="AA84" s="89">
        <f t="shared" si="112"/>
        <v>1.0466520334168929E-3</v>
      </c>
    </row>
    <row r="85" spans="1:27" x14ac:dyDescent="0.25">
      <c r="A85" s="68" t="s">
        <v>2</v>
      </c>
      <c r="B85" s="44"/>
      <c r="C85" s="44"/>
      <c r="D85" s="89">
        <f t="shared" si="109"/>
        <v>1.5875313398611483E-2</v>
      </c>
      <c r="E85" s="89">
        <f t="shared" ref="E85:S85" si="113">E57/E$23</f>
        <v>1.5835852736550127E-2</v>
      </c>
      <c r="F85" s="89">
        <f t="shared" si="113"/>
        <v>1.6186366928532956E-2</v>
      </c>
      <c r="G85" s="89">
        <f t="shared" si="113"/>
        <v>1.5391481128767003E-2</v>
      </c>
      <c r="H85" s="89">
        <f t="shared" si="113"/>
        <v>1.4773415192668123E-2</v>
      </c>
      <c r="I85" s="89">
        <f t="shared" si="113"/>
        <v>1.4028868866243691E-2</v>
      </c>
      <c r="J85" s="89">
        <f t="shared" si="113"/>
        <v>1.385010943813054E-2</v>
      </c>
      <c r="K85" s="89">
        <f t="shared" si="113"/>
        <v>1.2755736852881418E-2</v>
      </c>
      <c r="L85" s="89">
        <f t="shared" si="113"/>
        <v>1.2398088195578401E-2</v>
      </c>
      <c r="M85" s="89">
        <f t="shared" si="113"/>
        <v>1.3780803621736651E-2</v>
      </c>
      <c r="N85" s="89">
        <f t="shared" si="113"/>
        <v>1.3072468774015158E-2</v>
      </c>
      <c r="O85" s="89">
        <f t="shared" si="113"/>
        <v>1.2813959345800183E-2</v>
      </c>
      <c r="P85" s="89">
        <f t="shared" si="113"/>
        <v>1.1908533772652389E-2</v>
      </c>
      <c r="Q85" s="89">
        <f t="shared" si="113"/>
        <v>1.236037313520893E-2</v>
      </c>
      <c r="R85" s="89">
        <f t="shared" si="113"/>
        <v>1.1782233848653616E-2</v>
      </c>
      <c r="S85" s="89">
        <f t="shared" si="113"/>
        <v>1.1583864419205551E-2</v>
      </c>
      <c r="T85" s="89">
        <f t="shared" ref="T85:Y85" si="114">T57/T$23</f>
        <v>1.1582370796224021E-2</v>
      </c>
      <c r="U85" s="89">
        <f t="shared" si="114"/>
        <v>1.1090220954475144E-2</v>
      </c>
      <c r="V85" s="89">
        <f t="shared" si="114"/>
        <v>1.1244279153975257E-2</v>
      </c>
      <c r="W85" s="89">
        <f t="shared" si="114"/>
        <v>1.0698215204283948E-2</v>
      </c>
      <c r="X85" s="89">
        <f t="shared" si="114"/>
        <v>1.1385457527287072E-2</v>
      </c>
      <c r="Y85" s="89">
        <f t="shared" si="114"/>
        <v>1.0401794647118868E-2</v>
      </c>
      <c r="Z85" s="89">
        <f t="shared" ref="Z85:AA85" si="115">Z57/Z$23</f>
        <v>9.1755691558604146E-3</v>
      </c>
      <c r="AA85" s="89">
        <f t="shared" si="115"/>
        <v>7.9780462501302073E-3</v>
      </c>
    </row>
    <row r="86" spans="1:27" x14ac:dyDescent="0.25">
      <c r="A86" s="68" t="s">
        <v>269</v>
      </c>
      <c r="B86" s="44"/>
      <c r="C86" s="44"/>
      <c r="D86" s="89">
        <f t="shared" si="109"/>
        <v>2.9138528003647395E-2</v>
      </c>
      <c r="E86" s="89">
        <f t="shared" ref="E86:S86" si="116">E58/E$23</f>
        <v>2.3815326011469348E-2</v>
      </c>
      <c r="F86" s="89">
        <f t="shared" si="116"/>
        <v>2.2578331814175685E-2</v>
      </c>
      <c r="G86" s="89">
        <f t="shared" si="116"/>
        <v>2.435807269305797E-2</v>
      </c>
      <c r="H86" s="89">
        <f t="shared" si="116"/>
        <v>2.3888841651169061E-2</v>
      </c>
      <c r="I86" s="89">
        <f t="shared" si="116"/>
        <v>2.1546138487295485E-2</v>
      </c>
      <c r="J86" s="89">
        <f t="shared" si="116"/>
        <v>2.1096095618490341E-2</v>
      </c>
      <c r="K86" s="89">
        <f t="shared" si="116"/>
        <v>2.0808593073252168E-2</v>
      </c>
      <c r="L86" s="89">
        <f t="shared" si="116"/>
        <v>2.0521559057988775E-2</v>
      </c>
      <c r="M86" s="89">
        <f t="shared" si="116"/>
        <v>1.6468698059737347E-2</v>
      </c>
      <c r="N86" s="89">
        <f t="shared" si="116"/>
        <v>2.3058509334061918E-2</v>
      </c>
      <c r="O86" s="89">
        <f t="shared" si="116"/>
        <v>2.5570663132236944E-2</v>
      </c>
      <c r="P86" s="89">
        <f t="shared" si="116"/>
        <v>2.1440000000000001E-2</v>
      </c>
      <c r="Q86" s="89">
        <f t="shared" si="116"/>
        <v>2.3550017365983094E-2</v>
      </c>
      <c r="R86" s="89">
        <f t="shared" si="116"/>
        <v>2.4484974917471095E-2</v>
      </c>
      <c r="S86" s="89">
        <f t="shared" si="116"/>
        <v>3.1766289677045333E-2</v>
      </c>
      <c r="T86" s="89">
        <f t="shared" ref="T86:Y86" si="117">T58/T$23</f>
        <v>3.3233210789838923E-2</v>
      </c>
      <c r="U86" s="89">
        <f t="shared" si="117"/>
        <v>3.2197876473384963E-2</v>
      </c>
      <c r="V86" s="89">
        <f t="shared" si="117"/>
        <v>3.2235607555790385E-2</v>
      </c>
      <c r="W86" s="89">
        <f t="shared" si="117"/>
        <v>3.0874880229217909E-2</v>
      </c>
      <c r="X86" s="89">
        <f t="shared" si="117"/>
        <v>2.6532411859012162E-2</v>
      </c>
      <c r="Y86" s="89">
        <f t="shared" si="117"/>
        <v>3.0909149687253119E-2</v>
      </c>
      <c r="Z86" s="89">
        <f t="shared" ref="Z86:AA86" si="118">Z58/Z$23</f>
        <v>2.7171439057557808E-2</v>
      </c>
      <c r="AA86" s="89">
        <f t="shared" si="118"/>
        <v>2.3332755787437275E-2</v>
      </c>
    </row>
    <row r="87" spans="1:27" x14ac:dyDescent="0.25">
      <c r="A87" s="68" t="s">
        <v>270</v>
      </c>
      <c r="B87" s="44"/>
      <c r="C87" s="44"/>
      <c r="D87" s="89">
        <f t="shared" si="109"/>
        <v>7.7801340874751393E-2</v>
      </c>
      <c r="E87" s="89">
        <f t="shared" ref="E87:S87" si="119">E59/E$23</f>
        <v>7.0338965429767905E-2</v>
      </c>
      <c r="F87" s="89">
        <f t="shared" si="119"/>
        <v>6.9989933101532883E-2</v>
      </c>
      <c r="G87" s="89">
        <f t="shared" si="119"/>
        <v>6.5319647108952009E-2</v>
      </c>
      <c r="H87" s="89">
        <f t="shared" si="119"/>
        <v>6.4819599147976886E-2</v>
      </c>
      <c r="I87" s="89">
        <f t="shared" si="119"/>
        <v>6.4664569340560404E-2</v>
      </c>
      <c r="J87" s="89">
        <f t="shared" si="119"/>
        <v>6.5216219410644607E-2</v>
      </c>
      <c r="K87" s="89">
        <f t="shared" si="119"/>
        <v>6.6320381774368831E-2</v>
      </c>
      <c r="L87" s="89">
        <f t="shared" si="119"/>
        <v>6.348205592979414E-2</v>
      </c>
      <c r="M87" s="89">
        <f t="shared" si="119"/>
        <v>4.7303028754817858E-2</v>
      </c>
      <c r="N87" s="89">
        <f t="shared" si="119"/>
        <v>5.2231698071599171E-2</v>
      </c>
      <c r="O87" s="89">
        <f t="shared" si="119"/>
        <v>5.2407830248277172E-2</v>
      </c>
      <c r="P87" s="89">
        <f t="shared" si="119"/>
        <v>5.2254892915980226E-2</v>
      </c>
      <c r="Q87" s="89">
        <f t="shared" si="119"/>
        <v>4.6581363863261747E-2</v>
      </c>
      <c r="R87" s="89">
        <f t="shared" si="119"/>
        <v>4.4469290095006178E-2</v>
      </c>
      <c r="S87" s="89">
        <f t="shared" si="119"/>
        <v>4.5535093503652688E-2</v>
      </c>
      <c r="T87" s="89">
        <f t="shared" ref="T87:Y87" si="120">T59/T$23</f>
        <v>4.4438568422283983E-2</v>
      </c>
      <c r="U87" s="89">
        <f t="shared" si="120"/>
        <v>4.7098084245396195E-2</v>
      </c>
      <c r="V87" s="89">
        <f t="shared" si="120"/>
        <v>4.5676439050164726E-2</v>
      </c>
      <c r="W87" s="89">
        <f t="shared" si="120"/>
        <v>4.451442088968912E-2</v>
      </c>
      <c r="X87" s="89">
        <f t="shared" si="120"/>
        <v>4.1492293944520926E-2</v>
      </c>
      <c r="Y87" s="89">
        <f t="shared" si="120"/>
        <v>4.7187031785597397E-2</v>
      </c>
      <c r="Z87" s="89">
        <f t="shared" ref="Z87:AA87" si="121">Z59/Z$23</f>
        <v>4.9982597205785108E-2</v>
      </c>
      <c r="AA87" s="89">
        <f t="shared" si="121"/>
        <v>4.828805294220323E-2</v>
      </c>
    </row>
    <row r="88" spans="1:27" x14ac:dyDescent="0.25">
      <c r="A88" s="68" t="s">
        <v>1</v>
      </c>
      <c r="B88" s="44"/>
      <c r="C88" s="44"/>
      <c r="D88" s="89">
        <f t="shared" si="109"/>
        <v>2.5493894914196714E-3</v>
      </c>
      <c r="E88" s="89">
        <f t="shared" ref="E88:S88" si="122">E60/E$23</f>
        <v>2.54962219348185E-3</v>
      </c>
      <c r="F88" s="89">
        <f t="shared" si="122"/>
        <v>2.4865794519450374E-3</v>
      </c>
      <c r="G88" s="89">
        <f t="shared" si="122"/>
        <v>2.3200884321906267E-3</v>
      </c>
      <c r="H88" s="89">
        <f t="shared" si="122"/>
        <v>2.1355083033010448E-3</v>
      </c>
      <c r="I88" s="89">
        <f t="shared" si="122"/>
        <v>1.9916357746366849E-3</v>
      </c>
      <c r="J88" s="89">
        <f t="shared" si="122"/>
        <v>1.8355203660058415E-3</v>
      </c>
      <c r="K88" s="89">
        <f t="shared" si="122"/>
        <v>1.7879136282739831E-3</v>
      </c>
      <c r="L88" s="89">
        <f t="shared" si="122"/>
        <v>1.6745428164932378E-3</v>
      </c>
      <c r="M88" s="89">
        <f t="shared" si="122"/>
        <v>1.4845380847248386E-3</v>
      </c>
      <c r="N88" s="89">
        <f t="shared" si="122"/>
        <v>1.430972046701226E-3</v>
      </c>
      <c r="O88" s="89">
        <f t="shared" si="122"/>
        <v>1.2761383327346276E-3</v>
      </c>
      <c r="P88" s="89">
        <f t="shared" si="122"/>
        <v>1.2264909390444811E-3</v>
      </c>
      <c r="Q88" s="89">
        <f t="shared" si="122"/>
        <v>1.1874023003129982E-3</v>
      </c>
      <c r="R88" s="89">
        <f t="shared" si="122"/>
        <v>1.1873508862338404E-3</v>
      </c>
      <c r="S88" s="89">
        <f t="shared" si="122"/>
        <v>1.2209662542159816E-3</v>
      </c>
      <c r="T88" s="89">
        <f t="shared" ref="T88:Y88" si="123">T60/T$23</f>
        <v>1.1853859267102981E-3</v>
      </c>
      <c r="U88" s="89">
        <f t="shared" si="123"/>
        <v>1.181112579003718E-3</v>
      </c>
      <c r="V88" s="89">
        <f t="shared" si="123"/>
        <v>1.1126025672903584E-3</v>
      </c>
      <c r="W88" s="89">
        <f t="shared" si="123"/>
        <v>1.107515576444378E-3</v>
      </c>
      <c r="X88" s="89">
        <f t="shared" si="123"/>
        <v>1.0306666377290514E-3</v>
      </c>
      <c r="Y88" s="89">
        <f t="shared" si="123"/>
        <v>9.9371590374372921E-4</v>
      </c>
      <c r="Z88" s="89">
        <f t="shared" ref="Z88:AA88" si="124">Z60/Z$23</f>
        <v>1.0445797972208695E-3</v>
      </c>
      <c r="AA88" s="89">
        <f t="shared" si="124"/>
        <v>1.0014821530357346E-3</v>
      </c>
    </row>
    <row r="89" spans="1:27" x14ac:dyDescent="0.25">
      <c r="A89" s="68" t="s">
        <v>0</v>
      </c>
      <c r="B89" s="44"/>
      <c r="C89" s="44"/>
      <c r="D89" s="89">
        <f t="shared" si="109"/>
        <v>7.241544005562592E-3</v>
      </c>
      <c r="E89" s="89">
        <f t="shared" ref="E89:S89" si="125">E61/E$23</f>
        <v>7.1440156029725487E-3</v>
      </c>
      <c r="F89" s="89">
        <f t="shared" si="125"/>
        <v>7.3383644026854588E-3</v>
      </c>
      <c r="G89" s="89">
        <f t="shared" si="125"/>
        <v>7.7431475904474658E-3</v>
      </c>
      <c r="H89" s="89">
        <f t="shared" si="125"/>
        <v>7.1234481500618823E-3</v>
      </c>
      <c r="I89" s="89">
        <f t="shared" si="125"/>
        <v>8.8364282686884711E-3</v>
      </c>
      <c r="J89" s="89">
        <f t="shared" si="125"/>
        <v>8.7748052228958547E-3</v>
      </c>
      <c r="K89" s="89">
        <f t="shared" si="125"/>
        <v>9.553809081316051E-3</v>
      </c>
      <c r="L89" s="89">
        <f t="shared" si="125"/>
        <v>6.7020156344056881E-3</v>
      </c>
      <c r="M89" s="89">
        <f t="shared" si="125"/>
        <v>6.5708112346595628E-3</v>
      </c>
      <c r="N89" s="89">
        <f t="shared" si="125"/>
        <v>6.8487455236434782E-3</v>
      </c>
      <c r="O89" s="89">
        <f t="shared" si="125"/>
        <v>5.4736865285651571E-3</v>
      </c>
      <c r="P89" s="89">
        <f t="shared" si="125"/>
        <v>5.0422405271828667E-3</v>
      </c>
      <c r="Q89" s="89">
        <f t="shared" si="125"/>
        <v>5.1705483187317143E-3</v>
      </c>
      <c r="R89" s="89">
        <f t="shared" si="125"/>
        <v>5.9556300005714387E-3</v>
      </c>
      <c r="S89" s="89">
        <f t="shared" si="125"/>
        <v>6.2089234379700334E-3</v>
      </c>
      <c r="T89" s="89">
        <f t="shared" ref="T89:Y89" si="126">T61/T$23</f>
        <v>5.5128731595628401E-3</v>
      </c>
      <c r="U89" s="89">
        <f t="shared" si="126"/>
        <v>6.1772116458033589E-3</v>
      </c>
      <c r="V89" s="89">
        <f t="shared" si="126"/>
        <v>5.9843060390377314E-3</v>
      </c>
      <c r="W89" s="89">
        <f t="shared" si="126"/>
        <v>5.3920336406964526E-3</v>
      </c>
      <c r="X89" s="89">
        <f t="shared" si="126"/>
        <v>5.4064586869934537E-3</v>
      </c>
      <c r="Y89" s="89">
        <f t="shared" si="126"/>
        <v>9.1669922355776499E-3</v>
      </c>
      <c r="Z89" s="89">
        <f t="shared" ref="Z89:AA89" si="127">Z61/Z$23</f>
        <v>8.1361411627292116E-3</v>
      </c>
      <c r="AA89" s="89">
        <f t="shared" si="127"/>
        <v>7.0915798405376852E-3</v>
      </c>
    </row>
    <row r="90" spans="1:27" x14ac:dyDescent="0.25">
      <c r="A90" s="90" t="s">
        <v>272</v>
      </c>
      <c r="B90" s="47"/>
      <c r="C90" s="47"/>
      <c r="D90" s="91">
        <f t="shared" si="109"/>
        <v>1.4249209921952556E-2</v>
      </c>
      <c r="E90" s="91">
        <f t="shared" ref="E90:S90" si="128">E62/E$23</f>
        <v>1.4342508535474722E-2</v>
      </c>
      <c r="F90" s="91">
        <f t="shared" si="128"/>
        <v>1.4276512077501632E-2</v>
      </c>
      <c r="G90" s="91">
        <f t="shared" si="128"/>
        <v>1.4349668893337237E-2</v>
      </c>
      <c r="H90" s="91">
        <f t="shared" si="128"/>
        <v>1.3479465036456618E-2</v>
      </c>
      <c r="I90" s="91">
        <f t="shared" si="128"/>
        <v>1.3096286041746608E-2</v>
      </c>
      <c r="J90" s="91">
        <f t="shared" si="128"/>
        <v>1.3230345082516384E-2</v>
      </c>
      <c r="K90" s="91">
        <f t="shared" si="128"/>
        <v>1.3278629140220181E-2</v>
      </c>
      <c r="L90" s="91">
        <f t="shared" si="128"/>
        <v>1.2258729839891664E-2</v>
      </c>
      <c r="M90" s="91">
        <f t="shared" si="128"/>
        <v>1.1499100834450271E-2</v>
      </c>
      <c r="N90" s="91">
        <f t="shared" si="128"/>
        <v>1.1452954433378628E-2</v>
      </c>
      <c r="O90" s="91">
        <f t="shared" si="128"/>
        <v>1.1544977957985982E-2</v>
      </c>
      <c r="P90" s="91">
        <f t="shared" si="128"/>
        <v>1.0746622734761121E-2</v>
      </c>
      <c r="Q90" s="91">
        <f t="shared" si="128"/>
        <v>9.7606059471181447E-3</v>
      </c>
      <c r="R90" s="91">
        <f t="shared" si="128"/>
        <v>9.9572507138455928E-3</v>
      </c>
      <c r="S90" s="91">
        <f t="shared" si="128"/>
        <v>9.5986425186120779E-3</v>
      </c>
      <c r="T90" s="91">
        <f t="shared" ref="T90:Y90" si="129">T62/T$23</f>
        <v>9.7523825306673525E-3</v>
      </c>
      <c r="U90" s="91">
        <f t="shared" si="129"/>
        <v>8.8408454966184373E-3</v>
      </c>
      <c r="V90" s="91">
        <f t="shared" si="129"/>
        <v>8.2726444489339204E-3</v>
      </c>
      <c r="W90" s="91">
        <f t="shared" si="129"/>
        <v>8.2486961067153204E-3</v>
      </c>
      <c r="X90" s="91">
        <f t="shared" si="129"/>
        <v>9.1759762434760611E-3</v>
      </c>
      <c r="Y90" s="91">
        <f t="shared" si="129"/>
        <v>8.3494955671565389E-3</v>
      </c>
      <c r="Z90" s="91">
        <f t="shared" ref="Z90:AA90" si="130">Z62/Z$23</f>
        <v>7.5465687027077262E-3</v>
      </c>
      <c r="AA90" s="91">
        <f t="shared" si="130"/>
        <v>8.2999656646704605E-3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1.3606860150843225E-2</v>
      </c>
      <c r="F93" s="92">
        <f t="shared" ref="F93:F94" si="132">IF(E16=0,"",F16/E16-1)</f>
        <v>2.2775756185034801E-2</v>
      </c>
      <c r="G93" s="92">
        <f t="shared" ref="G93:G94" si="133">IF(F16=0,"",G16/F16-1)</f>
        <v>1.8808451719490415E-2</v>
      </c>
      <c r="H93" s="92">
        <f t="shared" ref="H93:H94" si="134">IF(G16=0,"",H16/G16-1)</f>
        <v>4.1790832423543645E-2</v>
      </c>
      <c r="I93" s="92">
        <f t="shared" ref="I93:I94" si="135">IF(H16=0,"",I16/H16-1)</f>
        <v>2.7932937454327567E-2</v>
      </c>
      <c r="J93" s="92">
        <f t="shared" ref="J93:J94" si="136">IF(I16=0,"",J16/I16-1)</f>
        <v>4.6763244636841561E-2</v>
      </c>
      <c r="K93" s="92">
        <f t="shared" ref="K93:K94" si="137">IF(J16=0,"",K16/J16-1)</f>
        <v>3.2248733420104481E-2</v>
      </c>
      <c r="L93" s="92">
        <f t="shared" ref="L93:L94" si="138">IF(K16=0,"",L16/K16-1)</f>
        <v>-9.2332504022617501E-3</v>
      </c>
      <c r="M93" s="92">
        <f t="shared" ref="M93:M94" si="139">IF(L16=0,"",M16/L16-1)</f>
        <v>-4.2547544466486675E-2</v>
      </c>
      <c r="N93" s="92">
        <f t="shared" ref="N93:N94" si="140">IF(M16=0,"",N16/M16-1)</f>
        <v>5.7505546477027547E-2</v>
      </c>
      <c r="O93" s="92">
        <f t="shared" ref="O93:O94" si="141">IF(N16=0,"",O16/N16-1)</f>
        <v>3.1634699609937256E-2</v>
      </c>
      <c r="P93" s="92">
        <f t="shared" ref="P93:P94" si="142">IF(O16=0,"",P16/O16-1)</f>
        <v>-4.1410215990073107E-3</v>
      </c>
      <c r="Q93" s="92">
        <f t="shared" ref="Q93:Q94" si="143">IF(P16=0,"",Q16/P16-1)</f>
        <v>1.1376992101925554E-2</v>
      </c>
      <c r="R93" s="92">
        <f t="shared" ref="R93:R94" si="144">IF(Q16=0,"",R16/Q16-1)</f>
        <v>2.2952655255636278E-2</v>
      </c>
      <c r="S93" s="92">
        <f t="shared" ref="S93:S94" si="145">IF(R16=0,"",S16/R16-1)</f>
        <v>4.3884230011282277E-2</v>
      </c>
      <c r="T93" s="92">
        <f t="shared" ref="T93:T94" si="146">IF(S16=0,"",T16/S16-1)</f>
        <v>2.1314387453805761E-2</v>
      </c>
      <c r="U93" s="92">
        <f t="shared" ref="U93:U94" si="147">IF(T16=0,"",U16/T16-1)</f>
        <v>1.8829710737744199E-2</v>
      </c>
      <c r="V93" s="92">
        <f t="shared" ref="V93:V94" si="148">IF(U16=0,"",V16/U16-1)</f>
        <v>1.7697947383187529E-2</v>
      </c>
      <c r="W93" s="92">
        <f t="shared" ref="W93:W94" si="149">IF(V16=0,"",W16/V16-1)</f>
        <v>2.6088111189953134E-2</v>
      </c>
      <c r="X93" s="92">
        <f t="shared" ref="X93:X94" si="150">IF(W16=0,"",X16/W16-1)</f>
        <v>-1.9343129494947653E-2</v>
      </c>
      <c r="Y93" s="92">
        <f t="shared" ref="Y93:Y94" si="151">IF(X16=0,"",Y16/X16-1)</f>
        <v>5.225720196494632E-2</v>
      </c>
      <c r="Z93" s="92">
        <f t="shared" ref="Z93:Z94" si="152">IF(Y16=0,"",Z16/Y16-1)</f>
        <v>1.2556165326136126E-2</v>
      </c>
      <c r="AA93" s="92">
        <f t="shared" ref="AA93:AA94" si="153">IF(Z16=0,"",AA16/Z16-1)</f>
        <v>-2.0427489858072523E-3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8.0462434278933959E-3</v>
      </c>
      <c r="F94" s="93">
        <f t="shared" si="132"/>
        <v>2.222227850795444E-2</v>
      </c>
      <c r="G94" s="93">
        <f t="shared" si="133"/>
        <v>1.5796964154228377E-2</v>
      </c>
      <c r="H94" s="93">
        <f t="shared" si="134"/>
        <v>2.848557199811208E-2</v>
      </c>
      <c r="I94" s="93">
        <f t="shared" si="135"/>
        <v>3.1616969658417871E-2</v>
      </c>
      <c r="J94" s="93">
        <f t="shared" si="136"/>
        <v>2.8452537418583335E-2</v>
      </c>
      <c r="K94" s="93">
        <f t="shared" si="137"/>
        <v>4.4259032176292568E-2</v>
      </c>
      <c r="L94" s="93">
        <f t="shared" si="138"/>
        <v>-1.1408196965190243E-4</v>
      </c>
      <c r="M94" s="93">
        <f t="shared" si="139"/>
        <v>1.0625850374306411E-2</v>
      </c>
      <c r="N94" s="93">
        <f t="shared" si="140"/>
        <v>3.9742205858883439E-2</v>
      </c>
      <c r="O94" s="93">
        <f t="shared" si="141"/>
        <v>1.8538042877909167E-2</v>
      </c>
      <c r="P94" s="93">
        <f t="shared" si="142"/>
        <v>1.1290989567585674E-2</v>
      </c>
      <c r="Q94" s="93">
        <f t="shared" si="143"/>
        <v>1.8284343848868456E-2</v>
      </c>
      <c r="R94" s="93">
        <f t="shared" si="144"/>
        <v>2.8938835066310897E-2</v>
      </c>
      <c r="S94" s="93">
        <f t="shared" si="145"/>
        <v>4.1814823563186998E-2</v>
      </c>
      <c r="T94" s="93">
        <f t="shared" si="146"/>
        <v>2.1587289267336551E-2</v>
      </c>
      <c r="U94" s="93">
        <f t="shared" si="147"/>
        <v>2.5032101087331116E-2</v>
      </c>
      <c r="V94" s="93">
        <f t="shared" si="148"/>
        <v>1.887413655166692E-2</v>
      </c>
      <c r="W94" s="93">
        <f t="shared" si="149"/>
        <v>7.8595128973650841E-3</v>
      </c>
      <c r="X94" s="93">
        <f t="shared" si="150"/>
        <v>-2.9978554580974093E-2</v>
      </c>
      <c r="Y94" s="93">
        <f t="shared" si="151"/>
        <v>5.652500505812319E-2</v>
      </c>
      <c r="Z94" s="93">
        <f t="shared" si="152"/>
        <v>2.7776322829923261E-2</v>
      </c>
      <c r="AA94" s="93">
        <f t="shared" si="153"/>
        <v>-1.6090331717361739E-2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1.1168806420216448E-2</v>
      </c>
      <c r="F95" s="92">
        <f t="shared" ref="F95:F96" si="155">IF(E20=0,"",F20/E20-1)</f>
        <v>1.9752360145053105E-2</v>
      </c>
      <c r="G95" s="92">
        <f t="shared" ref="G95:G96" si="156">IF(F20=0,"",G20/F20-1)</f>
        <v>1.5200774680124596E-2</v>
      </c>
      <c r="H95" s="92">
        <f t="shared" ref="H95:H96" si="157">IF(G20=0,"",H20/G20-1)</f>
        <v>3.7742137694726896E-2</v>
      </c>
      <c r="I95" s="92">
        <f t="shared" ref="I95:I96" si="158">IF(H20=0,"",I20/H20-1)</f>
        <v>2.3858115230219967E-2</v>
      </c>
      <c r="J95" s="92">
        <f t="shared" ref="J95:J96" si="159">IF(I20=0,"",J20/I20-1)</f>
        <v>4.255664043559948E-2</v>
      </c>
      <c r="K95" s="92">
        <f t="shared" ref="K95:K96" si="160">IF(J20=0,"",K20/J20-1)</f>
        <v>2.4829053136459889E-2</v>
      </c>
      <c r="L95" s="92">
        <f t="shared" ref="L95:L96" si="161">IF(K20=0,"",L20/K20-1)</f>
        <v>-1.67501041727941E-2</v>
      </c>
      <c r="M95" s="92">
        <f t="shared" ref="M95:M96" si="162">IF(L20=0,"",M20/L20-1)</f>
        <v>-5.0141918282125886E-2</v>
      </c>
      <c r="N95" s="92">
        <f t="shared" ref="N95:N96" si="163">IF(M20=0,"",N20/M20-1)</f>
        <v>4.7957557340673418E-2</v>
      </c>
      <c r="O95" s="92">
        <f t="shared" ref="O95:O96" si="164">IF(N20=0,"",O20/N20-1)</f>
        <v>2.3429454533495653E-2</v>
      </c>
      <c r="P95" s="92">
        <f t="shared" ref="P95:P96" si="165">IF(O20=0,"",P20/O20-1)</f>
        <v>-1.1207076216705247E-2</v>
      </c>
      <c r="Q95" s="92">
        <f t="shared" ref="Q95:Q96" si="166">IF(P20=0,"",Q20/P20-1)</f>
        <v>3.6467932864783226E-3</v>
      </c>
      <c r="R95" s="92">
        <f t="shared" ref="R95:R96" si="167">IF(Q20=0,"",R20/Q20-1)</f>
        <v>1.3516221450996957E-2</v>
      </c>
      <c r="S95" s="92">
        <f t="shared" ref="S95:S96" si="168">IF(R20=0,"",S20/R20-1)</f>
        <v>3.2908048409392654E-2</v>
      </c>
      <c r="T95" s="92">
        <f t="shared" ref="T95:T96" si="169">IF(S20=0,"",T20/S20-1)</f>
        <v>1.0567122269689477E-2</v>
      </c>
      <c r="U95" s="92">
        <f t="shared" ref="U95:U96" si="170">IF(T20=0,"",U20/T20-1)</f>
        <v>4.1375855459742095E-3</v>
      </c>
      <c r="V95" s="92">
        <f t="shared" ref="V95:V96" si="171">IF(U20=0,"",V20/U20-1)</f>
        <v>5.1189182907789288E-3</v>
      </c>
      <c r="W95" s="92">
        <f t="shared" ref="W95:W96" si="172">IF(V20=0,"",W20/V20-1)</f>
        <v>1.5060822317996658E-2</v>
      </c>
      <c r="X95" s="92">
        <f t="shared" ref="X95:X96" si="173">IF(W20=0,"",X20/W20-1)</f>
        <v>-2.8592132511496393E-2</v>
      </c>
      <c r="Y95" s="92">
        <f t="shared" ref="Y95:Y96" si="174">IF(X20=0,"",Y20/X20-1)</f>
        <v>4.7015226389071518E-2</v>
      </c>
      <c r="Z95" s="92">
        <f t="shared" ref="Z95:Z96" si="175">IF(Y20=0,"",Z20/Y20-1)</f>
        <v>5.4813774454354203E-3</v>
      </c>
      <c r="AA95" s="92">
        <f t="shared" ref="AA95:AA96" si="176">IF(Z20=0,"",AA20/Z20-1)</f>
        <v>-8.60913331980806E-3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5.6215647866419971E-3</v>
      </c>
      <c r="F96" s="93">
        <f t="shared" si="155"/>
        <v>1.920051858635663E-2</v>
      </c>
      <c r="G96" s="93">
        <f t="shared" si="156"/>
        <v>1.2199951017900279E-2</v>
      </c>
      <c r="H96" s="93">
        <f t="shared" si="157"/>
        <v>2.4488585285984854E-2</v>
      </c>
      <c r="I96" s="93">
        <f t="shared" si="158"/>
        <v>2.7527543586381542E-2</v>
      </c>
      <c r="J96" s="93">
        <f t="shared" si="159"/>
        <v>2.4319518049734645E-2</v>
      </c>
      <c r="K96" s="93">
        <f t="shared" si="160"/>
        <v>3.6753023303426779E-2</v>
      </c>
      <c r="L96" s="93">
        <f t="shared" si="161"/>
        <v>-7.7001220099544021E-3</v>
      </c>
      <c r="M96" s="93">
        <f t="shared" si="162"/>
        <v>2.6097129137636621E-3</v>
      </c>
      <c r="N96" s="93">
        <f t="shared" si="163"/>
        <v>3.0354598087726004E-2</v>
      </c>
      <c r="O96" s="93">
        <f t="shared" si="164"/>
        <v>1.0436963818963196E-2</v>
      </c>
      <c r="P96" s="93">
        <f t="shared" si="165"/>
        <v>4.1154380872505669E-3</v>
      </c>
      <c r="Q96" s="93">
        <f t="shared" si="166"/>
        <v>1.0501350474410032E-2</v>
      </c>
      <c r="R96" s="93">
        <f t="shared" si="167"/>
        <v>1.9447180534460262E-2</v>
      </c>
      <c r="S96" s="93">
        <f t="shared" si="168"/>
        <v>3.0860401252537972E-2</v>
      </c>
      <c r="T96" s="93">
        <f t="shared" si="169"/>
        <v>1.0837152344414847E-2</v>
      </c>
      <c r="U96" s="93">
        <f t="shared" si="170"/>
        <v>1.0250533769419867E-2</v>
      </c>
      <c r="V96" s="93">
        <f t="shared" si="171"/>
        <v>6.2805694346836916E-3</v>
      </c>
      <c r="W96" s="93">
        <f t="shared" si="172"/>
        <v>-2.9718746510004612E-3</v>
      </c>
      <c r="X96" s="93">
        <f t="shared" si="173"/>
        <v>-3.9127250261020374E-2</v>
      </c>
      <c r="Y96" s="93">
        <f t="shared" si="174"/>
        <v>5.1261768787110862E-2</v>
      </c>
      <c r="Z96" s="93">
        <f t="shared" si="175"/>
        <v>2.0595190837619182E-2</v>
      </c>
      <c r="AA96" s="93">
        <f t="shared" si="176"/>
        <v>-2.2564285411587948E-2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1.3281447586449779E-2</v>
      </c>
      <c r="F97" s="89">
        <f t="shared" ref="F97:F106" si="178">IF(E23=0,"",F23/E23-1)</f>
        <v>2.2239645869401858E-2</v>
      </c>
      <c r="G97" s="89">
        <f t="shared" ref="G97:G106" si="179">IF(F23=0,"",G23/F23-1)</f>
        <v>1.9354456229746075E-2</v>
      </c>
      <c r="H97" s="89">
        <f t="shared" ref="H97:H106" si="180">IF(G23=0,"",H23/G23-1)</f>
        <v>4.508032182813082E-2</v>
      </c>
      <c r="I97" s="89">
        <f t="shared" ref="I97:I106" si="181">IF(H23=0,"",I23/H23-1)</f>
        <v>2.6308669457176359E-2</v>
      </c>
      <c r="J97" s="89">
        <f t="shared" ref="J97:J106" si="182">IF(I23=0,"",J23/I23-1)</f>
        <v>4.8846200074699198E-2</v>
      </c>
      <c r="K97" s="89">
        <f t="shared" ref="K97:K106" si="183">IF(J23=0,"",K23/J23-1)</f>
        <v>3.2113189446570489E-2</v>
      </c>
      <c r="L97" s="89">
        <f t="shared" ref="L97:L106" si="184">IF(K23=0,"",L23/K23-1)</f>
        <v>-9.578741143179359E-3</v>
      </c>
      <c r="M97" s="89">
        <f t="shared" ref="M97:M106" si="185">IF(L23=0,"",M23/L23-1)</f>
        <v>-4.5717817773360037E-2</v>
      </c>
      <c r="N97" s="89">
        <f t="shared" ref="N97:N106" si="186">IF(M23=0,"",N23/M23-1)</f>
        <v>5.9157484347891476E-2</v>
      </c>
      <c r="O97" s="89">
        <f t="shared" ref="O97:O106" si="187">IF(N23=0,"",O23/N23-1)</f>
        <v>3.6415240238649726E-2</v>
      </c>
      <c r="P97" s="89">
        <f t="shared" ref="P97:P106" si="188">IF(O23=0,"",P23/O23-1)</f>
        <v>-3.9853997281333875E-3</v>
      </c>
      <c r="Q97" s="89">
        <f t="shared" ref="Q97:Q106" si="189">IF(P23=0,"",Q23/P23-1)</f>
        <v>1.1029154560344478E-2</v>
      </c>
      <c r="R97" s="89">
        <f t="shared" ref="R97:R106" si="190">IF(Q23=0,"",R23/Q23-1)</f>
        <v>2.3471547207145615E-2</v>
      </c>
      <c r="S97" s="89">
        <f t="shared" ref="S97:S106" si="191">IF(R23=0,"",S23/R23-1)</f>
        <v>4.2805278415941395E-2</v>
      </c>
      <c r="T97" s="89">
        <f t="shared" ref="T97:T106" si="192">IF(S23=0,"",T23/S23-1)</f>
        <v>1.7650381905675694E-2</v>
      </c>
      <c r="U97" s="89">
        <f t="shared" ref="U97:U106" si="193">IF(T23=0,"",U23/T23-1)</f>
        <v>2.0117462963894717E-2</v>
      </c>
      <c r="V97" s="89">
        <f t="shared" ref="V97:V106" si="194">IF(U23=0,"",V23/U23-1)</f>
        <v>1.8242497211719666E-2</v>
      </c>
      <c r="W97" s="89">
        <f t="shared" ref="W97:W106" si="195">IF(V23=0,"",W23/V23-1)</f>
        <v>2.8104897357507985E-2</v>
      </c>
      <c r="X97" s="89">
        <f t="shared" ref="X97:X106" si="196">IF(W23=0,"",X23/W23-1)</f>
        <v>-2.2646453867239291E-2</v>
      </c>
      <c r="Y97" s="89">
        <f t="shared" ref="Y97:Y106" si="197">IF(X23=0,"",Y23/X23-1)</f>
        <v>5.3648543996017706E-2</v>
      </c>
      <c r="Z97" s="89">
        <f t="shared" ref="Z97:Z108" si="198">IF(Y23=0,"",Z23/Y23-1)</f>
        <v>1.446427562789121E-2</v>
      </c>
      <c r="AA97" s="89">
        <f t="shared" ref="AA97:AA108" si="199">IF(Z23=0,"",AA23/Z23-1)</f>
        <v>3.2539898784096355E-3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1.7749471703885078E-2</v>
      </c>
      <c r="F98" s="83">
        <f t="shared" si="178"/>
        <v>1.0956711711880285E-3</v>
      </c>
      <c r="G98" s="83">
        <f t="shared" si="179"/>
        <v>-4.0299034062968309E-3</v>
      </c>
      <c r="H98" s="83">
        <f t="shared" si="180"/>
        <v>2.4410726913764336E-2</v>
      </c>
      <c r="I98" s="83">
        <f t="shared" si="181"/>
        <v>-0.28867076723341389</v>
      </c>
      <c r="J98" s="83">
        <f t="shared" si="182"/>
        <v>0.11929755764437289</v>
      </c>
      <c r="K98" s="83">
        <f t="shared" si="183"/>
        <v>0.19726282945959395</v>
      </c>
      <c r="L98" s="83">
        <f t="shared" si="184"/>
        <v>-0.13124408583866332</v>
      </c>
      <c r="M98" s="83">
        <f t="shared" si="185"/>
        <v>-0.13364670812213564</v>
      </c>
      <c r="N98" s="83">
        <f t="shared" si="186"/>
        <v>0.26576560697905949</v>
      </c>
      <c r="O98" s="83">
        <f t="shared" si="187"/>
        <v>6.9913858458075184E-2</v>
      </c>
      <c r="P98" s="83">
        <f t="shared" si="188"/>
        <v>-0.11740371349060108</v>
      </c>
      <c r="Q98" s="83">
        <f t="shared" si="189"/>
        <v>-6.4436650647049509E-3</v>
      </c>
      <c r="R98" s="83">
        <f t="shared" si="190"/>
        <v>3.929800494978597E-2</v>
      </c>
      <c r="S98" s="83">
        <f t="shared" si="191"/>
        <v>8.5743029675005467E-2</v>
      </c>
      <c r="T98" s="83">
        <f t="shared" si="192"/>
        <v>4.229423296961965E-3</v>
      </c>
      <c r="U98" s="83">
        <f t="shared" si="193"/>
        <v>5.1728604345658624E-2</v>
      </c>
      <c r="V98" s="83">
        <f t="shared" si="194"/>
        <v>-3.6050714820582863E-2</v>
      </c>
      <c r="W98" s="83">
        <f t="shared" si="195"/>
        <v>3.1013410326481416E-2</v>
      </c>
      <c r="X98" s="83">
        <f t="shared" si="196"/>
        <v>-6.9927695020002734E-2</v>
      </c>
      <c r="Y98" s="83">
        <f t="shared" si="197"/>
        <v>2.1546991949472183E-2</v>
      </c>
      <c r="Z98" s="83">
        <f t="shared" si="198"/>
        <v>8.3301255727112888E-2</v>
      </c>
      <c r="AA98" s="83">
        <f t="shared" si="199"/>
        <v>3.0935794117116888E-2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-1.8433614635798623E-2</v>
      </c>
      <c r="F99" s="83">
        <f t="shared" si="178"/>
        <v>1.1344796648437017E-2</v>
      </c>
      <c r="G99" s="83">
        <f t="shared" si="179"/>
        <v>0.13608235613434472</v>
      </c>
      <c r="H99" s="83">
        <f t="shared" si="180"/>
        <v>0.3352368034714388</v>
      </c>
      <c r="I99" s="83">
        <f t="shared" si="181"/>
        <v>0.52261582199450363</v>
      </c>
      <c r="J99" s="83">
        <f t="shared" si="182"/>
        <v>0.36324513345995202</v>
      </c>
      <c r="K99" s="83">
        <f t="shared" si="183"/>
        <v>2.1277688330219036E-2</v>
      </c>
      <c r="L99" s="83">
        <f t="shared" si="184"/>
        <v>0.17780646933637478</v>
      </c>
      <c r="M99" s="83">
        <f t="shared" si="185"/>
        <v>-0.45416330008029682</v>
      </c>
      <c r="N99" s="83">
        <f t="shared" si="186"/>
        <v>1.3552981030224389</v>
      </c>
      <c r="O99" s="83">
        <f t="shared" si="187"/>
        <v>8.0781475582031304E-2</v>
      </c>
      <c r="P99" s="83">
        <f t="shared" si="188"/>
        <v>-0.18496048083545369</v>
      </c>
      <c r="Q99" s="83">
        <f t="shared" si="189"/>
        <v>-0.21139969432241201</v>
      </c>
      <c r="R99" s="83">
        <f t="shared" si="190"/>
        <v>-0.10120395379128999</v>
      </c>
      <c r="S99" s="83">
        <f t="shared" si="191"/>
        <v>-0.12357356045826628</v>
      </c>
      <c r="T99" s="83">
        <f t="shared" si="192"/>
        <v>5.0120909554570714E-2</v>
      </c>
      <c r="U99" s="83">
        <f t="shared" si="193"/>
        <v>0.52102742746406916</v>
      </c>
      <c r="V99" s="83">
        <f t="shared" si="194"/>
        <v>4.7174515703868547E-2</v>
      </c>
      <c r="W99" s="83">
        <f t="shared" si="195"/>
        <v>0.24534024136813293</v>
      </c>
      <c r="X99" s="83">
        <f t="shared" si="196"/>
        <v>-0.14913576872059564</v>
      </c>
      <c r="Y99" s="83">
        <f t="shared" si="197"/>
        <v>0.67110044946229852</v>
      </c>
      <c r="Z99" s="83">
        <f t="shared" si="198"/>
        <v>-0.2441091997126611</v>
      </c>
      <c r="AA99" s="83">
        <f t="shared" si="199"/>
        <v>-0.12359496366440215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1.8814162542184043E-2</v>
      </c>
      <c r="F100" s="83">
        <f t="shared" si="178"/>
        <v>2.7054482025481441E-2</v>
      </c>
      <c r="G100" s="83">
        <f t="shared" si="179"/>
        <v>2.9043643135640673E-2</v>
      </c>
      <c r="H100" s="83">
        <f t="shared" si="180"/>
        <v>4.8486406142091099E-2</v>
      </c>
      <c r="I100" s="83">
        <f t="shared" si="181"/>
        <v>3.5318113917282901E-2</v>
      </c>
      <c r="J100" s="83">
        <f t="shared" si="182"/>
        <v>4.3848927468153276E-2</v>
      </c>
      <c r="K100" s="83">
        <f t="shared" si="183"/>
        <v>2.6652440745785988E-2</v>
      </c>
      <c r="L100" s="83">
        <f t="shared" si="184"/>
        <v>5.7212517801934482E-3</v>
      </c>
      <c r="M100" s="83">
        <f t="shared" si="185"/>
        <v>-1.9171347543824324E-2</v>
      </c>
      <c r="N100" s="83">
        <f t="shared" si="186"/>
        <v>2.988396191020648E-2</v>
      </c>
      <c r="O100" s="83">
        <f t="shared" si="187"/>
        <v>3.8784524959501798E-2</v>
      </c>
      <c r="P100" s="83">
        <f t="shared" si="188"/>
        <v>9.4982583273433008E-3</v>
      </c>
      <c r="Q100" s="83">
        <f t="shared" si="189"/>
        <v>2.8613929628176438E-2</v>
      </c>
      <c r="R100" s="83">
        <f t="shared" si="190"/>
        <v>2.882163993282294E-2</v>
      </c>
      <c r="S100" s="83">
        <f t="shared" si="191"/>
        <v>3.1941716973447276E-2</v>
      </c>
      <c r="T100" s="83">
        <f t="shared" si="192"/>
        <v>2.0951295543572668E-2</v>
      </c>
      <c r="U100" s="83">
        <f t="shared" si="193"/>
        <v>1.588450385860285E-2</v>
      </c>
      <c r="V100" s="83">
        <f t="shared" si="194"/>
        <v>1.8425869218072322E-2</v>
      </c>
      <c r="W100" s="83">
        <f t="shared" si="195"/>
        <v>2.7223075661983565E-2</v>
      </c>
      <c r="X100" s="83">
        <f t="shared" si="196"/>
        <v>-1.3597060400328709E-2</v>
      </c>
      <c r="Y100" s="83">
        <f t="shared" si="197"/>
        <v>3.2104002118463315E-2</v>
      </c>
      <c r="Z100" s="83">
        <f t="shared" si="198"/>
        <v>-1.2495791509630205E-3</v>
      </c>
      <c r="AA100" s="83">
        <f t="shared" si="199"/>
        <v>2.4143328442777445E-2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1.786547207632716E-2</v>
      </c>
      <c r="F101" s="84">
        <f t="shared" si="178"/>
        <v>4.1052500943162595E-2</v>
      </c>
      <c r="G101" s="84">
        <f t="shared" si="179"/>
        <v>3.6640905235911569E-2</v>
      </c>
      <c r="H101" s="84">
        <f t="shared" si="180"/>
        <v>2.6084811251848583E-2</v>
      </c>
      <c r="I101" s="84">
        <f t="shared" si="181"/>
        <v>2.9865346680396643E-2</v>
      </c>
      <c r="J101" s="84">
        <f t="shared" si="182"/>
        <v>3.343621867594937E-2</v>
      </c>
      <c r="K101" s="84">
        <f t="shared" si="183"/>
        <v>2.2590012280852667E-2</v>
      </c>
      <c r="L101" s="84">
        <f t="shared" si="184"/>
        <v>6.2638303623803182E-3</v>
      </c>
      <c r="M101" s="84">
        <f t="shared" si="185"/>
        <v>-2.0105312856706137E-2</v>
      </c>
      <c r="N101" s="84">
        <f t="shared" si="186"/>
        <v>2.5836606692380082E-2</v>
      </c>
      <c r="O101" s="84">
        <f t="shared" si="187"/>
        <v>3.4383813504240024E-2</v>
      </c>
      <c r="P101" s="84">
        <f t="shared" si="188"/>
        <v>1.8938025073371501E-2</v>
      </c>
      <c r="Q101" s="84">
        <f t="shared" si="189"/>
        <v>2.1564182097542073E-2</v>
      </c>
      <c r="R101" s="84">
        <f t="shared" si="190"/>
        <v>2.1342482808390351E-2</v>
      </c>
      <c r="S101" s="84">
        <f t="shared" si="191"/>
        <v>2.5309348175230229E-2</v>
      </c>
      <c r="T101" s="84">
        <f t="shared" si="192"/>
        <v>4.2647242664625828E-2</v>
      </c>
      <c r="U101" s="84">
        <f t="shared" si="193"/>
        <v>2.5765122824340736E-2</v>
      </c>
      <c r="V101" s="84">
        <f t="shared" si="194"/>
        <v>1.2847813024572163E-2</v>
      </c>
      <c r="W101" s="84">
        <f t="shared" si="195"/>
        <v>1.1801271380848188E-2</v>
      </c>
      <c r="X101" s="84">
        <f t="shared" si="196"/>
        <v>-5.0218191185717131E-2</v>
      </c>
      <c r="Y101" s="84">
        <f t="shared" si="197"/>
        <v>4.0667303044210845E-2</v>
      </c>
      <c r="Z101" s="84">
        <f t="shared" si="198"/>
        <v>2.4215050640452596E-2</v>
      </c>
      <c r="AA101" s="84">
        <f t="shared" si="199"/>
        <v>1.4859488613720773E-2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1.9455342570531053E-2</v>
      </c>
      <c r="F102" s="84">
        <f t="shared" si="178"/>
        <v>6.7658732181621328E-3</v>
      </c>
      <c r="G102" s="84">
        <f t="shared" si="179"/>
        <v>1.9677861156418786E-2</v>
      </c>
      <c r="H102" s="84">
        <f t="shared" si="180"/>
        <v>6.4765554030668193E-2</v>
      </c>
      <c r="I102" s="84">
        <f t="shared" si="181"/>
        <v>3.8325656528145347E-2</v>
      </c>
      <c r="J102" s="84">
        <f t="shared" si="182"/>
        <v>5.4858186136048204E-2</v>
      </c>
      <c r="K102" s="84">
        <f t="shared" si="183"/>
        <v>2.7072971643840704E-2</v>
      </c>
      <c r="L102" s="84">
        <f t="shared" si="184"/>
        <v>8.0448687949117303E-3</v>
      </c>
      <c r="M102" s="84">
        <f t="shared" si="185"/>
        <v>-1.9099516806255878E-2</v>
      </c>
      <c r="N102" s="84">
        <f t="shared" si="186"/>
        <v>2.8494322792283144E-2</v>
      </c>
      <c r="O102" s="84">
        <f t="shared" si="187"/>
        <v>5.0692696432399931E-2</v>
      </c>
      <c r="P102" s="84">
        <f t="shared" si="188"/>
        <v>1.112396748526856E-2</v>
      </c>
      <c r="Q102" s="84">
        <f t="shared" si="189"/>
        <v>3.8207523428833934E-2</v>
      </c>
      <c r="R102" s="84">
        <f t="shared" si="190"/>
        <v>3.1558504827386535E-2</v>
      </c>
      <c r="S102" s="84">
        <f t="shared" si="191"/>
        <v>4.2372942607412423E-2</v>
      </c>
      <c r="T102" s="84">
        <f t="shared" si="192"/>
        <v>6.0060110172384107E-3</v>
      </c>
      <c r="U102" s="84">
        <f t="shared" si="193"/>
        <v>3.3439308422209546E-3</v>
      </c>
      <c r="V102" s="84">
        <f t="shared" si="194"/>
        <v>3.8252556731724008E-2</v>
      </c>
      <c r="W102" s="84">
        <f t="shared" si="195"/>
        <v>3.8844768083617698E-2</v>
      </c>
      <c r="X102" s="84">
        <f t="shared" si="196"/>
        <v>1.2984175713075974E-2</v>
      </c>
      <c r="Y102" s="84">
        <f t="shared" si="197"/>
        <v>3.4442180842330083E-2</v>
      </c>
      <c r="Z102" s="84">
        <f t="shared" si="198"/>
        <v>-9.9277320344048903E-4</v>
      </c>
      <c r="AA102" s="84">
        <f t="shared" si="199"/>
        <v>3.1181370942744868E-2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1.9511525490059078E-2</v>
      </c>
      <c r="F103" s="84">
        <f t="shared" si="178"/>
        <v>4.4973794407136447E-2</v>
      </c>
      <c r="G103" s="84">
        <f t="shared" si="179"/>
        <v>3.3670851829605386E-2</v>
      </c>
      <c r="H103" s="84">
        <f t="shared" si="180"/>
        <v>6.3954313394177342E-2</v>
      </c>
      <c r="I103" s="84">
        <f t="shared" si="181"/>
        <v>4.0954798912073986E-2</v>
      </c>
      <c r="J103" s="84">
        <f t="shared" si="182"/>
        <v>4.1392672087929183E-2</v>
      </c>
      <c r="K103" s="84">
        <f t="shared" si="183"/>
        <v>3.5164997532074249E-2</v>
      </c>
      <c r="L103" s="84">
        <f t="shared" si="184"/>
        <v>-1.3010981233155805E-3</v>
      </c>
      <c r="M103" s="84">
        <f t="shared" si="185"/>
        <v>-1.7162709853990044E-2</v>
      </c>
      <c r="N103" s="84">
        <f t="shared" si="186"/>
        <v>4.2809471499461349E-2</v>
      </c>
      <c r="O103" s="84">
        <f t="shared" si="187"/>
        <v>1.9566277455918879E-2</v>
      </c>
      <c r="P103" s="84">
        <f t="shared" si="188"/>
        <v>-1.6636860975070888E-2</v>
      </c>
      <c r="Q103" s="84">
        <f t="shared" si="189"/>
        <v>2.0605656902648928E-2</v>
      </c>
      <c r="R103" s="84">
        <f t="shared" si="190"/>
        <v>3.9640492376728398E-2</v>
      </c>
      <c r="S103" s="84">
        <f t="shared" si="191"/>
        <v>2.0217459779669378E-2</v>
      </c>
      <c r="T103" s="84">
        <f t="shared" si="192"/>
        <v>9.3810794361095518E-3</v>
      </c>
      <c r="U103" s="84">
        <f t="shared" si="193"/>
        <v>2.5159251653770864E-2</v>
      </c>
      <c r="V103" s="84">
        <f t="shared" si="194"/>
        <v>-1.9864844561722994E-2</v>
      </c>
      <c r="W103" s="84">
        <f t="shared" si="195"/>
        <v>3.4224907910182845E-2</v>
      </c>
      <c r="X103" s="84">
        <f t="shared" si="196"/>
        <v>3.500608366354685E-3</v>
      </c>
      <c r="Y103" s="84">
        <f t="shared" si="197"/>
        <v>5.2919801568811486E-3</v>
      </c>
      <c r="Z103" s="84">
        <f t="shared" si="198"/>
        <v>-6.423372681976669E-2</v>
      </c>
      <c r="AA103" s="84">
        <f t="shared" si="199"/>
        <v>2.7176116425263519E-2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0.16909420719020773</v>
      </c>
      <c r="F104" s="83">
        <f t="shared" si="178"/>
        <v>-3.2810287558070028E-2</v>
      </c>
      <c r="G104" s="83">
        <f t="shared" si="179"/>
        <v>8.8000525638541216E-2</v>
      </c>
      <c r="H104" s="83">
        <f t="shared" si="180"/>
        <v>0.14921484562873033</v>
      </c>
      <c r="I104" s="83">
        <f t="shared" si="181"/>
        <v>4.6648449013183768E-2</v>
      </c>
      <c r="J104" s="83">
        <f t="shared" si="182"/>
        <v>2.3518681667221042E-2</v>
      </c>
      <c r="K104" s="83">
        <f t="shared" si="183"/>
        <v>-2.1256075802392305E-2</v>
      </c>
      <c r="L104" s="83">
        <f t="shared" si="184"/>
        <v>0.23211357256353971</v>
      </c>
      <c r="M104" s="83">
        <f t="shared" si="185"/>
        <v>-1.4294357889427345E-2</v>
      </c>
      <c r="N104" s="83">
        <f t="shared" si="186"/>
        <v>6.5830809208599739E-2</v>
      </c>
      <c r="O104" s="83">
        <f t="shared" si="187"/>
        <v>-1.9056657750322725E-2</v>
      </c>
      <c r="P104" s="83">
        <f t="shared" si="188"/>
        <v>1.0179751799635151E-2</v>
      </c>
      <c r="Q104" s="83">
        <f t="shared" si="189"/>
        <v>-4.6555707736777086E-2</v>
      </c>
      <c r="R104" s="83">
        <f t="shared" si="190"/>
        <v>-6.7894907267120885E-3</v>
      </c>
      <c r="S104" s="83">
        <f t="shared" si="191"/>
        <v>-9.8435633559139535E-2</v>
      </c>
      <c r="T104" s="83">
        <f t="shared" si="192"/>
        <v>-4.4738442474822726E-2</v>
      </c>
      <c r="U104" s="83">
        <f t="shared" si="193"/>
        <v>4.0080642878376205E-2</v>
      </c>
      <c r="V104" s="83">
        <f t="shared" si="194"/>
        <v>-4.7160729898006237E-2</v>
      </c>
      <c r="W104" s="83">
        <f t="shared" si="195"/>
        <v>0.13818276315515954</v>
      </c>
      <c r="X104" s="83">
        <f t="shared" si="196"/>
        <v>-0.10561559765624706</v>
      </c>
      <c r="Y104" s="83">
        <f t="shared" si="197"/>
        <v>0.21442221913449955</v>
      </c>
      <c r="Z104" s="83">
        <f t="shared" si="198"/>
        <v>0.32239386552068638</v>
      </c>
      <c r="AA104" s="83">
        <f t="shared" si="199"/>
        <v>-0.1878135641072276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8.9251686088849036E-2</v>
      </c>
      <c r="F105" s="83">
        <f t="shared" si="178"/>
        <v>5.57469369213488E-2</v>
      </c>
      <c r="G105" s="83">
        <f t="shared" si="179"/>
        <v>3.5218734270865859E-2</v>
      </c>
      <c r="H105" s="83">
        <f t="shared" si="180"/>
        <v>0.10254844336173097</v>
      </c>
      <c r="I105" s="83">
        <f t="shared" si="181"/>
        <v>2.1530224284219024E-2</v>
      </c>
      <c r="J105" s="83">
        <f t="shared" si="182"/>
        <v>0.12524805657812843</v>
      </c>
      <c r="K105" s="83">
        <f t="shared" si="183"/>
        <v>9.8514567852068469E-2</v>
      </c>
      <c r="L105" s="83">
        <f t="shared" si="184"/>
        <v>-4.3568251184508466E-2</v>
      </c>
      <c r="M105" s="83">
        <f t="shared" si="185"/>
        <v>9.2373134047549765E-3</v>
      </c>
      <c r="N105" s="83">
        <f t="shared" si="186"/>
        <v>3.2630609185281267E-2</v>
      </c>
      <c r="O105" s="83">
        <f t="shared" si="187"/>
        <v>6.7711830244933324E-2</v>
      </c>
      <c r="P105" s="83">
        <f t="shared" si="188"/>
        <v>2.0808913162463361E-2</v>
      </c>
      <c r="Q105" s="83">
        <f t="shared" si="189"/>
        <v>-4.8690216833476851E-3</v>
      </c>
      <c r="R105" s="83">
        <f t="shared" si="190"/>
        <v>4.8569793676949136E-2</v>
      </c>
      <c r="S105" s="83">
        <f t="shared" si="191"/>
        <v>9.0850268296554848E-2</v>
      </c>
      <c r="T105" s="83">
        <f t="shared" si="192"/>
        <v>4.4850515898975596E-2</v>
      </c>
      <c r="U105" s="83">
        <f t="shared" si="193"/>
        <v>4.9605641781711451E-2</v>
      </c>
      <c r="V105" s="83">
        <f t="shared" si="194"/>
        <v>3.403841915862027E-2</v>
      </c>
      <c r="W105" s="83">
        <f t="shared" si="195"/>
        <v>2.1603608389132889E-2</v>
      </c>
      <c r="X105" s="83">
        <f t="shared" si="196"/>
        <v>-3.9235574808289542E-3</v>
      </c>
      <c r="Y105" s="83">
        <f t="shared" si="197"/>
        <v>4.690251438340054E-2</v>
      </c>
      <c r="Z105" s="83">
        <f t="shared" si="198"/>
        <v>3.067913110577436E-2</v>
      </c>
      <c r="AA105" s="83">
        <f t="shared" si="199"/>
        <v>-3.7443465758221661E-2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-3.46572453324272E-2</v>
      </c>
      <c r="F106" s="83">
        <f t="shared" si="178"/>
        <v>7.7274173173889071E-3</v>
      </c>
      <c r="G106" s="83">
        <f t="shared" si="179"/>
        <v>-2.4630930743573698E-2</v>
      </c>
      <c r="H106" s="83">
        <f t="shared" si="180"/>
        <v>4.0490860890367575E-3</v>
      </c>
      <c r="I106" s="83">
        <f t="shared" si="181"/>
        <v>1.4194400396134954E-2</v>
      </c>
      <c r="J106" s="83">
        <f t="shared" si="182"/>
        <v>3.983938574193413E-2</v>
      </c>
      <c r="K106" s="83">
        <f t="shared" si="183"/>
        <v>3.053777794327317E-2</v>
      </c>
      <c r="L106" s="83">
        <f t="shared" si="184"/>
        <v>-8.8762716894355442E-2</v>
      </c>
      <c r="M106" s="83">
        <f t="shared" si="185"/>
        <v>-0.15950198938924975</v>
      </c>
      <c r="N106" s="83">
        <f t="shared" si="186"/>
        <v>0.16291809793732659</v>
      </c>
      <c r="O106" s="83">
        <f t="shared" si="187"/>
        <v>2.1575079555786969E-2</v>
      </c>
      <c r="P106" s="83">
        <f t="shared" si="188"/>
        <v>-5.5144029259750926E-2</v>
      </c>
      <c r="Q106" s="83">
        <f t="shared" si="189"/>
        <v>-4.292827374274355E-2</v>
      </c>
      <c r="R106" s="83">
        <f t="shared" si="190"/>
        <v>-4.2691961806152756E-3</v>
      </c>
      <c r="S106" s="83">
        <f t="shared" si="191"/>
        <v>0.11274943163512274</v>
      </c>
      <c r="T106" s="83">
        <f t="shared" si="192"/>
        <v>1.444258373797247E-3</v>
      </c>
      <c r="U106" s="83">
        <f t="shared" si="193"/>
        <v>7.9175099892558887E-3</v>
      </c>
      <c r="V106" s="83">
        <f t="shared" si="194"/>
        <v>2.5788182083045008E-2</v>
      </c>
      <c r="W106" s="83">
        <f t="shared" si="195"/>
        <v>7.9190801847472958E-3</v>
      </c>
      <c r="X106" s="83">
        <f t="shared" si="196"/>
        <v>-5.1192824608493281E-2</v>
      </c>
      <c r="Y106" s="83">
        <f t="shared" si="197"/>
        <v>0.1174274176365131</v>
      </c>
      <c r="Z106" s="83">
        <f t="shared" si="198"/>
        <v>4.1431883770903566E-2</v>
      </c>
      <c r="AA106" s="83">
        <f t="shared" si="199"/>
        <v>-2.8906260556858743E-2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4.1564033622961905E-2</v>
      </c>
      <c r="F107" s="87">
        <f t="shared" ref="F107:F108" si="201">IF(E33=0,"",F33/E33-1)</f>
        <v>-1.3505901517360863E-2</v>
      </c>
      <c r="G107" s="87">
        <f t="shared" ref="G107:G108" si="202">IF(F33=0,"",G33/F33-1)</f>
        <v>-3.9917927882775261E-2</v>
      </c>
      <c r="H107" s="87">
        <f t="shared" ref="H107:H108" si="203">IF(G33=0,"",H33/G33-1)</f>
        <v>0.12571819371816084</v>
      </c>
      <c r="I107" s="87">
        <f t="shared" ref="I107:I108" si="204">IF(H33=0,"",I33/H33-1)</f>
        <v>6.6803030261542551E-2</v>
      </c>
      <c r="J107" s="87">
        <f t="shared" ref="J107:J108" si="205">IF(I33=0,"",J33/I33-1)</f>
        <v>6.40073252753528E-2</v>
      </c>
      <c r="K107" s="87">
        <f t="shared" ref="K107:K108" si="206">IF(J33=0,"",K33/J33-1)</f>
        <v>0.29501946946615676</v>
      </c>
      <c r="L107" s="87">
        <f t="shared" ref="L107:L108" si="207">IF(K33=0,"",L33/K33-1)</f>
        <v>-0.2656059164438902</v>
      </c>
      <c r="M107" s="87">
        <f t="shared" ref="M107:M108" si="208">IF(L33=0,"",M33/L33-1)</f>
        <v>-0.63371864503907749</v>
      </c>
      <c r="N107" s="87">
        <f t="shared" ref="N107:N108" si="209">IF(M33=0,"",N33/M33-1)</f>
        <v>1.9349439396701937</v>
      </c>
      <c r="O107" s="87">
        <f t="shared" ref="O107:O108" si="210">IF(N33=0,"",O33/N33-1)</f>
        <v>-8.2487033135780763E-3</v>
      </c>
      <c r="P107" s="87">
        <f t="shared" ref="P107:P108" si="211">IF(O33=0,"",P33/O33-1)</f>
        <v>-5.0772612427534392E-2</v>
      </c>
      <c r="Q107" s="87">
        <f t="shared" ref="Q107:Q108" si="212">IF(P33=0,"",Q33/P33-1)</f>
        <v>8.0858531738238648E-2</v>
      </c>
      <c r="R107" s="87">
        <f t="shared" ref="R107:R108" si="213">IF(Q33=0,"",R33/Q33-1)</f>
        <v>4.2495237136334074E-2</v>
      </c>
      <c r="S107" s="87">
        <f t="shared" ref="S107:S108" si="214">IF(R33=0,"",S33/R33-1)</f>
        <v>-2.9424902069596137E-2</v>
      </c>
      <c r="T107" s="87">
        <f t="shared" ref="T107:T108" si="215">IF(S33=0,"",T33/S33-1)</f>
        <v>3.8135133875448091E-2</v>
      </c>
      <c r="U107" s="87">
        <f t="shared" ref="U107:U108" si="216">IF(T33=0,"",U33/T33-1)</f>
        <v>-7.9968754427802713E-2</v>
      </c>
      <c r="V107" s="87">
        <f t="shared" ref="V107:V108" si="217">IF(U33=0,"",V33/U33-1)</f>
        <v>0.25562649684316541</v>
      </c>
      <c r="W107" s="87">
        <f t="shared" ref="W107:W108" si="218">IF(V33=0,"",W33/V33-1)</f>
        <v>-4.857927585595001E-3</v>
      </c>
      <c r="X107" s="87">
        <f t="shared" ref="X107:X108" si="219">IF(W33=0,"",X33/W33-1)</f>
        <v>9.2063344966914817E-2</v>
      </c>
      <c r="Y107" s="87">
        <f t="shared" ref="Y107:Y108" si="220">IF(X33=0,"",Y33/X33-1)</f>
        <v>-8.5385847223194866E-2</v>
      </c>
      <c r="Z107" s="87">
        <f t="shared" si="198"/>
        <v>4.8095265638862239E-2</v>
      </c>
      <c r="AA107" s="87">
        <f t="shared" si="199"/>
        <v>-6.8624446217600554E-2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4.1564033622962127E-2</v>
      </c>
      <c r="F108" s="89">
        <f t="shared" si="201"/>
        <v>-1.3505901517361085E-2</v>
      </c>
      <c r="G108" s="89">
        <f t="shared" si="202"/>
        <v>-3.991792788277515E-2</v>
      </c>
      <c r="H108" s="89">
        <f t="shared" si="203"/>
        <v>0.12571819371816084</v>
      </c>
      <c r="I108" s="89">
        <f t="shared" si="204"/>
        <v>6.6803030261542329E-2</v>
      </c>
      <c r="J108" s="89">
        <f t="shared" si="205"/>
        <v>6.40073252753528E-2</v>
      </c>
      <c r="K108" s="89">
        <f t="shared" si="206"/>
        <v>0.29501946946615676</v>
      </c>
      <c r="L108" s="89">
        <f t="shared" si="207"/>
        <v>-0.2656059164438902</v>
      </c>
      <c r="M108" s="89">
        <f t="shared" si="208"/>
        <v>-0.69385491636630625</v>
      </c>
      <c r="N108" s="89">
        <f t="shared" si="209"/>
        <v>2.3507343924138828</v>
      </c>
      <c r="O108" s="89">
        <f t="shared" si="210"/>
        <v>-2.417805191861544E-2</v>
      </c>
      <c r="P108" s="89">
        <f t="shared" si="211"/>
        <v>-9.9864371298205135E-2</v>
      </c>
      <c r="Q108" s="89">
        <f t="shared" si="212"/>
        <v>0.13621526218684621</v>
      </c>
      <c r="R108" s="89">
        <f t="shared" si="213"/>
        <v>6.0071914350408262E-2</v>
      </c>
      <c r="S108" s="89">
        <f t="shared" si="214"/>
        <v>3.9364664264629479E-3</v>
      </c>
      <c r="T108" s="89">
        <f t="shared" si="215"/>
        <v>9.8799241091570567E-2</v>
      </c>
      <c r="U108" s="89">
        <f t="shared" si="216"/>
        <v>-0.14479865463064734</v>
      </c>
      <c r="V108" s="89">
        <f t="shared" si="217"/>
        <v>0.21702722466207769</v>
      </c>
      <c r="W108" s="89">
        <f t="shared" si="218"/>
        <v>-3.9443844447442089E-2</v>
      </c>
      <c r="X108" s="89">
        <f t="shared" si="219"/>
        <v>0.15250976390429316</v>
      </c>
      <c r="Y108" s="89">
        <f t="shared" si="220"/>
        <v>-0.20167030565933597</v>
      </c>
      <c r="Z108" s="89">
        <f t="shared" si="198"/>
        <v>0.10045443348949101</v>
      </c>
      <c r="AA108" s="89">
        <f t="shared" si="199"/>
        <v>-0.1825933667724553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4.1564033622961682E-2</v>
      </c>
      <c r="F109" s="89">
        <f t="shared" ref="F109" si="222">IF(E37=0,"",F37/E37-1)</f>
        <v>-1.3505901517360641E-2</v>
      </c>
      <c r="G109" s="89">
        <f t="shared" ref="G109" si="223">IF(F37=0,"",G37/F37-1)</f>
        <v>-3.9917927882775595E-2</v>
      </c>
      <c r="H109" s="89">
        <f t="shared" ref="H109" si="224">IF(G37=0,"",H37/G37-1)</f>
        <v>0.12571819371816084</v>
      </c>
      <c r="I109" s="89">
        <f t="shared" ref="I109" si="225">IF(H37=0,"",I37/H37-1)</f>
        <v>6.6803030261543439E-2</v>
      </c>
      <c r="J109" s="89">
        <f t="shared" ref="J109" si="226">IF(I37=0,"",J37/I37-1)</f>
        <v>6.4007325275353022E-2</v>
      </c>
      <c r="K109" s="89">
        <f t="shared" ref="K109" si="227">IF(J37=0,"",K37/J37-1)</f>
        <v>0.2950194694661572</v>
      </c>
      <c r="L109" s="89">
        <f t="shared" ref="L109" si="228">IF(K37=0,"",L37/K37-1)</f>
        <v>-0.26560591644389031</v>
      </c>
      <c r="M109" s="89">
        <f t="shared" ref="M109" si="229">IF(L37=0,"",M37/L37-1)</f>
        <v>-0.40095529237722261</v>
      </c>
      <c r="N109" s="89">
        <f t="shared" ref="N109" si="230">IF(M37=0,"",N37/M37-1)</f>
        <v>1.1124727876145806</v>
      </c>
      <c r="O109" s="89">
        <f t="shared" ref="O109" si="231">IF(N37=0,"",O37/N37-1)</f>
        <v>4.1730929135313177E-2</v>
      </c>
      <c r="P109" s="89">
        <f t="shared" ref="P109" si="232">IF(O37=0,"",P37/O37-1)</f>
        <v>9.351154813003637E-2</v>
      </c>
      <c r="Q109" s="89">
        <f t="shared" ref="Q109" si="233">IF(P37=0,"",Q37/P37-1)</f>
        <v>-5.3067522672962553E-2</v>
      </c>
      <c r="R109" s="89">
        <f t="shared" ref="R109" si="234">IF(Q37=0,"",R37/Q37-1)</f>
        <v>-8.5285895623856689E-3</v>
      </c>
      <c r="S109" s="89">
        <f t="shared" ref="S109" si="235">IF(R37=0,"",S37/R37-1)</f>
        <v>-0.13297135816855732</v>
      </c>
      <c r="T109" s="89">
        <f t="shared" ref="T109" si="236">IF(S37=0,"",T37/S37-1)</f>
        <v>-0.17988468681652792</v>
      </c>
      <c r="U109" s="89">
        <f t="shared" ref="U109" si="237">IF(T37=0,"",U37/T37-1)</f>
        <v>0.23219534138105202</v>
      </c>
      <c r="V109" s="89">
        <f t="shared" ref="V109" si="238">IF(U37=0,"",V37/U37-1)</f>
        <v>0.3846222836926747</v>
      </c>
      <c r="W109" s="89">
        <f t="shared" ref="W109" si="239">IF(V37=0,"",W37/V37-1)</f>
        <v>9.6735281777104554E-2</v>
      </c>
      <c r="X109" s="89">
        <f t="shared" ref="X109" si="240">IF(W37=0,"",X37/W37-1)</f>
        <v>-6.3446149027167276E-2</v>
      </c>
      <c r="Y109" s="89">
        <f t="shared" ref="Y109" si="241">IF(X37=0,"",Y37/X37-1)</f>
        <v>0.28275996572021245</v>
      </c>
      <c r="Z109" s="89">
        <f t="shared" ref="Z109" si="242">IF(Y37=0,"",Z37/Y37-1)</f>
        <v>-5.5068648788160091E-2</v>
      </c>
      <c r="AA109" s="89">
        <f t="shared" ref="AA109" si="243">IF(Z37=0,"",AA37/Z37-1)</f>
        <v>0.19288857487873723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8.9272830824302485E-2</v>
      </c>
      <c r="F110" s="89">
        <f t="shared" ref="F110:F111" si="245">IF(E43=0,"",F43/E43-1)</f>
        <v>6.699789144479662E-2</v>
      </c>
      <c r="G110" s="89">
        <f t="shared" ref="G110:G111" si="246">IF(F43=0,"",G43/F43-1)</f>
        <v>-6.323026113793484E-2</v>
      </c>
      <c r="H110" s="89">
        <f t="shared" ref="H110:H111" si="247">IF(G43=0,"",H43/G43-1)</f>
        <v>-3.2269813200154318E-2</v>
      </c>
      <c r="I110" s="89">
        <f t="shared" ref="I110:I111" si="248">IF(H43=0,"",I43/H43-1)</f>
        <v>6.6551468485086973E-2</v>
      </c>
      <c r="J110" s="89">
        <f t="shared" ref="J110:J111" si="249">IF(I43=0,"",J43/I43-1)</f>
        <v>2.6603153271446134E-2</v>
      </c>
      <c r="K110" s="89">
        <f t="shared" ref="K110:K111" si="250">IF(J43=0,"",K43/J43-1)</f>
        <v>-4.4757798392994763E-2</v>
      </c>
      <c r="L110" s="89">
        <f t="shared" ref="L110:L111" si="251">IF(K43=0,"",L43/K43-1)</f>
        <v>-0.10697489615848765</v>
      </c>
      <c r="M110" s="89">
        <f t="shared" ref="M110:M111" si="252">IF(L43=0,"",M43/L43-1)</f>
        <v>0.15886945805400865</v>
      </c>
      <c r="N110" s="89">
        <f t="shared" ref="N110:N111" si="253">IF(M43=0,"",N43/M43-1)</f>
        <v>-2.0432413029801699E-3</v>
      </c>
      <c r="O110" s="89">
        <f t="shared" ref="O110:O111" si="254">IF(N43=0,"",O43/N43-1)</f>
        <v>-8.0444904130934192E-2</v>
      </c>
      <c r="P110" s="89">
        <f t="shared" ref="P110:P111" si="255">IF(O43=0,"",P43/O43-1)</f>
        <v>-3.3210749049402688E-2</v>
      </c>
      <c r="Q110" s="89">
        <f t="shared" ref="Q110:Q111" si="256">IF(P43=0,"",Q43/P43-1)</f>
        <v>-0.10665329420469238</v>
      </c>
      <c r="R110" s="89">
        <f t="shared" ref="R110:R111" si="257">IF(Q43=0,"",R43/Q43-1)</f>
        <v>-0.14431723337412694</v>
      </c>
      <c r="S110" s="89">
        <f t="shared" ref="S110:S111" si="258">IF(R43=0,"",S43/R43-1)</f>
        <v>0.18743979985613457</v>
      </c>
      <c r="T110" s="89">
        <f t="shared" ref="T110:T111" si="259">IF(S43=0,"",T43/S43-1)</f>
        <v>-7.1672106404611635E-2</v>
      </c>
      <c r="U110" s="89">
        <f t="shared" ref="U110:U111" si="260">IF(T43=0,"",U43/T43-1)</f>
        <v>-6.665523028154019E-2</v>
      </c>
      <c r="V110" s="89">
        <f t="shared" ref="V110:V111" si="261">IF(U43=0,"",V43/U43-1)</f>
        <v>4.7586335519068879E-2</v>
      </c>
      <c r="W110" s="89">
        <f t="shared" ref="W110:W111" si="262">IF(V43=0,"",W43/V43-1)</f>
        <v>0.16696347270227552</v>
      </c>
      <c r="X110" s="89">
        <f t="shared" ref="X110:X111" si="263">IF(W43=0,"",X43/W43-1)</f>
        <v>4.3728422404444522E-2</v>
      </c>
      <c r="Y110" s="89">
        <f t="shared" ref="Y110:Y111" si="264">IF(X43=0,"",Y43/X43-1)</f>
        <v>-7.3946879402585708E-2</v>
      </c>
      <c r="Z110" s="89">
        <f t="shared" ref="Z110:Z111" si="265">IF(Y43=0,"",Z43/Y43-1)</f>
        <v>0.30282100070429374</v>
      </c>
      <c r="AA110" s="89">
        <f t="shared" ref="AA110:AA111" si="266">IF(Z43=0,"",AA43/Z43-1)</f>
        <v>0.11551504241877542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8.1926487426603689E-2</v>
      </c>
      <c r="F111" s="89">
        <f t="shared" si="245"/>
        <v>3.3857330585073786E-2</v>
      </c>
      <c r="G111" s="89">
        <f t="shared" si="246"/>
        <v>-4.8805271107701387E-2</v>
      </c>
      <c r="H111" s="89">
        <f t="shared" si="247"/>
        <v>-2.2024564038017003E-2</v>
      </c>
      <c r="I111" s="89">
        <f t="shared" si="248"/>
        <v>4.7102425668051895E-2</v>
      </c>
      <c r="J111" s="89">
        <f t="shared" si="249"/>
        <v>1.0120640241642054E-2</v>
      </c>
      <c r="K111" s="89">
        <f t="shared" si="250"/>
        <v>-3.9278012136831908E-2</v>
      </c>
      <c r="L111" s="89">
        <f t="shared" si="251"/>
        <v>-6.8533520544583282E-2</v>
      </c>
      <c r="M111" s="89">
        <f t="shared" si="252"/>
        <v>0.13038891382483686</v>
      </c>
      <c r="N111" s="89">
        <f t="shared" si="253"/>
        <v>-4.111555277001866E-2</v>
      </c>
      <c r="O111" s="89">
        <f t="shared" si="254"/>
        <v>-7.4502960248626349E-2</v>
      </c>
      <c r="P111" s="89">
        <f t="shared" si="255"/>
        <v>-3.7788345632323805E-2</v>
      </c>
      <c r="Q111" s="89">
        <f t="shared" si="256"/>
        <v>-7.5955027048815404E-2</v>
      </c>
      <c r="R111" s="89">
        <f t="shared" si="257"/>
        <v>-8.6427317327414932E-2</v>
      </c>
      <c r="S111" s="89">
        <f t="shared" si="258"/>
        <v>0.11982785544961594</v>
      </c>
      <c r="T111" s="89">
        <f t="shared" si="259"/>
        <v>-4.8554379299350803E-2</v>
      </c>
      <c r="U111" s="89">
        <f t="shared" si="260"/>
        <v>-4.4997560323117747E-2</v>
      </c>
      <c r="V111" s="89">
        <f t="shared" si="261"/>
        <v>4.4403526432227558E-2</v>
      </c>
      <c r="W111" s="89">
        <f t="shared" si="262"/>
        <v>0.10824515555650649</v>
      </c>
      <c r="X111" s="89">
        <f t="shared" si="263"/>
        <v>1.7120419425065814E-2</v>
      </c>
      <c r="Y111" s="89">
        <f t="shared" si="264"/>
        <v>-6.7798632868387054E-2</v>
      </c>
      <c r="Z111" s="89">
        <f t="shared" si="265"/>
        <v>0.18318914686461163</v>
      </c>
      <c r="AA111" s="89">
        <f t="shared" si="266"/>
        <v>1.3168098377445814E-2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0.11865820441509745</v>
      </c>
      <c r="F112" s="89">
        <f t="shared" ref="F112:F113" si="268">IF(E47=0,"",F47/E47-1)</f>
        <v>0.19520738550041772</v>
      </c>
      <c r="G112" s="89">
        <f t="shared" ref="G112:G113" si="269">IF(F47=0,"",G47/F47-1)</f>
        <v>-0.11150202823081001</v>
      </c>
      <c r="H112" s="89">
        <f t="shared" ref="H112:H113" si="270">IF(G47=0,"",H47/G47-1)</f>
        <v>-6.8973796172118518E-2</v>
      </c>
      <c r="I112" s="89">
        <f t="shared" ref="I112:I113" si="271">IF(H47=0,"",I47/H47-1)</f>
        <v>0.13974200733727793</v>
      </c>
      <c r="J112" s="89">
        <f t="shared" ref="J112:J113" si="272">IF(I47=0,"",J47/I47-1)</f>
        <v>8.358844163024326E-2</v>
      </c>
      <c r="K112" s="89">
        <f t="shared" ref="K112:K113" si="273">IF(J47=0,"",K47/J47-1)</f>
        <v>-6.2418657372771524E-2</v>
      </c>
      <c r="L112" s="89">
        <f t="shared" ref="L112:L113" si="274">IF(K47=0,"",L47/K47-1)</f>
        <v>-0.23392582952971519</v>
      </c>
      <c r="M112" s="89">
        <f t="shared" ref="M112:M113" si="275">IF(L47=0,"",M47/L47-1)</f>
        <v>0.27323143987369169</v>
      </c>
      <c r="N112" s="89">
        <f t="shared" ref="N112:N113" si="276">IF(M47=0,"",N47/M47-1)</f>
        <v>0.13724774982894972</v>
      </c>
      <c r="O112" s="89">
        <f t="shared" ref="O112:O113" si="277">IF(N47=0,"",O47/N47-1)</f>
        <v>-9.830540601944282E-2</v>
      </c>
      <c r="P112" s="89">
        <f t="shared" ref="P112:P113" si="278">IF(O47=0,"",P47/O47-1)</f>
        <v>-1.9088033982944119E-2</v>
      </c>
      <c r="Q112" s="89">
        <f t="shared" ref="Q112:Q113" si="279">IF(P47=0,"",Q47/P47-1)</f>
        <v>-0.19955744595561131</v>
      </c>
      <c r="R112" s="89">
        <f t="shared" ref="R112:R113" si="280">IF(Q47=0,"",R47/Q47-1)</f>
        <v>-0.34656657685880565</v>
      </c>
      <c r="S112" s="89">
        <f t="shared" ref="S112:S113" si="281">IF(R47=0,"",S47/R47-1)</f>
        <v>0.5176947885321872</v>
      </c>
      <c r="T112" s="89">
        <f t="shared" ref="T112:T113" si="282">IF(S47=0,"",T47/S47-1)</f>
        <v>-0.15498993003134953</v>
      </c>
      <c r="U112" s="89">
        <f t="shared" ref="U112:U113" si="283">IF(T47=0,"",U47/T47-1)</f>
        <v>-0.15454262739730651</v>
      </c>
      <c r="V112" s="89">
        <f t="shared" ref="V112:V113" si="284">IF(U47=0,"",V47/U47-1)</f>
        <v>6.2175762207318241E-2</v>
      </c>
      <c r="W112" s="89">
        <f t="shared" ref="W112:W113" si="285">IF(V47=0,"",W47/V47-1)</f>
        <v>0.43161425345764748</v>
      </c>
      <c r="X112" s="89">
        <f t="shared" ref="X112:X113" si="286">IF(W47=0,"",X47/W47-1)</f>
        <v>0.13656554846895563</v>
      </c>
      <c r="Y112" s="89">
        <f t="shared" ref="Y112:Y113" si="287">IF(X47=0,"",Y47/X47-1)</f>
        <v>-9.3144109323658797E-2</v>
      </c>
      <c r="Z112" s="89">
        <f t="shared" ref="Z112:Z113" si="288">IF(Y47=0,"",Z47/Y47-1)</f>
        <v>0.68679832906515315</v>
      </c>
      <c r="AA112" s="89">
        <f t="shared" ref="AA112:AA113" si="289">IF(Z47=0,"",AA47/Z47-1)</f>
        <v>0.34593741532297928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5.945639627019883E-2</v>
      </c>
      <c r="F113" s="89">
        <f t="shared" si="268"/>
        <v>2.5286181513676453E-2</v>
      </c>
      <c r="G113" s="89">
        <f t="shared" si="269"/>
        <v>-4.7524575405761382E-2</v>
      </c>
      <c r="H113" s="89">
        <f t="shared" si="270"/>
        <v>9.5486188138631523E-3</v>
      </c>
      <c r="I113" s="89">
        <f t="shared" si="271"/>
        <v>7.3350981995993658E-2</v>
      </c>
      <c r="J113" s="89">
        <f t="shared" si="272"/>
        <v>6.7488018999958044E-2</v>
      </c>
      <c r="K113" s="89">
        <f t="shared" si="273"/>
        <v>0.12867173081753291</v>
      </c>
      <c r="L113" s="89">
        <f t="shared" si="274"/>
        <v>1.0138737803645492E-2</v>
      </c>
      <c r="M113" s="89">
        <f t="shared" si="275"/>
        <v>-0.21047804403310721</v>
      </c>
      <c r="N113" s="89">
        <f t="shared" si="276"/>
        <v>0.17820688085302105</v>
      </c>
      <c r="O113" s="89">
        <f t="shared" si="277"/>
        <v>0.23735540568560798</v>
      </c>
      <c r="P113" s="89">
        <f t="shared" si="278"/>
        <v>-5.6603805762420745E-3</v>
      </c>
      <c r="Q113" s="89">
        <f t="shared" si="279"/>
        <v>-0.14435304956605088</v>
      </c>
      <c r="R113" s="89">
        <f t="shared" si="280"/>
        <v>-9.7591829016137055E-3</v>
      </c>
      <c r="S113" s="89">
        <f t="shared" si="281"/>
        <v>2.8522295277943366E-2</v>
      </c>
      <c r="T113" s="89">
        <f t="shared" si="282"/>
        <v>1.2127837474655401E-2</v>
      </c>
      <c r="U113" s="89">
        <f t="shared" si="283"/>
        <v>6.4228917292865617E-2</v>
      </c>
      <c r="V113" s="89">
        <f t="shared" si="284"/>
        <v>-7.4921348635572205E-2</v>
      </c>
      <c r="W113" s="89">
        <f t="shared" si="285"/>
        <v>5.0692964179306799E-2</v>
      </c>
      <c r="X113" s="89">
        <f t="shared" si="286"/>
        <v>-8.0703109942200646E-3</v>
      </c>
      <c r="Y113" s="89">
        <f t="shared" si="287"/>
        <v>-1.6067899172238942E-2</v>
      </c>
      <c r="Z113" s="89">
        <f t="shared" si="288"/>
        <v>-2.4738644407110599E-2</v>
      </c>
      <c r="AA113" s="89">
        <f t="shared" si="289"/>
        <v>-8.041194827934961E-2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7.1482619635925282E-3</v>
      </c>
      <c r="F114" s="89">
        <f t="shared" ref="F114:F115" si="291">IF(E52=0,"",F52/E52-1)</f>
        <v>-8.7203015056799171E-2</v>
      </c>
      <c r="G114" s="89">
        <f t="shared" ref="G114:G115" si="292">IF(F52=0,"",G52/F52-1)</f>
        <v>-5.8983288701691561E-2</v>
      </c>
      <c r="H114" s="89">
        <f t="shared" ref="H114:H115" si="293">IF(G52=0,"",H52/G52-1)</f>
        <v>-6.6992000127764961E-2</v>
      </c>
      <c r="I114" s="89">
        <f t="shared" ref="I114:I115" si="294">IF(H52=0,"",I52/H52-1)</f>
        <v>-6.3690530961696301E-2</v>
      </c>
      <c r="J114" s="89">
        <f t="shared" ref="J114:J115" si="295">IF(I52=0,"",J52/I52-1)</f>
        <v>-5.2157659300703374E-3</v>
      </c>
      <c r="K114" s="89">
        <f t="shared" ref="K114:K115" si="296">IF(J52=0,"",K52/J52-1)</f>
        <v>-2.3496498503492003E-2</v>
      </c>
      <c r="L114" s="89">
        <f t="shared" ref="L114:L115" si="297">IF(K52=0,"",L52/K52-1)</f>
        <v>-0.12378668749453048</v>
      </c>
      <c r="M114" s="89">
        <f t="shared" ref="M114:M115" si="298">IF(L52=0,"",M52/L52-1)</f>
        <v>-6.0645974427372851E-2</v>
      </c>
      <c r="N114" s="89">
        <f t="shared" ref="N114:N115" si="299">IF(M52=0,"",N52/M52-1)</f>
        <v>4.7951952865299852E-2</v>
      </c>
      <c r="O114" s="89">
        <f t="shared" ref="O114:O115" si="300">IF(N52=0,"",O52/N52-1)</f>
        <v>-3.2794846858308357E-4</v>
      </c>
      <c r="P114" s="89">
        <f t="shared" ref="P114:P115" si="301">IF(O52=0,"",P52/O52-1)</f>
        <v>-5.2828651134727012E-2</v>
      </c>
      <c r="Q114" s="89">
        <f t="shared" ref="Q114:Q115" si="302">IF(P52=0,"",Q52/P52-1)</f>
        <v>-6.7243885529021274E-2</v>
      </c>
      <c r="R114" s="89">
        <f t="shared" ref="R114:R115" si="303">IF(Q52=0,"",R52/Q52-1)</f>
        <v>6.0186312242194395E-2</v>
      </c>
      <c r="S114" s="89">
        <f t="shared" ref="S114:S115" si="304">IF(R52=0,"",S52/R52-1)</f>
        <v>-5.6670662215031475E-3</v>
      </c>
      <c r="T114" s="89">
        <f t="shared" ref="T114:T115" si="305">IF(S52=0,"",T52/S52-1)</f>
        <v>-2.256507999426749E-2</v>
      </c>
      <c r="U114" s="89">
        <f t="shared" ref="U114:U115" si="306">IF(T52=0,"",U52/T52-1)</f>
        <v>-1.992478003333964E-2</v>
      </c>
      <c r="V114" s="89">
        <f t="shared" ref="V114:V115" si="307">IF(U52=0,"",V52/U52-1)</f>
        <v>0.14857168835206247</v>
      </c>
      <c r="W114" s="89">
        <f t="shared" ref="W114:W115" si="308">IF(V52=0,"",W52/V52-1)</f>
        <v>-8.9051050640075236E-2</v>
      </c>
      <c r="X114" s="89">
        <f t="shared" ref="X114:X115" si="309">IF(W52=0,"",X52/W52-1)</f>
        <v>-9.1568483451893834E-2</v>
      </c>
      <c r="Y114" s="89">
        <f t="shared" ref="Y114:Y115" si="310">IF(X52=0,"",Y52/X52-1)</f>
        <v>0.11031524277594973</v>
      </c>
      <c r="Z114" s="89">
        <f t="shared" ref="Z114:Z115" si="311">IF(Y52=0,"",Z52/Y52-1)</f>
        <v>0.23292966292928585</v>
      </c>
      <c r="AA114" s="89">
        <f t="shared" ref="AA114:AA115" si="312">IF(Z52=0,"",AA52/Z52-1)</f>
        <v>2.6153414038707412E-2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1.5730828002199493E-2</v>
      </c>
      <c r="F115" s="89">
        <f t="shared" si="291"/>
        <v>-9.4918828028462854E-2</v>
      </c>
      <c r="G115" s="89">
        <f t="shared" si="292"/>
        <v>-5.7856780599562008E-2</v>
      </c>
      <c r="H115" s="89">
        <f t="shared" si="293"/>
        <v>-8.6679398168532651E-2</v>
      </c>
      <c r="I115" s="89">
        <f t="shared" si="294"/>
        <v>-7.3561391707453239E-2</v>
      </c>
      <c r="J115" s="89">
        <f t="shared" si="295"/>
        <v>1.7532533040354181E-3</v>
      </c>
      <c r="K115" s="89">
        <f t="shared" si="296"/>
        <v>-2.7671243835643788E-2</v>
      </c>
      <c r="L115" s="89">
        <f t="shared" si="297"/>
        <v>-0.14479325528186426</v>
      </c>
      <c r="M115" s="89">
        <f t="shared" si="298"/>
        <v>-2.9470789576857781E-2</v>
      </c>
      <c r="N115" s="89">
        <f t="shared" si="299"/>
        <v>6.2717862826925597E-2</v>
      </c>
      <c r="O115" s="89">
        <f t="shared" si="300"/>
        <v>-1.085079963473512E-3</v>
      </c>
      <c r="P115" s="89">
        <f t="shared" si="301"/>
        <v>-6.1635136595050488E-2</v>
      </c>
      <c r="Q115" s="89">
        <f t="shared" si="302"/>
        <v>-4.9818069978370461E-2</v>
      </c>
      <c r="R115" s="89">
        <f t="shared" si="303"/>
        <v>7.306854786624517E-2</v>
      </c>
      <c r="S115" s="89">
        <f t="shared" si="304"/>
        <v>6.3169940807445979E-3</v>
      </c>
      <c r="T115" s="89">
        <f t="shared" si="305"/>
        <v>-2.2261234555449039E-2</v>
      </c>
      <c r="U115" s="89">
        <f t="shared" si="306"/>
        <v>1.4273919552874714E-2</v>
      </c>
      <c r="V115" s="89">
        <f t="shared" si="307"/>
        <v>0.16118612595299986</v>
      </c>
      <c r="W115" s="89">
        <f t="shared" si="308"/>
        <v>-7.3737753913554971E-2</v>
      </c>
      <c r="X115" s="89">
        <f t="shared" si="309"/>
        <v>-9.0688883024206968E-2</v>
      </c>
      <c r="Y115" s="89">
        <f t="shared" si="310"/>
        <v>0.12435672793670305</v>
      </c>
      <c r="Z115" s="89">
        <f t="shared" si="311"/>
        <v>0.27094260533473635</v>
      </c>
      <c r="AA115" s="89">
        <f t="shared" si="312"/>
        <v>3.8925011768830231E-2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-2.671832288220799E-2</v>
      </c>
      <c r="F116" s="89">
        <f t="shared" ref="F116:F122" si="314">IF(E56=0,"",F56/E56-1)</f>
        <v>-5.5428712367367461E-2</v>
      </c>
      <c r="G116" s="89">
        <f t="shared" ref="G116:G122" si="315">IF(F56=0,"",G56/F56-1)</f>
        <v>-6.3428387790042451E-2</v>
      </c>
      <c r="H116" s="89">
        <f t="shared" ref="H116:H122" si="316">IF(G56=0,"",H56/G56-1)</f>
        <v>1.1154833468894232E-2</v>
      </c>
      <c r="I116" s="89">
        <f t="shared" ref="I116:I122" si="317">IF(H56=0,"",I56/H56-1)</f>
        <v>-2.8300276867037955E-2</v>
      </c>
      <c r="J116" s="89">
        <f t="shared" ref="J116:J122" si="318">IF(I56=0,"",J56/I56-1)</f>
        <v>-2.903813152549195E-2</v>
      </c>
      <c r="K116" s="89">
        <f t="shared" ref="K116:K122" si="319">IF(J56=0,"",K56/J56-1)</f>
        <v>-8.7733125633154829E-3</v>
      </c>
      <c r="L116" s="89">
        <f t="shared" ref="L116:L122" si="320">IF(K56=0,"",L56/K56-1)</f>
        <v>-5.1114697521892571E-2</v>
      </c>
      <c r="M116" s="89">
        <f t="shared" ref="M116:M122" si="321">IF(L56=0,"",M56/L56-1)</f>
        <v>-0.15784868764883075</v>
      </c>
      <c r="N116" s="89">
        <f t="shared" ref="N116:N122" si="322">IF(M56=0,"",N56/M56-1)</f>
        <v>-5.1057016486115714E-3</v>
      </c>
      <c r="O116" s="89">
        <f t="shared" ref="O116:O122" si="323">IF(N56=0,"",O56/N56-1)</f>
        <v>2.5780821268779341E-3</v>
      </c>
      <c r="P116" s="89">
        <f t="shared" ref="P116:P122" si="324">IF(O56=0,"",P56/O56-1)</f>
        <v>-1.9151000570825971E-2</v>
      </c>
      <c r="Q116" s="89">
        <f t="shared" ref="Q116:Q122" si="325">IF(P56=0,"",Q56/P56-1)</f>
        <v>-0.13099706680594503</v>
      </c>
      <c r="R116" s="89">
        <f t="shared" ref="R116:R122" si="326">IF(Q56=0,"",R56/Q56-1)</f>
        <v>8.6533020997563437E-3</v>
      </c>
      <c r="S116" s="89">
        <f t="shared" ref="S116:S122" si="327">IF(R56=0,"",S56/R56-1)</f>
        <v>-5.6668667240822312E-2</v>
      </c>
      <c r="T116" s="89">
        <f t="shared" ref="T116:T122" si="328">IF(S56=0,"",T56/S56-1)</f>
        <v>-2.3944520874157438E-2</v>
      </c>
      <c r="U116" s="89">
        <f t="shared" ref="U116:U122" si="329">IF(T56=0,"",U56/T56-1)</f>
        <v>-0.17545267495892725</v>
      </c>
      <c r="V116" s="89">
        <f t="shared" ref="V116:V122" si="330">IF(U56=0,"",V56/U56-1)</f>
        <v>7.8003939121320309E-2</v>
      </c>
      <c r="W116" s="89">
        <f t="shared" ref="W116:W122" si="331">IF(V56=0,"",W56/V56-1)</f>
        <v>-0.18132700833825488</v>
      </c>
      <c r="X116" s="89">
        <f t="shared" ref="X116:X122" si="332">IF(W56=0,"",X56/W56-1)</f>
        <v>-9.7565410903025507E-2</v>
      </c>
      <c r="Y116" s="89">
        <f t="shared" ref="Y116:Y122" si="333">IF(X56=0,"",Y56/X56-1)</f>
        <v>1.3853928200943333E-2</v>
      </c>
      <c r="Z116" s="89">
        <f t="shared" ref="Z116:Z122" si="334">IF(Y56=0,"",Z56/Y56-1)</f>
        <v>-5.6671534529088019E-2</v>
      </c>
      <c r="AA116" s="89">
        <f t="shared" ref="AA116:AA122" si="335">IF(Z56=0,"",AA56/Z56-1)</f>
        <v>-0.10493885951824289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1.0762772472940219E-2</v>
      </c>
      <c r="F117" s="89">
        <f t="shared" si="314"/>
        <v>4.4866119444628039E-2</v>
      </c>
      <c r="G117" s="89">
        <f t="shared" si="315"/>
        <v>-3.07043609070905E-2</v>
      </c>
      <c r="H117" s="89">
        <f t="shared" si="316"/>
        <v>3.1136948345813487E-3</v>
      </c>
      <c r="I117" s="89">
        <f t="shared" si="317"/>
        <v>-2.5414939448171192E-2</v>
      </c>
      <c r="J117" s="89">
        <f t="shared" si="318"/>
        <v>3.5481534064088383E-2</v>
      </c>
      <c r="K117" s="89">
        <f t="shared" si="319"/>
        <v>-4.9439695348310941E-2</v>
      </c>
      <c r="L117" s="89">
        <f t="shared" si="320"/>
        <v>-3.7348429204319578E-2</v>
      </c>
      <c r="M117" s="89">
        <f t="shared" si="321"/>
        <v>6.0709937333537578E-2</v>
      </c>
      <c r="N117" s="89">
        <f t="shared" si="322"/>
        <v>4.7166711717074872E-3</v>
      </c>
      <c r="O117" s="89">
        <f t="shared" si="323"/>
        <v>1.5920021181026645E-2</v>
      </c>
      <c r="P117" s="89">
        <f t="shared" si="324"/>
        <v>-7.4363107818045449E-2</v>
      </c>
      <c r="Q117" s="89">
        <f t="shared" si="325"/>
        <v>4.939011296579543E-2</v>
      </c>
      <c r="R117" s="89">
        <f t="shared" si="326"/>
        <v>-2.4399912953430025E-2</v>
      </c>
      <c r="S117" s="89">
        <f t="shared" si="327"/>
        <v>2.5248277700967714E-2</v>
      </c>
      <c r="T117" s="89">
        <f t="shared" si="328"/>
        <v>1.7519166109066564E-2</v>
      </c>
      <c r="U117" s="89">
        <f t="shared" si="329"/>
        <v>-2.3228640937960843E-2</v>
      </c>
      <c r="V117" s="89">
        <f t="shared" si="330"/>
        <v>3.2387265509743246E-2</v>
      </c>
      <c r="W117" s="89">
        <f t="shared" si="331"/>
        <v>-2.1823694174261332E-2</v>
      </c>
      <c r="X117" s="89">
        <f t="shared" si="332"/>
        <v>4.0137731028448309E-2</v>
      </c>
      <c r="Y117" s="89">
        <f t="shared" si="333"/>
        <v>-3.7382928299950491E-2</v>
      </c>
      <c r="Z117" s="89">
        <f t="shared" si="334"/>
        <v>-0.10512681388573619</v>
      </c>
      <c r="AA117" s="89">
        <f t="shared" si="335"/>
        <v>-0.12768280681907618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-0.17183091703794251</v>
      </c>
      <c r="F118" s="89">
        <f t="shared" si="314"/>
        <v>-3.0856604401327092E-2</v>
      </c>
      <c r="G118" s="89">
        <f t="shared" si="315"/>
        <v>9.9705246126627456E-2</v>
      </c>
      <c r="H118" s="89">
        <f t="shared" si="316"/>
        <v>2.4948017665627598E-2</v>
      </c>
      <c r="I118" s="89">
        <f t="shared" si="317"/>
        <v>-7.4338176553900293E-2</v>
      </c>
      <c r="J118" s="89">
        <f t="shared" si="318"/>
        <v>2.6938527240640386E-2</v>
      </c>
      <c r="K118" s="89">
        <f t="shared" si="319"/>
        <v>1.8047308522154637E-2</v>
      </c>
      <c r="L118" s="89">
        <f t="shared" si="320"/>
        <v>-2.3240625429691963E-2</v>
      </c>
      <c r="M118" s="89">
        <f t="shared" si="321"/>
        <v>-0.23418171697048329</v>
      </c>
      <c r="N118" s="89">
        <f t="shared" si="322"/>
        <v>0.48297046011097367</v>
      </c>
      <c r="O118" s="89">
        <f t="shared" si="323"/>
        <v>0.14932949868145062</v>
      </c>
      <c r="P118" s="89">
        <f t="shared" si="324"/>
        <v>-0.16488074949815712</v>
      </c>
      <c r="Q118" s="89">
        <f t="shared" si="325"/>
        <v>0.11052957777105021</v>
      </c>
      <c r="R118" s="89">
        <f t="shared" si="326"/>
        <v>6.4104317744998029E-2</v>
      </c>
      <c r="S118" s="89">
        <f t="shared" si="327"/>
        <v>0.3529135587260015</v>
      </c>
      <c r="T118" s="89">
        <f t="shared" si="328"/>
        <v>6.4643998278147929E-2</v>
      </c>
      <c r="U118" s="89">
        <f t="shared" si="329"/>
        <v>-1.1662873365912652E-2</v>
      </c>
      <c r="V118" s="89">
        <f t="shared" si="330"/>
        <v>1.9435724709277125E-2</v>
      </c>
      <c r="W118" s="89">
        <f t="shared" si="331"/>
        <v>-1.5293398331386432E-2</v>
      </c>
      <c r="X118" s="89">
        <f t="shared" si="332"/>
        <v>-0.1601085858360487</v>
      </c>
      <c r="Y118" s="89">
        <f t="shared" si="333"/>
        <v>0.22745646860849478</v>
      </c>
      <c r="Z118" s="89">
        <f t="shared" si="334"/>
        <v>-0.10821052923819818</v>
      </c>
      <c r="AA118" s="89">
        <f t="shared" si="335"/>
        <v>-0.13848212864184639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-8.3908221747132972E-2</v>
      </c>
      <c r="F119" s="89">
        <f t="shared" si="314"/>
        <v>1.7167141867787228E-2</v>
      </c>
      <c r="G119" s="89">
        <f t="shared" si="315"/>
        <v>-4.8664994960448182E-2</v>
      </c>
      <c r="H119" s="89">
        <f t="shared" si="316"/>
        <v>3.707981498041768E-2</v>
      </c>
      <c r="I119" s="89">
        <f t="shared" si="317"/>
        <v>2.3854034786996214E-2</v>
      </c>
      <c r="J119" s="89">
        <f t="shared" si="318"/>
        <v>5.779385233124712E-2</v>
      </c>
      <c r="K119" s="89">
        <f t="shared" si="319"/>
        <v>4.9587685042742136E-2</v>
      </c>
      <c r="L119" s="89">
        <f t="shared" si="320"/>
        <v>-5.1965985921012425E-2</v>
      </c>
      <c r="M119" s="89">
        <f t="shared" si="321"/>
        <v>-0.28892603043608656</v>
      </c>
      <c r="N119" s="89">
        <f t="shared" si="322"/>
        <v>0.16951483634330788</v>
      </c>
      <c r="O119" s="89">
        <f t="shared" si="323"/>
        <v>3.9910169160073172E-2</v>
      </c>
      <c r="P119" s="89">
        <f t="shared" si="324"/>
        <v>-6.8919847779770338E-3</v>
      </c>
      <c r="Q119" s="89">
        <f t="shared" si="325"/>
        <v>-9.8742446938609896E-2</v>
      </c>
      <c r="R119" s="89">
        <f t="shared" si="326"/>
        <v>-2.2934294703314761E-2</v>
      </c>
      <c r="S119" s="89">
        <f t="shared" si="327"/>
        <v>6.7798378551243488E-2</v>
      </c>
      <c r="T119" s="89">
        <f t="shared" si="328"/>
        <v>-6.855533904830069E-3</v>
      </c>
      <c r="U119" s="89">
        <f t="shared" si="329"/>
        <v>8.1168451564713529E-2</v>
      </c>
      <c r="V119" s="89">
        <f t="shared" si="330"/>
        <v>-1.2492926042423247E-2</v>
      </c>
      <c r="W119" s="89">
        <f t="shared" si="331"/>
        <v>1.9496937898380029E-3</v>
      </c>
      <c r="X119" s="89">
        <f t="shared" si="332"/>
        <v>-8.8999928262492256E-2</v>
      </c>
      <c r="Y119" s="89">
        <f t="shared" si="333"/>
        <v>0.1982597877781076</v>
      </c>
      <c r="Z119" s="89">
        <f t="shared" si="334"/>
        <v>7.4565560698055755E-2</v>
      </c>
      <c r="AA119" s="89">
        <f t="shared" si="335"/>
        <v>-3.0759014417159891E-2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1.3373937448518447E-2</v>
      </c>
      <c r="F120" s="89">
        <f t="shared" si="314"/>
        <v>-3.0365656210620262E-3</v>
      </c>
      <c r="G120" s="89">
        <f t="shared" si="315"/>
        <v>-4.8897279211942979E-2</v>
      </c>
      <c r="H120" s="89">
        <f t="shared" si="316"/>
        <v>-3.8063517788734624E-2</v>
      </c>
      <c r="I120" s="89">
        <f t="shared" si="317"/>
        <v>-4.283534802882949E-2</v>
      </c>
      <c r="J120" s="89">
        <f t="shared" si="318"/>
        <v>-3.3368156185013431E-2</v>
      </c>
      <c r="K120" s="89">
        <f t="shared" si="319"/>
        <v>5.3439185468444617E-3</v>
      </c>
      <c r="L120" s="89">
        <f t="shared" si="320"/>
        <v>-7.2380914774968885E-2</v>
      </c>
      <c r="M120" s="89">
        <f t="shared" si="321"/>
        <v>-0.15399700196588173</v>
      </c>
      <c r="N120" s="89">
        <f t="shared" si="322"/>
        <v>2.0940297019828469E-2</v>
      </c>
      <c r="O120" s="89">
        <f t="shared" si="323"/>
        <v>-7.5726727333438992E-2</v>
      </c>
      <c r="P120" s="89">
        <f t="shared" si="324"/>
        <v>-4.2734748221463281E-2</v>
      </c>
      <c r="Q120" s="89">
        <f t="shared" si="325"/>
        <v>-2.1192651660575823E-2</v>
      </c>
      <c r="R120" s="89">
        <f t="shared" si="326"/>
        <v>2.3427231268789983E-2</v>
      </c>
      <c r="S120" s="89">
        <f t="shared" si="327"/>
        <v>7.2328381968641109E-2</v>
      </c>
      <c r="T120" s="89">
        <f t="shared" si="328"/>
        <v>-1.2005092804997952E-2</v>
      </c>
      <c r="U120" s="89">
        <f t="shared" si="329"/>
        <v>1.6439912452647309E-2</v>
      </c>
      <c r="V120" s="89">
        <f t="shared" si="330"/>
        <v>-4.0820293796618001E-2</v>
      </c>
      <c r="W120" s="89">
        <f t="shared" si="331"/>
        <v>2.3404242914203621E-2</v>
      </c>
      <c r="X120" s="89">
        <f t="shared" si="332"/>
        <v>-9.0463633478469641E-2</v>
      </c>
      <c r="Y120" s="89">
        <f t="shared" si="333"/>
        <v>1.5873878902556315E-2</v>
      </c>
      <c r="Z120" s="89">
        <f t="shared" si="334"/>
        <v>6.6390185898125287E-2</v>
      </c>
      <c r="AA120" s="89">
        <f t="shared" si="335"/>
        <v>-3.8138619473343294E-2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-3.6532731146166064E-4</v>
      </c>
      <c r="F121" s="89">
        <f t="shared" si="314"/>
        <v>5.0049082359294506E-2</v>
      </c>
      <c r="G121" s="89">
        <f t="shared" si="315"/>
        <v>7.5581910143194042E-2</v>
      </c>
      <c r="H121" s="89">
        <f t="shared" si="316"/>
        <v>-3.8559526570710267E-2</v>
      </c>
      <c r="I121" s="89">
        <f t="shared" si="317"/>
        <v>0.27310576958613253</v>
      </c>
      <c r="J121" s="89">
        <f t="shared" si="318"/>
        <v>4.1531808393884262E-2</v>
      </c>
      <c r="K121" s="89">
        <f t="shared" si="319"/>
        <v>0.1237414520098632</v>
      </c>
      <c r="L121" s="89">
        <f t="shared" si="320"/>
        <v>-0.30521756243931497</v>
      </c>
      <c r="M121" s="89">
        <f t="shared" si="321"/>
        <v>-6.4399663316170641E-2</v>
      </c>
      <c r="N121" s="89">
        <f t="shared" si="322"/>
        <v>0.10395806860169787</v>
      </c>
      <c r="O121" s="89">
        <f t="shared" si="323"/>
        <v>-0.17167134931363015</v>
      </c>
      <c r="P121" s="89">
        <f t="shared" si="324"/>
        <v>-8.2493095476344758E-2</v>
      </c>
      <c r="Q121" s="89">
        <f t="shared" si="325"/>
        <v>3.6756391750596862E-2</v>
      </c>
      <c r="R121" s="89">
        <f t="shared" si="326"/>
        <v>0.17887262153529004</v>
      </c>
      <c r="S121" s="89">
        <f t="shared" si="327"/>
        <v>8.7155873312204202E-2</v>
      </c>
      <c r="T121" s="89">
        <f t="shared" si="328"/>
        <v>-9.643313655339858E-2</v>
      </c>
      <c r="U121" s="89">
        <f t="shared" si="329"/>
        <v>0.14304851389101114</v>
      </c>
      <c r="V121" s="89">
        <f t="shared" si="330"/>
        <v>-1.3555779749151453E-2</v>
      </c>
      <c r="W121" s="89">
        <f t="shared" si="331"/>
        <v>-7.3647611510213373E-2</v>
      </c>
      <c r="X121" s="89">
        <f t="shared" si="332"/>
        <v>-2.003178728854893E-2</v>
      </c>
      <c r="Y121" s="89">
        <f t="shared" si="333"/>
        <v>0.78652766645119199</v>
      </c>
      <c r="Z121" s="89">
        <f t="shared" si="334"/>
        <v>-9.9614754878839529E-2</v>
      </c>
      <c r="AA121" s="89">
        <f t="shared" si="335"/>
        <v>-0.12554912368627502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1.9916043798124949E-2</v>
      </c>
      <c r="F122" s="91">
        <f t="shared" si="314"/>
        <v>1.7535852550389253E-2</v>
      </c>
      <c r="G122" s="91">
        <f t="shared" si="315"/>
        <v>2.4577911778326689E-2</v>
      </c>
      <c r="H122" s="91">
        <f t="shared" si="316"/>
        <v>-1.8296257350440936E-2</v>
      </c>
      <c r="I122" s="91">
        <f t="shared" si="317"/>
        <v>-2.8660732467185035E-3</v>
      </c>
      <c r="J122" s="91">
        <f t="shared" si="318"/>
        <v>5.9582626802767713E-2</v>
      </c>
      <c r="K122" s="91">
        <f t="shared" si="319"/>
        <v>3.5879879769859624E-2</v>
      </c>
      <c r="L122" s="91">
        <f t="shared" si="320"/>
        <v>-8.5650596021552117E-2</v>
      </c>
      <c r="M122" s="91">
        <f t="shared" si="321"/>
        <v>-0.10485122184237994</v>
      </c>
      <c r="N122" s="91">
        <f t="shared" si="322"/>
        <v>5.4907038441345479E-2</v>
      </c>
      <c r="O122" s="91">
        <f t="shared" si="323"/>
        <v>4.474274943449319E-2</v>
      </c>
      <c r="P122" s="91">
        <f t="shared" si="324"/>
        <v>-7.2861534566071584E-2</v>
      </c>
      <c r="Q122" s="91">
        <f t="shared" si="325"/>
        <v>-8.1734101747930721E-2</v>
      </c>
      <c r="R122" s="91">
        <f t="shared" si="326"/>
        <v>4.4091201841615302E-2</v>
      </c>
      <c r="S122" s="91">
        <f t="shared" si="327"/>
        <v>5.2488755875248483E-3</v>
      </c>
      <c r="T122" s="91">
        <f t="shared" si="328"/>
        <v>3.3949934855883379E-2</v>
      </c>
      <c r="U122" s="91">
        <f t="shared" si="329"/>
        <v>-7.5231016615072477E-2</v>
      </c>
      <c r="V122" s="91">
        <f t="shared" si="330"/>
        <v>-4.7199937443867745E-2</v>
      </c>
      <c r="W122" s="91">
        <f t="shared" si="331"/>
        <v>2.5128653416344848E-2</v>
      </c>
      <c r="X122" s="91">
        <f t="shared" si="332"/>
        <v>8.7223096204289252E-2</v>
      </c>
      <c r="Y122" s="91">
        <f t="shared" si="333"/>
        <v>-4.1253637323822256E-2</v>
      </c>
      <c r="Z122" s="91">
        <f t="shared" si="334"/>
        <v>-8.3091392660538554E-2</v>
      </c>
      <c r="AA122" s="91">
        <f t="shared" si="335"/>
        <v>0.10341189446094989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2025-11-06T10:30:40Z</dcterms:created>
  <dcterms:modified xsi:type="dcterms:W3CDTF">2025-11-06T10:30:40Z</dcterms:modified>
</cp:coreProperties>
</file>