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E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X67" i="6"/>
  <c r="Y27" i="6"/>
  <c r="Y119" i="6"/>
  <c r="Y173" i="6" s="1"/>
  <c r="X119" i="6"/>
  <c r="X173" i="6" s="1"/>
  <c r="Y16" i="7"/>
  <c r="X16" i="7"/>
  <c r="Y14" i="13"/>
  <c r="X13" i="12"/>
  <c r="X21" i="12"/>
  <c r="X20" i="12"/>
  <c r="X16" i="8"/>
  <c r="Y14" i="12"/>
  <c r="X11" i="12"/>
  <c r="Y6" i="12"/>
  <c r="Y33" i="10"/>
  <c r="X33" i="10"/>
  <c r="Y22" i="13"/>
  <c r="X22" i="13"/>
  <c r="Y21" i="13"/>
  <c r="X21" i="13"/>
  <c r="Y20" i="13"/>
  <c r="Y18" i="13"/>
  <c r="Y17" i="13"/>
  <c r="X17" i="10"/>
  <c r="Y6" i="13"/>
  <c r="Y18" i="10"/>
  <c r="X18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6" i="12"/>
  <c r="X24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4" i="25"/>
  <c r="Y24" i="28" s="1"/>
  <c r="Y14" i="24"/>
  <c r="X13" i="23"/>
  <c r="Y10" i="24"/>
  <c r="X9" i="23"/>
  <c r="X24" i="23"/>
  <c r="Y23" i="23"/>
  <c r="Y22" i="24"/>
  <c r="X21" i="21"/>
  <c r="X18" i="24"/>
  <c r="Y17" i="24"/>
  <c r="X5" i="21"/>
  <c r="Y20" i="21"/>
  <c r="X20" i="21"/>
  <c r="Y18" i="21"/>
  <c r="Y33" i="25"/>
  <c r="Y33" i="28" s="1"/>
  <c r="X33" i="25"/>
  <c r="X33" i="28" s="1"/>
  <c r="Y26" i="25"/>
  <c r="Y26" i="28" s="1"/>
  <c r="X25" i="25"/>
  <c r="X25" i="28" s="1"/>
  <c r="X24" i="25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6" i="23"/>
  <c r="X23" i="23"/>
  <c r="Y22" i="23"/>
  <c r="Y20" i="23"/>
  <c r="Y20" i="26" s="1"/>
  <c r="Y8" i="23"/>
  <c r="Y33" i="24"/>
  <c r="Y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Y15" i="25"/>
  <c r="Y15" i="28" s="1"/>
  <c r="X15" i="25"/>
  <c r="X15" i="28" s="1"/>
  <c r="X11" i="25"/>
  <c r="X11" i="28" s="1"/>
  <c r="Y7" i="25"/>
  <c r="Y7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Y10" i="30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33" i="27" l="1"/>
  <c r="X21" i="24"/>
  <c r="X21" i="27" s="1"/>
  <c r="Y17" i="10"/>
  <c r="X7" i="12"/>
  <c r="X5" i="10"/>
  <c r="X8" i="12"/>
  <c r="Y24" i="23"/>
  <c r="Y24" i="26" s="1"/>
  <c r="Y5" i="10"/>
  <c r="X25" i="23"/>
  <c r="X25" i="26" s="1"/>
  <c r="Y24" i="12"/>
  <c r="X25" i="12"/>
  <c r="Y7" i="24"/>
  <c r="Y7" i="27" s="1"/>
  <c r="Y23" i="10"/>
  <c r="Y10" i="12"/>
  <c r="X8" i="13"/>
  <c r="Y19" i="22"/>
  <c r="Y8" i="13"/>
  <c r="X9" i="21"/>
  <c r="X25" i="24"/>
  <c r="X17" i="24"/>
  <c r="X25" i="13"/>
  <c r="X12" i="12"/>
  <c r="X14" i="30"/>
  <c r="Y23" i="28"/>
  <c r="X7" i="14"/>
  <c r="Y25" i="13"/>
  <c r="X31" i="23"/>
  <c r="X31" i="26" s="1"/>
  <c r="X26" i="13"/>
  <c r="Y26" i="24"/>
  <c r="Y31" i="23"/>
  <c r="Y31" i="26" s="1"/>
  <c r="Y10" i="13"/>
  <c r="Y26" i="13"/>
  <c r="X27" i="21"/>
  <c r="X32" i="23"/>
  <c r="X11" i="13"/>
  <c r="Y67" i="6"/>
  <c r="Y8" i="24"/>
  <c r="Y8" i="27" s="1"/>
  <c r="X13" i="29"/>
  <c r="X5" i="31" s="1"/>
  <c r="X12" i="24"/>
  <c r="X12" i="13"/>
  <c r="X30" i="13"/>
  <c r="Y11" i="24"/>
  <c r="Y13" i="29"/>
  <c r="Y9" i="25"/>
  <c r="Y9" i="28" s="1"/>
  <c r="Y12" i="24"/>
  <c r="Y21" i="25"/>
  <c r="X10" i="14"/>
  <c r="X30" i="14"/>
  <c r="Y12" i="13"/>
  <c r="X8" i="24"/>
  <c r="X8" i="27" s="1"/>
  <c r="Y52" i="38"/>
  <c r="X14" i="29"/>
  <c r="X5" i="32" s="1"/>
  <c r="X10" i="25"/>
  <c r="X10" i="28" s="1"/>
  <c r="X13" i="21"/>
  <c r="X31" i="24"/>
  <c r="X17" i="23"/>
  <c r="X22" i="24"/>
  <c r="X22" i="27" s="1"/>
  <c r="Y10" i="14"/>
  <c r="X31" i="13"/>
  <c r="Y33" i="12"/>
  <c r="Y8" i="25"/>
  <c r="Y8" i="28" s="1"/>
  <c r="Y17" i="23"/>
  <c r="Y17" i="26" s="1"/>
  <c r="X31" i="14"/>
  <c r="Y31" i="13"/>
  <c r="X23" i="21"/>
  <c r="X8" i="25"/>
  <c r="X9" i="36"/>
  <c r="Y53" i="38"/>
  <c r="Y31" i="14"/>
  <c r="X32" i="10"/>
  <c r="Y14" i="21"/>
  <c r="Y32" i="21"/>
  <c r="X17" i="13"/>
  <c r="X7" i="21"/>
  <c r="Y45" i="37"/>
  <c r="X15" i="21"/>
  <c r="X33" i="21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17" i="25"/>
  <c r="Y31" i="21"/>
  <c r="Y6" i="23"/>
  <c r="Y6" i="26" s="1"/>
  <c r="Y10" i="23"/>
  <c r="Y14" i="23"/>
  <c r="Y14" i="26" s="1"/>
  <c r="Y19" i="19"/>
  <c r="Y5" i="23"/>
  <c r="Y5" i="26" s="1"/>
  <c r="X14" i="36"/>
  <c r="X22" i="25"/>
  <c r="X22" i="28" s="1"/>
  <c r="X17" i="21"/>
  <c r="X32" i="21"/>
  <c r="X7" i="23"/>
  <c r="X7" i="26" s="1"/>
  <c r="X11" i="23"/>
  <c r="X11" i="26" s="1"/>
  <c r="Y26" i="12"/>
  <c r="Y29" i="7"/>
  <c r="Y23" i="26"/>
  <c r="Y37" i="6"/>
  <c r="X33" i="24"/>
  <c r="X33" i="27" s="1"/>
  <c r="Y30" i="14"/>
  <c r="Y24" i="13"/>
  <c r="Y30" i="13"/>
  <c r="X18" i="12"/>
  <c r="X23" i="14"/>
  <c r="X28" i="12"/>
  <c r="X33" i="12"/>
  <c r="X27" i="6"/>
  <c r="Y8" i="14"/>
  <c r="Y12" i="12"/>
  <c r="Y18" i="12"/>
  <c r="Y28" i="12"/>
  <c r="X82" i="6"/>
  <c r="X81" i="6" s="1"/>
  <c r="X93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68" i="29"/>
  <c r="Y6" i="30" s="1"/>
  <c r="X101" i="6"/>
  <c r="X118" i="6"/>
  <c r="Y73" i="29"/>
  <c r="Y6" i="35" s="1"/>
  <c r="Y118" i="6"/>
  <c r="X48" i="6"/>
  <c r="X47" i="6" s="1"/>
  <c r="X60" i="6" s="1"/>
  <c r="X37" i="6"/>
  <c r="Y12" i="27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3"/>
  <c r="X30" i="23"/>
  <c r="X18" i="13"/>
  <c r="X20" i="10"/>
  <c r="X10" i="13"/>
  <c r="X14" i="10"/>
  <c r="X19" i="9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X17" i="28"/>
  <c r="Y29" i="22"/>
  <c r="Y29" i="25" s="1"/>
  <c r="Y29" i="28" s="1"/>
  <c r="Y5" i="21"/>
  <c r="Y23" i="24"/>
  <c r="Y23" i="27" s="1"/>
  <c r="Y28" i="24"/>
  <c r="Y28" i="27" s="1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5" i="28" s="1"/>
  <c r="X28" i="13"/>
  <c r="Y9" i="13"/>
  <c r="Y16" i="9"/>
  <c r="Y16" i="13" s="1"/>
  <c r="Y9" i="39"/>
  <c r="Y17" i="38"/>
  <c r="Y46" i="37"/>
  <c r="Y17" i="27"/>
  <c r="X6" i="25"/>
  <c r="X6" i="28" s="1"/>
  <c r="Y15" i="21"/>
  <c r="X51" i="39"/>
  <c r="Y32" i="24"/>
  <c r="Y32" i="27" s="1"/>
  <c r="Y16" i="22"/>
  <c r="X6" i="24"/>
  <c r="X24" i="24"/>
  <c r="X30" i="24"/>
  <c r="X6" i="13"/>
  <c r="Y11" i="10"/>
  <c r="Y15" i="10"/>
  <c r="X8" i="14"/>
  <c r="Y22" i="26"/>
  <c r="Y10" i="26"/>
  <c r="X13" i="13"/>
  <c r="X9" i="39"/>
  <c r="X46" i="37"/>
  <c r="X17" i="27"/>
  <c r="X21" i="23"/>
  <c r="X21" i="26" s="1"/>
  <c r="Y13" i="13"/>
  <c r="X19" i="7"/>
  <c r="X27" i="12" s="1"/>
  <c r="X29" i="7"/>
  <c r="Y19" i="18"/>
  <c r="Y31" i="25"/>
  <c r="Y31" i="28" s="1"/>
  <c r="Y9" i="38"/>
  <c r="Y52" i="37"/>
  <c r="X32" i="24"/>
  <c r="X32" i="27" s="1"/>
  <c r="Y51" i="39"/>
  <c r="Y6" i="24"/>
  <c r="Y6" i="27" s="1"/>
  <c r="Y24" i="24"/>
  <c r="Y24" i="27" s="1"/>
  <c r="Y18" i="23"/>
  <c r="Y18" i="26" s="1"/>
  <c r="X16" i="9"/>
  <c r="X16" i="13" s="1"/>
  <c r="X19" i="8"/>
  <c r="X19" i="10" s="1"/>
  <c r="Y33" i="6"/>
  <c r="Y31" i="6" s="1"/>
  <c r="X91" i="6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14" i="26" s="1"/>
  <c r="X22" i="10"/>
  <c r="Y72" i="29"/>
  <c r="Y6" i="34" s="1"/>
  <c r="Y22" i="10"/>
  <c r="Y25" i="12"/>
  <c r="X29" i="18"/>
  <c r="X17" i="29"/>
  <c r="X5" i="35" s="1"/>
  <c r="X18" i="27"/>
  <c r="X11" i="21"/>
  <c r="X23" i="10"/>
  <c r="X24" i="10"/>
  <c r="X104" i="6"/>
  <c r="Y8" i="30"/>
  <c r="Y24" i="10"/>
  <c r="X28" i="26"/>
  <c r="Y16" i="11"/>
  <c r="Y16" i="14" s="1"/>
  <c r="Y6" i="10"/>
  <c r="X25" i="10"/>
  <c r="X8" i="28"/>
  <c r="X16" i="19"/>
  <c r="X7" i="10"/>
  <c r="Y25" i="10"/>
  <c r="Y19" i="9"/>
  <c r="X12" i="23"/>
  <c r="X12" i="26" s="1"/>
  <c r="Y22" i="21"/>
  <c r="Y13" i="21"/>
  <c r="Y16" i="19"/>
  <c r="Y16" i="23" s="1"/>
  <c r="Y16" i="26" s="1"/>
  <c r="X8" i="10"/>
  <c r="X26" i="10"/>
  <c r="X114" i="6"/>
  <c r="X30" i="25"/>
  <c r="X30" i="28" s="1"/>
  <c r="Y23" i="21"/>
  <c r="X14" i="21"/>
  <c r="X33" i="23"/>
  <c r="X4" i="11"/>
  <c r="Y8" i="10"/>
  <c r="Y26" i="10"/>
  <c r="X15" i="7"/>
  <c r="X15" i="13" s="1"/>
  <c r="Y19" i="7"/>
  <c r="Y27" i="12" s="1"/>
  <c r="Y17" i="37"/>
  <c r="X7" i="28"/>
  <c r="X31" i="25"/>
  <c r="X31" i="28" s="1"/>
  <c r="Y24" i="21"/>
  <c r="X7" i="13"/>
  <c r="X9" i="10"/>
  <c r="X115" i="6"/>
  <c r="X23" i="24"/>
  <c r="X23" i="27" s="1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23" i="28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8" i="27" s="1"/>
  <c r="X23" i="26"/>
  <c r="X4" i="19"/>
  <c r="X26" i="23"/>
  <c r="X26" i="26" s="1"/>
  <c r="Y9" i="14"/>
  <c r="Y25" i="6"/>
  <c r="Y49" i="37"/>
  <c r="X16" i="29"/>
  <c r="Y9" i="23"/>
  <c r="Y9" i="26" s="1"/>
  <c r="X26" i="6"/>
  <c r="X33" i="39"/>
  <c r="Y51" i="38"/>
  <c r="X9" i="38"/>
  <c r="X52" i="38"/>
  <c r="X68" i="29"/>
  <c r="X6" i="30" s="1"/>
  <c r="X10" i="23"/>
  <c r="X10" i="26" s="1"/>
  <c r="Y5" i="29"/>
  <c r="Y5" i="31"/>
  <c r="Y12" i="29"/>
  <c r="Y16" i="29"/>
  <c r="X8" i="23"/>
  <c r="X8" i="26" s="1"/>
  <c r="Y30" i="23"/>
  <c r="Y30" i="26" s="1"/>
  <c r="X24" i="21"/>
  <c r="X29" i="20"/>
  <c r="X31" i="21"/>
  <c r="X4" i="18"/>
  <c r="X3" i="18" s="1"/>
  <c r="X15" i="18"/>
  <c r="X6" i="23"/>
  <c r="X6" i="26" s="1"/>
  <c r="Y32" i="14"/>
  <c r="Y29" i="11"/>
  <c r="Y29" i="8"/>
  <c r="Y30" i="12"/>
  <c r="X69" i="29"/>
  <c r="X6" i="31" s="1"/>
  <c r="Y22" i="28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29" i="13"/>
  <c r="X16" i="14"/>
  <c r="X16" i="12"/>
  <c r="Y8" i="35"/>
  <c r="X8" i="34"/>
  <c r="Y26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28" i="16" s="1"/>
  <c r="Y7" i="12"/>
  <c r="Y4" i="7"/>
  <c r="Y3" i="7" s="1"/>
  <c r="Y7" i="14"/>
  <c r="Y15" i="7"/>
  <c r="Y15" i="12" s="1"/>
  <c r="X10" i="24"/>
  <c r="X10" i="27" s="1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Y11" i="27"/>
  <c r="X14" i="24"/>
  <c r="X14" i="27" s="1"/>
  <c r="Y21" i="28"/>
  <c r="Y10" i="27"/>
  <c r="Y14" i="27"/>
  <c r="Y18" i="27"/>
  <c r="Y22" i="27"/>
  <c r="Y26" i="27"/>
  <c r="Y33" i="26"/>
  <c r="X16" i="22"/>
  <c r="Y7" i="21"/>
  <c r="X16" i="20"/>
  <c r="X18" i="21"/>
  <c r="Y28" i="23"/>
  <c r="Y28" i="26" s="1"/>
  <c r="X16" i="18"/>
  <c r="X18" i="23"/>
  <c r="X18" i="26" s="1"/>
  <c r="Y7" i="13"/>
  <c r="Y11" i="13"/>
  <c r="Y23" i="13"/>
  <c r="X92" i="6"/>
  <c r="X149" i="6"/>
  <c r="X122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5" i="39" l="1"/>
  <c r="X90" i="6"/>
  <c r="X94" i="6"/>
  <c r="X4" i="13"/>
  <c r="Y19" i="23"/>
  <c r="Y19" i="26" s="1"/>
  <c r="Y5" i="37"/>
  <c r="Y37" i="37" s="1"/>
  <c r="X3" i="19"/>
  <c r="X25" i="27"/>
  <c r="X6" i="29"/>
  <c r="Y24" i="15"/>
  <c r="Y5" i="39"/>
  <c r="Y37" i="39" s="1"/>
  <c r="X12" i="36"/>
  <c r="X9" i="29"/>
  <c r="X5" i="29"/>
  <c r="Y139" i="6"/>
  <c r="Y10" i="16"/>
  <c r="X163" i="6"/>
  <c r="X4" i="14"/>
  <c r="X4" i="17" s="1"/>
  <c r="X31" i="6"/>
  <c r="Y29" i="12"/>
  <c r="Y29" i="15" s="1"/>
  <c r="X22" i="15"/>
  <c r="Y29" i="14"/>
  <c r="Y29" i="17" s="1"/>
  <c r="X29" i="23"/>
  <c r="X29" i="26" s="1"/>
  <c r="X15" i="12"/>
  <c r="X15" i="15" s="1"/>
  <c r="X16" i="10"/>
  <c r="X4" i="23"/>
  <c r="X4" i="26" s="1"/>
  <c r="X29" i="10"/>
  <c r="X3" i="8"/>
  <c r="Y27" i="24"/>
  <c r="Y27" i="27" s="1"/>
  <c r="X30" i="26"/>
  <c r="X5" i="26"/>
  <c r="X13" i="26"/>
  <c r="X5" i="27"/>
  <c r="X17" i="26"/>
  <c r="X11" i="27"/>
  <c r="X27" i="13"/>
  <c r="X27" i="16" s="1"/>
  <c r="X9" i="27"/>
  <c r="X13" i="27"/>
  <c r="X113" i="6"/>
  <c r="X143" i="6" s="1"/>
  <c r="X6" i="27"/>
  <c r="X89" i="6"/>
  <c r="X26" i="27"/>
  <c r="X21" i="28"/>
  <c r="X22" i="26"/>
  <c r="X4" i="12"/>
  <c r="X4" i="15" s="1"/>
  <c r="X7" i="27"/>
  <c r="X30" i="27"/>
  <c r="X24" i="27"/>
  <c r="Y30" i="15"/>
  <c r="Y15" i="13"/>
  <c r="Y15" i="16" s="1"/>
  <c r="X33" i="26"/>
  <c r="X32" i="26"/>
  <c r="Y16" i="25"/>
  <c r="Y16" i="28" s="1"/>
  <c r="Y10" i="17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9" i="6" s="1"/>
  <c r="X12" i="27"/>
  <c r="X24" i="26"/>
  <c r="X58" i="6"/>
  <c r="Y50" i="39"/>
  <c r="Y48" i="38"/>
  <c r="X19" i="14"/>
  <c r="X19" i="17" s="1"/>
  <c r="X31" i="27"/>
  <c r="X16" i="23"/>
  <c r="X16" i="26" s="1"/>
  <c r="X5" i="37"/>
  <c r="X38" i="37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X168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0" i="15"/>
  <c r="Y25" i="15"/>
  <c r="Y11" i="16"/>
  <c r="Y17" i="16"/>
  <c r="Y22" i="15"/>
  <c r="Y18" i="16"/>
  <c r="Y17" i="15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29" i="16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144" i="6"/>
  <c r="X29" i="25"/>
  <c r="X29" i="28" s="1"/>
  <c r="X140" i="6"/>
  <c r="X16" i="15"/>
  <c r="X20" i="17"/>
  <c r="X32" i="16"/>
  <c r="X8" i="15"/>
  <c r="X23" i="15"/>
  <c r="Y31" i="36"/>
  <c r="Y34" i="36"/>
  <c r="Y32" i="36"/>
  <c r="X8" i="36"/>
  <c r="X3" i="23"/>
  <c r="X3" i="11"/>
  <c r="X3" i="35"/>
  <c r="Y159" i="6"/>
  <c r="Y135" i="6"/>
  <c r="Y34" i="37"/>
  <c r="X5" i="38"/>
  <c r="X38" i="38" s="1"/>
  <c r="X44" i="37"/>
  <c r="X3" i="31"/>
  <c r="Y163" i="6"/>
  <c r="Y165" i="6"/>
  <c r="Y3" i="31"/>
  <c r="X158" i="6"/>
  <c r="X125" i="6"/>
  <c r="Y164" i="6"/>
  <c r="X3" i="32"/>
  <c r="X3" i="30"/>
  <c r="X3" i="33"/>
  <c r="Y171" i="6"/>
  <c r="Y162" i="6"/>
  <c r="Y38" i="37"/>
  <c r="Y157" i="6"/>
  <c r="Y124" i="6"/>
  <c r="Y134" i="6"/>
  <c r="Y125" i="6"/>
  <c r="X12" i="15"/>
  <c r="X13" i="16"/>
  <c r="X16" i="16"/>
  <c r="Y169" i="6"/>
  <c r="X35" i="39"/>
  <c r="X16" i="25"/>
  <c r="X16" i="28" s="1"/>
  <c r="X30" i="16"/>
  <c r="X9" i="17"/>
  <c r="X31" i="17"/>
  <c r="X147" i="6"/>
  <c r="X26" i="15"/>
  <c r="Y33" i="37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Y36" i="37"/>
  <c r="Y35" i="37"/>
  <c r="Y35" i="39"/>
  <c r="X31" i="36"/>
  <c r="X34" i="36"/>
  <c r="X38" i="39"/>
  <c r="Y39" i="37"/>
  <c r="Y40" i="37"/>
  <c r="Y32" i="37"/>
  <c r="X37" i="39"/>
  <c r="X39" i="37" l="1"/>
  <c r="X3" i="14"/>
  <c r="X40" i="37"/>
  <c r="Y36" i="39"/>
  <c r="X32" i="36"/>
  <c r="X34" i="37"/>
  <c r="X3" i="29"/>
  <c r="X3" i="12"/>
  <c r="Y44" i="39"/>
  <c r="Y38" i="39"/>
  <c r="X37" i="37"/>
  <c r="X32" i="37"/>
  <c r="X33" i="37"/>
  <c r="Y39" i="38"/>
  <c r="Y44" i="38"/>
  <c r="X44" i="39"/>
  <c r="X35" i="37"/>
  <c r="X36" i="37"/>
  <c r="X31" i="37" s="1"/>
  <c r="X3" i="13"/>
  <c r="X3" i="16" s="1"/>
  <c r="X3" i="10"/>
  <c r="X167" i="6"/>
  <c r="X153" i="6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" i="17"/>
  <c r="X39" i="38"/>
  <c r="X37" i="38"/>
  <c r="Y3" i="35"/>
  <c r="X32" i="38"/>
  <c r="Y3" i="14"/>
  <c r="Y3" i="34"/>
  <c r="Y3" i="25"/>
  <c r="X3" i="1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Y31" i="37"/>
  <c r="Y31" i="38" l="1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K5" i="29" s="1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R7" i="29"/>
  <c r="T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3" i="31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9" i="23" l="1"/>
  <c r="S3" i="35"/>
  <c r="U15" i="24"/>
  <c r="R3" i="35"/>
  <c r="N3" i="29"/>
  <c r="T3" i="35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90" i="6" l="1"/>
  <c r="S90" i="6"/>
  <c r="C91" i="6"/>
  <c r="R90" i="6"/>
  <c r="T56" i="6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5" s="1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J10" i="28" s="1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F31" i="21"/>
  <c r="F29" i="19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30" i="27"/>
  <c r="L30" i="21"/>
  <c r="L29" i="20"/>
  <c r="H30" i="21"/>
  <c r="H29" i="20"/>
  <c r="D30" i="21"/>
  <c r="D29" i="20"/>
  <c r="I29" i="20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O16" i="14" l="1"/>
  <c r="K29" i="24"/>
  <c r="K29" i="13"/>
  <c r="C19" i="24"/>
  <c r="F16" i="13"/>
  <c r="E4" i="24"/>
  <c r="B161" i="6"/>
  <c r="I29" i="24"/>
  <c r="C16" i="24"/>
  <c r="J19" i="24"/>
  <c r="P29" i="24"/>
  <c r="F29" i="23"/>
  <c r="J4" i="13"/>
  <c r="J29" i="23"/>
  <c r="C4" i="24"/>
  <c r="P19" i="13"/>
  <c r="F16" i="12"/>
  <c r="K16" i="24"/>
  <c r="P29" i="25"/>
  <c r="P29" i="28" s="1"/>
  <c r="D16" i="23"/>
  <c r="D16" i="26" s="1"/>
  <c r="J29" i="12"/>
  <c r="J29" i="15" s="1"/>
  <c r="D16" i="24"/>
  <c r="L16" i="25"/>
  <c r="L16" i="28" s="1"/>
  <c r="K29" i="12"/>
  <c r="K29" i="15" s="1"/>
  <c r="O4" i="24"/>
  <c r="O4" i="27" s="1"/>
  <c r="E19" i="14"/>
  <c r="E19" i="17" s="1"/>
  <c r="O4" i="23"/>
  <c r="O4" i="26" s="1"/>
  <c r="N19" i="24"/>
  <c r="N19" i="27" s="1"/>
  <c r="C16" i="13"/>
  <c r="C16" i="16" s="1"/>
  <c r="N19" i="23"/>
  <c r="N19" i="26" s="1"/>
  <c r="G16" i="12"/>
  <c r="G16" i="15" s="1"/>
  <c r="C4" i="13"/>
  <c r="C4" i="16" s="1"/>
  <c r="O4" i="12"/>
  <c r="O4" i="15" s="1"/>
  <c r="E4" i="23"/>
  <c r="E4" i="26" s="1"/>
  <c r="H4" i="12"/>
  <c r="H4" i="15" s="1"/>
  <c r="J29" i="13"/>
  <c r="C4" i="12"/>
  <c r="F4" i="24"/>
  <c r="F4" i="27" s="1"/>
  <c r="G19" i="24"/>
  <c r="P29" i="12"/>
  <c r="H29" i="23"/>
  <c r="O29" i="13"/>
  <c r="P19" i="24"/>
  <c r="J19" i="23"/>
  <c r="P29" i="13"/>
  <c r="P29" i="16" s="1"/>
  <c r="H29" i="24"/>
  <c r="H29" i="27" s="1"/>
  <c r="G19" i="23"/>
  <c r="G19" i="26" s="1"/>
  <c r="O29" i="23"/>
  <c r="O29" i="26" s="1"/>
  <c r="O29" i="12"/>
  <c r="O29" i="15" s="1"/>
  <c r="C17" i="16"/>
  <c r="E4" i="13"/>
  <c r="E4" i="16" s="1"/>
  <c r="P4" i="12"/>
  <c r="P4" i="15" s="1"/>
  <c r="O4" i="13"/>
  <c r="O4" i="16" s="1"/>
  <c r="K4" i="24"/>
  <c r="D16" i="13"/>
  <c r="O16" i="24"/>
  <c r="O16" i="27" s="1"/>
  <c r="B16" i="13"/>
  <c r="B16" i="16" s="1"/>
  <c r="M29" i="24"/>
  <c r="M29" i="27" s="1"/>
  <c r="L19" i="24"/>
  <c r="L19" i="27" s="1"/>
  <c r="N29" i="13"/>
  <c r="K19" i="12"/>
  <c r="K19" i="15" s="1"/>
  <c r="H29" i="12"/>
  <c r="H29" i="15" s="1"/>
  <c r="D16" i="25"/>
  <c r="D16" i="28" s="1"/>
  <c r="O29" i="24"/>
  <c r="J4" i="12"/>
  <c r="H4" i="23"/>
  <c r="H4" i="26" s="1"/>
  <c r="Q16" i="13"/>
  <c r="O16" i="12"/>
  <c r="N4" i="12"/>
  <c r="N4" i="15" s="1"/>
  <c r="L4" i="23"/>
  <c r="N29" i="24"/>
  <c r="D16" i="14"/>
  <c r="D16" i="17" s="1"/>
  <c r="K16" i="12"/>
  <c r="K16" i="15" s="1"/>
  <c r="I29" i="23"/>
  <c r="C19" i="23"/>
  <c r="F4" i="12"/>
  <c r="F4" i="15" s="1"/>
  <c r="E19" i="24"/>
  <c r="E19" i="27" s="1"/>
  <c r="P16" i="25"/>
  <c r="G29" i="12"/>
  <c r="G29" i="15" s="1"/>
  <c r="G29" i="13"/>
  <c r="I4" i="23"/>
  <c r="I4" i="26" s="1"/>
  <c r="G16" i="13"/>
  <c r="G16" i="16" s="1"/>
  <c r="N29" i="23"/>
  <c r="N29" i="26" s="1"/>
  <c r="C19" i="13"/>
  <c r="C19" i="16" s="1"/>
  <c r="K19" i="24"/>
  <c r="K19" i="27" s="1"/>
  <c r="O19" i="23"/>
  <c r="O19" i="26" s="1"/>
  <c r="Q29" i="24"/>
  <c r="Q29" i="27" s="1"/>
  <c r="G29" i="24"/>
  <c r="G29" i="27" s="1"/>
  <c r="C19" i="12"/>
  <c r="C19" i="15" s="1"/>
  <c r="P16" i="23"/>
  <c r="P16" i="26" s="1"/>
  <c r="M4" i="14"/>
  <c r="M4" i="17" s="1"/>
  <c r="O16" i="13"/>
  <c r="O16" i="23"/>
  <c r="O16" i="26" s="1"/>
  <c r="F19" i="12"/>
  <c r="F19" i="15" s="1"/>
  <c r="M16" i="24"/>
  <c r="J4" i="23"/>
  <c r="J4" i="26" s="1"/>
  <c r="P19" i="12"/>
  <c r="P19" i="15" s="1"/>
  <c r="H4" i="24"/>
  <c r="M4" i="12"/>
  <c r="O19" i="24"/>
  <c r="O19" i="27" s="1"/>
  <c r="P16" i="24"/>
  <c r="P16" i="27" s="1"/>
  <c r="L19" i="13"/>
  <c r="G4" i="23"/>
  <c r="P4" i="24"/>
  <c r="P4" i="27" s="1"/>
  <c r="C29" i="24"/>
  <c r="C29" i="27" s="1"/>
  <c r="G4" i="24"/>
  <c r="G4" i="27" s="1"/>
  <c r="I4" i="24"/>
  <c r="I4" i="27" s="1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4" i="24"/>
  <c r="D4" i="27" s="1"/>
  <c r="P19" i="23"/>
  <c r="P19" i="26" s="1"/>
  <c r="N16" i="14"/>
  <c r="D4" i="13"/>
  <c r="N16" i="12"/>
  <c r="N16" i="15" s="1"/>
  <c r="E16" i="12"/>
  <c r="E16" i="15" s="1"/>
  <c r="I16" i="14"/>
  <c r="I16" i="17" s="1"/>
  <c r="Q4" i="23"/>
  <c r="Q4" i="26" s="1"/>
  <c r="J29" i="24"/>
  <c r="J29" i="27" s="1"/>
  <c r="P16" i="13"/>
  <c r="P16" i="16" s="1"/>
  <c r="C29" i="12"/>
  <c r="G16" i="24"/>
  <c r="G16" i="27" s="1"/>
  <c r="I4" i="12"/>
  <c r="I4" i="15" s="1"/>
  <c r="L16" i="13"/>
  <c r="L16" i="16" s="1"/>
  <c r="B29" i="13"/>
  <c r="B29" i="16" s="1"/>
  <c r="L4" i="24"/>
  <c r="L4" i="27" s="1"/>
  <c r="Q29" i="23"/>
  <c r="Q29" i="26" s="1"/>
  <c r="G16" i="25"/>
  <c r="G16" i="28" s="1"/>
  <c r="Q4" i="24"/>
  <c r="Q4" i="27" s="1"/>
  <c r="D4" i="23"/>
  <c r="D4" i="26" s="1"/>
  <c r="C29" i="13"/>
  <c r="C29" i="16" s="1"/>
  <c r="B29" i="12"/>
  <c r="B29" i="15" s="1"/>
  <c r="H19" i="24"/>
  <c r="H19" i="27" s="1"/>
  <c r="Q4" i="12"/>
  <c r="Q4" i="15" s="1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M19" i="26" s="1"/>
  <c r="F4" i="23"/>
  <c r="F4" i="26" s="1"/>
  <c r="N16" i="23"/>
  <c r="N16" i="26" s="1"/>
  <c r="J4" i="24"/>
  <c r="J4" i="27" s="1"/>
  <c r="H4" i="13"/>
  <c r="H4" i="16" s="1"/>
  <c r="H19" i="13"/>
  <c r="H19" i="16" s="1"/>
  <c r="I19" i="24"/>
  <c r="I19" i="27" s="1"/>
  <c r="K16" i="23"/>
  <c r="K16" i="26" s="1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E4" i="15" s="1"/>
  <c r="M19" i="12"/>
  <c r="M19" i="15" s="1"/>
  <c r="N27" i="12"/>
  <c r="N27" i="13"/>
  <c r="N27" i="16" s="1"/>
  <c r="E29" i="23"/>
  <c r="E29" i="26" s="1"/>
  <c r="N19" i="13"/>
  <c r="N19" i="16" s="1"/>
  <c r="M16" i="12"/>
  <c r="M16" i="15" s="1"/>
  <c r="E29" i="12"/>
  <c r="E29" i="15" s="1"/>
  <c r="P27" i="13"/>
  <c r="P27" i="12"/>
  <c r="P27" i="15" s="1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6" s="1"/>
  <c r="I27" i="12"/>
  <c r="I27" i="15" s="1"/>
  <c r="E27" i="12"/>
  <c r="E27" i="15" s="1"/>
  <c r="E27" i="13"/>
  <c r="E27" i="16" s="1"/>
  <c r="E19" i="23"/>
  <c r="E19" i="26" s="1"/>
  <c r="D15" i="23"/>
  <c r="D15" i="26" s="1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B16" i="15" s="1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G15" i="23"/>
  <c r="G15" i="24"/>
  <c r="G15" i="27" s="1"/>
  <c r="H27" i="23"/>
  <c r="H27" i="26" s="1"/>
  <c r="H27" i="24"/>
  <c r="H27" i="27" s="1"/>
  <c r="Q29" i="13"/>
  <c r="Q29" i="16" s="1"/>
  <c r="I16" i="12"/>
  <c r="I16" i="15" s="1"/>
  <c r="F29" i="13"/>
  <c r="F29" i="16" s="1"/>
  <c r="D29" i="13"/>
  <c r="D29" i="16" s="1"/>
  <c r="C4" i="23"/>
  <c r="C4" i="26" s="1"/>
  <c r="K4" i="23"/>
  <c r="K4" i="26" s="1"/>
  <c r="M19" i="13"/>
  <c r="M19" i="16" s="1"/>
  <c r="N4" i="21"/>
  <c r="N4" i="24"/>
  <c r="N4" i="27" s="1"/>
  <c r="P4" i="13"/>
  <c r="P4" i="16" s="1"/>
  <c r="G29" i="23"/>
  <c r="G29" i="26" s="1"/>
  <c r="B19" i="13"/>
  <c r="B19" i="16" s="1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O19" i="15" s="1"/>
  <c r="G27" i="24"/>
  <c r="G27" i="27" s="1"/>
  <c r="G27" i="23"/>
  <c r="G27" i="26" s="1"/>
  <c r="L4" i="13"/>
  <c r="L4" i="16" s="1"/>
  <c r="K4" i="12"/>
  <c r="K4" i="15" s="1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4"/>
  <c r="K15" i="27" s="1"/>
  <c r="P27" i="23"/>
  <c r="P27" i="26" s="1"/>
  <c r="P27" i="24"/>
  <c r="P27" i="27" s="1"/>
  <c r="P16" i="12"/>
  <c r="P16" i="15" s="1"/>
  <c r="F4" i="13"/>
  <c r="F4" i="16" s="1"/>
  <c r="L29" i="13"/>
  <c r="L29" i="16" s="1"/>
  <c r="L15" i="23"/>
  <c r="L15" i="26" s="1"/>
  <c r="L15" i="24"/>
  <c r="L15" i="27" s="1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B19" i="15" s="1"/>
  <c r="I27" i="23"/>
  <c r="I27" i="26" s="1"/>
  <c r="I27" i="24"/>
  <c r="I27" i="27" s="1"/>
  <c r="D27" i="23"/>
  <c r="D27" i="26" s="1"/>
  <c r="D27" i="24"/>
  <c r="D27" i="27" s="1"/>
  <c r="L29" i="24"/>
  <c r="L29" i="27" s="1"/>
  <c r="L19" i="23"/>
  <c r="L19" i="26" s="1"/>
  <c r="C15" i="24"/>
  <c r="C15" i="27" s="1"/>
  <c r="C15" i="23"/>
  <c r="C15" i="26" s="1"/>
  <c r="F27" i="13"/>
  <c r="F27" i="16" s="1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P29" i="15"/>
  <c r="O31" i="15"/>
  <c r="O16" i="17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6"/>
  <c r="G29" i="10"/>
  <c r="F3" i="8"/>
  <c r="F16" i="15"/>
  <c r="F29" i="15"/>
  <c r="G16" i="21"/>
  <c r="O3" i="19"/>
  <c r="I3" i="19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1"/>
  <c r="N3" i="20"/>
  <c r="N3" i="24" s="1"/>
  <c r="J3" i="19"/>
  <c r="K4" i="14"/>
  <c r="K4" i="17" s="1"/>
  <c r="K3" i="11"/>
  <c r="K3" i="14" s="1"/>
  <c r="J4" i="21"/>
  <c r="Q29" i="21"/>
  <c r="J29" i="21"/>
  <c r="G29" i="21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N30" i="15"/>
  <c r="N31" i="15"/>
  <c r="N32" i="15"/>
  <c r="N33" i="15"/>
  <c r="N4" i="25"/>
  <c r="N4" i="28" s="1"/>
  <c r="N3" i="22"/>
  <c r="N3" i="25" s="1"/>
  <c r="N3" i="28" s="1"/>
  <c r="P29" i="27"/>
  <c r="P29" i="21"/>
  <c r="N3" i="19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4" i="16"/>
  <c r="D3" i="9"/>
  <c r="H16" i="10"/>
  <c r="F17" i="16"/>
  <c r="B18" i="16"/>
  <c r="L19" i="10"/>
  <c r="L19" i="16"/>
  <c r="N29" i="16"/>
  <c r="N29" i="10"/>
  <c r="N31" i="16"/>
  <c r="F33" i="16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C25" i="15"/>
  <c r="P27" i="16"/>
  <c r="E8" i="15"/>
  <c r="E12" i="15"/>
  <c r="C17" i="15"/>
  <c r="C44" i="37"/>
  <c r="Q44" i="37"/>
  <c r="P10" i="30"/>
  <c r="H10" i="31"/>
  <c r="F3" i="20"/>
  <c r="F3" i="24" s="1"/>
  <c r="F4" i="21"/>
  <c r="F16" i="27"/>
  <c r="F16" i="21"/>
  <c r="E4" i="14"/>
  <c r="E4" i="17" s="1"/>
  <c r="E3" i="11"/>
  <c r="E3" i="14" s="1"/>
  <c r="C3" i="9"/>
  <c r="C3" i="13" s="1"/>
  <c r="C4" i="10"/>
  <c r="O16" i="16"/>
  <c r="O16" i="10"/>
  <c r="O19" i="10"/>
  <c r="O29" i="16"/>
  <c r="O29" i="10"/>
  <c r="N3" i="8"/>
  <c r="N19" i="15"/>
  <c r="N29" i="15"/>
  <c r="G3" i="22"/>
  <c r="G3" i="25" s="1"/>
  <c r="G3" i="28" s="1"/>
  <c r="G4" i="25"/>
  <c r="G4" i="28" s="1"/>
  <c r="L19" i="21"/>
  <c r="P19" i="27"/>
  <c r="P19" i="21"/>
  <c r="M3" i="19"/>
  <c r="C3" i="22"/>
  <c r="C3" i="25" s="1"/>
  <c r="C3" i="28" s="1"/>
  <c r="C4" i="25"/>
  <c r="C4" i="28" s="1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3" i="9"/>
  <c r="L3" i="13" s="1"/>
  <c r="N16" i="16"/>
  <c r="N16" i="10"/>
  <c r="F18" i="16"/>
  <c r="F31" i="16"/>
  <c r="C16" i="15"/>
  <c r="E16" i="21"/>
  <c r="N4" i="26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0"/>
  <c r="C19" i="10"/>
  <c r="C29" i="10"/>
  <c r="B3" i="8"/>
  <c r="O3" i="22"/>
  <c r="O3" i="25" s="1"/>
  <c r="O3" i="28" s="1"/>
  <c r="O4" i="25"/>
  <c r="O4" i="28" s="1"/>
  <c r="I4" i="21"/>
  <c r="I3" i="20"/>
  <c r="I3" i="24" s="1"/>
  <c r="C19" i="27"/>
  <c r="C19" i="21"/>
  <c r="K19" i="21"/>
  <c r="K29" i="21"/>
  <c r="K29" i="27"/>
  <c r="E3" i="19"/>
  <c r="Q3" i="19"/>
  <c r="J19" i="25"/>
  <c r="J19" i="28" s="1"/>
  <c r="C4" i="21"/>
  <c r="C3" i="20"/>
  <c r="C3" i="24" s="1"/>
  <c r="C4" i="27"/>
  <c r="O4" i="21"/>
  <c r="O3" i="20"/>
  <c r="O3" i="24" s="1"/>
  <c r="D16" i="27"/>
  <c r="D16" i="21"/>
  <c r="Q16" i="27"/>
  <c r="Q16" i="21"/>
  <c r="O29" i="21"/>
  <c r="O29" i="27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1"/>
  <c r="N29" i="27"/>
  <c r="N29" i="21"/>
  <c r="Q19" i="26"/>
  <c r="J19" i="26"/>
  <c r="C4" i="14"/>
  <c r="C4" i="17" s="1"/>
  <c r="C3" i="11"/>
  <c r="C3" i="14" s="1"/>
  <c r="C3" i="17" s="1"/>
  <c r="G9" i="17"/>
  <c r="G20" i="17"/>
  <c r="C22" i="17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L6" i="26"/>
  <c r="L22" i="26"/>
  <c r="L18" i="26"/>
  <c r="L26" i="26"/>
  <c r="L31" i="27"/>
  <c r="L31" i="26"/>
  <c r="L10" i="27"/>
  <c r="K3" i="19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C18" i="15"/>
  <c r="M20" i="15"/>
  <c r="M26" i="15"/>
  <c r="C32" i="15"/>
  <c r="K5" i="16"/>
  <c r="B90" i="6"/>
  <c r="J22" i="16"/>
  <c r="N28" i="16"/>
  <c r="G15" i="15"/>
  <c r="E4" i="10"/>
  <c r="P19" i="10"/>
  <c r="P19" i="16"/>
  <c r="M22" i="16"/>
  <c r="K7" i="1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O7" i="16"/>
  <c r="B29" i="10"/>
  <c r="M23" i="15"/>
  <c r="M28" i="15"/>
  <c r="C15" i="15"/>
  <c r="E9" i="16"/>
  <c r="C21" i="15"/>
  <c r="M32" i="15"/>
  <c r="M5" i="15"/>
  <c r="M9" i="15"/>
  <c r="M13" i="15"/>
  <c r="B154" i="6" l="1"/>
  <c r="B130" i="6"/>
  <c r="G3" i="13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5" i="4"/>
  <c r="B23" i="4"/>
  <c r="B43" i="4"/>
  <c r="B24" i="4"/>
  <c r="B17" i="4"/>
  <c r="B36" i="4"/>
  <c r="B7" i="4"/>
  <c r="B42" i="4"/>
  <c r="B33" i="4"/>
  <c r="B21" i="4"/>
  <c r="B39" i="4"/>
  <c r="B37" i="4"/>
  <c r="B13" i="4"/>
  <c r="B26" i="4"/>
  <c r="B4" i="4"/>
  <c r="B11" i="4"/>
  <c r="B12" i="4"/>
  <c r="B34" i="4"/>
  <c r="B14" i="4"/>
  <c r="B29" i="4"/>
  <c r="B9" i="4"/>
  <c r="B10" i="4"/>
  <c r="B15" i="4"/>
  <c r="B38" i="4"/>
  <c r="B16" i="4"/>
  <c r="B27" i="4"/>
  <c r="B44" i="4"/>
  <c r="B8" i="4"/>
  <c r="B22" i="4"/>
  <c r="B25" i="4"/>
  <c r="B20" i="4"/>
  <c r="B28" i="4"/>
  <c r="B45" i="4"/>
  <c r="B30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<sst xmlns="http://schemas.openxmlformats.org/spreadsheetml/2006/main" count="2101" uniqueCount="1057">
  <si>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</si>
  <si>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</si>
  <si>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</si>
  <si>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</si>
  <si>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</si>
  <si>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</si>
  <si>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</si>
  <si>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</si>
  <si>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</si>
  <si>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</si>
  <si>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</si>
  <si>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</si>
  <si>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</si>
  <si>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</si>
  <si>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</si>
  <si>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</si>
  <si>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</si>
  <si>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</si>
  <si>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</si>
  <si>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</si>
  <si>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</si>
  <si>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</si>
  <si>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</si>
  <si>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</si>
  <si>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</si>
  <si>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</si>
  <si>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</si>
  <si>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</si>
  <si>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</si>
  <si>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</si>
  <si>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</si>
  <si>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</si>
  <si>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</si>
  <si>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</si>
  <si>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</si>
  <si>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</si>
  <si>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</si>
  <si>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</si>
  <si>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</si>
  <si>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</si>
  <si>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</si>
  <si>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</si>
  <si>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</si>
  <si>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</si>
  <si>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</si>
  <si>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</si>
  <si>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</si>
  <si>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</si>
  <si>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</si>
  <si>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</si>
  <si>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</si>
  <si>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</si>
  <si>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</si>
  <si>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</si>
  <si>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</si>
  <si>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</si>
  <si>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</si>
  <si>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</si>
  <si>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</si>
  <si>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</si>
  <si>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</si>
  <si>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</si>
  <si>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</si>
  <si>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</si>
  <si>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</si>
  <si>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</si>
  <si>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</si>
  <si>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</si>
  <si>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</si>
  <si>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</si>
  <si>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</si>
  <si>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</si>
  <si>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</si>
  <si>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</si>
  <si>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</si>
  <si>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</si>
  <si>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</si>
  <si>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</si>
  <si>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</si>
  <si>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</si>
  <si>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</si>
  <si>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</si>
  <si>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</si>
  <si>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</si>
  <si>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</si>
  <si>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</si>
  <si>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</si>
  <si>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</si>
  <si>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</si>
  <si>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</si>
  <si>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</si>
  <si>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</si>
  <si>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</si>
  <si>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</si>
  <si>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</si>
  <si>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</si>
  <si>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</si>
  <si>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</si>
  <si>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</si>
  <si>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</si>
  <si>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</si>
  <si>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</si>
  <si>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</si>
  <si>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</si>
  <si>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</si>
  <si>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</si>
  <si>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</si>
  <si>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</si>
  <si>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</si>
  <si>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</si>
  <si>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</si>
  <si>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</si>
  <si>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</si>
  <si>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</si>
  <si>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</si>
  <si>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</si>
  <si>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</si>
  <si>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</si>
  <si>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</si>
  <si>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</si>
  <si>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</si>
  <si>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</si>
  <si>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</si>
  <si>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</si>
  <si>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</si>
  <si>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</si>
  <si>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</si>
  <si>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</si>
  <si>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</si>
  <si>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</si>
  <si>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</si>
  <si>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</si>
  <si>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</si>
  <si>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</si>
  <si>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</si>
  <si>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</si>
  <si>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</si>
  <si>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</si>
  <si>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</si>
  <si>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</si>
  <si>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</si>
  <si>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</si>
  <si>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</si>
  <si>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</si>
  <si>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</si>
  <si>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</si>
  <si>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</si>
  <si>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</si>
  <si>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</si>
  <si>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</si>
  <si>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</si>
  <si>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</si>
  <si>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</si>
  <si>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</si>
  <si>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</si>
  <si>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</si>
  <si>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</si>
  <si>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</si>
  <si>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</si>
  <si>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</si>
  <si>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</si>
  <si>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</si>
  <si>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</si>
  <si>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</si>
  <si>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</si>
  <si>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</si>
  <si>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</si>
  <si>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</si>
  <si>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</si>
  <si>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</si>
  <si>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</si>
  <si>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</si>
  <si>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</si>
  <si>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</si>
  <si>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</si>
  <si>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</si>
  <si>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</si>
  <si>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</si>
  <si>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</si>
  <si>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</si>
  <si>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</si>
  <si>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</si>
  <si>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</si>
  <si>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</si>
  <si>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</si>
  <si>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SE</t>
  </si>
  <si>
    <t>Sweden</t>
  </si>
  <si>
    <t>SE - Services sector summary</t>
  </si>
  <si>
    <t>Macro.number.SE.Population</t>
  </si>
  <si>
    <t>Macro.Meuro2015.SE.GDP</t>
  </si>
  <si>
    <t>Macro.Meuro2015.SE.VA</t>
  </si>
  <si>
    <t>Macro.number.SE.Employees</t>
  </si>
  <si>
    <t>NUM.number.SE.Ser.Bld</t>
  </si>
  <si>
    <t>SurfaceArea.ksqm.SE.Ser.Bld</t>
  </si>
  <si>
    <t>NUM.number.SE.Ser.BldNew</t>
  </si>
  <si>
    <t>SurfaceArea.ksqm.SE.Ser.BldNew</t>
  </si>
  <si>
    <t>HDD.Celsius.SE.Actual</t>
  </si>
  <si>
    <t>HDD.Celsius.SE.Mean</t>
  </si>
  <si>
    <t>HDD.ratio.SE.Relative</t>
  </si>
  <si>
    <t>FEC.ktoe.SE.ES.Ser</t>
  </si>
  <si>
    <t>FEC.ktoe.SE.ES.Ser.Solids</t>
  </si>
  <si>
    <t>FEC.ktoe.SE.ES.Ser.LPG</t>
  </si>
  <si>
    <t>FEC.ktoe.SE.ES.Ser.Oil</t>
  </si>
  <si>
    <t>FEC.ktoe.SE.ES.Ser.NG</t>
  </si>
  <si>
    <t>FEC.ktoe.SE.ES.Ser.Biomass_Waste</t>
  </si>
  <si>
    <t>FEC.ktoe.SE.ES.Ser.Biogas</t>
  </si>
  <si>
    <t>FEC.ktoe.SE.ES.Ser.LiqBio</t>
  </si>
  <si>
    <t>FEC.ktoe.SE.ES.Ser.Solar</t>
  </si>
  <si>
    <t>FEC.ktoe.SE.ES.Ser.Geo</t>
  </si>
  <si>
    <t>FEC.ktoe.SE.ES.Ser.Ambient</t>
  </si>
  <si>
    <t>FEC.ktoe.SE.ES.Ser.Steam_Distr</t>
  </si>
  <si>
    <t>FEC.ktoe.SE.ES.Ser.Elec</t>
  </si>
  <si>
    <t>FEC.ktoe.SE.Ser</t>
  </si>
  <si>
    <t>FEC.ktoe.SE.Ser.Bld.Thermal</t>
  </si>
  <si>
    <t>FEC.ktoe.SE.Ser.Bld.Thermal.SH</t>
  </si>
  <si>
    <t>FEC.ktoe.SE.Ser.Bld.Thermal.SC</t>
  </si>
  <si>
    <t>FEC.ktoe.SE.Ser.Bld.Thermal.HW</t>
  </si>
  <si>
    <t>FEC.ktoe.SE.Ser.Bld.Thermal.CA</t>
  </si>
  <si>
    <t>FEC.ktoe.SE.Ser.SEU</t>
  </si>
  <si>
    <t>EMI.ktCO2.SE.ES.Ser</t>
  </si>
  <si>
    <t>EMI.ktCO2.SE.ES.Ser.Solids</t>
  </si>
  <si>
    <t>EMI.ktCO2.SE.ES.Ser.LPG</t>
  </si>
  <si>
    <t>EMI.ktCO2.SE.ES.Ser.Oil</t>
  </si>
  <si>
    <t>EMI.ktCO2.SE.ES.Ser.NG</t>
  </si>
  <si>
    <t>EMI.ktCO2.SE.ES.Ser.Biomass_Waste</t>
  </si>
  <si>
    <t>EMI.ktCO2.SE.ES.Ser.Biogas</t>
  </si>
  <si>
    <t>EMI.ktCO2.SE.ES.Ser.LiqBio</t>
  </si>
  <si>
    <t>EMI.ktCO2.SE.ES.Ser.Solar</t>
  </si>
  <si>
    <t>EMI.ktCO2.SE.ES.Ser.Geo</t>
  </si>
  <si>
    <t>EMI.ktCO2.SE.ES.Ser.Ambient</t>
  </si>
  <si>
    <t>EMI.ktCO2.SE.ES.Ser.Steam_Distr</t>
  </si>
  <si>
    <t>EMI.ktCO2.SE.ES.Ser.Elec</t>
  </si>
  <si>
    <t>EMI.ktCO2.SE.Ser</t>
  </si>
  <si>
    <t>EMI.ktCO2.SE.Ser.Bld.Thermal</t>
  </si>
  <si>
    <t>EMI.ktCO2.SE.Ser.Bld.Thermal.SH</t>
  </si>
  <si>
    <t>EMI.ktCO2.SE.Ser.Bld.Thermal.SC</t>
  </si>
  <si>
    <t>EMI.ktCO2.SE.Ser.Bld.Thermal.HW</t>
  </si>
  <si>
    <t>EMI.ktCO2.SE.Ser.Bld.Thermal.CA</t>
  </si>
  <si>
    <t>EMI.ktCO2.SE.Ser.SEU</t>
  </si>
  <si>
    <t>Eff.ratio.SE.Ser.Bld.Thermal</t>
  </si>
  <si>
    <t>Eff.ratio.SE.Ser.Bld.Thermal.SH</t>
  </si>
  <si>
    <t>Eff.ratio.SE.Ser.Bld.Thermal.SC</t>
  </si>
  <si>
    <t>Eff.ratio.SE.Ser.Bld.Thermal.HW</t>
  </si>
  <si>
    <t>Eff.ratio.SE.Ser.Bld.Thermal.CA</t>
  </si>
  <si>
    <t>SE - Number of buildings</t>
  </si>
  <si>
    <t>NUM.number.SE.Ser.Bld.Thermal</t>
  </si>
  <si>
    <t>NUM.number.SE.Ser.Bld.Thermal.SH</t>
  </si>
  <si>
    <t>NUM.number.SE.Ser.Bld.Thermal.SH.Solids</t>
  </si>
  <si>
    <t>NUM.number.SE.Ser.Bld.Thermal.SH.LPG</t>
  </si>
  <si>
    <t>NUM.number.SE.Ser.Bld.Thermal.SH.Oil</t>
  </si>
  <si>
    <t>NUM.number.SE.Ser.Bld.Thermal.SH.GasHP</t>
  </si>
  <si>
    <t>NUM.number.SE.Ser.Bld.Thermal.SH.GasTH</t>
  </si>
  <si>
    <t>NUM.number.SE.Ser.Bld.Thermal.SH.Biomass</t>
  </si>
  <si>
    <t>NUM.number.SE.Ser.Bld.Thermal.SH.Geo</t>
  </si>
  <si>
    <t>NUM.number.SE.Ser.Bld.Thermal.SH.DistrHeat</t>
  </si>
  <si>
    <t>NUM.number.SE.Ser.Bld.Thermal.SH.AdvElc</t>
  </si>
  <si>
    <t>NUM.number.SE.Ser.Bld.Thermal.SH.ConvElc</t>
  </si>
  <si>
    <t>NUM.number.SE.Ser.Bld.Thermal.SC</t>
  </si>
  <si>
    <t>NUM.number.SE.Ser.Bld.Thermal.SC.GasHP</t>
  </si>
  <si>
    <t>NUM.number.SE.Ser.Bld.Thermal.SC.AC</t>
  </si>
  <si>
    <t>NUM.number.SE.Ser.Bld.Thermal.HW</t>
  </si>
  <si>
    <t>NUM.number.SE.Ser.Bld.Thermal.HW.Solids</t>
  </si>
  <si>
    <t>NUM.number.SE.Ser.Bld.Thermal.HW.LPG</t>
  </si>
  <si>
    <t>NUM.number.SE.Ser.Bld.Thermal.HW.Oil</t>
  </si>
  <si>
    <t>NUM.number.SE.Ser.Bld.Thermal.HW.Gas</t>
  </si>
  <si>
    <t>NUM.number.SE.Ser.Bld.Thermal.HW.Biomass</t>
  </si>
  <si>
    <t>NUM.number.SE.Ser.Bld.Thermal.HW.DistrHeat</t>
  </si>
  <si>
    <t>NUM.number.SE.Ser.Bld.Thermal.HW.Elc</t>
  </si>
  <si>
    <t>NUM.number.SE.Ser.Bld.Thermal.HW.Solar</t>
  </si>
  <si>
    <t>NUM.number.SE.Ser.Bld.Thermal.CA</t>
  </si>
  <si>
    <t>NUM.number.SE.Ser.Bld.Thermal.CA.LPG</t>
  </si>
  <si>
    <t>NUM.number.SE.Ser.Bld.Thermal.CA.Gas</t>
  </si>
  <si>
    <t>NUM.number.SE.Ser.Bld.Thermal.CA.Biomass</t>
  </si>
  <si>
    <t>NUM.number.SE.Ser.Bld.Thermal.CA.Elc</t>
  </si>
  <si>
    <t>SE - Final energy consumption</t>
  </si>
  <si>
    <t>FEC.ktoe.SE.Ser.Bld.Thermal.SH.Solids.Solids</t>
  </si>
  <si>
    <t>FEC.ktoe.SE.Ser.Bld.Thermal.SH.LPG.LPG</t>
  </si>
  <si>
    <t>FEC.ktoe.SE.Ser.Bld.Thermal.SH.Oil.Oil_LiqBio</t>
  </si>
  <si>
    <t>FEC.ktoe.SE.Ser.Bld.Thermal.SH.GasHP.NG_Biogas</t>
  </si>
  <si>
    <t>FEC.ktoe.SE.Ser.Bld.Thermal.SH.GasTH.NG_Biogas</t>
  </si>
  <si>
    <t>FEC.ktoe.SE.Ser.Bld.Thermal.SH.Biomass.Biomass_Waste</t>
  </si>
  <si>
    <t>FEC.ktoe.SE.Ser.Bld.Thermal.SH.Geo.Geo</t>
  </si>
  <si>
    <t>FEC.ktoe.SE.Ser.Bld.Thermal.SH.DistrHeat.Steam_Distr</t>
  </si>
  <si>
    <t>FEC.ktoe.SE.Ser.Bld.Thermal.SH.AdvElc.Elec</t>
  </si>
  <si>
    <t>FEC.ktoe.SE.Ser.Bld.Thermal.SH.ConvElc.Elec</t>
  </si>
  <si>
    <t>FEC.ktoe.SE.Ser.Bld.Thermal.SH.TotalCirculation.Elec</t>
  </si>
  <si>
    <t>FEC.ktoe.SE.Ser.Bld.Thermal.SC.GasHP.NG_Biogas</t>
  </si>
  <si>
    <t>FEC.ktoe.SE.Ser.Bld.Thermal.SC.AC.Elec</t>
  </si>
  <si>
    <t>FEC.ktoe.SE.Ser.Bld.Thermal.HW.Solids.Solids</t>
  </si>
  <si>
    <t>FEC.ktoe.SE.Ser.Bld.Thermal.HW.LPG.LPG</t>
  </si>
  <si>
    <t>FEC.ktoe.SE.Ser.Bld.Thermal.HW.Oil.Oil_LiqBio</t>
  </si>
  <si>
    <t>FEC.ktoe.SE.Ser.Bld.Thermal.HW.Gas.NG_Biogas</t>
  </si>
  <si>
    <t>FEC.ktoe.SE.Ser.Bld.Thermal.HW.Biomass.Biomass_Waste</t>
  </si>
  <si>
    <t>FEC.ktoe.SE.Ser.Bld.Thermal.HW.DistrHeat.Steam_Distr</t>
  </si>
  <si>
    <t>FEC.ktoe.SE.Ser.Bld.Thermal.HW.Elc.Elec</t>
  </si>
  <si>
    <t>FEC.ktoe.SE.Ser.Bld.Thermal.HW.TotalSolar.Solar</t>
  </si>
  <si>
    <t>FEC.ktoe.SE.Ser.Bld.Thermal.CA.LPG</t>
  </si>
  <si>
    <t>FEC.ktoe.SE.Ser.Bld.Thermal.CA.Gas.NG_Biogas</t>
  </si>
  <si>
    <t>FEC.ktoe.SE.Ser.Bld.Thermal.CA.Biomass.Biomass_Waste</t>
  </si>
  <si>
    <t>FEC.ktoe.SE.Ser.Bld.Thermal.CA.Elc.Elec</t>
  </si>
  <si>
    <t>SE - Thermal energy service</t>
  </si>
  <si>
    <t>TES.ktoe.SE.Ser.Bld.Thermal</t>
  </si>
  <si>
    <t>TES.ktoe.SE.Ser.Bld.Thermal.SH</t>
  </si>
  <si>
    <t>TES.ktoe.SE.Ser.Bld.Thermal.SH.Solids.Solids</t>
  </si>
  <si>
    <t>TES.ktoe.SE.Ser.Bld.Thermal.SH.LPG.LPG</t>
  </si>
  <si>
    <t>TES.ktoe.SE.Ser.Bld.Thermal.SH.Oil.Oil_LiqBio</t>
  </si>
  <si>
    <t>TES.ktoe.SE.Ser.Bld.Thermal.SH.GasHP.NG_Biogas</t>
  </si>
  <si>
    <t>TES.ktoe.SE.Ser.Bld.Thermal.SH.GasTH.NG_Biogas</t>
  </si>
  <si>
    <t>TES.ktoe.SE.Ser.Bld.Thermal.SH.Biomass.Biomass_Waste</t>
  </si>
  <si>
    <t>TES.ktoe.SE.Ser.Bld.Thermal.SH.Geo.Geo</t>
  </si>
  <si>
    <t>TES.ktoe.SE.Ser.Bld.Thermal.SH.DistrHeat.Steam_Distr</t>
  </si>
  <si>
    <t>TES.ktoe.SE.Ser.Bld.Thermal.SH.AdvElc.Elec</t>
  </si>
  <si>
    <t>TES.ktoe.SE.Ser.Bld.Thermal.SH.ConvElc.Elec</t>
  </si>
  <si>
    <t>TES.ktoe.SE.Ser.Bld.Thermal.SH.TotalCirculation.Elec</t>
  </si>
  <si>
    <t>TES.ktoe.SE.Ser.Bld.Thermal.SC</t>
  </si>
  <si>
    <t>TES.ktoe.SE.Ser.Bld.Thermal.SC.GasHP.NG_Biogas</t>
  </si>
  <si>
    <t>TES.ktoe.SE.Ser.Bld.Thermal.SC.AC.Elec</t>
  </si>
  <si>
    <t>TES.ktoe.SE.Ser.Bld.Thermal.HW</t>
  </si>
  <si>
    <t>TES.ktoe.SE.Ser.Bld.Thermal.HW.Solids.Solids</t>
  </si>
  <si>
    <t>TES.ktoe.SE.Ser.Bld.Thermal.HW.LPG.LPG</t>
  </si>
  <si>
    <t>TES.ktoe.SE.Ser.Bld.Thermal.HW.Oil.Oil_LiqBio</t>
  </si>
  <si>
    <t>TES.ktoe.SE.Ser.Bld.Thermal.HW.Gas.NG_Biogas</t>
  </si>
  <si>
    <t>TES.ktoe.SE.Ser.Bld.Thermal.HW.Biomass.Biomass_Waste</t>
  </si>
  <si>
    <t>TES.ktoe.SE.Ser.Bld.Thermal.HW.DistrHeat.Steam_Distr</t>
  </si>
  <si>
    <t>TES.ktoe.SE.Ser.Bld.Thermal.HW.Elc.Elec</t>
  </si>
  <si>
    <t>TES.ktoe.SE.Ser.Bld.Thermal.HW.TotalSolar.Solar</t>
  </si>
  <si>
    <t>TES.ktoe.SE.Ser.Bld.Thermal.CA</t>
  </si>
  <si>
    <t>TES.ktoe.SE.Ser.Bld.Thermal.CA.LPG</t>
  </si>
  <si>
    <t>TES.ktoe.SE.Ser.Bld.Thermal.CA.Gas.NG_Biogas</t>
  </si>
  <si>
    <t>TES.ktoe.SE.Ser.Bld.Thermal.CA.Biomass.Biomass_Waste</t>
  </si>
  <si>
    <t>TES.ktoe.SE.Ser.Bld.Thermal.CA.Elc.Elec</t>
  </si>
  <si>
    <t>SE - System efficiency indicator of total stock</t>
  </si>
  <si>
    <t>Eff.ratio.SE.Ser.Bld.Thermal.SH.Solids.Solids</t>
  </si>
  <si>
    <t>Eff.ratio.SE.Ser.Bld.Thermal.SH.LPG.LPG</t>
  </si>
  <si>
    <t>Eff.ratio.SE.Ser.Bld.Thermal.SH.Oil.Oil_LiqBio</t>
  </si>
  <si>
    <t>Eff.ratio.SE.Ser.Bld.Thermal.SH.GasHP.NG_Biogas</t>
  </si>
  <si>
    <t>Eff.ratio.SE.Ser.Bld.Thermal.SH.GasTH.NG_Biogas</t>
  </si>
  <si>
    <t>Eff.ratio.SE.Ser.Bld.Thermal.SH.Biomass.Biomass_Waste</t>
  </si>
  <si>
    <t>Eff.ratio.SE.Ser.Bld.Thermal.SH.Geo.Geo</t>
  </si>
  <si>
    <t>Eff.ratio.SE.Ser.Bld.Thermal.SH.DistrHeat.Steam_Distr</t>
  </si>
  <si>
    <t>Eff.ratio.SE.Ser.Bld.Thermal.SH.AdvElc.Elec</t>
  </si>
  <si>
    <t>Eff.ratio.SE.Ser.Bld.Thermal.SH.ConvElc.Elec</t>
  </si>
  <si>
    <t>Eff.ratio.SE.Ser.Bld.Thermal.SH.TotalCirculation.Elec</t>
  </si>
  <si>
    <t>Eff.ratio.SE.Ser.Bld.Thermal.SC.GasHP.NG_Biogas</t>
  </si>
  <si>
    <t>Eff.ratio.SE.Ser.Bld.Thermal.SC.AC.Elec</t>
  </si>
  <si>
    <t>Eff.ratio.SE.Ser.Bld.Thermal.HW.Solids.Solids</t>
  </si>
  <si>
    <t>Eff.ratio.SE.Ser.Bld.Thermal.HW.LPG.LPG</t>
  </si>
  <si>
    <t>Eff.ratio.SE.Ser.Bld.Thermal.HW.Oil.Oil_LiqBio</t>
  </si>
  <si>
    <t>Eff.ratio.SE.Ser.Bld.Thermal.HW.Gas.NG_Biogas</t>
  </si>
  <si>
    <t>Eff.ratio.SE.Ser.Bld.Thermal.HW.Biomass.Biomass_Waste</t>
  </si>
  <si>
    <t>Eff.ratio.SE.Ser.Bld.Thermal.HW.DistrHeat.Steam_Distr</t>
  </si>
  <si>
    <t>Eff.ratio.SE.Ser.Bld.Thermal.HW.Elc.Elec</t>
  </si>
  <si>
    <t>Eff.ratio.SE.Ser.Bld.Thermal.HW.TotalSolar.Solar</t>
  </si>
  <si>
    <t>Eff.ratio.SE.Ser.Bld.Thermal.CA.LPG</t>
  </si>
  <si>
    <t>Eff.ratio.SE.Ser.Bld.Thermal.CA.Gas.NG_Biogas</t>
  </si>
  <si>
    <t>Eff.ratio.SE.Ser.Bld.Thermal.CA.Biomass.Biomass_Waste</t>
  </si>
  <si>
    <t>Eff.ratio.SE.Ser.Bld.Thermal.CA.Elc.Elec</t>
  </si>
  <si>
    <t>SE - CO2 emissions</t>
  </si>
  <si>
    <t>EMI.ktCO2.SE.Ser.Bld.Thermal.SH.Solids.Solids</t>
  </si>
  <si>
    <t>EMI.ktCO2.SE.Ser.Bld.Thermal.SH.LPG.LPG</t>
  </si>
  <si>
    <t>EMI.ktCO2.SE.Ser.Bld.Thermal.SH.Oil.Oil_LiqBio</t>
  </si>
  <si>
    <t>EMI.ktCO2.SE.Ser.Bld.Thermal.SH.GasHP.NG_Biogas</t>
  </si>
  <si>
    <t>EMI.ktCO2.SE.Ser.Bld.Thermal.SH.GasTH.NG_Biogas</t>
  </si>
  <si>
    <t>EMI.ktCO2.SE.Ser.Bld.Thermal.SH.Biomass.Biomass_Waste</t>
  </si>
  <si>
    <t>EMI.ktCO2.SE.Ser.Bld.Thermal.SH.Geo.Geo</t>
  </si>
  <si>
    <t>EMI.ktCO2.SE.Ser.Bld.Thermal.SH.DistrHeat.Steam_Distr</t>
  </si>
  <si>
    <t>EMI.ktCO2.SE.Ser.Bld.Thermal.SH.AdvElc.Elec</t>
  </si>
  <si>
    <t>EMI.ktCO2.SE.Ser.Bld.Thermal.SH.ConvElc.Elec</t>
  </si>
  <si>
    <t>EMI.ktCO2.SE.Ser.Bld.Thermal.SH.TotalCirculation.Elec</t>
  </si>
  <si>
    <t>EMI.ktCO2.SE.Ser.Bld.Thermal.SC.GasHP.NG_Biogas</t>
  </si>
  <si>
    <t>EMI.ktCO2.SE.Ser.Bld.Thermal.SC.AC.Elec</t>
  </si>
  <si>
    <t>EMI.ktCO2.SE.Ser.Bld.Thermal.HW.Solids.Solids</t>
  </si>
  <si>
    <t>EMI.ktCO2.SE.Ser.Bld.Thermal.HW.LPG.LPG</t>
  </si>
  <si>
    <t>EMI.ktCO2.SE.Ser.Bld.Thermal.HW.Oil.Oil_LiqBio</t>
  </si>
  <si>
    <t>EMI.ktCO2.SE.Ser.Bld.Thermal.HW.Gas.NG_Biogas</t>
  </si>
  <si>
    <t>EMI.ktCO2.SE.Ser.Bld.Thermal.HW.Biomass.Biomass_Waste</t>
  </si>
  <si>
    <t>EMI.ktCO2.SE.Ser.Bld.Thermal.HW.DistrHeat.Steam_Distr</t>
  </si>
  <si>
    <t>EMI.ktCO2.SE.Ser.Bld.Thermal.HW.Elc.Elec</t>
  </si>
  <si>
    <t>EMI.ktCO2.SE.Ser.Bld.Thermal.HW.TotalSolar.Solar</t>
  </si>
  <si>
    <t>EMI.ktCO2.SE.Ser.Bld.Thermal.CA.LPG</t>
  </si>
  <si>
    <t>EMI.ktCO2.SE.Ser.Bld.Thermal.CA.Gas.NG_Biogas</t>
  </si>
  <si>
    <t>EMI.ktCO2.SE.Ser.Bld.Thermal.CA.Biomass.Biomass_Waste</t>
  </si>
  <si>
    <t>EMI.ktCO2.SE.Ser.Bld.Thermal.CA.Elc.Elec</t>
  </si>
  <si>
    <t>SE - Final energy consumption per building</t>
  </si>
  <si>
    <t>FEC_per_building.kWh.SE.Ser.Bld.Thermal</t>
  </si>
  <si>
    <t>FEC_per_building.kWh.SE.Ser.Bld.Thermal.SH</t>
  </si>
  <si>
    <t>FEC_per_building.kWh.SE.Ser.Bld.Thermal.SH.Solids.Solids</t>
  </si>
  <si>
    <t>FEC_per_building.kWh.SE.Ser.Bld.Thermal.SH.LPG.LPG</t>
  </si>
  <si>
    <t>FEC_per_building.kWh.SE.Ser.Bld.Thermal.SH.Oil.Oil_LiqBio</t>
  </si>
  <si>
    <t>FEC_per_building.kWh.SE.Ser.Bld.Thermal.SH.GasHP.NG_Biogas</t>
  </si>
  <si>
    <t>FEC_per_building.kWh.SE.Ser.Bld.Thermal.SH.GasTH.NG_Biogas</t>
  </si>
  <si>
    <t>FEC_per_building.kWh.SE.Ser.Bld.Thermal.SH.Biomass.Biomass_Waste</t>
  </si>
  <si>
    <t>FEC_per_building.kWh.SE.Ser.Bld.Thermal.SH.Geo.Geo</t>
  </si>
  <si>
    <t>FEC_per_building.kWh.SE.Ser.Bld.Thermal.SH.DistrHeat.Steam_Distr</t>
  </si>
  <si>
    <t>FEC_per_building.kWh.SE.Ser.Bld.Thermal.SH.AdvElc.Elec</t>
  </si>
  <si>
    <t>FEC_per_building.kWh.SE.Ser.Bld.Thermal.SH.ConvElc.Elec</t>
  </si>
  <si>
    <t>FEC_per_building.kWh.SE.Ser.Bld.Thermal.SH.TotalCirculation.Elec</t>
  </si>
  <si>
    <t>FEC_per_building.kWh.SE.Ser.Bld.Thermal.SC</t>
  </si>
  <si>
    <t>FEC_per_building.kWh.SE.Ser.Bld.Thermal.SC.GasHP.NG_Biogas</t>
  </si>
  <si>
    <t>FEC_per_building.kWh.SE.Ser.Bld.Thermal.SC.AC.Elec</t>
  </si>
  <si>
    <t>FEC_per_building.kWh.SE.Ser.Bld.Thermal.HW</t>
  </si>
  <si>
    <t>FEC_per_building.kWh.SE.Ser.Bld.Thermal.HW.Solids.Solids</t>
  </si>
  <si>
    <t>FEC_per_building.kWh.SE.Ser.Bld.Thermal.HW.LPG.LPG</t>
  </si>
  <si>
    <t>FEC_per_building.kWh.SE.Ser.Bld.Thermal.HW.Oil.Oil_LiqBio</t>
  </si>
  <si>
    <t>FEC_per_building.kWh.SE.Ser.Bld.Thermal.HW.Gas.NG_Biogas</t>
  </si>
  <si>
    <t>FEC_per_building.kWh.SE.Ser.Bld.Thermal.HW.Biomass.Biomass_Waste</t>
  </si>
  <si>
    <t>FEC_per_building.kWh.SE.Ser.Bld.Thermal.HW.DistrHeat.Steam_Distr</t>
  </si>
  <si>
    <t>FEC_per_building.kWh.SE.Ser.Bld.Thermal.HW.Elc.Elec</t>
  </si>
  <si>
    <t>FEC_per_building.kWh.SE.Ser.Bld.Thermal.HW.TotalSolar.Solar</t>
  </si>
  <si>
    <t>FEC_per_building.kWh.SE.Ser.Bld.Thermal.CA</t>
  </si>
  <si>
    <t>FEC_per_building.kWh.SE.Ser.Bld.Thermal.CA.LPG</t>
  </si>
  <si>
    <t>FEC_per_building.kWh.SE.Ser.Bld.Thermal.CA.Gas.NG_Biogas</t>
  </si>
  <si>
    <t>FEC_per_building.kWh.SE.Ser.Bld.Thermal.CA.Biomass.Biomass_Waste</t>
  </si>
  <si>
    <t>FEC_per_building.kWh.SE.Ser.Bld.Thermal.CA.Elc.Elec</t>
  </si>
  <si>
    <t>SE - Thermal energy service per building</t>
  </si>
  <si>
    <t>TES_per_building.kWh.SE.Ser.Bld.Thermal</t>
  </si>
  <si>
    <t>TES_per_building.kWh.SE.Ser.Bld.Thermal.SH</t>
  </si>
  <si>
    <t>TES_per_building.kWh.SE.Ser.Bld.Thermal.SH.Solids.Solids</t>
  </si>
  <si>
    <t>TES_per_building.kWh.SE.Ser.Bld.Thermal.SH.LPG.LPG</t>
  </si>
  <si>
    <t>TES_per_building.kWh.SE.Ser.Bld.Thermal.SH.Oil.Oil_LiqBio</t>
  </si>
  <si>
    <t>TES_per_building.kWh.SE.Ser.Bld.Thermal.SH.GasHP.NG_Biogas</t>
  </si>
  <si>
    <t>TES_per_building.kWh.SE.Ser.Bld.Thermal.SH.GasTH.NG_Biogas</t>
  </si>
  <si>
    <t>TES_per_building.kWh.SE.Ser.Bld.Thermal.SH.Biomass.Biomass_Waste</t>
  </si>
  <si>
    <t>TES_per_building.kWh.SE.Ser.Bld.Thermal.SH.Geo.Geo</t>
  </si>
  <si>
    <t>TES_per_building.kWh.SE.Ser.Bld.Thermal.SH.DistrHeat.Steam_Distr</t>
  </si>
  <si>
    <t>TES_per_building.kWh.SE.Ser.Bld.Thermal.SH.AdvElc.Elec</t>
  </si>
  <si>
    <t>TES_per_building.kWh.SE.Ser.Bld.Thermal.SH.ConvElc.Elec</t>
  </si>
  <si>
    <t>TES_per_building.kWh.SE.Ser.Bld.Thermal.SH.TotalCirculation.Elec</t>
  </si>
  <si>
    <t>TES_per_building.kWh.SE.Ser.Bld.Thermal.SC</t>
  </si>
  <si>
    <t>TES_per_building.kWh.SE.Ser.Bld.Thermal.SC.GasHP.NG_Biogas</t>
  </si>
  <si>
    <t>TES_per_building.kWh.SE.Ser.Bld.Thermal.SC.AC.Elec</t>
  </si>
  <si>
    <t>TES_per_building.kWh.SE.Ser.Bld.Thermal.HW</t>
  </si>
  <si>
    <t>TES_per_building.kWh.SE.Ser.Bld.Thermal.HW.Solids.Solids</t>
  </si>
  <si>
    <t>TES_per_building.kWh.SE.Ser.Bld.Thermal.HW.LPG.LPG</t>
  </si>
  <si>
    <t>TES_per_building.kWh.SE.Ser.Bld.Thermal.HW.Oil.Oil_LiqBio</t>
  </si>
  <si>
    <t>TES_per_building.kWh.SE.Ser.Bld.Thermal.HW.Gas.NG_Biogas</t>
  </si>
  <si>
    <t>TES_per_building.kWh.SE.Ser.Bld.Thermal.HW.Biomass.Biomass_Waste</t>
  </si>
  <si>
    <t>TES_per_building.kWh.SE.Ser.Bld.Thermal.HW.DistrHeat.Steam_Distr</t>
  </si>
  <si>
    <t>TES_per_building.kWh.SE.Ser.Bld.Thermal.HW.Elc.Elec</t>
  </si>
  <si>
    <t>TES_per_building.kWh.SE.Ser.Bld.Thermal.HW.TotalSolar.Solar</t>
  </si>
  <si>
    <t>TES_per_building.kWh.SE.Ser.Bld.Thermal.CA</t>
  </si>
  <si>
    <t>TES_per_building.kWh.SE.Ser.Bld.Thermal.CA.LPG</t>
  </si>
  <si>
    <t>TES_per_building.kWh.SE.Ser.Bld.Thermal.CA.Gas.NG_Biogas</t>
  </si>
  <si>
    <t>TES_per_building.kWh.SE.Ser.Bld.Thermal.CA.Biomass.Biomass_Waste</t>
  </si>
  <si>
    <t>TES_per_building.kWh.SE.Ser.Bld.Thermal.CA.Elc.Elec</t>
  </si>
  <si>
    <t>SE - CO2 emissions per building</t>
  </si>
  <si>
    <t>EMI_per_building.kgCO2.SE.Ser.Bld.Thermal</t>
  </si>
  <si>
    <t>EMI_per_building.kgCO2.SE.Ser.Bld.Thermal.SH</t>
  </si>
  <si>
    <t>EMI_per_building.kgCO2.SE.Ser.Bld.Thermal.SH.Solids.Solids</t>
  </si>
  <si>
    <t>EMI_per_building.kgCO2.SE.Ser.Bld.Thermal.SH.LPG.LPG</t>
  </si>
  <si>
    <t>EMI_per_building.kgCO2.SE.Ser.Bld.Thermal.SH.Oil.Oil_LiqBio</t>
  </si>
  <si>
    <t>EMI_per_building.kgCO2.SE.Ser.Bld.Thermal.SH.GasHP.NG_Biogas</t>
  </si>
  <si>
    <t>EMI_per_building.kgCO2.SE.Ser.Bld.Thermal.SH.GasTH.NG_Biogas</t>
  </si>
  <si>
    <t>EMI_per_building.kgCO2.SE.Ser.Bld.Thermal.SH.Biomass.Biomass_Waste</t>
  </si>
  <si>
    <t>EMI_per_building.kgCO2.SE.Ser.Bld.Thermal.SH.Geo.Geo</t>
  </si>
  <si>
    <t>EMI_per_building.kgCO2.SE.Ser.Bld.Thermal.SH.DistrHeat.Steam_Distr</t>
  </si>
  <si>
    <t>EMI_per_building.kgCO2.SE.Ser.Bld.Thermal.SH.AdvElc.Elec</t>
  </si>
  <si>
    <t>EMI_per_building.kgCO2.SE.Ser.Bld.Thermal.SH.ConvElc.Elec</t>
  </si>
  <si>
    <t>EMI_per_building.kgCO2.SE.Ser.Bld.Thermal.SH.TotalCirculation.Elec</t>
  </si>
  <si>
    <t>EMI_per_building.kgCO2.SE.Ser.Bld.Thermal.SC</t>
  </si>
  <si>
    <t>EMI_per_building.kgCO2.SE.Ser.Bld.Thermal.SC.GasHP.NG_Biogas</t>
  </si>
  <si>
    <t>EMI_per_building.kgCO2.SE.Ser.Bld.Thermal.SC.AC.Elec</t>
  </si>
  <si>
    <t>EMI_per_building.kgCO2.SE.Ser.Bld.Thermal.HW</t>
  </si>
  <si>
    <t>EMI_per_building.kgCO2.SE.Ser.Bld.Thermal.HW.Solids.Solids</t>
  </si>
  <si>
    <t>EMI_per_building.kgCO2.SE.Ser.Bld.Thermal.HW.LPG.LPG</t>
  </si>
  <si>
    <t>EMI_per_building.kgCO2.SE.Ser.Bld.Thermal.HW.Oil.Oil_LiqBio</t>
  </si>
  <si>
    <t>EMI_per_building.kgCO2.SE.Ser.Bld.Thermal.HW.Gas.NG_Biogas</t>
  </si>
  <si>
    <t>EMI_per_building.kgCO2.SE.Ser.Bld.Thermal.HW.Biomass.Biomass_Waste</t>
  </si>
  <si>
    <t>EMI_per_building.kgCO2.SE.Ser.Bld.Thermal.HW.DistrHeat.Steam_Distr</t>
  </si>
  <si>
    <t>EMI_per_building.kgCO2.SE.Ser.Bld.Thermal.HW.Elc.Elec</t>
  </si>
  <si>
    <t>EMI_per_building.kgCO2.SE.Ser.Bld.Thermal.HW.TotalSolar.Solar</t>
  </si>
  <si>
    <t>EMI_per_building.kgCO2.SE.Ser.Bld.Thermal.CA</t>
  </si>
  <si>
    <t>EMI_per_building.kgCO2.SE.Ser.Bld.Thermal.CA.LPG</t>
  </si>
  <si>
    <t>EMI_per_building.kgCO2.SE.Ser.Bld.Thermal.CA.Gas.NG_Biogas</t>
  </si>
  <si>
    <t>EMI_per_building.kgCO2.SE.Ser.Bld.Thermal.CA.Biomass.Biomass_Waste</t>
  </si>
  <si>
    <t>EMI_per_building.kgCO2.SE.Ser.Bld.Thermal.CA.Elc.Elec</t>
  </si>
  <si>
    <t>SE - Final energy consumption per useful surface area</t>
  </si>
  <si>
    <t>FEC_per_sqm.kWh.SE.Ser.Bld.Thermal</t>
  </si>
  <si>
    <t>FEC_per_sqm.kWh.SE.Ser.Bld.Thermal.SH</t>
  </si>
  <si>
    <t>FEC_per_sqm.kWh.SE.Ser.Bld.Thermal.SH.Solids.Solids</t>
  </si>
  <si>
    <t>FEC_per_sqm.kWh.SE.Ser.Bld.Thermal.SH.LPG.LPG</t>
  </si>
  <si>
    <t>FEC_per_sqm.kWh.SE.Ser.Bld.Thermal.SH.Oil.Oil_LiqBio</t>
  </si>
  <si>
    <t>FEC_per_sqm.kWh.SE.Ser.Bld.Thermal.SH.GasHP.NG_Biogas</t>
  </si>
  <si>
    <t>FEC_per_sqm.kWh.SE.Ser.Bld.Thermal.SH.GasTH.NG_Biogas</t>
  </si>
  <si>
    <t>FEC_per_sqm.kWh.SE.Ser.Bld.Thermal.SH.Biomass.Biomass_Waste</t>
  </si>
  <si>
    <t>FEC_per_sqm.kWh.SE.Ser.Bld.Thermal.SH.Geo.Geo</t>
  </si>
  <si>
    <t>FEC_per_sqm.kWh.SE.Ser.Bld.Thermal.SH.DistrHeat.Steam_Distr</t>
  </si>
  <si>
    <t>FEC_per_sqm.kWh.SE.Ser.Bld.Thermal.SH.AdvElc.Elec</t>
  </si>
  <si>
    <t>FEC_per_sqm.kWh.SE.Ser.Bld.Thermal.SH.ConvElc.Elec</t>
  </si>
  <si>
    <t>FEC_per_sqm.kWh.SE.Ser.Bld.Thermal.SH.TotalCirculation.Elec</t>
  </si>
  <si>
    <t>FEC_per_sqm.kWh.SE.Ser.Bld.Thermal.SC</t>
  </si>
  <si>
    <t>FEC_per_sqm.kWh.SE.Ser.Bld.Thermal.SC.GasHP.NG_Biogas</t>
  </si>
  <si>
    <t>FEC_per_sqm.kWh.SE.Ser.Bld.Thermal.SC.AC.Elec</t>
  </si>
  <si>
    <t>FEC_per_sqm.kWh.SE.Ser.Bld.Thermal.HW</t>
  </si>
  <si>
    <t>FEC_per_sqm.kWh.SE.Ser.Bld.Thermal.HW.Solids.Solids</t>
  </si>
  <si>
    <t>FEC_per_sqm.kWh.SE.Ser.Bld.Thermal.HW.LPG.LPG</t>
  </si>
  <si>
    <t>FEC_per_sqm.kWh.SE.Ser.Bld.Thermal.HW.Oil.Oil_LiqBio</t>
  </si>
  <si>
    <t>FEC_per_sqm.kWh.SE.Ser.Bld.Thermal.HW.Gas.NG_Biogas</t>
  </si>
  <si>
    <t>FEC_per_sqm.kWh.SE.Ser.Bld.Thermal.HW.Biomass.Biomass_Waste</t>
  </si>
  <si>
    <t>FEC_per_sqm.kWh.SE.Ser.Bld.Thermal.HW.DistrHeat.Steam_Distr</t>
  </si>
  <si>
    <t>FEC_per_sqm.kWh.SE.Ser.Bld.Thermal.HW.Elc.Elec</t>
  </si>
  <si>
    <t>FEC_per_sqm.kWh.SE.Ser.Bld.Thermal.HW.TotalSolar.Solar</t>
  </si>
  <si>
    <t>FEC_per_sqm.kWh.SE.Ser.Bld.Thermal.CA</t>
  </si>
  <si>
    <t>FEC_per_sqm.kWh.SE.Ser.Bld.Thermal.CA.LPG</t>
  </si>
  <si>
    <t>FEC_per_sqm.kWh.SE.Ser.Bld.Thermal.CA.Gas.NG_Biogas</t>
  </si>
  <si>
    <t>FEC_per_sqm.kWh.SE.Ser.Bld.Thermal.CA.Biomass.Biomass_Waste</t>
  </si>
  <si>
    <t>FEC_per_sqm.kWh.SE.Ser.Bld.Thermal.CA.Elc.Elec</t>
  </si>
  <si>
    <t>SE - Thermal energy service per useful surface area</t>
  </si>
  <si>
    <t>TES_per_sqm.kWh.SE.Ser.Bld.Thermal</t>
  </si>
  <si>
    <t>TES_per_sqm.kWh.SE.Ser.Bld.Thermal.SH</t>
  </si>
  <si>
    <t>TES_per_sqm.kWh.SE.Ser.Bld.Thermal.SH.Solids.Solids</t>
  </si>
  <si>
    <t>TES_per_sqm.kWh.SE.Ser.Bld.Thermal.SH.LPG.LPG</t>
  </si>
  <si>
    <t>TES_per_sqm.kWh.SE.Ser.Bld.Thermal.SH.Oil.Oil_LiqBio</t>
  </si>
  <si>
    <t>TES_per_sqm.kWh.SE.Ser.Bld.Thermal.SH.GasHP.NG_Biogas</t>
  </si>
  <si>
    <t>TES_per_sqm.kWh.SE.Ser.Bld.Thermal.SH.GasTH.NG_Biogas</t>
  </si>
  <si>
    <t>TES_per_sqm.kWh.SE.Ser.Bld.Thermal.SH.Biomass.Biomass_Waste</t>
  </si>
  <si>
    <t>TES_per_sqm.kWh.SE.Ser.Bld.Thermal.SH.Geo.Geo</t>
  </si>
  <si>
    <t>TES_per_sqm.kWh.SE.Ser.Bld.Thermal.SH.DistrHeat.Steam_Distr</t>
  </si>
  <si>
    <t>TES_per_sqm.kWh.SE.Ser.Bld.Thermal.SH.AdvElc.Elec</t>
  </si>
  <si>
    <t>TES_per_sqm.kWh.SE.Ser.Bld.Thermal.SH.ConvElc.Elec</t>
  </si>
  <si>
    <t>TES_per_sqm.kWh.SE.Ser.Bld.Thermal.SH.TotalCirculation.Elec</t>
  </si>
  <si>
    <t>TES_per_sqm.kWh.SE.Ser.Bld.Thermal.SC</t>
  </si>
  <si>
    <t>TES_per_sqm.kWh.SE.Ser.Bld.Thermal.SC.GasHP.NG_Biogas</t>
  </si>
  <si>
    <t>TES_per_sqm.kWh.SE.Ser.Bld.Thermal.SC.AC.Elec</t>
  </si>
  <si>
    <t>TES_per_sqm.kWh.SE.Ser.Bld.Thermal.HW</t>
  </si>
  <si>
    <t>TES_per_sqm.kWh.SE.Ser.Bld.Thermal.HW.Solids.Solids</t>
  </si>
  <si>
    <t>TES_per_sqm.kWh.SE.Ser.Bld.Thermal.HW.LPG.LPG</t>
  </si>
  <si>
    <t>TES_per_sqm.kWh.SE.Ser.Bld.Thermal.HW.Oil.Oil_LiqBio</t>
  </si>
  <si>
    <t>TES_per_sqm.kWh.SE.Ser.Bld.Thermal.HW.Gas.NG_Biogas</t>
  </si>
  <si>
    <t>TES_per_sqm.kWh.SE.Ser.Bld.Thermal.HW.Biomass.Biomass_Waste</t>
  </si>
  <si>
    <t>TES_per_sqm.kWh.SE.Ser.Bld.Thermal.HW.DistrHeat.Steam_Distr</t>
  </si>
  <si>
    <t>TES_per_sqm.kWh.SE.Ser.Bld.Thermal.HW.Elc.Elec</t>
  </si>
  <si>
    <t>TES_per_sqm.kWh.SE.Ser.Bld.Thermal.HW.TotalSolar.Solar</t>
  </si>
  <si>
    <t>TES_per_sqm.kWh.SE.Ser.Bld.Thermal.CA</t>
  </si>
  <si>
    <t>TES_per_sqm.kWh.SE.Ser.Bld.Thermal.CA.LPG</t>
  </si>
  <si>
    <t>TES_per_sqm.kWh.SE.Ser.Bld.Thermal.CA.Gas.NG_Biogas</t>
  </si>
  <si>
    <t>TES_per_sqm.kWh.SE.Ser.Bld.Thermal.CA.Biomass.Biomass_Waste</t>
  </si>
  <si>
    <t>TES_per_sqm.kWh.SE.Ser.Bld.Thermal.CA.Elc.Elec</t>
  </si>
  <si>
    <t>SE - CO2 emissions per useful surface area</t>
  </si>
  <si>
    <t>EMI_per_sqm.kgCO2.SE.Ser.Bld.Thermal</t>
  </si>
  <si>
    <t>EMI_per_sqm.kgCO2.SE.Ser.Bld.Thermal.SH</t>
  </si>
  <si>
    <t>EMI_per_sqm.kgCO2.SE.Ser.Bld.Thermal.SH.Solids.Solids</t>
  </si>
  <si>
    <t>EMI_per_sqm.kgCO2.SE.Ser.Bld.Thermal.SH.LPG.LPG</t>
  </si>
  <si>
    <t>EMI_per_sqm.kgCO2.SE.Ser.Bld.Thermal.SH.Oil.Oil_LiqBio</t>
  </si>
  <si>
    <t>EMI_per_sqm.kgCO2.SE.Ser.Bld.Thermal.SH.GasHP.NG_Biogas</t>
  </si>
  <si>
    <t>EMI_per_sqm.kgCO2.SE.Ser.Bld.Thermal.SH.GasTH.NG_Biogas</t>
  </si>
  <si>
    <t>EMI_per_sqm.kgCO2.SE.Ser.Bld.Thermal.SH.Biomass.Biomass_Waste</t>
  </si>
  <si>
    <t>EMI_per_sqm.kgCO2.SE.Ser.Bld.Thermal.SH.Geo.Geo</t>
  </si>
  <si>
    <t>EMI_per_sqm.kgCO2.SE.Ser.Bld.Thermal.SH.DistrHeat.Steam_Distr</t>
  </si>
  <si>
    <t>EMI_per_sqm.kgCO2.SE.Ser.Bld.Thermal.SH.AdvElc.Elec</t>
  </si>
  <si>
    <t>EMI_per_sqm.kgCO2.SE.Ser.Bld.Thermal.SH.ConvElc.Elec</t>
  </si>
  <si>
    <t>EMI_per_sqm.kgCO2.SE.Ser.Bld.Thermal.SH.TotalCirculation.Elec</t>
  </si>
  <si>
    <t>EMI_per_sqm.kgCO2.SE.Ser.Bld.Thermal.SC</t>
  </si>
  <si>
    <t>EMI_per_sqm.kgCO2.SE.Ser.Bld.Thermal.SC.GasHP.NG_Biogas</t>
  </si>
  <si>
    <t>EMI_per_sqm.kgCO2.SE.Ser.Bld.Thermal.SC.AC.Elec</t>
  </si>
  <si>
    <t>EMI_per_sqm.kgCO2.SE.Ser.Bld.Thermal.HW</t>
  </si>
  <si>
    <t>EMI_per_sqm.kgCO2.SE.Ser.Bld.Thermal.HW.Solids.Solids</t>
  </si>
  <si>
    <t>EMI_per_sqm.kgCO2.SE.Ser.Bld.Thermal.HW.LPG.LPG</t>
  </si>
  <si>
    <t>EMI_per_sqm.kgCO2.SE.Ser.Bld.Thermal.HW.Oil.Oil_LiqBio</t>
  </si>
  <si>
    <t>EMI_per_sqm.kgCO2.SE.Ser.Bld.Thermal.HW.Gas.NG_Biogas</t>
  </si>
  <si>
    <t>EMI_per_sqm.kgCO2.SE.Ser.Bld.Thermal.HW.Biomass.Biomass_Waste</t>
  </si>
  <si>
    <t>EMI_per_sqm.kgCO2.SE.Ser.Bld.Thermal.HW.DistrHeat.Steam_Distr</t>
  </si>
  <si>
    <t>EMI_per_sqm.kgCO2.SE.Ser.Bld.Thermal.HW.Elc.Elec</t>
  </si>
  <si>
    <t>EMI_per_sqm.kgCO2.SE.Ser.Bld.Thermal.HW.TotalSolar.Solar</t>
  </si>
  <si>
    <t>EMI_per_sqm.kgCO2.SE.Ser.Bld.Thermal.CA</t>
  </si>
  <si>
    <t>EMI_per_sqm.kgCO2.SE.Ser.Bld.Thermal.CA.LPG</t>
  </si>
  <si>
    <t>EMI_per_sqm.kgCO2.SE.Ser.Bld.Thermal.CA.Gas.NG_Biogas</t>
  </si>
  <si>
    <t>EMI_per_sqm.kgCO2.SE.Ser.Bld.Thermal.CA.Biomass.Biomass_Waste</t>
  </si>
  <si>
    <t>EMI_per_sqm.kgCO2.SE.Ser.Bld.Thermal.CA.Elc.Elec</t>
  </si>
  <si>
    <t>SE - Number of new and renovated buildings</t>
  </si>
  <si>
    <t>NUM.number.SE.Ser.BldNew.Thermal</t>
  </si>
  <si>
    <t>NUM.number.SE.Ser.BldNew.Thermal.SH</t>
  </si>
  <si>
    <t>NUM.number.SE.Ser.BldNew.Thermal.SH.Solids</t>
  </si>
  <si>
    <t>NUM.number.SE.Ser.BldNew.Thermal.SH.LPG</t>
  </si>
  <si>
    <t>NUM.number.SE.Ser.BldNew.Thermal.SH.Oil</t>
  </si>
  <si>
    <t>NUM.number.SE.Ser.BldNew.Thermal.SH.GasHP</t>
  </si>
  <si>
    <t>NUM.number.SE.Ser.BldNew.Thermal.SH.GasTH</t>
  </si>
  <si>
    <t>NUM.number.SE.Ser.BldNew.Thermal.SH.Biomass</t>
  </si>
  <si>
    <t>NUM.number.SE.Ser.BldNew.Thermal.SH.Geo</t>
  </si>
  <si>
    <t>NUM.number.SE.Ser.BldNew.Thermal.SH.DistrHeat</t>
  </si>
  <si>
    <t>NUM.number.SE.Ser.BldNew.Thermal.SH.AdvElc</t>
  </si>
  <si>
    <t>NUM.number.SE.Ser.BldNew.Thermal.SH.ConvElc</t>
  </si>
  <si>
    <t>NUM.number.SE.Ser.BldNew.Thermal.SC</t>
  </si>
  <si>
    <t>NUM.number.SE.Ser.BldNew.Thermal.SC.GasHP</t>
  </si>
  <si>
    <t>NUM.number.SE.Ser.BldNew.Thermal.SC.AC</t>
  </si>
  <si>
    <t>NUM.number.SE.Ser.BldNew.Thermal.HW</t>
  </si>
  <si>
    <t>NUM.number.SE.Ser.BldNew.Thermal.HW.Solids</t>
  </si>
  <si>
    <t>NUM.number.SE.Ser.BldNew.Thermal.HW.LPG</t>
  </si>
  <si>
    <t>NUM.number.SE.Ser.BldNew.Thermal.HW.Oil</t>
  </si>
  <si>
    <t>NUM.number.SE.Ser.BldNew.Thermal.HW.Gas</t>
  </si>
  <si>
    <t>NUM.number.SE.Ser.BldNew.Thermal.HW.Biomass</t>
  </si>
  <si>
    <t>NUM.number.SE.Ser.BldNew.Thermal.HW.DistrHeat</t>
  </si>
  <si>
    <t>NUM.number.SE.Ser.BldNew.Thermal.HW.Elc</t>
  </si>
  <si>
    <t>NUM.number.SE.Ser.BldNew.Thermal.HW.Solar</t>
  </si>
  <si>
    <t>NUM.number.SE.Ser.BldNew.Thermal.CA</t>
  </si>
  <si>
    <t>NUM.number.SE.Ser.BldNew.Thermal.CA.LPG</t>
  </si>
  <si>
    <t>NUM.number.SE.Ser.BldNew.Thermal.CA.Gas</t>
  </si>
  <si>
    <t>NUM.number.SE.Ser.BldNew.Thermal.CA.Biomass</t>
  </si>
  <si>
    <t>NUM.number.SE.Ser.BldNew.Thermal.CA.Elc</t>
  </si>
  <si>
    <t>SE - Final energy consumption in new and renovated buildings</t>
  </si>
  <si>
    <t>FEC.ktoe.SE.Ser.BldNew.Thermal</t>
  </si>
  <si>
    <t>FEC.ktoe.SE.Ser.BldNew.Thermal.SH</t>
  </si>
  <si>
    <t>FEC.ktoe.SE.Ser.BldNew.Thermal.SH.Solids.Solids</t>
  </si>
  <si>
    <t>FEC.ktoe.SE.Ser.BldNew.Thermal.SH.LPG.LPG</t>
  </si>
  <si>
    <t>FEC.ktoe.SE.Ser.BldNew.Thermal.SH.Oil.Oil_LiqBio</t>
  </si>
  <si>
    <t>FEC.ktoe.SE.Ser.BldNew.Thermal.SH.GasHP.NG_Biogas</t>
  </si>
  <si>
    <t>FEC.ktoe.SE.Ser.BldNew.Thermal.SH.GasTH.NG_Biogas</t>
  </si>
  <si>
    <t>FEC.ktoe.SE.Ser.BldNew.Thermal.SH.Biomass.Biomass_Waste</t>
  </si>
  <si>
    <t>FEC.ktoe.SE.Ser.BldNew.Thermal.SH.Geo.Geo</t>
  </si>
  <si>
    <t>FEC.ktoe.SE.Ser.BldNew.Thermal.SH.DistrHeat.Steam_Distr</t>
  </si>
  <si>
    <t>FEC.ktoe.SE.Ser.BldNew.Thermal.SH.AdvElc.Elec</t>
  </si>
  <si>
    <t>FEC.ktoe.SE.Ser.BldNew.Thermal.SH.ConvElc.Elec</t>
  </si>
  <si>
    <t>FEC.ktoe.SE.Ser.BldNew.Thermal.SH.TotalCirculation.Elec</t>
  </si>
  <si>
    <t>FEC.ktoe.SE.Ser.BldNew.Thermal.SC</t>
  </si>
  <si>
    <t>FEC.ktoe.SE.Ser.BldNew.Thermal.SC.GasHP.NG_Biogas</t>
  </si>
  <si>
    <t>FEC.ktoe.SE.Ser.BldNew.Thermal.SC.AC.Elec</t>
  </si>
  <si>
    <t>FEC.ktoe.SE.Ser.BldNew.Thermal.HW</t>
  </si>
  <si>
    <t>FEC.ktoe.SE.Ser.BldNew.Thermal.HW.Solids.Solids</t>
  </si>
  <si>
    <t>FEC.ktoe.SE.Ser.BldNew.Thermal.HW.LPG.LPG</t>
  </si>
  <si>
    <t>FEC.ktoe.SE.Ser.BldNew.Thermal.HW.Oil.Oil_LiqBio</t>
  </si>
  <si>
    <t>FEC.ktoe.SE.Ser.BldNew.Thermal.HW.Gas.NG_Biogas</t>
  </si>
  <si>
    <t>FEC.ktoe.SE.Ser.BldNew.Thermal.HW.Biomass.Biomass_Waste</t>
  </si>
  <si>
    <t>FEC.ktoe.SE.Ser.BldNew.Thermal.HW.DistrHeat.Steam_Distr</t>
  </si>
  <si>
    <t>FEC.ktoe.SE.Ser.BldNew.Thermal.HW.Elc.Elec</t>
  </si>
  <si>
    <t>FEC.ktoe.SE.Ser.BldNew.Thermal.HW.TotalSolar.Solar</t>
  </si>
  <si>
    <t>FEC.ktoe.SE.Ser.BldNew.Thermal.CA</t>
  </si>
  <si>
    <t>FEC.ktoe.SE.Ser.BldNew.Thermal.CA.LPG</t>
  </si>
  <si>
    <t>FEC.ktoe.SE.Ser.BldNew.Thermal.CA.Gas.NG_Biogas</t>
  </si>
  <si>
    <t>FEC.ktoe.SE.Ser.BldNew.Thermal.CA.Biomass.Biomass_Waste</t>
  </si>
  <si>
    <t>FEC.ktoe.SE.Ser.BldNew.Thermal.CA.Elc.Elec</t>
  </si>
  <si>
    <t>SE - Thermal energy service in new and renovated buildings</t>
  </si>
  <si>
    <t>TES.ktoe.SE.Ser.BldNew.Thermal</t>
  </si>
  <si>
    <t>TES.ktoe.SE.Ser.BldNew.Thermal.SH</t>
  </si>
  <si>
    <t>TES.ktoe.SE.Ser.BldNew.Thermal.SH.Solids.Solids</t>
  </si>
  <si>
    <t>TES.ktoe.SE.Ser.BldNew.Thermal.SH.LPG.LPG</t>
  </si>
  <si>
    <t>TES.ktoe.SE.Ser.BldNew.Thermal.SH.Oil.Oil_LiqBio</t>
  </si>
  <si>
    <t>TES.ktoe.SE.Ser.BldNew.Thermal.SH.GasHP.NG_Biogas</t>
  </si>
  <si>
    <t>TES.ktoe.SE.Ser.BldNew.Thermal.SH.GasTH.NG_Biogas</t>
  </si>
  <si>
    <t>TES.ktoe.SE.Ser.BldNew.Thermal.SH.Biomass.Biomass_Waste</t>
  </si>
  <si>
    <t>TES.ktoe.SE.Ser.BldNew.Thermal.SH.Geo.Geo</t>
  </si>
  <si>
    <t>TES.ktoe.SE.Ser.BldNew.Thermal.SH.DistrHeat.Steam_Distr</t>
  </si>
  <si>
    <t>TES.ktoe.SE.Ser.BldNew.Thermal.SH.AdvElc.Elec</t>
  </si>
  <si>
    <t>TES.ktoe.SE.Ser.BldNew.Thermal.SH.ConvElc.Elec</t>
  </si>
  <si>
    <t>TES.ktoe.SE.Ser.BldNew.Thermal.SH.TotalCirculation.Elec</t>
  </si>
  <si>
    <t>TES.ktoe.SE.Ser.BldNew.Thermal.SC</t>
  </si>
  <si>
    <t>TES.ktoe.SE.Ser.BldNew.Thermal.SC.GasHP.NG_Biogas</t>
  </si>
  <si>
    <t>TES.ktoe.SE.Ser.BldNew.Thermal.SC.AC.Elec</t>
  </si>
  <si>
    <t>TES.ktoe.SE.Ser.BldNew.Thermal.HW</t>
  </si>
  <si>
    <t>TES.ktoe.SE.Ser.BldNew.Thermal.HW.Solids.Solids</t>
  </si>
  <si>
    <t>TES.ktoe.SE.Ser.BldNew.Thermal.HW.LPG.LPG</t>
  </si>
  <si>
    <t>TES.ktoe.SE.Ser.BldNew.Thermal.HW.Oil.Oil_LiqBio</t>
  </si>
  <si>
    <t>TES.ktoe.SE.Ser.BldNew.Thermal.HW.Gas.NG_Biogas</t>
  </si>
  <si>
    <t>TES.ktoe.SE.Ser.BldNew.Thermal.HW.Biomass.Biomass_Waste</t>
  </si>
  <si>
    <t>TES.ktoe.SE.Ser.BldNew.Thermal.HW.DistrHeat.Steam_Distr</t>
  </si>
  <si>
    <t>TES.ktoe.SE.Ser.BldNew.Thermal.HW.Elc.Elec</t>
  </si>
  <si>
    <t>TES.ktoe.SE.Ser.BldNew.Thermal.HW.TotalSolar.Solar</t>
  </si>
  <si>
    <t>TES.ktoe.SE.Ser.BldNew.Thermal.CA</t>
  </si>
  <si>
    <t>TES.ktoe.SE.Ser.BldNew.Thermal.CA.LPG</t>
  </si>
  <si>
    <t>TES.ktoe.SE.Ser.BldNew.Thermal.CA.Gas.NG_Biogas</t>
  </si>
  <si>
    <t>TES.ktoe.SE.Ser.BldNew.Thermal.CA.Biomass.Biomass_Waste</t>
  </si>
  <si>
    <t>TES.ktoe.SE.Ser.BldNew.Thermal.CA.Elc.Elec</t>
  </si>
  <si>
    <t>SE - System efficiency indicator of new and renovated buildings</t>
  </si>
  <si>
    <t>Eff.ratio.SE.Ser.BldNew.Thermal</t>
  </si>
  <si>
    <t>Eff.ratio.SE.Ser.BldNew.Thermal.SH</t>
  </si>
  <si>
    <t>Eff.ratio.SE.Ser.BldNew.Thermal.SH.Solids.Solids</t>
  </si>
  <si>
    <t>Eff.ratio.SE.Ser.BldNew.Thermal.SH.LPG.LPG</t>
  </si>
  <si>
    <t>Eff.ratio.SE.Ser.BldNew.Thermal.SH.Oil.Oil_LiqBio</t>
  </si>
  <si>
    <t>Eff.ratio.SE.Ser.BldNew.Thermal.SH.GasHP.NG_Biogas</t>
  </si>
  <si>
    <t>Eff.ratio.SE.Ser.BldNew.Thermal.SH.GasTH.NG_Biogas</t>
  </si>
  <si>
    <t>Eff.ratio.SE.Ser.BldNew.Thermal.SH.Biomass.Biomass_Waste</t>
  </si>
  <si>
    <t>Eff.ratio.SE.Ser.BldNew.Thermal.SH.Geo.Geo</t>
  </si>
  <si>
    <t>Eff.ratio.SE.Ser.BldNew.Thermal.SH.DistrHeat.Steam_Distr</t>
  </si>
  <si>
    <t>Eff.ratio.SE.Ser.BldNew.Thermal.SH.AdvElc.Elec</t>
  </si>
  <si>
    <t>Eff.ratio.SE.Ser.BldNew.Thermal.SH.ConvElc.Elec</t>
  </si>
  <si>
    <t>Eff.ratio.SE.Ser.BldNew.Thermal.SH.TotalCirculation.Elec</t>
  </si>
  <si>
    <t>Eff.ratio.SE.Ser.BldNew.Thermal.SC</t>
  </si>
  <si>
    <t>Eff.ratio.SE.Ser.BldNew.Thermal.SC.GasHP.NG_Biogas</t>
  </si>
  <si>
    <t>Eff.ratio.SE.Ser.BldNew.Thermal.SC.AC.Elec</t>
  </si>
  <si>
    <t>Eff.ratio.SE.Ser.BldNew.Thermal.HW</t>
  </si>
  <si>
    <t>Eff.ratio.SE.Ser.BldNew.Thermal.HW.Solids.Solids</t>
  </si>
  <si>
    <t>Eff.ratio.SE.Ser.BldNew.Thermal.HW.LPG.LPG</t>
  </si>
  <si>
    <t>Eff.ratio.SE.Ser.BldNew.Thermal.HW.Oil.Oil_LiqBio</t>
  </si>
  <si>
    <t>Eff.ratio.SE.Ser.BldNew.Thermal.HW.Gas.NG_Biogas</t>
  </si>
  <si>
    <t>Eff.ratio.SE.Ser.BldNew.Thermal.HW.Biomass.Biomass_Waste</t>
  </si>
  <si>
    <t>Eff.ratio.SE.Ser.BldNew.Thermal.HW.DistrHeat.Steam_Distr</t>
  </si>
  <si>
    <t>Eff.ratio.SE.Ser.BldNew.Thermal.HW.Elc.Elec</t>
  </si>
  <si>
    <t>Eff.ratio.SE.Ser.BldNew.Thermal.HW.TotalSolar.Solar</t>
  </si>
  <si>
    <t>Eff.ratio.SE.Ser.BldNew.Thermal.CA</t>
  </si>
  <si>
    <t>Eff.ratio.SE.Ser.BldNew.Thermal.CA.LPG</t>
  </si>
  <si>
    <t>Eff.ratio.SE.Ser.BldNew.Thermal.CA.Gas.NG_Biogas</t>
  </si>
  <si>
    <t>Eff.ratio.SE.Ser.BldNew.Thermal.CA.Biomass.Biomass_Waste</t>
  </si>
  <si>
    <t>Eff.ratio.SE.Ser.BldNew.Thermal.CA.Elc.Elec</t>
  </si>
  <si>
    <t>SE - CO2 emissions in new and renovated buildings</t>
  </si>
  <si>
    <t>EMI.ktCO2.SE.Ser.BldNew.Thermal</t>
  </si>
  <si>
    <t>EMI.ktCO2.SE.Ser.BldNew.Thermal.SH</t>
  </si>
  <si>
    <t>EMI.ktCO2.SE.Ser.BldNew.Thermal.SH.Solids.Solids</t>
  </si>
  <si>
    <t>EMI.ktCO2.SE.Ser.BldNew.Thermal.SH.LPG.LPG</t>
  </si>
  <si>
    <t>EMI.ktCO2.SE.Ser.BldNew.Thermal.SH.Oil.Oil_LiqBio</t>
  </si>
  <si>
    <t>EMI.ktCO2.SE.Ser.BldNew.Thermal.SH.GasHP.NG_Biogas</t>
  </si>
  <si>
    <t>EMI.ktCO2.SE.Ser.BldNew.Thermal.SH.GasTH.NG_Biogas</t>
  </si>
  <si>
    <t>EMI.ktCO2.SE.Ser.BldNew.Thermal.SH.Biomass.Biomass_Waste</t>
  </si>
  <si>
    <t>EMI.ktCO2.SE.Ser.BldNew.Thermal.SH.Geo.Geo</t>
  </si>
  <si>
    <t>EMI.ktCO2.SE.Ser.BldNew.Thermal.SH.DistrHeat.Steam_Distr</t>
  </si>
  <si>
    <t>EMI.ktCO2.SE.Ser.BldNew.Thermal.SH.AdvElc.Elec</t>
  </si>
  <si>
    <t>EMI.ktCO2.SE.Ser.BldNew.Thermal.SH.ConvElc.Elec</t>
  </si>
  <si>
    <t>EMI.ktCO2.SE.Ser.BldNew.Thermal.SH.TotalCirculation.Elec</t>
  </si>
  <si>
    <t>EMI.ktCO2.SE.Ser.BldNew.Thermal.SC</t>
  </si>
  <si>
    <t>EMI.ktCO2.SE.Ser.BldNew.Thermal.SC.GasHP.NG_Biogas</t>
  </si>
  <si>
    <t>EMI.ktCO2.SE.Ser.BldNew.Thermal.SC.AC.Elec</t>
  </si>
  <si>
    <t>EMI.ktCO2.SE.Ser.BldNew.Thermal.HW</t>
  </si>
  <si>
    <t>EMI.ktCO2.SE.Ser.BldNew.Thermal.HW.Solids.Solids</t>
  </si>
  <si>
    <t>EMI.ktCO2.SE.Ser.BldNew.Thermal.HW.LPG.LPG</t>
  </si>
  <si>
    <t>EMI.ktCO2.SE.Ser.BldNew.Thermal.HW.Oil.Oil_LiqBio</t>
  </si>
  <si>
    <t>EMI.ktCO2.SE.Ser.BldNew.Thermal.HW.Gas.NG_Biogas</t>
  </si>
  <si>
    <t>EMI.ktCO2.SE.Ser.BldNew.Thermal.HW.Biomass.Biomass_Waste</t>
  </si>
  <si>
    <t>EMI.ktCO2.SE.Ser.BldNew.Thermal.HW.DistrHeat.Steam_Distr</t>
  </si>
  <si>
    <t>EMI.ktCO2.SE.Ser.BldNew.Thermal.HW.Elc.Elec</t>
  </si>
  <si>
    <t>EMI.ktCO2.SE.Ser.BldNew.Thermal.HW.TotalSolar.Solar</t>
  </si>
  <si>
    <t>EMI.ktCO2.SE.Ser.BldNew.Thermal.CA</t>
  </si>
  <si>
    <t>EMI.ktCO2.SE.Ser.BldNew.Thermal.CA.LPG</t>
  </si>
  <si>
    <t>EMI.ktCO2.SE.Ser.BldNew.Thermal.CA.Gas.NG_Biogas</t>
  </si>
  <si>
    <t>EMI.ktCO2.SE.Ser.BldNew.Thermal.CA.Biomass.Biomass_Waste</t>
  </si>
  <si>
    <t>EMI.ktCO2.SE.Ser.BldNew.Thermal.CA.Elc.Elec</t>
  </si>
  <si>
    <t>SE - Final energy consumption of new and renovated buildings (per building)</t>
  </si>
  <si>
    <t>FEC_per_building.kWh.SE.Ser.BldNew.Thermal</t>
  </si>
  <si>
    <t>FEC_per_building.kWh.SE.Ser.BldNew.Thermal.SH</t>
  </si>
  <si>
    <t>FEC_per_building.kWh.SE.Ser.BldNew.Thermal.SH.Solids.Solids</t>
  </si>
  <si>
    <t>FEC_per_building.kWh.SE.Ser.BldNew.Thermal.SH.LPG.LPG</t>
  </si>
  <si>
    <t>FEC_per_building.kWh.SE.Ser.BldNew.Thermal.SH.Oil.Oil_LiqBio</t>
  </si>
  <si>
    <t>FEC_per_building.kWh.SE.Ser.BldNew.Thermal.SH.GasHP.NG_Biogas</t>
  </si>
  <si>
    <t>FEC_per_building.kWh.SE.Ser.BldNew.Thermal.SH.GasTH.NG_Biogas</t>
  </si>
  <si>
    <t>FEC_per_building.kWh.SE.Ser.BldNew.Thermal.SH.Biomass.Biomass_Waste</t>
  </si>
  <si>
    <t>FEC_per_building.kWh.SE.Ser.BldNew.Thermal.SH.Geo.Geo</t>
  </si>
  <si>
    <t>FEC_per_building.kWh.SE.Ser.BldNew.Thermal.SH.DistrHeat.Steam_Distr</t>
  </si>
  <si>
    <t>FEC_per_building.kWh.SE.Ser.BldNew.Thermal.SH.AdvElc.Elec</t>
  </si>
  <si>
    <t>FEC_per_building.kWh.SE.Ser.BldNew.Thermal.SH.ConvElc.Elec</t>
  </si>
  <si>
    <t>FEC_per_building.kWh.SE.Ser.BldNew.Thermal.SH.TotalCirculation.Elec</t>
  </si>
  <si>
    <t>FEC_per_building.kWh.SE.Ser.BldNew.Thermal.SC</t>
  </si>
  <si>
    <t>FEC_per_building.kWh.SE.Ser.BldNew.Thermal.SC.GasHP.NG_Biogas</t>
  </si>
  <si>
    <t>FEC_per_building.kWh.SE.Ser.BldNew.Thermal.SC.AC.Elec</t>
  </si>
  <si>
    <t>FEC_per_building.kWh.SE.Ser.BldNew.Thermal.HW</t>
  </si>
  <si>
    <t>FEC_per_building.kWh.SE.Ser.BldNew.Thermal.HW.Solids.Solids</t>
  </si>
  <si>
    <t>FEC_per_building.kWh.SE.Ser.BldNew.Thermal.HW.LPG.LPG</t>
  </si>
  <si>
    <t>FEC_per_building.kWh.SE.Ser.BldNew.Thermal.HW.Oil.Oil_LiqBio</t>
  </si>
  <si>
    <t>FEC_per_building.kWh.SE.Ser.BldNew.Thermal.HW.Gas.NG_Biogas</t>
  </si>
  <si>
    <t>FEC_per_building.kWh.SE.Ser.BldNew.Thermal.HW.Biomass.Biomass_Waste</t>
  </si>
  <si>
    <t>FEC_per_building.kWh.SE.Ser.BldNew.Thermal.HW.DistrHeat.Steam_Distr</t>
  </si>
  <si>
    <t>FEC_per_building.kWh.SE.Ser.BldNew.Thermal.HW.Elc.Elec</t>
  </si>
  <si>
    <t>FEC_per_building.kWh.SE.Ser.BldNew.Thermal.HW.TotalSolar.Solar</t>
  </si>
  <si>
    <t>FEC_per_building.kWh.SE.Ser.BldNew.Thermal.CA</t>
  </si>
  <si>
    <t>FEC_per_building.kWh.SE.Ser.BldNew.Thermal.CA.LPG</t>
  </si>
  <si>
    <t>FEC_per_building.kWh.SE.Ser.BldNew.Thermal.CA.Gas.NG_Biogas</t>
  </si>
  <si>
    <t>FEC_per_building.kWh.SE.Ser.BldNew.Thermal.CA.Biomass.Biomass_Waste</t>
  </si>
  <si>
    <t>FEC_per_building.kWh.SE.Ser.BldNew.Thermal.CA.Elc.Elec</t>
  </si>
  <si>
    <t>SE - Thermal energy service of new and renovated buildings (per building)</t>
  </si>
  <si>
    <t>TES_per_building.kWh.SE.Ser.BldNew.Thermal</t>
  </si>
  <si>
    <t>TES_per_building.kWh.SE.Ser.BldNew.Thermal.SH</t>
  </si>
  <si>
    <t>TES_per_building.kWh.SE.Ser.BldNew.Thermal.SH.Solids.Solids</t>
  </si>
  <si>
    <t>TES_per_building.kWh.SE.Ser.BldNew.Thermal.SH.LPG.LPG</t>
  </si>
  <si>
    <t>TES_per_building.kWh.SE.Ser.BldNew.Thermal.SH.Oil.Oil_LiqBio</t>
  </si>
  <si>
    <t>TES_per_building.kWh.SE.Ser.BldNew.Thermal.SH.GasHP.NG_Biogas</t>
  </si>
  <si>
    <t>TES_per_building.kWh.SE.Ser.BldNew.Thermal.SH.GasTH.NG_Biogas</t>
  </si>
  <si>
    <t>TES_per_building.kWh.SE.Ser.BldNew.Thermal.SH.Biomass.Biomass_Waste</t>
  </si>
  <si>
    <t>TES_per_building.kWh.SE.Ser.BldNew.Thermal.SH.Geo.Geo</t>
  </si>
  <si>
    <t>TES_per_building.kWh.SE.Ser.BldNew.Thermal.SH.DistrHeat.Steam_Distr</t>
  </si>
  <si>
    <t>TES_per_building.kWh.SE.Ser.BldNew.Thermal.SH.AdvElc.Elec</t>
  </si>
  <si>
    <t>TES_per_building.kWh.SE.Ser.BldNew.Thermal.SH.ConvElc.Elec</t>
  </si>
  <si>
    <t>TES_per_building.kWh.SE.Ser.BldNew.Thermal.SH.TotalCirculation.Elec</t>
  </si>
  <si>
    <t>TES_per_building.kWh.SE.Ser.BldNew.Thermal.SC</t>
  </si>
  <si>
    <t>TES_per_building.kWh.SE.Ser.BldNew.Thermal.SC.GasHP.NG_Biogas</t>
  </si>
  <si>
    <t>TES_per_building.kWh.SE.Ser.BldNew.Thermal.SC.AC.Elec</t>
  </si>
  <si>
    <t>TES_per_building.kWh.SE.Ser.BldNew.Thermal.HW</t>
  </si>
  <si>
    <t>TES_per_building.kWh.SE.Ser.BldNew.Thermal.HW.Solids.Solids</t>
  </si>
  <si>
    <t>TES_per_building.kWh.SE.Ser.BldNew.Thermal.HW.LPG.LPG</t>
  </si>
  <si>
    <t>TES_per_building.kWh.SE.Ser.BldNew.Thermal.HW.Oil.Oil_LiqBio</t>
  </si>
  <si>
    <t>TES_per_building.kWh.SE.Ser.BldNew.Thermal.HW.Gas.NG_Biogas</t>
  </si>
  <si>
    <t>TES_per_building.kWh.SE.Ser.BldNew.Thermal.HW.Biomass.Biomass_Waste</t>
  </si>
  <si>
    <t>TES_per_building.kWh.SE.Ser.BldNew.Thermal.HW.DistrHeat.Steam_Distr</t>
  </si>
  <si>
    <t>TES_per_building.kWh.SE.Ser.BldNew.Thermal.HW.Elc.Elec</t>
  </si>
  <si>
    <t>TES_per_building.kWh.SE.Ser.BldNew.Thermal.HW.TotalSolar.Solar</t>
  </si>
  <si>
    <t>TES_per_building.kWh.SE.Ser.BldNew.Thermal.CA</t>
  </si>
  <si>
    <t>TES_per_building.kWh.SE.Ser.BldNew.Thermal.CA.LPG</t>
  </si>
  <si>
    <t>TES_per_building.kWh.SE.Ser.BldNew.Thermal.CA.Gas.NG_Biogas</t>
  </si>
  <si>
    <t>TES_per_building.kWh.SE.Ser.BldNew.Thermal.CA.Biomass.Biomass_Waste</t>
  </si>
  <si>
    <t>TES_per_building.kWh.SE.Ser.BldNew.Thermal.CA.Elc.Elec</t>
  </si>
  <si>
    <t>SE - CO2 emissions in new and renovated buildings (per building)</t>
  </si>
  <si>
    <t>EMI_per_building.kgCO2.SE.Ser.BldNew.Thermal</t>
  </si>
  <si>
    <t>EMI_per_building.kgCO2.SE.Ser.BldNew.Thermal.SH</t>
  </si>
  <si>
    <t>EMI_per_building.kgCO2.SE.Ser.BldNew.Thermal.SH.Solids.Solids</t>
  </si>
  <si>
    <t>EMI_per_building.kgCO2.SE.Ser.BldNew.Thermal.SH.LPG.LPG</t>
  </si>
  <si>
    <t>EMI_per_building.kgCO2.SE.Ser.BldNew.Thermal.SH.Oil.Oil_LiqBio</t>
  </si>
  <si>
    <t>EMI_per_building.kgCO2.SE.Ser.BldNew.Thermal.SH.GasHP.NG_Biogas</t>
  </si>
  <si>
    <t>EMI_per_building.kgCO2.SE.Ser.BldNew.Thermal.SH.GasTH.NG_Biogas</t>
  </si>
  <si>
    <t>EMI_per_building.kgCO2.SE.Ser.BldNew.Thermal.SH.Biomass.Biomass_Waste</t>
  </si>
  <si>
    <t>EMI_per_building.kgCO2.SE.Ser.BldNew.Thermal.SH.Geo.Geo</t>
  </si>
  <si>
    <t>EMI_per_building.kgCO2.SE.Ser.BldNew.Thermal.SH.DistrHeat.Steam_Distr</t>
  </si>
  <si>
    <t>EMI_per_building.kgCO2.SE.Ser.BldNew.Thermal.SH.AdvElc.Elec</t>
  </si>
  <si>
    <t>EMI_per_building.kgCO2.SE.Ser.BldNew.Thermal.SH.ConvElc.Elec</t>
  </si>
  <si>
    <t>EMI_per_building.kgCO2.SE.Ser.BldNew.Thermal.SH.TotalCirculation.Elec</t>
  </si>
  <si>
    <t>EMI_per_building.kgCO2.SE.Ser.BldNew.Thermal.SC</t>
  </si>
  <si>
    <t>EMI_per_building.kgCO2.SE.Ser.BldNew.Thermal.SC.GasHP.NG_Biogas</t>
  </si>
  <si>
    <t>EMI_per_building.kgCO2.SE.Ser.BldNew.Thermal.SC.AC.Elec</t>
  </si>
  <si>
    <t>EMI_per_building.kgCO2.SE.Ser.BldNew.Thermal.HW</t>
  </si>
  <si>
    <t>EMI_per_building.kgCO2.SE.Ser.BldNew.Thermal.HW.Solids.Solids</t>
  </si>
  <si>
    <t>EMI_per_building.kgCO2.SE.Ser.BldNew.Thermal.HW.LPG.LPG</t>
  </si>
  <si>
    <t>EMI_per_building.kgCO2.SE.Ser.BldNew.Thermal.HW.Oil.Oil_LiqBio</t>
  </si>
  <si>
    <t>EMI_per_building.kgCO2.SE.Ser.BldNew.Thermal.HW.Gas.NG_Biogas</t>
  </si>
  <si>
    <t>EMI_per_building.kgCO2.SE.Ser.BldNew.Thermal.HW.Biomass.Biomass_Waste</t>
  </si>
  <si>
    <t>EMI_per_building.kgCO2.SE.Ser.BldNew.Thermal.HW.DistrHeat.Steam_Distr</t>
  </si>
  <si>
    <t>EMI_per_building.kgCO2.SE.Ser.BldNew.Thermal.HW.Elc.Elec</t>
  </si>
  <si>
    <t>EMI_per_building.kgCO2.SE.Ser.BldNew.Thermal.HW.TotalSolar.Solar</t>
  </si>
  <si>
    <t>EMI_per_building.kgCO2.SE.Ser.BldNew.Thermal.CA</t>
  </si>
  <si>
    <t>EMI_per_building.kgCO2.SE.Ser.BldNew.Thermal.CA.LPG</t>
  </si>
  <si>
    <t>EMI_per_building.kgCO2.SE.Ser.BldNew.Thermal.CA.Gas.NG_Biogas</t>
  </si>
  <si>
    <t>EMI_per_building.kgCO2.SE.Ser.BldNew.Thermal.CA.Biomass.Biomass_Waste</t>
  </si>
  <si>
    <t>EMI_per_building.kgCO2.SE.Ser.BldNew.Thermal.CA.Elc.Elec</t>
  </si>
  <si>
    <t>SE - Final energy consumption in new and renovated buildings per surface area</t>
  </si>
  <si>
    <t>FEC_per_sqm.kWh.SE.Ser.BldNew.Thermal</t>
  </si>
  <si>
    <t>FEC_per_sqm.kWh.SE.Ser.BldNew.Thermal.SH</t>
  </si>
  <si>
    <t>FEC_per_sqm.kWh.SE.Ser.BldNew.Thermal.SH.Solids.Solids</t>
  </si>
  <si>
    <t>FEC_per_sqm.kWh.SE.Ser.BldNew.Thermal.SH.LPG.LPG</t>
  </si>
  <si>
    <t>FEC_per_sqm.kWh.SE.Ser.BldNew.Thermal.SH.Oil.Oil_LiqBio</t>
  </si>
  <si>
    <t>FEC_per_sqm.kWh.SE.Ser.BldNew.Thermal.SH.GasHP.NG_Biogas</t>
  </si>
  <si>
    <t>FEC_per_sqm.kWh.SE.Ser.BldNew.Thermal.SH.GasTH.NG_Biogas</t>
  </si>
  <si>
    <t>FEC_per_sqm.kWh.SE.Ser.BldNew.Thermal.SH.Biomass.Biomass_Waste</t>
  </si>
  <si>
    <t>FEC_per_sqm.kWh.SE.Ser.BldNew.Thermal.SH.Geo.Geo</t>
  </si>
  <si>
    <t>FEC_per_sqm.kWh.SE.Ser.BldNew.Thermal.SH.DistrHeat.Steam_Distr</t>
  </si>
  <si>
    <t>FEC_per_sqm.kWh.SE.Ser.BldNew.Thermal.SH.AdvElc.Elec</t>
  </si>
  <si>
    <t>FEC_per_sqm.kWh.SE.Ser.BldNew.Thermal.SH.ConvElc.Elec</t>
  </si>
  <si>
    <t>FEC_per_sqm.kWh.SE.Ser.BldNew.Thermal.SH.TotalCirculation.Elec</t>
  </si>
  <si>
    <t>FEC_per_sqm.kWh.SE.Ser.BldNew.Thermal.SC</t>
  </si>
  <si>
    <t>FEC_per_sqm.kWh.SE.Ser.BldNew.Thermal.SC.GasHP.NG_Biogas</t>
  </si>
  <si>
    <t>FEC_per_sqm.kWh.SE.Ser.BldNew.Thermal.SC.AC.Elec</t>
  </si>
  <si>
    <t>FEC_per_sqm.kWh.SE.Ser.BldNew.Thermal.HW</t>
  </si>
  <si>
    <t>FEC_per_sqm.kWh.SE.Ser.BldNew.Thermal.HW.Solids.Solids</t>
  </si>
  <si>
    <t>FEC_per_sqm.kWh.SE.Ser.BldNew.Thermal.HW.LPG.LPG</t>
  </si>
  <si>
    <t>FEC_per_sqm.kWh.SE.Ser.BldNew.Thermal.HW.Oil.Oil_LiqBio</t>
  </si>
  <si>
    <t>FEC_per_sqm.kWh.SE.Ser.BldNew.Thermal.HW.Gas.NG_Biogas</t>
  </si>
  <si>
    <t>FEC_per_sqm.kWh.SE.Ser.BldNew.Thermal.HW.Biomass.Biomass_Waste</t>
  </si>
  <si>
    <t>FEC_per_sqm.kWh.SE.Ser.BldNew.Thermal.HW.DistrHeat.Steam_Distr</t>
  </si>
  <si>
    <t>FEC_per_sqm.kWh.SE.Ser.BldNew.Thermal.HW.Elc.Elec</t>
  </si>
  <si>
    <t>FEC_per_sqm.kWh.SE.Ser.BldNew.Thermal.HW.TotalSolar.Solar</t>
  </si>
  <si>
    <t>FEC_per_sqm.kWh.SE.Ser.BldNew.Thermal.CA</t>
  </si>
  <si>
    <t>FEC_per_sqm.kWh.SE.Ser.BldNew.Thermal.CA.LPG</t>
  </si>
  <si>
    <t>FEC_per_sqm.kWh.SE.Ser.BldNew.Thermal.CA.Gas.NG_Biogas</t>
  </si>
  <si>
    <t>FEC_per_sqm.kWh.SE.Ser.BldNew.Thermal.CA.Biomass.Biomass_Waste</t>
  </si>
  <si>
    <t>FEC_per_sqm.kWh.SE.Ser.BldNew.Thermal.CA.Elc.Elec</t>
  </si>
  <si>
    <t>SE - Thermal energy service in new and renovated buildings per surface area</t>
  </si>
  <si>
    <t>TES_per_sqm.kWh.SE.Ser.BldNew.Thermal</t>
  </si>
  <si>
    <t>TES_per_sqm.kWh.SE.Ser.BldNew.Thermal.SH</t>
  </si>
  <si>
    <t>TES_per_sqm.kWh.SE.Ser.BldNew.Thermal.SH.Solids.Solids</t>
  </si>
  <si>
    <t>TES_per_sqm.kWh.SE.Ser.BldNew.Thermal.SH.LPG.LPG</t>
  </si>
  <si>
    <t>TES_per_sqm.kWh.SE.Ser.BldNew.Thermal.SH.Oil.Oil_LiqBio</t>
  </si>
  <si>
    <t>TES_per_sqm.kWh.SE.Ser.BldNew.Thermal.SH.GasHP.NG_Biogas</t>
  </si>
  <si>
    <t>TES_per_sqm.kWh.SE.Ser.BldNew.Thermal.SH.GasTH.NG_Biogas</t>
  </si>
  <si>
    <t>TES_per_sqm.kWh.SE.Ser.BldNew.Thermal.SH.Biomass.Biomass_Waste</t>
  </si>
  <si>
    <t>TES_per_sqm.kWh.SE.Ser.BldNew.Thermal.SH.Geo.Geo</t>
  </si>
  <si>
    <t>TES_per_sqm.kWh.SE.Ser.BldNew.Thermal.SH.DistrHeat.Steam_Distr</t>
  </si>
  <si>
    <t>TES_per_sqm.kWh.SE.Ser.BldNew.Thermal.SH.AdvElc.Elec</t>
  </si>
  <si>
    <t>TES_per_sqm.kWh.SE.Ser.BldNew.Thermal.SH.ConvElc.Elec</t>
  </si>
  <si>
    <t>TES_per_sqm.kWh.SE.Ser.BldNew.Thermal.SH.TotalCirculation.Elec</t>
  </si>
  <si>
    <t>TES_per_sqm.kWh.SE.Ser.BldNew.Thermal.SC</t>
  </si>
  <si>
    <t>TES_per_sqm.kWh.SE.Ser.BldNew.Thermal.SC.GasHP.NG_Biogas</t>
  </si>
  <si>
    <t>TES_per_sqm.kWh.SE.Ser.BldNew.Thermal.SC.AC.Elec</t>
  </si>
  <si>
    <t>TES_per_sqm.kWh.SE.Ser.BldNew.Thermal.HW</t>
  </si>
  <si>
    <t>TES_per_sqm.kWh.SE.Ser.BldNew.Thermal.HW.Solids.Solids</t>
  </si>
  <si>
    <t>TES_per_sqm.kWh.SE.Ser.BldNew.Thermal.HW.LPG.LPG</t>
  </si>
  <si>
    <t>TES_per_sqm.kWh.SE.Ser.BldNew.Thermal.HW.Oil.Oil_LiqBio</t>
  </si>
  <si>
    <t>TES_per_sqm.kWh.SE.Ser.BldNew.Thermal.HW.Gas.NG_Biogas</t>
  </si>
  <si>
    <t>TES_per_sqm.kWh.SE.Ser.BldNew.Thermal.HW.Biomass.Biomass_Waste</t>
  </si>
  <si>
    <t>TES_per_sqm.kWh.SE.Ser.BldNew.Thermal.HW.DistrHeat.Steam_Distr</t>
  </si>
  <si>
    <t>TES_per_sqm.kWh.SE.Ser.BldNew.Thermal.HW.Elc.Elec</t>
  </si>
  <si>
    <t>TES_per_sqm.kWh.SE.Ser.BldNew.Thermal.HW.TotalSolar.Solar</t>
  </si>
  <si>
    <t>TES_per_sqm.kWh.SE.Ser.BldNew.Thermal.CA</t>
  </si>
  <si>
    <t>TES_per_sqm.kWh.SE.Ser.BldNew.Thermal.CA.LPG</t>
  </si>
  <si>
    <t>TES_per_sqm.kWh.SE.Ser.BldNew.Thermal.CA.Gas.NG_Biogas</t>
  </si>
  <si>
    <t>TES_per_sqm.kWh.SE.Ser.BldNew.Thermal.CA.Biomass.Biomass_Waste</t>
  </si>
  <si>
    <t>TES_per_sqm.kWh.SE.Ser.BldNew.Thermal.CA.Elc.Elec</t>
  </si>
  <si>
    <t>SE - CO2 emissions in new and renovated buildings per surface area</t>
  </si>
  <si>
    <t>EMI_per_sqm.kgCO2.SE.Ser.BldNew.Thermal</t>
  </si>
  <si>
    <t>EMI_per_sqm.kgCO2.SE.Ser.BldNew.Thermal.SH</t>
  </si>
  <si>
    <t>EMI_per_sqm.kgCO2.SE.Ser.BldNew.Thermal.SH.Solids.Solids</t>
  </si>
  <si>
    <t>EMI_per_sqm.kgCO2.SE.Ser.BldNew.Thermal.SH.LPG.LPG</t>
  </si>
  <si>
    <t>EMI_per_sqm.kgCO2.SE.Ser.BldNew.Thermal.SH.Oil.Oil_LiqBio</t>
  </si>
  <si>
    <t>EMI_per_sqm.kgCO2.SE.Ser.BldNew.Thermal.SH.GasHP.NG_Biogas</t>
  </si>
  <si>
    <t>EMI_per_sqm.kgCO2.SE.Ser.BldNew.Thermal.SH.GasTH.NG_Biogas</t>
  </si>
  <si>
    <t>EMI_per_sqm.kgCO2.SE.Ser.BldNew.Thermal.SH.Biomass.Biomass_Waste</t>
  </si>
  <si>
    <t>EMI_per_sqm.kgCO2.SE.Ser.BldNew.Thermal.SH.Geo.Geo</t>
  </si>
  <si>
    <t>EMI_per_sqm.kgCO2.SE.Ser.BldNew.Thermal.SH.DistrHeat.Steam_Distr</t>
  </si>
  <si>
    <t>EMI_per_sqm.kgCO2.SE.Ser.BldNew.Thermal.SH.AdvElc.Elec</t>
  </si>
  <si>
    <t>EMI_per_sqm.kgCO2.SE.Ser.BldNew.Thermal.SH.ConvElc.Elec</t>
  </si>
  <si>
    <t>EMI_per_sqm.kgCO2.SE.Ser.BldNew.Thermal.SH.TotalCirculation.Elec</t>
  </si>
  <si>
    <t>EMI_per_sqm.kgCO2.SE.Ser.BldNew.Thermal.SC</t>
  </si>
  <si>
    <t>EMI_per_sqm.kgCO2.SE.Ser.BldNew.Thermal.SC.GasHP.NG_Biogas</t>
  </si>
  <si>
    <t>EMI_per_sqm.kgCO2.SE.Ser.BldNew.Thermal.SC.AC.Elec</t>
  </si>
  <si>
    <t>EMI_per_sqm.kgCO2.SE.Ser.BldNew.Thermal.HW</t>
  </si>
  <si>
    <t>EMI_per_sqm.kgCO2.SE.Ser.BldNew.Thermal.HW.Solids.Solids</t>
  </si>
  <si>
    <t>EMI_per_sqm.kgCO2.SE.Ser.BldNew.Thermal.HW.LPG.LPG</t>
  </si>
  <si>
    <t>EMI_per_sqm.kgCO2.SE.Ser.BldNew.Thermal.HW.Oil.Oil_LiqBio</t>
  </si>
  <si>
    <t>EMI_per_sqm.kgCO2.SE.Ser.BldNew.Thermal.HW.Gas.NG_Biogas</t>
  </si>
  <si>
    <t>EMI_per_sqm.kgCO2.SE.Ser.BldNew.Thermal.HW.Biomass.Biomass_Waste</t>
  </si>
  <si>
    <t>EMI_per_sqm.kgCO2.SE.Ser.BldNew.Thermal.HW.DistrHeat.Steam_Distr</t>
  </si>
  <si>
    <t>EMI_per_sqm.kgCO2.SE.Ser.BldNew.Thermal.HW.Elc.Elec</t>
  </si>
  <si>
    <t>EMI_per_sqm.kgCO2.SE.Ser.BldNew.Thermal.HW.TotalSolar.Solar</t>
  </si>
  <si>
    <t>EMI_per_sqm.kgCO2.SE.Ser.BldNew.Thermal.CA</t>
  </si>
  <si>
    <t>EMI_per_sqm.kgCO2.SE.Ser.BldNew.Thermal.CA.LPG</t>
  </si>
  <si>
    <t>EMI_per_sqm.kgCO2.SE.Ser.BldNew.Thermal.CA.Gas.NG_Biogas</t>
  </si>
  <si>
    <t>EMI_per_sqm.kgCO2.SE.Ser.BldNew.Thermal.CA.Biomass.Biomass_Waste</t>
  </si>
  <si>
    <t>EMI_per_sqm.kgCO2.SE.Ser.BldNew.Thermal.CA.Elc.Elec</t>
  </si>
  <si>
    <t>FEC.ktoe.SE.Ser.SEU.VE</t>
  </si>
  <si>
    <t>FEC.ktoe.SE.Ser.SEU.SL</t>
  </si>
  <si>
    <t>FEC.ktoe.SE.Ser.SEU.BL</t>
  </si>
  <si>
    <t>FEC.ktoe.SE.Ser.SEU.CR</t>
  </si>
  <si>
    <t>FEC.ktoe.SE.Ser.SEU.BT</t>
  </si>
  <si>
    <t>FEC.ktoe.SE.Ser.SEU.IT</t>
  </si>
  <si>
    <t>Size.MW.SE.Ser.SEU</t>
  </si>
  <si>
    <t>Size.MW.SE.Ser.SEU.VE</t>
  </si>
  <si>
    <t>Size.MW.SE.Ser.SEU.SL</t>
  </si>
  <si>
    <t>Size.MW.SE.Ser.SEU.BL</t>
  </si>
  <si>
    <t>Size.MW.SE.Ser.SEU.CR</t>
  </si>
  <si>
    <t>Size.MW.SE.Ser.SEU.BT</t>
  </si>
  <si>
    <t>Size.MW.SE.Ser.SEU.IT</t>
  </si>
  <si>
    <t>NUM.Msqm.SE.Ser.SEU.VE</t>
  </si>
  <si>
    <t>NUM.k.SE.Ser.SEU.SL</t>
  </si>
  <si>
    <t>NUM.M.SE.Ser.SEU.BL</t>
  </si>
  <si>
    <t>NUM.k.SE.Ser.SEU.CR</t>
  </si>
  <si>
    <t>NUM.Msqm.SE.Ser.SEU.BT</t>
  </si>
  <si>
    <t>NUM.k.SE.Ser.SEU.IT</t>
  </si>
  <si>
    <t>NUM.Msqm.SE.Ser.SEUnew.VE</t>
  </si>
  <si>
    <t>NUM.k.SE.Ser.SEUnew.SL</t>
  </si>
  <si>
    <t>NUM.M.SE.Ser.SEUnew.BL</t>
  </si>
  <si>
    <t>NUM.k.SE.Ser.SEUnew.CR</t>
  </si>
  <si>
    <t>NUM.Msqm.SE.Ser.SEUnew.BT</t>
  </si>
  <si>
    <t>NUM.k.SE.Ser.SEUnew.IT</t>
  </si>
  <si>
    <t>NUM.Msqm.SE.Ser.SEUrepl.VE</t>
  </si>
  <si>
    <t>NUM.k.SE.Ser.SEUrepl.SL</t>
  </si>
  <si>
    <t>NUM.M.SE.Ser.SEUrepl.BL</t>
  </si>
  <si>
    <t>NUM.k.SE.Ser.SEUrepl.CR</t>
  </si>
  <si>
    <t>NUM.Msqm.SE.Ser.SEUrepl.BT</t>
  </si>
  <si>
    <t>NUM.k.SE.Ser.SEUrepl.IT</t>
  </si>
  <si>
    <t>Op.hours.SE.Ser.SEU.VE</t>
  </si>
  <si>
    <t>Op.hours.SE.Ser.SEU.SL</t>
  </si>
  <si>
    <t>Op.hours.SE.Ser.SEU.BL</t>
  </si>
  <si>
    <t>Op.hours.SE.Ser.SEU.CR</t>
  </si>
  <si>
    <t>Op.hours.SE.Ser.SEU.BT</t>
  </si>
  <si>
    <t>Op.hours.SE.Ser.SEU.IT</t>
  </si>
  <si>
    <t>Size_per_appl.W.SE.Ser.SEU.VE</t>
  </si>
  <si>
    <t>Size_per_appl.W.SE.Ser.SEU.SL</t>
  </si>
  <si>
    <t>Size_per_appl.W.SE.Ser.SEU.BL</t>
  </si>
  <si>
    <t>Size_per_appl.W.SE.Ser.SEU.CR</t>
  </si>
  <si>
    <t>Size_per_appl.W.SE.Ser.SEU.BT</t>
  </si>
  <si>
    <t>Size_per_appl.W.SE.Ser.SEU.IT</t>
  </si>
  <si>
    <t>Size_per_appl.W.SE.Ser.SEUnew.VE</t>
  </si>
  <si>
    <t>Size_per_appl.W.SE.Ser.SEUnew.SL</t>
  </si>
  <si>
    <t>Size_per_appl.W.SE.Ser.SEUnew.BL</t>
  </si>
  <si>
    <t>Size_per_appl.W.SE.Ser.SEUnew.CR</t>
  </si>
  <si>
    <t>Size_per_appl.W.SE.Ser.SEUnew.BT</t>
  </si>
  <si>
    <t>Size_per_appl.W.SE.Ser.SEUnew.IT</t>
  </si>
  <si>
    <t>NUM.sqm_per_building.SE.Ser.SEU.VE</t>
  </si>
  <si>
    <t>NUM.number_per_capita.SE.Ser.SEU.SL</t>
  </si>
  <si>
    <t>NUM.number_per_building.SE.Ser.SEU.BL</t>
  </si>
  <si>
    <t>NUM.number_per_capita.SE.Ser.SEU.CR</t>
  </si>
  <si>
    <t>NUM.sqm_per_building.SE.Ser.SEU.BT</t>
  </si>
  <si>
    <t>NUM.number_per_capita.SE.Ser.SEU.IT</t>
  </si>
  <si>
    <t>Lumens_per_sqm.lumen.SE.Ser.SEU.BL</t>
  </si>
  <si>
    <t>FEC.ktoe.SE.Ser.SEU.IT.DataCenters</t>
  </si>
  <si>
    <t>SE - Services / specific electric uses</t>
  </si>
  <si>
    <t>SE - Ventilation and others</t>
  </si>
  <si>
    <t>SE - Street lighting</t>
  </si>
  <si>
    <t>SE - Building lighting</t>
  </si>
  <si>
    <t>SE - Commercial refrigeration</t>
  </si>
  <si>
    <t>SE - Miscellaneous building technologies</t>
  </si>
  <si>
    <t>SE - ICT and multimedia</t>
  </si>
  <si>
    <t>SE - Agriculture, forestry and fishing</t>
  </si>
  <si>
    <t>VA.Meuro2015.Meuro2023.SE.AGR.AGR</t>
  </si>
  <si>
    <t>OUTPUT.index.index.SE.AGR.AGR</t>
  </si>
  <si>
    <t>CAP.index.index.SE.AGR.AGR</t>
  </si>
  <si>
    <t>NEWCAP.index.index.SE.AGR.AGR</t>
  </si>
  <si>
    <t>CAPOUT.index.SE.AGR.AGR</t>
  </si>
  <si>
    <t>CAPIDLE.index.SE.AGR.AGR</t>
  </si>
  <si>
    <t>FEC.ktoe.SE.ES.AGR</t>
  </si>
  <si>
    <t>FEC.ktoe.SE.ES.AGR.Solids</t>
  </si>
  <si>
    <t>FEC.ktoe.SE.ES.AGR.LPG</t>
  </si>
  <si>
    <t>FEC.ktoe.SE.ES.AGR.Diesel</t>
  </si>
  <si>
    <t>FEC.ktoe.SE.ES.AGR.RFO</t>
  </si>
  <si>
    <t>FEC.ktoe.SE.ES.AGR.NG</t>
  </si>
  <si>
    <t>FEC.ktoe.SE.ES.AGR.Biomass_Waste</t>
  </si>
  <si>
    <t>FEC.ktoe.SE.ES.AGR.Biogas</t>
  </si>
  <si>
    <t>FEC.ktoe.SE.ES.AGR.LiqBio</t>
  </si>
  <si>
    <t>FEC.ktoe.SE.ES.AGR.Solar</t>
  </si>
  <si>
    <t>FEC.ktoe.SE.ES.AGR.Geo</t>
  </si>
  <si>
    <t>FEC.ktoe.SE.ES.AGR.Ambient</t>
  </si>
  <si>
    <t>FEC.ktoe.SE.ES.AGR.Steam_Distr</t>
  </si>
  <si>
    <t>FEC.ktoe.SE.ES.AGR.Elec</t>
  </si>
  <si>
    <t>SE - Agriculture, forestry and fishing / final energy consumption</t>
  </si>
  <si>
    <t>FEC.ktoe.ktoe.SE.AGR.AGR.LIGHT.GENERIC.ELEC</t>
  </si>
  <si>
    <t>FEC.ktoe.ktoe.SE.AGR.AGR.FANS.GENERIC.ELEC</t>
  </si>
  <si>
    <t>FEC.ktoe.ktoe.SE.AGR.AGR.MOTOR.GENERIC.ELEC</t>
  </si>
  <si>
    <t>FEC.ktoe.ktoe.SE.AGR.AGR.LOW_ENTH.THERM.DIESEL_LIQBIO</t>
  </si>
  <si>
    <t>FEC.ktoe.ktoe.SE.AGR.AGR.LOW_ENTH.THERM.NG_BIOGAS</t>
  </si>
  <si>
    <t>FEC.ktoe.ktoe.SE.AGR.AGR.LOW_ENTH.THERM.SOLAR_GEO</t>
  </si>
  <si>
    <t>FEC.ktoe.ktoe.SE.AGR.AGR.LOW_ENTH.HP.AMBIENT</t>
  </si>
  <si>
    <t>FEC.ktoe.ktoe.SE.AGR.AGR.LOW_ENTH.THERM.STEAM_DISTR</t>
  </si>
  <si>
    <t>FEC.ktoe.ktoe.SE.AGR.AGR.LOW_ENTH.THERM.ELEC</t>
  </si>
  <si>
    <t>FEC.ktoe.ktoe.SE.AGR.AGR.FARM_DRIVES.MECH.DIESEL_LIQBIO</t>
  </si>
  <si>
    <t>FEC.ktoe.ktoe.SE.AGR.AGR.HEAT_USE.THERM.SOLIDS</t>
  </si>
  <si>
    <t>FEC.ktoe.ktoe.SE.AGR.AGR.HEAT_USE.THERM.LPG</t>
  </si>
  <si>
    <t>FEC.ktoe.ktoe.SE.AGR.AGR.HEAT_USE.THERM.DIESEL_LIQBIO</t>
  </si>
  <si>
    <t>FEC.ktoe.ktoe.SE.AGR.AGR.HEAT_USE.THERM.RFO</t>
  </si>
  <si>
    <t>FEC.ktoe.ktoe.SE.AGR.AGR.HEAT_USE.THERM.NG_BIOGAS</t>
  </si>
  <si>
    <t>FEC.ktoe.ktoe.SE.AGR.AGR.HEAT_USE.THERM.BIOMASS_WASTE</t>
  </si>
  <si>
    <t>FEC.ktoe.ktoe.SE.AGR.AGR.HEAT_USE.THERM.SOLAR_GEO</t>
  </si>
  <si>
    <t>FEC.ktoe.ktoe.SE.AGR.AGR.FARM_PUMP.MECH.DIESEL_LIQBIO</t>
  </si>
  <si>
    <t>FEC.ktoe.ktoe.SE.AGR.AGR.FARM_PUMP_ELEC.MECH.ELEC</t>
  </si>
  <si>
    <t>FEC.ktoe.ktoe.SE.AGR.AGR.GENERIC.MECH.ELEC</t>
  </si>
  <si>
    <t>SE - Agriculture, forestry and fishing / useful energy demand</t>
  </si>
  <si>
    <t>UED.ktoe.ktoe.SE.AGR.AGR.LIGHT.GENERIC.ELEC</t>
  </si>
  <si>
    <t>UED.ktoe.ktoe.SE.AGR.AGR.FANS.GENERIC.ELEC</t>
  </si>
  <si>
    <t>UED.ktoe.ktoe.SE.AGR.AGR.MOTOR.GENERIC.ELEC</t>
  </si>
  <si>
    <t>UED.ktoe.ktoe.SE.AGR.AGR.LOW_ENTH.THERM.DIESEL_LIQBIO</t>
  </si>
  <si>
    <t>UED.ktoe.ktoe.SE.AGR.AGR.LOW_ENTH.THERM.NG_BIOGAS</t>
  </si>
  <si>
    <t>UED.ktoe.ktoe.SE.AGR.AGR.LOW_ENTH.THERM.SOLAR_GEO</t>
  </si>
  <si>
    <t>UED.ktoe.ktoe.SE.AGR.AGR.LOW_ENTH.HP.AMBIENT</t>
  </si>
  <si>
    <t>UED.ktoe.ktoe.SE.AGR.AGR.LOW_ENTH.THERM.STEAM_DISTR</t>
  </si>
  <si>
    <t>UED.ktoe.ktoe.SE.AGR.AGR.LOW_ENTH.THERM.ELEC</t>
  </si>
  <si>
    <t>UED.ktoe.ktoe.SE.AGR.AGR.FARM_DRIVES.MECH.DIESEL_LIQBIO</t>
  </si>
  <si>
    <t>UED.ktoe.ktoe.SE.AGR.AGR.HEAT_USE.THERM.SOLIDS</t>
  </si>
  <si>
    <t>UED.ktoe.ktoe.SE.AGR.AGR.HEAT_USE.THERM.LPG</t>
  </si>
  <si>
    <t>UED.ktoe.ktoe.SE.AGR.AGR.HEAT_USE.THERM.DIESEL_LIQBIO</t>
  </si>
  <si>
    <t>UED.ktoe.ktoe.SE.AGR.AGR.HEAT_USE.THERM.RFO</t>
  </si>
  <si>
    <t>UED.ktoe.ktoe.SE.AGR.AGR.HEAT_USE.THERM.NG_BIOGAS</t>
  </si>
  <si>
    <t>UED.ktoe.ktoe.SE.AGR.AGR.HEAT_USE.THERM.BIOMASS_WASTE</t>
  </si>
  <si>
    <t>UED.ktoe.ktoe.SE.AGR.AGR.HEAT_USE.THERM.SOLAR_GEO</t>
  </si>
  <si>
    <t>UED.ktoe.ktoe.SE.AGR.AGR.FARM_PUMP.MECH.DIESEL_LIQBIO</t>
  </si>
  <si>
    <t>UED.ktoe.ktoe.SE.AGR.AGR.FARM_PUMP_ELEC.MECH.ELEC</t>
  </si>
  <si>
    <t>UED.ktoe.ktoe.SE.AGR.AGR.GENERIC.MECH.ELEC</t>
  </si>
  <si>
    <t>SE - Agriculture, forestry and fishing / CO2 emissions</t>
  </si>
  <si>
    <t>FUEL_EMI.ktCO2.ktCO2.SE.AGR.AGR.LIGHT.GENERIC.ELEC</t>
  </si>
  <si>
    <t>FUEL_EMI.ktCO2.ktCO2.SE.AGR.AGR.FANS.GENERIC.ELEC</t>
  </si>
  <si>
    <t>FUEL_EMI.ktCO2.ktCO2.SE.AGR.AGR.MOTOR.GENERIC.ELEC</t>
  </si>
  <si>
    <t>FUEL_EMI.ktCO2.ktCO2.SE.AGR.AGR.LOW_ENTH.THERM.DIESEL_LIQBIO</t>
  </si>
  <si>
    <t>FUEL_EMI.ktCO2.ktCO2.SE.AGR.AGR.LOW_ENTH.THERM.NG_BIOGAS</t>
  </si>
  <si>
    <t>FUEL_EMI.ktCO2.ktCO2.SE.AGR.AGR.LOW_ENTH.THERM.SOLAR_GEO</t>
  </si>
  <si>
    <t>FUEL_EMI.ktCO2.ktCO2.SE.AGR.AGR.LOW_ENTH.HP.AMBIENT</t>
  </si>
  <si>
    <t>FUEL_EMI.ktCO2.ktCO2.SE.AGR.AGR.LOW_ENTH.THERM.STEAM_DISTR</t>
  </si>
  <si>
    <t>FUEL_EMI.ktCO2.ktCO2.SE.AGR.AGR.LOW_ENTH.THERM.ELEC</t>
  </si>
  <si>
    <t>FUEL_EMI.ktCO2.ktCO2.SE.AGR.AGR.FARM_DRIVES.MECH.DIESEL_LIQBIO</t>
  </si>
  <si>
    <t>FUEL_EMI.ktCO2.ktCO2.SE.AGR.AGR.HEAT_USE.THERM.SOLIDS</t>
  </si>
  <si>
    <t>FUEL_EMI.ktCO2.ktCO2.SE.AGR.AGR.HEAT_USE.THERM.LPG</t>
  </si>
  <si>
    <t>FUEL_EMI.ktCO2.ktCO2.SE.AGR.AGR.HEAT_USE.THERM.DIESEL_LIQBIO</t>
  </si>
  <si>
    <t>FUEL_EMI.ktCO2.ktCO2.SE.AGR.AGR.HEAT_USE.THERM.RFO</t>
  </si>
  <si>
    <t>FUEL_EMI.ktCO2.ktCO2.SE.AGR.AGR.HEAT_USE.THERM.NG_BIOGAS</t>
  </si>
  <si>
    <t>FUEL_EMI.ktCO2.ktCO2.SE.AGR.AGR.HEAT_USE.THERM.BIOMASS_WASTE</t>
  </si>
  <si>
    <t>FUEL_EMI.ktCO2.ktCO2.SE.AGR.AGR.HEAT_USE.THERM.SOLAR_GEO</t>
  </si>
  <si>
    <t>FUEL_EMI.ktCO2.ktCO2.SE.AGR.AGR.FARM_PUMP.MECH.DIESEL_LIQBIO</t>
  </si>
  <si>
    <t>FUEL_EMI.ktCO2.ktCO2.SE.AGR.AGR.FARM_PUMP_ELEC.MECH.ELEC</t>
  </si>
  <si>
    <t>FUEL_EMI.ktCO2.ktCO2.SE.AGR.AGR.GENERIC.MECH.ELEC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</si>
</sst>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45967.479803240742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8861426</v>
      </c>
      <c r="C3" s="34">
        <v>8882792</v>
      </c>
      <c r="D3" s="34">
        <v>8909128</v>
      </c>
      <c r="E3" s="34">
        <v>8940788</v>
      </c>
      <c r="F3" s="34">
        <v>8975670</v>
      </c>
      <c r="G3" s="34">
        <v>9011392</v>
      </c>
      <c r="H3" s="34">
        <v>9047752</v>
      </c>
      <c r="I3" s="34">
        <v>9113257</v>
      </c>
      <c r="J3" s="34">
        <v>9182927</v>
      </c>
      <c r="K3" s="34">
        <v>9256347</v>
      </c>
      <c r="L3" s="34">
        <v>9340682</v>
      </c>
      <c r="M3" s="34">
        <v>9415570</v>
      </c>
      <c r="N3" s="34">
        <v>9482855</v>
      </c>
      <c r="O3" s="34">
        <v>9555893</v>
      </c>
      <c r="P3" s="34">
        <v>9644864</v>
      </c>
      <c r="Q3" s="34">
        <v>9747355</v>
      </c>
      <c r="R3" s="34">
        <v>9851017</v>
      </c>
      <c r="S3" s="34">
        <v>9995153</v>
      </c>
      <c r="T3" s="34">
        <v>10120242</v>
      </c>
      <c r="U3" s="34">
        <v>10230185</v>
      </c>
      <c r="V3" s="34">
        <v>10327589</v>
      </c>
      <c r="W3" s="34">
        <v>10379295</v>
      </c>
      <c r="X3" s="34">
        <v>10452326</v>
      </c>
      <c r="Y3" s="34">
        <v>10521556</v>
      </c>
      <c r="DA3" s="88" t="s">
        <v>188</v>
      </c>
    </row>
    <row r="4" spans="1:105" ht="12" customHeight="1" x14ac:dyDescent="0.25">
      <c r="A4" s="35" t="s">
        <v>178</v>
      </c>
      <c r="B4" s="36">
        <v>347236.97884931508</v>
      </c>
      <c r="C4" s="36">
        <v>351961.78385971906</v>
      </c>
      <c r="D4" s="36">
        <v>359977.97963535791</v>
      </c>
      <c r="E4" s="36">
        <v>366748.60808540927</v>
      </c>
      <c r="F4" s="36">
        <v>382075.33770747448</v>
      </c>
      <c r="G4" s="36">
        <v>392747.82421849843</v>
      </c>
      <c r="H4" s="36">
        <v>411113.98680301529</v>
      </c>
      <c r="I4" s="36">
        <v>424371.89216870203</v>
      </c>
      <c r="J4" s="36">
        <v>420453.5602246268</v>
      </c>
      <c r="K4" s="36">
        <v>402564.29367487686</v>
      </c>
      <c r="L4" s="36">
        <v>425713.97337478929</v>
      </c>
      <c r="M4" s="36">
        <v>439181.30704225355</v>
      </c>
      <c r="N4" s="36">
        <v>437362.64776391134</v>
      </c>
      <c r="O4" s="36">
        <v>442338.51915319863</v>
      </c>
      <c r="P4" s="36">
        <v>452491.36268961063</v>
      </c>
      <c r="Q4" s="36">
        <v>472348.59772800002</v>
      </c>
      <c r="R4" s="36">
        <v>482416.41875323642</v>
      </c>
      <c r="S4" s="36">
        <v>491500.1803734983</v>
      </c>
      <c r="T4" s="36">
        <v>500198.72470457561</v>
      </c>
      <c r="U4" s="36">
        <v>513247.96465174132</v>
      </c>
      <c r="V4" s="36">
        <v>503320.14280846436</v>
      </c>
      <c r="W4" s="36">
        <v>529622.24516423186</v>
      </c>
      <c r="X4" s="36">
        <v>536272.2696349133</v>
      </c>
      <c r="Y4" s="36">
        <v>535176.80000000005</v>
      </c>
      <c r="DA4" s="89" t="s">
        <v>189</v>
      </c>
    </row>
    <row r="5" spans="1:105" ht="12" customHeight="1" x14ac:dyDescent="0.25">
      <c r="A5" s="35" t="s">
        <v>179</v>
      </c>
      <c r="B5" s="36">
        <v>214188.22664890671</v>
      </c>
      <c r="C5" s="36">
        <v>218217.99875970138</v>
      </c>
      <c r="D5" s="36">
        <v>224121.77368478227</v>
      </c>
      <c r="E5" s="36">
        <v>230631.08649860992</v>
      </c>
      <c r="F5" s="36">
        <v>241813.55902757327</v>
      </c>
      <c r="G5" s="36">
        <v>250353.9578520527</v>
      </c>
      <c r="H5" s="36">
        <v>261331.71039127244</v>
      </c>
      <c r="I5" s="36">
        <v>268296.83831747074</v>
      </c>
      <c r="J5" s="36">
        <v>269831.83208131482</v>
      </c>
      <c r="K5" s="36">
        <v>264658.79225009709</v>
      </c>
      <c r="L5" s="36">
        <v>272567.84551690024</v>
      </c>
      <c r="M5" s="36">
        <v>283139.25992450811</v>
      </c>
      <c r="N5" s="36">
        <v>285828.58975788386</v>
      </c>
      <c r="O5" s="36">
        <v>294007.26891093689</v>
      </c>
      <c r="P5" s="36">
        <v>302481.04055312055</v>
      </c>
      <c r="Q5" s="36">
        <v>312142.80434030213</v>
      </c>
      <c r="R5" s="36">
        <v>318682.6004858354</v>
      </c>
      <c r="S5" s="36">
        <v>323744.71548292221</v>
      </c>
      <c r="T5" s="36">
        <v>329709.99327045254</v>
      </c>
      <c r="U5" s="36">
        <v>338685.71336376615</v>
      </c>
      <c r="V5" s="36">
        <v>334080.58326243062</v>
      </c>
      <c r="W5" s="36">
        <v>344805.90701522515</v>
      </c>
      <c r="X5" s="36">
        <v>344375.04474269005</v>
      </c>
      <c r="Y5" s="36">
        <v>352689.40455540898</v>
      </c>
      <c r="DA5" s="89" t="s">
        <v>190</v>
      </c>
    </row>
    <row r="6" spans="1:105" ht="12" customHeight="1" x14ac:dyDescent="0.25">
      <c r="A6" s="37" t="s">
        <v>70</v>
      </c>
      <c r="B6" s="38">
        <v>3182000</v>
      </c>
      <c r="C6" s="38">
        <v>3262000</v>
      </c>
      <c r="D6" s="38">
        <v>3280000</v>
      </c>
      <c r="E6" s="38">
        <v>3300000</v>
      </c>
      <c r="F6" s="38">
        <v>3302000</v>
      </c>
      <c r="G6" s="38">
        <v>3315000</v>
      </c>
      <c r="H6" s="38">
        <v>3391000</v>
      </c>
      <c r="I6" s="38">
        <v>3459000</v>
      </c>
      <c r="J6" s="38">
        <v>3473000</v>
      </c>
      <c r="K6" s="38">
        <v>3441000</v>
      </c>
      <c r="L6" s="38">
        <v>3471000</v>
      </c>
      <c r="M6" s="38">
        <v>3544000</v>
      </c>
      <c r="N6" s="38">
        <v>3582000</v>
      </c>
      <c r="O6" s="38">
        <v>3635000</v>
      </c>
      <c r="P6" s="38">
        <v>3705000</v>
      </c>
      <c r="Q6" s="38">
        <v>3780000</v>
      </c>
      <c r="R6" s="38">
        <v>3887000</v>
      </c>
      <c r="S6" s="38">
        <v>3970000</v>
      </c>
      <c r="T6" s="38">
        <v>4030000</v>
      </c>
      <c r="U6" s="38">
        <v>4061000</v>
      </c>
      <c r="V6" s="38">
        <v>4003000</v>
      </c>
      <c r="W6" s="38">
        <v>4053000</v>
      </c>
      <c r="X6" s="38">
        <v>4206000</v>
      </c>
      <c r="Y6" s="38">
        <v>4281244.0695542675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162695.0932014565</v>
      </c>
      <c r="C8" s="34">
        <v>164745.06964215953</v>
      </c>
      <c r="D8" s="34">
        <v>166580.13011802401</v>
      </c>
      <c r="E8" s="34">
        <v>168146.42580379054</v>
      </c>
      <c r="F8" s="34">
        <v>170240.63603061825</v>
      </c>
      <c r="G8" s="34">
        <v>172082.03245918197</v>
      </c>
      <c r="H8" s="34">
        <v>174650.28031942606</v>
      </c>
      <c r="I8" s="34">
        <v>177112.33932586844</v>
      </c>
      <c r="J8" s="34">
        <v>178610.34759809694</v>
      </c>
      <c r="K8" s="34">
        <v>180356.95532009334</v>
      </c>
      <c r="L8" s="34">
        <v>182538.82857990675</v>
      </c>
      <c r="M8" s="34">
        <v>184220.73285883997</v>
      </c>
      <c r="N8" s="34">
        <v>185633.71169032683</v>
      </c>
      <c r="O8" s="34">
        <v>188277.63862261389</v>
      </c>
      <c r="P8" s="34">
        <v>190252.19190251947</v>
      </c>
      <c r="Q8" s="34">
        <v>192790.69578557246</v>
      </c>
      <c r="R8" s="34">
        <v>195099.97587388413</v>
      </c>
      <c r="S8" s="34">
        <v>197740.95530169323</v>
      </c>
      <c r="T8" s="34">
        <v>199962.55466206904</v>
      </c>
      <c r="U8" s="34">
        <v>202035.18852008905</v>
      </c>
      <c r="V8" s="34">
        <v>204095.64555555556</v>
      </c>
      <c r="W8" s="34">
        <v>206130.53991215638</v>
      </c>
      <c r="X8" s="34">
        <v>208153.54800620134</v>
      </c>
      <c r="Y8" s="34">
        <v>210169.78610060396</v>
      </c>
      <c r="DA8" s="88" t="s">
        <v>192</v>
      </c>
    </row>
    <row r="9" spans="1:105" ht="12" customHeight="1" x14ac:dyDescent="0.25">
      <c r="A9" s="39" t="s">
        <v>68</v>
      </c>
      <c r="B9" s="40">
        <v>146425.58388131086</v>
      </c>
      <c r="C9" s="40">
        <v>148270.56267794358</v>
      </c>
      <c r="D9" s="40">
        <v>149922.11710622162</v>
      </c>
      <c r="E9" s="40">
        <v>151331.7832234115</v>
      </c>
      <c r="F9" s="40">
        <v>153216.57242755641</v>
      </c>
      <c r="G9" s="40">
        <v>154873.82921326376</v>
      </c>
      <c r="H9" s="40">
        <v>157185.25228748345</v>
      </c>
      <c r="I9" s="40">
        <v>159401.10539328161</v>
      </c>
      <c r="J9" s="40">
        <v>160749.31283828727</v>
      </c>
      <c r="K9" s="40">
        <v>162321.25978808399</v>
      </c>
      <c r="L9" s="40">
        <v>164284.94572191607</v>
      </c>
      <c r="M9" s="40">
        <v>165798.65957295598</v>
      </c>
      <c r="N9" s="40">
        <v>167070.34052129416</v>
      </c>
      <c r="O9" s="40">
        <v>169449.87476035251</v>
      </c>
      <c r="P9" s="40">
        <v>171226.97271226751</v>
      </c>
      <c r="Q9" s="40">
        <v>173511.62620701522</v>
      </c>
      <c r="R9" s="40">
        <v>175589.97828649572</v>
      </c>
      <c r="S9" s="40">
        <v>177966.85977152392</v>
      </c>
      <c r="T9" s="40">
        <v>179966.29919586214</v>
      </c>
      <c r="U9" s="40">
        <v>181831.66966808017</v>
      </c>
      <c r="V9" s="40">
        <v>183686.08100000001</v>
      </c>
      <c r="W9" s="40">
        <v>185517.48592094076</v>
      </c>
      <c r="X9" s="40">
        <v>187338.19320558119</v>
      </c>
      <c r="Y9" s="40">
        <v>189152.80749054358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2700.7684894765398</v>
      </c>
      <c r="D10" s="41">
        <v>2493.9414653571844</v>
      </c>
      <c r="E10" s="41">
        <v>2232.5302577312486</v>
      </c>
      <c r="F10" s="41">
        <v>2766.6953438935893</v>
      </c>
      <c r="G10" s="41">
        <v>2522.3381654724813</v>
      </c>
      <c r="H10" s="41">
        <v>3256.5431796248681</v>
      </c>
      <c r="I10" s="41">
        <v>3160.6493412840205</v>
      </c>
      <c r="J10" s="41">
        <v>2206.5259434072836</v>
      </c>
      <c r="K10" s="41">
        <v>2461.008259152833</v>
      </c>
      <c r="L10" s="41">
        <v>2903.2597003182723</v>
      </c>
      <c r="M10" s="41">
        <v>2412.1150184044964</v>
      </c>
      <c r="N10" s="41">
        <v>2149.8077951829232</v>
      </c>
      <c r="O10" s="41">
        <v>3386.638761960799</v>
      </c>
      <c r="P10" s="41">
        <v>2727.5601250400628</v>
      </c>
      <c r="Q10" s="41">
        <v>3299.5996689067342</v>
      </c>
      <c r="R10" s="41">
        <v>3297.9503231094313</v>
      </c>
      <c r="S10" s="41">
        <v>3641.4921245982423</v>
      </c>
      <c r="T10" s="41">
        <v>3235.6555414101549</v>
      </c>
      <c r="U10" s="41">
        <v>3098.0828562869974</v>
      </c>
      <c r="V10" s="41">
        <v>3096.5349253130898</v>
      </c>
      <c r="W10" s="41">
        <v>3081.5386927830518</v>
      </c>
      <c r="X10" s="41">
        <v>3080.087785902258</v>
      </c>
      <c r="Y10" s="41">
        <v>3083.692186742077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2430.6916405288857</v>
      </c>
      <c r="D11" s="42">
        <v>2244.547318821466</v>
      </c>
      <c r="E11" s="42">
        <v>2009.2772319581238</v>
      </c>
      <c r="F11" s="42">
        <v>2490.0258095042304</v>
      </c>
      <c r="G11" s="42">
        <v>2270.1043489252334</v>
      </c>
      <c r="H11" s="42">
        <v>2930.8888616623813</v>
      </c>
      <c r="I11" s="42">
        <v>2844.5844071556189</v>
      </c>
      <c r="J11" s="42">
        <v>1985.8733490665554</v>
      </c>
      <c r="K11" s="42">
        <v>2214.9074332375494</v>
      </c>
      <c r="L11" s="42">
        <v>2612.9337302864446</v>
      </c>
      <c r="M11" s="42">
        <v>2170.9035165640466</v>
      </c>
      <c r="N11" s="42">
        <v>1934.8270156646308</v>
      </c>
      <c r="O11" s="42">
        <v>3047.9748857647191</v>
      </c>
      <c r="P11" s="42">
        <v>2454.8041125360564</v>
      </c>
      <c r="Q11" s="42">
        <v>2969.6397020160607</v>
      </c>
      <c r="R11" s="42">
        <v>2968.1552907984883</v>
      </c>
      <c r="S11" s="42">
        <v>3277.3429121384179</v>
      </c>
      <c r="T11" s="42">
        <v>2912.0899872691393</v>
      </c>
      <c r="U11" s="42">
        <v>2788.2745706582978</v>
      </c>
      <c r="V11" s="42">
        <v>2786.8814327817809</v>
      </c>
      <c r="W11" s="42">
        <v>2773.3848235047467</v>
      </c>
      <c r="X11" s="42">
        <v>2772.0790073120324</v>
      </c>
      <c r="Y11" s="42">
        <v>2775.3229680678692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4925.62</v>
      </c>
      <c r="C13" s="43">
        <v>5422.89</v>
      </c>
      <c r="D13" s="43">
        <v>5210.8999999999996</v>
      </c>
      <c r="E13" s="43">
        <v>5224.63</v>
      </c>
      <c r="F13" s="43">
        <v>5281.26</v>
      </c>
      <c r="G13" s="43">
        <v>5085.0600000000004</v>
      </c>
      <c r="H13" s="43">
        <v>4985.68</v>
      </c>
      <c r="I13" s="43">
        <v>5069.6000000000004</v>
      </c>
      <c r="J13" s="43">
        <v>5074.88</v>
      </c>
      <c r="K13" s="43">
        <v>5294.04</v>
      </c>
      <c r="L13" s="43">
        <v>5986.18</v>
      </c>
      <c r="M13" s="43">
        <v>4895.71</v>
      </c>
      <c r="N13" s="43">
        <v>5471.41</v>
      </c>
      <c r="O13" s="43">
        <v>5155.24</v>
      </c>
      <c r="P13" s="43">
        <v>4850.03</v>
      </c>
      <c r="Q13" s="43">
        <v>4875.4799999999996</v>
      </c>
      <c r="R13" s="43">
        <v>5092.4799999999996</v>
      </c>
      <c r="S13" s="43">
        <v>5181.13</v>
      </c>
      <c r="T13" s="43">
        <v>5122.22</v>
      </c>
      <c r="U13" s="43">
        <v>5119.6099999999997</v>
      </c>
      <c r="V13" s="43">
        <v>4592.22</v>
      </c>
      <c r="W13" s="43">
        <v>5201.47</v>
      </c>
      <c r="X13" s="43">
        <v>4919.3900000000003</v>
      </c>
      <c r="Y13" s="43">
        <v>5180.32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5138.87</v>
      </c>
      <c r="C14" s="44">
        <f t="shared" ref="C14:Y14" si="0">AVERAGE($B$13:$V$13)</f>
        <v>5138.87</v>
      </c>
      <c r="D14" s="44">
        <f t="shared" si="0"/>
        <v>5138.87</v>
      </c>
      <c r="E14" s="44">
        <f t="shared" si="0"/>
        <v>5138.87</v>
      </c>
      <c r="F14" s="44">
        <f t="shared" si="0"/>
        <v>5138.87</v>
      </c>
      <c r="G14" s="44">
        <f t="shared" si="0"/>
        <v>5138.87</v>
      </c>
      <c r="H14" s="44">
        <f t="shared" si="0"/>
        <v>5138.87</v>
      </c>
      <c r="I14" s="44">
        <f t="shared" si="0"/>
        <v>5138.87</v>
      </c>
      <c r="J14" s="44">
        <f t="shared" si="0"/>
        <v>5138.87</v>
      </c>
      <c r="K14" s="44">
        <f t="shared" si="0"/>
        <v>5138.87</v>
      </c>
      <c r="L14" s="44">
        <f t="shared" si="0"/>
        <v>5138.87</v>
      </c>
      <c r="M14" s="44">
        <f t="shared" si="0"/>
        <v>5138.87</v>
      </c>
      <c r="N14" s="44">
        <f t="shared" si="0"/>
        <v>5138.87</v>
      </c>
      <c r="O14" s="44">
        <f t="shared" si="0"/>
        <v>5138.87</v>
      </c>
      <c r="P14" s="44">
        <f t="shared" si="0"/>
        <v>5138.87</v>
      </c>
      <c r="Q14" s="44">
        <f t="shared" si="0"/>
        <v>5138.87</v>
      </c>
      <c r="R14" s="44">
        <f t="shared" si="0"/>
        <v>5138.87</v>
      </c>
      <c r="S14" s="44">
        <f t="shared" si="0"/>
        <v>5138.87</v>
      </c>
      <c r="T14" s="44">
        <f t="shared" si="0"/>
        <v>5138.87</v>
      </c>
      <c r="U14" s="44">
        <f t="shared" si="0"/>
        <v>5138.87</v>
      </c>
      <c r="V14" s="44">
        <f t="shared" si="0"/>
        <v>5138.87</v>
      </c>
      <c r="W14" s="44">
        <f t="shared" si="0"/>
        <v>5138.87</v>
      </c>
      <c r="X14" s="44">
        <f t="shared" si="0"/>
        <v>5138.87</v>
      </c>
      <c r="Y14" s="44">
        <f t="shared" si="0"/>
        <v>5138.87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0.95850255017153574</v>
      </c>
      <c r="C15" s="46">
        <f t="shared" ref="C15:W15" si="1">C13/C14</f>
        <v>1.0552689599075284</v>
      </c>
      <c r="D15" s="46">
        <f t="shared" si="1"/>
        <v>1.0140167001694924</v>
      </c>
      <c r="E15" s="46">
        <f t="shared" si="1"/>
        <v>1.0166884937739231</v>
      </c>
      <c r="F15" s="46">
        <f t="shared" si="1"/>
        <v>1.0277084261715124</v>
      </c>
      <c r="G15" s="46">
        <f t="shared" si="1"/>
        <v>0.98952882637622674</v>
      </c>
      <c r="H15" s="46">
        <f t="shared" si="1"/>
        <v>0.97018994448195817</v>
      </c>
      <c r="I15" s="46">
        <f t="shared" si="1"/>
        <v>0.98652038288573174</v>
      </c>
      <c r="J15" s="46">
        <f t="shared" si="1"/>
        <v>0.98754784612181279</v>
      </c>
      <c r="K15" s="46">
        <f t="shared" si="1"/>
        <v>1.0301953542315723</v>
      </c>
      <c r="L15" s="46">
        <f t="shared" si="1"/>
        <v>1.1648825520007318</v>
      </c>
      <c r="M15" s="46">
        <f t="shared" si="1"/>
        <v>0.95268220445350826</v>
      </c>
      <c r="N15" s="46">
        <f t="shared" si="1"/>
        <v>1.0647107243421219</v>
      </c>
      <c r="O15" s="46">
        <f t="shared" si="1"/>
        <v>1.0031855252224711</v>
      </c>
      <c r="P15" s="46">
        <f t="shared" si="1"/>
        <v>0.94379309069892792</v>
      </c>
      <c r="Q15" s="46">
        <f t="shared" si="1"/>
        <v>0.94874554133496269</v>
      </c>
      <c r="R15" s="46">
        <f t="shared" si="1"/>
        <v>0.99097272357541633</v>
      </c>
      <c r="S15" s="46">
        <f t="shared" si="1"/>
        <v>1.0082235977948459</v>
      </c>
      <c r="T15" s="46">
        <f t="shared" si="1"/>
        <v>0.99675998809076716</v>
      </c>
      <c r="U15" s="46">
        <f t="shared" si="1"/>
        <v>0.99625209433202233</v>
      </c>
      <c r="V15" s="46">
        <f t="shared" si="1"/>
        <v>0.89362447386293098</v>
      </c>
      <c r="W15" s="46">
        <f t="shared" si="1"/>
        <v>1.0121816663974765</v>
      </c>
      <c r="X15" s="46">
        <f t="shared" ref="X15:Y15" si="2">X13/X14</f>
        <v>0.95729022139108411</v>
      </c>
      <c r="Y15" s="46">
        <f t="shared" si="2"/>
        <v>1.0080659755938561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39185.225814594072</v>
      </c>
      <c r="C19" s="34">
        <f t="shared" si="3"/>
        <v>39622.878016249742</v>
      </c>
      <c r="D19" s="34">
        <f t="shared" ref="D19:W19" si="4">D4*1000000/D3</f>
        <v>40405.52337281021</v>
      </c>
      <c r="E19" s="34">
        <f t="shared" si="4"/>
        <v>41019.718629432806</v>
      </c>
      <c r="F19" s="34">
        <f t="shared" si="4"/>
        <v>42567.890498143817</v>
      </c>
      <c r="G19" s="34">
        <f t="shared" si="4"/>
        <v>43583.480134755919</v>
      </c>
      <c r="H19" s="34">
        <f t="shared" si="4"/>
        <v>45438.246627782821</v>
      </c>
      <c r="I19" s="34">
        <f t="shared" si="4"/>
        <v>46566.435267731613</v>
      </c>
      <c r="J19" s="34">
        <f t="shared" si="4"/>
        <v>45786.442626041433</v>
      </c>
      <c r="K19" s="34">
        <f t="shared" si="4"/>
        <v>43490.622561457218</v>
      </c>
      <c r="L19" s="34">
        <f t="shared" si="4"/>
        <v>45576.326586729891</v>
      </c>
      <c r="M19" s="34">
        <f t="shared" si="4"/>
        <v>46644.155058297431</v>
      </c>
      <c r="N19" s="34">
        <f t="shared" si="4"/>
        <v>46121.410457495273</v>
      </c>
      <c r="O19" s="34">
        <f t="shared" si="4"/>
        <v>46289.60570751458</v>
      </c>
      <c r="P19" s="34">
        <f t="shared" si="4"/>
        <v>46915.266269136679</v>
      </c>
      <c r="Q19" s="34">
        <f t="shared" si="4"/>
        <v>48459.15612266097</v>
      </c>
      <c r="R19" s="34">
        <f t="shared" si="4"/>
        <v>48971.229950495101</v>
      </c>
      <c r="S19" s="34">
        <f t="shared" si="4"/>
        <v>49173.852603706844</v>
      </c>
      <c r="T19" s="34">
        <f t="shared" si="4"/>
        <v>49425.569537228024</v>
      </c>
      <c r="U19" s="34">
        <f t="shared" si="4"/>
        <v>50169.959257994</v>
      </c>
      <c r="V19" s="34">
        <f t="shared" si="4"/>
        <v>48735.493134793061</v>
      </c>
      <c r="W19" s="34">
        <f t="shared" si="4"/>
        <v>51026.803377708398</v>
      </c>
      <c r="X19" s="34">
        <f t="shared" ref="X19:Y19" si="5">X4*1000000/X3</f>
        <v>51306.500546855634</v>
      </c>
      <c r="Y19" s="34">
        <f t="shared" si="5"/>
        <v>50864.796043474948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67312.453378034785</v>
      </c>
      <c r="C20" s="36">
        <f t="shared" si="6"/>
        <v>66896.995327928074</v>
      </c>
      <c r="D20" s="36">
        <f t="shared" ref="D20:W20" si="7">D5*1000000/D6</f>
        <v>68329.809050238488</v>
      </c>
      <c r="E20" s="36">
        <f t="shared" si="7"/>
        <v>69888.208029881789</v>
      </c>
      <c r="F20" s="36">
        <f t="shared" si="7"/>
        <v>73232.452764255984</v>
      </c>
      <c r="G20" s="36">
        <f t="shared" si="7"/>
        <v>75521.555913138072</v>
      </c>
      <c r="H20" s="36">
        <f t="shared" si="7"/>
        <v>77066.266703412693</v>
      </c>
      <c r="I20" s="36">
        <f t="shared" si="7"/>
        <v>77564.856408635649</v>
      </c>
      <c r="J20" s="36">
        <f t="shared" si="7"/>
        <v>77694.164146649811</v>
      </c>
      <c r="K20" s="36">
        <f t="shared" si="7"/>
        <v>76913.336893373169</v>
      </c>
      <c r="L20" s="36">
        <f t="shared" si="7"/>
        <v>78527.181076606241</v>
      </c>
      <c r="M20" s="36">
        <f t="shared" si="7"/>
        <v>79892.567698788975</v>
      </c>
      <c r="N20" s="36">
        <f t="shared" si="7"/>
        <v>79795.809535980981</v>
      </c>
      <c r="O20" s="36">
        <f t="shared" si="7"/>
        <v>80882.329824191722</v>
      </c>
      <c r="P20" s="36">
        <f t="shared" si="7"/>
        <v>81641.306492070318</v>
      </c>
      <c r="Q20" s="36">
        <f t="shared" si="7"/>
        <v>82577.461465688393</v>
      </c>
      <c r="R20" s="36">
        <f t="shared" si="7"/>
        <v>81986.77655925788</v>
      </c>
      <c r="S20" s="36">
        <f t="shared" si="7"/>
        <v>81547.787275295268</v>
      </c>
      <c r="T20" s="36">
        <f t="shared" si="7"/>
        <v>81813.894111774818</v>
      </c>
      <c r="U20" s="36">
        <f t="shared" si="7"/>
        <v>83399.584674653088</v>
      </c>
      <c r="V20" s="36">
        <f t="shared" si="7"/>
        <v>83457.552651119317</v>
      </c>
      <c r="W20" s="36">
        <f t="shared" si="7"/>
        <v>85074.243033610939</v>
      </c>
      <c r="X20" s="36">
        <f t="shared" ref="X20:Y20" si="8">X5*1000000/X6</f>
        <v>81877.090999213047</v>
      </c>
      <c r="Y20" s="36">
        <f t="shared" si="8"/>
        <v>82380.121017517347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24170.853161658935</v>
      </c>
      <c r="C21" s="36">
        <f t="shared" si="9"/>
        <v>24566.374937035718</v>
      </c>
      <c r="D21" s="36">
        <f t="shared" ref="D21:W21" si="10">D5*1000000/D3</f>
        <v>25156.420884825344</v>
      </c>
      <c r="E21" s="36">
        <f t="shared" si="10"/>
        <v>25795.386994816334</v>
      </c>
      <c r="F21" s="36">
        <f t="shared" si="10"/>
        <v>26941.003738726275</v>
      </c>
      <c r="G21" s="36">
        <f t="shared" si="10"/>
        <v>27781.940664888698</v>
      </c>
      <c r="H21" s="36">
        <f t="shared" si="10"/>
        <v>28883.606711509383</v>
      </c>
      <c r="I21" s="36">
        <f t="shared" si="10"/>
        <v>29440.280057664426</v>
      </c>
      <c r="J21" s="36">
        <f t="shared" si="10"/>
        <v>29384.076785246667</v>
      </c>
      <c r="K21" s="36">
        <f t="shared" si="10"/>
        <v>28592.142478031245</v>
      </c>
      <c r="L21" s="36">
        <f t="shared" si="10"/>
        <v>29180.722083987039</v>
      </c>
      <c r="M21" s="36">
        <f t="shared" si="10"/>
        <v>30071.388128866136</v>
      </c>
      <c r="N21" s="36">
        <f t="shared" si="10"/>
        <v>30141.617662390054</v>
      </c>
      <c r="O21" s="36">
        <f t="shared" si="10"/>
        <v>30767.116051941655</v>
      </c>
      <c r="P21" s="36">
        <f t="shared" si="10"/>
        <v>31361.87721808421</v>
      </c>
      <c r="Q21" s="36">
        <f t="shared" si="10"/>
        <v>32023.333954729474</v>
      </c>
      <c r="R21" s="36">
        <f t="shared" si="10"/>
        <v>32350.223381589472</v>
      </c>
      <c r="S21" s="36">
        <f t="shared" si="10"/>
        <v>32390.171064207047</v>
      </c>
      <c r="T21" s="36">
        <f t="shared" si="10"/>
        <v>32579.259791460769</v>
      </c>
      <c r="U21" s="36">
        <f t="shared" si="10"/>
        <v>33106.509155383421</v>
      </c>
      <c r="V21" s="36">
        <f t="shared" si="10"/>
        <v>32348.36158395058</v>
      </c>
      <c r="W21" s="36">
        <f t="shared" si="10"/>
        <v>33220.551782681308</v>
      </c>
      <c r="X21" s="36">
        <f t="shared" ref="X21:Y21" si="11">X5*1000000/X3</f>
        <v>32947.216221795039</v>
      </c>
      <c r="Y21" s="36">
        <f t="shared" si="11"/>
        <v>33520.650800642892</v>
      </c>
      <c r="DA21" s="89"/>
    </row>
    <row r="22" spans="1:105" ht="12" customHeight="1" x14ac:dyDescent="0.25">
      <c r="A22" s="51" t="s">
        <v>148</v>
      </c>
      <c r="B22" s="52">
        <v>1.3188066768199356</v>
      </c>
      <c r="C22" s="52">
        <v>1.3069598108996527</v>
      </c>
      <c r="D22" s="52">
        <v>1.3118803989924801</v>
      </c>
      <c r="E22" s="52">
        <v>1.3305015089879124</v>
      </c>
      <c r="F22" s="52">
        <v>1.3580840984325182</v>
      </c>
      <c r="G22" s="52">
        <v>1.3708960601999824</v>
      </c>
      <c r="H22" s="52">
        <v>1.3829011349183986</v>
      </c>
      <c r="I22" s="52">
        <v>1.3676493252551749</v>
      </c>
      <c r="J22" s="52">
        <v>1.3468988488225726</v>
      </c>
      <c r="K22" s="52">
        <v>1.3409274378048164</v>
      </c>
      <c r="L22" s="52">
        <v>1.3482489749480919</v>
      </c>
      <c r="M22" s="52">
        <v>1.3620326568587415</v>
      </c>
      <c r="N22" s="52">
        <v>1.3695547802617394</v>
      </c>
      <c r="O22" s="52">
        <v>1.389931058632589</v>
      </c>
      <c r="P22" s="52">
        <v>1.3937609714597776</v>
      </c>
      <c r="Q22" s="52">
        <v>1.3998914419799124</v>
      </c>
      <c r="R22" s="52">
        <v>1.3907745836358987</v>
      </c>
      <c r="S22" s="52">
        <v>1.3560439196035405</v>
      </c>
      <c r="T22" s="52">
        <v>1.3351653287554344</v>
      </c>
      <c r="U22" s="52">
        <v>1.3315355365418655</v>
      </c>
      <c r="V22" s="52">
        <v>1.3746475356175796</v>
      </c>
      <c r="W22" s="52">
        <v>1.330216709211415</v>
      </c>
      <c r="X22" s="52">
        <v>1.2794491408993147</v>
      </c>
      <c r="Y22" s="52">
        <v>1.2986885464312614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19.558057574974939</v>
      </c>
      <c r="C23" s="53">
        <f t="shared" si="12"/>
        <v>19.800289059243742</v>
      </c>
      <c r="D23" s="53">
        <f t="shared" ref="D23:W23" si="13">D6/D8</f>
        <v>19.690223543924962</v>
      </c>
      <c r="E23" s="53">
        <f t="shared" si="13"/>
        <v>19.625751687703183</v>
      </c>
      <c r="F23" s="53">
        <f t="shared" si="13"/>
        <v>19.396074151215732</v>
      </c>
      <c r="G23" s="53">
        <f t="shared" si="13"/>
        <v>19.264068146024027</v>
      </c>
      <c r="H23" s="53">
        <f t="shared" si="13"/>
        <v>19.415943643480226</v>
      </c>
      <c r="I23" s="53">
        <f t="shared" si="13"/>
        <v>19.529977488670603</v>
      </c>
      <c r="J23" s="53">
        <f t="shared" si="13"/>
        <v>19.44456212478142</v>
      </c>
      <c r="K23" s="53">
        <f t="shared" si="13"/>
        <v>19.078831719536367</v>
      </c>
      <c r="L23" s="53">
        <f t="shared" si="13"/>
        <v>19.0151324351277</v>
      </c>
      <c r="M23" s="53">
        <f t="shared" si="13"/>
        <v>19.237791235558742</v>
      </c>
      <c r="N23" s="53">
        <f t="shared" si="13"/>
        <v>19.296064100552346</v>
      </c>
      <c r="O23" s="53">
        <f t="shared" si="13"/>
        <v>19.306594381534818</v>
      </c>
      <c r="P23" s="53">
        <f t="shared" si="13"/>
        <v>19.474151456285721</v>
      </c>
      <c r="Q23" s="53">
        <f t="shared" si="13"/>
        <v>19.606755318753702</v>
      </c>
      <c r="R23" s="53">
        <f t="shared" si="13"/>
        <v>19.923118814287406</v>
      </c>
      <c r="S23" s="53">
        <f t="shared" si="13"/>
        <v>20.076771622464218</v>
      </c>
      <c r="T23" s="53">
        <f t="shared" si="13"/>
        <v>20.153773324263554</v>
      </c>
      <c r="U23" s="53">
        <f t="shared" si="13"/>
        <v>20.100458884152257</v>
      </c>
      <c r="V23" s="53">
        <f t="shared" si="13"/>
        <v>19.61335328396494</v>
      </c>
      <c r="W23" s="53">
        <f t="shared" si="13"/>
        <v>19.662297501996587</v>
      </c>
      <c r="X23" s="53">
        <f t="shared" ref="X23:Y23" si="14">X6/X8</f>
        <v>20.206237367977483</v>
      </c>
      <c r="Y23" s="53">
        <f t="shared" si="14"/>
        <v>20.370406940914542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16.52393010801093</v>
      </c>
      <c r="C24" s="54">
        <f t="shared" si="15"/>
        <v>16.691887266744914</v>
      </c>
      <c r="D24" s="54">
        <f t="shared" ref="D24:W24" si="16">D9*1000/D3</f>
        <v>16.827922677305974</v>
      </c>
      <c r="E24" s="54">
        <f t="shared" si="16"/>
        <v>16.926000619118973</v>
      </c>
      <c r="F24" s="54">
        <f t="shared" si="16"/>
        <v>17.070210070953635</v>
      </c>
      <c r="G24" s="54">
        <f t="shared" si="16"/>
        <v>17.18644902066892</v>
      </c>
      <c r="H24" s="54">
        <f t="shared" si="16"/>
        <v>17.372851542292874</v>
      </c>
      <c r="I24" s="54">
        <f t="shared" si="16"/>
        <v>17.491123688630925</v>
      </c>
      <c r="J24" s="54">
        <f t="shared" si="16"/>
        <v>17.50523692917163</v>
      </c>
      <c r="K24" s="54">
        <f t="shared" si="16"/>
        <v>17.536211616535549</v>
      </c>
      <c r="L24" s="54">
        <f t="shared" si="16"/>
        <v>17.588110345895092</v>
      </c>
      <c r="M24" s="54">
        <f t="shared" si="16"/>
        <v>17.608988045647365</v>
      </c>
      <c r="N24" s="54">
        <f t="shared" si="16"/>
        <v>17.618147754162027</v>
      </c>
      <c r="O24" s="54">
        <f t="shared" si="16"/>
        <v>17.732500223720852</v>
      </c>
      <c r="P24" s="54">
        <f t="shared" si="16"/>
        <v>17.753176479447248</v>
      </c>
      <c r="Q24" s="54">
        <f t="shared" si="16"/>
        <v>17.800893289206684</v>
      </c>
      <c r="R24" s="54">
        <f t="shared" si="16"/>
        <v>17.824553372153932</v>
      </c>
      <c r="S24" s="54">
        <f t="shared" si="16"/>
        <v>17.80531621392128</v>
      </c>
      <c r="T24" s="54">
        <f t="shared" si="16"/>
        <v>17.782805904825413</v>
      </c>
      <c r="U24" s="54">
        <f t="shared" si="16"/>
        <v>17.774035334461711</v>
      </c>
      <c r="V24" s="54">
        <f t="shared" si="16"/>
        <v>17.785959627169518</v>
      </c>
      <c r="W24" s="54">
        <f t="shared" si="16"/>
        <v>17.873804138040278</v>
      </c>
      <c r="X24" s="54">
        <f t="shared" ref="X24:Y24" si="17">X9*1000/X3</f>
        <v>17.923110435474477</v>
      </c>
      <c r="Y24" s="54">
        <f t="shared" si="17"/>
        <v>17.977645843499154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46.016839686144202</v>
      </c>
      <c r="C25" s="54">
        <f t="shared" si="18"/>
        <v>45.453881875519187</v>
      </c>
      <c r="D25" s="54">
        <f t="shared" ref="D25:W25" si="19">D9*1000/D6</f>
        <v>45.707962532384641</v>
      </c>
      <c r="E25" s="54">
        <f t="shared" si="19"/>
        <v>45.858116128306513</v>
      </c>
      <c r="F25" s="54">
        <f t="shared" si="19"/>
        <v>46.401142467461064</v>
      </c>
      <c r="G25" s="54">
        <f t="shared" si="19"/>
        <v>46.719103835072019</v>
      </c>
      <c r="H25" s="54">
        <f t="shared" si="19"/>
        <v>46.353657413000136</v>
      </c>
      <c r="I25" s="54">
        <f t="shared" si="19"/>
        <v>46.083002426505239</v>
      </c>
      <c r="J25" s="54">
        <f t="shared" si="19"/>
        <v>46.285434160174852</v>
      </c>
      <c r="K25" s="54">
        <f t="shared" si="19"/>
        <v>47.17269973498518</v>
      </c>
      <c r="L25" s="54">
        <f t="shared" si="19"/>
        <v>47.330724783035457</v>
      </c>
      <c r="M25" s="54">
        <f t="shared" si="19"/>
        <v>46.782917486725722</v>
      </c>
      <c r="N25" s="54">
        <f t="shared" si="19"/>
        <v>46.641636103097191</v>
      </c>
      <c r="O25" s="54">
        <f t="shared" si="19"/>
        <v>46.616196632834253</v>
      </c>
      <c r="P25" s="54">
        <f t="shared" si="19"/>
        <v>46.215107344741568</v>
      </c>
      <c r="Q25" s="54">
        <f t="shared" si="19"/>
        <v>45.902546615612493</v>
      </c>
      <c r="R25" s="54">
        <f t="shared" si="19"/>
        <v>45.173650189476646</v>
      </c>
      <c r="S25" s="54">
        <f t="shared" si="19"/>
        <v>44.827924375698721</v>
      </c>
      <c r="T25" s="54">
        <f t="shared" si="19"/>
        <v>44.65664992453155</v>
      </c>
      <c r="U25" s="54">
        <f t="shared" si="19"/>
        <v>44.775097184949566</v>
      </c>
      <c r="V25" s="54">
        <f t="shared" si="19"/>
        <v>45.887104921309017</v>
      </c>
      <c r="W25" s="54">
        <f t="shared" si="19"/>
        <v>45.772880809509189</v>
      </c>
      <c r="X25" s="54">
        <f t="shared" ref="X25:Y25" si="20">X9*1000/X6</f>
        <v>44.540702141127241</v>
      </c>
      <c r="Y25" s="54">
        <f t="shared" si="20"/>
        <v>44.181738863170402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</v>
      </c>
      <c r="C26" s="55">
        <f t="shared" si="21"/>
        <v>900</v>
      </c>
      <c r="D26" s="55">
        <f t="shared" ref="D26:W26" si="22">D9*1000/D8</f>
        <v>900</v>
      </c>
      <c r="E26" s="55">
        <f t="shared" si="22"/>
        <v>900.00000000000011</v>
      </c>
      <c r="F26" s="55">
        <f t="shared" si="22"/>
        <v>900</v>
      </c>
      <c r="G26" s="55">
        <f t="shared" si="22"/>
        <v>899.99999999999989</v>
      </c>
      <c r="H26" s="55">
        <f t="shared" si="22"/>
        <v>900</v>
      </c>
      <c r="I26" s="55">
        <f t="shared" si="22"/>
        <v>900.00000000000011</v>
      </c>
      <c r="J26" s="55">
        <f t="shared" si="22"/>
        <v>900.00000000000011</v>
      </c>
      <c r="K26" s="55">
        <f t="shared" si="22"/>
        <v>900</v>
      </c>
      <c r="L26" s="55">
        <f t="shared" si="22"/>
        <v>900</v>
      </c>
      <c r="M26" s="55">
        <f t="shared" si="22"/>
        <v>900</v>
      </c>
      <c r="N26" s="55">
        <f t="shared" si="22"/>
        <v>900</v>
      </c>
      <c r="O26" s="55">
        <f t="shared" si="22"/>
        <v>900.00000000000011</v>
      </c>
      <c r="P26" s="55">
        <f t="shared" si="22"/>
        <v>900</v>
      </c>
      <c r="Q26" s="55">
        <f t="shared" si="22"/>
        <v>900</v>
      </c>
      <c r="R26" s="55">
        <f t="shared" si="22"/>
        <v>900</v>
      </c>
      <c r="S26" s="55">
        <f t="shared" si="22"/>
        <v>900.00000000000011</v>
      </c>
      <c r="T26" s="55">
        <f t="shared" si="22"/>
        <v>900</v>
      </c>
      <c r="U26" s="55">
        <f t="shared" si="22"/>
        <v>900.00000000000011</v>
      </c>
      <c r="V26" s="55">
        <f t="shared" si="22"/>
        <v>900</v>
      </c>
      <c r="W26" s="55">
        <f t="shared" si="22"/>
        <v>900.00000000000011</v>
      </c>
      <c r="X26" s="55">
        <f t="shared" ref="X26:Y26" si="23">X9*1000/X8</f>
        <v>899.99999999999989</v>
      </c>
      <c r="Y26" s="55">
        <f t="shared" si="23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899.99999999999989</v>
      </c>
      <c r="D27" s="57">
        <f t="shared" ref="D27:W27" si="25">IF(SUM(D11)=0,"",D11*1000/D10)</f>
        <v>900</v>
      </c>
      <c r="E27" s="57">
        <f t="shared" si="25"/>
        <v>900</v>
      </c>
      <c r="F27" s="57">
        <f t="shared" si="25"/>
        <v>900</v>
      </c>
      <c r="G27" s="57">
        <f t="shared" si="25"/>
        <v>900.00000000000011</v>
      </c>
      <c r="H27" s="57">
        <f t="shared" si="25"/>
        <v>900</v>
      </c>
      <c r="I27" s="57">
        <f t="shared" si="25"/>
        <v>900.00000000000023</v>
      </c>
      <c r="J27" s="57">
        <f t="shared" si="25"/>
        <v>900.00000000000011</v>
      </c>
      <c r="K27" s="57">
        <f t="shared" si="25"/>
        <v>899.99999999999989</v>
      </c>
      <c r="L27" s="57">
        <f t="shared" si="25"/>
        <v>899.99999999999977</v>
      </c>
      <c r="M27" s="57">
        <f t="shared" si="25"/>
        <v>899.99999999999989</v>
      </c>
      <c r="N27" s="57">
        <f t="shared" si="25"/>
        <v>900</v>
      </c>
      <c r="O27" s="57">
        <f t="shared" si="25"/>
        <v>900</v>
      </c>
      <c r="P27" s="57">
        <f t="shared" si="25"/>
        <v>900</v>
      </c>
      <c r="Q27" s="57">
        <f t="shared" si="25"/>
        <v>900</v>
      </c>
      <c r="R27" s="57">
        <f t="shared" si="25"/>
        <v>900</v>
      </c>
      <c r="S27" s="57">
        <f t="shared" si="25"/>
        <v>899.99999999999989</v>
      </c>
      <c r="T27" s="57">
        <f t="shared" si="25"/>
        <v>900</v>
      </c>
      <c r="U27" s="57">
        <f t="shared" si="25"/>
        <v>900</v>
      </c>
      <c r="V27" s="57">
        <f t="shared" si="25"/>
        <v>900.00000000000011</v>
      </c>
      <c r="W27" s="57">
        <f t="shared" si="25"/>
        <v>900.00000000000011</v>
      </c>
      <c r="X27" s="57">
        <f t="shared" ref="X27:Y27" si="26">IF(SUM(X11)=0,"",X11*1000/X10)</f>
        <v>900.00000000000011</v>
      </c>
      <c r="Y27" s="57">
        <f t="shared" si="26"/>
        <v>899.99999999999989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4408.4480721625814</v>
      </c>
      <c r="C31" s="80">
        <f t="shared" ref="C31:W31" si="27">SUM(C32:C33,C36:C37,C44:C45)</f>
        <v>4791.9248580195526</v>
      </c>
      <c r="D31" s="80">
        <f t="shared" si="27"/>
        <v>4783.6186096263918</v>
      </c>
      <c r="E31" s="80">
        <f t="shared" si="27"/>
        <v>4791.443049890866</v>
      </c>
      <c r="F31" s="80">
        <f t="shared" si="27"/>
        <v>4555.2243368408217</v>
      </c>
      <c r="G31" s="80">
        <f t="shared" si="27"/>
        <v>4104.5083747456038</v>
      </c>
      <c r="H31" s="80">
        <f t="shared" si="27"/>
        <v>4145.5308690072807</v>
      </c>
      <c r="I31" s="80">
        <f t="shared" si="27"/>
        <v>4219.9451935885318</v>
      </c>
      <c r="J31" s="80">
        <f t="shared" si="27"/>
        <v>4167.8711230803747</v>
      </c>
      <c r="K31" s="80">
        <f t="shared" si="27"/>
        <v>4036.6453685477718</v>
      </c>
      <c r="L31" s="80">
        <f t="shared" si="27"/>
        <v>4333.6488213216053</v>
      </c>
      <c r="M31" s="80">
        <f t="shared" si="27"/>
        <v>3864.6719683514002</v>
      </c>
      <c r="N31" s="80">
        <f t="shared" si="27"/>
        <v>4045.941506386127</v>
      </c>
      <c r="O31" s="80">
        <f t="shared" si="27"/>
        <v>3958.3582613366975</v>
      </c>
      <c r="P31" s="80">
        <f t="shared" si="27"/>
        <v>3959.0829675256168</v>
      </c>
      <c r="Q31" s="80">
        <f t="shared" si="27"/>
        <v>4019.3106124787328</v>
      </c>
      <c r="R31" s="80">
        <f t="shared" si="27"/>
        <v>4211.7073662501352</v>
      </c>
      <c r="S31" s="80">
        <f t="shared" si="27"/>
        <v>3995.5792831935842</v>
      </c>
      <c r="T31" s="80">
        <f t="shared" si="27"/>
        <v>4107.9655034380794</v>
      </c>
      <c r="U31" s="80">
        <f t="shared" si="27"/>
        <v>4023.2826475328129</v>
      </c>
      <c r="V31" s="80">
        <f t="shared" si="27"/>
        <v>3999.3478333303065</v>
      </c>
      <c r="W31" s="80">
        <f t="shared" si="27"/>
        <v>4251.1619895206877</v>
      </c>
      <c r="X31" s="80">
        <f t="shared" ref="X31:Y31" si="28">SUM(X32:X33,X36:X37,X44:X45)</f>
        <v>4214.2923499723756</v>
      </c>
      <c r="Y31" s="80">
        <f t="shared" si="28"/>
        <v>4180.2987826933104</v>
      </c>
      <c r="DA31" s="103" t="s">
        <v>199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X32" s="59">
        <v>0</v>
      </c>
      <c r="Y32" s="59">
        <v>0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1059.0737747205503</v>
      </c>
      <c r="C33" s="55">
        <f t="shared" ref="C33:W33" si="29">SUM(C34:C35)</f>
        <v>1080.7871883061048</v>
      </c>
      <c r="D33" s="55">
        <f t="shared" si="29"/>
        <v>1042.3019776440242</v>
      </c>
      <c r="E33" s="55">
        <f t="shared" si="29"/>
        <v>1067.430954428203</v>
      </c>
      <c r="F33" s="55">
        <f t="shared" si="29"/>
        <v>802.81840068787631</v>
      </c>
      <c r="G33" s="55">
        <f t="shared" si="29"/>
        <v>425.87454858125534</v>
      </c>
      <c r="H33" s="55">
        <f t="shared" si="29"/>
        <v>411.62811693895094</v>
      </c>
      <c r="I33" s="55">
        <f t="shared" si="29"/>
        <v>427.99578675838353</v>
      </c>
      <c r="J33" s="55">
        <f t="shared" si="29"/>
        <v>371.63920894239027</v>
      </c>
      <c r="K33" s="55">
        <f t="shared" si="29"/>
        <v>339.04772141014621</v>
      </c>
      <c r="L33" s="55">
        <f t="shared" si="29"/>
        <v>381.94926913155632</v>
      </c>
      <c r="M33" s="55">
        <f t="shared" si="29"/>
        <v>356.38529664660354</v>
      </c>
      <c r="N33" s="55">
        <f t="shared" si="29"/>
        <v>293.71539122957864</v>
      </c>
      <c r="O33" s="55">
        <f t="shared" si="29"/>
        <v>266.27016337059325</v>
      </c>
      <c r="P33" s="55">
        <f t="shared" si="29"/>
        <v>256.51711092003438</v>
      </c>
      <c r="Q33" s="55">
        <f t="shared" si="29"/>
        <v>242.13172828890799</v>
      </c>
      <c r="R33" s="55">
        <f t="shared" si="29"/>
        <v>233.18331900257948</v>
      </c>
      <c r="S33" s="55">
        <f t="shared" si="29"/>
        <v>232.37629492691312</v>
      </c>
      <c r="T33" s="55">
        <f t="shared" si="29"/>
        <v>228.11349957007738</v>
      </c>
      <c r="U33" s="55">
        <f t="shared" si="29"/>
        <v>220.43000859845228</v>
      </c>
      <c r="V33" s="55">
        <f t="shared" si="29"/>
        <v>216.94221840068792</v>
      </c>
      <c r="W33" s="55">
        <f t="shared" si="29"/>
        <v>188.10490111779876</v>
      </c>
      <c r="X33" s="55">
        <f t="shared" ref="X33:Y33" si="30">SUM(X34:X35)</f>
        <v>164.45898538263111</v>
      </c>
      <c r="Y33" s="55">
        <f t="shared" si="30"/>
        <v>140.14101461736885</v>
      </c>
      <c r="DA33" s="101"/>
    </row>
    <row r="34" spans="1:105" ht="12" customHeight="1" x14ac:dyDescent="0.25">
      <c r="A34" s="61" t="s">
        <v>52</v>
      </c>
      <c r="B34" s="55">
        <v>41.80042992261393</v>
      </c>
      <c r="C34" s="55">
        <v>56.487016337059323</v>
      </c>
      <c r="D34" s="55">
        <v>46.319346517626819</v>
      </c>
      <c r="E34" s="55">
        <v>36.151676698194322</v>
      </c>
      <c r="F34" s="55">
        <v>31.632760103181429</v>
      </c>
      <c r="G34" s="55">
        <v>32.165950128976782</v>
      </c>
      <c r="H34" s="55">
        <v>63.347979363714522</v>
      </c>
      <c r="I34" s="55">
        <v>95.408856405846947</v>
      </c>
      <c r="J34" s="55">
        <v>87.55270851246776</v>
      </c>
      <c r="K34" s="55">
        <v>57.381771281169392</v>
      </c>
      <c r="L34" s="55">
        <v>90.503525365434214</v>
      </c>
      <c r="M34" s="55">
        <v>83.608770421324152</v>
      </c>
      <c r="N34" s="55">
        <v>22.58013757523646</v>
      </c>
      <c r="O34" s="55">
        <v>24.55150472914875</v>
      </c>
      <c r="P34" s="55">
        <v>26.681083404987099</v>
      </c>
      <c r="Q34" s="55">
        <v>12.084866723989681</v>
      </c>
      <c r="R34" s="55">
        <v>12.860963026655201</v>
      </c>
      <c r="S34" s="55">
        <v>12.436999999999999</v>
      </c>
      <c r="T34" s="55">
        <v>12.01470335339639</v>
      </c>
      <c r="U34" s="55">
        <v>12.01470335339639</v>
      </c>
      <c r="V34" s="55">
        <v>12.01470335339639</v>
      </c>
      <c r="W34" s="55">
        <v>12.01470335339639</v>
      </c>
      <c r="X34" s="55">
        <v>12.01470335339639</v>
      </c>
      <c r="Y34" s="55">
        <v>12.01470335339639</v>
      </c>
      <c r="DA34" s="101" t="s">
        <v>201</v>
      </c>
    </row>
    <row r="35" spans="1:105" ht="12" customHeight="1" x14ac:dyDescent="0.25">
      <c r="A35" s="61" t="s">
        <v>163</v>
      </c>
      <c r="B35" s="55">
        <v>1017.2733447979364</v>
      </c>
      <c r="C35" s="55">
        <v>1024.3001719690456</v>
      </c>
      <c r="D35" s="55">
        <v>995.98263112639734</v>
      </c>
      <c r="E35" s="55">
        <v>1031.2792777300087</v>
      </c>
      <c r="F35" s="55">
        <v>771.18564058469485</v>
      </c>
      <c r="G35" s="55">
        <v>393.70859845227858</v>
      </c>
      <c r="H35" s="55">
        <v>348.28013757523644</v>
      </c>
      <c r="I35" s="55">
        <v>332.58693035253657</v>
      </c>
      <c r="J35" s="55">
        <v>284.08650042992252</v>
      </c>
      <c r="K35" s="55">
        <v>281.66595012897682</v>
      </c>
      <c r="L35" s="55">
        <v>291.44574376612212</v>
      </c>
      <c r="M35" s="55">
        <v>272.77652622527938</v>
      </c>
      <c r="N35" s="55">
        <v>271.13525365434219</v>
      </c>
      <c r="O35" s="55">
        <v>241.71865864144451</v>
      </c>
      <c r="P35" s="55">
        <v>229.83602751504728</v>
      </c>
      <c r="Q35" s="55">
        <v>230.04686156491832</v>
      </c>
      <c r="R35" s="55">
        <v>220.32235597592427</v>
      </c>
      <c r="S35" s="55">
        <v>219.93929492691311</v>
      </c>
      <c r="T35" s="55">
        <v>216.098796216681</v>
      </c>
      <c r="U35" s="55">
        <v>208.41530524505589</v>
      </c>
      <c r="V35" s="55">
        <v>204.92751504729154</v>
      </c>
      <c r="W35" s="55">
        <v>176.09019776440238</v>
      </c>
      <c r="X35" s="55">
        <v>152.44428202923473</v>
      </c>
      <c r="Y35" s="55">
        <v>128.12631126397247</v>
      </c>
      <c r="DA35" s="101" t="s">
        <v>202</v>
      </c>
    </row>
    <row r="36" spans="1:105" ht="12" customHeight="1" x14ac:dyDescent="0.25">
      <c r="A36" s="60" t="s">
        <v>149</v>
      </c>
      <c r="B36" s="55">
        <v>35.941530524505595</v>
      </c>
      <c r="C36" s="55">
        <v>33.813413585554599</v>
      </c>
      <c r="D36" s="55">
        <v>65.649183147033526</v>
      </c>
      <c r="E36" s="55">
        <v>89.681857265692173</v>
      </c>
      <c r="F36" s="55">
        <v>90.025795356835772</v>
      </c>
      <c r="G36" s="55">
        <v>95.227858985382625</v>
      </c>
      <c r="H36" s="55">
        <v>96.861564918314699</v>
      </c>
      <c r="I36" s="55">
        <v>98.624247635425618</v>
      </c>
      <c r="J36" s="55">
        <v>102.73000859845227</v>
      </c>
      <c r="K36" s="55">
        <v>56.513327601031811</v>
      </c>
      <c r="L36" s="55">
        <v>107.09372312983658</v>
      </c>
      <c r="M36" s="55">
        <v>94.217540842648319</v>
      </c>
      <c r="N36" s="55">
        <v>121.60361134995701</v>
      </c>
      <c r="O36" s="55">
        <v>105.8469475494411</v>
      </c>
      <c r="P36" s="55">
        <v>100.5588993981083</v>
      </c>
      <c r="Q36" s="55">
        <v>94.991401547721409</v>
      </c>
      <c r="R36" s="55">
        <v>95.765262252794486</v>
      </c>
      <c r="S36" s="55">
        <v>53.97841788478074</v>
      </c>
      <c r="T36" s="55">
        <v>78.009458297506441</v>
      </c>
      <c r="U36" s="55">
        <v>101.64995700773861</v>
      </c>
      <c r="V36" s="55">
        <v>95.221496130696465</v>
      </c>
      <c r="W36" s="55">
        <v>88.994325315986529</v>
      </c>
      <c r="X36" s="55">
        <v>81.376023869562431</v>
      </c>
      <c r="Y36" s="55">
        <v>71.165319229521302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12.99320722269991</v>
      </c>
      <c r="C37" s="55">
        <f t="shared" ref="C37:W37" si="31">SUM(C38:C42)</f>
        <v>34.393809114359406</v>
      </c>
      <c r="D37" s="55">
        <f t="shared" si="31"/>
        <v>25.79535683576956</v>
      </c>
      <c r="E37" s="55">
        <f t="shared" si="31"/>
        <v>23.88460877042132</v>
      </c>
      <c r="F37" s="55">
        <f t="shared" si="31"/>
        <v>54.337403267411858</v>
      </c>
      <c r="G37" s="55">
        <f t="shared" si="31"/>
        <v>62.13508168529664</v>
      </c>
      <c r="H37" s="55">
        <f t="shared" si="31"/>
        <v>47.267497850386938</v>
      </c>
      <c r="I37" s="55">
        <f t="shared" si="31"/>
        <v>51.069475494411002</v>
      </c>
      <c r="J37" s="55">
        <f t="shared" si="31"/>
        <v>53.66629406706793</v>
      </c>
      <c r="K37" s="55">
        <f t="shared" si="31"/>
        <v>54.7183147033534</v>
      </c>
      <c r="L37" s="55">
        <f t="shared" si="31"/>
        <v>55.478761822871888</v>
      </c>
      <c r="M37" s="55">
        <f t="shared" si="31"/>
        <v>52.847205503009448</v>
      </c>
      <c r="N37" s="55">
        <f t="shared" si="31"/>
        <v>66.914875322441944</v>
      </c>
      <c r="O37" s="55">
        <f t="shared" si="31"/>
        <v>47.087360275150466</v>
      </c>
      <c r="P37" s="55">
        <f t="shared" si="31"/>
        <v>64.054600171969028</v>
      </c>
      <c r="Q37" s="55">
        <f t="shared" si="31"/>
        <v>69.136457437661221</v>
      </c>
      <c r="R37" s="55">
        <f t="shared" si="31"/>
        <v>101.86543422184008</v>
      </c>
      <c r="S37" s="55">
        <f t="shared" si="31"/>
        <v>111.28168529664661</v>
      </c>
      <c r="T37" s="55">
        <f t="shared" si="31"/>
        <v>121.23473774720551</v>
      </c>
      <c r="U37" s="55">
        <f t="shared" si="31"/>
        <v>90.425537403267398</v>
      </c>
      <c r="V37" s="55">
        <f t="shared" si="31"/>
        <v>90.84419604471195</v>
      </c>
      <c r="W37" s="55">
        <f t="shared" si="31"/>
        <v>99.954169954864767</v>
      </c>
      <c r="X37" s="55">
        <f t="shared" ref="X37:Y37" si="32">SUM(X38:X42)</f>
        <v>99.696289114100466</v>
      </c>
      <c r="Y37" s="55">
        <f t="shared" si="32"/>
        <v>87.204930125594785</v>
      </c>
      <c r="DA37" s="101"/>
    </row>
    <row r="38" spans="1:105" ht="12" customHeight="1" x14ac:dyDescent="0.25">
      <c r="A38" s="61" t="s">
        <v>164</v>
      </c>
      <c r="B38" s="55">
        <v>12.99320722269991</v>
      </c>
      <c r="C38" s="55">
        <v>34.393809114359406</v>
      </c>
      <c r="D38" s="55">
        <v>25.79535683576956</v>
      </c>
      <c r="E38" s="55">
        <v>23.88460877042132</v>
      </c>
      <c r="F38" s="55">
        <v>54.337403267411858</v>
      </c>
      <c r="G38" s="55">
        <v>59.711435941530517</v>
      </c>
      <c r="H38" s="55">
        <v>42.562338779019782</v>
      </c>
      <c r="I38" s="55">
        <v>44.019260533104038</v>
      </c>
      <c r="J38" s="55">
        <v>45.070249355116083</v>
      </c>
      <c r="K38" s="55">
        <v>45.070249355116083</v>
      </c>
      <c r="L38" s="55">
        <v>45.07024935511609</v>
      </c>
      <c r="M38" s="55">
        <v>40.603783319002567</v>
      </c>
      <c r="N38" s="55">
        <v>52.020636285468598</v>
      </c>
      <c r="O38" s="55">
        <v>28.90034393809114</v>
      </c>
      <c r="P38" s="55">
        <v>39.815649183147016</v>
      </c>
      <c r="Q38" s="55">
        <v>40.317196904557179</v>
      </c>
      <c r="R38" s="55">
        <v>65.658727429062779</v>
      </c>
      <c r="S38" s="55">
        <v>65.348237317282894</v>
      </c>
      <c r="T38" s="55">
        <v>66.733533963886515</v>
      </c>
      <c r="U38" s="55">
        <v>37.666036113499558</v>
      </c>
      <c r="V38" s="55">
        <v>35.373086844368004</v>
      </c>
      <c r="W38" s="55">
        <v>38.645227858985436</v>
      </c>
      <c r="X38" s="55">
        <v>30.142390369733448</v>
      </c>
      <c r="Y38" s="55">
        <v>33.772828890799673</v>
      </c>
      <c r="DA38" s="101" t="s">
        <v>204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0</v>
      </c>
      <c r="U39" s="55">
        <v>0</v>
      </c>
      <c r="V39" s="55">
        <v>0</v>
      </c>
      <c r="W39" s="55">
        <v>4.3239034028440724</v>
      </c>
      <c r="X39" s="55">
        <v>5.2647327942380642</v>
      </c>
      <c r="Y39" s="55">
        <v>4.2578106071081026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2.4236457437661216</v>
      </c>
      <c r="H40" s="55">
        <v>4.7051590713671532</v>
      </c>
      <c r="I40" s="55">
        <v>7.0502149613069651</v>
      </c>
      <c r="J40" s="55">
        <v>8.5960447119518477</v>
      </c>
      <c r="K40" s="55">
        <v>9.6480653482373171</v>
      </c>
      <c r="L40" s="55">
        <v>10.408512467755802</v>
      </c>
      <c r="M40" s="55">
        <v>12.243422184006878</v>
      </c>
      <c r="N40" s="55">
        <v>14.894239036973342</v>
      </c>
      <c r="O40" s="55">
        <v>18.187016337059326</v>
      </c>
      <c r="P40" s="55">
        <v>24.238950988822008</v>
      </c>
      <c r="Q40" s="55">
        <v>28.819260533104043</v>
      </c>
      <c r="R40" s="55">
        <v>36.206706792777297</v>
      </c>
      <c r="S40" s="55">
        <v>45.93344797936372</v>
      </c>
      <c r="T40" s="55">
        <v>54.501203783319006</v>
      </c>
      <c r="U40" s="55">
        <v>52.75950128976784</v>
      </c>
      <c r="V40" s="55">
        <v>55.471109200343946</v>
      </c>
      <c r="W40" s="55">
        <v>56.985038693035257</v>
      </c>
      <c r="X40" s="55">
        <v>64.289165950128961</v>
      </c>
      <c r="Y40" s="55">
        <v>49.174290627687014</v>
      </c>
      <c r="DA40" s="101" t="s">
        <v>206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X41" s="55">
        <v>0</v>
      </c>
      <c r="Y41" s="55">
        <v>0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DA42" s="101" t="s">
        <v>208</v>
      </c>
    </row>
    <row r="43" spans="1:105" ht="12" customHeight="1" x14ac:dyDescent="0.25">
      <c r="A43" s="61" t="s">
        <v>151</v>
      </c>
      <c r="B43" s="309">
        <v>2.7914855489278194</v>
      </c>
      <c r="C43" s="309">
        <v>4.9694862448795067</v>
      </c>
      <c r="D43" s="55">
        <v>7.2807048823555149</v>
      </c>
      <c r="E43" s="55">
        <v>9.5844645668855364</v>
      </c>
      <c r="F43" s="55">
        <v>15.083147888884366</v>
      </c>
      <c r="G43" s="55">
        <v>18.586520437176372</v>
      </c>
      <c r="H43" s="55">
        <v>28.15111689074191</v>
      </c>
      <c r="I43" s="55">
        <v>38.694957381635163</v>
      </c>
      <c r="J43" s="55">
        <v>43.630784362739575</v>
      </c>
      <c r="K43" s="55">
        <v>49.139465383171633</v>
      </c>
      <c r="L43" s="55">
        <v>54.26455686391126</v>
      </c>
      <c r="M43" s="55">
        <v>62.445147033533928</v>
      </c>
      <c r="N43" s="55">
        <v>70.283080395528756</v>
      </c>
      <c r="O43" s="55">
        <v>78.553337919174481</v>
      </c>
      <c r="P43" s="55">
        <v>82.686938950988718</v>
      </c>
      <c r="Q43" s="55">
        <v>88.199401547721436</v>
      </c>
      <c r="R43" s="55">
        <v>109.26386758383492</v>
      </c>
      <c r="S43" s="55">
        <v>115.69217540842635</v>
      </c>
      <c r="T43" s="55">
        <v>128.3979402407565</v>
      </c>
      <c r="U43" s="55">
        <v>135.15572656921739</v>
      </c>
      <c r="V43" s="55">
        <v>153.56011650902849</v>
      </c>
      <c r="W43" s="55">
        <v>162.13886500429922</v>
      </c>
      <c r="X43" s="55">
        <v>167.13074634565788</v>
      </c>
      <c r="Y43" s="55">
        <v>166.35831556319863</v>
      </c>
      <c r="DA43" s="101" t="s">
        <v>209</v>
      </c>
    </row>
    <row r="44" spans="1:105" ht="12" customHeight="1" x14ac:dyDescent="0.25">
      <c r="A44" s="60" t="s">
        <v>162</v>
      </c>
      <c r="B44" s="55">
        <v>1118.204815133276</v>
      </c>
      <c r="C44" s="55">
        <v>1232.8269991401551</v>
      </c>
      <c r="D44" s="55">
        <v>1242.380825451419</v>
      </c>
      <c r="E44" s="55">
        <v>1266.5281169389509</v>
      </c>
      <c r="F44" s="55">
        <v>1238.8459157351681</v>
      </c>
      <c r="G44" s="55">
        <v>1274.290627687016</v>
      </c>
      <c r="H44" s="55">
        <v>1256.4727429062771</v>
      </c>
      <c r="I44" s="55">
        <v>1195.5908856405849</v>
      </c>
      <c r="J44" s="55">
        <v>1224.2285468615651</v>
      </c>
      <c r="K44" s="55">
        <v>1287.0211521926051</v>
      </c>
      <c r="L44" s="55">
        <v>1451.6337059329319</v>
      </c>
      <c r="M44" s="55">
        <v>1243.145141874463</v>
      </c>
      <c r="N44" s="55">
        <v>1350.792949269131</v>
      </c>
      <c r="O44" s="55">
        <v>1346.8281169389511</v>
      </c>
      <c r="P44" s="55">
        <v>1273.9085124677561</v>
      </c>
      <c r="Q44" s="55">
        <v>1231.1073086844369</v>
      </c>
      <c r="R44" s="55">
        <v>1315.4676698194321</v>
      </c>
      <c r="S44" s="55">
        <v>1236.027515047291</v>
      </c>
      <c r="T44" s="55">
        <v>1284.871539122958</v>
      </c>
      <c r="U44" s="55">
        <v>1251.241960447119</v>
      </c>
      <c r="V44" s="55">
        <v>1091.4779879621669</v>
      </c>
      <c r="W44" s="55">
        <v>1309.807050730868</v>
      </c>
      <c r="X44" s="55">
        <v>1207.915391229579</v>
      </c>
      <c r="Y44" s="55">
        <v>1269.2987102321581</v>
      </c>
      <c r="DA44" s="101" t="s">
        <v>210</v>
      </c>
    </row>
    <row r="45" spans="1:105" ht="12" customHeight="1" x14ac:dyDescent="0.25">
      <c r="A45" s="62" t="s">
        <v>24</v>
      </c>
      <c r="B45" s="63">
        <v>2182.2347445615496</v>
      </c>
      <c r="C45" s="63">
        <v>2410.1034478733791</v>
      </c>
      <c r="D45" s="63">
        <v>2407.4912665481456</v>
      </c>
      <c r="E45" s="63">
        <v>2343.9175124875983</v>
      </c>
      <c r="F45" s="63">
        <v>2369.19682179353</v>
      </c>
      <c r="G45" s="63">
        <v>2246.9802578066528</v>
      </c>
      <c r="H45" s="63">
        <v>2333.3009463933513</v>
      </c>
      <c r="I45" s="63">
        <v>2446.6647980597263</v>
      </c>
      <c r="J45" s="63">
        <v>2415.6070646108988</v>
      </c>
      <c r="K45" s="63">
        <v>2299.3448526406351</v>
      </c>
      <c r="L45" s="63">
        <v>2337.4933613044091</v>
      </c>
      <c r="M45" s="63">
        <v>2118.0767834846761</v>
      </c>
      <c r="N45" s="63">
        <v>2212.9146792150182</v>
      </c>
      <c r="O45" s="63">
        <v>2192.3256732025616</v>
      </c>
      <c r="P45" s="63">
        <v>2264.0438445677491</v>
      </c>
      <c r="Q45" s="63">
        <v>2381.9437165200052</v>
      </c>
      <c r="R45" s="63">
        <v>2465.4256809534895</v>
      </c>
      <c r="S45" s="63">
        <v>2361.9153700379529</v>
      </c>
      <c r="T45" s="63">
        <v>2395.7362687003315</v>
      </c>
      <c r="U45" s="63">
        <v>2359.5351840762355</v>
      </c>
      <c r="V45" s="63">
        <v>2504.861934792043</v>
      </c>
      <c r="W45" s="63">
        <v>2564.3015424011701</v>
      </c>
      <c r="X45" s="63">
        <v>2660.8456603765026</v>
      </c>
      <c r="Y45" s="63">
        <v>2612.4888084886675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4408.4480721625823</v>
      </c>
      <c r="C47" s="82">
        <f t="shared" ref="C47:W47" si="34">SUM(C48,C53)</f>
        <v>4791.9248580195526</v>
      </c>
      <c r="D47" s="82">
        <f t="shared" si="34"/>
        <v>4783.6186096263909</v>
      </c>
      <c r="E47" s="82">
        <f t="shared" si="34"/>
        <v>4791.443049890866</v>
      </c>
      <c r="F47" s="82">
        <f t="shared" si="34"/>
        <v>4555.2243368408217</v>
      </c>
      <c r="G47" s="82">
        <f t="shared" si="34"/>
        <v>4104.5083747456029</v>
      </c>
      <c r="H47" s="82">
        <f t="shared" si="34"/>
        <v>4145.5308690072807</v>
      </c>
      <c r="I47" s="82">
        <f t="shared" si="34"/>
        <v>4219.9451935885318</v>
      </c>
      <c r="J47" s="82">
        <f t="shared" si="34"/>
        <v>4167.8711230803747</v>
      </c>
      <c r="K47" s="82">
        <f t="shared" si="34"/>
        <v>4036.6453685477718</v>
      </c>
      <c r="L47" s="82">
        <f t="shared" si="34"/>
        <v>4333.6488213216053</v>
      </c>
      <c r="M47" s="82">
        <f t="shared" si="34"/>
        <v>3864.6719683514002</v>
      </c>
      <c r="N47" s="82">
        <f t="shared" si="34"/>
        <v>4045.9415063861261</v>
      </c>
      <c r="O47" s="82">
        <f t="shared" si="34"/>
        <v>3958.3582613366984</v>
      </c>
      <c r="P47" s="82">
        <f t="shared" si="34"/>
        <v>3959.0829675256168</v>
      </c>
      <c r="Q47" s="82">
        <f t="shared" si="34"/>
        <v>4019.3106124787319</v>
      </c>
      <c r="R47" s="82">
        <f t="shared" si="34"/>
        <v>4211.7073662501352</v>
      </c>
      <c r="S47" s="82">
        <f t="shared" si="34"/>
        <v>3995.5792831935851</v>
      </c>
      <c r="T47" s="82">
        <f t="shared" si="34"/>
        <v>4107.9655034380794</v>
      </c>
      <c r="U47" s="82">
        <f t="shared" si="34"/>
        <v>4023.2826475328147</v>
      </c>
      <c r="V47" s="82">
        <f t="shared" si="34"/>
        <v>3999.3478333303065</v>
      </c>
      <c r="W47" s="82">
        <f t="shared" si="34"/>
        <v>4251.1619895206877</v>
      </c>
      <c r="X47" s="82">
        <f t="shared" ref="X47:Y47" si="35">SUM(X48,X53)</f>
        <v>4214.2923499723775</v>
      </c>
      <c r="Y47" s="82">
        <f t="shared" si="35"/>
        <v>4180.2987826933095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3627.3288083016255</v>
      </c>
      <c r="C48" s="64">
        <f t="shared" ref="C48:W48" si="37">SUM(C49:C52)</f>
        <v>3988.6694027055123</v>
      </c>
      <c r="D48" s="64">
        <f t="shared" si="37"/>
        <v>3957.1738129377782</v>
      </c>
      <c r="E48" s="64">
        <f t="shared" si="37"/>
        <v>3946.0708361140369</v>
      </c>
      <c r="F48" s="64">
        <f t="shared" si="37"/>
        <v>3691.0451171668637</v>
      </c>
      <c r="G48" s="64">
        <f t="shared" si="37"/>
        <v>3225.8209071609313</v>
      </c>
      <c r="H48" s="64">
        <f t="shared" si="37"/>
        <v>3255.1877330110656</v>
      </c>
      <c r="I48" s="64">
        <f t="shared" si="37"/>
        <v>3318.3048308429911</v>
      </c>
      <c r="J48" s="64">
        <f t="shared" si="37"/>
        <v>3254.627464296203</v>
      </c>
      <c r="K48" s="64">
        <f t="shared" si="37"/>
        <v>3112.7811023999302</v>
      </c>
      <c r="L48" s="64">
        <f t="shared" si="37"/>
        <v>3397.5974463192838</v>
      </c>
      <c r="M48" s="64">
        <f t="shared" si="37"/>
        <v>2925.7160489008916</v>
      </c>
      <c r="N48" s="64">
        <f t="shared" si="37"/>
        <v>3096.2169641790638</v>
      </c>
      <c r="O48" s="64">
        <f t="shared" si="37"/>
        <v>2992.0696561298901</v>
      </c>
      <c r="P48" s="64">
        <f t="shared" si="37"/>
        <v>2978.4868687849439</v>
      </c>
      <c r="Q48" s="64">
        <f t="shared" si="37"/>
        <v>3021.977591687415</v>
      </c>
      <c r="R48" s="64">
        <f t="shared" si="37"/>
        <v>3203.0448189655531</v>
      </c>
      <c r="S48" s="64">
        <f t="shared" si="37"/>
        <v>2984.9154727715381</v>
      </c>
      <c r="T48" s="64">
        <f t="shared" si="37"/>
        <v>3097.771057848799</v>
      </c>
      <c r="U48" s="64">
        <f t="shared" si="37"/>
        <v>3004.0577773262257</v>
      </c>
      <c r="V48" s="64">
        <f t="shared" si="37"/>
        <v>2944.0742518427251</v>
      </c>
      <c r="W48" s="64">
        <f t="shared" si="37"/>
        <v>3180.4051164549624</v>
      </c>
      <c r="X48" s="64">
        <f t="shared" ref="X48:Y48" si="38">SUM(X49:X52)</f>
        <v>3163.6045747939697</v>
      </c>
      <c r="Y48" s="64">
        <f t="shared" si="38"/>
        <v>3116.881799259103</v>
      </c>
      <c r="DA48" s="108" t="s">
        <v>213</v>
      </c>
    </row>
    <row r="49" spans="1:105" ht="12" customHeight="1" x14ac:dyDescent="0.25">
      <c r="A49" s="61" t="s">
        <v>32</v>
      </c>
      <c r="B49" s="65">
        <v>2929.6027134255023</v>
      </c>
      <c r="C49" s="65">
        <v>3276.518976375608</v>
      </c>
      <c r="D49" s="65">
        <v>3241.3364928557039</v>
      </c>
      <c r="E49" s="65">
        <v>3224.3622388691829</v>
      </c>
      <c r="F49" s="65">
        <v>2963.4540919856599</v>
      </c>
      <c r="G49" s="65">
        <v>2493.2728052955231</v>
      </c>
      <c r="H49" s="65">
        <v>2509.0631507362223</v>
      </c>
      <c r="I49" s="65">
        <v>2554.3123248154689</v>
      </c>
      <c r="J49" s="65">
        <v>2482.5270684528682</v>
      </c>
      <c r="K49" s="65">
        <v>2329.7864663630176</v>
      </c>
      <c r="L49" s="65">
        <v>2600.3979151471349</v>
      </c>
      <c r="M49" s="65">
        <v>2115.7993205934763</v>
      </c>
      <c r="N49" s="65">
        <v>2293.7430957936754</v>
      </c>
      <c r="O49" s="65">
        <v>2174.1488127904881</v>
      </c>
      <c r="P49" s="65">
        <v>2154.5062202346585</v>
      </c>
      <c r="Q49" s="65">
        <v>2196.2147371476672</v>
      </c>
      <c r="R49" s="65">
        <v>2373.3897580689782</v>
      </c>
      <c r="S49" s="65">
        <v>2134.6364135787426</v>
      </c>
      <c r="T49" s="65">
        <v>2245.2147641495385</v>
      </c>
      <c r="U49" s="65">
        <v>2132.9637226403938</v>
      </c>
      <c r="V49" s="65">
        <v>2054.8419728069653</v>
      </c>
      <c r="W49" s="65">
        <v>2295.7370434245063</v>
      </c>
      <c r="X49" s="65">
        <v>2309.2601455696849</v>
      </c>
      <c r="Y49" s="65">
        <v>2278.6202970550676</v>
      </c>
      <c r="DA49" s="109" t="s">
        <v>214</v>
      </c>
    </row>
    <row r="50" spans="1:105" ht="12" customHeight="1" x14ac:dyDescent="0.25">
      <c r="A50" s="61" t="s">
        <v>31</v>
      </c>
      <c r="B50" s="65">
        <v>43.650326837978632</v>
      </c>
      <c r="C50" s="65">
        <v>43.169009322612887</v>
      </c>
      <c r="D50" s="65">
        <v>42.708687300100443</v>
      </c>
      <c r="E50" s="65">
        <v>41.742775519913742</v>
      </c>
      <c r="F50" s="65">
        <v>41.10819036826738</v>
      </c>
      <c r="G50" s="65">
        <v>40.112272027826513</v>
      </c>
      <c r="H50" s="65">
        <v>39.021279964198698</v>
      </c>
      <c r="I50" s="65">
        <v>38.016972034977563</v>
      </c>
      <c r="J50" s="65">
        <v>36.826911785038249</v>
      </c>
      <c r="K50" s="65">
        <v>37.221951259329259</v>
      </c>
      <c r="L50" s="65">
        <v>38.07844054080762</v>
      </c>
      <c r="M50" s="65">
        <v>36.984601388807405</v>
      </c>
      <c r="N50" s="65">
        <v>36.438056033881644</v>
      </c>
      <c r="O50" s="65">
        <v>36.091792439610273</v>
      </c>
      <c r="P50" s="65">
        <v>35.806359874934117</v>
      </c>
      <c r="Q50" s="65">
        <v>34.622461206865353</v>
      </c>
      <c r="R50" s="65">
        <v>34.280020071779795</v>
      </c>
      <c r="S50" s="65">
        <v>34.046233561645039</v>
      </c>
      <c r="T50" s="65">
        <v>33.803878851324683</v>
      </c>
      <c r="U50" s="65">
        <v>33.255482611373161</v>
      </c>
      <c r="V50" s="65">
        <v>32.262620985453474</v>
      </c>
      <c r="W50" s="65">
        <v>32.575482113046746</v>
      </c>
      <c r="X50" s="65">
        <v>31.66742024617486</v>
      </c>
      <c r="Y50" s="65">
        <v>31.558230904988836</v>
      </c>
      <c r="DA50" s="109" t="s">
        <v>215</v>
      </c>
    </row>
    <row r="51" spans="1:105" ht="12" customHeight="1" x14ac:dyDescent="0.25">
      <c r="A51" s="61" t="s">
        <v>35</v>
      </c>
      <c r="B51" s="65">
        <v>373.7975292576383</v>
      </c>
      <c r="C51" s="65">
        <v>375.16137405397615</v>
      </c>
      <c r="D51" s="65">
        <v>376.3754354210306</v>
      </c>
      <c r="E51" s="65">
        <v>378.96665763047702</v>
      </c>
      <c r="F51" s="65">
        <v>377.67461983713292</v>
      </c>
      <c r="G51" s="65">
        <v>375.4732042959094</v>
      </c>
      <c r="H51" s="65">
        <v>376.41014831011046</v>
      </c>
      <c r="I51" s="65">
        <v>381.8802367522315</v>
      </c>
      <c r="J51" s="65">
        <v>385.59906455635178</v>
      </c>
      <c r="K51" s="65">
        <v>389.2188563126258</v>
      </c>
      <c r="L51" s="65">
        <v>390.90762978650184</v>
      </c>
      <c r="M51" s="65">
        <v>394.73521696391515</v>
      </c>
      <c r="N51" s="65">
        <v>394.68816435134318</v>
      </c>
      <c r="O51" s="65">
        <v>400.91342459030034</v>
      </c>
      <c r="P51" s="65">
        <v>403.6105546043301</v>
      </c>
      <c r="Q51" s="65">
        <v>406.81783496096637</v>
      </c>
      <c r="R51" s="65">
        <v>402.87602139367004</v>
      </c>
      <c r="S51" s="65">
        <v>407.63748958183896</v>
      </c>
      <c r="T51" s="65">
        <v>406.65192662316088</v>
      </c>
      <c r="U51" s="65">
        <v>408.7321317971448</v>
      </c>
      <c r="V51" s="65">
        <v>416.92428285580638</v>
      </c>
      <c r="W51" s="65">
        <v>410.34816712387214</v>
      </c>
      <c r="X51" s="65">
        <v>399.45907192788718</v>
      </c>
      <c r="Y51" s="65">
        <v>394.21892405271046</v>
      </c>
      <c r="DA51" s="109" t="s">
        <v>216</v>
      </c>
    </row>
    <row r="52" spans="1:105" ht="12" customHeight="1" x14ac:dyDescent="0.25">
      <c r="A52" s="66" t="s">
        <v>34</v>
      </c>
      <c r="B52" s="67">
        <v>280.27823878050594</v>
      </c>
      <c r="C52" s="67">
        <v>293.82004295331524</v>
      </c>
      <c r="D52" s="67">
        <v>296.75319736094355</v>
      </c>
      <c r="E52" s="67">
        <v>300.99916409446303</v>
      </c>
      <c r="F52" s="67">
        <v>308.80821497580314</v>
      </c>
      <c r="G52" s="67">
        <v>316.96262554167248</v>
      </c>
      <c r="H52" s="67">
        <v>330.69315400053461</v>
      </c>
      <c r="I52" s="67">
        <v>344.09529724031279</v>
      </c>
      <c r="J52" s="67">
        <v>349.6744195019449</v>
      </c>
      <c r="K52" s="67">
        <v>356.55382846495763</v>
      </c>
      <c r="L52" s="67">
        <v>368.21346084483963</v>
      </c>
      <c r="M52" s="67">
        <v>378.1969099546929</v>
      </c>
      <c r="N52" s="67">
        <v>371.34764800016302</v>
      </c>
      <c r="O52" s="67">
        <v>380.91562630949124</v>
      </c>
      <c r="P52" s="67">
        <v>384.56373407102114</v>
      </c>
      <c r="Q52" s="67">
        <v>384.32255837191565</v>
      </c>
      <c r="R52" s="67">
        <v>392.49901943112536</v>
      </c>
      <c r="S52" s="67">
        <v>408.59533604931187</v>
      </c>
      <c r="T52" s="67">
        <v>412.10048822477512</v>
      </c>
      <c r="U52" s="67">
        <v>429.10644027731342</v>
      </c>
      <c r="V52" s="67">
        <v>440.0453751945002</v>
      </c>
      <c r="W52" s="67">
        <v>441.74442379353752</v>
      </c>
      <c r="X52" s="67">
        <v>423.2179370502227</v>
      </c>
      <c r="Y52" s="67">
        <v>412.48434724633648</v>
      </c>
      <c r="DA52" s="110" t="s">
        <v>217</v>
      </c>
    </row>
    <row r="53" spans="1:105" ht="12" customHeight="1" x14ac:dyDescent="0.25">
      <c r="A53" s="78" t="s">
        <v>33</v>
      </c>
      <c r="B53" s="68">
        <v>781.11926386095638</v>
      </c>
      <c r="C53" s="68">
        <v>803.25545531404066</v>
      </c>
      <c r="D53" s="68">
        <v>826.444796688613</v>
      </c>
      <c r="E53" s="68">
        <v>845.37221377682908</v>
      </c>
      <c r="F53" s="68">
        <v>864.17921967395841</v>
      </c>
      <c r="G53" s="68">
        <v>878.68746758467182</v>
      </c>
      <c r="H53" s="68">
        <v>890.34313599621487</v>
      </c>
      <c r="I53" s="68">
        <v>901.64036274554098</v>
      </c>
      <c r="J53" s="68">
        <v>913.2436587841712</v>
      </c>
      <c r="K53" s="68">
        <v>923.86426614784159</v>
      </c>
      <c r="L53" s="68">
        <v>936.05137500232115</v>
      </c>
      <c r="M53" s="68">
        <v>938.95591945050842</v>
      </c>
      <c r="N53" s="68">
        <v>949.72454220706243</v>
      </c>
      <c r="O53" s="68">
        <v>966.28860520680826</v>
      </c>
      <c r="P53" s="68">
        <v>980.59609874067291</v>
      </c>
      <c r="Q53" s="68">
        <v>997.33302079131693</v>
      </c>
      <c r="R53" s="68">
        <v>1008.6625472845826</v>
      </c>
      <c r="S53" s="68">
        <v>1010.6638104220468</v>
      </c>
      <c r="T53" s="68">
        <v>1010.1944455892806</v>
      </c>
      <c r="U53" s="68">
        <v>1019.2248702065892</v>
      </c>
      <c r="V53" s="68">
        <v>1055.2735814875814</v>
      </c>
      <c r="W53" s="68">
        <v>1070.7568730657256</v>
      </c>
      <c r="X53" s="68">
        <v>1050.6877751784077</v>
      </c>
      <c r="Y53" s="68">
        <v>1063.416983434206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0.82281309633805544</v>
      </c>
      <c r="C56" s="70">
        <f t="shared" ref="C56:W56" si="43">IF(C48=0,0,C48/C$47)</f>
        <v>0.83237311119982449</v>
      </c>
      <c r="D56" s="70">
        <f t="shared" si="43"/>
        <v>0.8272343879954176</v>
      </c>
      <c r="E56" s="70">
        <f t="shared" si="43"/>
        <v>0.82356626073306161</v>
      </c>
      <c r="F56" s="70">
        <f t="shared" si="43"/>
        <v>0.81028832923006133</v>
      </c>
      <c r="G56" s="70">
        <f t="shared" si="43"/>
        <v>0.78592138513077525</v>
      </c>
      <c r="H56" s="70">
        <f t="shared" si="43"/>
        <v>0.78522819775566566</v>
      </c>
      <c r="I56" s="70">
        <f t="shared" si="43"/>
        <v>0.78633837138088303</v>
      </c>
      <c r="J56" s="70">
        <f t="shared" si="43"/>
        <v>0.78088486140396418</v>
      </c>
      <c r="K56" s="70">
        <f t="shared" si="43"/>
        <v>0.77113068357545311</v>
      </c>
      <c r="L56" s="70">
        <f t="shared" si="43"/>
        <v>0.78400386981129222</v>
      </c>
      <c r="M56" s="70">
        <f t="shared" si="43"/>
        <v>0.75704123735731954</v>
      </c>
      <c r="N56" s="70">
        <f t="shared" si="43"/>
        <v>0.76526488563712192</v>
      </c>
      <c r="O56" s="70">
        <f t="shared" si="43"/>
        <v>0.75588652127700484</v>
      </c>
      <c r="P56" s="70">
        <f t="shared" si="43"/>
        <v>0.75231736571725982</v>
      </c>
      <c r="Q56" s="70">
        <f t="shared" si="43"/>
        <v>0.75186465616892051</v>
      </c>
      <c r="R56" s="70">
        <f t="shared" si="43"/>
        <v>0.76050982189139182</v>
      </c>
      <c r="S56" s="70">
        <f t="shared" si="43"/>
        <v>0.74705449728574924</v>
      </c>
      <c r="T56" s="70">
        <f t="shared" si="43"/>
        <v>0.75408886838416278</v>
      </c>
      <c r="U56" s="70">
        <f t="shared" si="43"/>
        <v>0.74666834038329244</v>
      </c>
      <c r="V56" s="70">
        <f t="shared" si="43"/>
        <v>0.73613858422290768</v>
      </c>
      <c r="W56" s="70">
        <f t="shared" si="43"/>
        <v>0.7481260710118337</v>
      </c>
      <c r="X56" s="70">
        <f t="shared" ref="X56:Y56" si="44">IF(X48=0,0,X48/X$47)</f>
        <v>0.75068464930172807</v>
      </c>
      <c r="Y56" s="70">
        <f t="shared" si="44"/>
        <v>0.74561220651575977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0.66454286530551643</v>
      </c>
      <c r="C57" s="71">
        <f t="shared" ref="C57:W57" si="46">IF(C49=0,0,C49/C$47)</f>
        <v>0.68375842139765008</v>
      </c>
      <c r="D57" s="71">
        <f t="shared" si="46"/>
        <v>0.67759091126808246</v>
      </c>
      <c r="E57" s="71">
        <f t="shared" si="46"/>
        <v>0.67294178503125979</v>
      </c>
      <c r="F57" s="71">
        <f t="shared" si="46"/>
        <v>0.65056161296347925</v>
      </c>
      <c r="G57" s="71">
        <f t="shared" si="46"/>
        <v>0.60744736705527025</v>
      </c>
      <c r="H57" s="71">
        <f t="shared" si="46"/>
        <v>0.6052453183968356</v>
      </c>
      <c r="I57" s="71">
        <f t="shared" si="46"/>
        <v>0.60529514191234035</v>
      </c>
      <c r="J57" s="71">
        <f t="shared" si="46"/>
        <v>0.59563431669117717</v>
      </c>
      <c r="K57" s="71">
        <f t="shared" si="46"/>
        <v>0.5771590649294972</v>
      </c>
      <c r="L57" s="71">
        <f t="shared" si="46"/>
        <v>0.60004814011535623</v>
      </c>
      <c r="M57" s="71">
        <f t="shared" si="46"/>
        <v>0.54747190393394196</v>
      </c>
      <c r="N57" s="71">
        <f t="shared" si="46"/>
        <v>0.56692443332985032</v>
      </c>
      <c r="O57" s="71">
        <f t="shared" si="46"/>
        <v>0.54925518845186583</v>
      </c>
      <c r="P57" s="71">
        <f t="shared" si="46"/>
        <v>0.54419324826152893</v>
      </c>
      <c r="Q57" s="71">
        <f t="shared" si="46"/>
        <v>0.54641577844944134</v>
      </c>
      <c r="R57" s="71">
        <f t="shared" si="46"/>
        <v>0.5635219999109552</v>
      </c>
      <c r="S57" s="71">
        <f t="shared" si="46"/>
        <v>0.53424954488015342</v>
      </c>
      <c r="T57" s="71">
        <f t="shared" si="46"/>
        <v>0.54655151370439969</v>
      </c>
      <c r="U57" s="71">
        <f t="shared" si="46"/>
        <v>0.53015507720999533</v>
      </c>
      <c r="V57" s="71">
        <f t="shared" si="46"/>
        <v>0.51379426307510567</v>
      </c>
      <c r="W57" s="71">
        <f t="shared" si="46"/>
        <v>0.5400257739139569</v>
      </c>
      <c r="X57" s="71">
        <f t="shared" ref="X57:Y57" si="47">IF(X49=0,0,X49/X$47)</f>
        <v>0.54795917174204134</v>
      </c>
      <c r="Y57" s="71">
        <f t="shared" si="47"/>
        <v>0.54508551075073719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9.9015177503419659E-3</v>
      </c>
      <c r="C58" s="72">
        <f t="shared" ref="C58:W58" si="49">IF(C50=0,0,C50/C$47)</f>
        <v>9.0086991348303693E-3</v>
      </c>
      <c r="D58" s="72">
        <f t="shared" si="49"/>
        <v>8.9281129591215602E-3</v>
      </c>
      <c r="E58" s="72">
        <f t="shared" si="49"/>
        <v>8.7119423282855275E-3</v>
      </c>
      <c r="F58" s="72">
        <f t="shared" si="49"/>
        <v>9.0244052385742846E-3</v>
      </c>
      <c r="G58" s="72">
        <f t="shared" si="49"/>
        <v>9.7727348480103095E-3</v>
      </c>
      <c r="H58" s="72">
        <f t="shared" si="49"/>
        <v>9.4128547578619329E-3</v>
      </c>
      <c r="I58" s="72">
        <f t="shared" si="49"/>
        <v>9.0088781467441096E-3</v>
      </c>
      <c r="J58" s="72">
        <f t="shared" si="49"/>
        <v>8.8359046375264001E-3</v>
      </c>
      <c r="K58" s="72">
        <f t="shared" si="49"/>
        <v>9.2210109784105886E-3</v>
      </c>
      <c r="L58" s="72">
        <f t="shared" si="49"/>
        <v>8.7866927180304099E-3</v>
      </c>
      <c r="M58" s="72">
        <f t="shared" si="49"/>
        <v>9.5699199548323829E-3</v>
      </c>
      <c r="N58" s="72">
        <f t="shared" si="49"/>
        <v>9.0060758358388796E-3</v>
      </c>
      <c r="O58" s="72">
        <f t="shared" si="49"/>
        <v>9.1178690903593023E-3</v>
      </c>
      <c r="P58" s="72">
        <f t="shared" si="49"/>
        <v>9.044104447579358E-3</v>
      </c>
      <c r="Q58" s="72">
        <f t="shared" si="49"/>
        <v>8.6140297541009107E-3</v>
      </c>
      <c r="R58" s="72">
        <f t="shared" si="49"/>
        <v>8.1392217195518923E-3</v>
      </c>
      <c r="S58" s="72">
        <f t="shared" si="49"/>
        <v>8.5209755954166865E-3</v>
      </c>
      <c r="T58" s="72">
        <f t="shared" si="49"/>
        <v>8.228861421312619E-3</v>
      </c>
      <c r="U58" s="72">
        <f t="shared" si="49"/>
        <v>8.2657584675951915E-3</v>
      </c>
      <c r="V58" s="72">
        <f t="shared" si="49"/>
        <v>8.0669704986845291E-3</v>
      </c>
      <c r="W58" s="72">
        <f t="shared" si="49"/>
        <v>7.6627242606484595E-3</v>
      </c>
      <c r="X58" s="72">
        <f t="shared" ref="X58:Y58" si="50">IF(X50=0,0,X50/X$47)</f>
        <v>7.5142912774863431E-3</v>
      </c>
      <c r="Y58" s="72">
        <f t="shared" si="50"/>
        <v>7.5492763903962619E-3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8.4791183459323446E-2</v>
      </c>
      <c r="C59" s="72">
        <f t="shared" ref="C59:W59" si="52">IF(C51=0,0,C51/C$47)</f>
        <v>7.8290329078537765E-2</v>
      </c>
      <c r="D59" s="72">
        <f t="shared" si="52"/>
        <v>7.8680067567181364E-2</v>
      </c>
      <c r="E59" s="72">
        <f t="shared" si="52"/>
        <v>7.909238483782223E-2</v>
      </c>
      <c r="F59" s="72">
        <f t="shared" si="52"/>
        <v>8.2910212957603993E-2</v>
      </c>
      <c r="G59" s="72">
        <f t="shared" si="52"/>
        <v>9.1478240513806042E-2</v>
      </c>
      <c r="H59" s="72">
        <f t="shared" si="52"/>
        <v>9.0799021935699248E-2</v>
      </c>
      <c r="I59" s="72">
        <f t="shared" si="52"/>
        <v>9.049412237211793E-2</v>
      </c>
      <c r="J59" s="72">
        <f t="shared" si="52"/>
        <v>9.2517031637812414E-2</v>
      </c>
      <c r="K59" s="72">
        <f t="shared" si="52"/>
        <v>9.6421364964406481E-2</v>
      </c>
      <c r="L59" s="72">
        <f t="shared" si="52"/>
        <v>9.0202885813735423E-2</v>
      </c>
      <c r="M59" s="72">
        <f t="shared" si="52"/>
        <v>0.10213938471272171</v>
      </c>
      <c r="N59" s="72">
        <f t="shared" si="52"/>
        <v>9.7551623949176283E-2</v>
      </c>
      <c r="O59" s="72">
        <f t="shared" si="52"/>
        <v>0.10128275363708888</v>
      </c>
      <c r="P59" s="72">
        <f t="shared" si="52"/>
        <v>0.10194546512789608</v>
      </c>
      <c r="Q59" s="72">
        <f t="shared" si="52"/>
        <v>0.10121582385245899</v>
      </c>
      <c r="R59" s="72">
        <f t="shared" si="52"/>
        <v>9.5656223559607831E-2</v>
      </c>
      <c r="S59" s="72">
        <f t="shared" si="52"/>
        <v>0.10202212512625269</v>
      </c>
      <c r="T59" s="72">
        <f t="shared" si="52"/>
        <v>9.8991076308411474E-2</v>
      </c>
      <c r="U59" s="72">
        <f t="shared" si="52"/>
        <v>0.10159170200179457</v>
      </c>
      <c r="V59" s="72">
        <f t="shared" si="52"/>
        <v>0.10424806749270127</v>
      </c>
      <c r="W59" s="72">
        <f t="shared" si="52"/>
        <v>9.6526118773031813E-2</v>
      </c>
      <c r="X59" s="72">
        <f t="shared" ref="X59:Y59" si="53">IF(X51=0,0,X51/X$47)</f>
        <v>9.478674917522166E-2</v>
      </c>
      <c r="Y59" s="72">
        <f t="shared" si="53"/>
        <v>9.4304006614264205E-2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6.3577529822873541E-2</v>
      </c>
      <c r="C60" s="73">
        <f t="shared" ref="C60:W60" si="55">IF(C52=0,0,C52/C$47)</f>
        <v>6.1315661588806233E-2</v>
      </c>
      <c r="D60" s="73">
        <f t="shared" si="55"/>
        <v>6.2035296201032319E-2</v>
      </c>
      <c r="E60" s="73">
        <f t="shared" si="55"/>
        <v>6.2820148535694037E-2</v>
      </c>
      <c r="F60" s="73">
        <f t="shared" si="55"/>
        <v>6.7792098070403803E-2</v>
      </c>
      <c r="G60" s="73">
        <f t="shared" si="55"/>
        <v>7.7223042713688655E-2</v>
      </c>
      <c r="H60" s="73">
        <f t="shared" si="55"/>
        <v>7.9771002665268972E-2</v>
      </c>
      <c r="I60" s="73">
        <f t="shared" si="55"/>
        <v>8.1540228949680521E-2</v>
      </c>
      <c r="J60" s="73">
        <f t="shared" si="55"/>
        <v>8.3897608437448229E-2</v>
      </c>
      <c r="K60" s="73">
        <f t="shared" si="55"/>
        <v>8.8329242703138883E-2</v>
      </c>
      <c r="L60" s="73">
        <f t="shared" si="55"/>
        <v>8.4966151164170223E-2</v>
      </c>
      <c r="M60" s="73">
        <f t="shared" si="55"/>
        <v>9.7860028755823461E-2</v>
      </c>
      <c r="N60" s="73">
        <f t="shared" si="55"/>
        <v>9.1782752522256386E-2</v>
      </c>
      <c r="O60" s="73">
        <f t="shared" si="55"/>
        <v>9.6230710097690811E-2</v>
      </c>
      <c r="P60" s="73">
        <f t="shared" si="55"/>
        <v>9.7134547880255523E-2</v>
      </c>
      <c r="Q60" s="73">
        <f t="shared" si="55"/>
        <v>9.5619024112919143E-2</v>
      </c>
      <c r="R60" s="73">
        <f t="shared" si="55"/>
        <v>9.3192376701276891E-2</v>
      </c>
      <c r="S60" s="73">
        <f t="shared" si="55"/>
        <v>0.10226185168392653</v>
      </c>
      <c r="T60" s="73">
        <f t="shared" si="55"/>
        <v>0.10031741695003911</v>
      </c>
      <c r="U60" s="73">
        <f t="shared" si="55"/>
        <v>0.10665580270390723</v>
      </c>
      <c r="V60" s="73">
        <f t="shared" si="55"/>
        <v>0.11002928315641627</v>
      </c>
      <c r="W60" s="73">
        <f t="shared" si="55"/>
        <v>0.10391145406419659</v>
      </c>
      <c r="X60" s="73">
        <f t="shared" ref="X60:Y60" si="56">IF(X52=0,0,X52/X$47)</f>
        <v>0.10042443710697875</v>
      </c>
      <c r="Y60" s="73">
        <f t="shared" si="56"/>
        <v>9.8673412760362178E-2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0.17718690366194448</v>
      </c>
      <c r="C61" s="70">
        <f t="shared" ref="C61:W61" si="58">IF(C53=0,0,C53/C$47)</f>
        <v>0.16762688880017557</v>
      </c>
      <c r="D61" s="70">
        <f t="shared" si="58"/>
        <v>0.1727656120045824</v>
      </c>
      <c r="E61" s="70">
        <f t="shared" si="58"/>
        <v>0.17643373926693839</v>
      </c>
      <c r="F61" s="70">
        <f t="shared" si="58"/>
        <v>0.18971167076993872</v>
      </c>
      <c r="G61" s="70">
        <f t="shared" si="58"/>
        <v>0.21407861486922483</v>
      </c>
      <c r="H61" s="70">
        <f t="shared" si="58"/>
        <v>0.21477180224433426</v>
      </c>
      <c r="I61" s="70">
        <f t="shared" si="58"/>
        <v>0.21366162861911708</v>
      </c>
      <c r="J61" s="70">
        <f t="shared" si="58"/>
        <v>0.21911513859603568</v>
      </c>
      <c r="K61" s="70">
        <f t="shared" si="58"/>
        <v>0.22886931642454686</v>
      </c>
      <c r="L61" s="70">
        <f t="shared" si="58"/>
        <v>0.2159961301887077</v>
      </c>
      <c r="M61" s="70">
        <f t="shared" si="58"/>
        <v>0.24295876264268043</v>
      </c>
      <c r="N61" s="70">
        <f t="shared" si="58"/>
        <v>0.23473511436287806</v>
      </c>
      <c r="O61" s="70">
        <f t="shared" si="58"/>
        <v>0.24411347872299516</v>
      </c>
      <c r="P61" s="70">
        <f t="shared" si="58"/>
        <v>0.24768263428274015</v>
      </c>
      <c r="Q61" s="70">
        <f t="shared" si="58"/>
        <v>0.24813534383107952</v>
      </c>
      <c r="R61" s="70">
        <f t="shared" si="58"/>
        <v>0.23949017810860834</v>
      </c>
      <c r="S61" s="70">
        <f t="shared" si="58"/>
        <v>0.2529455027142507</v>
      </c>
      <c r="T61" s="70">
        <f t="shared" si="58"/>
        <v>0.24591113161583722</v>
      </c>
      <c r="U61" s="70">
        <f t="shared" si="58"/>
        <v>0.25333165961670762</v>
      </c>
      <c r="V61" s="70">
        <f t="shared" si="58"/>
        <v>0.26386141577709232</v>
      </c>
      <c r="W61" s="70">
        <f t="shared" si="58"/>
        <v>0.25187392898816635</v>
      </c>
      <c r="X61" s="70">
        <f t="shared" ref="X61:Y61" si="59">IF(X53=0,0,X53/X$47)</f>
        <v>0.2493153506982719</v>
      </c>
      <c r="Y61" s="70">
        <f t="shared" si="59"/>
        <v>0.25438779348424012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3357.1379861999999</v>
      </c>
      <c r="C65" s="80">
        <v>3406.2525241199996</v>
      </c>
      <c r="D65" s="80">
        <v>3369.9590056800002</v>
      </c>
      <c r="E65" s="80">
        <v>3512.4602356800001</v>
      </c>
      <c r="F65" s="80">
        <v>2690.2597075200006</v>
      </c>
      <c r="G65" s="80">
        <v>1515.0228850799999</v>
      </c>
      <c r="H65" s="80">
        <v>1459.9620586800002</v>
      </c>
      <c r="I65" s="80">
        <v>1501.3992258000001</v>
      </c>
      <c r="J65" s="80">
        <v>1339.1486391599999</v>
      </c>
      <c r="K65" s="80">
        <v>1143.0836564400001</v>
      </c>
      <c r="L65" s="80">
        <v>1380.0584584799999</v>
      </c>
      <c r="M65" s="80">
        <v>1275.6788089199999</v>
      </c>
      <c r="N65" s="80">
        <v>1173.47746968</v>
      </c>
      <c r="O65" s="80">
        <v>1050.21115704</v>
      </c>
      <c r="P65" s="80">
        <v>1006.6840516799998</v>
      </c>
      <c r="Q65" s="80">
        <v>955.55723760000012</v>
      </c>
      <c r="R65" s="80">
        <v>929.28082535999988</v>
      </c>
      <c r="S65" s="80">
        <v>828.9479262996</v>
      </c>
      <c r="T65" s="80">
        <v>873.93664799999999</v>
      </c>
      <c r="U65" s="80">
        <v>905.98398048000013</v>
      </c>
      <c r="V65" s="80">
        <v>880.22639736000019</v>
      </c>
      <c r="W65" s="80">
        <v>781.61360253169744</v>
      </c>
      <c r="X65" s="80">
        <v>690.85854554950402</v>
      </c>
      <c r="Y65" s="80">
        <v>591.76968110663961</v>
      </c>
      <c r="DA65" s="103" t="s">
        <v>219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3274.1718461999999</v>
      </c>
      <c r="C67" s="55">
        <f t="shared" ref="C67:W67" si="60">SUM(C68:C69)</f>
        <v>3328.5060241199999</v>
      </c>
      <c r="D67" s="55">
        <f t="shared" si="60"/>
        <v>3217.2578056800003</v>
      </c>
      <c r="E67" s="55">
        <f t="shared" si="60"/>
        <v>3303.5007556800001</v>
      </c>
      <c r="F67" s="55">
        <f t="shared" si="60"/>
        <v>2480.7766975200007</v>
      </c>
      <c r="G67" s="55">
        <f t="shared" si="60"/>
        <v>1295.0692750799999</v>
      </c>
      <c r="H67" s="55">
        <f t="shared" si="60"/>
        <v>1236.13961868</v>
      </c>
      <c r="I67" s="55">
        <f t="shared" si="60"/>
        <v>1271.9097558000001</v>
      </c>
      <c r="J67" s="55">
        <f t="shared" si="60"/>
        <v>1100.5736691599998</v>
      </c>
      <c r="K67" s="55">
        <f t="shared" si="60"/>
        <v>1012.9358264400001</v>
      </c>
      <c r="L67" s="55">
        <f t="shared" si="60"/>
        <v>1130.6864584800001</v>
      </c>
      <c r="M67" s="55">
        <f t="shared" si="60"/>
        <v>1054.38113892</v>
      </c>
      <c r="N67" s="55">
        <f t="shared" si="60"/>
        <v>887.85553967999999</v>
      </c>
      <c r="O67" s="55">
        <f t="shared" si="60"/>
        <v>801.59839704000001</v>
      </c>
      <c r="P67" s="55">
        <f t="shared" si="60"/>
        <v>770.4918316799999</v>
      </c>
      <c r="Q67" s="55">
        <f t="shared" si="60"/>
        <v>732.4419276000001</v>
      </c>
      <c r="R67" s="55">
        <f t="shared" si="60"/>
        <v>704.34787535999976</v>
      </c>
      <c r="S67" s="55">
        <f t="shared" si="60"/>
        <v>702.16369905959994</v>
      </c>
      <c r="T67" s="55">
        <f t="shared" si="60"/>
        <v>690.708438</v>
      </c>
      <c r="U67" s="55">
        <f t="shared" si="60"/>
        <v>667.22909004000007</v>
      </c>
      <c r="V67" s="55">
        <f t="shared" si="60"/>
        <v>656.57064240000022</v>
      </c>
      <c r="W67" s="55">
        <f t="shared" si="60"/>
        <v>572.58419399999991</v>
      </c>
      <c r="X67" s="55">
        <f t="shared" ref="X67:Y67" si="61">SUM(X68:X69)</f>
        <v>499.72296383999992</v>
      </c>
      <c r="Y67" s="55">
        <f t="shared" si="61"/>
        <v>424.61694935999998</v>
      </c>
      <c r="DA67" s="101"/>
    </row>
    <row r="68" spans="1:105" ht="12" customHeight="1" x14ac:dyDescent="0.25">
      <c r="A68" s="61" t="s">
        <v>52</v>
      </c>
      <c r="B68" s="55">
        <v>110.43133524000002</v>
      </c>
      <c r="C68" s="55">
        <v>149.23139904000001</v>
      </c>
      <c r="D68" s="55">
        <v>122.36972904</v>
      </c>
      <c r="E68" s="55">
        <v>95.508059040000006</v>
      </c>
      <c r="F68" s="55">
        <v>83.56966524000002</v>
      </c>
      <c r="G68" s="55">
        <v>84.978284400000007</v>
      </c>
      <c r="H68" s="55">
        <v>167.35717692</v>
      </c>
      <c r="I68" s="55">
        <v>252.05787180000004</v>
      </c>
      <c r="J68" s="55">
        <v>231.30294408000006</v>
      </c>
      <c r="K68" s="55">
        <v>151.59522600000003</v>
      </c>
      <c r="L68" s="55">
        <v>239.09862096000001</v>
      </c>
      <c r="M68" s="55">
        <v>220.88356920000001</v>
      </c>
      <c r="N68" s="55">
        <v>59.653806120000013</v>
      </c>
      <c r="O68" s="55">
        <v>64.861903440000006</v>
      </c>
      <c r="P68" s="55">
        <v>70.487975160000005</v>
      </c>
      <c r="Q68" s="55">
        <v>31.926656520000002</v>
      </c>
      <c r="R68" s="55">
        <v>33.977002679999998</v>
      </c>
      <c r="S68" s="55">
        <v>32.856947139600003</v>
      </c>
      <c r="T68" s="55">
        <v>31.741293960000011</v>
      </c>
      <c r="U68" s="55">
        <v>31.741293960000011</v>
      </c>
      <c r="V68" s="55">
        <v>31.741293960000011</v>
      </c>
      <c r="W68" s="55">
        <v>31.741293960000011</v>
      </c>
      <c r="X68" s="55">
        <v>31.741293960000011</v>
      </c>
      <c r="Y68" s="55">
        <v>31.741293960000011</v>
      </c>
      <c r="DA68" s="101" t="s">
        <v>221</v>
      </c>
    </row>
    <row r="69" spans="1:105" ht="12" customHeight="1" x14ac:dyDescent="0.25">
      <c r="A69" s="61" t="s">
        <v>163</v>
      </c>
      <c r="B69" s="55">
        <v>3163.7405109599999</v>
      </c>
      <c r="C69" s="55">
        <v>3179.2746250800001</v>
      </c>
      <c r="D69" s="55">
        <v>3094.8880766400002</v>
      </c>
      <c r="E69" s="55">
        <v>3207.9926966400003</v>
      </c>
      <c r="F69" s="55">
        <v>2397.2070322800005</v>
      </c>
      <c r="G69" s="55">
        <v>1210.0909906799998</v>
      </c>
      <c r="H69" s="55">
        <v>1068.78244176</v>
      </c>
      <c r="I69" s="55">
        <v>1019.851884</v>
      </c>
      <c r="J69" s="55">
        <v>869.27072507999969</v>
      </c>
      <c r="K69" s="55">
        <v>861.34060044000012</v>
      </c>
      <c r="L69" s="55">
        <v>891.58783751999999</v>
      </c>
      <c r="M69" s="55">
        <v>833.49756972</v>
      </c>
      <c r="N69" s="55">
        <v>828.20173355999998</v>
      </c>
      <c r="O69" s="55">
        <v>736.73649360000002</v>
      </c>
      <c r="P69" s="55">
        <v>700.00385651999989</v>
      </c>
      <c r="Q69" s="55">
        <v>700.51527108000005</v>
      </c>
      <c r="R69" s="55">
        <v>670.37087267999982</v>
      </c>
      <c r="S69" s="55">
        <v>669.3067519199999</v>
      </c>
      <c r="T69" s="55">
        <v>658.96714403999999</v>
      </c>
      <c r="U69" s="55">
        <v>635.48779608000007</v>
      </c>
      <c r="V69" s="55">
        <v>624.82934844000022</v>
      </c>
      <c r="W69" s="55">
        <v>540.8429000399999</v>
      </c>
      <c r="X69" s="55">
        <v>467.98166987999991</v>
      </c>
      <c r="Y69" s="55">
        <v>392.87565539999997</v>
      </c>
      <c r="DA69" s="101" t="s">
        <v>222</v>
      </c>
    </row>
    <row r="70" spans="1:105" ht="12" customHeight="1" x14ac:dyDescent="0.25">
      <c r="A70" s="60" t="s">
        <v>149</v>
      </c>
      <c r="B70" s="55">
        <v>82.966140000000024</v>
      </c>
      <c r="C70" s="55">
        <v>77.746499999999997</v>
      </c>
      <c r="D70" s="55">
        <v>152.7012</v>
      </c>
      <c r="E70" s="55">
        <v>208.95947999999999</v>
      </c>
      <c r="F70" s="55">
        <v>209.48301000000004</v>
      </c>
      <c r="G70" s="55">
        <v>219.95361000000003</v>
      </c>
      <c r="H70" s="55">
        <v>223.82244</v>
      </c>
      <c r="I70" s="55">
        <v>229.48947000000001</v>
      </c>
      <c r="J70" s="55">
        <v>238.57497000000001</v>
      </c>
      <c r="K70" s="55">
        <v>130.14783</v>
      </c>
      <c r="L70" s="55">
        <v>249.3719999999999</v>
      </c>
      <c r="M70" s="55">
        <v>221.29767000000001</v>
      </c>
      <c r="N70" s="55">
        <v>285.62193000000002</v>
      </c>
      <c r="O70" s="55">
        <v>248.61276000000004</v>
      </c>
      <c r="P70" s="55">
        <v>236.19221999999993</v>
      </c>
      <c r="Q70" s="55">
        <v>223.11531000000002</v>
      </c>
      <c r="R70" s="55">
        <v>224.93295000000001</v>
      </c>
      <c r="S70" s="55">
        <v>126.78422724000002</v>
      </c>
      <c r="T70" s="55">
        <v>183.22821000000002</v>
      </c>
      <c r="U70" s="55">
        <v>238.75489044000003</v>
      </c>
      <c r="V70" s="55">
        <v>223.65575496</v>
      </c>
      <c r="W70" s="55">
        <v>209.02940853169756</v>
      </c>
      <c r="X70" s="55">
        <v>191.13558170950415</v>
      </c>
      <c r="Y70" s="55">
        <v>167.15273174663966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0</v>
      </c>
      <c r="O71" s="55">
        <f t="shared" si="62"/>
        <v>0</v>
      </c>
      <c r="P71" s="55">
        <f t="shared" si="62"/>
        <v>0</v>
      </c>
      <c r="Q71" s="55">
        <f t="shared" si="62"/>
        <v>0</v>
      </c>
      <c r="R71" s="55">
        <f t="shared" si="62"/>
        <v>0</v>
      </c>
      <c r="S71" s="55">
        <f t="shared" si="62"/>
        <v>0</v>
      </c>
      <c r="T71" s="55">
        <f t="shared" si="62"/>
        <v>0</v>
      </c>
      <c r="U71" s="55">
        <f t="shared" si="62"/>
        <v>0</v>
      </c>
      <c r="V71" s="55">
        <f t="shared" si="62"/>
        <v>0</v>
      </c>
      <c r="W71" s="55">
        <f t="shared" si="62"/>
        <v>0</v>
      </c>
      <c r="X71" s="55">
        <f t="shared" ref="X71:Y71" si="63">SUM(X72:X76)</f>
        <v>0</v>
      </c>
      <c r="Y71" s="55">
        <f t="shared" si="63"/>
        <v>0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3357.1379861999999</v>
      </c>
      <c r="C81" s="82">
        <f t="shared" ref="C81:W81" si="65">C82+C87</f>
        <v>3406.2525241200005</v>
      </c>
      <c r="D81" s="82">
        <f t="shared" si="65"/>
        <v>3369.9590056799993</v>
      </c>
      <c r="E81" s="82">
        <f t="shared" si="65"/>
        <v>3512.4602356800015</v>
      </c>
      <c r="F81" s="82">
        <f t="shared" si="65"/>
        <v>2690.2597075200001</v>
      </c>
      <c r="G81" s="82">
        <f t="shared" si="65"/>
        <v>1515.0228850799997</v>
      </c>
      <c r="H81" s="82">
        <f t="shared" si="65"/>
        <v>1459.9620586799999</v>
      </c>
      <c r="I81" s="82">
        <f t="shared" si="65"/>
        <v>1501.3992258000003</v>
      </c>
      <c r="J81" s="82">
        <f t="shared" si="65"/>
        <v>1339.1486391599997</v>
      </c>
      <c r="K81" s="82">
        <f t="shared" si="65"/>
        <v>1143.0836564399999</v>
      </c>
      <c r="L81" s="82">
        <f t="shared" si="65"/>
        <v>1380.0584584799999</v>
      </c>
      <c r="M81" s="82">
        <f t="shared" si="65"/>
        <v>1275.6788089199995</v>
      </c>
      <c r="N81" s="82">
        <f t="shared" si="65"/>
        <v>1173.4774696799996</v>
      </c>
      <c r="O81" s="82">
        <f t="shared" si="65"/>
        <v>1050.2111570399995</v>
      </c>
      <c r="P81" s="82">
        <f t="shared" si="65"/>
        <v>1006.6840516799998</v>
      </c>
      <c r="Q81" s="82">
        <f t="shared" si="65"/>
        <v>955.55723759999989</v>
      </c>
      <c r="R81" s="82">
        <f t="shared" si="65"/>
        <v>929.28082536000068</v>
      </c>
      <c r="S81" s="82">
        <f t="shared" si="65"/>
        <v>828.9479262996</v>
      </c>
      <c r="T81" s="82">
        <f t="shared" si="65"/>
        <v>873.93664799999999</v>
      </c>
      <c r="U81" s="82">
        <f t="shared" si="65"/>
        <v>905.98398048000024</v>
      </c>
      <c r="V81" s="82">
        <f t="shared" si="65"/>
        <v>880.22639736000019</v>
      </c>
      <c r="W81" s="82">
        <f t="shared" si="65"/>
        <v>781.61360253169732</v>
      </c>
      <c r="X81" s="82">
        <f t="shared" ref="X81:Y81" si="66">X82+X87</f>
        <v>690.85854554950345</v>
      </c>
      <c r="Y81" s="82">
        <f t="shared" si="66"/>
        <v>591.76968110663961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3357.1379861999999</v>
      </c>
      <c r="C82" s="64">
        <f t="shared" ref="C82:W82" si="68">SUM(C83:C86)</f>
        <v>3406.2525241200005</v>
      </c>
      <c r="D82" s="64">
        <f t="shared" si="68"/>
        <v>3369.9590056799993</v>
      </c>
      <c r="E82" s="64">
        <f t="shared" si="68"/>
        <v>3512.4602356800015</v>
      </c>
      <c r="F82" s="64">
        <f t="shared" si="68"/>
        <v>2690.2597075200001</v>
      </c>
      <c r="G82" s="64">
        <f t="shared" si="68"/>
        <v>1515.0228850799997</v>
      </c>
      <c r="H82" s="64">
        <f t="shared" si="68"/>
        <v>1459.9620586799999</v>
      </c>
      <c r="I82" s="64">
        <f t="shared" si="68"/>
        <v>1501.3992258000003</v>
      </c>
      <c r="J82" s="64">
        <f t="shared" si="68"/>
        <v>1339.1486391599997</v>
      </c>
      <c r="K82" s="64">
        <f t="shared" si="68"/>
        <v>1143.0836564399999</v>
      </c>
      <c r="L82" s="64">
        <f t="shared" si="68"/>
        <v>1380.0584584799999</v>
      </c>
      <c r="M82" s="64">
        <f t="shared" si="68"/>
        <v>1275.6788089199995</v>
      </c>
      <c r="N82" s="64">
        <f t="shared" si="68"/>
        <v>1173.4774696799996</v>
      </c>
      <c r="O82" s="64">
        <f t="shared" si="68"/>
        <v>1050.2111570399995</v>
      </c>
      <c r="P82" s="64">
        <f t="shared" si="68"/>
        <v>1006.6840516799998</v>
      </c>
      <c r="Q82" s="64">
        <f t="shared" si="68"/>
        <v>955.55723759999989</v>
      </c>
      <c r="R82" s="64">
        <f t="shared" si="68"/>
        <v>929.28082536000068</v>
      </c>
      <c r="S82" s="64">
        <f t="shared" si="68"/>
        <v>828.9479262996</v>
      </c>
      <c r="T82" s="64">
        <f t="shared" si="68"/>
        <v>873.93664799999999</v>
      </c>
      <c r="U82" s="64">
        <f t="shared" si="68"/>
        <v>905.98398048000024</v>
      </c>
      <c r="V82" s="64">
        <f t="shared" si="68"/>
        <v>880.22639736000019</v>
      </c>
      <c r="W82" s="64">
        <f t="shared" si="68"/>
        <v>781.61360253169732</v>
      </c>
      <c r="X82" s="64">
        <f t="shared" ref="X82:Y82" si="69">SUM(X83:X86)</f>
        <v>690.85854554950345</v>
      </c>
      <c r="Y82" s="64">
        <f t="shared" si="69"/>
        <v>591.76968110663961</v>
      </c>
      <c r="DA82" s="108" t="s">
        <v>233</v>
      </c>
    </row>
    <row r="83" spans="1:105" ht="12" customHeight="1" x14ac:dyDescent="0.25">
      <c r="A83" s="61" t="s">
        <v>32</v>
      </c>
      <c r="B83" s="65">
        <v>2934.2861871775108</v>
      </c>
      <c r="C83" s="65">
        <v>2952.1535971860089</v>
      </c>
      <c r="D83" s="65">
        <v>2950.2295897925951</v>
      </c>
      <c r="E83" s="65">
        <v>3124.2013011494055</v>
      </c>
      <c r="F83" s="65">
        <v>2340.1327615203504</v>
      </c>
      <c r="G83" s="65">
        <v>1243.8816835193381</v>
      </c>
      <c r="H83" s="65">
        <v>1103.509375143766</v>
      </c>
      <c r="I83" s="65">
        <v>1086.3306364509845</v>
      </c>
      <c r="J83" s="65">
        <v>959.02820700106281</v>
      </c>
      <c r="K83" s="65">
        <v>892.7892771002123</v>
      </c>
      <c r="L83" s="65">
        <v>1050.0749198959718</v>
      </c>
      <c r="M83" s="65">
        <v>961.42737080549614</v>
      </c>
      <c r="N83" s="65">
        <v>994.95986034059842</v>
      </c>
      <c r="O83" s="65">
        <v>861.26222313131859</v>
      </c>
      <c r="P83" s="65">
        <v>836.7395061038244</v>
      </c>
      <c r="Q83" s="65">
        <v>794.4932374177456</v>
      </c>
      <c r="R83" s="65">
        <v>766.7567170376384</v>
      </c>
      <c r="S83" s="65">
        <v>680.29663393042813</v>
      </c>
      <c r="T83" s="65">
        <v>720.70074597823623</v>
      </c>
      <c r="U83" s="65">
        <v>746.69340829404132</v>
      </c>
      <c r="V83" s="65">
        <v>726.30122413257197</v>
      </c>
      <c r="W83" s="65">
        <v>640.74987913419875</v>
      </c>
      <c r="X83" s="65">
        <v>563.79835006533187</v>
      </c>
      <c r="Y83" s="65">
        <v>480.7295201664607</v>
      </c>
      <c r="DA83" s="109" t="s">
        <v>234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DA84" s="109" t="s">
        <v>235</v>
      </c>
    </row>
    <row r="85" spans="1:105" ht="12" customHeight="1" x14ac:dyDescent="0.25">
      <c r="A85" s="61" t="s">
        <v>35</v>
      </c>
      <c r="B85" s="65">
        <v>290.77055375699297</v>
      </c>
      <c r="C85" s="65">
        <v>284.42563070622197</v>
      </c>
      <c r="D85" s="65">
        <v>274.33180316164288</v>
      </c>
      <c r="E85" s="65">
        <v>267.42508659297124</v>
      </c>
      <c r="F85" s="65">
        <v>241.0897626747356</v>
      </c>
      <c r="G85" s="65">
        <v>160.58069420249177</v>
      </c>
      <c r="H85" s="65">
        <v>163.38660459278776</v>
      </c>
      <c r="I85" s="65">
        <v>137.37521003748006</v>
      </c>
      <c r="J85" s="65">
        <v>123.43750167375578</v>
      </c>
      <c r="K85" s="65">
        <v>76.285938712449109</v>
      </c>
      <c r="L85" s="65">
        <v>71.68001263383222</v>
      </c>
      <c r="M85" s="65">
        <v>74.804601168169043</v>
      </c>
      <c r="N85" s="65">
        <v>101.18460642932313</v>
      </c>
      <c r="O85" s="65">
        <v>106.81236489068742</v>
      </c>
      <c r="P85" s="65">
        <v>81.785654322901124</v>
      </c>
      <c r="Q85" s="65">
        <v>112.68246390386153</v>
      </c>
      <c r="R85" s="65">
        <v>111.63805713414001</v>
      </c>
      <c r="S85" s="65">
        <v>106.28134898974227</v>
      </c>
      <c r="T85" s="65">
        <v>108.29013552092054</v>
      </c>
      <c r="U85" s="65">
        <v>108.77268456257826</v>
      </c>
      <c r="V85" s="65">
        <v>105.28433374457636</v>
      </c>
      <c r="W85" s="65">
        <v>91.527533525678976</v>
      </c>
      <c r="X85" s="65">
        <v>78.28647391532688</v>
      </c>
      <c r="Y85" s="65">
        <v>62.333130725512731</v>
      </c>
      <c r="DA85" s="109" t="s">
        <v>236</v>
      </c>
    </row>
    <row r="86" spans="1:105" ht="12" customHeight="1" x14ac:dyDescent="0.25">
      <c r="A86" s="66" t="s">
        <v>34</v>
      </c>
      <c r="B86" s="67">
        <v>132.08124526549605</v>
      </c>
      <c r="C86" s="67">
        <v>169.6732962277697</v>
      </c>
      <c r="D86" s="67">
        <v>145.3976127257616</v>
      </c>
      <c r="E86" s="67">
        <v>120.83384793762499</v>
      </c>
      <c r="F86" s="67">
        <v>109.0371833249142</v>
      </c>
      <c r="G86" s="67">
        <v>110.56050735816986</v>
      </c>
      <c r="H86" s="67">
        <v>193.06607894344626</v>
      </c>
      <c r="I86" s="67">
        <v>277.69337931153586</v>
      </c>
      <c r="J86" s="67">
        <v>256.68293048518092</v>
      </c>
      <c r="K86" s="67">
        <v>174.00844062733842</v>
      </c>
      <c r="L86" s="67">
        <v>258.30352595019593</v>
      </c>
      <c r="M86" s="67">
        <v>239.44683694633432</v>
      </c>
      <c r="N86" s="67">
        <v>77.333002910078108</v>
      </c>
      <c r="O86" s="67">
        <v>82.136569017993622</v>
      </c>
      <c r="P86" s="67">
        <v>88.158891253274305</v>
      </c>
      <c r="Q86" s="67">
        <v>48.381536278392772</v>
      </c>
      <c r="R86" s="67">
        <v>50.886051188222282</v>
      </c>
      <c r="S86" s="67">
        <v>42.369943379429657</v>
      </c>
      <c r="T86" s="67">
        <v>44.945766500843256</v>
      </c>
      <c r="U86" s="67">
        <v>50.517887623380688</v>
      </c>
      <c r="V86" s="67">
        <v>48.640839482851931</v>
      </c>
      <c r="W86" s="67">
        <v>49.336189871819563</v>
      </c>
      <c r="X86" s="67">
        <v>48.773721568844721</v>
      </c>
      <c r="Y86" s="67">
        <v>48.707030214666155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0.87404396221999736</v>
      </c>
      <c r="C91" s="71">
        <f t="shared" ref="C91:W91" si="77">IF(C83=0,0,C83/C$81)</f>
        <v>0.86668665234932718</v>
      </c>
      <c r="D91" s="71">
        <f t="shared" si="77"/>
        <v>0.87544969681234741</v>
      </c>
      <c r="E91" s="71">
        <f t="shared" si="77"/>
        <v>0.88946239715780573</v>
      </c>
      <c r="F91" s="71">
        <f t="shared" si="77"/>
        <v>0.86985384904626473</v>
      </c>
      <c r="G91" s="71">
        <f t="shared" si="77"/>
        <v>0.82103161329715213</v>
      </c>
      <c r="H91" s="71">
        <f t="shared" si="77"/>
        <v>0.75584798151637267</v>
      </c>
      <c r="I91" s="71">
        <f t="shared" si="77"/>
        <v>0.72354548862388535</v>
      </c>
      <c r="J91" s="71">
        <f t="shared" si="77"/>
        <v>0.7161476918668469</v>
      </c>
      <c r="K91" s="71">
        <f t="shared" si="77"/>
        <v>0.78103581664416399</v>
      </c>
      <c r="L91" s="71">
        <f t="shared" si="77"/>
        <v>0.76089162270164057</v>
      </c>
      <c r="M91" s="71">
        <f t="shared" si="77"/>
        <v>0.75365943533972213</v>
      </c>
      <c r="N91" s="71">
        <f t="shared" si="77"/>
        <v>0.84787299803201011</v>
      </c>
      <c r="O91" s="71">
        <f t="shared" si="77"/>
        <v>0.82008481566580382</v>
      </c>
      <c r="P91" s="71">
        <f t="shared" si="77"/>
        <v>0.831183830425679</v>
      </c>
      <c r="Q91" s="71">
        <f t="shared" si="77"/>
        <v>0.8314449476759902</v>
      </c>
      <c r="R91" s="71">
        <f t="shared" si="77"/>
        <v>0.82510764896133426</v>
      </c>
      <c r="S91" s="71">
        <f t="shared" si="77"/>
        <v>0.82067475211290164</v>
      </c>
      <c r="T91" s="71">
        <f t="shared" si="77"/>
        <v>0.82466017145242343</v>
      </c>
      <c r="U91" s="71">
        <f t="shared" si="77"/>
        <v>0.82417948262002927</v>
      </c>
      <c r="V91" s="71">
        <f t="shared" si="77"/>
        <v>0.82513001917565199</v>
      </c>
      <c r="W91" s="71">
        <f t="shared" si="77"/>
        <v>0.81977831125094058</v>
      </c>
      <c r="X91" s="71">
        <f t="shared" ref="X91:Y91" si="78">IF(X83=0,0,X83/X$81)</f>
        <v>0.81608363057431832</v>
      </c>
      <c r="Y91" s="71">
        <f t="shared" si="78"/>
        <v>0.81235915849468987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0</v>
      </c>
      <c r="C92" s="72">
        <f t="shared" ref="C92:W92" si="80">IF(C84=0,0,C84/C$81)</f>
        <v>0</v>
      </c>
      <c r="D92" s="72">
        <f t="shared" si="80"/>
        <v>0</v>
      </c>
      <c r="E92" s="72">
        <f t="shared" si="80"/>
        <v>0</v>
      </c>
      <c r="F92" s="72">
        <f t="shared" si="80"/>
        <v>0</v>
      </c>
      <c r="G92" s="72">
        <f t="shared" si="80"/>
        <v>0</v>
      </c>
      <c r="H92" s="72">
        <f t="shared" si="80"/>
        <v>0</v>
      </c>
      <c r="I92" s="72">
        <f t="shared" si="80"/>
        <v>0</v>
      </c>
      <c r="J92" s="72">
        <f t="shared" si="80"/>
        <v>0</v>
      </c>
      <c r="K92" s="72">
        <f t="shared" si="80"/>
        <v>0</v>
      </c>
      <c r="L92" s="72">
        <f t="shared" si="80"/>
        <v>0</v>
      </c>
      <c r="M92" s="72">
        <f t="shared" si="80"/>
        <v>0</v>
      </c>
      <c r="N92" s="72">
        <f t="shared" si="80"/>
        <v>0</v>
      </c>
      <c r="O92" s="72">
        <f t="shared" si="80"/>
        <v>0</v>
      </c>
      <c r="P92" s="72">
        <f t="shared" si="80"/>
        <v>0</v>
      </c>
      <c r="Q92" s="72">
        <f t="shared" si="80"/>
        <v>0</v>
      </c>
      <c r="R92" s="72">
        <f t="shared" si="80"/>
        <v>0</v>
      </c>
      <c r="S92" s="72">
        <f t="shared" si="80"/>
        <v>0</v>
      </c>
      <c r="T92" s="72">
        <f t="shared" si="80"/>
        <v>0</v>
      </c>
      <c r="U92" s="72">
        <f t="shared" si="80"/>
        <v>0</v>
      </c>
      <c r="V92" s="72">
        <f t="shared" si="80"/>
        <v>0</v>
      </c>
      <c r="W92" s="72">
        <f t="shared" si="80"/>
        <v>0</v>
      </c>
      <c r="X92" s="72">
        <f t="shared" ref="X92:Y92" si="81">IF(X84=0,0,X84/X$81)</f>
        <v>0</v>
      </c>
      <c r="Y92" s="72">
        <f t="shared" si="81"/>
        <v>0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8.6612631042348356E-2</v>
      </c>
      <c r="C93" s="72">
        <f t="shared" ref="C93:W93" si="83">IF(C85=0,0,C85/C$81)</f>
        <v>8.350104071620551E-2</v>
      </c>
      <c r="D93" s="72">
        <f t="shared" si="83"/>
        <v>8.1405086144745994E-2</v>
      </c>
      <c r="E93" s="72">
        <f t="shared" si="83"/>
        <v>7.6136117891509328E-2</v>
      </c>
      <c r="F93" s="72">
        <f t="shared" si="83"/>
        <v>8.9615795085071087E-2</v>
      </c>
      <c r="G93" s="72">
        <f t="shared" si="83"/>
        <v>0.10599225647605476</v>
      </c>
      <c r="H93" s="72">
        <f t="shared" si="83"/>
        <v>0.11191154155095716</v>
      </c>
      <c r="I93" s="72">
        <f t="shared" si="83"/>
        <v>9.1498122336037255E-2</v>
      </c>
      <c r="J93" s="72">
        <f t="shared" si="83"/>
        <v>9.2176102087654532E-2</v>
      </c>
      <c r="K93" s="72">
        <f t="shared" si="83"/>
        <v>6.6736969147151243E-2</v>
      </c>
      <c r="L93" s="72">
        <f t="shared" si="83"/>
        <v>5.1939837905693342E-2</v>
      </c>
      <c r="M93" s="72">
        <f t="shared" si="83"/>
        <v>5.8639056042248797E-2</v>
      </c>
      <c r="N93" s="72">
        <f t="shared" si="83"/>
        <v>8.6226288142469049E-2</v>
      </c>
      <c r="O93" s="72">
        <f t="shared" si="83"/>
        <v>0.10170560860516477</v>
      </c>
      <c r="P93" s="72">
        <f t="shared" si="83"/>
        <v>8.124262442264138E-2</v>
      </c>
      <c r="Q93" s="72">
        <f t="shared" si="83"/>
        <v>0.11792330115868042</v>
      </c>
      <c r="R93" s="72">
        <f t="shared" si="83"/>
        <v>0.12013382186261269</v>
      </c>
      <c r="S93" s="72">
        <f t="shared" si="83"/>
        <v>0.12821233471706625</v>
      </c>
      <c r="T93" s="72">
        <f t="shared" si="83"/>
        <v>0.12391073857440585</v>
      </c>
      <c r="U93" s="72">
        <f t="shared" si="83"/>
        <v>0.12006027358778386</v>
      </c>
      <c r="V93" s="72">
        <f t="shared" si="83"/>
        <v>0.11961051618123257</v>
      </c>
      <c r="W93" s="72">
        <f t="shared" si="83"/>
        <v>0.11710074291083898</v>
      </c>
      <c r="X93" s="72">
        <f t="shared" ref="X93:Y93" si="84">IF(X85=0,0,X85/X$81)</f>
        <v>0.11331766020648762</v>
      </c>
      <c r="Y93" s="72">
        <f t="shared" si="84"/>
        <v>0.10533343075121149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3.9343406737654234E-2</v>
      </c>
      <c r="C94" s="73">
        <f t="shared" ref="C94:W94" si="86">IF(C86=0,0,C86/C$81)</f>
        <v>4.9812306934467372E-2</v>
      </c>
      <c r="D94" s="73">
        <f t="shared" si="86"/>
        <v>4.3145217042906692E-2</v>
      </c>
      <c r="E94" s="73">
        <f t="shared" si="86"/>
        <v>3.4401484950684985E-2</v>
      </c>
      <c r="F94" s="73">
        <f t="shared" si="86"/>
        <v>4.0530355868664249E-2</v>
      </c>
      <c r="G94" s="73">
        <f t="shared" si="86"/>
        <v>7.2976130226793098E-2</v>
      </c>
      <c r="H94" s="73">
        <f t="shared" si="86"/>
        <v>0.13224047693267021</v>
      </c>
      <c r="I94" s="73">
        <f t="shared" si="86"/>
        <v>0.18495638904007738</v>
      </c>
      <c r="J94" s="73">
        <f t="shared" si="86"/>
        <v>0.19167620604549843</v>
      </c>
      <c r="K94" s="73">
        <f t="shared" si="86"/>
        <v>0.15222721420868471</v>
      </c>
      <c r="L94" s="73">
        <f t="shared" si="86"/>
        <v>0.18716853939266612</v>
      </c>
      <c r="M94" s="73">
        <f t="shared" si="86"/>
        <v>0.18770150861802906</v>
      </c>
      <c r="N94" s="73">
        <f t="shared" si="86"/>
        <v>6.5900713825520971E-2</v>
      </c>
      <c r="O94" s="73">
        <f t="shared" si="86"/>
        <v>7.8209575729031491E-2</v>
      </c>
      <c r="P94" s="73">
        <f t="shared" si="86"/>
        <v>8.7573545151679685E-2</v>
      </c>
      <c r="Q94" s="73">
        <f t="shared" si="86"/>
        <v>5.063175116532944E-2</v>
      </c>
      <c r="R94" s="73">
        <f t="shared" si="86"/>
        <v>5.4758529176053075E-2</v>
      </c>
      <c r="S94" s="73">
        <f t="shared" si="86"/>
        <v>5.1112913170032137E-2</v>
      </c>
      <c r="T94" s="73">
        <f t="shared" si="86"/>
        <v>5.142908997317075E-2</v>
      </c>
      <c r="U94" s="73">
        <f t="shared" si="86"/>
        <v>5.5760243792186873E-2</v>
      </c>
      <c r="V94" s="73">
        <f t="shared" si="86"/>
        <v>5.5259464643115576E-2</v>
      </c>
      <c r="W94" s="73">
        <f t="shared" si="86"/>
        <v>6.3120945838220366E-2</v>
      </c>
      <c r="X94" s="73">
        <f t="shared" ref="X94:Y94" si="87">IF(X86=0,0,X86/X$81)</f>
        <v>7.0598709219194047E-2</v>
      </c>
      <c r="Y94" s="73">
        <f t="shared" si="87"/>
        <v>8.2307410754098642E-2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315130.89958875196</v>
      </c>
      <c r="C99" s="82">
        <f t="shared" ref="C99:W99" si="92">C47*11630*1000/C$8</f>
        <v>338280.75231518579</v>
      </c>
      <c r="D99" s="82">
        <f t="shared" si="92"/>
        <v>333974.31248575647</v>
      </c>
      <c r="E99" s="82">
        <f t="shared" si="92"/>
        <v>331404.50297323277</v>
      </c>
      <c r="F99" s="82">
        <f t="shared" si="92"/>
        <v>311190.44355503144</v>
      </c>
      <c r="G99" s="82">
        <f t="shared" si="92"/>
        <v>277399.28286594513</v>
      </c>
      <c r="H99" s="82">
        <f t="shared" si="92"/>
        <v>276051.79859074106</v>
      </c>
      <c r="I99" s="82">
        <f t="shared" si="92"/>
        <v>277100.75304881064</v>
      </c>
      <c r="J99" s="82">
        <f t="shared" si="92"/>
        <v>271385.96286983107</v>
      </c>
      <c r="K99" s="82">
        <f t="shared" si="92"/>
        <v>260295.95339359983</v>
      </c>
      <c r="L99" s="82">
        <f t="shared" si="92"/>
        <v>276107.47907208913</v>
      </c>
      <c r="M99" s="82">
        <f t="shared" si="92"/>
        <v>243979.78606657143</v>
      </c>
      <c r="N99" s="82">
        <f t="shared" si="92"/>
        <v>253479.28073412861</v>
      </c>
      <c r="O99" s="82">
        <f t="shared" si="92"/>
        <v>244509.68748137087</v>
      </c>
      <c r="P99" s="82">
        <f t="shared" si="92"/>
        <v>242016.31766699857</v>
      </c>
      <c r="Q99" s="82">
        <f t="shared" si="92"/>
        <v>242462.85450994154</v>
      </c>
      <c r="R99" s="82">
        <f t="shared" si="92"/>
        <v>251061.82842970698</v>
      </c>
      <c r="S99" s="82">
        <f t="shared" si="92"/>
        <v>234997.28213937426</v>
      </c>
      <c r="T99" s="82">
        <f t="shared" si="92"/>
        <v>238922.92677358678</v>
      </c>
      <c r="U99" s="82">
        <f t="shared" si="92"/>
        <v>231597.16648149173</v>
      </c>
      <c r="V99" s="82">
        <f t="shared" si="92"/>
        <v>227895.18696012854</v>
      </c>
      <c r="W99" s="82">
        <f t="shared" si="92"/>
        <v>239852.92989187891</v>
      </c>
      <c r="X99" s="82">
        <f t="shared" ref="X99:Y99" si="93">X47*11630*1000/X$8</f>
        <v>235461.85255856687</v>
      </c>
      <c r="Y99" s="82">
        <f t="shared" si="93"/>
        <v>231321.90285168437</v>
      </c>
      <c r="DA99" s="107"/>
    </row>
    <row r="100" spans="1:105" ht="12" customHeight="1" x14ac:dyDescent="0.25">
      <c r="A100" s="77" t="s">
        <v>36</v>
      </c>
      <c r="B100" s="64">
        <f t="shared" si="91"/>
        <v>259293.83124241783</v>
      </c>
      <c r="C100" s="64">
        <f t="shared" ref="C100:W100" si="94">C48*11630*1000/C$8</f>
        <v>281575.80226360844</v>
      </c>
      <c r="D100" s="64">
        <f t="shared" si="94"/>
        <v>276275.03599534516</v>
      </c>
      <c r="E100" s="64">
        <f t="shared" si="94"/>
        <v>272933.56730376417</v>
      </c>
      <c r="F100" s="64">
        <f t="shared" si="94"/>
        <v>252153.98458056815</v>
      </c>
      <c r="G100" s="64">
        <f t="shared" si="94"/>
        <v>218014.02862428728</v>
      </c>
      <c r="H100" s="64">
        <f t="shared" si="94"/>
        <v>216763.65629461763</v>
      </c>
      <c r="I100" s="64">
        <f t="shared" si="94"/>
        <v>217894.95486081802</v>
      </c>
      <c r="J100" s="64">
        <f t="shared" si="94"/>
        <v>211921.1900025894</v>
      </c>
      <c r="K100" s="64">
        <f t="shared" si="94"/>
        <v>200722.19647233092</v>
      </c>
      <c r="L100" s="64">
        <f t="shared" si="94"/>
        <v>216469.33207635829</v>
      </c>
      <c r="M100" s="64">
        <f t="shared" si="94"/>
        <v>184702.75913401134</v>
      </c>
      <c r="N100" s="64">
        <f t="shared" si="94"/>
        <v>193978.79278238286</v>
      </c>
      <c r="O100" s="64">
        <f t="shared" si="94"/>
        <v>184821.57708882101</v>
      </c>
      <c r="P100" s="64">
        <f t="shared" si="94"/>
        <v>182073.07856782788</v>
      </c>
      <c r="Q100" s="64">
        <f t="shared" si="94"/>
        <v>182299.2507398522</v>
      </c>
      <c r="R100" s="64">
        <f t="shared" si="94"/>
        <v>190934.98642280363</v>
      </c>
      <c r="S100" s="64">
        <f t="shared" si="94"/>
        <v>175555.77647214758</v>
      </c>
      <c r="T100" s="64">
        <f t="shared" si="94"/>
        <v>180169.11948172623</v>
      </c>
      <c r="U100" s="64">
        <f t="shared" si="94"/>
        <v>172926.27193420852</v>
      </c>
      <c r="V100" s="64">
        <f t="shared" si="94"/>
        <v>167762.44028004387</v>
      </c>
      <c r="W100" s="64">
        <f t="shared" si="94"/>
        <v>179440.23006068819</v>
      </c>
      <c r="X100" s="64">
        <f t="shared" ref="X100:Y100" si="95">X48*11630*1000/X$8</f>
        <v>176757.59821186296</v>
      </c>
      <c r="Y100" s="64">
        <f t="shared" si="95"/>
        <v>172476.43440066857</v>
      </c>
      <c r="DA100" s="108"/>
    </row>
    <row r="101" spans="1:105" ht="12" customHeight="1" x14ac:dyDescent="0.25">
      <c r="A101" s="61" t="s">
        <v>32</v>
      </c>
      <c r="B101" s="65">
        <f t="shared" si="91"/>
        <v>209417.99095901422</v>
      </c>
      <c r="C101" s="65">
        <f t="shared" ref="C101:W101" si="96">C49*11630*1000/C$8</f>
        <v>231302.31319224089</v>
      </c>
      <c r="D101" s="65">
        <f t="shared" si="96"/>
        <v>226297.95873735507</v>
      </c>
      <c r="E101" s="65">
        <f t="shared" si="96"/>
        <v>223015.93779820474</v>
      </c>
      <c r="F101" s="65">
        <f t="shared" si="96"/>
        <v>202448.55689798179</v>
      </c>
      <c r="G101" s="65">
        <f t="shared" si="96"/>
        <v>168505.46399993848</v>
      </c>
      <c r="H101" s="65">
        <f t="shared" si="96"/>
        <v>167079.05873207221</v>
      </c>
      <c r="I101" s="65">
        <f t="shared" si="96"/>
        <v>167727.73964069624</v>
      </c>
      <c r="J101" s="65">
        <f t="shared" si="96"/>
        <v>161646.79255354902</v>
      </c>
      <c r="K101" s="65">
        <f t="shared" si="96"/>
        <v>150232.16906558207</v>
      </c>
      <c r="L101" s="65">
        <f t="shared" si="96"/>
        <v>165677.77928914671</v>
      </c>
      <c r="M101" s="65">
        <f t="shared" si="96"/>
        <v>133572.07799926173</v>
      </c>
      <c r="N101" s="65">
        <f t="shared" si="96"/>
        <v>143703.5975910539</v>
      </c>
      <c r="O101" s="65">
        <f t="shared" si="96"/>
        <v>134298.21447588719</v>
      </c>
      <c r="P101" s="65">
        <f t="shared" si="96"/>
        <v>131703.64604349798</v>
      </c>
      <c r="Q101" s="65">
        <f t="shared" si="96"/>
        <v>132485.52939212334</v>
      </c>
      <c r="R101" s="65">
        <f t="shared" si="96"/>
        <v>141478.86365800959</v>
      </c>
      <c r="S101" s="65">
        <f t="shared" si="96"/>
        <v>125547.1910310337</v>
      </c>
      <c r="T101" s="65">
        <f t="shared" si="96"/>
        <v>130583.6872867893</v>
      </c>
      <c r="U101" s="65">
        <f t="shared" si="96"/>
        <v>122782.4136776114</v>
      </c>
      <c r="V101" s="65">
        <f t="shared" si="96"/>
        <v>117091.23964254269</v>
      </c>
      <c r="W101" s="65">
        <f t="shared" si="96"/>
        <v>129526.76409039198</v>
      </c>
      <c r="X101" s="65">
        <f t="shared" ref="X101:Y101" si="97">X49*11630*1000/X$8</f>
        <v>129023.48170483897</v>
      </c>
      <c r="Y101" s="65">
        <f t="shared" si="97"/>
        <v>126090.21756374277</v>
      </c>
      <c r="DA101" s="109"/>
    </row>
    <row r="102" spans="1:105" ht="12" customHeight="1" x14ac:dyDescent="0.25">
      <c r="A102" s="61" t="s">
        <v>31</v>
      </c>
      <c r="B102" s="65">
        <f t="shared" si="91"/>
        <v>3120.2741959592599</v>
      </c>
      <c r="C102" s="65">
        <f t="shared" ref="C102:W102" si="98">C50*11630*1000/C$8</f>
        <v>3047.4695207115806</v>
      </c>
      <c r="D102" s="65">
        <f t="shared" si="98"/>
        <v>2981.7603873177964</v>
      </c>
      <c r="E102" s="65">
        <f t="shared" si="98"/>
        <v>2887.1769172369341</v>
      </c>
      <c r="F102" s="65">
        <f t="shared" si="98"/>
        <v>2808.3086690122809</v>
      </c>
      <c r="G102" s="65">
        <f t="shared" si="98"/>
        <v>2710.949638477091</v>
      </c>
      <c r="H102" s="65">
        <f t="shared" si="98"/>
        <v>2598.4354857812018</v>
      </c>
      <c r="I102" s="65">
        <f t="shared" si="98"/>
        <v>2496.3669185877661</v>
      </c>
      <c r="J102" s="65">
        <f t="shared" si="98"/>
        <v>2397.9404878811079</v>
      </c>
      <c r="K102" s="65">
        <f t="shared" si="98"/>
        <v>2400.191843878235</v>
      </c>
      <c r="L102" s="65">
        <f t="shared" si="98"/>
        <v>2426.0715757564594</v>
      </c>
      <c r="M102" s="65">
        <f t="shared" si="98"/>
        <v>2334.8670232542177</v>
      </c>
      <c r="N102" s="65">
        <f t="shared" si="98"/>
        <v>2282.8536251054547</v>
      </c>
      <c r="O102" s="65">
        <f t="shared" si="98"/>
        <v>2229.4073217798045</v>
      </c>
      <c r="P102" s="65">
        <f t="shared" si="98"/>
        <v>2188.8208549988808</v>
      </c>
      <c r="Q102" s="65">
        <f t="shared" si="98"/>
        <v>2088.5822430128769</v>
      </c>
      <c r="R102" s="65">
        <f t="shared" si="98"/>
        <v>2043.4478869054817</v>
      </c>
      <c r="S102" s="65">
        <f t="shared" si="98"/>
        <v>2002.4061060988574</v>
      </c>
      <c r="T102" s="65">
        <f t="shared" si="98"/>
        <v>1966.0636547942681</v>
      </c>
      <c r="U102" s="65">
        <f t="shared" si="98"/>
        <v>1914.3262399154437</v>
      </c>
      <c r="V102" s="65">
        <f t="shared" si="98"/>
        <v>1838.423749999552</v>
      </c>
      <c r="W102" s="65">
        <f t="shared" si="98"/>
        <v>1837.9268648701147</v>
      </c>
      <c r="X102" s="65">
        <f t="shared" ref="X102:Y102" si="99">X50*11630*1000/X$8</f>
        <v>1769.3289448616142</v>
      </c>
      <c r="Y102" s="65">
        <f t="shared" si="99"/>
        <v>1746.3129797797585</v>
      </c>
      <c r="DA102" s="109"/>
    </row>
    <row r="103" spans="1:105" ht="12" customHeight="1" x14ac:dyDescent="0.25">
      <c r="A103" s="61" t="s">
        <v>35</v>
      </c>
      <c r="B103" s="65">
        <f t="shared" si="91"/>
        <v>26720.321920731505</v>
      </c>
      <c r="C103" s="65">
        <f t="shared" ref="C103:W103" si="100">C51*11630*1000/C$8</f>
        <v>26484.11141969122</v>
      </c>
      <c r="D103" s="65">
        <f t="shared" si="100"/>
        <v>26277.121472082261</v>
      </c>
      <c r="E103" s="65">
        <f t="shared" si="100"/>
        <v>26211.572486146131</v>
      </c>
      <c r="F103" s="65">
        <f t="shared" si="100"/>
        <v>25800.865945518894</v>
      </c>
      <c r="G103" s="65">
        <f t="shared" si="100"/>
        <v>25375.998316368237</v>
      </c>
      <c r="H103" s="65">
        <f t="shared" si="100"/>
        <v>25065.233315629928</v>
      </c>
      <c r="I103" s="65">
        <f t="shared" si="100"/>
        <v>25075.989455805102</v>
      </c>
      <c r="J103" s="65">
        <f t="shared" si="100"/>
        <v>25107.823712886344</v>
      </c>
      <c r="K103" s="65">
        <f t="shared" si="100"/>
        <v>25098.091120922429</v>
      </c>
      <c r="L103" s="65">
        <f t="shared" si="100"/>
        <v>24905.691407058002</v>
      </c>
      <c r="M103" s="65">
        <f t="shared" si="100"/>
        <v>24919.945231181082</v>
      </c>
      <c r="N103" s="65">
        <f t="shared" si="100"/>
        <v>24727.315473083392</v>
      </c>
      <c r="O103" s="65">
        <f t="shared" si="100"/>
        <v>24764.614439057281</v>
      </c>
      <c r="P103" s="65">
        <f t="shared" si="100"/>
        <v>24672.466073102823</v>
      </c>
      <c r="Q103" s="65">
        <f t="shared" si="100"/>
        <v>24541.077572842631</v>
      </c>
      <c r="R103" s="65">
        <f t="shared" si="100"/>
        <v>24015.62638755596</v>
      </c>
      <c r="S103" s="65">
        <f t="shared" si="100"/>
        <v>23974.922122752545</v>
      </c>
      <c r="T103" s="65">
        <f t="shared" si="100"/>
        <v>23651.237676073131</v>
      </c>
      <c r="U103" s="65">
        <f t="shared" si="100"/>
        <v>23528.350321647715</v>
      </c>
      <c r="V103" s="65">
        <f t="shared" si="100"/>
        <v>23757.632831481256</v>
      </c>
      <c r="W103" s="65">
        <f t="shared" si="100"/>
        <v>23152.072398803179</v>
      </c>
      <c r="X103" s="65">
        <f t="shared" ref="X103:Y103" si="101">X51*11630*1000/X$8</f>
        <v>22318.663558801902</v>
      </c>
      <c r="Y103" s="65">
        <f t="shared" si="101"/>
        <v>21814.582256549424</v>
      </c>
      <c r="DA103" s="109"/>
    </row>
    <row r="104" spans="1:105" ht="12" customHeight="1" x14ac:dyDescent="0.25">
      <c r="A104" s="66" t="s">
        <v>34</v>
      </c>
      <c r="B104" s="67">
        <f t="shared" si="91"/>
        <v>20035.244166712848</v>
      </c>
      <c r="C104" s="67">
        <f t="shared" ref="C104:W104" si="102">C52*11630*1000/C$8</f>
        <v>20741.908130964708</v>
      </c>
      <c r="D104" s="67">
        <f t="shared" si="102"/>
        <v>20718.195398590029</v>
      </c>
      <c r="E104" s="67">
        <f t="shared" si="102"/>
        <v>20818.880102176343</v>
      </c>
      <c r="F104" s="67">
        <f t="shared" si="102"/>
        <v>21096.25306805515</v>
      </c>
      <c r="G104" s="67">
        <f t="shared" si="102"/>
        <v>21421.616669503477</v>
      </c>
      <c r="H104" s="67">
        <f t="shared" si="102"/>
        <v>22020.928761134302</v>
      </c>
      <c r="I104" s="67">
        <f t="shared" si="102"/>
        <v>22594.858845728908</v>
      </c>
      <c r="J104" s="67">
        <f t="shared" si="102"/>
        <v>22768.633248272952</v>
      </c>
      <c r="K104" s="67">
        <f t="shared" si="102"/>
        <v>22991.744441948205</v>
      </c>
      <c r="L104" s="67">
        <f t="shared" si="102"/>
        <v>23459.789804397096</v>
      </c>
      <c r="M104" s="67">
        <f t="shared" si="102"/>
        <v>23875.868880314341</v>
      </c>
      <c r="N104" s="67">
        <f t="shared" si="102"/>
        <v>23265.026093140077</v>
      </c>
      <c r="O104" s="67">
        <f t="shared" si="102"/>
        <v>23529.340852096779</v>
      </c>
      <c r="P104" s="67">
        <f t="shared" si="102"/>
        <v>23508.145596228205</v>
      </c>
      <c r="Q104" s="67">
        <f t="shared" si="102"/>
        <v>23184.0615318733</v>
      </c>
      <c r="R104" s="67">
        <f t="shared" si="102"/>
        <v>23397.048490332603</v>
      </c>
      <c r="S104" s="67">
        <f t="shared" si="102"/>
        <v>24031.257212262524</v>
      </c>
      <c r="T104" s="67">
        <f t="shared" si="102"/>
        <v>23968.130864069564</v>
      </c>
      <c r="U104" s="67">
        <f t="shared" si="102"/>
        <v>24701.181695033938</v>
      </c>
      <c r="V104" s="67">
        <f t="shared" si="102"/>
        <v>25075.14405602041</v>
      </c>
      <c r="W104" s="67">
        <f t="shared" si="102"/>
        <v>24923.466706622945</v>
      </c>
      <c r="X104" s="67">
        <f t="shared" ref="X104:Y104" si="103">X52*11630*1000/X$8</f>
        <v>23646.124003360499</v>
      </c>
      <c r="Y104" s="67">
        <f t="shared" si="103"/>
        <v>22825.321600596653</v>
      </c>
      <c r="DA104" s="110"/>
    </row>
    <row r="105" spans="1:105" ht="12" customHeight="1" x14ac:dyDescent="0.25">
      <c r="A105" s="78" t="s">
        <v>33</v>
      </c>
      <c r="B105" s="68">
        <f t="shared" si="91"/>
        <v>55837.068346334097</v>
      </c>
      <c r="C105" s="68">
        <f t="shared" ref="C105:W105" si="104">C53*11630*1000/C$8</f>
        <v>56704.950051577369</v>
      </c>
      <c r="D105" s="68">
        <f t="shared" si="104"/>
        <v>57699.276490411365</v>
      </c>
      <c r="E105" s="68">
        <f t="shared" si="104"/>
        <v>58470.935669468658</v>
      </c>
      <c r="F105" s="68">
        <f t="shared" si="104"/>
        <v>59036.458974463319</v>
      </c>
      <c r="G105" s="68">
        <f t="shared" si="104"/>
        <v>59385.254241657814</v>
      </c>
      <c r="H105" s="68">
        <f t="shared" si="104"/>
        <v>59288.142296123449</v>
      </c>
      <c r="I105" s="68">
        <f t="shared" si="104"/>
        <v>59205.798187992645</v>
      </c>
      <c r="J105" s="68">
        <f t="shared" si="104"/>
        <v>59464.772867241627</v>
      </c>
      <c r="K105" s="68">
        <f t="shared" si="104"/>
        <v>59573.756921268898</v>
      </c>
      <c r="L105" s="68">
        <f t="shared" si="104"/>
        <v>59638.146995730851</v>
      </c>
      <c r="M105" s="68">
        <f t="shared" si="104"/>
        <v>59277.026932560082</v>
      </c>
      <c r="N105" s="68">
        <f t="shared" si="104"/>
        <v>59500.487951745759</v>
      </c>
      <c r="O105" s="68">
        <f t="shared" si="104"/>
        <v>59688.110392549825</v>
      </c>
      <c r="P105" s="68">
        <f t="shared" si="104"/>
        <v>59943.239099170671</v>
      </c>
      <c r="Q105" s="68">
        <f t="shared" si="104"/>
        <v>60163.603770089343</v>
      </c>
      <c r="R105" s="68">
        <f t="shared" si="104"/>
        <v>60126.842006903404</v>
      </c>
      <c r="S105" s="68">
        <f t="shared" si="104"/>
        <v>59441.505667226622</v>
      </c>
      <c r="T105" s="68">
        <f t="shared" si="104"/>
        <v>58753.807291860532</v>
      </c>
      <c r="U105" s="68">
        <f t="shared" si="104"/>
        <v>58670.894547283242</v>
      </c>
      <c r="V105" s="68">
        <f t="shared" si="104"/>
        <v>60132.746680084667</v>
      </c>
      <c r="W105" s="68">
        <f t="shared" si="104"/>
        <v>60412.699831190752</v>
      </c>
      <c r="X105" s="68">
        <f t="shared" ref="X105:Y105" si="105">X53*11630*1000/X$8</f>
        <v>58704.254346703892</v>
      </c>
      <c r="Y105" s="68">
        <f t="shared" si="105"/>
        <v>58845.468451015739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171528.30780502551</v>
      </c>
      <c r="C107" s="85">
        <f t="shared" ref="C107:W107" si="107">SUM(C108:C111)</f>
        <v>188000.38837533037</v>
      </c>
      <c r="D107" s="85">
        <f t="shared" si="107"/>
        <v>186050.09084494895</v>
      </c>
      <c r="E107" s="85">
        <f t="shared" si="107"/>
        <v>184375.55816238443</v>
      </c>
      <c r="F107" s="85">
        <f t="shared" si="107"/>
        <v>175351.25794417027</v>
      </c>
      <c r="G107" s="85">
        <f t="shared" si="107"/>
        <v>159006.97793294137</v>
      </c>
      <c r="H107" s="85">
        <f t="shared" si="107"/>
        <v>160348.98656636846</v>
      </c>
      <c r="I107" s="85">
        <f t="shared" si="107"/>
        <v>162401.39795947925</v>
      </c>
      <c r="J107" s="85">
        <f t="shared" si="107"/>
        <v>160455.19965080428</v>
      </c>
      <c r="K107" s="85">
        <f t="shared" si="107"/>
        <v>154811.6968906922</v>
      </c>
      <c r="L107" s="85">
        <f t="shared" si="107"/>
        <v>167416.59356732672</v>
      </c>
      <c r="M107" s="85">
        <f t="shared" si="107"/>
        <v>145897.60680181737</v>
      </c>
      <c r="N107" s="85">
        <f t="shared" si="107"/>
        <v>155512.74254992916</v>
      </c>
      <c r="O107" s="85">
        <f t="shared" si="107"/>
        <v>151458.76243425786</v>
      </c>
      <c r="P107" s="85">
        <f t="shared" si="107"/>
        <v>149790.47384918158</v>
      </c>
      <c r="Q107" s="85">
        <f t="shared" si="107"/>
        <v>150787.86949514254</v>
      </c>
      <c r="R107" s="85">
        <f t="shared" si="107"/>
        <v>159595.03697047275</v>
      </c>
      <c r="S107" s="85">
        <f t="shared" si="107"/>
        <v>149638.2188477153</v>
      </c>
      <c r="T107" s="85">
        <f t="shared" si="107"/>
        <v>155076.28005436121</v>
      </c>
      <c r="U107" s="85">
        <f t="shared" si="107"/>
        <v>151368.86417730455</v>
      </c>
      <c r="V107" s="85">
        <f t="shared" si="107"/>
        <v>149509.80884664258</v>
      </c>
      <c r="W107" s="85">
        <f t="shared" si="107"/>
        <v>161662.98006222502</v>
      </c>
      <c r="X107" s="85">
        <f t="shared" ref="X107:Y107" si="108">SUM(X108:X111)</f>
        <v>161453.05442603843</v>
      </c>
      <c r="Y107" s="85">
        <f t="shared" si="108"/>
        <v>159571.67927512634</v>
      </c>
      <c r="DA107" s="117"/>
    </row>
    <row r="108" spans="1:105" ht="12" customHeight="1" x14ac:dyDescent="0.25">
      <c r="A108" s="61" t="s">
        <v>32</v>
      </c>
      <c r="B108" s="65">
        <v>132535.54695164607</v>
      </c>
      <c r="C108" s="65">
        <v>148623.30761723881</v>
      </c>
      <c r="D108" s="65">
        <v>146448.74494267479</v>
      </c>
      <c r="E108" s="65">
        <v>144401.24907910533</v>
      </c>
      <c r="F108" s="65">
        <v>134941.15563046053</v>
      </c>
      <c r="G108" s="65">
        <v>118046.45146870067</v>
      </c>
      <c r="H108" s="65">
        <v>119237.63757724289</v>
      </c>
      <c r="I108" s="65">
        <v>120852.16775167105</v>
      </c>
      <c r="J108" s="65">
        <v>118169.69104300541</v>
      </c>
      <c r="K108" s="65">
        <v>111477.54407909066</v>
      </c>
      <c r="L108" s="65">
        <v>123795.1924992649</v>
      </c>
      <c r="M108" s="65">
        <v>101655.72753361399</v>
      </c>
      <c r="N108" s="65">
        <v>110806.42028955689</v>
      </c>
      <c r="O108" s="65">
        <v>106178.35955039822</v>
      </c>
      <c r="P108" s="65">
        <v>104251.90528614596</v>
      </c>
      <c r="Q108" s="65">
        <v>105341.13317417803</v>
      </c>
      <c r="R108" s="65">
        <v>113872.34685988148</v>
      </c>
      <c r="S108" s="65">
        <v>102931.52188672964</v>
      </c>
      <c r="T108" s="65">
        <v>108153.97699174486</v>
      </c>
      <c r="U108" s="65">
        <v>103549.8492366165</v>
      </c>
      <c r="V108" s="65">
        <v>100938.57601792559</v>
      </c>
      <c r="W108" s="65">
        <v>112895.30210983596</v>
      </c>
      <c r="X108" s="65">
        <v>114197.11006221628</v>
      </c>
      <c r="Y108" s="65">
        <v>112932.75960211625</v>
      </c>
      <c r="DA108" s="109"/>
    </row>
    <row r="109" spans="1:105" ht="12" customHeight="1" x14ac:dyDescent="0.25">
      <c r="A109" s="61" t="s">
        <v>31</v>
      </c>
      <c r="B109" s="65">
        <v>6063.8856294918132</v>
      </c>
      <c r="C109" s="65">
        <v>6130.6756103985863</v>
      </c>
      <c r="D109" s="65">
        <v>6249.2273548584844</v>
      </c>
      <c r="E109" s="65">
        <v>6317.3511254976502</v>
      </c>
      <c r="F109" s="65">
        <v>6467.7595431558284</v>
      </c>
      <c r="G109" s="65">
        <v>6596.1642478830827</v>
      </c>
      <c r="H109" s="65">
        <v>6723.1637411821948</v>
      </c>
      <c r="I109" s="65">
        <v>6929.9216204086961</v>
      </c>
      <c r="J109" s="65">
        <v>7199.2744505072578</v>
      </c>
      <c r="K109" s="65">
        <v>7341.3270970289832</v>
      </c>
      <c r="L109" s="65">
        <v>7631.1464083789378</v>
      </c>
      <c r="M109" s="65">
        <v>7635.1612555857409</v>
      </c>
      <c r="N109" s="65">
        <v>7766.2814872538311</v>
      </c>
      <c r="O109" s="65">
        <v>7900.2647926369236</v>
      </c>
      <c r="P109" s="65">
        <v>8086.3240799860778</v>
      </c>
      <c r="Q109" s="65">
        <v>8041.5024065944981</v>
      </c>
      <c r="R109" s="65">
        <v>8208.4568064283703</v>
      </c>
      <c r="S109" s="65">
        <v>8367.3970943078111</v>
      </c>
      <c r="T109" s="65">
        <v>8477.7912897988826</v>
      </c>
      <c r="U109" s="65">
        <v>8453.69902119982</v>
      </c>
      <c r="V109" s="65">
        <v>8317.4048983246175</v>
      </c>
      <c r="W109" s="65">
        <v>8495.6515133970388</v>
      </c>
      <c r="X109" s="65">
        <v>8319.4546028945351</v>
      </c>
      <c r="Y109" s="65">
        <v>8321.6939745994987</v>
      </c>
      <c r="DA109" s="109"/>
    </row>
    <row r="110" spans="1:105" ht="12" customHeight="1" x14ac:dyDescent="0.25">
      <c r="A110" s="61" t="s">
        <v>35</v>
      </c>
      <c r="B110" s="65">
        <v>17283.065971294986</v>
      </c>
      <c r="C110" s="65">
        <v>17185.891490892824</v>
      </c>
      <c r="D110" s="65">
        <v>17141.700738872849</v>
      </c>
      <c r="E110" s="65">
        <v>17194.148007279069</v>
      </c>
      <c r="F110" s="65">
        <v>17146.954967269965</v>
      </c>
      <c r="G110" s="65">
        <v>17268.809166351908</v>
      </c>
      <c r="H110" s="65">
        <v>17178.929698183994</v>
      </c>
      <c r="I110" s="65">
        <v>17312.707698524111</v>
      </c>
      <c r="J110" s="65">
        <v>17474.565819589432</v>
      </c>
      <c r="K110" s="65">
        <v>17711.246861467265</v>
      </c>
      <c r="L110" s="65">
        <v>17692.61603423176</v>
      </c>
      <c r="M110" s="65">
        <v>17835.63936557811</v>
      </c>
      <c r="N110" s="65">
        <v>17824.514132446791</v>
      </c>
      <c r="O110" s="65">
        <v>18015.402870109243</v>
      </c>
      <c r="P110" s="65">
        <v>18081.226291411451</v>
      </c>
      <c r="Q110" s="65">
        <v>18041.021476737496</v>
      </c>
      <c r="R110" s="65">
        <v>17904.459627346445</v>
      </c>
      <c r="S110" s="65">
        <v>18044.347278796864</v>
      </c>
      <c r="T110" s="65">
        <v>18092.909678638371</v>
      </c>
      <c r="U110" s="65">
        <v>18252.422109442421</v>
      </c>
      <c r="V110" s="65">
        <v>18611.035450042455</v>
      </c>
      <c r="W110" s="65">
        <v>18562.273377511588</v>
      </c>
      <c r="X110" s="65">
        <v>18160.233295408103</v>
      </c>
      <c r="Y110" s="65">
        <v>18085.697816868236</v>
      </c>
      <c r="DA110" s="109"/>
    </row>
    <row r="111" spans="1:105" ht="12" customHeight="1" x14ac:dyDescent="0.25">
      <c r="A111" s="74" t="s">
        <v>34</v>
      </c>
      <c r="B111" s="68">
        <v>15645.809252592639</v>
      </c>
      <c r="C111" s="68">
        <v>16060.513656800147</v>
      </c>
      <c r="D111" s="68">
        <v>16210.417808542852</v>
      </c>
      <c r="E111" s="68">
        <v>16462.809950502375</v>
      </c>
      <c r="F111" s="68">
        <v>16795.387803283964</v>
      </c>
      <c r="G111" s="68">
        <v>17095.553050005725</v>
      </c>
      <c r="H111" s="68">
        <v>17209.255549759382</v>
      </c>
      <c r="I111" s="68">
        <v>17306.600888875386</v>
      </c>
      <c r="J111" s="68">
        <v>17611.668337702176</v>
      </c>
      <c r="K111" s="68">
        <v>18281.578853105275</v>
      </c>
      <c r="L111" s="68">
        <v>18297.638625451124</v>
      </c>
      <c r="M111" s="68">
        <v>18771.078647039529</v>
      </c>
      <c r="N111" s="68">
        <v>19115.526640671655</v>
      </c>
      <c r="O111" s="68">
        <v>19364.735221113493</v>
      </c>
      <c r="P111" s="68">
        <v>19371.018191638082</v>
      </c>
      <c r="Q111" s="68">
        <v>19364.212437632523</v>
      </c>
      <c r="R111" s="68">
        <v>19609.77367681645</v>
      </c>
      <c r="S111" s="68">
        <v>20294.95258788098</v>
      </c>
      <c r="T111" s="68">
        <v>20351.602094179114</v>
      </c>
      <c r="U111" s="68">
        <v>21112.893810045833</v>
      </c>
      <c r="V111" s="68">
        <v>21642.792480349908</v>
      </c>
      <c r="W111" s="68">
        <v>21709.753061480435</v>
      </c>
      <c r="X111" s="68">
        <v>20776.256465519524</v>
      </c>
      <c r="Y111" s="68">
        <v>20231.52788154237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20634.537404536459</v>
      </c>
      <c r="C113" s="82">
        <f t="shared" ref="C113:W113" si="110">C81*1000000/C$8</f>
        <v>20675.8996279444</v>
      </c>
      <c r="D113" s="82">
        <f t="shared" si="110"/>
        <v>20230.257974299475</v>
      </c>
      <c r="E113" s="82">
        <f t="shared" si="110"/>
        <v>20889.29466617791</v>
      </c>
      <c r="F113" s="82">
        <f t="shared" si="110"/>
        <v>15802.688301964223</v>
      </c>
      <c r="G113" s="82">
        <f t="shared" si="110"/>
        <v>8804.0736352841759</v>
      </c>
      <c r="H113" s="82">
        <f t="shared" si="110"/>
        <v>8359.3456363757723</v>
      </c>
      <c r="I113" s="82">
        <f t="shared" si="110"/>
        <v>8477.1012088411317</v>
      </c>
      <c r="J113" s="82">
        <f t="shared" si="110"/>
        <v>7497.5983036173657</v>
      </c>
      <c r="K113" s="82">
        <f t="shared" si="110"/>
        <v>6337.8961704652947</v>
      </c>
      <c r="L113" s="82">
        <f t="shared" si="110"/>
        <v>7560.3556197681874</v>
      </c>
      <c r="M113" s="82">
        <f t="shared" si="110"/>
        <v>6924.7298559901765</v>
      </c>
      <c r="N113" s="82">
        <f t="shared" si="110"/>
        <v>6321.4674694302748</v>
      </c>
      <c r="O113" s="82">
        <f t="shared" si="110"/>
        <v>5577.9919735718386</v>
      </c>
      <c r="P113" s="82">
        <f t="shared" si="110"/>
        <v>5291.3138167459319</v>
      </c>
      <c r="Q113" s="82">
        <f t="shared" si="110"/>
        <v>4956.4489287532788</v>
      </c>
      <c r="R113" s="82">
        <f t="shared" si="110"/>
        <v>4763.100667735107</v>
      </c>
      <c r="S113" s="82">
        <f t="shared" si="110"/>
        <v>4192.0902275144508</v>
      </c>
      <c r="T113" s="82">
        <f t="shared" si="110"/>
        <v>4370.501514530697</v>
      </c>
      <c r="U113" s="82">
        <f t="shared" si="110"/>
        <v>4484.288044653742</v>
      </c>
      <c r="V113" s="82">
        <f t="shared" si="110"/>
        <v>4312.8132154117875</v>
      </c>
      <c r="W113" s="82">
        <f t="shared" si="110"/>
        <v>3791.8379433963837</v>
      </c>
      <c r="X113" s="82">
        <f t="shared" ref="X113:Y113" si="111">X81*1000000/X$8</f>
        <v>3318.9852018708866</v>
      </c>
      <c r="Y113" s="82">
        <f t="shared" si="111"/>
        <v>2815.6743749235757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20634.537404536459</v>
      </c>
      <c r="C114" s="64">
        <f t="shared" ref="C114:W114" si="113">C82*1000000/C$8</f>
        <v>20675.8996279444</v>
      </c>
      <c r="D114" s="64">
        <f t="shared" si="113"/>
        <v>20230.257974299475</v>
      </c>
      <c r="E114" s="64">
        <f t="shared" si="113"/>
        <v>20889.29466617791</v>
      </c>
      <c r="F114" s="64">
        <f t="shared" si="113"/>
        <v>15802.688301964223</v>
      </c>
      <c r="G114" s="64">
        <f t="shared" si="113"/>
        <v>8804.0736352841759</v>
      </c>
      <c r="H114" s="64">
        <f t="shared" si="113"/>
        <v>8359.3456363757723</v>
      </c>
      <c r="I114" s="64">
        <f t="shared" si="113"/>
        <v>8477.1012088411317</v>
      </c>
      <c r="J114" s="64">
        <f t="shared" si="113"/>
        <v>7497.5983036173657</v>
      </c>
      <c r="K114" s="64">
        <f t="shared" si="113"/>
        <v>6337.8961704652947</v>
      </c>
      <c r="L114" s="64">
        <f t="shared" si="113"/>
        <v>7560.3556197681874</v>
      </c>
      <c r="M114" s="64">
        <f t="shared" si="113"/>
        <v>6924.7298559901765</v>
      </c>
      <c r="N114" s="64">
        <f t="shared" si="113"/>
        <v>6321.4674694302748</v>
      </c>
      <c r="O114" s="64">
        <f t="shared" si="113"/>
        <v>5577.9919735718386</v>
      </c>
      <c r="P114" s="64">
        <f t="shared" si="113"/>
        <v>5291.3138167459319</v>
      </c>
      <c r="Q114" s="64">
        <f t="shared" si="113"/>
        <v>4956.4489287532788</v>
      </c>
      <c r="R114" s="64">
        <f t="shared" si="113"/>
        <v>4763.100667735107</v>
      </c>
      <c r="S114" s="64">
        <f t="shared" si="113"/>
        <v>4192.0902275144508</v>
      </c>
      <c r="T114" s="64">
        <f t="shared" si="113"/>
        <v>4370.501514530697</v>
      </c>
      <c r="U114" s="64">
        <f t="shared" si="113"/>
        <v>4484.288044653742</v>
      </c>
      <c r="V114" s="64">
        <f t="shared" si="113"/>
        <v>4312.8132154117875</v>
      </c>
      <c r="W114" s="64">
        <f t="shared" si="113"/>
        <v>3791.8379433963837</v>
      </c>
      <c r="X114" s="64">
        <f t="shared" ref="X114:Y114" si="114">X82*1000000/X$8</f>
        <v>3318.9852018708866</v>
      </c>
      <c r="Y114" s="64">
        <f t="shared" si="114"/>
        <v>2815.6743749235757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18035.492831637788</v>
      </c>
      <c r="C115" s="65">
        <f t="shared" ref="C115:W115" si="116">C83*1000000/C$8</f>
        <v>17919.52623285383</v>
      </c>
      <c r="D115" s="65">
        <f t="shared" si="116"/>
        <v>17710.573210036047</v>
      </c>
      <c r="E115" s="65">
        <f t="shared" si="116"/>
        <v>18580.24210871437</v>
      </c>
      <c r="F115" s="65">
        <f t="shared" si="116"/>
        <v>13746.029244741962</v>
      </c>
      <c r="G115" s="65">
        <f t="shared" si="116"/>
        <v>7228.4227803642898</v>
      </c>
      <c r="H115" s="65">
        <f t="shared" si="116"/>
        <v>6318.394526052326</v>
      </c>
      <c r="I115" s="65">
        <f t="shared" si="116"/>
        <v>6133.5683362650871</v>
      </c>
      <c r="J115" s="65">
        <f t="shared" si="116"/>
        <v>5369.3877196803633</v>
      </c>
      <c r="K115" s="65">
        <f t="shared" si="116"/>
        <v>4950.1239113052816</v>
      </c>
      <c r="L115" s="65">
        <f t="shared" si="116"/>
        <v>5752.6112557268834</v>
      </c>
      <c r="M115" s="65">
        <f t="shared" si="116"/>
        <v>5218.8879931456713</v>
      </c>
      <c r="N115" s="65">
        <f t="shared" si="116"/>
        <v>5359.8015752676711</v>
      </c>
      <c r="O115" s="65">
        <f t="shared" si="116"/>
        <v>4574.4265194319951</v>
      </c>
      <c r="P115" s="65">
        <f t="shared" si="116"/>
        <v>4398.0544861872031</v>
      </c>
      <c r="Q115" s="65">
        <f t="shared" si="116"/>
        <v>4121.0144202259871</v>
      </c>
      <c r="R115" s="65">
        <f t="shared" si="116"/>
        <v>3930.070793721075</v>
      </c>
      <c r="S115" s="65">
        <f t="shared" si="116"/>
        <v>3440.3426083003396</v>
      </c>
      <c r="T115" s="65">
        <f t="shared" si="116"/>
        <v>3604.1785283059608</v>
      </c>
      <c r="U115" s="65">
        <f t="shared" si="116"/>
        <v>3695.8582005619037</v>
      </c>
      <c r="V115" s="65">
        <f t="shared" si="116"/>
        <v>3558.6316511337336</v>
      </c>
      <c r="W115" s="65">
        <f t="shared" si="116"/>
        <v>3108.4665057747275</v>
      </c>
      <c r="X115" s="65">
        <f t="shared" ref="X115:Y115" si="117">X83*1000000/X$8</f>
        <v>2708.5694933652298</v>
      </c>
      <c r="Y115" s="65">
        <f t="shared" si="117"/>
        <v>2287.3388658079775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</v>
      </c>
      <c r="C116" s="65">
        <f t="shared" ref="C116:W116" si="119">C84*1000000/C$8</f>
        <v>0</v>
      </c>
      <c r="D116" s="65">
        <f t="shared" si="119"/>
        <v>0</v>
      </c>
      <c r="E116" s="65">
        <f t="shared" si="119"/>
        <v>0</v>
      </c>
      <c r="F116" s="65">
        <f t="shared" si="119"/>
        <v>0</v>
      </c>
      <c r="G116" s="65">
        <f t="shared" si="119"/>
        <v>0</v>
      </c>
      <c r="H116" s="65">
        <f t="shared" si="119"/>
        <v>0</v>
      </c>
      <c r="I116" s="65">
        <f t="shared" si="119"/>
        <v>0</v>
      </c>
      <c r="J116" s="65">
        <f t="shared" si="119"/>
        <v>0</v>
      </c>
      <c r="K116" s="65">
        <f t="shared" si="119"/>
        <v>0</v>
      </c>
      <c r="L116" s="65">
        <f t="shared" si="119"/>
        <v>0</v>
      </c>
      <c r="M116" s="65">
        <f t="shared" si="119"/>
        <v>0</v>
      </c>
      <c r="N116" s="65">
        <f t="shared" si="119"/>
        <v>0</v>
      </c>
      <c r="O116" s="65">
        <f t="shared" si="119"/>
        <v>0</v>
      </c>
      <c r="P116" s="65">
        <f t="shared" si="119"/>
        <v>0</v>
      </c>
      <c r="Q116" s="65">
        <f t="shared" si="119"/>
        <v>0</v>
      </c>
      <c r="R116" s="65">
        <f t="shared" si="119"/>
        <v>0</v>
      </c>
      <c r="S116" s="65">
        <f t="shared" si="119"/>
        <v>0</v>
      </c>
      <c r="T116" s="65">
        <f t="shared" si="119"/>
        <v>0</v>
      </c>
      <c r="U116" s="65">
        <f t="shared" si="119"/>
        <v>0</v>
      </c>
      <c r="V116" s="65">
        <f t="shared" si="119"/>
        <v>0</v>
      </c>
      <c r="W116" s="65">
        <f t="shared" si="119"/>
        <v>0</v>
      </c>
      <c r="X116" s="65">
        <f t="shared" ref="X116:Y116" si="120">X84*1000000/X$8</f>
        <v>0</v>
      </c>
      <c r="Y116" s="65">
        <f t="shared" si="120"/>
        <v>0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1787.2115749486532</v>
      </c>
      <c r="C117" s="65">
        <f t="shared" ref="C117:W117" si="122">C85*1000000/C$8</f>
        <v>1726.4591366771635</v>
      </c>
      <c r="D117" s="65">
        <f t="shared" si="122"/>
        <v>1646.8458931282835</v>
      </c>
      <c r="E117" s="65">
        <f t="shared" si="122"/>
        <v>1590.4298013745984</v>
      </c>
      <c r="F117" s="65">
        <f t="shared" si="122"/>
        <v>1416.1704766620758</v>
      </c>
      <c r="G117" s="65">
        <f t="shared" si="122"/>
        <v>933.1636307851121</v>
      </c>
      <c r="H117" s="65">
        <f t="shared" si="122"/>
        <v>935.50725652407982</v>
      </c>
      <c r="I117" s="65">
        <f t="shared" si="122"/>
        <v>775.63884346151531</v>
      </c>
      <c r="J117" s="65">
        <f t="shared" si="122"/>
        <v>691.09938664645983</v>
      </c>
      <c r="K117" s="65">
        <f t="shared" si="122"/>
        <v>422.97198118619042</v>
      </c>
      <c r="L117" s="65">
        <f t="shared" si="122"/>
        <v>392.68364540015739</v>
      </c>
      <c r="M117" s="65">
        <f t="shared" si="122"/>
        <v>406.05962210284127</v>
      </c>
      <c r="N117" s="65">
        <f t="shared" si="122"/>
        <v>545.07667550233953</v>
      </c>
      <c r="O117" s="65">
        <f t="shared" si="122"/>
        <v>567.31306846684799</v>
      </c>
      <c r="P117" s="65">
        <f t="shared" si="122"/>
        <v>429.88022111622286</v>
      </c>
      <c r="Q117" s="65">
        <f t="shared" si="122"/>
        <v>584.48081970299188</v>
      </c>
      <c r="R117" s="65">
        <f t="shared" si="122"/>
        <v>572.2094871313808</v>
      </c>
      <c r="S117" s="65">
        <f t="shared" si="122"/>
        <v>537.47767541422502</v>
      </c>
      <c r="T117" s="65">
        <f t="shared" si="122"/>
        <v>541.55207060605801</v>
      </c>
      <c r="U117" s="65">
        <f t="shared" si="122"/>
        <v>538.38484948755661</v>
      </c>
      <c r="V117" s="65">
        <f t="shared" si="122"/>
        <v>515.85781488864541</v>
      </c>
      <c r="W117" s="65">
        <f t="shared" si="122"/>
        <v>444.02704016922439</v>
      </c>
      <c r="X117" s="65">
        <f t="shared" ref="X117:Y117" si="123">X85*1000000/X$8</f>
        <v>376.09963733596584</v>
      </c>
      <c r="Y117" s="65">
        <f t="shared" si="123"/>
        <v>296.5846417889731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811.83299795001813</v>
      </c>
      <c r="C118" s="67">
        <f t="shared" ref="C118:W118" si="125">C86*1000000/C$8</f>
        <v>1029.9142584134063</v>
      </c>
      <c r="D118" s="67">
        <f t="shared" si="125"/>
        <v>872.8388711351447</v>
      </c>
      <c r="E118" s="67">
        <f t="shared" si="125"/>
        <v>718.62275608894345</v>
      </c>
      <c r="F118" s="67">
        <f t="shared" si="125"/>
        <v>640.48858056018753</v>
      </c>
      <c r="G118" s="67">
        <f t="shared" si="125"/>
        <v>642.48722413477378</v>
      </c>
      <c r="H118" s="67">
        <f t="shared" si="125"/>
        <v>1105.4438537993678</v>
      </c>
      <c r="I118" s="67">
        <f t="shared" si="125"/>
        <v>1567.8940291145309</v>
      </c>
      <c r="J118" s="67">
        <f t="shared" si="125"/>
        <v>1437.1111972905417</v>
      </c>
      <c r="K118" s="67">
        <f t="shared" si="125"/>
        <v>964.80027797382286</v>
      </c>
      <c r="L118" s="67">
        <f t="shared" si="125"/>
        <v>1415.0607186411467</v>
      </c>
      <c r="M118" s="67">
        <f t="shared" si="125"/>
        <v>1299.7822407416629</v>
      </c>
      <c r="N118" s="67">
        <f t="shared" si="125"/>
        <v>416.58921866026475</v>
      </c>
      <c r="O118" s="67">
        <f t="shared" si="125"/>
        <v>436.25238567299658</v>
      </c>
      <c r="P118" s="67">
        <f t="shared" si="125"/>
        <v>463.37910944250643</v>
      </c>
      <c r="Q118" s="67">
        <f t="shared" si="125"/>
        <v>250.95368882429966</v>
      </c>
      <c r="R118" s="67">
        <f t="shared" si="125"/>
        <v>260.82038688265072</v>
      </c>
      <c r="S118" s="67">
        <f t="shared" si="125"/>
        <v>214.26994379988639</v>
      </c>
      <c r="T118" s="67">
        <f t="shared" si="125"/>
        <v>224.77091561867823</v>
      </c>
      <c r="U118" s="67">
        <f t="shared" si="125"/>
        <v>250.04499460428164</v>
      </c>
      <c r="V118" s="67">
        <f t="shared" si="125"/>
        <v>238.3237493894093</v>
      </c>
      <c r="W118" s="67">
        <f t="shared" si="125"/>
        <v>239.34439745243205</v>
      </c>
      <c r="X118" s="67">
        <f t="shared" ref="X118:Y118" si="126">X86*1000000/X$8</f>
        <v>234.31607116969079</v>
      </c>
      <c r="Y118" s="67">
        <f t="shared" si="126"/>
        <v>231.7508673266247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0.66152097403605814</v>
      </c>
      <c r="C121" s="86">
        <f t="shared" ref="C121:W121" si="131">IF(C107=0,"",C107/C100)</f>
        <v>0.66767238826625552</v>
      </c>
      <c r="D121" s="86">
        <f t="shared" si="131"/>
        <v>0.67342346069980652</v>
      </c>
      <c r="E121" s="86">
        <f t="shared" si="131"/>
        <v>0.6755327312202013</v>
      </c>
      <c r="F121" s="86">
        <f t="shared" si="131"/>
        <v>0.69541339287518611</v>
      </c>
      <c r="G121" s="86">
        <f t="shared" si="131"/>
        <v>0.72934287273304221</v>
      </c>
      <c r="H121" s="86">
        <f t="shared" si="131"/>
        <v>0.73974110470081611</v>
      </c>
      <c r="I121" s="86">
        <f t="shared" si="131"/>
        <v>0.74531967967415458</v>
      </c>
      <c r="J121" s="86">
        <f t="shared" si="131"/>
        <v>0.75714561459778384</v>
      </c>
      <c r="K121" s="86">
        <f t="shared" si="131"/>
        <v>0.77127342970279134</v>
      </c>
      <c r="L121" s="86">
        <f t="shared" si="131"/>
        <v>0.77339636040578486</v>
      </c>
      <c r="M121" s="86">
        <f t="shared" si="131"/>
        <v>0.78990485841070279</v>
      </c>
      <c r="N121" s="86">
        <f t="shared" si="131"/>
        <v>0.80169971324851341</v>
      </c>
      <c r="O121" s="86">
        <f t="shared" si="131"/>
        <v>0.81948636528228658</v>
      </c>
      <c r="P121" s="86">
        <f t="shared" si="131"/>
        <v>0.82269424468142871</v>
      </c>
      <c r="Q121" s="86">
        <f t="shared" si="131"/>
        <v>0.82714475722295988</v>
      </c>
      <c r="R121" s="86">
        <f t="shared" si="131"/>
        <v>0.83586062439634734</v>
      </c>
      <c r="S121" s="86">
        <f t="shared" si="131"/>
        <v>0.85236852842296429</v>
      </c>
      <c r="T121" s="86">
        <f t="shared" si="131"/>
        <v>0.86072619159405905</v>
      </c>
      <c r="U121" s="86">
        <f t="shared" si="131"/>
        <v>0.8753375787508697</v>
      </c>
      <c r="V121" s="86">
        <f t="shared" si="131"/>
        <v>0.89119953546853292</v>
      </c>
      <c r="W121" s="86">
        <f t="shared" si="131"/>
        <v>0.9009294070095053</v>
      </c>
      <c r="X121" s="86">
        <f t="shared" ref="X121:Y121" si="132">IF(X107=0,"",X107/X100)</f>
        <v>0.91341507272869604</v>
      </c>
      <c r="Y121" s="86">
        <f t="shared" si="132"/>
        <v>0.92517960398251253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0.63287564905340432</v>
      </c>
      <c r="C122" s="75">
        <f t="shared" ref="C122:W122" si="134">IF(C108=0,"",C108/C101)</f>
        <v>0.64255002713143827</v>
      </c>
      <c r="D122" s="75">
        <f t="shared" si="134"/>
        <v>0.64715009255848166</v>
      </c>
      <c r="E122" s="75">
        <f t="shared" si="134"/>
        <v>0.64749295725118239</v>
      </c>
      <c r="F122" s="75">
        <f t="shared" si="134"/>
        <v>0.66654540638914161</v>
      </c>
      <c r="G122" s="75">
        <f t="shared" si="134"/>
        <v>0.70054969534248324</v>
      </c>
      <c r="H122" s="75">
        <f t="shared" si="134"/>
        <v>0.7136599791865732</v>
      </c>
      <c r="I122" s="75">
        <f t="shared" si="134"/>
        <v>0.72052582363870576</v>
      </c>
      <c r="J122" s="75">
        <f t="shared" si="134"/>
        <v>0.73103641078346249</v>
      </c>
      <c r="K122" s="75">
        <f t="shared" si="134"/>
        <v>0.74203510987334853</v>
      </c>
      <c r="L122" s="75">
        <f t="shared" si="134"/>
        <v>0.7472045619540395</v>
      </c>
      <c r="M122" s="75">
        <f t="shared" si="134"/>
        <v>0.76105522244084467</v>
      </c>
      <c r="N122" s="75">
        <f t="shared" si="134"/>
        <v>0.77107617448023458</v>
      </c>
      <c r="O122" s="75">
        <f t="shared" si="134"/>
        <v>0.79061631582199632</v>
      </c>
      <c r="P122" s="75">
        <f t="shared" si="134"/>
        <v>0.79156430682043921</v>
      </c>
      <c r="Q122" s="75">
        <f t="shared" si="134"/>
        <v>0.79511425630791099</v>
      </c>
      <c r="R122" s="75">
        <f t="shared" si="134"/>
        <v>0.80487179438435352</v>
      </c>
      <c r="S122" s="75">
        <f t="shared" si="134"/>
        <v>0.81986320077273767</v>
      </c>
      <c r="T122" s="75">
        <f t="shared" si="134"/>
        <v>0.82823497512530742</v>
      </c>
      <c r="U122" s="75">
        <f t="shared" si="134"/>
        <v>0.84336059322393142</v>
      </c>
      <c r="V122" s="75">
        <f t="shared" si="134"/>
        <v>0.86205062245537656</v>
      </c>
      <c r="W122" s="75">
        <f t="shared" si="134"/>
        <v>0.87159825926825796</v>
      </c>
      <c r="X122" s="75">
        <f t="shared" ref="X122:Y122" si="135">IF(X108=0,"",X108/X101)</f>
        <v>0.88508780381124508</v>
      </c>
      <c r="Y122" s="75">
        <f t="shared" si="135"/>
        <v>0.89565044603896415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1.9433822954868889</v>
      </c>
      <c r="C123" s="76">
        <f t="shared" ref="C123:W123" si="137">IF(C109=0,"",C109/C102)</f>
        <v>2.0117266370451117</v>
      </c>
      <c r="D123" s="76">
        <f t="shared" si="137"/>
        <v>2.0958180883474329</v>
      </c>
      <c r="E123" s="76">
        <f t="shared" si="137"/>
        <v>2.1880720532856843</v>
      </c>
      <c r="F123" s="76">
        <f t="shared" si="137"/>
        <v>2.3030800048880042</v>
      </c>
      <c r="G123" s="76">
        <f t="shared" si="137"/>
        <v>2.4331563206716589</v>
      </c>
      <c r="H123" s="76">
        <f t="shared" si="137"/>
        <v>2.5873891339507016</v>
      </c>
      <c r="I123" s="76">
        <f t="shared" si="137"/>
        <v>2.7760028258702696</v>
      </c>
      <c r="J123" s="76">
        <f t="shared" si="137"/>
        <v>3.0022740292728249</v>
      </c>
      <c r="K123" s="76">
        <f t="shared" si="137"/>
        <v>3.0586417980517973</v>
      </c>
      <c r="L123" s="76">
        <f t="shared" si="137"/>
        <v>3.1454745542697</v>
      </c>
      <c r="M123" s="76">
        <f t="shared" si="137"/>
        <v>3.2700625686786418</v>
      </c>
      <c r="N123" s="76">
        <f t="shared" si="137"/>
        <v>3.40200589378352</v>
      </c>
      <c r="O123" s="76">
        <f t="shared" si="137"/>
        <v>3.5436614545294929</v>
      </c>
      <c r="P123" s="76">
        <f t="shared" si="137"/>
        <v>3.6943745585749239</v>
      </c>
      <c r="Q123" s="76">
        <f t="shared" si="137"/>
        <v>3.8502206142451243</v>
      </c>
      <c r="R123" s="76">
        <f t="shared" si="137"/>
        <v>4.0169641022061686</v>
      </c>
      <c r="S123" s="76">
        <f t="shared" si="137"/>
        <v>4.1786713838030609</v>
      </c>
      <c r="T123" s="76">
        <f t="shared" si="137"/>
        <v>4.3120634823423414</v>
      </c>
      <c r="U123" s="76">
        <f t="shared" si="137"/>
        <v>4.4160179414211145</v>
      </c>
      <c r="V123" s="76">
        <f t="shared" si="137"/>
        <v>4.5242044432501727</v>
      </c>
      <c r="W123" s="76">
        <f t="shared" si="137"/>
        <v>4.6224099967097558</v>
      </c>
      <c r="X123" s="76">
        <f t="shared" ref="X123:Y123" si="138">IF(X109=0,"",X109/X102)</f>
        <v>4.7020395088518887</v>
      </c>
      <c r="Y123" s="76">
        <f t="shared" si="138"/>
        <v>4.7652935475798923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0.6468135384957906</v>
      </c>
      <c r="C124" s="76">
        <f t="shared" ref="C124:W124" si="140">IF(C110=0,"",C110/C103)</f>
        <v>0.64891327553149203</v>
      </c>
      <c r="D124" s="76">
        <f t="shared" si="140"/>
        <v>0.65234317073446557</v>
      </c>
      <c r="E124" s="76">
        <f t="shared" si="140"/>
        <v>0.65597544811044306</v>
      </c>
      <c r="F124" s="76">
        <f t="shared" si="140"/>
        <v>0.66458835154903229</v>
      </c>
      <c r="G124" s="76">
        <f t="shared" si="140"/>
        <v>0.68051743033152068</v>
      </c>
      <c r="H124" s="76">
        <f t="shared" si="140"/>
        <v>0.68536883267197557</v>
      </c>
      <c r="I124" s="76">
        <f t="shared" si="140"/>
        <v>0.69040975348297617</v>
      </c>
      <c r="J124" s="76">
        <f t="shared" si="140"/>
        <v>0.69598090298128001</v>
      </c>
      <c r="K124" s="76">
        <f t="shared" si="140"/>
        <v>0.70568103271816973</v>
      </c>
      <c r="L124" s="76">
        <f t="shared" si="140"/>
        <v>0.71038445570789754</v>
      </c>
      <c r="M124" s="76">
        <f t="shared" si="140"/>
        <v>0.71571743838591051</v>
      </c>
      <c r="N124" s="76">
        <f t="shared" si="140"/>
        <v>0.72084307541792969</v>
      </c>
      <c r="O124" s="76">
        <f t="shared" si="140"/>
        <v>0.72746550988883629</v>
      </c>
      <c r="P124" s="76">
        <f t="shared" si="140"/>
        <v>0.73285038624991994</v>
      </c>
      <c r="Q124" s="76">
        <f t="shared" si="140"/>
        <v>0.73513566888773652</v>
      </c>
      <c r="R124" s="76">
        <f t="shared" si="140"/>
        <v>0.74553373451145533</v>
      </c>
      <c r="S124" s="76">
        <f t="shared" si="140"/>
        <v>0.75263423949446406</v>
      </c>
      <c r="T124" s="76">
        <f t="shared" si="140"/>
        <v>0.76498785925872015</v>
      </c>
      <c r="U124" s="76">
        <f t="shared" si="140"/>
        <v>0.7757629353490596</v>
      </c>
      <c r="V124" s="76">
        <f t="shared" si="140"/>
        <v>0.78337078369950053</v>
      </c>
      <c r="W124" s="76">
        <f t="shared" si="140"/>
        <v>0.80175429040517099</v>
      </c>
      <c r="X124" s="76">
        <f t="shared" ref="X124:Y124" si="141">IF(X110=0,"",X110/X103)</f>
        <v>0.81367924416989468</v>
      </c>
      <c r="Y124" s="76">
        <f t="shared" si="141"/>
        <v>0.82906459560729573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0.78091432888983969</v>
      </c>
      <c r="C125" s="56">
        <f t="shared" ref="C125:W125" si="143">IF(C111=0,"",C111/C104)</f>
        <v>0.77430261263302447</v>
      </c>
      <c r="D125" s="56">
        <f t="shared" si="143"/>
        <v>0.7824242168140787</v>
      </c>
      <c r="E125" s="56">
        <f t="shared" si="143"/>
        <v>0.79076347381343548</v>
      </c>
      <c r="F125" s="56">
        <f t="shared" si="143"/>
        <v>0.79613132005494658</v>
      </c>
      <c r="G125" s="56">
        <f t="shared" si="143"/>
        <v>0.79805148760520583</v>
      </c>
      <c r="H125" s="56">
        <f t="shared" si="143"/>
        <v>0.78149544628348044</v>
      </c>
      <c r="I125" s="56">
        <f t="shared" si="143"/>
        <v>0.7659530429926471</v>
      </c>
      <c r="J125" s="56">
        <f t="shared" si="143"/>
        <v>0.77350573245489196</v>
      </c>
      <c r="K125" s="56">
        <f t="shared" si="143"/>
        <v>0.79513665869348826</v>
      </c>
      <c r="L125" s="56">
        <f t="shared" si="143"/>
        <v>0.77995748376319962</v>
      </c>
      <c r="M125" s="56">
        <f t="shared" si="143"/>
        <v>0.78619457750985922</v>
      </c>
      <c r="N125" s="56">
        <f t="shared" si="143"/>
        <v>0.82164217500310721</v>
      </c>
      <c r="O125" s="56">
        <f t="shared" si="143"/>
        <v>0.82300372725434157</v>
      </c>
      <c r="P125" s="56">
        <f t="shared" si="143"/>
        <v>0.82401302613788863</v>
      </c>
      <c r="Q125" s="56">
        <f t="shared" si="143"/>
        <v>0.83523814026333254</v>
      </c>
      <c r="R125" s="56">
        <f t="shared" si="143"/>
        <v>0.83813023189309488</v>
      </c>
      <c r="S125" s="56">
        <f t="shared" si="143"/>
        <v>0.8445231312128354</v>
      </c>
      <c r="T125" s="56">
        <f t="shared" si="143"/>
        <v>0.84911093858754083</v>
      </c>
      <c r="U125" s="56">
        <f t="shared" si="143"/>
        <v>0.85473213673378567</v>
      </c>
      <c r="V125" s="56">
        <f t="shared" si="143"/>
        <v>0.86311737360302776</v>
      </c>
      <c r="W125" s="56">
        <f t="shared" si="143"/>
        <v>0.87105671602704748</v>
      </c>
      <c r="X125" s="56">
        <f t="shared" ref="X125:Y125" si="144">IF(X111=0,"",X111/X104)</f>
        <v>0.87863264451150136</v>
      </c>
      <c r="Y125" s="56">
        <f t="shared" si="144"/>
        <v>0.88636332208408042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350.14544398750218</v>
      </c>
      <c r="C129" s="82">
        <f t="shared" ref="C129:W129" si="146">IF(C99=0,0,C99/C$26)</f>
        <v>375.86750257242863</v>
      </c>
      <c r="D129" s="82">
        <f t="shared" si="146"/>
        <v>371.08256942861829</v>
      </c>
      <c r="E129" s="82">
        <f t="shared" si="146"/>
        <v>368.22722552581416</v>
      </c>
      <c r="F129" s="82">
        <f t="shared" si="146"/>
        <v>345.76715950559048</v>
      </c>
      <c r="G129" s="82">
        <f t="shared" si="146"/>
        <v>308.22142540660576</v>
      </c>
      <c r="H129" s="82">
        <f t="shared" si="146"/>
        <v>306.72422065637898</v>
      </c>
      <c r="I129" s="82">
        <f t="shared" si="146"/>
        <v>307.88972560978954</v>
      </c>
      <c r="J129" s="82">
        <f t="shared" si="146"/>
        <v>301.53995874425669</v>
      </c>
      <c r="K129" s="82">
        <f t="shared" si="146"/>
        <v>289.21772599288869</v>
      </c>
      <c r="L129" s="82">
        <f t="shared" si="146"/>
        <v>306.78608785787679</v>
      </c>
      <c r="M129" s="82">
        <f t="shared" si="146"/>
        <v>271.08865118507936</v>
      </c>
      <c r="N129" s="82">
        <f t="shared" si="146"/>
        <v>281.64364526014288</v>
      </c>
      <c r="O129" s="82">
        <f t="shared" si="146"/>
        <v>271.67743053485651</v>
      </c>
      <c r="P129" s="82">
        <f t="shared" si="146"/>
        <v>268.90701962999839</v>
      </c>
      <c r="Q129" s="82">
        <f t="shared" si="146"/>
        <v>269.40317167771281</v>
      </c>
      <c r="R129" s="82">
        <f t="shared" si="146"/>
        <v>278.95758714411886</v>
      </c>
      <c r="S129" s="82">
        <f t="shared" si="146"/>
        <v>261.10809126597138</v>
      </c>
      <c r="T129" s="82">
        <f t="shared" si="146"/>
        <v>265.46991863731864</v>
      </c>
      <c r="U129" s="82">
        <f t="shared" si="146"/>
        <v>257.33018497943522</v>
      </c>
      <c r="V129" s="82">
        <f t="shared" si="146"/>
        <v>253.21687440014281</v>
      </c>
      <c r="W129" s="82">
        <f t="shared" si="146"/>
        <v>266.50325543542095</v>
      </c>
      <c r="X129" s="82">
        <f t="shared" ref="X129:Y129" si="147">IF(X99=0,0,X99/X$26)</f>
        <v>261.62428062062986</v>
      </c>
      <c r="Y129" s="82">
        <f t="shared" si="147"/>
        <v>257.02433650187152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288.10425693601979</v>
      </c>
      <c r="C130" s="64">
        <f t="shared" ref="C130:W130" si="149">IF(C100=0,0,C100/C$26)</f>
        <v>312.86200251512048</v>
      </c>
      <c r="D130" s="64">
        <f t="shared" si="149"/>
        <v>306.97226221705017</v>
      </c>
      <c r="E130" s="64">
        <f t="shared" si="149"/>
        <v>303.25951922640462</v>
      </c>
      <c r="F130" s="64">
        <f t="shared" si="149"/>
        <v>280.17109397840903</v>
      </c>
      <c r="G130" s="64">
        <f t="shared" si="149"/>
        <v>242.23780958254144</v>
      </c>
      <c r="H130" s="64">
        <f t="shared" si="149"/>
        <v>240.84850699401957</v>
      </c>
      <c r="I130" s="64">
        <f t="shared" si="149"/>
        <v>242.10550540090887</v>
      </c>
      <c r="J130" s="64">
        <f t="shared" si="149"/>
        <v>235.46798889176597</v>
      </c>
      <c r="K130" s="64">
        <f t="shared" si="149"/>
        <v>223.02466274703437</v>
      </c>
      <c r="L130" s="64">
        <f t="shared" si="149"/>
        <v>240.52148008484255</v>
      </c>
      <c r="M130" s="64">
        <f t="shared" si="149"/>
        <v>205.22528792667927</v>
      </c>
      <c r="N130" s="64">
        <f t="shared" si="149"/>
        <v>215.5319919804254</v>
      </c>
      <c r="O130" s="64">
        <f t="shared" si="149"/>
        <v>205.35730787646776</v>
      </c>
      <c r="P130" s="64">
        <f t="shared" si="149"/>
        <v>202.30342063091987</v>
      </c>
      <c r="Q130" s="64">
        <f t="shared" si="149"/>
        <v>202.55472304428022</v>
      </c>
      <c r="R130" s="64">
        <f t="shared" si="149"/>
        <v>212.14998491422625</v>
      </c>
      <c r="S130" s="64">
        <f t="shared" si="149"/>
        <v>195.06197385794172</v>
      </c>
      <c r="T130" s="64">
        <f t="shared" si="149"/>
        <v>200.18791053525138</v>
      </c>
      <c r="U130" s="64">
        <f t="shared" si="149"/>
        <v>192.14030214912054</v>
      </c>
      <c r="V130" s="64">
        <f t="shared" si="149"/>
        <v>186.40271142227095</v>
      </c>
      <c r="W130" s="64">
        <f t="shared" si="149"/>
        <v>199.37803340076462</v>
      </c>
      <c r="X130" s="64">
        <f t="shared" ref="X130:Y130" si="150">IF(X100=0,0,X100/X$26)</f>
        <v>196.39733134651442</v>
      </c>
      <c r="Y130" s="64">
        <f t="shared" si="150"/>
        <v>191.64048266740951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232.6866566211269</v>
      </c>
      <c r="C131" s="65">
        <f t="shared" ref="C131:W131" si="152">IF(C101=0,0,C101/C$26)</f>
        <v>257.00257021360102</v>
      </c>
      <c r="D131" s="65">
        <f t="shared" si="152"/>
        <v>251.44217637483897</v>
      </c>
      <c r="E131" s="65">
        <f t="shared" si="152"/>
        <v>247.79548644244969</v>
      </c>
      <c r="F131" s="65">
        <f t="shared" si="152"/>
        <v>224.94284099775754</v>
      </c>
      <c r="G131" s="65">
        <f t="shared" si="152"/>
        <v>187.22829333326501</v>
      </c>
      <c r="H131" s="65">
        <f t="shared" si="152"/>
        <v>185.64339859119136</v>
      </c>
      <c r="I131" s="65">
        <f t="shared" si="152"/>
        <v>186.36415515632913</v>
      </c>
      <c r="J131" s="65">
        <f t="shared" si="152"/>
        <v>179.60754728172111</v>
      </c>
      <c r="K131" s="65">
        <f t="shared" si="152"/>
        <v>166.92463229509119</v>
      </c>
      <c r="L131" s="65">
        <f t="shared" si="152"/>
        <v>184.08642143238524</v>
      </c>
      <c r="M131" s="65">
        <f t="shared" si="152"/>
        <v>148.41341999917969</v>
      </c>
      <c r="N131" s="65">
        <f t="shared" si="152"/>
        <v>159.67066399005989</v>
      </c>
      <c r="O131" s="65">
        <f t="shared" si="152"/>
        <v>149.22023830654129</v>
      </c>
      <c r="P131" s="65">
        <f t="shared" si="152"/>
        <v>146.33738449277553</v>
      </c>
      <c r="Q131" s="65">
        <f t="shared" si="152"/>
        <v>147.20614376902594</v>
      </c>
      <c r="R131" s="65">
        <f t="shared" si="152"/>
        <v>157.19873739778845</v>
      </c>
      <c r="S131" s="65">
        <f t="shared" si="152"/>
        <v>139.49687892337076</v>
      </c>
      <c r="T131" s="65">
        <f t="shared" si="152"/>
        <v>145.09298587421034</v>
      </c>
      <c r="U131" s="65">
        <f t="shared" si="152"/>
        <v>136.42490408623487</v>
      </c>
      <c r="V131" s="65">
        <f t="shared" si="152"/>
        <v>130.101377380603</v>
      </c>
      <c r="W131" s="65">
        <f t="shared" si="152"/>
        <v>143.91862676710218</v>
      </c>
      <c r="X131" s="65">
        <f t="shared" ref="X131:Y131" si="153">IF(X101=0,0,X101/X$26)</f>
        <v>143.35942411648776</v>
      </c>
      <c r="Y131" s="65">
        <f t="shared" si="153"/>
        <v>140.10024173749196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3.4669713288436221</v>
      </c>
      <c r="C132" s="65">
        <f t="shared" ref="C132:W132" si="155">IF(C102=0,0,C102/C$26)</f>
        <v>3.3860772452350894</v>
      </c>
      <c r="D132" s="65">
        <f t="shared" si="155"/>
        <v>3.3130670970197738</v>
      </c>
      <c r="E132" s="65">
        <f t="shared" si="155"/>
        <v>3.2079743524854818</v>
      </c>
      <c r="F132" s="65">
        <f t="shared" si="155"/>
        <v>3.120342965569201</v>
      </c>
      <c r="G132" s="65">
        <f t="shared" si="155"/>
        <v>3.012166264974546</v>
      </c>
      <c r="H132" s="65">
        <f t="shared" si="155"/>
        <v>2.8871505397568908</v>
      </c>
      <c r="I132" s="65">
        <f t="shared" si="155"/>
        <v>2.7737410206530733</v>
      </c>
      <c r="J132" s="65">
        <f t="shared" si="155"/>
        <v>2.6643783198678972</v>
      </c>
      <c r="K132" s="65">
        <f t="shared" si="155"/>
        <v>2.666879826531372</v>
      </c>
      <c r="L132" s="65">
        <f t="shared" si="155"/>
        <v>2.6956350841738437</v>
      </c>
      <c r="M132" s="65">
        <f t="shared" si="155"/>
        <v>2.5942966925046864</v>
      </c>
      <c r="N132" s="65">
        <f t="shared" si="155"/>
        <v>2.5365040278949498</v>
      </c>
      <c r="O132" s="65">
        <f t="shared" si="155"/>
        <v>2.4771192464220047</v>
      </c>
      <c r="P132" s="65">
        <f t="shared" si="155"/>
        <v>2.4320231722209789</v>
      </c>
      <c r="Q132" s="65">
        <f t="shared" si="155"/>
        <v>2.3206469366809745</v>
      </c>
      <c r="R132" s="65">
        <f t="shared" si="155"/>
        <v>2.2704976521172018</v>
      </c>
      <c r="S132" s="65">
        <f t="shared" si="155"/>
        <v>2.2248956734431746</v>
      </c>
      <c r="T132" s="65">
        <f t="shared" si="155"/>
        <v>2.1845151719936311</v>
      </c>
      <c r="U132" s="65">
        <f t="shared" si="155"/>
        <v>2.1270291554616039</v>
      </c>
      <c r="V132" s="65">
        <f t="shared" si="155"/>
        <v>2.0426930555550578</v>
      </c>
      <c r="W132" s="65">
        <f t="shared" si="155"/>
        <v>2.042140960966794</v>
      </c>
      <c r="X132" s="65">
        <f t="shared" ref="X132:Y132" si="156">IF(X102=0,0,X102/X$26)</f>
        <v>1.9659210498462383</v>
      </c>
      <c r="Y132" s="65">
        <f t="shared" si="156"/>
        <v>1.9403477553108428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29.689246578590563</v>
      </c>
      <c r="C133" s="65">
        <f t="shared" ref="C133:W133" si="158">IF(C103=0,0,C103/C$26)</f>
        <v>29.426790466323578</v>
      </c>
      <c r="D133" s="65">
        <f t="shared" si="158"/>
        <v>29.196801635646956</v>
      </c>
      <c r="E133" s="65">
        <f t="shared" si="158"/>
        <v>29.123969429051254</v>
      </c>
      <c r="F133" s="65">
        <f t="shared" si="158"/>
        <v>28.667628828354328</v>
      </c>
      <c r="G133" s="65">
        <f t="shared" si="158"/>
        <v>28.1955536848536</v>
      </c>
      <c r="H133" s="65">
        <f t="shared" si="158"/>
        <v>27.850259239588809</v>
      </c>
      <c r="I133" s="65">
        <f t="shared" si="158"/>
        <v>27.862210506450111</v>
      </c>
      <c r="J133" s="65">
        <f t="shared" si="158"/>
        <v>27.897581903207044</v>
      </c>
      <c r="K133" s="65">
        <f t="shared" si="158"/>
        <v>27.886767912136033</v>
      </c>
      <c r="L133" s="65">
        <f t="shared" si="158"/>
        <v>27.672990452286669</v>
      </c>
      <c r="M133" s="65">
        <f t="shared" si="158"/>
        <v>27.688828034645645</v>
      </c>
      <c r="N133" s="65">
        <f t="shared" si="158"/>
        <v>27.47479497009266</v>
      </c>
      <c r="O133" s="65">
        <f t="shared" si="158"/>
        <v>27.516238265619197</v>
      </c>
      <c r="P133" s="65">
        <f t="shared" si="158"/>
        <v>27.41385119233647</v>
      </c>
      <c r="Q133" s="65">
        <f t="shared" si="158"/>
        <v>27.267863969825147</v>
      </c>
      <c r="R133" s="65">
        <f t="shared" si="158"/>
        <v>26.684029319506621</v>
      </c>
      <c r="S133" s="65">
        <f t="shared" si="158"/>
        <v>26.638802358613937</v>
      </c>
      <c r="T133" s="65">
        <f t="shared" si="158"/>
        <v>26.27915297341459</v>
      </c>
      <c r="U133" s="65">
        <f t="shared" si="158"/>
        <v>26.142611468497456</v>
      </c>
      <c r="V133" s="65">
        <f t="shared" si="158"/>
        <v>26.397369812756953</v>
      </c>
      <c r="W133" s="65">
        <f t="shared" si="158"/>
        <v>25.724524887559085</v>
      </c>
      <c r="X133" s="65">
        <f t="shared" ref="X133:Y133" si="159">IF(X103=0,0,X103/X$26)</f>
        <v>24.798515065335451</v>
      </c>
      <c r="Y133" s="65">
        <f t="shared" si="159"/>
        <v>24.238424729499361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22.261382407458719</v>
      </c>
      <c r="C134" s="67">
        <f t="shared" ref="C134:W134" si="161">IF(C104=0,0,C104/C$26)</f>
        <v>23.046564589960788</v>
      </c>
      <c r="D134" s="67">
        <f t="shared" si="161"/>
        <v>23.020217109544475</v>
      </c>
      <c r="E134" s="67">
        <f t="shared" si="161"/>
        <v>23.132089002418155</v>
      </c>
      <c r="F134" s="67">
        <f t="shared" si="161"/>
        <v>23.440281186727944</v>
      </c>
      <c r="G134" s="67">
        <f t="shared" si="161"/>
        <v>23.801796299448309</v>
      </c>
      <c r="H134" s="67">
        <f t="shared" si="161"/>
        <v>24.467698623482558</v>
      </c>
      <c r="I134" s="67">
        <f t="shared" si="161"/>
        <v>25.105398717476561</v>
      </c>
      <c r="J134" s="67">
        <f t="shared" si="161"/>
        <v>25.298481386969943</v>
      </c>
      <c r="K134" s="67">
        <f t="shared" si="161"/>
        <v>25.546382713275783</v>
      </c>
      <c r="L134" s="67">
        <f t="shared" si="161"/>
        <v>26.066433115996773</v>
      </c>
      <c r="M134" s="67">
        <f t="shared" si="161"/>
        <v>26.528743200349268</v>
      </c>
      <c r="N134" s="67">
        <f t="shared" si="161"/>
        <v>25.850028992377865</v>
      </c>
      <c r="O134" s="67">
        <f t="shared" si="161"/>
        <v>26.143712057885306</v>
      </c>
      <c r="P134" s="67">
        <f t="shared" si="161"/>
        <v>26.120161773586894</v>
      </c>
      <c r="Q134" s="67">
        <f t="shared" si="161"/>
        <v>25.760068368748112</v>
      </c>
      <c r="R134" s="67">
        <f t="shared" si="161"/>
        <v>25.996720544814004</v>
      </c>
      <c r="S134" s="67">
        <f t="shared" si="161"/>
        <v>26.701396902513913</v>
      </c>
      <c r="T134" s="67">
        <f t="shared" si="161"/>
        <v>26.631256515632849</v>
      </c>
      <c r="U134" s="67">
        <f t="shared" si="161"/>
        <v>27.445757438926595</v>
      </c>
      <c r="V134" s="67">
        <f t="shared" si="161"/>
        <v>27.861271173356013</v>
      </c>
      <c r="W134" s="67">
        <f t="shared" si="161"/>
        <v>27.692740785136603</v>
      </c>
      <c r="X134" s="67">
        <f t="shared" ref="X134:Y134" si="162">IF(X104=0,0,X104/X$26)</f>
        <v>26.273471114845002</v>
      </c>
      <c r="Y134" s="67">
        <f t="shared" si="162"/>
        <v>25.361468445107391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62.041187051482332</v>
      </c>
      <c r="C135" s="68">
        <f t="shared" ref="C135:W135" si="164">IF(C105=0,0,C105/C$26)</f>
        <v>63.00550005730819</v>
      </c>
      <c r="D135" s="68">
        <f t="shared" si="164"/>
        <v>64.110307211568184</v>
      </c>
      <c r="E135" s="68">
        <f t="shared" si="164"/>
        <v>64.967706299409613</v>
      </c>
      <c r="F135" s="68">
        <f t="shared" si="164"/>
        <v>65.596065527181466</v>
      </c>
      <c r="G135" s="68">
        <f t="shared" si="164"/>
        <v>65.983615824064245</v>
      </c>
      <c r="H135" s="68">
        <f t="shared" si="164"/>
        <v>65.875713662359388</v>
      </c>
      <c r="I135" s="68">
        <f t="shared" si="164"/>
        <v>65.784220208880711</v>
      </c>
      <c r="J135" s="68">
        <f t="shared" si="164"/>
        <v>66.071969852490682</v>
      </c>
      <c r="K135" s="68">
        <f t="shared" si="164"/>
        <v>66.193063245854333</v>
      </c>
      <c r="L135" s="68">
        <f t="shared" si="164"/>
        <v>66.264607773034285</v>
      </c>
      <c r="M135" s="68">
        <f t="shared" si="164"/>
        <v>65.863363258400085</v>
      </c>
      <c r="N135" s="68">
        <f t="shared" si="164"/>
        <v>66.111653279717515</v>
      </c>
      <c r="O135" s="68">
        <f t="shared" si="164"/>
        <v>66.320122658388684</v>
      </c>
      <c r="P135" s="68">
        <f t="shared" si="164"/>
        <v>66.603598999078528</v>
      </c>
      <c r="Q135" s="68">
        <f t="shared" si="164"/>
        <v>66.848448633432596</v>
      </c>
      <c r="R135" s="68">
        <f t="shared" si="164"/>
        <v>66.807602229892666</v>
      </c>
      <c r="S135" s="68">
        <f t="shared" si="164"/>
        <v>66.046117408029573</v>
      </c>
      <c r="T135" s="68">
        <f t="shared" si="164"/>
        <v>65.282008102067252</v>
      </c>
      <c r="U135" s="68">
        <f t="shared" si="164"/>
        <v>65.189882830314701</v>
      </c>
      <c r="V135" s="68">
        <f t="shared" si="164"/>
        <v>66.814162977871845</v>
      </c>
      <c r="W135" s="68">
        <f t="shared" si="164"/>
        <v>67.125222034656389</v>
      </c>
      <c r="X135" s="68">
        <f t="shared" ref="X135:Y135" si="165">IF(X105=0,0,X105/X$26)</f>
        <v>65.226949274115441</v>
      </c>
      <c r="Y135" s="68">
        <f t="shared" si="165"/>
        <v>65.383853834461931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190.58700867225056</v>
      </c>
      <c r="C137" s="85">
        <f t="shared" ref="C137:W137" si="167">IF(C107=0,0,C107/C$26)</f>
        <v>208.88932041703373</v>
      </c>
      <c r="D137" s="85">
        <f t="shared" si="167"/>
        <v>206.72232316105439</v>
      </c>
      <c r="E137" s="85">
        <f t="shared" si="167"/>
        <v>204.86173129153823</v>
      </c>
      <c r="F137" s="85">
        <f t="shared" si="167"/>
        <v>194.83473104907807</v>
      </c>
      <c r="G137" s="85">
        <f t="shared" si="167"/>
        <v>176.67441992549044</v>
      </c>
      <c r="H137" s="85">
        <f t="shared" si="167"/>
        <v>178.16554062929828</v>
      </c>
      <c r="I137" s="85">
        <f t="shared" si="167"/>
        <v>180.44599773275471</v>
      </c>
      <c r="J137" s="85">
        <f t="shared" si="167"/>
        <v>178.28355516756028</v>
      </c>
      <c r="K137" s="85">
        <f t="shared" si="167"/>
        <v>172.01299654521355</v>
      </c>
      <c r="L137" s="85">
        <f t="shared" si="167"/>
        <v>186.01843729702969</v>
      </c>
      <c r="M137" s="85">
        <f t="shared" si="167"/>
        <v>162.10845200201931</v>
      </c>
      <c r="N137" s="85">
        <f t="shared" si="167"/>
        <v>172.79193616658796</v>
      </c>
      <c r="O137" s="85">
        <f t="shared" si="167"/>
        <v>168.28751381584206</v>
      </c>
      <c r="P137" s="85">
        <f t="shared" si="167"/>
        <v>166.43385983242399</v>
      </c>
      <c r="Q137" s="85">
        <f t="shared" si="167"/>
        <v>167.54207721682505</v>
      </c>
      <c r="R137" s="85">
        <f t="shared" si="167"/>
        <v>177.32781885608082</v>
      </c>
      <c r="S137" s="85">
        <f t="shared" si="167"/>
        <v>166.26468760857253</v>
      </c>
      <c r="T137" s="85">
        <f t="shared" si="167"/>
        <v>172.30697783817914</v>
      </c>
      <c r="U137" s="85">
        <f t="shared" si="167"/>
        <v>168.18762686367171</v>
      </c>
      <c r="V137" s="85">
        <f t="shared" si="167"/>
        <v>166.12200982960286</v>
      </c>
      <c r="W137" s="85">
        <f t="shared" si="167"/>
        <v>179.62553340247223</v>
      </c>
      <c r="X137" s="85">
        <f t="shared" ref="X137:Y137" si="168">IF(X107=0,0,X107/X$26)</f>
        <v>179.39228269559828</v>
      </c>
      <c r="Y137" s="85">
        <f t="shared" si="168"/>
        <v>177.30186586125149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147.2617188351623</v>
      </c>
      <c r="C138" s="65">
        <f t="shared" ref="C138:W138" si="170">IF(C108=0,0,C108/C$26)</f>
        <v>165.13700846359868</v>
      </c>
      <c r="D138" s="65">
        <f t="shared" si="170"/>
        <v>162.7208277140831</v>
      </c>
      <c r="E138" s="65">
        <f t="shared" si="170"/>
        <v>160.445832310117</v>
      </c>
      <c r="F138" s="65">
        <f t="shared" si="170"/>
        <v>149.93461736717836</v>
      </c>
      <c r="G138" s="65">
        <f t="shared" si="170"/>
        <v>131.16272385411187</v>
      </c>
      <c r="H138" s="65">
        <f t="shared" si="170"/>
        <v>132.48626397471432</v>
      </c>
      <c r="I138" s="65">
        <f t="shared" si="170"/>
        <v>134.2801863907456</v>
      </c>
      <c r="J138" s="65">
        <f t="shared" si="170"/>
        <v>131.29965671445044</v>
      </c>
      <c r="K138" s="65">
        <f t="shared" si="170"/>
        <v>123.86393786565628</v>
      </c>
      <c r="L138" s="65">
        <f t="shared" si="170"/>
        <v>137.55021388807211</v>
      </c>
      <c r="M138" s="65">
        <f t="shared" si="170"/>
        <v>112.95080837068221</v>
      </c>
      <c r="N138" s="65">
        <f t="shared" si="170"/>
        <v>123.11824476617431</v>
      </c>
      <c r="O138" s="65">
        <f t="shared" si="170"/>
        <v>117.97595505599801</v>
      </c>
      <c r="P138" s="65">
        <f t="shared" si="170"/>
        <v>115.83545031793996</v>
      </c>
      <c r="Q138" s="65">
        <f t="shared" si="170"/>
        <v>117.04570352686447</v>
      </c>
      <c r="R138" s="65">
        <f t="shared" si="170"/>
        <v>126.52482984431276</v>
      </c>
      <c r="S138" s="65">
        <f t="shared" si="170"/>
        <v>114.3683576519218</v>
      </c>
      <c r="T138" s="65">
        <f t="shared" si="170"/>
        <v>120.17108554638318</v>
      </c>
      <c r="U138" s="65">
        <f t="shared" si="170"/>
        <v>115.05538804068499</v>
      </c>
      <c r="V138" s="65">
        <f t="shared" si="170"/>
        <v>112.15397335325065</v>
      </c>
      <c r="W138" s="65">
        <f t="shared" si="170"/>
        <v>125.43922456648438</v>
      </c>
      <c r="X138" s="65">
        <f t="shared" ref="X138:Y138" si="171">IF(X108=0,0,X108/X$26)</f>
        <v>126.88567784690699</v>
      </c>
      <c r="Y138" s="65">
        <f t="shared" si="171"/>
        <v>125.48084400235139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6.7376506994353482</v>
      </c>
      <c r="C139" s="65">
        <f t="shared" ref="C139:W139" si="173">IF(C109=0,0,C109/C$26)</f>
        <v>6.8118617893317621</v>
      </c>
      <c r="D139" s="65">
        <f t="shared" si="173"/>
        <v>6.9435859498427606</v>
      </c>
      <c r="E139" s="65">
        <f t="shared" si="173"/>
        <v>7.0192790283307218</v>
      </c>
      <c r="F139" s="65">
        <f t="shared" si="173"/>
        <v>7.1863994923953651</v>
      </c>
      <c r="G139" s="65">
        <f t="shared" si="173"/>
        <v>7.3290713865367598</v>
      </c>
      <c r="H139" s="65">
        <f t="shared" si="173"/>
        <v>7.4701819346468827</v>
      </c>
      <c r="I139" s="65">
        <f t="shared" si="173"/>
        <v>7.6999129115652165</v>
      </c>
      <c r="J139" s="65">
        <f t="shared" si="173"/>
        <v>7.9991938338969524</v>
      </c>
      <c r="K139" s="65">
        <f t="shared" si="173"/>
        <v>8.1570301078099821</v>
      </c>
      <c r="L139" s="65">
        <f t="shared" si="173"/>
        <v>8.4790515648654861</v>
      </c>
      <c r="M139" s="65">
        <f t="shared" si="173"/>
        <v>8.4835125062063792</v>
      </c>
      <c r="N139" s="65">
        <f t="shared" si="173"/>
        <v>8.629201652504257</v>
      </c>
      <c r="O139" s="65">
        <f t="shared" si="173"/>
        <v>8.7780719918188037</v>
      </c>
      <c r="P139" s="65">
        <f t="shared" si="173"/>
        <v>8.984804533317865</v>
      </c>
      <c r="Q139" s="65">
        <f t="shared" si="173"/>
        <v>8.9350026739938873</v>
      </c>
      <c r="R139" s="65">
        <f t="shared" si="173"/>
        <v>9.1205075626981884</v>
      </c>
      <c r="S139" s="65">
        <f t="shared" si="173"/>
        <v>9.2971078825642337</v>
      </c>
      <c r="T139" s="65">
        <f t="shared" si="173"/>
        <v>9.4197680997765367</v>
      </c>
      <c r="U139" s="65">
        <f t="shared" si="173"/>
        <v>9.3929989124442432</v>
      </c>
      <c r="V139" s="65">
        <f t="shared" si="173"/>
        <v>9.2415609981384641</v>
      </c>
      <c r="W139" s="65">
        <f t="shared" si="173"/>
        <v>9.4396127926633753</v>
      </c>
      <c r="X139" s="65">
        <f t="shared" ref="X139:Y139" si="174">IF(X109=0,0,X109/X$26)</f>
        <v>9.243838447660595</v>
      </c>
      <c r="Y139" s="65">
        <f t="shared" si="174"/>
        <v>9.2463266384438878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19.203406634772207</v>
      </c>
      <c r="C140" s="65">
        <f t="shared" ref="C140:W140" si="176">IF(C110=0,0,C110/C$26)</f>
        <v>19.095434989880914</v>
      </c>
      <c r="D140" s="65">
        <f t="shared" si="176"/>
        <v>19.046334154303164</v>
      </c>
      <c r="E140" s="65">
        <f t="shared" si="176"/>
        <v>19.104608896976742</v>
      </c>
      <c r="F140" s="65">
        <f t="shared" si="176"/>
        <v>19.052172185855518</v>
      </c>
      <c r="G140" s="65">
        <f t="shared" si="176"/>
        <v>19.187565740391012</v>
      </c>
      <c r="H140" s="65">
        <f t="shared" si="176"/>
        <v>19.087699664648884</v>
      </c>
      <c r="I140" s="65">
        <f t="shared" si="176"/>
        <v>19.236341887249012</v>
      </c>
      <c r="J140" s="65">
        <f t="shared" si="176"/>
        <v>19.416184243988255</v>
      </c>
      <c r="K140" s="65">
        <f t="shared" si="176"/>
        <v>19.679163179408071</v>
      </c>
      <c r="L140" s="65">
        <f t="shared" si="176"/>
        <v>19.658462260257512</v>
      </c>
      <c r="M140" s="65">
        <f t="shared" si="176"/>
        <v>19.817377072864566</v>
      </c>
      <c r="N140" s="65">
        <f t="shared" si="176"/>
        <v>19.805015702718656</v>
      </c>
      <c r="O140" s="65">
        <f t="shared" si="176"/>
        <v>20.017114300121378</v>
      </c>
      <c r="P140" s="65">
        <f t="shared" si="176"/>
        <v>20.090251434901614</v>
      </c>
      <c r="Q140" s="65">
        <f t="shared" si="176"/>
        <v>20.045579418597217</v>
      </c>
      <c r="R140" s="65">
        <f t="shared" si="176"/>
        <v>19.89384403038494</v>
      </c>
      <c r="S140" s="65">
        <f t="shared" si="176"/>
        <v>20.049274754218736</v>
      </c>
      <c r="T140" s="65">
        <f t="shared" si="176"/>
        <v>20.103232976264856</v>
      </c>
      <c r="U140" s="65">
        <f t="shared" si="176"/>
        <v>20.280469010491576</v>
      </c>
      <c r="V140" s="65">
        <f t="shared" si="176"/>
        <v>20.678928277824948</v>
      </c>
      <c r="W140" s="65">
        <f t="shared" si="176"/>
        <v>20.624748197235096</v>
      </c>
      <c r="X140" s="65">
        <f t="shared" ref="X140:Y140" si="177">IF(X110=0,0,X110/X$26)</f>
        <v>20.178036994897894</v>
      </c>
      <c r="Y140" s="65">
        <f t="shared" si="177"/>
        <v>20.095219796520261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17.38423250288071</v>
      </c>
      <c r="C141" s="68">
        <f t="shared" ref="C141:W141" si="179">IF(C111=0,0,C111/C$26)</f>
        <v>17.845015174222386</v>
      </c>
      <c r="D141" s="68">
        <f t="shared" si="179"/>
        <v>18.011575342825392</v>
      </c>
      <c r="E141" s="68">
        <f t="shared" si="179"/>
        <v>18.292011056113747</v>
      </c>
      <c r="F141" s="68">
        <f t="shared" si="179"/>
        <v>18.661542003648847</v>
      </c>
      <c r="G141" s="68">
        <f t="shared" si="179"/>
        <v>18.995058944450808</v>
      </c>
      <c r="H141" s="68">
        <f t="shared" si="179"/>
        <v>19.121395055288204</v>
      </c>
      <c r="I141" s="68">
        <f t="shared" si="179"/>
        <v>19.229556543194871</v>
      </c>
      <c r="J141" s="68">
        <f t="shared" si="179"/>
        <v>19.568520375224637</v>
      </c>
      <c r="K141" s="68">
        <f t="shared" si="179"/>
        <v>20.312865392339194</v>
      </c>
      <c r="L141" s="68">
        <f t="shared" si="179"/>
        <v>20.330709583834583</v>
      </c>
      <c r="M141" s="68">
        <f t="shared" si="179"/>
        <v>20.856754052266144</v>
      </c>
      <c r="N141" s="68">
        <f t="shared" si="179"/>
        <v>21.239474045190729</v>
      </c>
      <c r="O141" s="68">
        <f t="shared" si="179"/>
        <v>21.516372467903878</v>
      </c>
      <c r="P141" s="68">
        <f t="shared" si="179"/>
        <v>21.523353546264538</v>
      </c>
      <c r="Q141" s="68">
        <f t="shared" si="179"/>
        <v>21.515791597369471</v>
      </c>
      <c r="R141" s="68">
        <f t="shared" si="179"/>
        <v>21.788637418684946</v>
      </c>
      <c r="S141" s="68">
        <f t="shared" si="179"/>
        <v>22.549947319867751</v>
      </c>
      <c r="T141" s="68">
        <f t="shared" si="179"/>
        <v>22.612891215754573</v>
      </c>
      <c r="U141" s="68">
        <f t="shared" si="179"/>
        <v>23.458770900050922</v>
      </c>
      <c r="V141" s="68">
        <f t="shared" si="179"/>
        <v>24.047547200388788</v>
      </c>
      <c r="W141" s="68">
        <f t="shared" si="179"/>
        <v>24.12194784608937</v>
      </c>
      <c r="X141" s="68">
        <f t="shared" ref="X141:Y141" si="180">IF(X111=0,0,X111/X$26)</f>
        <v>23.084729406132809</v>
      </c>
      <c r="Y141" s="68">
        <f t="shared" si="180"/>
        <v>22.479475423935966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22.927263782818287</v>
      </c>
      <c r="C143" s="82">
        <f t="shared" ref="C143:W143" si="182">IF(C113=0,0,C113/C$26)</f>
        <v>22.973221808827113</v>
      </c>
      <c r="D143" s="82">
        <f t="shared" si="182"/>
        <v>22.478064415888305</v>
      </c>
      <c r="E143" s="82">
        <f t="shared" si="182"/>
        <v>23.210327406864341</v>
      </c>
      <c r="F143" s="82">
        <f t="shared" si="182"/>
        <v>17.558542557738026</v>
      </c>
      <c r="G143" s="82">
        <f t="shared" si="182"/>
        <v>9.7823040392046412</v>
      </c>
      <c r="H143" s="82">
        <f t="shared" si="182"/>
        <v>9.2881618181953023</v>
      </c>
      <c r="I143" s="82">
        <f t="shared" si="182"/>
        <v>9.4190013431568111</v>
      </c>
      <c r="J143" s="82">
        <f t="shared" si="182"/>
        <v>8.330664781797072</v>
      </c>
      <c r="K143" s="82">
        <f t="shared" si="182"/>
        <v>7.0421068560725502</v>
      </c>
      <c r="L143" s="82">
        <f t="shared" si="182"/>
        <v>8.4003951330757634</v>
      </c>
      <c r="M143" s="82">
        <f t="shared" si="182"/>
        <v>7.6941442844335297</v>
      </c>
      <c r="N143" s="82">
        <f t="shared" si="182"/>
        <v>7.0238527438114167</v>
      </c>
      <c r="O143" s="82">
        <f t="shared" si="182"/>
        <v>6.1977688595242642</v>
      </c>
      <c r="P143" s="82">
        <f t="shared" si="182"/>
        <v>5.879237574162147</v>
      </c>
      <c r="Q143" s="82">
        <f t="shared" si="182"/>
        <v>5.5071654763925322</v>
      </c>
      <c r="R143" s="82">
        <f t="shared" si="182"/>
        <v>5.2923340752612296</v>
      </c>
      <c r="S143" s="82">
        <f t="shared" si="182"/>
        <v>4.6578780305716112</v>
      </c>
      <c r="T143" s="82">
        <f t="shared" si="182"/>
        <v>4.8561127939229971</v>
      </c>
      <c r="U143" s="82">
        <f t="shared" si="182"/>
        <v>4.9825422718374908</v>
      </c>
      <c r="V143" s="82">
        <f t="shared" si="182"/>
        <v>4.7920146837908746</v>
      </c>
      <c r="W143" s="82">
        <f t="shared" si="182"/>
        <v>4.2131532704404258</v>
      </c>
      <c r="X143" s="82">
        <f t="shared" ref="X143:Y143" si="183">IF(X113=0,0,X113/X$26)</f>
        <v>3.6877613354120968</v>
      </c>
      <c r="Y143" s="82">
        <f t="shared" si="183"/>
        <v>3.1285270832484176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22.927263782818287</v>
      </c>
      <c r="C144" s="64">
        <f t="shared" ref="C144:W144" si="185">IF(C114=0,0,C114/C$26)</f>
        <v>22.973221808827113</v>
      </c>
      <c r="D144" s="64">
        <f t="shared" si="185"/>
        <v>22.478064415888305</v>
      </c>
      <c r="E144" s="64">
        <f t="shared" si="185"/>
        <v>23.210327406864341</v>
      </c>
      <c r="F144" s="64">
        <f t="shared" si="185"/>
        <v>17.558542557738026</v>
      </c>
      <c r="G144" s="64">
        <f t="shared" si="185"/>
        <v>9.7823040392046412</v>
      </c>
      <c r="H144" s="64">
        <f t="shared" si="185"/>
        <v>9.2881618181953023</v>
      </c>
      <c r="I144" s="64">
        <f t="shared" si="185"/>
        <v>9.4190013431568111</v>
      </c>
      <c r="J144" s="64">
        <f t="shared" si="185"/>
        <v>8.330664781797072</v>
      </c>
      <c r="K144" s="64">
        <f t="shared" si="185"/>
        <v>7.0421068560725502</v>
      </c>
      <c r="L144" s="64">
        <f t="shared" si="185"/>
        <v>8.4003951330757634</v>
      </c>
      <c r="M144" s="64">
        <f t="shared" si="185"/>
        <v>7.6941442844335297</v>
      </c>
      <c r="N144" s="64">
        <f t="shared" si="185"/>
        <v>7.0238527438114167</v>
      </c>
      <c r="O144" s="64">
        <f t="shared" si="185"/>
        <v>6.1977688595242642</v>
      </c>
      <c r="P144" s="64">
        <f t="shared" si="185"/>
        <v>5.879237574162147</v>
      </c>
      <c r="Q144" s="64">
        <f t="shared" si="185"/>
        <v>5.5071654763925322</v>
      </c>
      <c r="R144" s="64">
        <f t="shared" si="185"/>
        <v>5.2923340752612296</v>
      </c>
      <c r="S144" s="64">
        <f t="shared" si="185"/>
        <v>4.6578780305716112</v>
      </c>
      <c r="T144" s="64">
        <f t="shared" si="185"/>
        <v>4.8561127939229971</v>
      </c>
      <c r="U144" s="64">
        <f t="shared" si="185"/>
        <v>4.9825422718374908</v>
      </c>
      <c r="V144" s="64">
        <f t="shared" si="185"/>
        <v>4.7920146837908746</v>
      </c>
      <c r="W144" s="64">
        <f t="shared" si="185"/>
        <v>4.2131532704404258</v>
      </c>
      <c r="X144" s="64">
        <f t="shared" ref="X144:Y144" si="186">IF(X114=0,0,X114/X$26)</f>
        <v>3.6877613354120968</v>
      </c>
      <c r="Y144" s="64">
        <f t="shared" si="186"/>
        <v>3.1285270832484176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20.039436479597544</v>
      </c>
      <c r="C145" s="65">
        <f t="shared" ref="C145:W145" si="188">IF(C115=0,0,C115/C$26)</f>
        <v>19.910584703170922</v>
      </c>
      <c r="D145" s="65">
        <f t="shared" si="188"/>
        <v>19.67841467781783</v>
      </c>
      <c r="E145" s="65">
        <f t="shared" si="188"/>
        <v>20.644713454127075</v>
      </c>
      <c r="F145" s="65">
        <f t="shared" si="188"/>
        <v>15.273365827491068</v>
      </c>
      <c r="G145" s="65">
        <f t="shared" si="188"/>
        <v>8.0315808670714333</v>
      </c>
      <c r="H145" s="65">
        <f t="shared" si="188"/>
        <v>7.0204383622803626</v>
      </c>
      <c r="I145" s="65">
        <f t="shared" si="188"/>
        <v>6.8150759291834291</v>
      </c>
      <c r="J145" s="65">
        <f t="shared" si="188"/>
        <v>5.9659863552004024</v>
      </c>
      <c r="K145" s="65">
        <f t="shared" si="188"/>
        <v>5.5001376792280903</v>
      </c>
      <c r="L145" s="65">
        <f t="shared" si="188"/>
        <v>6.3917902841409813</v>
      </c>
      <c r="M145" s="65">
        <f t="shared" si="188"/>
        <v>5.7987644368285238</v>
      </c>
      <c r="N145" s="65">
        <f t="shared" si="188"/>
        <v>5.9553350836307457</v>
      </c>
      <c r="O145" s="65">
        <f t="shared" si="188"/>
        <v>5.0826961327022158</v>
      </c>
      <c r="P145" s="65">
        <f t="shared" si="188"/>
        <v>4.8867272068746699</v>
      </c>
      <c r="Q145" s="65">
        <f t="shared" si="188"/>
        <v>4.5789049113622076</v>
      </c>
      <c r="R145" s="65">
        <f t="shared" si="188"/>
        <v>4.3667453263567504</v>
      </c>
      <c r="S145" s="65">
        <f t="shared" si="188"/>
        <v>3.8226028981114881</v>
      </c>
      <c r="T145" s="65">
        <f t="shared" si="188"/>
        <v>4.0046428092288453</v>
      </c>
      <c r="U145" s="65">
        <f t="shared" si="188"/>
        <v>4.1065091117354484</v>
      </c>
      <c r="V145" s="65">
        <f t="shared" si="188"/>
        <v>3.9540351679263708</v>
      </c>
      <c r="W145" s="65">
        <f t="shared" si="188"/>
        <v>3.45385167308303</v>
      </c>
      <c r="X145" s="65">
        <f t="shared" ref="X145:Y145" si="189">IF(X115=0,0,X115/X$26)</f>
        <v>3.0095216592947001</v>
      </c>
      <c r="Y145" s="65">
        <f t="shared" si="189"/>
        <v>2.5414876286755308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0</v>
      </c>
      <c r="C146" s="65">
        <f t="shared" ref="C146:W146" si="191">IF(C116=0,0,C116/C$26)</f>
        <v>0</v>
      </c>
      <c r="D146" s="65">
        <f t="shared" si="191"/>
        <v>0</v>
      </c>
      <c r="E146" s="65">
        <f t="shared" si="191"/>
        <v>0</v>
      </c>
      <c r="F146" s="65">
        <f t="shared" si="191"/>
        <v>0</v>
      </c>
      <c r="G146" s="65">
        <f t="shared" si="191"/>
        <v>0</v>
      </c>
      <c r="H146" s="65">
        <f t="shared" si="191"/>
        <v>0</v>
      </c>
      <c r="I146" s="65">
        <f t="shared" si="191"/>
        <v>0</v>
      </c>
      <c r="J146" s="65">
        <f t="shared" si="191"/>
        <v>0</v>
      </c>
      <c r="K146" s="65">
        <f t="shared" si="191"/>
        <v>0</v>
      </c>
      <c r="L146" s="65">
        <f t="shared" si="191"/>
        <v>0</v>
      </c>
      <c r="M146" s="65">
        <f t="shared" si="191"/>
        <v>0</v>
      </c>
      <c r="N146" s="65">
        <f t="shared" si="191"/>
        <v>0</v>
      </c>
      <c r="O146" s="65">
        <f t="shared" si="191"/>
        <v>0</v>
      </c>
      <c r="P146" s="65">
        <f t="shared" si="191"/>
        <v>0</v>
      </c>
      <c r="Q146" s="65">
        <f t="shared" si="191"/>
        <v>0</v>
      </c>
      <c r="R146" s="65">
        <f t="shared" si="191"/>
        <v>0</v>
      </c>
      <c r="S146" s="65">
        <f t="shared" si="191"/>
        <v>0</v>
      </c>
      <c r="T146" s="65">
        <f t="shared" si="191"/>
        <v>0</v>
      </c>
      <c r="U146" s="65">
        <f t="shared" si="191"/>
        <v>0</v>
      </c>
      <c r="V146" s="65">
        <f t="shared" si="191"/>
        <v>0</v>
      </c>
      <c r="W146" s="65">
        <f t="shared" si="191"/>
        <v>0</v>
      </c>
      <c r="X146" s="65">
        <f t="shared" ref="X146:Y146" si="192">IF(X116=0,0,X116/X$26)</f>
        <v>0</v>
      </c>
      <c r="Y146" s="65">
        <f t="shared" si="192"/>
        <v>0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1.9857906388318369</v>
      </c>
      <c r="C147" s="65">
        <f t="shared" ref="C147:W147" si="194">IF(C117=0,0,C117/C$26)</f>
        <v>1.9182879296412929</v>
      </c>
      <c r="D147" s="65">
        <f t="shared" si="194"/>
        <v>1.8298287701425373</v>
      </c>
      <c r="E147" s="65">
        <f t="shared" si="194"/>
        <v>1.7671442237495536</v>
      </c>
      <c r="F147" s="65">
        <f t="shared" si="194"/>
        <v>1.5735227518467509</v>
      </c>
      <c r="G147" s="65">
        <f t="shared" si="194"/>
        <v>1.0368484786501246</v>
      </c>
      <c r="H147" s="65">
        <f t="shared" si="194"/>
        <v>1.0394525072489775</v>
      </c>
      <c r="I147" s="65">
        <f t="shared" si="194"/>
        <v>0.86182093717946129</v>
      </c>
      <c r="J147" s="65">
        <f t="shared" si="194"/>
        <v>0.76788820738495522</v>
      </c>
      <c r="K147" s="65">
        <f t="shared" si="194"/>
        <v>0.46996886798465604</v>
      </c>
      <c r="L147" s="65">
        <f t="shared" si="194"/>
        <v>0.43631516155573041</v>
      </c>
      <c r="M147" s="65">
        <f t="shared" si="194"/>
        <v>0.45117735789204588</v>
      </c>
      <c r="N147" s="65">
        <f t="shared" si="194"/>
        <v>0.60564075055815503</v>
      </c>
      <c r="O147" s="65">
        <f t="shared" si="194"/>
        <v>0.63034785385205327</v>
      </c>
      <c r="P147" s="65">
        <f t="shared" si="194"/>
        <v>0.47764469012913652</v>
      </c>
      <c r="Q147" s="65">
        <f t="shared" si="194"/>
        <v>0.64942313300332433</v>
      </c>
      <c r="R147" s="65">
        <f t="shared" si="194"/>
        <v>0.63578831903486754</v>
      </c>
      <c r="S147" s="65">
        <f t="shared" si="194"/>
        <v>0.59719741712691665</v>
      </c>
      <c r="T147" s="65">
        <f t="shared" si="194"/>
        <v>0.60172452289562006</v>
      </c>
      <c r="U147" s="65">
        <f t="shared" si="194"/>
        <v>0.59820538831950731</v>
      </c>
      <c r="V147" s="65">
        <f t="shared" si="194"/>
        <v>0.57317534987627272</v>
      </c>
      <c r="W147" s="65">
        <f t="shared" si="194"/>
        <v>0.49336337796580482</v>
      </c>
      <c r="X147" s="65">
        <f t="shared" ref="X147:Y147" si="195">IF(X117=0,0,X117/X$26)</f>
        <v>0.41788848592885097</v>
      </c>
      <c r="Y147" s="65">
        <f t="shared" si="195"/>
        <v>0.32953849087663678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0.90203666438890906</v>
      </c>
      <c r="C148" s="67">
        <f t="shared" ref="C148:W148" si="197">IF(C118=0,0,C118/C$26)</f>
        <v>1.1443491760148958</v>
      </c>
      <c r="D148" s="67">
        <f t="shared" si="197"/>
        <v>0.96982096792793859</v>
      </c>
      <c r="E148" s="67">
        <f t="shared" si="197"/>
        <v>0.79846972898771484</v>
      </c>
      <c r="F148" s="67">
        <f t="shared" si="197"/>
        <v>0.71165397840020839</v>
      </c>
      <c r="G148" s="67">
        <f t="shared" si="197"/>
        <v>0.71387469348308208</v>
      </c>
      <c r="H148" s="67">
        <f t="shared" si="197"/>
        <v>1.2282709486659642</v>
      </c>
      <c r="I148" s="67">
        <f t="shared" si="197"/>
        <v>1.7421044767939231</v>
      </c>
      <c r="J148" s="67">
        <f t="shared" si="197"/>
        <v>1.5967902192117127</v>
      </c>
      <c r="K148" s="67">
        <f t="shared" si="197"/>
        <v>1.0720003088598031</v>
      </c>
      <c r="L148" s="67">
        <f t="shared" si="197"/>
        <v>1.5722896873790517</v>
      </c>
      <c r="M148" s="67">
        <f t="shared" si="197"/>
        <v>1.4442024897129588</v>
      </c>
      <c r="N148" s="67">
        <f t="shared" si="197"/>
        <v>0.46287690962251637</v>
      </c>
      <c r="O148" s="67">
        <f t="shared" si="197"/>
        <v>0.48472487296999617</v>
      </c>
      <c r="P148" s="67">
        <f t="shared" si="197"/>
        <v>0.51486567715834053</v>
      </c>
      <c r="Q148" s="67">
        <f t="shared" si="197"/>
        <v>0.27883743202699962</v>
      </c>
      <c r="R148" s="67">
        <f t="shared" si="197"/>
        <v>0.28980042986961191</v>
      </c>
      <c r="S148" s="67">
        <f t="shared" si="197"/>
        <v>0.23807771533320707</v>
      </c>
      <c r="T148" s="67">
        <f t="shared" si="197"/>
        <v>0.24974546179853135</v>
      </c>
      <c r="U148" s="67">
        <f t="shared" si="197"/>
        <v>0.27782777178253515</v>
      </c>
      <c r="V148" s="67">
        <f t="shared" si="197"/>
        <v>0.26480416598823253</v>
      </c>
      <c r="W148" s="67">
        <f t="shared" si="197"/>
        <v>0.26593821939159112</v>
      </c>
      <c r="X148" s="67">
        <f t="shared" ref="X148:Y148" si="198">IF(X118=0,0,X118/X$26)</f>
        <v>0.26035119018854536</v>
      </c>
      <c r="Y148" s="67">
        <f t="shared" si="198"/>
        <v>0.25750096369624964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16112.586762806672</v>
      </c>
      <c r="C153" s="82">
        <f t="shared" ref="C153:W153" si="203">IF(C99=0,0,C99/C$23)</f>
        <v>17084.637062773578</v>
      </c>
      <c r="D153" s="82">
        <f t="shared" si="203"/>
        <v>16961.428179864306</v>
      </c>
      <c r="E153" s="82">
        <f t="shared" si="203"/>
        <v>16886.206869766898</v>
      </c>
      <c r="F153" s="82">
        <f t="shared" si="203"/>
        <v>16043.991228788236</v>
      </c>
      <c r="G153" s="82">
        <f t="shared" si="203"/>
        <v>14399.82877776512</v>
      </c>
      <c r="H153" s="82">
        <f t="shared" si="203"/>
        <v>14217.78944457525</v>
      </c>
      <c r="I153" s="82">
        <f t="shared" si="203"/>
        <v>14188.482972371965</v>
      </c>
      <c r="J153" s="82">
        <f t="shared" si="203"/>
        <v>13956.907907119135</v>
      </c>
      <c r="K153" s="82">
        <f t="shared" si="203"/>
        <v>13643.180946297756</v>
      </c>
      <c r="L153" s="82">
        <f t="shared" si="203"/>
        <v>14520.407891665303</v>
      </c>
      <c r="M153" s="82">
        <f t="shared" si="203"/>
        <v>12682.317999979341</v>
      </c>
      <c r="N153" s="82">
        <f t="shared" si="203"/>
        <v>13136.32041297338</v>
      </c>
      <c r="O153" s="82">
        <f t="shared" si="203"/>
        <v>12664.56852251604</v>
      </c>
      <c r="P153" s="82">
        <f t="shared" si="203"/>
        <v>12427.566777954906</v>
      </c>
      <c r="Q153" s="82">
        <f t="shared" si="203"/>
        <v>12366.291646330068</v>
      </c>
      <c r="R153" s="82">
        <f t="shared" si="203"/>
        <v>12601.532459348873</v>
      </c>
      <c r="S153" s="82">
        <f t="shared" si="203"/>
        <v>11704.933769154004</v>
      </c>
      <c r="T153" s="82">
        <f t="shared" si="203"/>
        <v>11854.997222080612</v>
      </c>
      <c r="U153" s="82">
        <f t="shared" si="203"/>
        <v>11521.98404107526</v>
      </c>
      <c r="V153" s="82">
        <f t="shared" si="203"/>
        <v>11619.389283445282</v>
      </c>
      <c r="W153" s="82">
        <f t="shared" si="203"/>
        <v>12198.621746391707</v>
      </c>
      <c r="X153" s="82">
        <f t="shared" ref="X153:Y153" si="204">IF(X99=0,0,X99/X$23)</f>
        <v>11652.929156010163</v>
      </c>
      <c r="Y153" s="82">
        <f t="shared" si="204"/>
        <v>11355.782116805323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13257.647404320523</v>
      </c>
      <c r="C154" s="64">
        <f t="shared" ref="C154:W154" si="206">IF(C100=0,0,C100/C$23)</f>
        <v>14220.792505660675</v>
      </c>
      <c r="D154" s="64">
        <f t="shared" si="206"/>
        <v>14031.076659898281</v>
      </c>
      <c r="E154" s="64">
        <f t="shared" si="206"/>
        <v>13906.910249698863</v>
      </c>
      <c r="F154" s="64">
        <f t="shared" si="206"/>
        <v>13000.25884695658</v>
      </c>
      <c r="G154" s="64">
        <f t="shared" si="206"/>
        <v>11317.133378667158</v>
      </c>
      <c r="H154" s="64">
        <f t="shared" si="206"/>
        <v>11164.20918163335</v>
      </c>
      <c r="I154" s="64">
        <f t="shared" si="206"/>
        <v>11156.948592860361</v>
      </c>
      <c r="J154" s="64">
        <f t="shared" si="206"/>
        <v>10898.738096678619</v>
      </c>
      <c r="K154" s="64">
        <f t="shared" si="206"/>
        <v>10520.675449262186</v>
      </c>
      <c r="L154" s="64">
        <f t="shared" si="206"/>
        <v>11384.055978304026</v>
      </c>
      <c r="M154" s="64">
        <f t="shared" si="206"/>
        <v>9601.0377112633651</v>
      </c>
      <c r="N154" s="64">
        <f t="shared" si="206"/>
        <v>10052.764738526665</v>
      </c>
      <c r="O154" s="64">
        <f t="shared" si="206"/>
        <v>9572.9766439589039</v>
      </c>
      <c r="P154" s="64">
        <f t="shared" si="206"/>
        <v>9349.4743006663684</v>
      </c>
      <c r="Q154" s="64">
        <f t="shared" si="206"/>
        <v>9297.7776167525517</v>
      </c>
      <c r="R154" s="64">
        <f t="shared" si="206"/>
        <v>9583.5892062180046</v>
      </c>
      <c r="S154" s="64">
        <f t="shared" si="206"/>
        <v>8744.2234126783333</v>
      </c>
      <c r="T154" s="64">
        <f t="shared" si="206"/>
        <v>8939.7214398961623</v>
      </c>
      <c r="U154" s="64">
        <f t="shared" si="206"/>
        <v>8603.1007018724449</v>
      </c>
      <c r="V154" s="64">
        <f t="shared" si="206"/>
        <v>8553.4807766502345</v>
      </c>
      <c r="W154" s="64">
        <f t="shared" si="206"/>
        <v>9126.1069588875416</v>
      </c>
      <c r="X154" s="64">
        <f t="shared" ref="X154:Y154" si="207">IF(X100=0,0,X100/X$23)</f>
        <v>8747.6750368173707</v>
      </c>
      <c r="Y154" s="64">
        <f t="shared" si="207"/>
        <v>8467.0097608234209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10707.504574839282</v>
      </c>
      <c r="C155" s="65">
        <f t="shared" ref="C155:W155" si="209">IF(C101=0,0,C101/C$23)</f>
        <v>11681.764468193845</v>
      </c>
      <c r="D155" s="65">
        <f t="shared" si="209"/>
        <v>11492.909576802389</v>
      </c>
      <c r="E155" s="65">
        <f t="shared" si="209"/>
        <v>11363.434193348061</v>
      </c>
      <c r="F155" s="65">
        <f t="shared" si="209"/>
        <v>10437.604812172389</v>
      </c>
      <c r="G155" s="65">
        <f t="shared" si="209"/>
        <v>8747.1380771001313</v>
      </c>
      <c r="H155" s="65">
        <f t="shared" si="209"/>
        <v>8605.2504992811155</v>
      </c>
      <c r="I155" s="65">
        <f t="shared" si="209"/>
        <v>8588.2198142827147</v>
      </c>
      <c r="J155" s="65">
        <f t="shared" si="209"/>
        <v>8313.2133043785943</v>
      </c>
      <c r="K155" s="65">
        <f t="shared" si="209"/>
        <v>7874.2855576291468</v>
      </c>
      <c r="L155" s="65">
        <f t="shared" si="209"/>
        <v>8712.9437491101053</v>
      </c>
      <c r="M155" s="65">
        <f t="shared" si="209"/>
        <v>6943.2127817443934</v>
      </c>
      <c r="N155" s="65">
        <f t="shared" si="209"/>
        <v>7447.3010061642781</v>
      </c>
      <c r="O155" s="65">
        <f t="shared" si="209"/>
        <v>6956.0799704961155</v>
      </c>
      <c r="P155" s="65">
        <f t="shared" si="209"/>
        <v>6762.997932882342</v>
      </c>
      <c r="Q155" s="65">
        <f t="shared" si="209"/>
        <v>6757.1368764622675</v>
      </c>
      <c r="R155" s="65">
        <f t="shared" si="209"/>
        <v>7101.2407734350945</v>
      </c>
      <c r="S155" s="65">
        <f t="shared" si="209"/>
        <v>6253.3555390228657</v>
      </c>
      <c r="T155" s="65">
        <f t="shared" si="209"/>
        <v>6479.3666766896122</v>
      </c>
      <c r="U155" s="65">
        <f t="shared" si="209"/>
        <v>6108.4383389085888</v>
      </c>
      <c r="V155" s="65">
        <f t="shared" si="209"/>
        <v>5969.9755542705489</v>
      </c>
      <c r="W155" s="65">
        <f t="shared" si="209"/>
        <v>6587.5701492788075</v>
      </c>
      <c r="X155" s="65">
        <f t="shared" ref="X155:Y155" si="210">IF(X101=0,0,X101/X$23)</f>
        <v>6385.3294086960141</v>
      </c>
      <c r="Y155" s="65">
        <f t="shared" si="210"/>
        <v>6189.8722951129157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159.5390638358553</v>
      </c>
      <c r="C156" s="65">
        <f t="shared" ref="C156:W156" si="212">IF(C102=0,0,C102/C$23)</f>
        <v>153.91035512629918</v>
      </c>
      <c r="D156" s="65">
        <f t="shared" si="212"/>
        <v>151.43354673785615</v>
      </c>
      <c r="E156" s="65">
        <f t="shared" si="212"/>
        <v>147.11166039290814</v>
      </c>
      <c r="F156" s="65">
        <f t="shared" si="212"/>
        <v>144.78747849271645</v>
      </c>
      <c r="G156" s="65">
        <f t="shared" si="212"/>
        <v>140.72570850184687</v>
      </c>
      <c r="H156" s="65">
        <f t="shared" si="212"/>
        <v>133.82998701964934</v>
      </c>
      <c r="I156" s="65">
        <f t="shared" si="212"/>
        <v>127.82231418525269</v>
      </c>
      <c r="J156" s="65">
        <f t="shared" si="212"/>
        <v>123.32190730204286</v>
      </c>
      <c r="K156" s="65">
        <f t="shared" si="212"/>
        <v>125.80392128625378</v>
      </c>
      <c r="L156" s="65">
        <f t="shared" si="212"/>
        <v>127.58636228452681</v>
      </c>
      <c r="M156" s="65">
        <f t="shared" si="212"/>
        <v>121.36876810153221</v>
      </c>
      <c r="N156" s="65">
        <f t="shared" si="212"/>
        <v>118.30669784311654</v>
      </c>
      <c r="O156" s="65">
        <f t="shared" si="212"/>
        <v>115.47387787418639</v>
      </c>
      <c r="P156" s="65">
        <f t="shared" si="212"/>
        <v>112.39621196909145</v>
      </c>
      <c r="Q156" s="65">
        <f t="shared" si="212"/>
        <v>106.52360418937675</v>
      </c>
      <c r="R156" s="65">
        <f t="shared" si="212"/>
        <v>102.56666669277051</v>
      </c>
      <c r="S156" s="65">
        <f t="shared" si="212"/>
        <v>99.737454992929912</v>
      </c>
      <c r="T156" s="65">
        <f t="shared" si="212"/>
        <v>97.553129290547417</v>
      </c>
      <c r="U156" s="65">
        <f t="shared" si="212"/>
        <v>95.237937151014506</v>
      </c>
      <c r="V156" s="65">
        <f t="shared" si="212"/>
        <v>93.733270562284247</v>
      </c>
      <c r="W156" s="65">
        <f t="shared" si="212"/>
        <v>93.474674802549615</v>
      </c>
      <c r="X156" s="65">
        <f t="shared" ref="X156:Y156" si="213">IF(X102=0,0,X102/X$23)</f>
        <v>87.563503914173452</v>
      </c>
      <c r="Y156" s="65">
        <f t="shared" si="213"/>
        <v>85.727937828882503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1366.2053002094071</v>
      </c>
      <c r="C157" s="65">
        <f t="shared" ref="C157:W157" si="215">IF(C103=0,0,C103/C$23)</f>
        <v>1337.5618578319261</v>
      </c>
      <c r="D157" s="65">
        <f t="shared" si="215"/>
        <v>1334.5263152276175</v>
      </c>
      <c r="E157" s="65">
        <f t="shared" si="215"/>
        <v>1335.5703721946811</v>
      </c>
      <c r="F157" s="65">
        <f t="shared" si="215"/>
        <v>1330.2107294687628</v>
      </c>
      <c r="G157" s="65">
        <f t="shared" si="215"/>
        <v>1317.271000290023</v>
      </c>
      <c r="H157" s="65">
        <f t="shared" si="215"/>
        <v>1290.9613756551412</v>
      </c>
      <c r="I157" s="65">
        <f t="shared" si="215"/>
        <v>1283.9743143765402</v>
      </c>
      <c r="J157" s="65">
        <f t="shared" si="215"/>
        <v>1291.2516904089753</v>
      </c>
      <c r="K157" s="65">
        <f t="shared" si="215"/>
        <v>1315.4941292984126</v>
      </c>
      <c r="L157" s="65">
        <f t="shared" si="215"/>
        <v>1309.7826950207482</v>
      </c>
      <c r="M157" s="65">
        <f t="shared" si="215"/>
        <v>1295.3641572489653</v>
      </c>
      <c r="N157" s="65">
        <f t="shared" si="215"/>
        <v>1281.469389002267</v>
      </c>
      <c r="O157" s="65">
        <f t="shared" si="215"/>
        <v>1282.7023735860228</v>
      </c>
      <c r="P157" s="65">
        <f t="shared" si="215"/>
        <v>1266.9340755866017</v>
      </c>
      <c r="Q157" s="65">
        <f t="shared" si="215"/>
        <v>1251.6643969830791</v>
      </c>
      <c r="R157" s="65">
        <f t="shared" si="215"/>
        <v>1205.4150061251307</v>
      </c>
      <c r="S157" s="65">
        <f t="shared" si="215"/>
        <v>1194.1622175911302</v>
      </c>
      <c r="T157" s="65">
        <f t="shared" si="215"/>
        <v>1173.5389346469876</v>
      </c>
      <c r="U157" s="65">
        <f t="shared" si="215"/>
        <v>1170.5379691703506</v>
      </c>
      <c r="V157" s="65">
        <f t="shared" si="215"/>
        <v>1211.2988782445736</v>
      </c>
      <c r="W157" s="65">
        <f t="shared" si="215"/>
        <v>1177.4856115594948</v>
      </c>
      <c r="X157" s="65">
        <f t="shared" ref="X157:Y157" si="216">IF(X103=0,0,X103/X$23)</f>
        <v>1104.5432730673626</v>
      </c>
      <c r="Y157" s="65">
        <f t="shared" si="216"/>
        <v>1070.8957518533523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1024.3984654359788</v>
      </c>
      <c r="C158" s="67">
        <f t="shared" ref="C158:W158" si="218">IF(C104=0,0,C104/C$23)</f>
        <v>1047.5558245086008</v>
      </c>
      <c r="D158" s="67">
        <f t="shared" si="218"/>
        <v>1052.2072211304187</v>
      </c>
      <c r="E158" s="67">
        <f t="shared" si="218"/>
        <v>1060.7940237632138</v>
      </c>
      <c r="F158" s="67">
        <f t="shared" si="218"/>
        <v>1087.6558268227104</v>
      </c>
      <c r="G158" s="67">
        <f t="shared" si="218"/>
        <v>1111.9985927751586</v>
      </c>
      <c r="H158" s="67">
        <f t="shared" si="218"/>
        <v>1134.1673196774454</v>
      </c>
      <c r="I158" s="67">
        <f t="shared" si="218"/>
        <v>1156.9321500158539</v>
      </c>
      <c r="J158" s="67">
        <f t="shared" si="218"/>
        <v>1170.9511945890065</v>
      </c>
      <c r="K158" s="67">
        <f t="shared" si="218"/>
        <v>1205.0918410483746</v>
      </c>
      <c r="L158" s="67">
        <f t="shared" si="218"/>
        <v>1233.7431718886446</v>
      </c>
      <c r="M158" s="67">
        <f t="shared" si="218"/>
        <v>1241.092004168476</v>
      </c>
      <c r="N158" s="67">
        <f t="shared" si="218"/>
        <v>1205.6876455170006</v>
      </c>
      <c r="O158" s="67">
        <f t="shared" si="218"/>
        <v>1218.7204220025812</v>
      </c>
      <c r="P158" s="67">
        <f t="shared" si="218"/>
        <v>1207.1460802283336</v>
      </c>
      <c r="Q158" s="67">
        <f t="shared" si="218"/>
        <v>1182.4527391178251</v>
      </c>
      <c r="R158" s="67">
        <f t="shared" si="218"/>
        <v>1174.3667599650084</v>
      </c>
      <c r="S158" s="67">
        <f t="shared" si="218"/>
        <v>1196.9682010714098</v>
      </c>
      <c r="T158" s="67">
        <f t="shared" si="218"/>
        <v>1189.2626992690159</v>
      </c>
      <c r="U158" s="67">
        <f t="shared" si="218"/>
        <v>1228.8864566424907</v>
      </c>
      <c r="V158" s="67">
        <f t="shared" si="218"/>
        <v>1278.4730735728297</v>
      </c>
      <c r="W158" s="67">
        <f t="shared" si="218"/>
        <v>1267.5765232466917</v>
      </c>
      <c r="X158" s="67">
        <f t="shared" ref="X158:Y158" si="219">IF(X104=0,0,X104/X$23)</f>
        <v>1170.2388511398215</v>
      </c>
      <c r="Y158" s="67">
        <f t="shared" si="219"/>
        <v>1120.513776028271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2854.9393584861477</v>
      </c>
      <c r="C159" s="68">
        <f t="shared" ref="C159:W159" si="221">IF(C105=0,0,C105/C$23)</f>
        <v>2863.8445571129037</v>
      </c>
      <c r="D159" s="68">
        <f t="shared" si="221"/>
        <v>2930.3515199660274</v>
      </c>
      <c r="E159" s="68">
        <f t="shared" si="221"/>
        <v>2979.2966200680366</v>
      </c>
      <c r="F159" s="68">
        <f t="shared" si="221"/>
        <v>3043.7323818316581</v>
      </c>
      <c r="G159" s="68">
        <f t="shared" si="221"/>
        <v>3082.6953990979591</v>
      </c>
      <c r="H159" s="68">
        <f t="shared" si="221"/>
        <v>3053.5802629418995</v>
      </c>
      <c r="I159" s="68">
        <f t="shared" si="221"/>
        <v>3031.5343795116046</v>
      </c>
      <c r="J159" s="68">
        <f t="shared" si="221"/>
        <v>3058.1698104405159</v>
      </c>
      <c r="K159" s="68">
        <f t="shared" si="221"/>
        <v>3122.5054970355695</v>
      </c>
      <c r="L159" s="68">
        <f t="shared" si="221"/>
        <v>3136.3519133612776</v>
      </c>
      <c r="M159" s="68">
        <f t="shared" si="221"/>
        <v>3081.2802887159742</v>
      </c>
      <c r="N159" s="68">
        <f t="shared" si="221"/>
        <v>3083.5556744467162</v>
      </c>
      <c r="O159" s="68">
        <f t="shared" si="221"/>
        <v>3091.5918785571334</v>
      </c>
      <c r="P159" s="68">
        <f t="shared" si="221"/>
        <v>3078.0924772885364</v>
      </c>
      <c r="Q159" s="68">
        <f t="shared" si="221"/>
        <v>3068.5140295775172</v>
      </c>
      <c r="R159" s="68">
        <f t="shared" si="221"/>
        <v>3017.9432531308712</v>
      </c>
      <c r="S159" s="68">
        <f t="shared" si="221"/>
        <v>2960.7103564756685</v>
      </c>
      <c r="T159" s="68">
        <f t="shared" si="221"/>
        <v>2915.2757821844498</v>
      </c>
      <c r="U159" s="68">
        <f t="shared" si="221"/>
        <v>2918.8833392028155</v>
      </c>
      <c r="V159" s="68">
        <f t="shared" si="221"/>
        <v>3065.9085067950464</v>
      </c>
      <c r="W159" s="68">
        <f t="shared" si="221"/>
        <v>3072.5147875041666</v>
      </c>
      <c r="X159" s="68">
        <f t="shared" ref="X159:Y159" si="222">IF(X105=0,0,X105/X$23)</f>
        <v>2905.2541191927917</v>
      </c>
      <c r="Y159" s="68">
        <f t="shared" si="222"/>
        <v>2888.7723559818996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8770.2118243327295</v>
      </c>
      <c r="C161" s="85">
        <f t="shared" ref="C161:W161" si="224">IF(C107=0,0,C107/C$23)</f>
        <v>9494.8304952933304</v>
      </c>
      <c r="D161" s="85">
        <f t="shared" si="224"/>
        <v>9448.8562016529831</v>
      </c>
      <c r="E161" s="85">
        <f t="shared" si="224"/>
        <v>9394.5730638132845</v>
      </c>
      <c r="F161" s="85">
        <f t="shared" si="224"/>
        <v>9040.5541130177298</v>
      </c>
      <c r="G161" s="85">
        <f t="shared" si="224"/>
        <v>8254.0705695001052</v>
      </c>
      <c r="H161" s="85">
        <f t="shared" si="224"/>
        <v>8258.6244331324488</v>
      </c>
      <c r="I161" s="85">
        <f t="shared" si="224"/>
        <v>8315.4933513716933</v>
      </c>
      <c r="J161" s="85">
        <f t="shared" si="224"/>
        <v>8251.9317545500126</v>
      </c>
      <c r="K161" s="85">
        <f t="shared" si="224"/>
        <v>8114.317436542402</v>
      </c>
      <c r="L161" s="85">
        <f t="shared" si="224"/>
        <v>8804.3874602760498</v>
      </c>
      <c r="M161" s="85">
        <f t="shared" si="224"/>
        <v>7583.9063339113072</v>
      </c>
      <c r="N161" s="85">
        <f t="shared" si="224"/>
        <v>8059.2986082315947</v>
      </c>
      <c r="O161" s="85">
        <f t="shared" si="224"/>
        <v>7844.9238348901044</v>
      </c>
      <c r="P161" s="85">
        <f t="shared" si="224"/>
        <v>7691.758697955147</v>
      </c>
      <c r="Q161" s="85">
        <f t="shared" si="224"/>
        <v>7690.6080095218595</v>
      </c>
      <c r="R161" s="85">
        <f t="shared" si="224"/>
        <v>8010.5448578674759</v>
      </c>
      <c r="S161" s="85">
        <f t="shared" si="224"/>
        <v>7453.3008424662621</v>
      </c>
      <c r="T161" s="85">
        <f t="shared" si="224"/>
        <v>7694.652388873581</v>
      </c>
      <c r="U161" s="85">
        <f t="shared" si="224"/>
        <v>7530.6173381269336</v>
      </c>
      <c r="V161" s="85">
        <f t="shared" si="224"/>
        <v>7622.8580947897144</v>
      </c>
      <c r="W161" s="85">
        <f t="shared" si="224"/>
        <v>8221.9781307758731</v>
      </c>
      <c r="X161" s="85">
        <f t="shared" ref="X161:Y161" si="225">IF(X107=0,0,X107/X$23)</f>
        <v>7990.2582299615369</v>
      </c>
      <c r="Y161" s="85">
        <f t="shared" si="225"/>
        <v>7833.5047374346796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6776.5189075437056</v>
      </c>
      <c r="C162" s="65">
        <f t="shared" ref="C162:W162" si="227">IF(C108=0,0,C108/C$23)</f>
        <v>7506.1180759810268</v>
      </c>
      <c r="D162" s="65">
        <f t="shared" si="227"/>
        <v>7437.6374963939261</v>
      </c>
      <c r="E162" s="65">
        <f t="shared" si="227"/>
        <v>7357.7436103801392</v>
      </c>
      <c r="F162" s="65">
        <f t="shared" si="227"/>
        <v>6957.1375412587049</v>
      </c>
      <c r="G162" s="65">
        <f t="shared" si="227"/>
        <v>6127.8049150311308</v>
      </c>
      <c r="H162" s="65">
        <f t="shared" si="227"/>
        <v>6141.2228922122085</v>
      </c>
      <c r="I162" s="65">
        <f t="shared" si="227"/>
        <v>6188.0341552763048</v>
      </c>
      <c r="J162" s="65">
        <f t="shared" si="227"/>
        <v>6077.261616110256</v>
      </c>
      <c r="K162" s="65">
        <f t="shared" si="227"/>
        <v>5842.9963489294651</v>
      </c>
      <c r="L162" s="65">
        <f t="shared" si="227"/>
        <v>6510.3513173840029</v>
      </c>
      <c r="M162" s="65">
        <f t="shared" si="227"/>
        <v>5284.1683480645952</v>
      </c>
      <c r="N162" s="65">
        <f t="shared" si="227"/>
        <v>5742.4363700359536</v>
      </c>
      <c r="O162" s="65">
        <f t="shared" si="227"/>
        <v>5499.5903188368193</v>
      </c>
      <c r="P162" s="65">
        <f t="shared" si="227"/>
        <v>5353.347770770074</v>
      </c>
      <c r="Q162" s="65">
        <f t="shared" si="227"/>
        <v>5372.695862299056</v>
      </c>
      <c r="R162" s="65">
        <f t="shared" si="227"/>
        <v>5715.588403670039</v>
      </c>
      <c r="S162" s="65">
        <f t="shared" si="227"/>
        <v>5126.896087793215</v>
      </c>
      <c r="T162" s="65">
        <f t="shared" si="227"/>
        <v>5366.4380982957664</v>
      </c>
      <c r="U162" s="65">
        <f t="shared" si="227"/>
        <v>5151.6161811737538</v>
      </c>
      <c r="V162" s="65">
        <f t="shared" si="227"/>
        <v>5146.4211426023085</v>
      </c>
      <c r="W162" s="65">
        <f t="shared" si="227"/>
        <v>5741.7146749189469</v>
      </c>
      <c r="X162" s="65">
        <f t="shared" ref="X162:Y162" si="228">IF(X108=0,0,X108/X$23)</f>
        <v>5651.5771829541109</v>
      </c>
      <c r="Y162" s="65">
        <f t="shared" si="228"/>
        <v>5543.9618820421101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310.04539209715375</v>
      </c>
      <c r="C163" s="65">
        <f t="shared" ref="C163:W163" si="230">IF(C109=0,0,C109/C$23)</f>
        <v>309.6255611246487</v>
      </c>
      <c r="D163" s="65">
        <f t="shared" si="230"/>
        <v>317.37716643580529</v>
      </c>
      <c r="E163" s="65">
        <f t="shared" si="230"/>
        <v>321.89091281817673</v>
      </c>
      <c r="F163" s="65">
        <f t="shared" si="230"/>
        <v>333.45714667472714</v>
      </c>
      <c r="G163" s="65">
        <f t="shared" si="230"/>
        <v>342.40764712226616</v>
      </c>
      <c r="H163" s="65">
        <f t="shared" si="230"/>
        <v>346.27025421140416</v>
      </c>
      <c r="I163" s="65">
        <f t="shared" si="230"/>
        <v>354.83510538753893</v>
      </c>
      <c r="J163" s="65">
        <f t="shared" si="230"/>
        <v>370.24615953331403</v>
      </c>
      <c r="K163" s="65">
        <f t="shared" si="230"/>
        <v>384.78913200495401</v>
      </c>
      <c r="L163" s="65">
        <f t="shared" si="230"/>
        <v>401.31965603781447</v>
      </c>
      <c r="M163" s="65">
        <f t="shared" si="230"/>
        <v>396.88346557545879</v>
      </c>
      <c r="N163" s="65">
        <f t="shared" si="230"/>
        <v>402.48008333634851</v>
      </c>
      <c r="O163" s="65">
        <f t="shared" si="230"/>
        <v>409.20033002780036</v>
      </c>
      <c r="P163" s="65">
        <f t="shared" si="230"/>
        <v>415.2337059788058</v>
      </c>
      <c r="Q163" s="65">
        <f t="shared" si="230"/>
        <v>410.13937675362666</v>
      </c>
      <c r="R163" s="65">
        <f t="shared" si="230"/>
        <v>412.00661818780424</v>
      </c>
      <c r="S163" s="65">
        <f t="shared" si="230"/>
        <v>416.77004907230196</v>
      </c>
      <c r="T163" s="65">
        <f t="shared" si="230"/>
        <v>420.65528640199057</v>
      </c>
      <c r="U163" s="65">
        <f t="shared" si="230"/>
        <v>420.57243916281652</v>
      </c>
      <c r="V163" s="65">
        <f t="shared" si="230"/>
        <v>424.06847915825699</v>
      </c>
      <c r="W163" s="65">
        <f t="shared" si="230"/>
        <v>432.0782712464989</v>
      </c>
      <c r="X163" s="65">
        <f t="shared" ref="X163:Y163" si="231">IF(X109=0,0,X109/X$23)</f>
        <v>411.72705493795058</v>
      </c>
      <c r="Y163" s="65">
        <f t="shared" si="231"/>
        <v>408.51878898330398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883.68008454015057</v>
      </c>
      <c r="C164" s="65">
        <f t="shared" ref="C164:W164" si="233">IF(C110=0,0,C110/C$23)</f>
        <v>867.96164639170308</v>
      </c>
      <c r="D164" s="65">
        <f t="shared" si="233"/>
        <v>870.56912790416698</v>
      </c>
      <c r="E164" s="65">
        <f t="shared" si="233"/>
        <v>876.10137338343725</v>
      </c>
      <c r="F164" s="65">
        <f t="shared" si="233"/>
        <v>884.04255591048081</v>
      </c>
      <c r="G164" s="65">
        <f t="shared" si="233"/>
        <v>896.42587616759829</v>
      </c>
      <c r="H164" s="65">
        <f t="shared" si="233"/>
        <v>884.78469105737179</v>
      </c>
      <c r="I164" s="65">
        <f t="shared" si="233"/>
        <v>886.46838986718046</v>
      </c>
      <c r="J164" s="65">
        <f t="shared" si="233"/>
        <v>898.68651746694275</v>
      </c>
      <c r="K164" s="65">
        <f t="shared" si="233"/>
        <v>928.3192556979933</v>
      </c>
      <c r="L164" s="65">
        <f t="shared" si="233"/>
        <v>930.44926689793738</v>
      </c>
      <c r="M164" s="65">
        <f t="shared" si="233"/>
        <v>927.11471640315324</v>
      </c>
      <c r="N164" s="65">
        <f t="shared" si="233"/>
        <v>923.73833542232933</v>
      </c>
      <c r="O164" s="65">
        <f t="shared" si="233"/>
        <v>933.12173623637659</v>
      </c>
      <c r="P164" s="65">
        <f t="shared" si="233"/>
        <v>928.47312664682636</v>
      </c>
      <c r="Q164" s="65">
        <f t="shared" si="233"/>
        <v>920.1431436991212</v>
      </c>
      <c r="R164" s="65">
        <f t="shared" si="233"/>
        <v>898.67755115261741</v>
      </c>
      <c r="S164" s="65">
        <f t="shared" si="233"/>
        <v>898.76737246972311</v>
      </c>
      <c r="T164" s="65">
        <f t="shared" si="233"/>
        <v>897.74303737235812</v>
      </c>
      <c r="U164" s="65">
        <f t="shared" si="233"/>
        <v>908.05997090111816</v>
      </c>
      <c r="V164" s="65">
        <f t="shared" si="233"/>
        <v>948.89615154477747</v>
      </c>
      <c r="W164" s="65">
        <f t="shared" si="233"/>
        <v>944.05414095818162</v>
      </c>
      <c r="X164" s="65">
        <f t="shared" ref="X164:Y164" si="234">IF(X110=0,0,X110/X$23)</f>
        <v>898.74393558239331</v>
      </c>
      <c r="Y164" s="65">
        <f t="shared" si="234"/>
        <v>887.84175344787036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799.96744015171896</v>
      </c>
      <c r="C165" s="68">
        <f t="shared" ref="C165:W165" si="236">IF(C111=0,0,C111/C$23)</f>
        <v>811.12521179595183</v>
      </c>
      <c r="D165" s="68">
        <f t="shared" si="236"/>
        <v>823.27241091908593</v>
      </c>
      <c r="E165" s="68">
        <f t="shared" si="236"/>
        <v>838.83716723153088</v>
      </c>
      <c r="F165" s="68">
        <f t="shared" si="236"/>
        <v>865.9168691738189</v>
      </c>
      <c r="G165" s="68">
        <f t="shared" si="236"/>
        <v>887.4321311791108</v>
      </c>
      <c r="H165" s="68">
        <f t="shared" si="236"/>
        <v>886.3465956514641</v>
      </c>
      <c r="I165" s="68">
        <f t="shared" si="236"/>
        <v>886.15570084066894</v>
      </c>
      <c r="J165" s="68">
        <f t="shared" si="236"/>
        <v>905.73746143950018</v>
      </c>
      <c r="K165" s="68">
        <f t="shared" si="236"/>
        <v>958.21269990998871</v>
      </c>
      <c r="L165" s="68">
        <f t="shared" si="236"/>
        <v>962.26721995629589</v>
      </c>
      <c r="M165" s="68">
        <f t="shared" si="236"/>
        <v>975.73980386809944</v>
      </c>
      <c r="N165" s="68">
        <f t="shared" si="236"/>
        <v>990.64381943696367</v>
      </c>
      <c r="O165" s="68">
        <f t="shared" si="236"/>
        <v>1003.0114497891084</v>
      </c>
      <c r="P165" s="68">
        <f t="shared" si="236"/>
        <v>994.70409455943968</v>
      </c>
      <c r="Q165" s="68">
        <f t="shared" si="236"/>
        <v>987.62962677005567</v>
      </c>
      <c r="R165" s="68">
        <f t="shared" si="236"/>
        <v>984.27228485701505</v>
      </c>
      <c r="S165" s="68">
        <f t="shared" si="236"/>
        <v>1010.8673331310217</v>
      </c>
      <c r="T165" s="68">
        <f t="shared" si="236"/>
        <v>1009.8159668034665</v>
      </c>
      <c r="U165" s="68">
        <f t="shared" si="236"/>
        <v>1050.3687468892467</v>
      </c>
      <c r="V165" s="68">
        <f t="shared" si="236"/>
        <v>1103.4723214843712</v>
      </c>
      <c r="W165" s="68">
        <f t="shared" si="236"/>
        <v>1104.1310436522456</v>
      </c>
      <c r="X165" s="68">
        <f t="shared" ref="X165:Y165" si="237">IF(X111=0,0,X111/X$23)</f>
        <v>1028.2100564870825</v>
      </c>
      <c r="Y165" s="68">
        <f t="shared" si="237"/>
        <v>993.1823129613955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1055.0402219358891</v>
      </c>
      <c r="C167" s="82">
        <f t="shared" ref="C167:W167" si="239">IF(C113=0,0,C113/C$23)</f>
        <v>1044.2221103985287</v>
      </c>
      <c r="D167" s="82">
        <f t="shared" si="239"/>
        <v>1027.4265261219509</v>
      </c>
      <c r="E167" s="82">
        <f t="shared" si="239"/>
        <v>1064.3818896000002</v>
      </c>
      <c r="F167" s="82">
        <f t="shared" si="239"/>
        <v>814.73643474258017</v>
      </c>
      <c r="G167" s="82">
        <f t="shared" si="239"/>
        <v>457.02047815384606</v>
      </c>
      <c r="H167" s="82">
        <f t="shared" si="239"/>
        <v>430.54027091713351</v>
      </c>
      <c r="I167" s="82">
        <f t="shared" si="239"/>
        <v>434.05586175195145</v>
      </c>
      <c r="J167" s="82">
        <f t="shared" si="239"/>
        <v>385.58843626835579</v>
      </c>
      <c r="K167" s="82">
        <f t="shared" si="239"/>
        <v>332.19519222319087</v>
      </c>
      <c r="L167" s="82">
        <f t="shared" si="239"/>
        <v>397.59679011235949</v>
      </c>
      <c r="M167" s="82">
        <f t="shared" si="239"/>
        <v>359.95451718961618</v>
      </c>
      <c r="N167" s="82">
        <f t="shared" si="239"/>
        <v>327.60398371859287</v>
      </c>
      <c r="O167" s="82">
        <f t="shared" si="239"/>
        <v>288.91641184043999</v>
      </c>
      <c r="P167" s="82">
        <f t="shared" si="239"/>
        <v>271.70959559514165</v>
      </c>
      <c r="Q167" s="82">
        <f t="shared" si="239"/>
        <v>252.79291999999998</v>
      </c>
      <c r="R167" s="82">
        <f t="shared" si="239"/>
        <v>239.07404820169816</v>
      </c>
      <c r="S167" s="82">
        <f t="shared" si="239"/>
        <v>208.80300410569271</v>
      </c>
      <c r="T167" s="82">
        <f t="shared" si="239"/>
        <v>216.85772903225808</v>
      </c>
      <c r="U167" s="82">
        <f t="shared" si="239"/>
        <v>223.09381444964302</v>
      </c>
      <c r="V167" s="82">
        <f t="shared" si="239"/>
        <v>219.89168057956533</v>
      </c>
      <c r="W167" s="82">
        <f t="shared" si="239"/>
        <v>192.84816248006345</v>
      </c>
      <c r="X167" s="82">
        <f t="shared" ref="X167:Y167" si="240">IF(X113=0,0,X113/X$23)</f>
        <v>164.25547920815583</v>
      </c>
      <c r="Y167" s="82">
        <f t="shared" si="240"/>
        <v>138.22376661843774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1055.0402219358891</v>
      </c>
      <c r="C168" s="64">
        <f t="shared" ref="C168:W168" si="242">IF(C114=0,0,C114/C$23)</f>
        <v>1044.2221103985287</v>
      </c>
      <c r="D168" s="64">
        <f t="shared" si="242"/>
        <v>1027.4265261219509</v>
      </c>
      <c r="E168" s="64">
        <f t="shared" si="242"/>
        <v>1064.3818896000002</v>
      </c>
      <c r="F168" s="64">
        <f t="shared" si="242"/>
        <v>814.73643474258017</v>
      </c>
      <c r="G168" s="64">
        <f t="shared" si="242"/>
        <v>457.02047815384606</v>
      </c>
      <c r="H168" s="64">
        <f t="shared" si="242"/>
        <v>430.54027091713351</v>
      </c>
      <c r="I168" s="64">
        <f t="shared" si="242"/>
        <v>434.05586175195145</v>
      </c>
      <c r="J168" s="64">
        <f t="shared" si="242"/>
        <v>385.58843626835579</v>
      </c>
      <c r="K168" s="64">
        <f t="shared" si="242"/>
        <v>332.19519222319087</v>
      </c>
      <c r="L168" s="64">
        <f t="shared" si="242"/>
        <v>397.59679011235949</v>
      </c>
      <c r="M168" s="64">
        <f t="shared" si="242"/>
        <v>359.95451718961618</v>
      </c>
      <c r="N168" s="64">
        <f t="shared" si="242"/>
        <v>327.60398371859287</v>
      </c>
      <c r="O168" s="64">
        <f t="shared" si="242"/>
        <v>288.91641184043999</v>
      </c>
      <c r="P168" s="64">
        <f t="shared" si="242"/>
        <v>271.70959559514165</v>
      </c>
      <c r="Q168" s="64">
        <f t="shared" si="242"/>
        <v>252.79291999999998</v>
      </c>
      <c r="R168" s="64">
        <f t="shared" si="242"/>
        <v>239.07404820169816</v>
      </c>
      <c r="S168" s="64">
        <f t="shared" si="242"/>
        <v>208.80300410569271</v>
      </c>
      <c r="T168" s="64">
        <f t="shared" si="242"/>
        <v>216.85772903225808</v>
      </c>
      <c r="U168" s="64">
        <f t="shared" si="242"/>
        <v>223.09381444964302</v>
      </c>
      <c r="V168" s="64">
        <f t="shared" si="242"/>
        <v>219.89168057956533</v>
      </c>
      <c r="W168" s="64">
        <f t="shared" si="242"/>
        <v>192.84816248006345</v>
      </c>
      <c r="X168" s="64">
        <f t="shared" ref="X168:Y168" si="243">IF(X114=0,0,X114/X$23)</f>
        <v>164.25547920815583</v>
      </c>
      <c r="Y168" s="64">
        <f t="shared" si="243"/>
        <v>138.22376661843774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922.1515358823101</v>
      </c>
      <c r="C169" s="65">
        <f t="shared" ref="C169:W169" si="245">IF(C115=0,0,C115/C$23)</f>
        <v>905.01336517045036</v>
      </c>
      <c r="D169" s="65">
        <f t="shared" si="245"/>
        <v>899.46024079042536</v>
      </c>
      <c r="E169" s="65">
        <f t="shared" si="245"/>
        <v>946.7276670149713</v>
      </c>
      <c r="F169" s="65">
        <f t="shared" si="245"/>
        <v>708.70162371906429</v>
      </c>
      <c r="G169" s="65">
        <f t="shared" si="245"/>
        <v>375.2282604884881</v>
      </c>
      <c r="H169" s="65">
        <f t="shared" si="245"/>
        <v>325.42299473422764</v>
      </c>
      <c r="I169" s="65">
        <f t="shared" si="245"/>
        <v>314.0591605813774</v>
      </c>
      <c r="J169" s="65">
        <f t="shared" si="245"/>
        <v>276.13826864412982</v>
      </c>
      <c r="K169" s="65">
        <f t="shared" si="245"/>
        <v>259.45634324330496</v>
      </c>
      <c r="L169" s="65">
        <f t="shared" si="245"/>
        <v>302.52806680955678</v>
      </c>
      <c r="M169" s="65">
        <f t="shared" si="245"/>
        <v>271.28311817310839</v>
      </c>
      <c r="N169" s="65">
        <f t="shared" si="245"/>
        <v>277.76657184271312</v>
      </c>
      <c r="O169" s="65">
        <f t="shared" si="245"/>
        <v>236.93596234699274</v>
      </c>
      <c r="P169" s="65">
        <f t="shared" si="245"/>
        <v>225.84062243018204</v>
      </c>
      <c r="Q169" s="65">
        <f t="shared" si="245"/>
        <v>210.18339614226073</v>
      </c>
      <c r="R169" s="65">
        <f t="shared" si="245"/>
        <v>197.26182583937185</v>
      </c>
      <c r="S169" s="65">
        <f t="shared" si="245"/>
        <v>171.35935363486857</v>
      </c>
      <c r="T169" s="65">
        <f t="shared" si="245"/>
        <v>178.83393200452514</v>
      </c>
      <c r="U169" s="65">
        <f t="shared" si="245"/>
        <v>183.86934456883557</v>
      </c>
      <c r="V169" s="65">
        <f t="shared" si="245"/>
        <v>181.43922661318308</v>
      </c>
      <c r="W169" s="65">
        <f t="shared" si="245"/>
        <v>158.09274096575345</v>
      </c>
      <c r="X169" s="65">
        <f t="shared" ref="X169:Y169" si="246">IF(X115=0,0,X115/X$23)</f>
        <v>134.04620781391625</v>
      </c>
      <c r="Y169" s="65">
        <f t="shared" si="246"/>
        <v>112.28734273412046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0</v>
      </c>
      <c r="C170" s="65">
        <f t="shared" ref="C170:W170" si="248">IF(C116=0,0,C116/C$23)</f>
        <v>0</v>
      </c>
      <c r="D170" s="65">
        <f t="shared" si="248"/>
        <v>0</v>
      </c>
      <c r="E170" s="65">
        <f t="shared" si="248"/>
        <v>0</v>
      </c>
      <c r="F170" s="65">
        <f t="shared" si="248"/>
        <v>0</v>
      </c>
      <c r="G170" s="65">
        <f t="shared" si="248"/>
        <v>0</v>
      </c>
      <c r="H170" s="65">
        <f t="shared" si="248"/>
        <v>0</v>
      </c>
      <c r="I170" s="65">
        <f t="shared" si="248"/>
        <v>0</v>
      </c>
      <c r="J170" s="65">
        <f t="shared" si="248"/>
        <v>0</v>
      </c>
      <c r="K170" s="65">
        <f t="shared" si="248"/>
        <v>0</v>
      </c>
      <c r="L170" s="65">
        <f t="shared" si="248"/>
        <v>0</v>
      </c>
      <c r="M170" s="65">
        <f t="shared" si="248"/>
        <v>0</v>
      </c>
      <c r="N170" s="65">
        <f t="shared" si="248"/>
        <v>0</v>
      </c>
      <c r="O170" s="65">
        <f t="shared" si="248"/>
        <v>0</v>
      </c>
      <c r="P170" s="65">
        <f t="shared" si="248"/>
        <v>0</v>
      </c>
      <c r="Q170" s="65">
        <f t="shared" si="248"/>
        <v>0</v>
      </c>
      <c r="R170" s="65">
        <f t="shared" si="248"/>
        <v>0</v>
      </c>
      <c r="S170" s="65">
        <f t="shared" si="248"/>
        <v>0</v>
      </c>
      <c r="T170" s="65">
        <f t="shared" si="248"/>
        <v>0</v>
      </c>
      <c r="U170" s="65">
        <f t="shared" si="248"/>
        <v>0</v>
      </c>
      <c r="V170" s="65">
        <f t="shared" si="248"/>
        <v>0</v>
      </c>
      <c r="W170" s="65">
        <f t="shared" si="248"/>
        <v>0</v>
      </c>
      <c r="X170" s="65">
        <f t="shared" ref="X170:Y170" si="249">IF(X116=0,0,X116/X$23)</f>
        <v>0</v>
      </c>
      <c r="Y170" s="65">
        <f t="shared" si="249"/>
        <v>0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91.379809477370515</v>
      </c>
      <c r="C171" s="65">
        <f t="shared" ref="C171:W171" si="251">IF(C117=0,0,C117/C$23)</f>
        <v>87.193632957149589</v>
      </c>
      <c r="D171" s="65">
        <f t="shared" si="251"/>
        <v>83.637744866354552</v>
      </c>
      <c r="E171" s="65">
        <f t="shared" si="251"/>
        <v>81.0379050281731</v>
      </c>
      <c r="F171" s="65">
        <f t="shared" si="251"/>
        <v>73.013253384232456</v>
      </c>
      <c r="G171" s="65">
        <f t="shared" si="251"/>
        <v>48.440631735291632</v>
      </c>
      <c r="H171" s="65">
        <f t="shared" si="251"/>
        <v>48.182425418103143</v>
      </c>
      <c r="I171" s="65">
        <f t="shared" si="251"/>
        <v>39.715296339254138</v>
      </c>
      <c r="J171" s="65">
        <f t="shared" si="251"/>
        <v>35.542039065291043</v>
      </c>
      <c r="K171" s="65">
        <f t="shared" si="251"/>
        <v>22.169700294231067</v>
      </c>
      <c r="L171" s="65">
        <f t="shared" si="251"/>
        <v>20.65111283025993</v>
      </c>
      <c r="M171" s="65">
        <f t="shared" si="251"/>
        <v>21.107393106142503</v>
      </c>
      <c r="N171" s="65">
        <f t="shared" si="251"/>
        <v>28.248075496740125</v>
      </c>
      <c r="O171" s="65">
        <f t="shared" si="251"/>
        <v>29.384419502252381</v>
      </c>
      <c r="P171" s="65">
        <f t="shared" si="251"/>
        <v>22.074400626963868</v>
      </c>
      <c r="Q171" s="65">
        <f t="shared" si="251"/>
        <v>29.810175635942205</v>
      </c>
      <c r="R171" s="65">
        <f t="shared" si="251"/>
        <v>28.720879118636482</v>
      </c>
      <c r="S171" s="65">
        <f t="shared" si="251"/>
        <v>26.771120652328023</v>
      </c>
      <c r="T171" s="65">
        <f t="shared" si="251"/>
        <v>26.871001369955472</v>
      </c>
      <c r="U171" s="65">
        <f t="shared" si="251"/>
        <v>26.784704398566429</v>
      </c>
      <c r="V171" s="65">
        <f t="shared" si="251"/>
        <v>26.301357418080531</v>
      </c>
      <c r="W171" s="65">
        <f t="shared" si="251"/>
        <v>22.582663095405618</v>
      </c>
      <c r="X171" s="65">
        <f t="shared" ref="X171:Y171" si="252">IF(X117=0,0,X117/X$23)</f>
        <v>18.613046579963594</v>
      </c>
      <c r="Y171" s="65">
        <f t="shared" si="252"/>
        <v>14.559583549274826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41.508876576208685</v>
      </c>
      <c r="C172" s="67">
        <f t="shared" ref="C172:W172" si="254">IF(C118=0,0,C118/C$23)</f>
        <v>52.015112270928796</v>
      </c>
      <c r="D172" s="67">
        <f t="shared" si="254"/>
        <v>44.328540465171216</v>
      </c>
      <c r="E172" s="67">
        <f t="shared" si="254"/>
        <v>36.61631755685606</v>
      </c>
      <c r="F172" s="67">
        <f t="shared" si="254"/>
        <v>33.021557639283522</v>
      </c>
      <c r="G172" s="67">
        <f t="shared" si="254"/>
        <v>33.351585930066321</v>
      </c>
      <c r="H172" s="67">
        <f t="shared" si="254"/>
        <v>56.934850764802782</v>
      </c>
      <c r="I172" s="67">
        <f t="shared" si="254"/>
        <v>80.281404831319989</v>
      </c>
      <c r="J172" s="67">
        <f t="shared" si="254"/>
        <v>73.908128558934905</v>
      </c>
      <c r="K172" s="67">
        <f t="shared" si="254"/>
        <v>50.569148685654866</v>
      </c>
      <c r="L172" s="67">
        <f t="shared" si="254"/>
        <v>74.417610472542762</v>
      </c>
      <c r="M172" s="67">
        <f t="shared" si="254"/>
        <v>67.564005910365211</v>
      </c>
      <c r="N172" s="67">
        <f t="shared" si="254"/>
        <v>21.589336379139617</v>
      </c>
      <c r="O172" s="67">
        <f t="shared" si="254"/>
        <v>22.596029991194946</v>
      </c>
      <c r="P172" s="67">
        <f t="shared" si="254"/>
        <v>23.794572537995762</v>
      </c>
      <c r="Q172" s="67">
        <f t="shared" si="254"/>
        <v>12.799348221797031</v>
      </c>
      <c r="R172" s="67">
        <f t="shared" si="254"/>
        <v>13.091343243689808</v>
      </c>
      <c r="S172" s="67">
        <f t="shared" si="254"/>
        <v>10.672529818496136</v>
      </c>
      <c r="T172" s="67">
        <f t="shared" si="254"/>
        <v>11.152795657777483</v>
      </c>
      <c r="U172" s="67">
        <f t="shared" si="254"/>
        <v>12.439765482240997</v>
      </c>
      <c r="V172" s="67">
        <f t="shared" si="254"/>
        <v>12.151096548301757</v>
      </c>
      <c r="W172" s="67">
        <f t="shared" si="254"/>
        <v>12.172758418904406</v>
      </c>
      <c r="X172" s="67">
        <f t="shared" ref="X172:Y172" si="255">IF(X118=0,0,X118/X$23)</f>
        <v>11.596224814275967</v>
      </c>
      <c r="Y172" s="67">
        <f t="shared" si="255"/>
        <v>11.376840335042424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162695.0932014565</v>
      </c>
      <c r="C3" s="124">
        <f t="shared" si="0"/>
        <v>164745.06964215953</v>
      </c>
      <c r="D3" s="124">
        <f t="shared" si="0"/>
        <v>166580.13011802404</v>
      </c>
      <c r="E3" s="124">
        <f t="shared" si="0"/>
        <v>168146.42580379057</v>
      </c>
      <c r="F3" s="124">
        <f t="shared" si="0"/>
        <v>170240.63603061828</v>
      </c>
      <c r="G3" s="124">
        <f t="shared" si="0"/>
        <v>172082.032459182</v>
      </c>
      <c r="H3" s="124">
        <f t="shared" si="0"/>
        <v>174650.28031942606</v>
      </c>
      <c r="I3" s="124">
        <f t="shared" si="0"/>
        <v>177112.33932586838</v>
      </c>
      <c r="J3" s="124">
        <f t="shared" si="0"/>
        <v>178610.34759809688</v>
      </c>
      <c r="K3" s="124">
        <f t="shared" si="0"/>
        <v>180356.95532009337</v>
      </c>
      <c r="L3" s="124">
        <f t="shared" si="0"/>
        <v>182538.82857990678</v>
      </c>
      <c r="M3" s="124">
        <f t="shared" si="0"/>
        <v>184220.73285884006</v>
      </c>
      <c r="N3" s="124">
        <f t="shared" si="0"/>
        <v>185633.71169032675</v>
      </c>
      <c r="O3" s="124">
        <f t="shared" si="0"/>
        <v>188277.63862261389</v>
      </c>
      <c r="P3" s="124">
        <f t="shared" si="0"/>
        <v>190252.19190251944</v>
      </c>
      <c r="Q3" s="124">
        <f t="shared" si="0"/>
        <v>192790.69578557246</v>
      </c>
      <c r="R3" s="124">
        <f t="shared" si="0"/>
        <v>195099.97587388422</v>
      </c>
      <c r="S3" s="124">
        <f t="shared" si="0"/>
        <v>197740.95530169317</v>
      </c>
      <c r="T3" s="124">
        <f t="shared" si="0"/>
        <v>199962.55466206901</v>
      </c>
      <c r="U3" s="124">
        <f t="shared" si="0"/>
        <v>202035.18852008894</v>
      </c>
      <c r="V3" s="124">
        <f t="shared" si="0"/>
        <v>204095.64555555559</v>
      </c>
      <c r="W3" s="124">
        <f t="shared" si="0"/>
        <v>206130.53991215644</v>
      </c>
      <c r="X3" s="124">
        <f t="shared" si="0"/>
        <v>208153.54800620145</v>
      </c>
      <c r="Y3" s="124">
        <f t="shared" si="0"/>
        <v>210169.78610060402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162695.0932014565</v>
      </c>
      <c r="C4" s="139">
        <f t="shared" si="1"/>
        <v>164745.06964215953</v>
      </c>
      <c r="D4" s="139">
        <f t="shared" si="1"/>
        <v>166580.13011802404</v>
      </c>
      <c r="E4" s="139">
        <f t="shared" si="1"/>
        <v>168146.42580379057</v>
      </c>
      <c r="F4" s="139">
        <f t="shared" si="1"/>
        <v>170240.63603061828</v>
      </c>
      <c r="G4" s="139">
        <f t="shared" si="1"/>
        <v>172082.032459182</v>
      </c>
      <c r="H4" s="139">
        <f t="shared" si="1"/>
        <v>174650.28031942606</v>
      </c>
      <c r="I4" s="139">
        <f t="shared" si="1"/>
        <v>177112.33932586838</v>
      </c>
      <c r="J4" s="139">
        <f t="shared" si="1"/>
        <v>178610.34759809688</v>
      </c>
      <c r="K4" s="139">
        <f t="shared" si="1"/>
        <v>180356.95532009337</v>
      </c>
      <c r="L4" s="139">
        <f t="shared" si="1"/>
        <v>182538.82857990678</v>
      </c>
      <c r="M4" s="139">
        <f t="shared" si="1"/>
        <v>184220.73285884006</v>
      </c>
      <c r="N4" s="139">
        <f t="shared" si="1"/>
        <v>185633.71169032675</v>
      </c>
      <c r="O4" s="139">
        <f t="shared" si="1"/>
        <v>188277.63862261389</v>
      </c>
      <c r="P4" s="139">
        <f t="shared" si="1"/>
        <v>190252.19190251944</v>
      </c>
      <c r="Q4" s="139">
        <f t="shared" si="1"/>
        <v>192790.69578557246</v>
      </c>
      <c r="R4" s="139">
        <f t="shared" ref="R4:W4" si="2">SUM(R5:R14)</f>
        <v>195099.97587388422</v>
      </c>
      <c r="S4" s="139">
        <f t="shared" si="2"/>
        <v>197740.95530169317</v>
      </c>
      <c r="T4" s="139">
        <f t="shared" si="2"/>
        <v>199962.55466206901</v>
      </c>
      <c r="U4" s="139">
        <f t="shared" si="2"/>
        <v>202035.18852008894</v>
      </c>
      <c r="V4" s="139">
        <f t="shared" si="2"/>
        <v>204095.64555555559</v>
      </c>
      <c r="W4" s="139">
        <f t="shared" si="2"/>
        <v>206130.53991215644</v>
      </c>
      <c r="X4" s="139">
        <f t="shared" ref="X4:Y4" si="3">SUM(X5:X14)</f>
        <v>208153.54800620145</v>
      </c>
      <c r="Y4" s="139">
        <f t="shared" si="3"/>
        <v>210169.78610060402</v>
      </c>
      <c r="DA4" s="169" t="s">
        <v>246</v>
      </c>
    </row>
    <row r="5" spans="1:105" ht="12" customHeight="1" x14ac:dyDescent="0.25">
      <c r="A5" s="131" t="s">
        <v>29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35746.826507835758</v>
      </c>
      <c r="C7" s="140">
        <v>34215.430724530626</v>
      </c>
      <c r="D7" s="140">
        <v>33441.139322727984</v>
      </c>
      <c r="E7" s="140">
        <v>31143.271767749229</v>
      </c>
      <c r="F7" s="140">
        <v>25922.700816404646</v>
      </c>
      <c r="G7" s="140">
        <v>19384.598596017735</v>
      </c>
      <c r="H7" s="140">
        <v>15154.837463854892</v>
      </c>
      <c r="I7" s="140">
        <v>13198.203641614757</v>
      </c>
      <c r="J7" s="140">
        <v>12540.622446613781</v>
      </c>
      <c r="K7" s="140">
        <v>13019.062269014712</v>
      </c>
      <c r="L7" s="140">
        <v>13553.369949849923</v>
      </c>
      <c r="M7" s="140">
        <v>14548.445008576815</v>
      </c>
      <c r="N7" s="140">
        <v>14704.351960877546</v>
      </c>
      <c r="O7" s="140">
        <v>14711.182355765053</v>
      </c>
      <c r="P7" s="140">
        <v>14512.16648795672</v>
      </c>
      <c r="Q7" s="140">
        <v>14345.272715645518</v>
      </c>
      <c r="R7" s="140">
        <v>14270.215074018985</v>
      </c>
      <c r="S7" s="140">
        <v>14900.809977203453</v>
      </c>
      <c r="T7" s="140">
        <v>15275.202680226274</v>
      </c>
      <c r="U7" s="140">
        <v>15362.047249422567</v>
      </c>
      <c r="V7" s="140">
        <v>14863.408477263232</v>
      </c>
      <c r="W7" s="140">
        <v>13345.853712862188</v>
      </c>
      <c r="X7" s="140">
        <v>11725.184210860392</v>
      </c>
      <c r="Y7" s="140">
        <v>10686.552635399707</v>
      </c>
      <c r="DA7" s="170" t="s">
        <v>249</v>
      </c>
    </row>
    <row r="8" spans="1:105" ht="12" customHeight="1" x14ac:dyDescent="0.25">
      <c r="A8" s="131" t="s">
        <v>73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250</v>
      </c>
    </row>
    <row r="9" spans="1:105" ht="12" customHeight="1" x14ac:dyDescent="0.25">
      <c r="A9" s="131" t="s">
        <v>78</v>
      </c>
      <c r="B9" s="140">
        <v>1002.6412626999695</v>
      </c>
      <c r="C9" s="140">
        <v>1265.0518073489823</v>
      </c>
      <c r="D9" s="140">
        <v>2163.6823894638196</v>
      </c>
      <c r="E9" s="140">
        <v>2952.2938123016602</v>
      </c>
      <c r="F9" s="140">
        <v>3552.074068890975</v>
      </c>
      <c r="G9" s="140">
        <v>4024.8161974009849</v>
      </c>
      <c r="H9" s="140">
        <v>4250.5901123572748</v>
      </c>
      <c r="I9" s="140">
        <v>4185.2476259658206</v>
      </c>
      <c r="J9" s="140">
        <v>4115.1256949875878</v>
      </c>
      <c r="K9" s="140">
        <v>4306.1965726641511</v>
      </c>
      <c r="L9" s="140">
        <v>4577.6861131142632</v>
      </c>
      <c r="M9" s="140">
        <v>5186.1811090241745</v>
      </c>
      <c r="N9" s="140">
        <v>5881.735482127302</v>
      </c>
      <c r="O9" s="140">
        <v>5839.779211189616</v>
      </c>
      <c r="P9" s="140">
        <v>5642.9889722773605</v>
      </c>
      <c r="Q9" s="140">
        <v>5144.3482122763335</v>
      </c>
      <c r="R9" s="140">
        <v>4701.3686520510046</v>
      </c>
      <c r="S9" s="140">
        <v>4863.6536461545456</v>
      </c>
      <c r="T9" s="140">
        <v>4905.5943623502835</v>
      </c>
      <c r="U9" s="140">
        <v>5468.5889716369975</v>
      </c>
      <c r="V9" s="140">
        <v>5456.4498261010986</v>
      </c>
      <c r="W9" s="140">
        <v>5481.3478036218357</v>
      </c>
      <c r="X9" s="140">
        <v>5166.9299130131685</v>
      </c>
      <c r="Y9" s="140">
        <v>4791.1880562579754</v>
      </c>
      <c r="DA9" s="170" t="s">
        <v>251</v>
      </c>
    </row>
    <row r="10" spans="1:105" ht="12" customHeight="1" x14ac:dyDescent="0.25">
      <c r="A10" s="131" t="s">
        <v>128</v>
      </c>
      <c r="B10" s="140">
        <v>759.10992929330052</v>
      </c>
      <c r="C10" s="140">
        <v>1006.0337173497292</v>
      </c>
      <c r="D10" s="140">
        <v>1132.1349167696683</v>
      </c>
      <c r="E10" s="140">
        <v>1497.2266137717636</v>
      </c>
      <c r="F10" s="140">
        <v>2085.5954579908507</v>
      </c>
      <c r="G10" s="140">
        <v>2361.8013572994519</v>
      </c>
      <c r="H10" s="140">
        <v>2404.5671904621895</v>
      </c>
      <c r="I10" s="140">
        <v>2353.1891423174852</v>
      </c>
      <c r="J10" s="140">
        <v>2329.9702885219499</v>
      </c>
      <c r="K10" s="140">
        <v>2397.9047768120377</v>
      </c>
      <c r="L10" s="140">
        <v>2439.1920852526819</v>
      </c>
      <c r="M10" s="140">
        <v>2469.2028404863986</v>
      </c>
      <c r="N10" s="140">
        <v>2497.3507598950328</v>
      </c>
      <c r="O10" s="140">
        <v>2457.5161612821335</v>
      </c>
      <c r="P10" s="140">
        <v>2458.4488198461231</v>
      </c>
      <c r="Q10" s="140">
        <v>2659.7856803440645</v>
      </c>
      <c r="R10" s="140">
        <v>2685.9779349699256</v>
      </c>
      <c r="S10" s="140">
        <v>2698.6299173812031</v>
      </c>
      <c r="T10" s="140">
        <v>2722.0947078672953</v>
      </c>
      <c r="U10" s="140">
        <v>2572.752112679018</v>
      </c>
      <c r="V10" s="140">
        <v>2346.944787492761</v>
      </c>
      <c r="W10" s="140">
        <v>2071.9282784702887</v>
      </c>
      <c r="X10" s="140">
        <v>1857.7702762834751</v>
      </c>
      <c r="Y10" s="140">
        <v>1826.5270877331782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253</v>
      </c>
    </row>
    <row r="12" spans="1:105" ht="12" customHeight="1" x14ac:dyDescent="0.25">
      <c r="A12" s="131" t="s">
        <v>162</v>
      </c>
      <c r="B12" s="140">
        <v>65956.838660632406</v>
      </c>
      <c r="C12" s="140">
        <v>67110.986442445879</v>
      </c>
      <c r="D12" s="140">
        <v>68982.778560189341</v>
      </c>
      <c r="E12" s="140">
        <v>71986.132806294409</v>
      </c>
      <c r="F12" s="140">
        <v>76262.758981951934</v>
      </c>
      <c r="G12" s="140">
        <v>81046.7733537514</v>
      </c>
      <c r="H12" s="140">
        <v>82426.79832351167</v>
      </c>
      <c r="I12" s="140">
        <v>83208.080990145085</v>
      </c>
      <c r="J12" s="140">
        <v>85477.512195307703</v>
      </c>
      <c r="K12" s="140">
        <v>90160.508991127019</v>
      </c>
      <c r="L12" s="140">
        <v>95263.531926881376</v>
      </c>
      <c r="M12" s="140">
        <v>98215.147350776941</v>
      </c>
      <c r="N12" s="140">
        <v>99252.708406615828</v>
      </c>
      <c r="O12" s="140">
        <v>100229.19597020636</v>
      </c>
      <c r="P12" s="140">
        <v>98251.52808698111</v>
      </c>
      <c r="Q12" s="140">
        <v>96312.900354008656</v>
      </c>
      <c r="R12" s="140">
        <v>95810.781436836405</v>
      </c>
      <c r="S12" s="140">
        <v>96707.914378280897</v>
      </c>
      <c r="T12" s="140">
        <v>96763.306965056356</v>
      </c>
      <c r="U12" s="140">
        <v>96044.371016333229</v>
      </c>
      <c r="V12" s="140">
        <v>92833.141159666862</v>
      </c>
      <c r="W12" s="140">
        <v>92174.974326000389</v>
      </c>
      <c r="X12" s="140">
        <v>89817.973444241026</v>
      </c>
      <c r="Y12" s="140">
        <v>91054.45860188175</v>
      </c>
      <c r="DA12" s="170" t="s">
        <v>254</v>
      </c>
    </row>
    <row r="13" spans="1:105" ht="12" customHeight="1" x14ac:dyDescent="0.25">
      <c r="A13" s="131" t="s">
        <v>77</v>
      </c>
      <c r="B13" s="140">
        <v>878.1045046066431</v>
      </c>
      <c r="C13" s="140">
        <v>1164.4418846663953</v>
      </c>
      <c r="D13" s="140">
        <v>1675.923171747392</v>
      </c>
      <c r="E13" s="140">
        <v>2313.7001049400387</v>
      </c>
      <c r="F13" s="140">
        <v>3299.8301857064444</v>
      </c>
      <c r="G13" s="140">
        <v>4537.4289656406872</v>
      </c>
      <c r="H13" s="140">
        <v>6044.4412661990291</v>
      </c>
      <c r="I13" s="140">
        <v>7570.0139230929226</v>
      </c>
      <c r="J13" s="140">
        <v>8745.4222769584339</v>
      </c>
      <c r="K13" s="140">
        <v>9973.0292890830497</v>
      </c>
      <c r="L13" s="140">
        <v>10940.836797157133</v>
      </c>
      <c r="M13" s="140">
        <v>12621.771287918522</v>
      </c>
      <c r="N13" s="140">
        <v>13756.287736570477</v>
      </c>
      <c r="O13" s="140">
        <v>15030.148357131327</v>
      </c>
      <c r="P13" s="140">
        <v>15956.135483330232</v>
      </c>
      <c r="Q13" s="140">
        <v>17063.358178662456</v>
      </c>
      <c r="R13" s="140">
        <v>18493.148119108995</v>
      </c>
      <c r="S13" s="140">
        <v>20140.57316990996</v>
      </c>
      <c r="T13" s="140">
        <v>21657.041861444348</v>
      </c>
      <c r="U13" s="140">
        <v>23081.353992774595</v>
      </c>
      <c r="V13" s="140">
        <v>24367.660706256866</v>
      </c>
      <c r="W13" s="140">
        <v>24435.278212888694</v>
      </c>
      <c r="X13" s="140">
        <v>24238.577428696935</v>
      </c>
      <c r="Y13" s="140">
        <v>24214.083778426037</v>
      </c>
      <c r="DA13" s="170" t="s">
        <v>255</v>
      </c>
    </row>
    <row r="14" spans="1:105" ht="12" customHeight="1" x14ac:dyDescent="0.25">
      <c r="A14" s="60" t="s">
        <v>76</v>
      </c>
      <c r="B14" s="141">
        <v>58351.572336388424</v>
      </c>
      <c r="C14" s="141">
        <v>59983.125065817934</v>
      </c>
      <c r="D14" s="141">
        <v>59184.47175712583</v>
      </c>
      <c r="E14" s="141">
        <v>58253.800698733445</v>
      </c>
      <c r="F14" s="141">
        <v>59117.676519673427</v>
      </c>
      <c r="G14" s="141">
        <v>60726.613989071739</v>
      </c>
      <c r="H14" s="141">
        <v>64369.045963041004</v>
      </c>
      <c r="I14" s="141">
        <v>66597.604002732318</v>
      </c>
      <c r="J14" s="141">
        <v>65401.694695707418</v>
      </c>
      <c r="K14" s="141">
        <v>60500.253421392415</v>
      </c>
      <c r="L14" s="141">
        <v>55764.211707651411</v>
      </c>
      <c r="M14" s="141">
        <v>51179.985262057184</v>
      </c>
      <c r="N14" s="141">
        <v>49541.277344240574</v>
      </c>
      <c r="O14" s="141">
        <v>50009.816567039401</v>
      </c>
      <c r="P14" s="141">
        <v>53430.924052127906</v>
      </c>
      <c r="Q14" s="141">
        <v>57265.030644635444</v>
      </c>
      <c r="R14" s="141">
        <v>59138.484656898901</v>
      </c>
      <c r="S14" s="141">
        <v>58429.374212763112</v>
      </c>
      <c r="T14" s="141">
        <v>58639.314085124483</v>
      </c>
      <c r="U14" s="141">
        <v>59506.075177242536</v>
      </c>
      <c r="V14" s="141">
        <v>64228.040598774751</v>
      </c>
      <c r="W14" s="141">
        <v>68621.157578313054</v>
      </c>
      <c r="X14" s="141">
        <v>75347.112733106464</v>
      </c>
      <c r="Y14" s="141">
        <v>77596.975940905366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103465.41636046143</v>
      </c>
      <c r="C15" s="143">
        <f t="shared" si="4"/>
        <v>103597.50269167521</v>
      </c>
      <c r="D15" s="143">
        <f t="shared" si="4"/>
        <v>105719.73518915082</v>
      </c>
      <c r="E15" s="143">
        <f t="shared" si="4"/>
        <v>107578.92500011707</v>
      </c>
      <c r="F15" s="143">
        <f t="shared" si="4"/>
        <v>107823.12932523841</v>
      </c>
      <c r="G15" s="143">
        <f t="shared" si="4"/>
        <v>106817.98950446957</v>
      </c>
      <c r="H15" s="143">
        <f t="shared" si="4"/>
        <v>104236.79309018602</v>
      </c>
      <c r="I15" s="143">
        <f t="shared" si="4"/>
        <v>102944.72140004314</v>
      </c>
      <c r="J15" s="143">
        <f t="shared" si="4"/>
        <v>104463.23062543102</v>
      </c>
      <c r="K15" s="143">
        <f t="shared" si="4"/>
        <v>109883.67260961792</v>
      </c>
      <c r="L15" s="143">
        <f t="shared" si="4"/>
        <v>115833.78007509824</v>
      </c>
      <c r="M15" s="143">
        <f t="shared" si="4"/>
        <v>120418.97630886434</v>
      </c>
      <c r="N15" s="143">
        <f t="shared" si="4"/>
        <v>122336.14660951571</v>
      </c>
      <c r="O15" s="143">
        <f t="shared" si="4"/>
        <v>123237.67369844316</v>
      </c>
      <c r="P15" s="143">
        <f t="shared" si="4"/>
        <v>120865.13236706131</v>
      </c>
      <c r="Q15" s="143">
        <f t="shared" si="4"/>
        <v>118462.30696227457</v>
      </c>
      <c r="R15" s="143">
        <f t="shared" ref="R15:W15" si="5">SUM(R5:R12)</f>
        <v>117468.34309787632</v>
      </c>
      <c r="S15" s="143">
        <f t="shared" si="5"/>
        <v>119171.00791902011</v>
      </c>
      <c r="T15" s="143">
        <f t="shared" si="5"/>
        <v>119666.19871550021</v>
      </c>
      <c r="U15" s="143">
        <f t="shared" si="5"/>
        <v>119447.75935007181</v>
      </c>
      <c r="V15" s="143">
        <f t="shared" si="5"/>
        <v>115499.94425052396</v>
      </c>
      <c r="W15" s="143">
        <f t="shared" si="5"/>
        <v>113074.1041209547</v>
      </c>
      <c r="X15" s="143">
        <f t="shared" ref="X15:Y15" si="6">SUM(X5:X12)</f>
        <v>108567.85784439807</v>
      </c>
      <c r="Y15" s="143">
        <f t="shared" si="6"/>
        <v>108358.7263812726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42762.127792590843</v>
      </c>
      <c r="C16" s="139">
        <f t="shared" si="7"/>
        <v>43684.972928436313</v>
      </c>
      <c r="D16" s="139">
        <f t="shared" si="7"/>
        <v>44980.026441094706</v>
      </c>
      <c r="E16" s="139">
        <f t="shared" si="7"/>
        <v>45808.42304709879</v>
      </c>
      <c r="F16" s="139">
        <f t="shared" si="7"/>
        <v>47379.391910033803</v>
      </c>
      <c r="G16" s="139">
        <f t="shared" si="7"/>
        <v>48712.527409650589</v>
      </c>
      <c r="H16" s="139">
        <f t="shared" si="7"/>
        <v>50264.260295060805</v>
      </c>
      <c r="I16" s="139">
        <f t="shared" si="7"/>
        <v>52399.591030254698</v>
      </c>
      <c r="J16" s="139">
        <f t="shared" si="7"/>
        <v>54263.644621586325</v>
      </c>
      <c r="K16" s="139">
        <f t="shared" si="7"/>
        <v>55776.6917112433</v>
      </c>
      <c r="L16" s="139">
        <f t="shared" si="7"/>
        <v>57687.943475153224</v>
      </c>
      <c r="M16" s="139">
        <f t="shared" si="7"/>
        <v>59044.749742045562</v>
      </c>
      <c r="N16" s="139">
        <f t="shared" si="7"/>
        <v>60389.815902751419</v>
      </c>
      <c r="O16" s="139">
        <f t="shared" si="7"/>
        <v>62179.989433349001</v>
      </c>
      <c r="P16" s="139">
        <f t="shared" si="7"/>
        <v>63312.259929899359</v>
      </c>
      <c r="Q16" s="139">
        <f t="shared" si="7"/>
        <v>64485.221133691499</v>
      </c>
      <c r="R16" s="139">
        <f t="shared" ref="R16:W16" si="8">SUM(R17:R18)</f>
        <v>66148.335513827828</v>
      </c>
      <c r="S16" s="139">
        <f t="shared" si="8"/>
        <v>68009.848999613998</v>
      </c>
      <c r="T16" s="139">
        <f t="shared" si="8"/>
        <v>68644.687109063671</v>
      </c>
      <c r="U16" s="139">
        <f t="shared" si="8"/>
        <v>69344.534314751145</v>
      </c>
      <c r="V16" s="139">
        <f t="shared" si="8"/>
        <v>70219.844193082041</v>
      </c>
      <c r="W16" s="139">
        <f t="shared" si="8"/>
        <v>70740.287074942375</v>
      </c>
      <c r="X16" s="139">
        <f t="shared" ref="X16:Y16" si="9">SUM(X17:X18)</f>
        <v>70855.533599136776</v>
      </c>
      <c r="Y16" s="139">
        <f t="shared" si="9"/>
        <v>71004.955681204883</v>
      </c>
      <c r="DA16" s="169" t="s">
        <v>257</v>
      </c>
    </row>
    <row r="17" spans="1:105" ht="12.95" customHeight="1" x14ac:dyDescent="0.25">
      <c r="A17" s="131" t="s">
        <v>73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258</v>
      </c>
    </row>
    <row r="18" spans="1:105" ht="12" customHeight="1" x14ac:dyDescent="0.25">
      <c r="A18" s="131" t="s">
        <v>72</v>
      </c>
      <c r="B18" s="140">
        <v>42762.127792590843</v>
      </c>
      <c r="C18" s="140">
        <v>43684.972928436313</v>
      </c>
      <c r="D18" s="140">
        <v>44980.026441094706</v>
      </c>
      <c r="E18" s="140">
        <v>45808.42304709879</v>
      </c>
      <c r="F18" s="140">
        <v>47379.391910033803</v>
      </c>
      <c r="G18" s="140">
        <v>48712.527409650589</v>
      </c>
      <c r="H18" s="140">
        <v>50264.260295060805</v>
      </c>
      <c r="I18" s="140">
        <v>52399.591030254698</v>
      </c>
      <c r="J18" s="140">
        <v>54263.644621586325</v>
      </c>
      <c r="K18" s="140">
        <v>55776.6917112433</v>
      </c>
      <c r="L18" s="140">
        <v>57687.943475153224</v>
      </c>
      <c r="M18" s="140">
        <v>59044.749742045562</v>
      </c>
      <c r="N18" s="140">
        <v>60389.815902751419</v>
      </c>
      <c r="O18" s="140">
        <v>62179.989433349001</v>
      </c>
      <c r="P18" s="140">
        <v>63312.259929899359</v>
      </c>
      <c r="Q18" s="140">
        <v>64485.221133691499</v>
      </c>
      <c r="R18" s="140">
        <v>66148.335513827828</v>
      </c>
      <c r="S18" s="140">
        <v>68009.848999613998</v>
      </c>
      <c r="T18" s="140">
        <v>68644.687109063671</v>
      </c>
      <c r="U18" s="140">
        <v>69344.534314751145</v>
      </c>
      <c r="V18" s="140">
        <v>70219.844193082041</v>
      </c>
      <c r="W18" s="140">
        <v>70740.287074942375</v>
      </c>
      <c r="X18" s="140">
        <v>70855.533599136776</v>
      </c>
      <c r="Y18" s="140">
        <v>71004.955681204883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162695.09320145648</v>
      </c>
      <c r="C19" s="139">
        <f t="shared" si="10"/>
        <v>164745.06964215956</v>
      </c>
      <c r="D19" s="139">
        <f t="shared" si="10"/>
        <v>166580.13011802401</v>
      </c>
      <c r="E19" s="139">
        <f t="shared" si="10"/>
        <v>168146.42580379054</v>
      </c>
      <c r="F19" s="139">
        <f t="shared" si="10"/>
        <v>170240.63603061825</v>
      </c>
      <c r="G19" s="139">
        <f t="shared" si="10"/>
        <v>172082.03245918194</v>
      </c>
      <c r="H19" s="139">
        <f t="shared" si="10"/>
        <v>174650.28031942603</v>
      </c>
      <c r="I19" s="139">
        <f t="shared" si="10"/>
        <v>177112.33932586844</v>
      </c>
      <c r="J19" s="139">
        <f t="shared" si="10"/>
        <v>178610.34759809688</v>
      </c>
      <c r="K19" s="139">
        <f t="shared" si="10"/>
        <v>180356.9553200934</v>
      </c>
      <c r="L19" s="139">
        <f t="shared" si="10"/>
        <v>182538.82857990669</v>
      </c>
      <c r="M19" s="139">
        <f t="shared" si="10"/>
        <v>184220.73285884003</v>
      </c>
      <c r="N19" s="139">
        <f t="shared" si="10"/>
        <v>185633.7116903268</v>
      </c>
      <c r="O19" s="139">
        <f t="shared" si="10"/>
        <v>188277.63862261391</v>
      </c>
      <c r="P19" s="139">
        <f t="shared" si="10"/>
        <v>190252.19190251949</v>
      </c>
      <c r="Q19" s="139">
        <f t="shared" si="10"/>
        <v>192790.6957855724</v>
      </c>
      <c r="R19" s="139">
        <f t="shared" ref="R19:W19" si="11">SUM(R20:R26)</f>
        <v>195099.97587388422</v>
      </c>
      <c r="S19" s="139">
        <f t="shared" si="11"/>
        <v>197740.95530169335</v>
      </c>
      <c r="T19" s="139">
        <f t="shared" si="11"/>
        <v>199962.55466206896</v>
      </c>
      <c r="U19" s="139">
        <f t="shared" si="11"/>
        <v>202035.18852008914</v>
      </c>
      <c r="V19" s="139">
        <f t="shared" si="11"/>
        <v>204095.64555555559</v>
      </c>
      <c r="W19" s="139">
        <f t="shared" si="11"/>
        <v>206130.53991215647</v>
      </c>
      <c r="X19" s="139">
        <f t="shared" ref="X19:Y19" si="12">SUM(X20:X26)</f>
        <v>208153.54800620157</v>
      </c>
      <c r="Y19" s="139">
        <f t="shared" si="12"/>
        <v>210169.78610060399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262</v>
      </c>
    </row>
    <row r="22" spans="1:105" ht="12" customHeight="1" x14ac:dyDescent="0.25">
      <c r="A22" s="131" t="s">
        <v>161</v>
      </c>
      <c r="B22" s="140">
        <v>30900.608950380429</v>
      </c>
      <c r="C22" s="140">
        <v>30464.18758331953</v>
      </c>
      <c r="D22" s="140">
        <v>29306.384746479358</v>
      </c>
      <c r="E22" s="140">
        <v>27198.020853382503</v>
      </c>
      <c r="F22" s="140">
        <v>24029.578082809327</v>
      </c>
      <c r="G22" s="140">
        <v>19609.887891415983</v>
      </c>
      <c r="H22" s="140">
        <v>16929.953965627868</v>
      </c>
      <c r="I22" s="140">
        <v>14061.904345492401</v>
      </c>
      <c r="J22" s="140">
        <v>11701.550262476616</v>
      </c>
      <c r="K22" s="140">
        <v>8867.0239848524361</v>
      </c>
      <c r="L22" s="140">
        <v>7894.4005993053015</v>
      </c>
      <c r="M22" s="140">
        <v>8391.7222926487157</v>
      </c>
      <c r="N22" s="140">
        <v>9939.7209749417034</v>
      </c>
      <c r="O22" s="140">
        <v>11176.037348941691</v>
      </c>
      <c r="P22" s="140">
        <v>11614.041904747617</v>
      </c>
      <c r="Q22" s="140">
        <v>13327.241827142358</v>
      </c>
      <c r="R22" s="140">
        <v>14549.662031307844</v>
      </c>
      <c r="S22" s="140">
        <v>15634.655571704101</v>
      </c>
      <c r="T22" s="140">
        <v>15936.37142333886</v>
      </c>
      <c r="U22" s="140">
        <v>15578.487680260634</v>
      </c>
      <c r="V22" s="140">
        <v>14854.265654491677</v>
      </c>
      <c r="W22" s="140">
        <v>13544.395052882714</v>
      </c>
      <c r="X22" s="140">
        <v>12187.44462329704</v>
      </c>
      <c r="Y22" s="140">
        <v>10739.871348968818</v>
      </c>
      <c r="DA22" s="170" t="s">
        <v>263</v>
      </c>
    </row>
    <row r="23" spans="1:105" ht="12" customHeight="1" x14ac:dyDescent="0.25">
      <c r="A23" s="131" t="s">
        <v>149</v>
      </c>
      <c r="B23" s="140">
        <v>736.47493275664647</v>
      </c>
      <c r="C23" s="140">
        <v>784.46090052338866</v>
      </c>
      <c r="D23" s="140">
        <v>960.09098542469792</v>
      </c>
      <c r="E23" s="140">
        <v>1123.4347158344908</v>
      </c>
      <c r="F23" s="140">
        <v>1291.9088866122913</v>
      </c>
      <c r="G23" s="140">
        <v>1491.6790230110391</v>
      </c>
      <c r="H23" s="140">
        <v>1725.0345686703072</v>
      </c>
      <c r="I23" s="140">
        <v>1864.4483268058159</v>
      </c>
      <c r="J23" s="140">
        <v>1987.6234208063963</v>
      </c>
      <c r="K23" s="140">
        <v>2042.9027893204932</v>
      </c>
      <c r="L23" s="140">
        <v>2117.1214255156297</v>
      </c>
      <c r="M23" s="140">
        <v>2163.0974537203037</v>
      </c>
      <c r="N23" s="140">
        <v>2241.2121393004568</v>
      </c>
      <c r="O23" s="140">
        <v>2322.6981921956317</v>
      </c>
      <c r="P23" s="140">
        <v>2427.7019392604516</v>
      </c>
      <c r="Q23" s="140">
        <v>2379.5555423256305</v>
      </c>
      <c r="R23" s="140">
        <v>2276.1066518139578</v>
      </c>
      <c r="S23" s="140">
        <v>2265.4956818417913</v>
      </c>
      <c r="T23" s="140">
        <v>2256.946948043731</v>
      </c>
      <c r="U23" s="140">
        <v>2614.207973313336</v>
      </c>
      <c r="V23" s="140">
        <v>2701.7762750080137</v>
      </c>
      <c r="W23" s="140">
        <v>2711.5088654965102</v>
      </c>
      <c r="X23" s="140">
        <v>2639.4296403100921</v>
      </c>
      <c r="Y23" s="140">
        <v>2449.5740405052265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65313.456545844987</v>
      </c>
      <c r="C25" s="140">
        <v>66100.476780409037</v>
      </c>
      <c r="D25" s="140">
        <v>67253.551736169829</v>
      </c>
      <c r="E25" s="140">
        <v>69410.952330837579</v>
      </c>
      <c r="F25" s="140">
        <v>73309.055396239622</v>
      </c>
      <c r="G25" s="140">
        <v>77201.251067636258</v>
      </c>
      <c r="H25" s="140">
        <v>80945.323460089829</v>
      </c>
      <c r="I25" s="140">
        <v>82547.667757254472</v>
      </c>
      <c r="J25" s="140">
        <v>83087.561405054628</v>
      </c>
      <c r="K25" s="140">
        <v>83758.097178483862</v>
      </c>
      <c r="L25" s="140">
        <v>85222.625087628054</v>
      </c>
      <c r="M25" s="140">
        <v>87015.704731129168</v>
      </c>
      <c r="N25" s="140">
        <v>88526.353092038364</v>
      </c>
      <c r="O25" s="140">
        <v>90133.622067494347</v>
      </c>
      <c r="P25" s="140">
        <v>91481.664444977621</v>
      </c>
      <c r="Q25" s="140">
        <v>93173.832225065053</v>
      </c>
      <c r="R25" s="140">
        <v>95896.558641852273</v>
      </c>
      <c r="S25" s="140">
        <v>96535.238765687172</v>
      </c>
      <c r="T25" s="140">
        <v>96514.499570593965</v>
      </c>
      <c r="U25" s="140">
        <v>95680.807769921594</v>
      </c>
      <c r="V25" s="140">
        <v>96843.674170260987</v>
      </c>
      <c r="W25" s="140">
        <v>100835.57730531169</v>
      </c>
      <c r="X25" s="140">
        <v>105907.46785046809</v>
      </c>
      <c r="Y25" s="140">
        <v>108519.30919258931</v>
      </c>
      <c r="DA25" s="170" t="s">
        <v>266</v>
      </c>
    </row>
    <row r="26" spans="1:105" ht="12" customHeight="1" x14ac:dyDescent="0.25">
      <c r="A26" s="131" t="s">
        <v>24</v>
      </c>
      <c r="B26" s="141">
        <v>65744.552772474432</v>
      </c>
      <c r="C26" s="141">
        <v>67395.94437790761</v>
      </c>
      <c r="D26" s="141">
        <v>69060.102649950131</v>
      </c>
      <c r="E26" s="141">
        <v>70414.017903735963</v>
      </c>
      <c r="F26" s="141">
        <v>71610.093664957007</v>
      </c>
      <c r="G26" s="141">
        <v>73779.214477118658</v>
      </c>
      <c r="H26" s="141">
        <v>75049.968325038019</v>
      </c>
      <c r="I26" s="141">
        <v>78638.318896315744</v>
      </c>
      <c r="J26" s="141">
        <v>81833.612509759259</v>
      </c>
      <c r="K26" s="141">
        <v>85688.931367436613</v>
      </c>
      <c r="L26" s="141">
        <v>87304.681467457704</v>
      </c>
      <c r="M26" s="141">
        <v>86650.208381341858</v>
      </c>
      <c r="N26" s="141">
        <v>84926.425484046296</v>
      </c>
      <c r="O26" s="141">
        <v>84645.28101398224</v>
      </c>
      <c r="P26" s="141">
        <v>84728.7836135338</v>
      </c>
      <c r="Q26" s="141">
        <v>83910.066191039368</v>
      </c>
      <c r="R26" s="141">
        <v>82377.648548910147</v>
      </c>
      <c r="S26" s="141">
        <v>83305.565282460302</v>
      </c>
      <c r="T26" s="141">
        <v>85254.736720092391</v>
      </c>
      <c r="U26" s="141">
        <v>88161.685096593559</v>
      </c>
      <c r="V26" s="141">
        <v>89695.929455794918</v>
      </c>
      <c r="W26" s="141">
        <v>89039.058688465549</v>
      </c>
      <c r="X26" s="141">
        <v>87419.205892126338</v>
      </c>
      <c r="Y26" s="141">
        <v>88461.031518540651</v>
      </c>
      <c r="DA26" s="171" t="s">
        <v>267</v>
      </c>
    </row>
    <row r="27" spans="1:105" ht="12" customHeight="1" x14ac:dyDescent="0.25">
      <c r="A27" s="144" t="s">
        <v>26</v>
      </c>
      <c r="B27" s="150">
        <v>0</v>
      </c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162695.0932014565</v>
      </c>
      <c r="C29" s="139">
        <f t="shared" si="13"/>
        <v>164745.06964215956</v>
      </c>
      <c r="D29" s="139">
        <f t="shared" si="13"/>
        <v>166580.13011802401</v>
      </c>
      <c r="E29" s="139">
        <f t="shared" si="13"/>
        <v>168146.42580379054</v>
      </c>
      <c r="F29" s="139">
        <f t="shared" si="13"/>
        <v>170240.63603061819</v>
      </c>
      <c r="G29" s="139">
        <f t="shared" si="13"/>
        <v>172082.03245918202</v>
      </c>
      <c r="H29" s="139">
        <f t="shared" si="13"/>
        <v>174650.28031942606</v>
      </c>
      <c r="I29" s="139">
        <f t="shared" si="13"/>
        <v>177112.33932586835</v>
      </c>
      <c r="J29" s="139">
        <f t="shared" si="13"/>
        <v>178610.347598097</v>
      </c>
      <c r="K29" s="139">
        <f t="shared" si="13"/>
        <v>180356.95532009332</v>
      </c>
      <c r="L29" s="139">
        <f t="shared" si="13"/>
        <v>182538.82857990684</v>
      </c>
      <c r="M29" s="139">
        <f t="shared" si="13"/>
        <v>184220.73285884</v>
      </c>
      <c r="N29" s="139">
        <f t="shared" si="13"/>
        <v>185633.71169032677</v>
      </c>
      <c r="O29" s="139">
        <f t="shared" si="13"/>
        <v>188277.63862261383</v>
      </c>
      <c r="P29" s="139">
        <f t="shared" si="13"/>
        <v>190252.19190251944</v>
      </c>
      <c r="Q29" s="139">
        <f t="shared" si="13"/>
        <v>192790.69578557258</v>
      </c>
      <c r="R29" s="139">
        <f t="shared" ref="R29:W29" si="14">SUM(R30:R33)</f>
        <v>195099.97587388425</v>
      </c>
      <c r="S29" s="139">
        <f t="shared" si="14"/>
        <v>197740.95530169335</v>
      </c>
      <c r="T29" s="139">
        <f t="shared" si="14"/>
        <v>199962.5546620689</v>
      </c>
      <c r="U29" s="139">
        <f t="shared" si="14"/>
        <v>202035.18852008902</v>
      </c>
      <c r="V29" s="139">
        <f t="shared" si="14"/>
        <v>204095.6455555557</v>
      </c>
      <c r="W29" s="139">
        <f t="shared" si="14"/>
        <v>206130.5399121565</v>
      </c>
      <c r="X29" s="139">
        <f t="shared" ref="X29:Y29" si="15">SUM(X30:X33)</f>
        <v>208153.54800620125</v>
      </c>
      <c r="Y29" s="139">
        <f t="shared" si="15"/>
        <v>210169.78610060405</v>
      </c>
      <c r="DA29" s="169" t="s">
        <v>269</v>
      </c>
    </row>
    <row r="30" spans="1:105" ht="12" customHeight="1" x14ac:dyDescent="0.25">
      <c r="A30" s="131" t="s">
        <v>52</v>
      </c>
      <c r="B30" s="140">
        <v>21218.082487422344</v>
      </c>
      <c r="C30" s="140">
        <v>20575.044314921732</v>
      </c>
      <c r="D30" s="140">
        <v>19711.996804161859</v>
      </c>
      <c r="E30" s="140">
        <v>17029.255711140533</v>
      </c>
      <c r="F30" s="140">
        <v>16023.938941281858</v>
      </c>
      <c r="G30" s="140">
        <v>19062.600204430615</v>
      </c>
      <c r="H30" s="140">
        <v>26356.474876885684</v>
      </c>
      <c r="I30" s="140">
        <v>32205.473372107626</v>
      </c>
      <c r="J30" s="140">
        <v>33283.57843673601</v>
      </c>
      <c r="K30" s="140">
        <v>30797.292824403703</v>
      </c>
      <c r="L30" s="140">
        <v>29918.784892394706</v>
      </c>
      <c r="M30" s="140">
        <v>25090.471351942066</v>
      </c>
      <c r="N30" s="140">
        <v>16369.772754568476</v>
      </c>
      <c r="O30" s="140">
        <v>11111.538445380173</v>
      </c>
      <c r="P30" s="140">
        <v>8101.374407609308</v>
      </c>
      <c r="Q30" s="140">
        <v>6146.1093033610941</v>
      </c>
      <c r="R30" s="140">
        <v>5146.6962680711849</v>
      </c>
      <c r="S30" s="140">
        <v>4482.3552488234427</v>
      </c>
      <c r="T30" s="140">
        <v>4358.0487252602625</v>
      </c>
      <c r="U30" s="140">
        <v>4234.2929288001751</v>
      </c>
      <c r="V30" s="140">
        <v>4180.2360276091667</v>
      </c>
      <c r="W30" s="140">
        <v>4197.4507491131644</v>
      </c>
      <c r="X30" s="140">
        <v>4290.686729038157</v>
      </c>
      <c r="Y30" s="140">
        <v>4388.2788360554032</v>
      </c>
      <c r="DA30" s="170" t="s">
        <v>270</v>
      </c>
    </row>
    <row r="31" spans="1:105" ht="12" customHeight="1" x14ac:dyDescent="0.25">
      <c r="A31" s="131" t="s">
        <v>149</v>
      </c>
      <c r="B31" s="140">
        <v>4049.1120094468142</v>
      </c>
      <c r="C31" s="140">
        <v>4218.277010022116</v>
      </c>
      <c r="D31" s="140">
        <v>4463.9425276924958</v>
      </c>
      <c r="E31" s="140">
        <v>4649.0170288181544</v>
      </c>
      <c r="F31" s="140">
        <v>4736.871316593596</v>
      </c>
      <c r="G31" s="140">
        <v>4745.3298182656008</v>
      </c>
      <c r="H31" s="140">
        <v>4708.2170412075657</v>
      </c>
      <c r="I31" s="140">
        <v>4590.9661231129066</v>
      </c>
      <c r="J31" s="140">
        <v>4343.4823336513609</v>
      </c>
      <c r="K31" s="140">
        <v>3915.7497014267447</v>
      </c>
      <c r="L31" s="140">
        <v>3473.4122569639426</v>
      </c>
      <c r="M31" s="140">
        <v>3152.2582222835445</v>
      </c>
      <c r="N31" s="140">
        <v>2955.089327365783</v>
      </c>
      <c r="O31" s="140">
        <v>2846.1295618004165</v>
      </c>
      <c r="P31" s="140">
        <v>2796.7812565326053</v>
      </c>
      <c r="Q31" s="140">
        <v>2606.3863673891797</v>
      </c>
      <c r="R31" s="140">
        <v>2400.1953836676225</v>
      </c>
      <c r="S31" s="140">
        <v>2285.3778147107691</v>
      </c>
      <c r="T31" s="140">
        <v>2189.0490479469699</v>
      </c>
      <c r="U31" s="140">
        <v>2439.8381569077246</v>
      </c>
      <c r="V31" s="140">
        <v>2566.8310708187964</v>
      </c>
      <c r="W31" s="140">
        <v>2685.7715517474762</v>
      </c>
      <c r="X31" s="140">
        <v>2761.7390066055286</v>
      </c>
      <c r="Y31" s="140">
        <v>2803.8799933628843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137427.89870458734</v>
      </c>
      <c r="C33" s="152">
        <v>139951.74831721571</v>
      </c>
      <c r="D33" s="152">
        <v>142404.19078616967</v>
      </c>
      <c r="E33" s="152">
        <v>146468.15306383185</v>
      </c>
      <c r="F33" s="152">
        <v>149479.82577274274</v>
      </c>
      <c r="G33" s="152">
        <v>148274.10243648582</v>
      </c>
      <c r="H33" s="152">
        <v>143585.58840133282</v>
      </c>
      <c r="I33" s="152">
        <v>140315.89983064783</v>
      </c>
      <c r="J33" s="152">
        <v>140983.28682770961</v>
      </c>
      <c r="K33" s="152">
        <v>145643.91279426287</v>
      </c>
      <c r="L33" s="152">
        <v>149146.63143054818</v>
      </c>
      <c r="M33" s="152">
        <v>155978.00328461439</v>
      </c>
      <c r="N33" s="152">
        <v>166308.84960839251</v>
      </c>
      <c r="O33" s="152">
        <v>174319.97061543324</v>
      </c>
      <c r="P33" s="152">
        <v>179354.03623837754</v>
      </c>
      <c r="Q33" s="152">
        <v>184038.20011482231</v>
      </c>
      <c r="R33" s="152">
        <v>187553.08422214544</v>
      </c>
      <c r="S33" s="152">
        <v>190973.22223815913</v>
      </c>
      <c r="T33" s="152">
        <v>193415.45688886166</v>
      </c>
      <c r="U33" s="152">
        <v>195361.05743438113</v>
      </c>
      <c r="V33" s="152">
        <v>197348.57845712773</v>
      </c>
      <c r="W33" s="152">
        <v>199247.31761129585</v>
      </c>
      <c r="X33" s="152">
        <v>201101.12227055756</v>
      </c>
      <c r="Y33" s="152">
        <v>202977.62727118575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3627.3288083016255</v>
      </c>
      <c r="C3" s="125">
        <f t="shared" si="0"/>
        <v>3988.6694027055128</v>
      </c>
      <c r="D3" s="125">
        <f t="shared" si="0"/>
        <v>3957.1738129377782</v>
      </c>
      <c r="E3" s="125">
        <f t="shared" si="0"/>
        <v>3946.0708361140369</v>
      </c>
      <c r="F3" s="125">
        <f t="shared" si="0"/>
        <v>3691.0451171668637</v>
      </c>
      <c r="G3" s="125">
        <f t="shared" si="0"/>
        <v>3225.8209071609313</v>
      </c>
      <c r="H3" s="125">
        <f t="shared" si="0"/>
        <v>3255.1877330110665</v>
      </c>
      <c r="I3" s="125">
        <f t="shared" si="0"/>
        <v>3318.3048308429911</v>
      </c>
      <c r="J3" s="125">
        <f t="shared" si="0"/>
        <v>3254.627464296203</v>
      </c>
      <c r="K3" s="125">
        <f t="shared" si="0"/>
        <v>3112.7811023999302</v>
      </c>
      <c r="L3" s="125">
        <f t="shared" si="0"/>
        <v>3397.5974463192842</v>
      </c>
      <c r="M3" s="125">
        <f t="shared" si="0"/>
        <v>2925.7160489008911</v>
      </c>
      <c r="N3" s="125">
        <f t="shared" si="0"/>
        <v>3096.2169641790629</v>
      </c>
      <c r="O3" s="125">
        <f t="shared" si="0"/>
        <v>2992.0696561298901</v>
      </c>
      <c r="P3" s="125">
        <f t="shared" si="0"/>
        <v>2978.4868687849439</v>
      </c>
      <c r="Q3" s="125">
        <f t="shared" si="0"/>
        <v>3021.977591687415</v>
      </c>
      <c r="R3" s="125">
        <f t="shared" ref="R3:W3" si="1">SUM(R4,R16,R19,R29)</f>
        <v>3203.044818965554</v>
      </c>
      <c r="S3" s="125">
        <f t="shared" si="1"/>
        <v>2984.9154727715381</v>
      </c>
      <c r="T3" s="125">
        <f t="shared" si="1"/>
        <v>3097.7710578487995</v>
      </c>
      <c r="U3" s="125">
        <f t="shared" si="1"/>
        <v>3004.0577773262248</v>
      </c>
      <c r="V3" s="125">
        <f t="shared" si="1"/>
        <v>2944.0742518427251</v>
      </c>
      <c r="W3" s="125">
        <f t="shared" si="1"/>
        <v>3180.4051164549624</v>
      </c>
      <c r="X3" s="125">
        <f t="shared" ref="X3:Y3" si="2">SUM(X4,X16,X19,X29)</f>
        <v>3163.6045747939702</v>
      </c>
      <c r="Y3" s="125">
        <f t="shared" si="2"/>
        <v>3116.881799259103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2929.6027134255023</v>
      </c>
      <c r="C4" s="130">
        <f t="shared" si="3"/>
        <v>3276.5189763756084</v>
      </c>
      <c r="D4" s="130">
        <f t="shared" si="3"/>
        <v>3241.3364928557039</v>
      </c>
      <c r="E4" s="130">
        <f t="shared" si="3"/>
        <v>3224.3622388691829</v>
      </c>
      <c r="F4" s="130">
        <f t="shared" si="3"/>
        <v>2963.4540919856604</v>
      </c>
      <c r="G4" s="130">
        <f t="shared" si="3"/>
        <v>2493.2728052955231</v>
      </c>
      <c r="H4" s="130">
        <f t="shared" si="3"/>
        <v>2509.0631507362227</v>
      </c>
      <c r="I4" s="130">
        <f t="shared" si="3"/>
        <v>2554.3123248154689</v>
      </c>
      <c r="J4" s="130">
        <f t="shared" si="3"/>
        <v>2482.5270684528682</v>
      </c>
      <c r="K4" s="130">
        <f t="shared" si="3"/>
        <v>2329.7864663630176</v>
      </c>
      <c r="L4" s="130">
        <f t="shared" si="3"/>
        <v>2600.3979151471353</v>
      </c>
      <c r="M4" s="130">
        <f t="shared" si="3"/>
        <v>2115.7993205934758</v>
      </c>
      <c r="N4" s="130">
        <f t="shared" si="3"/>
        <v>2293.7430957936749</v>
      </c>
      <c r="O4" s="130">
        <f t="shared" si="3"/>
        <v>2174.1488127904881</v>
      </c>
      <c r="P4" s="130">
        <f t="shared" si="3"/>
        <v>2154.5062202346585</v>
      </c>
      <c r="Q4" s="130">
        <f t="shared" si="3"/>
        <v>2196.2147371476672</v>
      </c>
      <c r="R4" s="130">
        <f t="shared" ref="R4:W4" si="4">SUM(R5:R15)</f>
        <v>2373.3897580689786</v>
      </c>
      <c r="S4" s="130">
        <f t="shared" si="4"/>
        <v>2134.6364135787426</v>
      </c>
      <c r="T4" s="130">
        <f t="shared" si="4"/>
        <v>2245.214764149539</v>
      </c>
      <c r="U4" s="130">
        <f t="shared" si="4"/>
        <v>2132.9637226403934</v>
      </c>
      <c r="V4" s="130">
        <f t="shared" si="4"/>
        <v>2054.8419728069653</v>
      </c>
      <c r="W4" s="130">
        <f t="shared" si="4"/>
        <v>2295.7370434245058</v>
      </c>
      <c r="X4" s="130">
        <f t="shared" ref="X4:Y4" si="5">SUM(X5:X15)</f>
        <v>2309.2601455696854</v>
      </c>
      <c r="Y4" s="130">
        <f t="shared" si="5"/>
        <v>2278.6202970550676</v>
      </c>
      <c r="DA4" s="155" t="s">
        <v>214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925.38511336395322</v>
      </c>
      <c r="C7" s="132">
        <v>934.171557985253</v>
      </c>
      <c r="D7" s="132">
        <v>909.69010003989968</v>
      </c>
      <c r="E7" s="132">
        <v>947.7282582056265</v>
      </c>
      <c r="F7" s="132">
        <v>696.07042905548735</v>
      </c>
      <c r="G7" s="132">
        <v>346.44441926465942</v>
      </c>
      <c r="H7" s="132">
        <v>302.71621811635811</v>
      </c>
      <c r="I7" s="132">
        <v>297.62167461685664</v>
      </c>
      <c r="J7" s="132">
        <v>255.24543980652163</v>
      </c>
      <c r="K7" s="132">
        <v>269.6146056683815</v>
      </c>
      <c r="L7" s="132">
        <v>281.95817783542725</v>
      </c>
      <c r="M7" s="132">
        <v>263.86825366438313</v>
      </c>
      <c r="N7" s="132">
        <v>255.65841310936821</v>
      </c>
      <c r="O7" s="132">
        <v>227.0236928876952</v>
      </c>
      <c r="P7" s="132">
        <v>229.66087453403608</v>
      </c>
      <c r="Q7" s="132">
        <v>222.50002474092597</v>
      </c>
      <c r="R7" s="132">
        <v>219.39330663703115</v>
      </c>
      <c r="S7" s="132">
        <v>226.96528327366474</v>
      </c>
      <c r="T7" s="132">
        <v>230.72142520032517</v>
      </c>
      <c r="U7" s="132">
        <v>222.83423903284509</v>
      </c>
      <c r="V7" s="132">
        <v>222.75546508849635</v>
      </c>
      <c r="W7" s="132">
        <v>199.74692434101732</v>
      </c>
      <c r="X7" s="132">
        <v>186.02458669790059</v>
      </c>
      <c r="Y7" s="132">
        <v>153.97535061546017</v>
      </c>
      <c r="DA7" s="156" t="s">
        <v>277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278</v>
      </c>
    </row>
    <row r="9" spans="1:105" ht="12" customHeight="1" x14ac:dyDescent="0.25">
      <c r="A9" s="131" t="s">
        <v>78</v>
      </c>
      <c r="B9" s="132">
        <v>24.398195504543835</v>
      </c>
      <c r="C9" s="132">
        <v>22.887478512032786</v>
      </c>
      <c r="D9" s="132">
        <v>53.088348011391012</v>
      </c>
      <c r="E9" s="132">
        <v>75.583475789465325</v>
      </c>
      <c r="F9" s="132">
        <v>75.816493644704423</v>
      </c>
      <c r="G9" s="132">
        <v>80.34394815736664</v>
      </c>
      <c r="H9" s="132">
        <v>80.897514773277848</v>
      </c>
      <c r="I9" s="132">
        <v>82.788650144525207</v>
      </c>
      <c r="J9" s="132">
        <v>86.527093693414841</v>
      </c>
      <c r="K9" s="132">
        <v>41.5154083000673</v>
      </c>
      <c r="L9" s="132">
        <v>93.300611357580209</v>
      </c>
      <c r="M9" s="132">
        <v>80.800894692569855</v>
      </c>
      <c r="N9" s="132">
        <v>108.43771541404831</v>
      </c>
      <c r="O9" s="132">
        <v>92.700303704098644</v>
      </c>
      <c r="P9" s="132">
        <v>86.852682231891023</v>
      </c>
      <c r="Q9" s="132">
        <v>81.909212927517387</v>
      </c>
      <c r="R9" s="132">
        <v>82.35301072747616</v>
      </c>
      <c r="S9" s="132">
        <v>46.379246052395679</v>
      </c>
      <c r="T9" s="132">
        <v>67.62881354091472</v>
      </c>
      <c r="U9" s="132">
        <v>87.064003360293995</v>
      </c>
      <c r="V9" s="132">
        <v>81.65764332681583</v>
      </c>
      <c r="W9" s="132">
        <v>79.128151768800862</v>
      </c>
      <c r="X9" s="132">
        <v>73.490314673937732</v>
      </c>
      <c r="Y9" s="132">
        <v>62.963483244770707</v>
      </c>
      <c r="DA9" s="156" t="s">
        <v>279</v>
      </c>
    </row>
    <row r="10" spans="1:105" ht="12" customHeight="1" x14ac:dyDescent="0.25">
      <c r="A10" s="131" t="s">
        <v>128</v>
      </c>
      <c r="B10" s="132">
        <v>12.99320722269991</v>
      </c>
      <c r="C10" s="132">
        <v>34.393809114359406</v>
      </c>
      <c r="D10" s="132">
        <v>25.79535683576956</v>
      </c>
      <c r="E10" s="132">
        <v>23.884608770421316</v>
      </c>
      <c r="F10" s="132">
        <v>54.337403267411858</v>
      </c>
      <c r="G10" s="132">
        <v>59.711435941530517</v>
      </c>
      <c r="H10" s="132">
        <v>42.56233877901979</v>
      </c>
      <c r="I10" s="132">
        <v>44.019260533104024</v>
      </c>
      <c r="J10" s="132">
        <v>45.070249355116076</v>
      </c>
      <c r="K10" s="132">
        <v>45.070249355116083</v>
      </c>
      <c r="L10" s="132">
        <v>45.070249355116076</v>
      </c>
      <c r="M10" s="132">
        <v>40.603783319002581</v>
      </c>
      <c r="N10" s="132">
        <v>52.020636285468598</v>
      </c>
      <c r="O10" s="132">
        <v>28.90034393809114</v>
      </c>
      <c r="P10" s="132">
        <v>39.815649183146995</v>
      </c>
      <c r="Q10" s="132">
        <v>40.317196904557179</v>
      </c>
      <c r="R10" s="132">
        <v>65.658727429062822</v>
      </c>
      <c r="S10" s="132">
        <v>65.348237317282866</v>
      </c>
      <c r="T10" s="132">
        <v>66.733533963886416</v>
      </c>
      <c r="U10" s="132">
        <v>37.666036113499594</v>
      </c>
      <c r="V10" s="132">
        <v>35.373086844367933</v>
      </c>
      <c r="W10" s="132">
        <v>38.645227858985393</v>
      </c>
      <c r="X10" s="132">
        <v>30.142390369733441</v>
      </c>
      <c r="Y10" s="132">
        <v>33.772828890799723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281</v>
      </c>
    </row>
    <row r="12" spans="1:105" ht="12" customHeight="1" x14ac:dyDescent="0.25">
      <c r="A12" s="131" t="s">
        <v>162</v>
      </c>
      <c r="B12" s="132">
        <v>989.95364087714108</v>
      </c>
      <c r="C12" s="132">
        <v>1105.9688552726764</v>
      </c>
      <c r="D12" s="132">
        <v>1114.954592713947</v>
      </c>
      <c r="E12" s="132">
        <v>1136.9444457703491</v>
      </c>
      <c r="F12" s="132">
        <v>1100.3353390162547</v>
      </c>
      <c r="G12" s="132">
        <v>1125.3137108057513</v>
      </c>
      <c r="H12" s="132">
        <v>1099.7564539036159</v>
      </c>
      <c r="I12" s="132">
        <v>1040.4978317705502</v>
      </c>
      <c r="J12" s="132">
        <v>1065.42301586747</v>
      </c>
      <c r="K12" s="132">
        <v>1126.9728402456676</v>
      </c>
      <c r="L12" s="132">
        <v>1289.4595159820806</v>
      </c>
      <c r="M12" s="132">
        <v>1076.5755186772178</v>
      </c>
      <c r="N12" s="132">
        <v>1179.0115060739879</v>
      </c>
      <c r="O12" s="132">
        <v>1173.9369344624499</v>
      </c>
      <c r="P12" s="132">
        <v>1099.5010734713867</v>
      </c>
      <c r="Q12" s="132">
        <v>1055.8849140222926</v>
      </c>
      <c r="R12" s="132">
        <v>1127.9449566273172</v>
      </c>
      <c r="S12" s="132">
        <v>1057.5518899149622</v>
      </c>
      <c r="T12" s="132">
        <v>1097.9214333614034</v>
      </c>
      <c r="U12" s="132">
        <v>1066.3611967050474</v>
      </c>
      <c r="V12" s="132">
        <v>930.09506941432801</v>
      </c>
      <c r="W12" s="132">
        <v>1110.8473600252401</v>
      </c>
      <c r="X12" s="132">
        <v>1010.1447058922248</v>
      </c>
      <c r="Y12" s="132">
        <v>1072.111784859354</v>
      </c>
      <c r="DA12" s="156" t="s">
        <v>282</v>
      </c>
    </row>
    <row r="13" spans="1:105" ht="12" customHeight="1" x14ac:dyDescent="0.25">
      <c r="A13" s="131" t="s">
        <v>77</v>
      </c>
      <c r="B13" s="132">
        <v>5.6654471174936356</v>
      </c>
      <c r="C13" s="132">
        <v>9.7282611618882502</v>
      </c>
      <c r="D13" s="132">
        <v>13.061304601230141</v>
      </c>
      <c r="E13" s="132">
        <v>15.614662336059077</v>
      </c>
      <c r="F13" s="132">
        <v>22.001053449612744</v>
      </c>
      <c r="G13" s="132">
        <v>24.507729607913664</v>
      </c>
      <c r="H13" s="132">
        <v>33.856318205279315</v>
      </c>
      <c r="I13" s="132">
        <v>43.125923670877512</v>
      </c>
      <c r="J13" s="132">
        <v>45.959567354241614</v>
      </c>
      <c r="K13" s="132">
        <v>48.903637044786798</v>
      </c>
      <c r="L13" s="132">
        <v>51.462082968218375</v>
      </c>
      <c r="M13" s="132">
        <v>55.058424354909121</v>
      </c>
      <c r="N13" s="132">
        <v>58.510515628922391</v>
      </c>
      <c r="O13" s="132">
        <v>61.276156210407542</v>
      </c>
      <c r="P13" s="132">
        <v>61.100622842281744</v>
      </c>
      <c r="Q13" s="132">
        <v>61.049988606184826</v>
      </c>
      <c r="R13" s="132">
        <v>69.857720702093047</v>
      </c>
      <c r="S13" s="132">
        <v>67.847574525704147</v>
      </c>
      <c r="T13" s="132">
        <v>69.532601887714321</v>
      </c>
      <c r="U13" s="132">
        <v>68.037887108526974</v>
      </c>
      <c r="V13" s="132">
        <v>72.29812331529854</v>
      </c>
      <c r="W13" s="132">
        <v>72.608503927631119</v>
      </c>
      <c r="X13" s="132">
        <v>71.581009660452594</v>
      </c>
      <c r="Y13" s="132">
        <v>68.403965866927606</v>
      </c>
      <c r="DA13" s="156" t="s">
        <v>283</v>
      </c>
    </row>
    <row r="14" spans="1:105" ht="12" customHeight="1" x14ac:dyDescent="0.25">
      <c r="A14" s="60" t="s">
        <v>76</v>
      </c>
      <c r="B14" s="65">
        <v>958.88177188355371</v>
      </c>
      <c r="C14" s="65">
        <v>1156.653643849756</v>
      </c>
      <c r="D14" s="65">
        <v>1112.1221939248421</v>
      </c>
      <c r="E14" s="65">
        <v>1011.554049310029</v>
      </c>
      <c r="F14" s="65">
        <v>1004.1278828289612</v>
      </c>
      <c r="G14" s="65">
        <v>849.06260234161584</v>
      </c>
      <c r="H14" s="65">
        <v>942.0106657874818</v>
      </c>
      <c r="I14" s="65">
        <v>1039.3095069134497</v>
      </c>
      <c r="J14" s="65">
        <v>977.6415490838865</v>
      </c>
      <c r="K14" s="65">
        <v>791.19060385112061</v>
      </c>
      <c r="L14" s="65">
        <v>831.4531621757277</v>
      </c>
      <c r="M14" s="65">
        <v>592.11364858485263</v>
      </c>
      <c r="N14" s="65">
        <v>632.6497741610234</v>
      </c>
      <c r="O14" s="65">
        <v>583.29998014051193</v>
      </c>
      <c r="P14" s="65">
        <v>630.83627202364346</v>
      </c>
      <c r="Q14" s="65">
        <v>728.10075975651455</v>
      </c>
      <c r="R14" s="65">
        <v>801.40928257162454</v>
      </c>
      <c r="S14" s="65">
        <v>664.21069521345191</v>
      </c>
      <c r="T14" s="65">
        <v>705.90732866087546</v>
      </c>
      <c r="U14" s="65">
        <v>644.28218553566387</v>
      </c>
      <c r="V14" s="65">
        <v>706.42441361245346</v>
      </c>
      <c r="W14" s="65">
        <v>788.15087394762747</v>
      </c>
      <c r="X14" s="65">
        <v>931.80251769224651</v>
      </c>
      <c r="Y14" s="65">
        <v>881.48782036844034</v>
      </c>
      <c r="DA14" s="109" t="s">
        <v>284</v>
      </c>
    </row>
    <row r="15" spans="1:105" ht="12" customHeight="1" x14ac:dyDescent="0.25">
      <c r="A15" s="133" t="s">
        <v>80</v>
      </c>
      <c r="B15" s="134">
        <v>12.325337456116902</v>
      </c>
      <c r="C15" s="134">
        <v>12.715370479642218</v>
      </c>
      <c r="D15" s="134">
        <v>12.624596728624621</v>
      </c>
      <c r="E15" s="134">
        <v>13.052738687232726</v>
      </c>
      <c r="F15" s="134">
        <v>10.765490723227721</v>
      </c>
      <c r="G15" s="134">
        <v>7.8889591766855194</v>
      </c>
      <c r="H15" s="134">
        <v>7.2636411711895956</v>
      </c>
      <c r="I15" s="134">
        <v>6.9494771661058463</v>
      </c>
      <c r="J15" s="134">
        <v>6.6601532922173785</v>
      </c>
      <c r="K15" s="134">
        <v>6.5191218978775938</v>
      </c>
      <c r="L15" s="134">
        <v>7.694115472985013</v>
      </c>
      <c r="M15" s="134">
        <v>6.7787973005408402</v>
      </c>
      <c r="N15" s="134">
        <v>7.4545351208563924</v>
      </c>
      <c r="O15" s="134">
        <v>7.0114014472336699</v>
      </c>
      <c r="P15" s="134">
        <v>6.7390459482724721</v>
      </c>
      <c r="Q15" s="134">
        <v>6.4526401896746899</v>
      </c>
      <c r="R15" s="134">
        <v>6.7727533743735648</v>
      </c>
      <c r="S15" s="134">
        <v>6.3334872812810863</v>
      </c>
      <c r="T15" s="134">
        <v>6.7696275344191505</v>
      </c>
      <c r="U15" s="134">
        <v>6.7181747845167594</v>
      </c>
      <c r="V15" s="134">
        <v>6.2381712052051563</v>
      </c>
      <c r="W15" s="134">
        <v>6.6100015552039162</v>
      </c>
      <c r="X15" s="134">
        <v>6.0746205831896081</v>
      </c>
      <c r="Y15" s="134">
        <v>5.9050632093149833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43.650326837978632</v>
      </c>
      <c r="C16" s="130">
        <f t="shared" si="6"/>
        <v>43.169009322612887</v>
      </c>
      <c r="D16" s="130">
        <f t="shared" si="6"/>
        <v>42.708687300100443</v>
      </c>
      <c r="E16" s="130">
        <f t="shared" si="6"/>
        <v>41.742775519913742</v>
      </c>
      <c r="F16" s="130">
        <f t="shared" si="6"/>
        <v>41.10819036826738</v>
      </c>
      <c r="G16" s="130">
        <f t="shared" si="6"/>
        <v>40.112272027826513</v>
      </c>
      <c r="H16" s="130">
        <f t="shared" si="6"/>
        <v>39.021279964198698</v>
      </c>
      <c r="I16" s="130">
        <f t="shared" si="6"/>
        <v>38.016972034977563</v>
      </c>
      <c r="J16" s="130">
        <f t="shared" si="6"/>
        <v>36.826911785038249</v>
      </c>
      <c r="K16" s="130">
        <f t="shared" si="6"/>
        <v>37.221951259329259</v>
      </c>
      <c r="L16" s="130">
        <f t="shared" si="6"/>
        <v>38.07844054080762</v>
      </c>
      <c r="M16" s="130">
        <f t="shared" si="6"/>
        <v>36.984601388807405</v>
      </c>
      <c r="N16" s="130">
        <f t="shared" si="6"/>
        <v>36.438056033881644</v>
      </c>
      <c r="O16" s="130">
        <f t="shared" si="6"/>
        <v>36.091792439610273</v>
      </c>
      <c r="P16" s="130">
        <f t="shared" si="6"/>
        <v>35.806359874934117</v>
      </c>
      <c r="Q16" s="130">
        <f t="shared" si="6"/>
        <v>34.622461206865353</v>
      </c>
      <c r="R16" s="130">
        <f t="shared" ref="R16:W16" si="7">SUM(R17:R18)</f>
        <v>34.280020071779795</v>
      </c>
      <c r="S16" s="130">
        <f t="shared" si="7"/>
        <v>34.046233561645039</v>
      </c>
      <c r="T16" s="130">
        <f t="shared" si="7"/>
        <v>33.803878851324683</v>
      </c>
      <c r="U16" s="130">
        <f t="shared" si="7"/>
        <v>33.255482611373161</v>
      </c>
      <c r="V16" s="130">
        <f t="shared" si="7"/>
        <v>32.262620985453474</v>
      </c>
      <c r="W16" s="130">
        <f t="shared" si="7"/>
        <v>32.575482113046746</v>
      </c>
      <c r="X16" s="130">
        <f t="shared" ref="X16:Y16" si="8">SUM(X17:X18)</f>
        <v>31.66742024617486</v>
      </c>
      <c r="Y16" s="130">
        <f t="shared" si="8"/>
        <v>31.558230904988836</v>
      </c>
      <c r="DA16" s="155" t="s">
        <v>215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286</v>
      </c>
    </row>
    <row r="18" spans="1:105" ht="12" customHeight="1" x14ac:dyDescent="0.25">
      <c r="A18" s="131" t="s">
        <v>72</v>
      </c>
      <c r="B18" s="132">
        <v>43.650326837978632</v>
      </c>
      <c r="C18" s="132">
        <v>43.169009322612887</v>
      </c>
      <c r="D18" s="132">
        <v>42.708687300100443</v>
      </c>
      <c r="E18" s="132">
        <v>41.742775519913742</v>
      </c>
      <c r="F18" s="132">
        <v>41.10819036826738</v>
      </c>
      <c r="G18" s="132">
        <v>40.112272027826513</v>
      </c>
      <c r="H18" s="132">
        <v>39.021279964198698</v>
      </c>
      <c r="I18" s="132">
        <v>38.016972034977563</v>
      </c>
      <c r="J18" s="132">
        <v>36.826911785038249</v>
      </c>
      <c r="K18" s="132">
        <v>37.221951259329259</v>
      </c>
      <c r="L18" s="132">
        <v>38.07844054080762</v>
      </c>
      <c r="M18" s="132">
        <v>36.984601388807405</v>
      </c>
      <c r="N18" s="132">
        <v>36.438056033881644</v>
      </c>
      <c r="O18" s="132">
        <v>36.091792439610273</v>
      </c>
      <c r="P18" s="132">
        <v>35.806359874934117</v>
      </c>
      <c r="Q18" s="132">
        <v>34.622461206865353</v>
      </c>
      <c r="R18" s="132">
        <v>34.280020071779795</v>
      </c>
      <c r="S18" s="132">
        <v>34.046233561645039</v>
      </c>
      <c r="T18" s="132">
        <v>33.803878851324683</v>
      </c>
      <c r="U18" s="132">
        <v>33.255482611373161</v>
      </c>
      <c r="V18" s="132">
        <v>32.262620985453474</v>
      </c>
      <c r="W18" s="132">
        <v>32.575482113046746</v>
      </c>
      <c r="X18" s="132">
        <v>31.66742024617486</v>
      </c>
      <c r="Y18" s="132">
        <v>31.558230904988836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373.7975292576383</v>
      </c>
      <c r="C19" s="130">
        <f t="shared" si="9"/>
        <v>375.16137405397615</v>
      </c>
      <c r="D19" s="130">
        <f t="shared" si="9"/>
        <v>376.3754354210306</v>
      </c>
      <c r="E19" s="130">
        <f t="shared" si="9"/>
        <v>378.96665763047702</v>
      </c>
      <c r="F19" s="130">
        <f t="shared" si="9"/>
        <v>377.67461983713292</v>
      </c>
      <c r="G19" s="130">
        <f t="shared" si="9"/>
        <v>375.4732042959094</v>
      </c>
      <c r="H19" s="130">
        <f t="shared" si="9"/>
        <v>376.41014831011046</v>
      </c>
      <c r="I19" s="130">
        <f t="shared" si="9"/>
        <v>381.8802367522315</v>
      </c>
      <c r="J19" s="130">
        <f t="shared" si="9"/>
        <v>385.59906455635178</v>
      </c>
      <c r="K19" s="130">
        <f t="shared" si="9"/>
        <v>389.2188563126258</v>
      </c>
      <c r="L19" s="130">
        <f t="shared" si="9"/>
        <v>390.90762978650184</v>
      </c>
      <c r="M19" s="130">
        <f t="shared" si="9"/>
        <v>394.73521696391515</v>
      </c>
      <c r="N19" s="130">
        <f t="shared" si="9"/>
        <v>394.68816435134318</v>
      </c>
      <c r="O19" s="130">
        <f t="shared" si="9"/>
        <v>400.91342459030034</v>
      </c>
      <c r="P19" s="130">
        <f t="shared" si="9"/>
        <v>403.6105546043301</v>
      </c>
      <c r="Q19" s="130">
        <f t="shared" si="9"/>
        <v>406.81783496096637</v>
      </c>
      <c r="R19" s="130">
        <f t="shared" ref="R19:W19" si="10">SUM(R20:R27)</f>
        <v>402.87602139367004</v>
      </c>
      <c r="S19" s="130">
        <f t="shared" si="10"/>
        <v>407.63748958183896</v>
      </c>
      <c r="T19" s="130">
        <f t="shared" si="10"/>
        <v>406.65192662316088</v>
      </c>
      <c r="U19" s="130">
        <f t="shared" si="10"/>
        <v>408.7321317971448</v>
      </c>
      <c r="V19" s="130">
        <f t="shared" si="10"/>
        <v>416.92428285580638</v>
      </c>
      <c r="W19" s="130">
        <f t="shared" si="10"/>
        <v>410.34816712387214</v>
      </c>
      <c r="X19" s="130">
        <f t="shared" ref="X19:Y19" si="11">SUM(X20:X27)</f>
        <v>399.45907192788718</v>
      </c>
      <c r="Y19" s="130">
        <f t="shared" si="11"/>
        <v>394.21892405271046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289</v>
      </c>
    </row>
    <row r="22" spans="1:105" ht="12" customHeight="1" x14ac:dyDescent="0.25">
      <c r="A22" s="131" t="s">
        <v>161</v>
      </c>
      <c r="B22" s="132">
        <v>91.888231433983179</v>
      </c>
      <c r="C22" s="132">
        <v>90.128613983792576</v>
      </c>
      <c r="D22" s="132">
        <v>86.292531086497377</v>
      </c>
      <c r="E22" s="132">
        <v>83.551019524382539</v>
      </c>
      <c r="F22" s="132">
        <v>75.115211529207428</v>
      </c>
      <c r="G22" s="132">
        <v>49.6878249313853</v>
      </c>
      <c r="H22" s="132">
        <v>50.269078530245494</v>
      </c>
      <c r="I22" s="132">
        <v>42.015470696986959</v>
      </c>
      <c r="J22" s="132">
        <v>37.43710533535269</v>
      </c>
      <c r="K22" s="132">
        <v>21.699409808832556</v>
      </c>
      <c r="L22" s="132">
        <v>19.896078398450765</v>
      </c>
      <c r="M22" s="132">
        <v>21.15169474490299</v>
      </c>
      <c r="N22" s="132">
        <v>30.371079581947207</v>
      </c>
      <c r="O22" s="132">
        <v>32.881982090808528</v>
      </c>
      <c r="P22" s="132">
        <v>24.414103969833175</v>
      </c>
      <c r="Q22" s="132">
        <v>36.366097357096315</v>
      </c>
      <c r="R22" s="132">
        <v>37.135756131670675</v>
      </c>
      <c r="S22" s="132">
        <v>38.907459632612166</v>
      </c>
      <c r="T22" s="132">
        <v>39.878574799674837</v>
      </c>
      <c r="U22" s="132">
        <v>38.340567501978519</v>
      </c>
      <c r="V22" s="132">
        <v>37.643159159139174</v>
      </c>
      <c r="W22" s="132">
        <v>33.328312116420214</v>
      </c>
      <c r="X22" s="132">
        <v>30.708861281462855</v>
      </c>
      <c r="Y22" s="132">
        <v>23.325251276199275</v>
      </c>
      <c r="DA22" s="156" t="s">
        <v>290</v>
      </c>
    </row>
    <row r="23" spans="1:105" ht="12" customHeight="1" x14ac:dyDescent="0.25">
      <c r="A23" s="131" t="s">
        <v>149</v>
      </c>
      <c r="B23" s="132">
        <v>2.1644377730347011</v>
      </c>
      <c r="C23" s="132">
        <v>2.0353699151746065</v>
      </c>
      <c r="D23" s="132">
        <v>2.6607049888254042</v>
      </c>
      <c r="E23" s="132">
        <v>3.2289833275625388</v>
      </c>
      <c r="F23" s="132">
        <v>3.2645784557727935</v>
      </c>
      <c r="G23" s="132">
        <v>3.808210272825221</v>
      </c>
      <c r="H23" s="132">
        <v>4.8382466629435168</v>
      </c>
      <c r="I23" s="132">
        <v>4.8186099093894894</v>
      </c>
      <c r="J23" s="132">
        <v>5.2743324907429345</v>
      </c>
      <c r="K23" s="132">
        <v>5.2655607912067097</v>
      </c>
      <c r="L23" s="132">
        <v>5.5454946470183417</v>
      </c>
      <c r="M23" s="132">
        <v>5.5133300552308526</v>
      </c>
      <c r="N23" s="132">
        <v>5.638973281755093</v>
      </c>
      <c r="O23" s="132">
        <v>5.7919504604653413</v>
      </c>
      <c r="P23" s="132">
        <v>6.1828200208922421</v>
      </c>
      <c r="Q23" s="132">
        <v>6.0765192622878832</v>
      </c>
      <c r="R23" s="132">
        <v>6.2132197034571659</v>
      </c>
      <c r="S23" s="132">
        <v>3.5490111968839555</v>
      </c>
      <c r="T23" s="132">
        <v>4.7588371211000231</v>
      </c>
      <c r="U23" s="132">
        <v>6.591813987658135</v>
      </c>
      <c r="V23" s="132">
        <v>6.3688668805245756</v>
      </c>
      <c r="W23" s="132">
        <v>6.3350840448844838</v>
      </c>
      <c r="X23" s="132">
        <v>5.429731891548629</v>
      </c>
      <c r="Y23" s="132">
        <v>4.8043189466649947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128.25117425613496</v>
      </c>
      <c r="C25" s="132">
        <v>126.85814386747862</v>
      </c>
      <c r="D25" s="132">
        <v>127.42623273747226</v>
      </c>
      <c r="E25" s="132">
        <v>129.58367116860146</v>
      </c>
      <c r="F25" s="132">
        <v>138.51057671891294</v>
      </c>
      <c r="G25" s="132">
        <v>148.97691688126463</v>
      </c>
      <c r="H25" s="132">
        <v>156.71628900266163</v>
      </c>
      <c r="I25" s="132">
        <v>155.09305387003485</v>
      </c>
      <c r="J25" s="132">
        <v>158.80553099409482</v>
      </c>
      <c r="K25" s="132">
        <v>160.04831194693756</v>
      </c>
      <c r="L25" s="132">
        <v>162.17418995085131</v>
      </c>
      <c r="M25" s="132">
        <v>166.56962319724516</v>
      </c>
      <c r="N25" s="132">
        <v>171.78144319514212</v>
      </c>
      <c r="O25" s="132">
        <v>172.89118247650177</v>
      </c>
      <c r="P25" s="132">
        <v>174.40743899636919</v>
      </c>
      <c r="Q25" s="132">
        <v>175.22239466214313</v>
      </c>
      <c r="R25" s="132">
        <v>187.52271319211582</v>
      </c>
      <c r="S25" s="132">
        <v>178.47562513232975</v>
      </c>
      <c r="T25" s="132">
        <v>186.95010576155494</v>
      </c>
      <c r="U25" s="132">
        <v>184.88076374207273</v>
      </c>
      <c r="V25" s="132">
        <v>161.38291854783873</v>
      </c>
      <c r="W25" s="132">
        <v>198.95969070562793</v>
      </c>
      <c r="X25" s="132">
        <v>197.77068533735445</v>
      </c>
      <c r="Y25" s="132">
        <v>197.1869253728041</v>
      </c>
      <c r="DA25" s="156" t="s">
        <v>293</v>
      </c>
    </row>
    <row r="26" spans="1:105" ht="12" customHeight="1" x14ac:dyDescent="0.25">
      <c r="A26" s="131" t="s">
        <v>24</v>
      </c>
      <c r="B26" s="65">
        <v>151.49368579448546</v>
      </c>
      <c r="C26" s="65">
        <v>156.13924628753037</v>
      </c>
      <c r="D26" s="65">
        <v>159.99596660823559</v>
      </c>
      <c r="E26" s="65">
        <v>162.60298360993048</v>
      </c>
      <c r="F26" s="65">
        <v>160.78425313323979</v>
      </c>
      <c r="G26" s="65">
        <v>173.00025221043424</v>
      </c>
      <c r="H26" s="65">
        <v>164.58653411425985</v>
      </c>
      <c r="I26" s="65">
        <v>179.95310227582019</v>
      </c>
      <c r="J26" s="65">
        <v>184.08209573616134</v>
      </c>
      <c r="K26" s="65">
        <v>202.20557376564898</v>
      </c>
      <c r="L26" s="65">
        <v>203.29186679018142</v>
      </c>
      <c r="M26" s="65">
        <v>201.50056896653612</v>
      </c>
      <c r="N26" s="65">
        <v>186.89666829249876</v>
      </c>
      <c r="O26" s="65">
        <v>189.34830956252472</v>
      </c>
      <c r="P26" s="65">
        <v>198.60619161723548</v>
      </c>
      <c r="Q26" s="65">
        <v>189.15282367943902</v>
      </c>
      <c r="R26" s="65">
        <v>172.00433236642638</v>
      </c>
      <c r="S26" s="65">
        <v>186.70539362001307</v>
      </c>
      <c r="T26" s="65">
        <v>175.0644089408311</v>
      </c>
      <c r="U26" s="65">
        <v>178.91898656543543</v>
      </c>
      <c r="V26" s="65">
        <v>211.52933826830392</v>
      </c>
      <c r="W26" s="65">
        <v>171.72508025693955</v>
      </c>
      <c r="X26" s="65">
        <v>165.54979341752122</v>
      </c>
      <c r="Y26" s="65">
        <v>168.90242845704211</v>
      </c>
      <c r="DA26" s="109" t="s">
        <v>294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280.27823878050594</v>
      </c>
      <c r="C29" s="130">
        <f t="shared" si="12"/>
        <v>293.82004295331524</v>
      </c>
      <c r="D29" s="130">
        <f t="shared" si="12"/>
        <v>296.75319736094355</v>
      </c>
      <c r="E29" s="130">
        <f t="shared" si="12"/>
        <v>300.99916409446303</v>
      </c>
      <c r="F29" s="130">
        <f t="shared" si="12"/>
        <v>308.80821497580314</v>
      </c>
      <c r="G29" s="130">
        <f t="shared" si="12"/>
        <v>316.96262554167248</v>
      </c>
      <c r="H29" s="130">
        <f t="shared" si="12"/>
        <v>330.69315400053461</v>
      </c>
      <c r="I29" s="130">
        <f t="shared" si="12"/>
        <v>344.09529724031279</v>
      </c>
      <c r="J29" s="130">
        <f t="shared" si="12"/>
        <v>349.6744195019449</v>
      </c>
      <c r="K29" s="130">
        <f t="shared" si="12"/>
        <v>356.55382846495763</v>
      </c>
      <c r="L29" s="130">
        <f t="shared" si="12"/>
        <v>368.21346084483963</v>
      </c>
      <c r="M29" s="130">
        <f t="shared" si="12"/>
        <v>378.1969099546929</v>
      </c>
      <c r="N29" s="130">
        <f t="shared" si="12"/>
        <v>371.34764800016302</v>
      </c>
      <c r="O29" s="130">
        <f t="shared" si="12"/>
        <v>380.91562630949124</v>
      </c>
      <c r="P29" s="130">
        <f t="shared" si="12"/>
        <v>384.56373407102114</v>
      </c>
      <c r="Q29" s="130">
        <f t="shared" si="12"/>
        <v>384.32255837191565</v>
      </c>
      <c r="R29" s="130">
        <f t="shared" ref="R29:W29" si="13">SUM(R30:R33)</f>
        <v>392.49901943112536</v>
      </c>
      <c r="S29" s="130">
        <f t="shared" si="13"/>
        <v>408.59533604931187</v>
      </c>
      <c r="T29" s="130">
        <f t="shared" si="13"/>
        <v>412.10048822477512</v>
      </c>
      <c r="U29" s="130">
        <f t="shared" si="13"/>
        <v>429.10644027731342</v>
      </c>
      <c r="V29" s="130">
        <f t="shared" si="13"/>
        <v>440.0453751945002</v>
      </c>
      <c r="W29" s="130">
        <f t="shared" si="13"/>
        <v>441.74442379353752</v>
      </c>
      <c r="X29" s="130">
        <f t="shared" ref="X29:Y29" si="14">SUM(X30:X33)</f>
        <v>423.2179370502227</v>
      </c>
      <c r="Y29" s="130">
        <f t="shared" si="14"/>
        <v>412.48434724633648</v>
      </c>
      <c r="DA29" s="155" t="s">
        <v>217</v>
      </c>
    </row>
    <row r="30" spans="1:105" ht="12" customHeight="1" x14ac:dyDescent="0.25">
      <c r="A30" s="131" t="s">
        <v>52</v>
      </c>
      <c r="B30" s="132">
        <v>41.80042992261393</v>
      </c>
      <c r="C30" s="132">
        <v>56.487016337059323</v>
      </c>
      <c r="D30" s="132">
        <v>46.319346517626826</v>
      </c>
      <c r="E30" s="132">
        <v>36.151676698194315</v>
      </c>
      <c r="F30" s="132">
        <v>31.632760103181429</v>
      </c>
      <c r="G30" s="132">
        <v>32.165950128976782</v>
      </c>
      <c r="H30" s="132">
        <v>63.347979363714515</v>
      </c>
      <c r="I30" s="132">
        <v>95.408856405846961</v>
      </c>
      <c r="J30" s="132">
        <v>87.552708512467788</v>
      </c>
      <c r="K30" s="132">
        <v>57.381771281169392</v>
      </c>
      <c r="L30" s="132">
        <v>90.503525365434243</v>
      </c>
      <c r="M30" s="132">
        <v>83.608770421324138</v>
      </c>
      <c r="N30" s="132">
        <v>22.580137575236474</v>
      </c>
      <c r="O30" s="132">
        <v>24.55150472914875</v>
      </c>
      <c r="P30" s="132">
        <v>26.681083404987096</v>
      </c>
      <c r="Q30" s="132">
        <v>12.084866723989686</v>
      </c>
      <c r="R30" s="132">
        <v>12.860963026655208</v>
      </c>
      <c r="S30" s="132">
        <v>12.437000000000003</v>
      </c>
      <c r="T30" s="132">
        <v>12.01470335339639</v>
      </c>
      <c r="U30" s="132">
        <v>12.014703353396396</v>
      </c>
      <c r="V30" s="132">
        <v>12.014703353396387</v>
      </c>
      <c r="W30" s="132">
        <v>12.01470335339639</v>
      </c>
      <c r="X30" s="132">
        <v>12.014703353396394</v>
      </c>
      <c r="Y30" s="132">
        <v>12.014703353396383</v>
      </c>
      <c r="DA30" s="156" t="s">
        <v>296</v>
      </c>
    </row>
    <row r="31" spans="1:105" ht="12" customHeight="1" x14ac:dyDescent="0.25">
      <c r="A31" s="131" t="s">
        <v>149</v>
      </c>
      <c r="B31" s="132">
        <v>9.3788972469270604</v>
      </c>
      <c r="C31" s="132">
        <v>8.8905651583472096</v>
      </c>
      <c r="D31" s="132">
        <v>9.900130146817105</v>
      </c>
      <c r="E31" s="132">
        <v>10.869398148664313</v>
      </c>
      <c r="F31" s="132">
        <v>10.944723256358582</v>
      </c>
      <c r="G31" s="132">
        <v>11.075700555190782</v>
      </c>
      <c r="H31" s="132">
        <v>11.125803482093364</v>
      </c>
      <c r="I31" s="132">
        <v>11.0169875815109</v>
      </c>
      <c r="J31" s="132">
        <v>10.928582414294453</v>
      </c>
      <c r="K31" s="132">
        <v>9.7323585097578071</v>
      </c>
      <c r="L31" s="132">
        <v>8.2476171252380013</v>
      </c>
      <c r="M31" s="132">
        <v>7.9033160948475984</v>
      </c>
      <c r="N31" s="132">
        <v>7.5269226541535446</v>
      </c>
      <c r="O31" s="132">
        <v>7.354693384877053</v>
      </c>
      <c r="P31" s="132">
        <v>7.5233971453250446</v>
      </c>
      <c r="Q31" s="132">
        <v>7.0056693579161324</v>
      </c>
      <c r="R31" s="132">
        <v>7.1990318218612668</v>
      </c>
      <c r="S31" s="132">
        <v>4.0501606355010846</v>
      </c>
      <c r="T31" s="132">
        <v>5.6218076354917184</v>
      </c>
      <c r="U31" s="132">
        <v>7.9941396597866534</v>
      </c>
      <c r="V31" s="132">
        <v>7.1949859233560662</v>
      </c>
      <c r="W31" s="132">
        <v>7.8549929051452603</v>
      </c>
      <c r="X31" s="132">
        <v>7.7207100983141137</v>
      </c>
      <c r="Y31" s="132">
        <v>7.6553276451936974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229.09891161096493</v>
      </c>
      <c r="C33" s="68">
        <v>228.44246145790873</v>
      </c>
      <c r="D33" s="68">
        <v>240.53372069649959</v>
      </c>
      <c r="E33" s="68">
        <v>253.9780892476044</v>
      </c>
      <c r="F33" s="68">
        <v>266.23073161626314</v>
      </c>
      <c r="G33" s="68">
        <v>273.72097485750493</v>
      </c>
      <c r="H33" s="68">
        <v>256.21937115472673</v>
      </c>
      <c r="I33" s="68">
        <v>237.6694532529549</v>
      </c>
      <c r="J33" s="68">
        <v>251.19312857518264</v>
      </c>
      <c r="K33" s="68">
        <v>289.43969867403047</v>
      </c>
      <c r="L33" s="68">
        <v>269.46231835416739</v>
      </c>
      <c r="M33" s="68">
        <v>286.68482343852116</v>
      </c>
      <c r="N33" s="68">
        <v>341.240587770773</v>
      </c>
      <c r="O33" s="68">
        <v>349.00942819546543</v>
      </c>
      <c r="P33" s="68">
        <v>350.35925352070899</v>
      </c>
      <c r="Q33" s="68">
        <v>365.23202229000981</v>
      </c>
      <c r="R33" s="68">
        <v>372.43902458260891</v>
      </c>
      <c r="S33" s="68">
        <v>392.10817541381078</v>
      </c>
      <c r="T33" s="68">
        <v>394.463977235887</v>
      </c>
      <c r="U33" s="68">
        <v>409.0975972641304</v>
      </c>
      <c r="V33" s="68">
        <v>420.83568591774775</v>
      </c>
      <c r="W33" s="68">
        <v>421.87472753499588</v>
      </c>
      <c r="X33" s="68">
        <v>403.48252359851222</v>
      </c>
      <c r="Y33" s="68">
        <v>392.81431624774638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2399.5540864167451</v>
      </c>
      <c r="C3" s="125">
        <f t="shared" si="0"/>
        <v>2663.1244261089287</v>
      </c>
      <c r="D3" s="125">
        <f t="shared" si="0"/>
        <v>2664.8536836992084</v>
      </c>
      <c r="E3" s="125">
        <f t="shared" si="0"/>
        <v>2665.7000095084991</v>
      </c>
      <c r="F3" s="125">
        <f t="shared" si="0"/>
        <v>2566.8022081843988</v>
      </c>
      <c r="G3" s="125">
        <f t="shared" si="0"/>
        <v>2352.7294873510623</v>
      </c>
      <c r="H3" s="125">
        <f t="shared" si="0"/>
        <v>2407.9961696261512</v>
      </c>
      <c r="I3" s="125">
        <f t="shared" si="0"/>
        <v>2473.1978935850975</v>
      </c>
      <c r="J3" s="125">
        <f t="shared" si="0"/>
        <v>2464.2269117413744</v>
      </c>
      <c r="K3" s="125">
        <f t="shared" si="0"/>
        <v>2400.80535676203</v>
      </c>
      <c r="L3" s="125">
        <f t="shared" si="0"/>
        <v>2627.6894991073236</v>
      </c>
      <c r="M3" s="125">
        <f t="shared" si="0"/>
        <v>2311.0373213569806</v>
      </c>
      <c r="N3" s="125">
        <f t="shared" si="0"/>
        <v>2482.2362523375377</v>
      </c>
      <c r="O3" s="125">
        <f t="shared" si="0"/>
        <v>2451.9602871733046</v>
      </c>
      <c r="P3" s="125">
        <f t="shared" si="0"/>
        <v>2450.3840048085826</v>
      </c>
      <c r="Q3" s="125">
        <f t="shared" si="0"/>
        <v>2499.6129214095131</v>
      </c>
      <c r="R3" s="125">
        <f t="shared" ref="R3:W3" si="1">SUM(R4,R16,R19,R29)</f>
        <v>2677.2990423500341</v>
      </c>
      <c r="S3" s="125">
        <f t="shared" si="1"/>
        <v>2544.2480089932124</v>
      </c>
      <c r="T3" s="125">
        <f t="shared" si="1"/>
        <v>2666.3326850524963</v>
      </c>
      <c r="U3" s="125">
        <f t="shared" si="1"/>
        <v>2629.5646612324567</v>
      </c>
      <c r="V3" s="125">
        <f t="shared" si="1"/>
        <v>2623.7576056271055</v>
      </c>
      <c r="W3" s="125">
        <f t="shared" si="1"/>
        <v>2865.320495617766</v>
      </c>
      <c r="X3" s="125">
        <f t="shared" ref="X3:Y3" si="2">SUM(X4,X16,X19,X29)</f>
        <v>2889.6841027702703</v>
      </c>
      <c r="Y3" s="125">
        <f t="shared" si="2"/>
        <v>2883.6754686988388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1854.0742187277792</v>
      </c>
      <c r="C4" s="130">
        <f t="shared" si="3"/>
        <v>2105.3273571668192</v>
      </c>
      <c r="D4" s="130">
        <f t="shared" si="3"/>
        <v>2097.6312113647537</v>
      </c>
      <c r="E4" s="130">
        <f t="shared" si="3"/>
        <v>2087.751841294451</v>
      </c>
      <c r="F4" s="130">
        <f t="shared" si="3"/>
        <v>1975.276712058147</v>
      </c>
      <c r="G4" s="130">
        <f t="shared" si="3"/>
        <v>1746.6615041554774</v>
      </c>
      <c r="H4" s="130">
        <f t="shared" si="3"/>
        <v>1790.6179559322102</v>
      </c>
      <c r="I4" s="130">
        <f t="shared" si="3"/>
        <v>1840.4479916681632</v>
      </c>
      <c r="J4" s="130">
        <f t="shared" si="3"/>
        <v>1814.8176777945755</v>
      </c>
      <c r="K4" s="130">
        <f t="shared" si="3"/>
        <v>1728.7833565491226</v>
      </c>
      <c r="L4" s="130">
        <f t="shared" si="3"/>
        <v>1943.0291850937126</v>
      </c>
      <c r="M4" s="130">
        <f t="shared" si="3"/>
        <v>1610.2401225744572</v>
      </c>
      <c r="N4" s="130">
        <f t="shared" si="3"/>
        <v>1768.6506515450367</v>
      </c>
      <c r="O4" s="130">
        <f t="shared" si="3"/>
        <v>1718.9175244171831</v>
      </c>
      <c r="P4" s="130">
        <f t="shared" si="3"/>
        <v>1705.4302227603716</v>
      </c>
      <c r="Q4" s="130">
        <f t="shared" si="3"/>
        <v>1746.241647419642</v>
      </c>
      <c r="R4" s="130">
        <f t="shared" ref="R4:W4" si="4">SUM(R5:R15)</f>
        <v>1910.274473350426</v>
      </c>
      <c r="S4" s="130">
        <f t="shared" si="4"/>
        <v>1750.1098425227051</v>
      </c>
      <c r="T4" s="130">
        <f t="shared" si="4"/>
        <v>1859.5653943363664</v>
      </c>
      <c r="U4" s="130">
        <f t="shared" si="4"/>
        <v>1798.8575504511264</v>
      </c>
      <c r="V4" s="130">
        <f t="shared" si="4"/>
        <v>1771.3778017056788</v>
      </c>
      <c r="W4" s="130">
        <f t="shared" si="4"/>
        <v>2000.9604107864573</v>
      </c>
      <c r="X4" s="130">
        <f t="shared" ref="X4:Y4" si="5">SUM(X5:X15)</f>
        <v>2043.8979906711102</v>
      </c>
      <c r="Y4" s="130">
        <f t="shared" si="5"/>
        <v>2040.8472854108088</v>
      </c>
      <c r="DA4" s="155" t="s">
        <v>302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412.68392904433506</v>
      </c>
      <c r="C7" s="132">
        <v>418.20269693661504</v>
      </c>
      <c r="D7" s="132">
        <v>410.10010619332661</v>
      </c>
      <c r="E7" s="132">
        <v>428.44305924844667</v>
      </c>
      <c r="F7" s="132">
        <v>315.09106940485628</v>
      </c>
      <c r="G7" s="132">
        <v>156.89056646423131</v>
      </c>
      <c r="H7" s="132">
        <v>137.08784525665465</v>
      </c>
      <c r="I7" s="132">
        <v>134.78073401148009</v>
      </c>
      <c r="J7" s="132">
        <v>115.59026329145452</v>
      </c>
      <c r="K7" s="132">
        <v>123.25210946417791</v>
      </c>
      <c r="L7" s="132">
        <v>135.48315674866825</v>
      </c>
      <c r="M7" s="132">
        <v>134.44932946205984</v>
      </c>
      <c r="N7" s="132">
        <v>138.20773611738392</v>
      </c>
      <c r="O7" s="132">
        <v>129.92495168745279</v>
      </c>
      <c r="P7" s="132">
        <v>131.44211628164945</v>
      </c>
      <c r="Q7" s="132">
        <v>127.57006385423954</v>
      </c>
      <c r="R7" s="132">
        <v>127.28066445061789</v>
      </c>
      <c r="S7" s="132">
        <v>135.13968504490765</v>
      </c>
      <c r="T7" s="132">
        <v>140.13525751838668</v>
      </c>
      <c r="U7" s="132">
        <v>136.72439204010939</v>
      </c>
      <c r="V7" s="132">
        <v>137.31678969999032</v>
      </c>
      <c r="W7" s="132">
        <v>123.61375895902792</v>
      </c>
      <c r="X7" s="132">
        <v>115.55843076507222</v>
      </c>
      <c r="Y7" s="132">
        <v>96.076403998495692</v>
      </c>
      <c r="DA7" s="156" t="s">
        <v>305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306</v>
      </c>
    </row>
    <row r="9" spans="1:105" ht="12" customHeight="1" x14ac:dyDescent="0.25">
      <c r="A9" s="131" t="s">
        <v>78</v>
      </c>
      <c r="B9" s="132">
        <v>11.76077722198162</v>
      </c>
      <c r="C9" s="132">
        <v>11.313369612157873</v>
      </c>
      <c r="D9" s="132">
        <v>27.209833799698519</v>
      </c>
      <c r="E9" s="132">
        <v>39.396662632699723</v>
      </c>
      <c r="F9" s="132">
        <v>39.920253946351814</v>
      </c>
      <c r="G9" s="132">
        <v>42.629911082172924</v>
      </c>
      <c r="H9" s="132">
        <v>43.145042384589352</v>
      </c>
      <c r="I9" s="132">
        <v>44.263703072852444</v>
      </c>
      <c r="J9" s="132">
        <v>46.395214493455335</v>
      </c>
      <c r="K9" s="132">
        <v>22.420155001358676</v>
      </c>
      <c r="L9" s="132">
        <v>50.848120418310394</v>
      </c>
      <c r="M9" s="132">
        <v>44.734697205919687</v>
      </c>
      <c r="N9" s="132">
        <v>61.234774046632261</v>
      </c>
      <c r="O9" s="132">
        <v>52.851605754495026</v>
      </c>
      <c r="P9" s="132">
        <v>49.818522170787709</v>
      </c>
      <c r="Q9" s="132">
        <v>47.176889354362444</v>
      </c>
      <c r="R9" s="132">
        <v>47.684309239972549</v>
      </c>
      <c r="S9" s="132">
        <v>27.821215039260085</v>
      </c>
      <c r="T9" s="132">
        <v>42.083367106263616</v>
      </c>
      <c r="U9" s="132">
        <v>56.755253388350361</v>
      </c>
      <c r="V9" s="132">
        <v>54.485852266820856</v>
      </c>
      <c r="W9" s="132">
        <v>53.875769110004384</v>
      </c>
      <c r="X9" s="132">
        <v>50.535865207183114</v>
      </c>
      <c r="Y9" s="132">
        <v>43.706238310438508</v>
      </c>
      <c r="DA9" s="156" t="s">
        <v>307</v>
      </c>
    </row>
    <row r="10" spans="1:105" ht="12" customHeight="1" x14ac:dyDescent="0.25">
      <c r="A10" s="131" t="s">
        <v>128</v>
      </c>
      <c r="B10" s="132">
        <v>5.71038014417047</v>
      </c>
      <c r="C10" s="132">
        <v>16.010775323863921</v>
      </c>
      <c r="D10" s="132">
        <v>12.320023821878882</v>
      </c>
      <c r="E10" s="132">
        <v>11.829285941879379</v>
      </c>
      <c r="F10" s="132">
        <v>27.71261424129726</v>
      </c>
      <c r="G10" s="132">
        <v>30.817512016329374</v>
      </c>
      <c r="H10" s="132">
        <v>22.10334835698783</v>
      </c>
      <c r="I10" s="132">
        <v>22.968942532771443</v>
      </c>
      <c r="J10" s="132">
        <v>23.643857603567941</v>
      </c>
      <c r="K10" s="132">
        <v>23.796772524819257</v>
      </c>
      <c r="L10" s="132">
        <v>23.940197887437151</v>
      </c>
      <c r="M10" s="132">
        <v>21.69459827022121</v>
      </c>
      <c r="N10" s="132">
        <v>27.957342586855344</v>
      </c>
      <c r="O10" s="132">
        <v>15.604067926620326</v>
      </c>
      <c r="P10" s="132">
        <v>21.504225865521288</v>
      </c>
      <c r="Q10" s="132">
        <v>21.788758509865858</v>
      </c>
      <c r="R10" s="132">
        <v>35.502784630356182</v>
      </c>
      <c r="S10" s="132">
        <v>35.358196619192881</v>
      </c>
      <c r="T10" s="132">
        <v>36.131780637680137</v>
      </c>
      <c r="U10" s="132">
        <v>20.404929119391138</v>
      </c>
      <c r="V10" s="132">
        <v>19.170562035931592</v>
      </c>
      <c r="W10" s="132">
        <v>20.948315709492331</v>
      </c>
      <c r="X10" s="132">
        <v>16.340745791326743</v>
      </c>
      <c r="Y10" s="132">
        <v>18.314490540483028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309</v>
      </c>
    </row>
    <row r="12" spans="1:105" ht="12" customHeight="1" x14ac:dyDescent="0.25">
      <c r="A12" s="131" t="s">
        <v>162</v>
      </c>
      <c r="B12" s="132">
        <v>755.86790586977247</v>
      </c>
      <c r="C12" s="132">
        <v>846.98463364773409</v>
      </c>
      <c r="D12" s="132">
        <v>856.7662358891879</v>
      </c>
      <c r="E12" s="132">
        <v>877.04003728314387</v>
      </c>
      <c r="F12" s="132">
        <v>852.38294752129775</v>
      </c>
      <c r="G12" s="132">
        <v>875.39801436365474</v>
      </c>
      <c r="H12" s="132">
        <v>858.22279067000397</v>
      </c>
      <c r="I12" s="132">
        <v>814.51712648368687</v>
      </c>
      <c r="J12" s="132">
        <v>837.07747169535298</v>
      </c>
      <c r="K12" s="132">
        <v>889.21252603984703</v>
      </c>
      <c r="L12" s="132">
        <v>1021.822102970281</v>
      </c>
      <c r="M12" s="132">
        <v>856.6274071150649</v>
      </c>
      <c r="N12" s="132">
        <v>942.09189379660802</v>
      </c>
      <c r="O12" s="132">
        <v>941.95204882854057</v>
      </c>
      <c r="P12" s="132">
        <v>883.1432615540848</v>
      </c>
      <c r="Q12" s="132">
        <v>849.55351023058063</v>
      </c>
      <c r="R12" s="132">
        <v>910.31546091825294</v>
      </c>
      <c r="S12" s="132">
        <v>857.50856452038624</v>
      </c>
      <c r="T12" s="132">
        <v>894.55754176695439</v>
      </c>
      <c r="U12" s="132">
        <v>873.16733696145354</v>
      </c>
      <c r="V12" s="132">
        <v>764.90320561103204</v>
      </c>
      <c r="W12" s="132">
        <v>918.47729985547869</v>
      </c>
      <c r="X12" s="132">
        <v>839.11605641434767</v>
      </c>
      <c r="Y12" s="132">
        <v>896.33282248554133</v>
      </c>
      <c r="DA12" s="156" t="s">
        <v>310</v>
      </c>
    </row>
    <row r="13" spans="1:105" ht="12" customHeight="1" x14ac:dyDescent="0.25">
      <c r="A13" s="131" t="s">
        <v>77</v>
      </c>
      <c r="B13" s="132">
        <v>8.456932666421455</v>
      </c>
      <c r="C13" s="132">
        <v>14.697747406767757</v>
      </c>
      <c r="D13" s="132">
        <v>20.342009483585656</v>
      </c>
      <c r="E13" s="132">
        <v>25.199126902944613</v>
      </c>
      <c r="F13" s="132">
        <v>37.08420133849711</v>
      </c>
      <c r="G13" s="132">
        <v>43.094250045090035</v>
      </c>
      <c r="H13" s="132">
        <v>62.007435096021226</v>
      </c>
      <c r="I13" s="132">
        <v>81.820881052512675</v>
      </c>
      <c r="J13" s="132">
        <v>89.590351716981189</v>
      </c>
      <c r="K13" s="132">
        <v>98.043102427958431</v>
      </c>
      <c r="L13" s="132">
        <v>105.72663983212964</v>
      </c>
      <c r="M13" s="132">
        <v>117.50357138844305</v>
      </c>
      <c r="N13" s="132">
        <v>128.79359602445115</v>
      </c>
      <c r="O13" s="132">
        <v>139.82949412958203</v>
      </c>
      <c r="P13" s="132">
        <v>143.78756179327047</v>
      </c>
      <c r="Q13" s="132">
        <v>149.24939015390626</v>
      </c>
      <c r="R13" s="132">
        <v>179.12158828592797</v>
      </c>
      <c r="S13" s="132">
        <v>183.5397499341305</v>
      </c>
      <c r="T13" s="132">
        <v>197.93054212847082</v>
      </c>
      <c r="U13" s="132">
        <v>203.19361367774437</v>
      </c>
      <c r="V13" s="132">
        <v>225.85823982432703</v>
      </c>
      <c r="W13" s="132">
        <v>234.74736893193034</v>
      </c>
      <c r="X13" s="132">
        <v>238.71175600611048</v>
      </c>
      <c r="Y13" s="132">
        <v>234.76228143012625</v>
      </c>
      <c r="DA13" s="156" t="s">
        <v>311</v>
      </c>
    </row>
    <row r="14" spans="1:105" ht="12" customHeight="1" x14ac:dyDescent="0.25">
      <c r="A14" s="60" t="s">
        <v>76</v>
      </c>
      <c r="B14" s="65">
        <v>647.26895632498133</v>
      </c>
      <c r="C14" s="65">
        <v>785.40276376003817</v>
      </c>
      <c r="D14" s="65">
        <v>758.26840544845174</v>
      </c>
      <c r="E14" s="65">
        <v>692.79093059810384</v>
      </c>
      <c r="F14" s="65">
        <v>692.32013488261919</v>
      </c>
      <c r="G14" s="65">
        <v>589.9422910073132</v>
      </c>
      <c r="H14" s="65">
        <v>660.7878529967636</v>
      </c>
      <c r="I14" s="65">
        <v>735.14712734875377</v>
      </c>
      <c r="J14" s="65">
        <v>695.86036570154636</v>
      </c>
      <c r="K14" s="65">
        <v>565.53956919308371</v>
      </c>
      <c r="L14" s="65">
        <v>597.51485176390122</v>
      </c>
      <c r="M14" s="65">
        <v>428.45172183220768</v>
      </c>
      <c r="N14" s="65">
        <v>462.91077385224969</v>
      </c>
      <c r="O14" s="65">
        <v>431.74395464325858</v>
      </c>
      <c r="P14" s="65">
        <v>468.99548914678547</v>
      </c>
      <c r="Q14" s="65">
        <v>544.45039512701271</v>
      </c>
      <c r="R14" s="65">
        <v>603.59691245092483</v>
      </c>
      <c r="S14" s="65">
        <v>504.40894408354654</v>
      </c>
      <c r="T14" s="65">
        <v>541.95727764419166</v>
      </c>
      <c r="U14" s="65">
        <v>501.89385047956085</v>
      </c>
      <c r="V14" s="65">
        <v>563.4049810623718</v>
      </c>
      <c r="W14" s="65">
        <v>642.68789666531973</v>
      </c>
      <c r="X14" s="65">
        <v>777.56051590388006</v>
      </c>
      <c r="Y14" s="65">
        <v>745.74998543640913</v>
      </c>
      <c r="DA14" s="109" t="s">
        <v>312</v>
      </c>
    </row>
    <row r="15" spans="1:105" ht="12" customHeight="1" x14ac:dyDescent="0.25">
      <c r="A15" s="133" t="s">
        <v>80</v>
      </c>
      <c r="B15" s="134">
        <v>12.325337456116902</v>
      </c>
      <c r="C15" s="134">
        <v>12.715370479642218</v>
      </c>
      <c r="D15" s="134">
        <v>12.624596728624621</v>
      </c>
      <c r="E15" s="134">
        <v>13.052738687232726</v>
      </c>
      <c r="F15" s="134">
        <v>10.765490723227721</v>
      </c>
      <c r="G15" s="134">
        <v>7.8889591766855194</v>
      </c>
      <c r="H15" s="134">
        <v>7.2636411711895956</v>
      </c>
      <c r="I15" s="134">
        <v>6.9494771661058463</v>
      </c>
      <c r="J15" s="134">
        <v>6.6601532922173785</v>
      </c>
      <c r="K15" s="134">
        <v>6.5191218978775938</v>
      </c>
      <c r="L15" s="134">
        <v>7.694115472985013</v>
      </c>
      <c r="M15" s="134">
        <v>6.7787973005408402</v>
      </c>
      <c r="N15" s="134">
        <v>7.4545351208563924</v>
      </c>
      <c r="O15" s="134">
        <v>7.0114014472336699</v>
      </c>
      <c r="P15" s="134">
        <v>6.7390459482724721</v>
      </c>
      <c r="Q15" s="134">
        <v>6.4526401896746899</v>
      </c>
      <c r="R15" s="134">
        <v>6.7727533743735648</v>
      </c>
      <c r="S15" s="134">
        <v>6.3334872812810863</v>
      </c>
      <c r="T15" s="134">
        <v>6.7696275344191505</v>
      </c>
      <c r="U15" s="134">
        <v>6.7181747845167594</v>
      </c>
      <c r="V15" s="134">
        <v>6.2381712052051563</v>
      </c>
      <c r="W15" s="134">
        <v>6.6100015552039162</v>
      </c>
      <c r="X15" s="134">
        <v>6.0746205831896081</v>
      </c>
      <c r="Y15" s="134">
        <v>5.9050632093149833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84.829272369143879</v>
      </c>
      <c r="C16" s="130">
        <f t="shared" si="6"/>
        <v>86.844245949149098</v>
      </c>
      <c r="D16" s="130">
        <f t="shared" si="6"/>
        <v>89.509639373124813</v>
      </c>
      <c r="E16" s="130">
        <f t="shared" si="6"/>
        <v>91.336200541701061</v>
      </c>
      <c r="F16" s="130">
        <f t="shared" si="6"/>
        <v>94.675451274286274</v>
      </c>
      <c r="G16" s="130">
        <f t="shared" si="6"/>
        <v>97.599428221007088</v>
      </c>
      <c r="H16" s="130">
        <f t="shared" si="6"/>
        <v>100.96323577221598</v>
      </c>
      <c r="I16" s="130">
        <f t="shared" si="6"/>
        <v>105.53522180012871</v>
      </c>
      <c r="J16" s="130">
        <f t="shared" si="6"/>
        <v>110.56448083054164</v>
      </c>
      <c r="K16" s="130">
        <f t="shared" si="6"/>
        <v>113.84861592683123</v>
      </c>
      <c r="L16" s="130">
        <f t="shared" si="6"/>
        <v>119.77476578738215</v>
      </c>
      <c r="M16" s="130">
        <f t="shared" si="6"/>
        <v>120.94196061903926</v>
      </c>
      <c r="N16" s="130">
        <f t="shared" si="6"/>
        <v>123.96248138527945</v>
      </c>
      <c r="O16" s="130">
        <f t="shared" si="6"/>
        <v>127.89709369312591</v>
      </c>
      <c r="P16" s="130">
        <f t="shared" si="6"/>
        <v>132.28210495713458</v>
      </c>
      <c r="Q16" s="130">
        <f t="shared" si="6"/>
        <v>133.30411385457515</v>
      </c>
      <c r="R16" s="130">
        <f t="shared" ref="R16:W16" si="7">SUM(R17:R18)</f>
        <v>137.70161005124643</v>
      </c>
      <c r="S16" s="130">
        <f t="shared" si="7"/>
        <v>142.26802191032144</v>
      </c>
      <c r="T16" s="130">
        <f t="shared" si="7"/>
        <v>145.76447155632178</v>
      </c>
      <c r="U16" s="130">
        <f t="shared" si="7"/>
        <v>146.85680786244168</v>
      </c>
      <c r="V16" s="130">
        <f t="shared" si="7"/>
        <v>145.96269321328484</v>
      </c>
      <c r="W16" s="130">
        <f t="shared" si="7"/>
        <v>150.57723416698715</v>
      </c>
      <c r="X16" s="130">
        <f t="shared" ref="X16:Y16" si="8">SUM(X17:X18)</f>
        <v>148.90146114093045</v>
      </c>
      <c r="Y16" s="130">
        <f t="shared" si="8"/>
        <v>150.38423410457972</v>
      </c>
      <c r="DA16" s="155" t="s">
        <v>314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315</v>
      </c>
    </row>
    <row r="18" spans="1:105" ht="12" customHeight="1" x14ac:dyDescent="0.25">
      <c r="A18" s="131" t="s">
        <v>72</v>
      </c>
      <c r="B18" s="132">
        <v>84.829272369143879</v>
      </c>
      <c r="C18" s="132">
        <v>86.844245949149098</v>
      </c>
      <c r="D18" s="132">
        <v>89.509639373124813</v>
      </c>
      <c r="E18" s="132">
        <v>91.336200541701061</v>
      </c>
      <c r="F18" s="132">
        <v>94.675451274286274</v>
      </c>
      <c r="G18" s="132">
        <v>97.599428221007088</v>
      </c>
      <c r="H18" s="132">
        <v>100.96323577221598</v>
      </c>
      <c r="I18" s="132">
        <v>105.53522180012871</v>
      </c>
      <c r="J18" s="132">
        <v>110.56448083054164</v>
      </c>
      <c r="K18" s="132">
        <v>113.84861592683123</v>
      </c>
      <c r="L18" s="132">
        <v>119.77476578738215</v>
      </c>
      <c r="M18" s="132">
        <v>120.94196061903926</v>
      </c>
      <c r="N18" s="132">
        <v>123.96248138527945</v>
      </c>
      <c r="O18" s="132">
        <v>127.89709369312591</v>
      </c>
      <c r="P18" s="132">
        <v>132.28210495713458</v>
      </c>
      <c r="Q18" s="132">
        <v>133.30411385457515</v>
      </c>
      <c r="R18" s="132">
        <v>137.70161005124643</v>
      </c>
      <c r="S18" s="132">
        <v>142.26802191032144</v>
      </c>
      <c r="T18" s="132">
        <v>145.76447155632178</v>
      </c>
      <c r="U18" s="132">
        <v>146.85680786244168</v>
      </c>
      <c r="V18" s="132">
        <v>145.96269321328484</v>
      </c>
      <c r="W18" s="132">
        <v>150.57723416698715</v>
      </c>
      <c r="X18" s="132">
        <v>148.90146114093045</v>
      </c>
      <c r="Y18" s="132">
        <v>150.38423410457972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241.77730258011684</v>
      </c>
      <c r="C19" s="130">
        <f t="shared" si="9"/>
        <v>243.447196090261</v>
      </c>
      <c r="D19" s="130">
        <f t="shared" si="9"/>
        <v>245.52594492912016</v>
      </c>
      <c r="E19" s="130">
        <f t="shared" si="9"/>
        <v>248.59282305806903</v>
      </c>
      <c r="F19" s="130">
        <f t="shared" si="9"/>
        <v>250.99815301946757</v>
      </c>
      <c r="G19" s="130">
        <f t="shared" si="9"/>
        <v>255.51606014579431</v>
      </c>
      <c r="H19" s="130">
        <f t="shared" si="9"/>
        <v>257.97978395318552</v>
      </c>
      <c r="I19" s="130">
        <f t="shared" si="9"/>
        <v>263.65384011612872</v>
      </c>
      <c r="J19" s="130">
        <f t="shared" si="9"/>
        <v>268.36958513866648</v>
      </c>
      <c r="K19" s="130">
        <f t="shared" si="9"/>
        <v>274.66436447607873</v>
      </c>
      <c r="L19" s="130">
        <f t="shared" si="9"/>
        <v>277.69470381794838</v>
      </c>
      <c r="M19" s="130">
        <f t="shared" si="9"/>
        <v>282.5188783261201</v>
      </c>
      <c r="N19" s="130">
        <f t="shared" si="9"/>
        <v>284.50823022207942</v>
      </c>
      <c r="O19" s="130">
        <f t="shared" si="9"/>
        <v>291.65068884086236</v>
      </c>
      <c r="P19" s="130">
        <f t="shared" si="9"/>
        <v>295.78615083632775</v>
      </c>
      <c r="Q19" s="130">
        <f t="shared" si="9"/>
        <v>299.0663012194907</v>
      </c>
      <c r="R19" s="130">
        <f t="shared" ref="R19:W19" si="10">SUM(R20:R27)</f>
        <v>300.35766477473987</v>
      </c>
      <c r="S19" s="130">
        <f t="shared" si="10"/>
        <v>306.80193196086009</v>
      </c>
      <c r="T19" s="130">
        <f t="shared" si="10"/>
        <v>311.08378681088578</v>
      </c>
      <c r="U19" s="130">
        <f t="shared" si="10"/>
        <v>317.07923833443192</v>
      </c>
      <c r="V19" s="130">
        <f t="shared" si="10"/>
        <v>326.60630220410536</v>
      </c>
      <c r="W19" s="130">
        <f t="shared" si="10"/>
        <v>328.99840355146273</v>
      </c>
      <c r="X19" s="130">
        <f t="shared" ref="X19:Y19" si="11">SUM(X20:X27)</f>
        <v>325.03155572309123</v>
      </c>
      <c r="Y19" s="130">
        <f t="shared" si="11"/>
        <v>326.83295285050372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319</v>
      </c>
    </row>
    <row r="22" spans="1:105" ht="12" customHeight="1" x14ac:dyDescent="0.25">
      <c r="A22" s="131" t="s">
        <v>161</v>
      </c>
      <c r="B22" s="132">
        <v>46.091321638547903</v>
      </c>
      <c r="C22" s="132">
        <v>45.323062308874292</v>
      </c>
      <c r="D22" s="132">
        <v>43.479852761363759</v>
      </c>
      <c r="E22" s="132">
        <v>42.136592003524001</v>
      </c>
      <c r="F22" s="132">
        <v>37.901655245376567</v>
      </c>
      <c r="G22" s="132">
        <v>25.083391314619323</v>
      </c>
      <c r="H22" s="132">
        <v>25.378309815259932</v>
      </c>
      <c r="I22" s="132">
        <v>21.213962596520552</v>
      </c>
      <c r="J22" s="132">
        <v>18.904583384784448</v>
      </c>
      <c r="K22" s="132">
        <v>10.961826674041085</v>
      </c>
      <c r="L22" s="132">
        <v>10.05600814226279</v>
      </c>
      <c r="M22" s="132">
        <v>11.10869675380016</v>
      </c>
      <c r="N22" s="132">
        <v>16.917674386434289</v>
      </c>
      <c r="O22" s="132">
        <v>19.282265659003688</v>
      </c>
      <c r="P22" s="132">
        <v>14.382424914333708</v>
      </c>
      <c r="Q22" s="132">
        <v>21.945353195938775</v>
      </c>
      <c r="R22" s="132">
        <v>22.95205445445772</v>
      </c>
      <c r="S22" s="132">
        <v>24.695865318724724</v>
      </c>
      <c r="T22" s="132">
        <v>25.64086246406087</v>
      </c>
      <c r="U22" s="132">
        <v>24.71650927084735</v>
      </c>
      <c r="V22" s="132">
        <v>24.314603394951341</v>
      </c>
      <c r="W22" s="132">
        <v>21.576555446935167</v>
      </c>
      <c r="X22" s="132">
        <v>19.904841528951728</v>
      </c>
      <c r="Y22" s="132">
        <v>15.140288733165258</v>
      </c>
      <c r="DA22" s="156" t="s">
        <v>320</v>
      </c>
    </row>
    <row r="23" spans="1:105" ht="12" customHeight="1" x14ac:dyDescent="0.25">
      <c r="A23" s="131" t="s">
        <v>149</v>
      </c>
      <c r="B23" s="132">
        <v>1.1100788485429418</v>
      </c>
      <c r="C23" s="132">
        <v>1.0572378482931133</v>
      </c>
      <c r="D23" s="132">
        <v>1.4148954983777835</v>
      </c>
      <c r="E23" s="132">
        <v>1.7483877783375348</v>
      </c>
      <c r="F23" s="132">
        <v>1.795802660660087</v>
      </c>
      <c r="G23" s="132">
        <v>2.1271622966185224</v>
      </c>
      <c r="H23" s="132">
        <v>2.7426343711978185</v>
      </c>
      <c r="I23" s="132">
        <v>2.7604750293340961</v>
      </c>
      <c r="J23" s="132">
        <v>3.0523472027350929</v>
      </c>
      <c r="K23" s="132">
        <v>3.0731926073430031</v>
      </c>
      <c r="L23" s="132">
        <v>3.2691355947682736</v>
      </c>
      <c r="M23" s="132">
        <v>3.2848116152479805</v>
      </c>
      <c r="N23" s="132">
        <v>3.4089716778102508</v>
      </c>
      <c r="O23" s="132">
        <v>3.5612161506935816</v>
      </c>
      <c r="P23" s="132">
        <v>3.8625022023867714</v>
      </c>
      <c r="Q23" s="132">
        <v>3.8344757194908805</v>
      </c>
      <c r="R23" s="132">
        <v>3.9618964498087754</v>
      </c>
      <c r="S23" s="132">
        <v>2.3169331013688383</v>
      </c>
      <c r="T23" s="132">
        <v>3.1927499024859647</v>
      </c>
      <c r="U23" s="132">
        <v>4.6423885584314384</v>
      </c>
      <c r="V23" s="132">
        <v>4.6143326006518004</v>
      </c>
      <c r="W23" s="132">
        <v>4.697970264980901</v>
      </c>
      <c r="X23" s="132">
        <v>4.1007166308579199</v>
      </c>
      <c r="Y23" s="132">
        <v>3.6716879498916781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98.154700603024239</v>
      </c>
      <c r="C25" s="132">
        <v>97.368781845579292</v>
      </c>
      <c r="D25" s="132">
        <v>98.118830884731921</v>
      </c>
      <c r="E25" s="132">
        <v>100.15568919345401</v>
      </c>
      <c r="F25" s="132">
        <v>107.53276819760845</v>
      </c>
      <c r="G25" s="132">
        <v>116.16113333777545</v>
      </c>
      <c r="H25" s="132">
        <v>122.7116626939731</v>
      </c>
      <c r="I25" s="132">
        <v>121.87966711868761</v>
      </c>
      <c r="J25" s="132">
        <v>125.23335332108185</v>
      </c>
      <c r="K25" s="132">
        <v>126.69113637231671</v>
      </c>
      <c r="L25" s="132">
        <v>128.92281052384425</v>
      </c>
      <c r="M25" s="132">
        <v>133.04808311719168</v>
      </c>
      <c r="N25" s="132">
        <v>137.93961650067882</v>
      </c>
      <c r="O25" s="132">
        <v>139.57257973833254</v>
      </c>
      <c r="P25" s="132">
        <v>141.13565765925961</v>
      </c>
      <c r="Q25" s="132">
        <v>142.28911614921037</v>
      </c>
      <c r="R25" s="132">
        <v>153.02335583959794</v>
      </c>
      <c r="S25" s="132">
        <v>146.39933719205541</v>
      </c>
      <c r="T25" s="132">
        <v>154.18102004001963</v>
      </c>
      <c r="U25" s="132">
        <v>153.320791048145</v>
      </c>
      <c r="V25" s="132">
        <v>134.731659816811</v>
      </c>
      <c r="W25" s="132">
        <v>167.36046708763308</v>
      </c>
      <c r="X25" s="132">
        <v>167.59556233480012</v>
      </c>
      <c r="Y25" s="132">
        <v>168.11547487330773</v>
      </c>
      <c r="DA25" s="156" t="s">
        <v>323</v>
      </c>
    </row>
    <row r="26" spans="1:105" ht="12" customHeight="1" x14ac:dyDescent="0.25">
      <c r="A26" s="131" t="s">
        <v>24</v>
      </c>
      <c r="B26" s="65">
        <v>96.421201490001735</v>
      </c>
      <c r="C26" s="65">
        <v>99.698114087514313</v>
      </c>
      <c r="D26" s="65">
        <v>102.51236578464669</v>
      </c>
      <c r="E26" s="65">
        <v>104.55215408275346</v>
      </c>
      <c r="F26" s="65">
        <v>103.76792691582249</v>
      </c>
      <c r="G26" s="65">
        <v>112.14437319678102</v>
      </c>
      <c r="H26" s="65">
        <v>107.14717707275464</v>
      </c>
      <c r="I26" s="65">
        <v>117.79973537158644</v>
      </c>
      <c r="J26" s="65">
        <v>121.17930123006508</v>
      </c>
      <c r="K26" s="65">
        <v>133.9382088223779</v>
      </c>
      <c r="L26" s="65">
        <v>135.4467495570731</v>
      </c>
      <c r="M26" s="65">
        <v>135.07728683988032</v>
      </c>
      <c r="N26" s="65">
        <v>126.2419676571561</v>
      </c>
      <c r="O26" s="65">
        <v>129.23462729283258</v>
      </c>
      <c r="P26" s="65">
        <v>136.40556606034767</v>
      </c>
      <c r="Q26" s="65">
        <v>130.99735615485071</v>
      </c>
      <c r="R26" s="65">
        <v>120.42035803087543</v>
      </c>
      <c r="S26" s="65">
        <v>133.38979634871109</v>
      </c>
      <c r="T26" s="65">
        <v>128.06915440431931</v>
      </c>
      <c r="U26" s="65">
        <v>134.39954945700813</v>
      </c>
      <c r="V26" s="65">
        <v>162.9457063916912</v>
      </c>
      <c r="W26" s="65">
        <v>135.36341075191356</v>
      </c>
      <c r="X26" s="65">
        <v>133.43043522848146</v>
      </c>
      <c r="Y26" s="65">
        <v>139.90550129413904</v>
      </c>
      <c r="DA26" s="109" t="s">
        <v>324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218.87329273970505</v>
      </c>
      <c r="C29" s="130">
        <f t="shared" si="12"/>
        <v>227.50562690269948</v>
      </c>
      <c r="D29" s="130">
        <f t="shared" si="12"/>
        <v>232.18688803220996</v>
      </c>
      <c r="E29" s="130">
        <f t="shared" si="12"/>
        <v>238.01914461427793</v>
      </c>
      <c r="F29" s="130">
        <f t="shared" si="12"/>
        <v>245.85189183249778</v>
      </c>
      <c r="G29" s="130">
        <f t="shared" si="12"/>
        <v>252.95249482878356</v>
      </c>
      <c r="H29" s="130">
        <f t="shared" si="12"/>
        <v>258.43519396853952</v>
      </c>
      <c r="I29" s="130">
        <f t="shared" si="12"/>
        <v>263.56084000067688</v>
      </c>
      <c r="J29" s="130">
        <f t="shared" si="12"/>
        <v>270.47516797759107</v>
      </c>
      <c r="K29" s="130">
        <f t="shared" si="12"/>
        <v>283.50901980999748</v>
      </c>
      <c r="L29" s="130">
        <f t="shared" si="12"/>
        <v>287.19084440828073</v>
      </c>
      <c r="M29" s="130">
        <f t="shared" si="12"/>
        <v>297.33635983736411</v>
      </c>
      <c r="N29" s="130">
        <f t="shared" si="12"/>
        <v>305.11488918514215</v>
      </c>
      <c r="O29" s="130">
        <f t="shared" si="12"/>
        <v>313.49498022213311</v>
      </c>
      <c r="P29" s="130">
        <f t="shared" si="12"/>
        <v>316.88552625474841</v>
      </c>
      <c r="Q29" s="130">
        <f t="shared" si="12"/>
        <v>321.00085891580505</v>
      </c>
      <c r="R29" s="130">
        <f t="shared" ref="R29:W29" si="13">SUM(R30:R33)</f>
        <v>328.96529417362166</v>
      </c>
      <c r="S29" s="130">
        <f t="shared" si="13"/>
        <v>345.06821259932576</v>
      </c>
      <c r="T29" s="130">
        <f t="shared" si="13"/>
        <v>349.91903234892231</v>
      </c>
      <c r="U29" s="130">
        <f t="shared" si="13"/>
        <v>366.77106458445667</v>
      </c>
      <c r="V29" s="130">
        <f t="shared" si="13"/>
        <v>379.81080850403617</v>
      </c>
      <c r="W29" s="130">
        <f t="shared" si="13"/>
        <v>384.78444711285937</v>
      </c>
      <c r="X29" s="130">
        <f t="shared" ref="X29:Y29" si="14">SUM(X30:X33)</f>
        <v>371.85309523513905</v>
      </c>
      <c r="Y29" s="130">
        <f t="shared" si="14"/>
        <v>365.6109963329464</v>
      </c>
      <c r="DA29" s="155" t="s">
        <v>326</v>
      </c>
    </row>
    <row r="30" spans="1:105" ht="12" customHeight="1" x14ac:dyDescent="0.25">
      <c r="A30" s="131" t="s">
        <v>52</v>
      </c>
      <c r="B30" s="132">
        <v>25.812695020238898</v>
      </c>
      <c r="C30" s="132">
        <v>34.909928274955803</v>
      </c>
      <c r="D30" s="132">
        <v>28.648724485928327</v>
      </c>
      <c r="E30" s="132">
        <v>22.364387299043226</v>
      </c>
      <c r="F30" s="132">
        <v>19.583089683915727</v>
      </c>
      <c r="G30" s="132">
        <v>19.974279082580797</v>
      </c>
      <c r="H30" s="132">
        <v>39.463299926437131</v>
      </c>
      <c r="I30" s="132">
        <v>59.54503544661668</v>
      </c>
      <c r="J30" s="132">
        <v>54.70111806877879</v>
      </c>
      <c r="K30" s="132">
        <v>35.881974580041934</v>
      </c>
      <c r="L30" s="132">
        <v>56.632548891585593</v>
      </c>
      <c r="M30" s="132">
        <v>52.320342222191321</v>
      </c>
      <c r="N30" s="132">
        <v>14.130587839627717</v>
      </c>
      <c r="O30" s="132">
        <v>15.365031578988388</v>
      </c>
      <c r="P30" s="132">
        <v>16.698533851384564</v>
      </c>
      <c r="Q30" s="132">
        <v>7.5634035856703452</v>
      </c>
      <c r="R30" s="132">
        <v>8.0493793503417752</v>
      </c>
      <c r="S30" s="132">
        <v>7.7906629231602214</v>
      </c>
      <c r="T30" s="132">
        <v>7.580895438627973</v>
      </c>
      <c r="U30" s="132">
        <v>7.6451669576716705</v>
      </c>
      <c r="V30" s="132">
        <v>7.6793545840959538</v>
      </c>
      <c r="W30" s="132">
        <v>7.6828863898405695</v>
      </c>
      <c r="X30" s="132">
        <v>7.6990365731981063</v>
      </c>
      <c r="Y30" s="132">
        <v>7.7021748696191139</v>
      </c>
      <c r="DA30" s="156" t="s">
        <v>327</v>
      </c>
    </row>
    <row r="31" spans="1:105" ht="12" customHeight="1" x14ac:dyDescent="0.25">
      <c r="A31" s="131" t="s">
        <v>149</v>
      </c>
      <c r="B31" s="132">
        <v>5.8633031424957451</v>
      </c>
      <c r="C31" s="132">
        <v>5.5660759518092267</v>
      </c>
      <c r="D31" s="132">
        <v>6.2075502641423066</v>
      </c>
      <c r="E31" s="132">
        <v>6.8243221743972438</v>
      </c>
      <c r="F31" s="132">
        <v>6.8795040326147179</v>
      </c>
      <c r="G31" s="132">
        <v>6.9692155631397998</v>
      </c>
      <c r="H31" s="132">
        <v>7.0081112605107538</v>
      </c>
      <c r="I31" s="132">
        <v>6.9468313970726179</v>
      </c>
      <c r="J31" s="132">
        <v>6.8983827906581068</v>
      </c>
      <c r="K31" s="132">
        <v>6.150297807161266</v>
      </c>
      <c r="L31" s="132">
        <v>5.2163135355614267</v>
      </c>
      <c r="M31" s="132">
        <v>4.9989008907026502</v>
      </c>
      <c r="N31" s="132">
        <v>4.7620558307855543</v>
      </c>
      <c r="O31" s="132">
        <v>4.6552240554498194</v>
      </c>
      <c r="P31" s="132">
        <v>4.7642589572589902</v>
      </c>
      <c r="Q31" s="132">
        <v>4.4382615531359066</v>
      </c>
      <c r="R31" s="132">
        <v>4.5631116077950704</v>
      </c>
      <c r="S31" s="132">
        <v>2.5695045782354211</v>
      </c>
      <c r="T31" s="132">
        <v>3.5707122039508037</v>
      </c>
      <c r="U31" s="132">
        <v>5.0919410478032532</v>
      </c>
      <c r="V31" s="132">
        <v>4.5920186445819251</v>
      </c>
      <c r="W31" s="132">
        <v>5.0218820331077989</v>
      </c>
      <c r="X31" s="132">
        <v>4.943538972586488</v>
      </c>
      <c r="Y31" s="132">
        <v>4.9094744357778746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187.19729457697042</v>
      </c>
      <c r="C33" s="68">
        <v>187.02962267593446</v>
      </c>
      <c r="D33" s="68">
        <v>197.33061328213932</v>
      </c>
      <c r="E33" s="68">
        <v>208.83043514083747</v>
      </c>
      <c r="F33" s="68">
        <v>219.38929811596734</v>
      </c>
      <c r="G33" s="68">
        <v>226.00900018306297</v>
      </c>
      <c r="H33" s="68">
        <v>211.96378278159162</v>
      </c>
      <c r="I33" s="68">
        <v>197.0689731569876</v>
      </c>
      <c r="J33" s="68">
        <v>208.87566711815418</v>
      </c>
      <c r="K33" s="68">
        <v>241.47674742279429</v>
      </c>
      <c r="L33" s="68">
        <v>225.34198198113373</v>
      </c>
      <c r="M33" s="68">
        <v>240.01711672447013</v>
      </c>
      <c r="N33" s="68">
        <v>286.22224551472885</v>
      </c>
      <c r="O33" s="68">
        <v>293.47472458769488</v>
      </c>
      <c r="P33" s="68">
        <v>295.42273344610487</v>
      </c>
      <c r="Q33" s="68">
        <v>308.99919377699882</v>
      </c>
      <c r="R33" s="68">
        <v>316.35280321548481</v>
      </c>
      <c r="S33" s="68">
        <v>334.7080450979301</v>
      </c>
      <c r="T33" s="68">
        <v>338.76742470634355</v>
      </c>
      <c r="U33" s="68">
        <v>354.03395657898176</v>
      </c>
      <c r="V33" s="68">
        <v>367.5394352753583</v>
      </c>
      <c r="W33" s="68">
        <v>372.07967868991102</v>
      </c>
      <c r="X33" s="68">
        <v>359.21051968935444</v>
      </c>
      <c r="Y33" s="68">
        <v>352.99934702754939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0.66152097403605814</v>
      </c>
      <c r="C3" s="126">
        <f>IF(SER_hh_tes!C3=0,"",SER_hh_tes!C3/SER_hh_fec!C3)</f>
        <v>0.66767238826625552</v>
      </c>
      <c r="D3" s="126">
        <f>IF(SER_hh_tes!D3=0,"",SER_hh_tes!D3/SER_hh_fec!D3)</f>
        <v>0.67342346069980674</v>
      </c>
      <c r="E3" s="126">
        <f>IF(SER_hh_tes!E3=0,"",SER_hh_tes!E3/SER_hh_fec!E3)</f>
        <v>0.67553273122020141</v>
      </c>
      <c r="F3" s="126">
        <f>IF(SER_hh_tes!F3=0,"",SER_hh_tes!F3/SER_hh_fec!F3)</f>
        <v>0.69541339287518644</v>
      </c>
      <c r="G3" s="126">
        <f>IF(SER_hh_tes!G3=0,"",SER_hh_tes!G3/SER_hh_fec!G3)</f>
        <v>0.72934287273304232</v>
      </c>
      <c r="H3" s="126">
        <f>IF(SER_hh_tes!H3=0,"",SER_hh_tes!H3/SER_hh_fec!H3)</f>
        <v>0.739741104700816</v>
      </c>
      <c r="I3" s="126">
        <f>IF(SER_hh_tes!I3=0,"",SER_hh_tes!I3/SER_hh_fec!I3)</f>
        <v>0.74531967967415447</v>
      </c>
      <c r="J3" s="126">
        <f>IF(SER_hh_tes!J3=0,"",SER_hh_tes!J3/SER_hh_fec!J3)</f>
        <v>0.75714561459778351</v>
      </c>
      <c r="K3" s="126">
        <f>IF(SER_hh_tes!K3=0,"",SER_hh_tes!K3/SER_hh_fec!K3)</f>
        <v>0.77127342970279134</v>
      </c>
      <c r="L3" s="126">
        <f>IF(SER_hh_tes!L3=0,"",SER_hh_tes!L3/SER_hh_fec!L3)</f>
        <v>0.77339636040578497</v>
      </c>
      <c r="M3" s="126">
        <f>IF(SER_hh_tes!M3=0,"",SER_hh_tes!M3/SER_hh_fec!M3)</f>
        <v>0.78990485841070324</v>
      </c>
      <c r="N3" s="126">
        <f>IF(SER_hh_tes!N3=0,"",SER_hh_tes!N3/SER_hh_fec!N3)</f>
        <v>0.80169971324851352</v>
      </c>
      <c r="O3" s="126">
        <f>IF(SER_hh_tes!O3=0,"",SER_hh_tes!O3/SER_hh_fec!O3)</f>
        <v>0.81948636528228658</v>
      </c>
      <c r="P3" s="126">
        <f>IF(SER_hh_tes!P3=0,"",SER_hh_tes!P3/SER_hh_fec!P3)</f>
        <v>0.8226942446814286</v>
      </c>
      <c r="Q3" s="126">
        <f>IF(SER_hh_tes!Q3=0,"",SER_hh_tes!Q3/SER_hh_fec!Q3)</f>
        <v>0.82714475722296033</v>
      </c>
      <c r="R3" s="126">
        <f>IF(SER_hh_tes!R3=0,"",SER_hh_tes!R3/SER_hh_fec!R3)</f>
        <v>0.83586062439634756</v>
      </c>
      <c r="S3" s="126">
        <f>IF(SER_hh_tes!S3=0,"",SER_hh_tes!S3/SER_hh_fec!S3)</f>
        <v>0.85236852842296418</v>
      </c>
      <c r="T3" s="126">
        <f>IF(SER_hh_tes!T3=0,"",SER_hh_tes!T3/SER_hh_fec!T3)</f>
        <v>0.86072619159405894</v>
      </c>
      <c r="U3" s="126">
        <f>IF(SER_hh_tes!U3=0,"",SER_hh_tes!U3/SER_hh_fec!U3)</f>
        <v>0.87533757875086959</v>
      </c>
      <c r="V3" s="126">
        <f>IF(SER_hh_tes!V3=0,"",SER_hh_tes!V3/SER_hh_fec!V3)</f>
        <v>0.89119953546853303</v>
      </c>
      <c r="W3" s="126">
        <f>IF(SER_hh_tes!W3=0,"",SER_hh_tes!W3/SER_hh_fec!W3)</f>
        <v>0.9009294070095053</v>
      </c>
      <c r="X3" s="126">
        <f>IF(SER_hh_tes!X3=0,"",SER_hh_tes!X3/SER_hh_fec!X3)</f>
        <v>0.91341507272869626</v>
      </c>
      <c r="Y3" s="126">
        <f>IF(SER_hh_tes!Y3=0,"",SER_hh_tes!Y3/SER_hh_fec!Y3)</f>
        <v>0.92517960398251275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0.63287564905340432</v>
      </c>
      <c r="C4" s="135">
        <f>IF(SER_hh_tes!C4=0,"",SER_hh_tes!C4/SER_hh_fec!C4)</f>
        <v>0.64255002713143816</v>
      </c>
      <c r="D4" s="135">
        <f>IF(SER_hh_tes!D4=0,"",SER_hh_tes!D4/SER_hh_fec!D4)</f>
        <v>0.64715009255848188</v>
      </c>
      <c r="E4" s="135">
        <f>IF(SER_hh_tes!E4=0,"",SER_hh_tes!E4/SER_hh_fec!E4)</f>
        <v>0.6474929572511825</v>
      </c>
      <c r="F4" s="135">
        <f>IF(SER_hh_tes!F4=0,"",SER_hh_tes!F4/SER_hh_fec!F4)</f>
        <v>0.66654540638914173</v>
      </c>
      <c r="G4" s="135">
        <f>IF(SER_hh_tes!G4=0,"",SER_hh_tes!G4/SER_hh_fec!G4)</f>
        <v>0.70054969534248324</v>
      </c>
      <c r="H4" s="135">
        <f>IF(SER_hh_tes!H4=0,"",SER_hh_tes!H4/SER_hh_fec!H4)</f>
        <v>0.71365997918657309</v>
      </c>
      <c r="I4" s="135">
        <f>IF(SER_hh_tes!I4=0,"",SER_hh_tes!I4/SER_hh_fec!I4)</f>
        <v>0.72052582363870588</v>
      </c>
      <c r="J4" s="135">
        <f>IF(SER_hh_tes!J4=0,"",SER_hh_tes!J4/SER_hh_fec!J4)</f>
        <v>0.73103641078346238</v>
      </c>
      <c r="K4" s="135">
        <f>IF(SER_hh_tes!K4=0,"",SER_hh_tes!K4/SER_hh_fec!K4)</f>
        <v>0.74203510987334875</v>
      </c>
      <c r="L4" s="135">
        <f>IF(SER_hh_tes!L4=0,"",SER_hh_tes!L4/SER_hh_fec!L4)</f>
        <v>0.74720456195403939</v>
      </c>
      <c r="M4" s="135">
        <f>IF(SER_hh_tes!M4=0,"",SER_hh_tes!M4/SER_hh_fec!M4)</f>
        <v>0.76105522244084534</v>
      </c>
      <c r="N4" s="135">
        <f>IF(SER_hh_tes!N4=0,"",SER_hh_tes!N4/SER_hh_fec!N4)</f>
        <v>0.77107617448023436</v>
      </c>
      <c r="O4" s="135">
        <f>IF(SER_hh_tes!O4=0,"",SER_hh_tes!O4/SER_hh_fec!O4)</f>
        <v>0.79061631582199643</v>
      </c>
      <c r="P4" s="135">
        <f>IF(SER_hh_tes!P4=0,"",SER_hh_tes!P4/SER_hh_fec!P4)</f>
        <v>0.7915643068204391</v>
      </c>
      <c r="Q4" s="135">
        <f>IF(SER_hh_tes!Q4=0,"",SER_hh_tes!Q4/SER_hh_fec!Q4)</f>
        <v>0.79511425630791122</v>
      </c>
      <c r="R4" s="135">
        <f>IF(SER_hh_tes!R4=0,"",SER_hh_tes!R4/SER_hh_fec!R4)</f>
        <v>0.80487179438435374</v>
      </c>
      <c r="S4" s="135">
        <f>IF(SER_hh_tes!S4=0,"",SER_hh_tes!S4/SER_hh_fec!S4)</f>
        <v>0.81986320077273755</v>
      </c>
      <c r="T4" s="135">
        <f>IF(SER_hh_tes!T4=0,"",SER_hh_tes!T4/SER_hh_fec!T4)</f>
        <v>0.82823497512530742</v>
      </c>
      <c r="U4" s="135">
        <f>IF(SER_hh_tes!U4=0,"",SER_hh_tes!U4/SER_hh_fec!U4)</f>
        <v>0.84336059322393098</v>
      </c>
      <c r="V4" s="135">
        <f>IF(SER_hh_tes!V4=0,"",SER_hh_tes!V4/SER_hh_fec!V4)</f>
        <v>0.86205062245537678</v>
      </c>
      <c r="W4" s="135">
        <f>IF(SER_hh_tes!W4=0,"",SER_hh_tes!W4/SER_hh_fec!W4)</f>
        <v>0.87159825926825829</v>
      </c>
      <c r="X4" s="135">
        <f>IF(SER_hh_tes!X4=0,"",SER_hh_tes!X4/SER_hh_fec!X4)</f>
        <v>0.88508780381124563</v>
      </c>
      <c r="Y4" s="135">
        <f>IF(SER_hh_tes!Y4=0,"",SER_hh_tes!Y4/SER_hh_fec!Y4)</f>
        <v>0.89565044603896438</v>
      </c>
      <c r="DA4" s="162" t="s">
        <v>240</v>
      </c>
    </row>
    <row r="5" spans="1:105" ht="12" customHeight="1" x14ac:dyDescent="0.25">
      <c r="A5" s="131" t="s">
        <v>29</v>
      </c>
      <c r="B5" s="136" t="str">
        <f>IF(SER_hh_tes!B5=0,"",SER_hh_tes!B5/SER_hh_fec!B5)</f>
        <v/>
      </c>
      <c r="C5" s="136" t="str">
        <f>IF(SER_hh_tes!C5=0,"",SER_hh_tes!C5/SER_hh_fec!C5)</f>
        <v/>
      </c>
      <c r="D5" s="136" t="str">
        <f>IF(SER_hh_tes!D5=0,"",SER_hh_tes!D5/SER_hh_fec!D5)</f>
        <v/>
      </c>
      <c r="E5" s="136" t="str">
        <f>IF(SER_hh_tes!E5=0,"",SER_hh_tes!E5/SER_hh_fec!E5)</f>
        <v/>
      </c>
      <c r="F5" s="136" t="str">
        <f>IF(SER_hh_tes!F5=0,"",SER_hh_tes!F5/SER_hh_fec!F5)</f>
        <v/>
      </c>
      <c r="G5" s="136" t="str">
        <f>IF(SER_hh_tes!G5=0,"",SER_hh_tes!G5/SER_hh_fec!G5)</f>
        <v/>
      </c>
      <c r="H5" s="136" t="str">
        <f>IF(SER_hh_tes!H5=0,"",SER_hh_tes!H5/SER_hh_fec!H5)</f>
        <v/>
      </c>
      <c r="I5" s="136" t="str">
        <f>IF(SER_hh_tes!I5=0,"",SER_hh_tes!I5/SER_hh_fec!I5)</f>
        <v/>
      </c>
      <c r="J5" s="136" t="str">
        <f>IF(SER_hh_tes!J5=0,"",SER_hh_tes!J5/SER_hh_fec!J5)</f>
        <v/>
      </c>
      <c r="K5" s="136" t="str">
        <f>IF(SER_hh_tes!K5=0,"",SER_hh_tes!K5/SER_hh_fec!K5)</f>
        <v/>
      </c>
      <c r="L5" s="136" t="str">
        <f>IF(SER_hh_tes!L5=0,"",SER_hh_tes!L5/SER_hh_fec!L5)</f>
        <v/>
      </c>
      <c r="M5" s="136" t="str">
        <f>IF(SER_hh_tes!M5=0,"",SER_hh_tes!M5/SER_hh_fec!M5)</f>
        <v/>
      </c>
      <c r="N5" s="136" t="str">
        <f>IF(SER_hh_tes!N5=0,"",SER_hh_tes!N5/SER_hh_fec!N5)</f>
        <v/>
      </c>
      <c r="O5" s="136" t="str">
        <f>IF(SER_hh_tes!O5=0,"",SER_hh_tes!O5/SER_hh_fec!O5)</f>
        <v/>
      </c>
      <c r="P5" s="136" t="str">
        <f>IF(SER_hh_tes!P5=0,"",SER_hh_tes!P5/SER_hh_fec!P5)</f>
        <v/>
      </c>
      <c r="Q5" s="136" t="str">
        <f>IF(SER_hh_tes!Q5=0,"",SER_hh_tes!Q5/SER_hh_fec!Q5)</f>
        <v/>
      </c>
      <c r="R5" s="136" t="str">
        <f>IF(SER_hh_tes!R5=0,"",SER_hh_tes!R5/SER_hh_fec!R5)</f>
        <v/>
      </c>
      <c r="S5" s="136" t="str">
        <f>IF(SER_hh_tes!S5=0,"",SER_hh_tes!S5/SER_hh_fec!S5)</f>
        <v/>
      </c>
      <c r="T5" s="136" t="str">
        <f>IF(SER_hh_tes!T5=0,"",SER_hh_tes!T5/SER_hh_fec!T5)</f>
        <v/>
      </c>
      <c r="U5" s="136" t="str">
        <f>IF(SER_hh_tes!U5=0,"",SER_hh_tes!U5/SER_hh_fec!U5)</f>
        <v/>
      </c>
      <c r="V5" s="136" t="str">
        <f>IF(SER_hh_tes!V5=0,"",SER_hh_tes!V5/SER_hh_fec!V5)</f>
        <v/>
      </c>
      <c r="W5" s="136" t="str">
        <f>IF(SER_hh_tes!W5=0,"",SER_hh_tes!W5/SER_hh_fec!W5)</f>
        <v/>
      </c>
      <c r="X5" s="136" t="str">
        <f>IF(SER_hh_tes!X5=0,"",SER_hh_tes!X5/SER_hh_fec!X5)</f>
        <v/>
      </c>
      <c r="Y5" s="136" t="str">
        <f>IF(SER_hh_tes!Y5=0,"",SER_hh_tes!Y5/SER_hh_fec!Y5)</f>
        <v/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0.44595911808452315</v>
      </c>
      <c r="C7" s="136">
        <f>IF(SER_hh_tes!C7=0,"",SER_hh_tes!C7/SER_hh_fec!C7)</f>
        <v>0.4476722646518605</v>
      </c>
      <c r="D7" s="136">
        <f>IF(SER_hh_tes!D7=0,"",SER_hh_tes!D7/SER_hh_fec!D7)</f>
        <v>0.4508129814486706</v>
      </c>
      <c r="E7" s="136">
        <f>IF(SER_hh_tes!E7=0,"",SER_hh_tes!E7/SER_hh_fec!E7)</f>
        <v>0.45207374111608301</v>
      </c>
      <c r="F7" s="136">
        <f>IF(SER_hh_tes!F7=0,"",SER_hh_tes!F7/SER_hh_fec!F7)</f>
        <v>0.45267124740869974</v>
      </c>
      <c r="G7" s="136">
        <f>IF(SER_hh_tes!G7=0,"",SER_hh_tes!G7/SER_hh_fec!G7)</f>
        <v>0.45285926901994011</v>
      </c>
      <c r="H7" s="136">
        <f>IF(SER_hh_tes!H7=0,"",SER_hh_tes!H7/SER_hh_fec!H7)</f>
        <v>0.45285926901994</v>
      </c>
      <c r="I7" s="136">
        <f>IF(SER_hh_tes!I7=0,"",SER_hh_tes!I7/SER_hh_fec!I7)</f>
        <v>0.45285926901993989</v>
      </c>
      <c r="J7" s="136">
        <f>IF(SER_hh_tes!J7=0,"",SER_hh_tes!J7/SER_hh_fec!J7)</f>
        <v>0.45285926901994017</v>
      </c>
      <c r="K7" s="136">
        <f>IF(SER_hh_tes!K7=0,"",SER_hh_tes!K7/SER_hh_fec!K7)</f>
        <v>0.45714181232367873</v>
      </c>
      <c r="L7" s="136">
        <f>IF(SER_hh_tes!L7=0,"",SER_hh_tes!L7/SER_hh_fec!L7)</f>
        <v>0.48050798805965744</v>
      </c>
      <c r="M7" s="136">
        <f>IF(SER_hh_tes!M7=0,"",SER_hh_tes!M7/SER_hh_fec!M7)</f>
        <v>0.5095320395498103</v>
      </c>
      <c r="N7" s="136">
        <f>IF(SER_hh_tes!N7=0,"",SER_hh_tes!N7/SER_hh_fec!N7)</f>
        <v>0.54059529837674447</v>
      </c>
      <c r="O7" s="136">
        <f>IF(SER_hh_tes!O7=0,"",SER_hh_tes!O7/SER_hh_fec!O7)</f>
        <v>0.57229688247439647</v>
      </c>
      <c r="P7" s="136">
        <f>IF(SER_hh_tes!P7=0,"",SER_hh_tes!P7/SER_hh_fec!P7)</f>
        <v>0.572331340931864</v>
      </c>
      <c r="Q7" s="136">
        <f>IF(SER_hh_tes!Q7=0,"",SER_hh_tes!Q7/SER_hh_fec!Q7)</f>
        <v>0.57334853783849804</v>
      </c>
      <c r="R7" s="136">
        <f>IF(SER_hh_tes!R7=0,"",SER_hh_tes!R7/SER_hh_fec!R7)</f>
        <v>0.58014834819547922</v>
      </c>
      <c r="S7" s="136">
        <f>IF(SER_hh_tes!S7=0,"",SER_hh_tes!S7/SER_hh_fec!S7)</f>
        <v>0.59542007083947801</v>
      </c>
      <c r="T7" s="136">
        <f>IF(SER_hh_tes!T7=0,"",SER_hh_tes!T7/SER_hh_fec!T7)</f>
        <v>0.6073786055920618</v>
      </c>
      <c r="U7" s="136">
        <f>IF(SER_hh_tes!U7=0,"",SER_hh_tes!U7/SER_hh_fec!U7)</f>
        <v>0.61356994613362192</v>
      </c>
      <c r="V7" s="136">
        <f>IF(SER_hh_tes!V7=0,"",SER_hh_tes!V7/SER_hh_fec!V7)</f>
        <v>0.61644633340617283</v>
      </c>
      <c r="W7" s="136">
        <f>IF(SER_hh_tes!W7=0,"",SER_hh_tes!W7/SER_hh_fec!W7)</f>
        <v>0.61885187652746387</v>
      </c>
      <c r="X7" s="136">
        <f>IF(SER_hh_tes!X7=0,"",SER_hh_tes!X7/SER_hh_fec!X7)</f>
        <v>0.62119977158038953</v>
      </c>
      <c r="Y7" s="136">
        <f>IF(SER_hh_tes!Y7=0,"",SER_hh_tes!Y7/SER_hh_fec!Y7)</f>
        <v>0.62397262688128585</v>
      </c>
      <c r="DA7" s="163" t="s">
        <v>334</v>
      </c>
    </row>
    <row r="8" spans="1:105" ht="12" customHeight="1" x14ac:dyDescent="0.25">
      <c r="A8" s="131" t="s">
        <v>73</v>
      </c>
      <c r="B8" s="136" t="str">
        <f>IF(SER_hh_tes!B8=0,"",SER_hh_tes!B8/SER_hh_fec!B8)</f>
        <v/>
      </c>
      <c r="C8" s="136" t="str">
        <f>IF(SER_hh_tes!C8=0,"",SER_hh_tes!C8/SER_hh_fec!C8)</f>
        <v/>
      </c>
      <c r="D8" s="136" t="str">
        <f>IF(SER_hh_tes!D8=0,"",SER_hh_tes!D8/SER_hh_fec!D8)</f>
        <v/>
      </c>
      <c r="E8" s="136" t="str">
        <f>IF(SER_hh_tes!E8=0,"",SER_hh_tes!E8/SER_hh_fec!E8)</f>
        <v/>
      </c>
      <c r="F8" s="136" t="str">
        <f>IF(SER_hh_tes!F8=0,"",SER_hh_tes!F8/SER_hh_fec!F8)</f>
        <v/>
      </c>
      <c r="G8" s="136" t="str">
        <f>IF(SER_hh_tes!G8=0,"",SER_hh_tes!G8/SER_hh_fec!G8)</f>
        <v/>
      </c>
      <c r="H8" s="136" t="str">
        <f>IF(SER_hh_tes!H8=0,"",SER_hh_tes!H8/SER_hh_fec!H8)</f>
        <v/>
      </c>
      <c r="I8" s="136" t="str">
        <f>IF(SER_hh_tes!I8=0,"",SER_hh_tes!I8/SER_hh_fec!I8)</f>
        <v/>
      </c>
      <c r="J8" s="136" t="str">
        <f>IF(SER_hh_tes!J8=0,"",SER_hh_tes!J8/SER_hh_fec!J8)</f>
        <v/>
      </c>
      <c r="K8" s="136" t="str">
        <f>IF(SER_hh_tes!K8=0,"",SER_hh_tes!K8/SER_hh_fec!K8)</f>
        <v/>
      </c>
      <c r="L8" s="136" t="str">
        <f>IF(SER_hh_tes!L8=0,"",SER_hh_tes!L8/SER_hh_fec!L8)</f>
        <v/>
      </c>
      <c r="M8" s="136" t="str">
        <f>IF(SER_hh_tes!M8=0,"",SER_hh_tes!M8/SER_hh_fec!M8)</f>
        <v/>
      </c>
      <c r="N8" s="136" t="str">
        <f>IF(SER_hh_tes!N8=0,"",SER_hh_tes!N8/SER_hh_fec!N8)</f>
        <v/>
      </c>
      <c r="O8" s="136" t="str">
        <f>IF(SER_hh_tes!O8=0,"",SER_hh_tes!O8/SER_hh_fec!O8)</f>
        <v/>
      </c>
      <c r="P8" s="136" t="str">
        <f>IF(SER_hh_tes!P8=0,"",SER_hh_tes!P8/SER_hh_fec!P8)</f>
        <v/>
      </c>
      <c r="Q8" s="136" t="str">
        <f>IF(SER_hh_tes!Q8=0,"",SER_hh_tes!Q8/SER_hh_fec!Q8)</f>
        <v/>
      </c>
      <c r="R8" s="136" t="str">
        <f>IF(SER_hh_tes!R8=0,"",SER_hh_tes!R8/SER_hh_fec!R8)</f>
        <v/>
      </c>
      <c r="S8" s="136" t="str">
        <f>IF(SER_hh_tes!S8=0,"",SER_hh_tes!S8/SER_hh_fec!S8)</f>
        <v/>
      </c>
      <c r="T8" s="136" t="str">
        <f>IF(SER_hh_tes!T8=0,"",SER_hh_tes!T8/SER_hh_fec!T8)</f>
        <v/>
      </c>
      <c r="U8" s="136" t="str">
        <f>IF(SER_hh_tes!U8=0,"",SER_hh_tes!U8/SER_hh_fec!U8)</f>
        <v/>
      </c>
      <c r="V8" s="136" t="str">
        <f>IF(SER_hh_tes!V8=0,"",SER_hh_tes!V8/SER_hh_fec!V8)</f>
        <v/>
      </c>
      <c r="W8" s="136" t="str">
        <f>IF(SER_hh_tes!W8=0,"",SER_hh_tes!W8/SER_hh_fec!W8)</f>
        <v/>
      </c>
      <c r="X8" s="136" t="str">
        <f>IF(SER_hh_tes!X8=0,"",SER_hh_tes!X8/SER_hh_fec!X8)</f>
        <v/>
      </c>
      <c r="Y8" s="136" t="str">
        <f>IF(SER_hh_tes!Y8=0,"",SER_hh_tes!Y8/SER_hh_fec!Y8)</f>
        <v/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0.48203471522274399</v>
      </c>
      <c r="C9" s="136">
        <f>IF(SER_hh_tes!C9=0,"",SER_hh_tes!C9/SER_hh_fec!C9)</f>
        <v>0.49430388787519863</v>
      </c>
      <c r="D9" s="136">
        <f>IF(SER_hh_tes!D9=0,"",SER_hh_tes!D9/SER_hh_fec!D9)</f>
        <v>0.51253871741987878</v>
      </c>
      <c r="E9" s="136">
        <f>IF(SER_hh_tes!E9=0,"",SER_hh_tes!E9/SER_hh_fec!E9)</f>
        <v>0.52123380436270905</v>
      </c>
      <c r="F9" s="136">
        <f>IF(SER_hh_tes!F9=0,"",SER_hh_tes!F9/SER_hh_fec!F9)</f>
        <v>0.52653785511934104</v>
      </c>
      <c r="G9" s="136">
        <f>IF(SER_hh_tes!G9=0,"",SER_hh_tes!G9/SER_hh_fec!G9)</f>
        <v>0.53059268382822478</v>
      </c>
      <c r="H9" s="136">
        <f>IF(SER_hh_tes!H9=0,"",SER_hh_tes!H9/SER_hh_fec!H9)</f>
        <v>0.53332963942720613</v>
      </c>
      <c r="I9" s="136">
        <f>IF(SER_hh_tes!I9=0,"",SER_hh_tes!I9/SER_hh_fec!I9)</f>
        <v>0.53465907459030593</v>
      </c>
      <c r="J9" s="136">
        <f>IF(SER_hh_tes!J9=0,"",SER_hh_tes!J9/SER_hh_fec!J9)</f>
        <v>0.53619291383857315</v>
      </c>
      <c r="K9" s="136">
        <f>IF(SER_hh_tes!K9=0,"",SER_hh_tes!K9/SER_hh_fec!K9)</f>
        <v>0.54004418887823713</v>
      </c>
      <c r="L9" s="136">
        <f>IF(SER_hh_tes!L9=0,"",SER_hh_tes!L9/SER_hh_fec!L9)</f>
        <v>0.54499236048338329</v>
      </c>
      <c r="M9" s="136">
        <f>IF(SER_hh_tes!M9=0,"",SER_hh_tes!M9/SER_hh_fec!M9)</f>
        <v>0.55364111221943335</v>
      </c>
      <c r="N9" s="136">
        <f>IF(SER_hh_tes!N9=0,"",SER_hh_tes!N9/SER_hh_fec!N9)</f>
        <v>0.564699964517135</v>
      </c>
      <c r="O9" s="136">
        <f>IF(SER_hh_tes!O9=0,"",SER_hh_tes!O9/SER_hh_fec!O9)</f>
        <v>0.57013411653103618</v>
      </c>
      <c r="P9" s="136">
        <f>IF(SER_hh_tes!P9=0,"",SER_hh_tes!P9/SER_hh_fec!P9)</f>
        <v>0.57359796946484032</v>
      </c>
      <c r="Q9" s="136">
        <f>IF(SER_hh_tes!Q9=0,"",SER_hh_tes!Q9/SER_hh_fec!Q9)</f>
        <v>0.57596560470077929</v>
      </c>
      <c r="R9" s="136">
        <f>IF(SER_hh_tes!R9=0,"",SER_hh_tes!R9/SER_hh_fec!R9)</f>
        <v>0.57902326604391174</v>
      </c>
      <c r="S9" s="136">
        <f>IF(SER_hh_tes!S9=0,"",SER_hh_tes!S9/SER_hh_fec!S9)</f>
        <v>0.59986346064853735</v>
      </c>
      <c r="T9" s="136">
        <f>IF(SER_hh_tes!T9=0,"",SER_hh_tes!T9/SER_hh_fec!T9)</f>
        <v>0.62226978269851829</v>
      </c>
      <c r="U9" s="136">
        <f>IF(SER_hh_tes!U9=0,"",SER_hh_tes!U9/SER_hh_fec!U9)</f>
        <v>0.6518796655086263</v>
      </c>
      <c r="V9" s="136">
        <f>IF(SER_hh_tes!V9=0,"",SER_hh_tes!V9/SER_hh_fec!V9)</f>
        <v>0.66724742531147796</v>
      </c>
      <c r="W9" s="136">
        <f>IF(SER_hh_tes!W9=0,"",SER_hh_tes!W9/SER_hh_fec!W9)</f>
        <v>0.68086727549785708</v>
      </c>
      <c r="X9" s="136">
        <f>IF(SER_hh_tes!X9=0,"",SER_hh_tes!X9/SER_hh_fec!X9)</f>
        <v>0.68765340618557624</v>
      </c>
      <c r="Y9" s="136">
        <f>IF(SER_hh_tes!Y9=0,"",SER_hh_tes!Y9/SER_hh_fec!Y9)</f>
        <v>0.69415216659044088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0.43948965380880667</v>
      </c>
      <c r="C10" s="136">
        <f>IF(SER_hh_tes!C10=0,"",SER_hh_tes!C10/SER_hh_fec!C10)</f>
        <v>0.4655132925413436</v>
      </c>
      <c r="D10" s="136">
        <f>IF(SER_hh_tes!D10=0,"",SER_hh_tes!D10/SER_hh_fec!D10)</f>
        <v>0.47760625682817137</v>
      </c>
      <c r="E10" s="136">
        <f>IF(SER_hh_tes!E10=0,"",SER_hh_tes!E10/SER_hh_fec!E10)</f>
        <v>0.49526814760008792</v>
      </c>
      <c r="F10" s="136">
        <f>IF(SER_hh_tes!F10=0,"",SER_hh_tes!F10/SER_hh_fec!F10)</f>
        <v>0.5100099116793374</v>
      </c>
      <c r="G10" s="136">
        <f>IF(SER_hh_tes!G10=0,"",SER_hh_tes!G10/SER_hh_fec!G10)</f>
        <v>0.51610736754858655</v>
      </c>
      <c r="H10" s="136">
        <f>IF(SER_hh_tes!H10=0,"",SER_hh_tes!H10/SER_hh_fec!H10)</f>
        <v>0.51931705331670386</v>
      </c>
      <c r="I10" s="136">
        <f>IF(SER_hh_tes!I10=0,"",SER_hh_tes!I10/SER_hh_fec!I10)</f>
        <v>0.52179301184530336</v>
      </c>
      <c r="J10" s="136">
        <f>IF(SER_hh_tes!J10=0,"",SER_hh_tes!J10/SER_hh_fec!J10)</f>
        <v>0.524600106320114</v>
      </c>
      <c r="K10" s="136">
        <f>IF(SER_hh_tes!K10=0,"",SER_hh_tes!K10/SER_hh_fec!K10)</f>
        <v>0.52799291917203472</v>
      </c>
      <c r="L10" s="136">
        <f>IF(SER_hh_tes!L10=0,"",SER_hh_tes!L10/SER_hh_fec!L10)</f>
        <v>0.53117518163275079</v>
      </c>
      <c r="M10" s="136">
        <f>IF(SER_hh_tes!M10=0,"",SER_hh_tes!M10/SER_hh_fec!M10)</f>
        <v>0.53429992224562317</v>
      </c>
      <c r="N10" s="136">
        <f>IF(SER_hh_tes!N10=0,"",SER_hh_tes!N10/SER_hh_fec!N10)</f>
        <v>0.53742792443822773</v>
      </c>
      <c r="O10" s="136">
        <f>IF(SER_hh_tes!O10=0,"",SER_hh_tes!O10/SER_hh_fec!O10)</f>
        <v>0.53992672059704805</v>
      </c>
      <c r="P10" s="136">
        <f>IF(SER_hh_tes!P10=0,"",SER_hh_tes!P10/SER_hh_fec!P10)</f>
        <v>0.54009481966762729</v>
      </c>
      <c r="Q10" s="136">
        <f>IF(SER_hh_tes!Q10=0,"",SER_hh_tes!Q10/SER_hh_fec!Q10)</f>
        <v>0.5404333679607326</v>
      </c>
      <c r="R10" s="136">
        <f>IF(SER_hh_tes!R10=0,"",SER_hh_tes!R10/SER_hh_fec!R10)</f>
        <v>0.54071691640251651</v>
      </c>
      <c r="S10" s="136">
        <f>IF(SER_hh_tes!S10=0,"",SER_hh_tes!S10/SER_hh_fec!S10)</f>
        <v>0.54107345615949121</v>
      </c>
      <c r="T10" s="136">
        <f>IF(SER_hh_tes!T10=0,"",SER_hh_tes!T10/SER_hh_fec!T10)</f>
        <v>0.54143364649672598</v>
      </c>
      <c r="U10" s="136">
        <f>IF(SER_hh_tes!U10=0,"",SER_hh_tes!U10/SER_hh_fec!U10)</f>
        <v>0.54173285072803201</v>
      </c>
      <c r="V10" s="136">
        <f>IF(SER_hh_tes!V10=0,"",SER_hh_tes!V10/SER_hh_fec!V10)</f>
        <v>0.54195332514453454</v>
      </c>
      <c r="W10" s="136">
        <f>IF(SER_hh_tes!W10=0,"",SER_hh_tes!W10/SER_hh_fec!W10)</f>
        <v>0.54206733586697287</v>
      </c>
      <c r="X10" s="136">
        <f>IF(SER_hh_tes!X10=0,"",SER_hh_tes!X10/SER_hh_fec!X10)</f>
        <v>0.54211844485083716</v>
      </c>
      <c r="Y10" s="136">
        <f>IF(SER_hh_tes!Y10=0,"",SER_hh_tes!Y10/SER_hh_fec!Y10)</f>
        <v>0.54228476387633018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 t="str">
        <f>IF(SER_hh_tes!E11=0,"",SER_hh_tes!E11/SER_hh_fec!E11)</f>
        <v/>
      </c>
      <c r="F11" s="136" t="str">
        <f>IF(SER_hh_tes!F11=0,"",SER_hh_tes!F11/SER_hh_fec!F11)</f>
        <v/>
      </c>
      <c r="G11" s="136" t="str">
        <f>IF(SER_hh_tes!G11=0,"",SER_hh_tes!G11/SER_hh_fec!G11)</f>
        <v/>
      </c>
      <c r="H11" s="136" t="str">
        <f>IF(SER_hh_tes!H11=0,"",SER_hh_tes!H11/SER_hh_fec!H11)</f>
        <v/>
      </c>
      <c r="I11" s="136" t="str">
        <f>IF(SER_hh_tes!I11=0,"",SER_hh_tes!I11/SER_hh_fec!I11)</f>
        <v/>
      </c>
      <c r="J11" s="136" t="str">
        <f>IF(SER_hh_tes!J11=0,"",SER_hh_tes!J11/SER_hh_fec!J11)</f>
        <v/>
      </c>
      <c r="K11" s="136" t="str">
        <f>IF(SER_hh_tes!K11=0,"",SER_hh_tes!K11/SER_hh_fec!K11)</f>
        <v/>
      </c>
      <c r="L11" s="136" t="str">
        <f>IF(SER_hh_tes!L11=0,"",SER_hh_tes!L11/SER_hh_fec!L11)</f>
        <v/>
      </c>
      <c r="M11" s="136" t="str">
        <f>IF(SER_hh_tes!M11=0,"",SER_hh_tes!M11/SER_hh_fec!M11)</f>
        <v/>
      </c>
      <c r="N11" s="136" t="str">
        <f>IF(SER_hh_tes!N11=0,"",SER_hh_tes!N11/SER_hh_fec!N11)</f>
        <v/>
      </c>
      <c r="O11" s="136" t="str">
        <f>IF(SER_hh_tes!O11=0,"",SER_hh_tes!O11/SER_hh_fec!O11)</f>
        <v/>
      </c>
      <c r="P11" s="136" t="str">
        <f>IF(SER_hh_tes!P11=0,"",SER_hh_tes!P11/SER_hh_fec!P11)</f>
        <v/>
      </c>
      <c r="Q11" s="136" t="str">
        <f>IF(SER_hh_tes!Q11=0,"",SER_hh_tes!Q11/SER_hh_fec!Q11)</f>
        <v/>
      </c>
      <c r="R11" s="136" t="str">
        <f>IF(SER_hh_tes!R11=0,"",SER_hh_tes!R11/SER_hh_fec!R11)</f>
        <v/>
      </c>
      <c r="S11" s="136" t="str">
        <f>IF(SER_hh_tes!S11=0,"",SER_hh_tes!S11/SER_hh_fec!S11)</f>
        <v/>
      </c>
      <c r="T11" s="136" t="str">
        <f>IF(SER_hh_tes!T11=0,"",SER_hh_tes!T11/SER_hh_fec!T11)</f>
        <v/>
      </c>
      <c r="U11" s="136" t="str">
        <f>IF(SER_hh_tes!U11=0,"",SER_hh_tes!U11/SER_hh_fec!U11)</f>
        <v/>
      </c>
      <c r="V11" s="136" t="str">
        <f>IF(SER_hh_tes!V11=0,"",SER_hh_tes!V11/SER_hh_fec!V11)</f>
        <v/>
      </c>
      <c r="W11" s="136" t="str">
        <f>IF(SER_hh_tes!W11=0,"",SER_hh_tes!W11/SER_hh_fec!W11)</f>
        <v/>
      </c>
      <c r="X11" s="136" t="str">
        <f>IF(SER_hh_tes!X11=0,"",SER_hh_tes!X11/SER_hh_fec!X11)</f>
        <v/>
      </c>
      <c r="Y11" s="136" t="str">
        <f>IF(SER_hh_tes!Y11=0,"",SER_hh_tes!Y11/SER_hh_fec!Y11)</f>
        <v/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0.76353868975121031</v>
      </c>
      <c r="C12" s="136">
        <f>IF(SER_hh_tes!C12=0,"",SER_hh_tes!C12/SER_hh_fec!C12)</f>
        <v>0.76583045680695072</v>
      </c>
      <c r="D12" s="136">
        <f>IF(SER_hh_tes!D12=0,"",SER_hh_tes!D12/SER_hh_fec!D12)</f>
        <v>0.7684315051823819</v>
      </c>
      <c r="E12" s="136">
        <f>IF(SER_hh_tes!E12=0,"",SER_hh_tes!E12/SER_hh_fec!E12)</f>
        <v>0.77140096030716421</v>
      </c>
      <c r="F12" s="136">
        <f>IF(SER_hh_tes!F12=0,"",SER_hh_tes!F12/SER_hh_fec!F12)</f>
        <v>0.77465743150934641</v>
      </c>
      <c r="G12" s="136">
        <f>IF(SER_hh_tes!G12=0,"",SER_hh_tes!G12/SER_hh_fec!G12)</f>
        <v>0.77791464367465057</v>
      </c>
      <c r="H12" s="136">
        <f>IF(SER_hh_tes!H12=0,"",SER_hh_tes!H12/SER_hh_fec!H12)</f>
        <v>0.78037531639275082</v>
      </c>
      <c r="I12" s="136">
        <f>IF(SER_hh_tes!I12=0,"",SER_hh_tes!I12/SER_hh_fec!I12)</f>
        <v>0.78281482345587783</v>
      </c>
      <c r="J12" s="136">
        <f>IF(SER_hh_tes!J12=0,"",SER_hh_tes!J12/SER_hh_fec!J12)</f>
        <v>0.78567616733321877</v>
      </c>
      <c r="K12" s="136">
        <f>IF(SER_hh_tes!K12=0,"",SER_hh_tes!K12/SER_hh_fec!K12)</f>
        <v>0.78902746746408592</v>
      </c>
      <c r="L12" s="136">
        <f>IF(SER_hh_tes!L12=0,"",SER_hh_tes!L12/SER_hh_fec!L12)</f>
        <v>0.79244217465178723</v>
      </c>
      <c r="M12" s="136">
        <f>IF(SER_hh_tes!M12=0,"",SER_hh_tes!M12/SER_hh_fec!M12)</f>
        <v>0.79569653243424865</v>
      </c>
      <c r="N12" s="136">
        <f>IF(SER_hh_tes!N12=0,"",SER_hh_tes!N12/SER_hh_fec!N12)</f>
        <v>0.79905233235059525</v>
      </c>
      <c r="O12" s="136">
        <f>IF(SER_hh_tes!O12=0,"",SER_hh_tes!O12/SER_hh_fec!O12)</f>
        <v>0.80238726730227972</v>
      </c>
      <c r="P12" s="136">
        <f>IF(SER_hh_tes!P12=0,"",SER_hh_tes!P12/SER_hh_fec!P12)</f>
        <v>0.80322182748379789</v>
      </c>
      <c r="Q12" s="136">
        <f>IF(SER_hh_tes!Q12=0,"",SER_hh_tes!Q12/SER_hh_fec!Q12)</f>
        <v>0.80458911662473498</v>
      </c>
      <c r="R12" s="136">
        <f>IF(SER_hh_tes!R12=0,"",SER_hh_tes!R12/SER_hh_fec!R12)</f>
        <v>0.80705663478490919</v>
      </c>
      <c r="S12" s="136">
        <f>IF(SER_hh_tes!S12=0,"",SER_hh_tes!S12/SER_hh_fec!S12)</f>
        <v>0.81084301649665491</v>
      </c>
      <c r="T12" s="136">
        <f>IF(SER_hh_tes!T12=0,"",SER_hh_tes!T12/SER_hh_fec!T12)</f>
        <v>0.81477373023693622</v>
      </c>
      <c r="U12" s="136">
        <f>IF(SER_hh_tes!U12=0,"",SER_hh_tes!U12/SER_hh_fec!U12)</f>
        <v>0.81882887304925933</v>
      </c>
      <c r="V12" s="136">
        <f>IF(SER_hh_tes!V12=0,"",SER_hh_tes!V12/SER_hh_fec!V12)</f>
        <v>0.82239249595493957</v>
      </c>
      <c r="W12" s="136">
        <f>IF(SER_hh_tes!W12=0,"",SER_hh_tes!W12/SER_hh_fec!W12)</f>
        <v>0.82682583846137925</v>
      </c>
      <c r="X12" s="136">
        <f>IF(SER_hh_tes!X12=0,"",SER_hh_tes!X12/SER_hh_fec!X12)</f>
        <v>0.83068896121490476</v>
      </c>
      <c r="Y12" s="136">
        <f>IF(SER_hh_tes!Y12=0,"",SER_hh_tes!Y12/SER_hh_fec!Y12)</f>
        <v>0.83604418414552506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1.4927211376324272</v>
      </c>
      <c r="C13" s="136">
        <f>IF(SER_hh_tes!C13=0,"",SER_hh_tes!C13/SER_hh_fec!C13)</f>
        <v>1.5108298556321789</v>
      </c>
      <c r="D13" s="136">
        <f>IF(SER_hh_tes!D13=0,"",SER_hh_tes!D13/SER_hh_fec!D13)</f>
        <v>1.5574255485680812</v>
      </c>
      <c r="E13" s="136">
        <f>IF(SER_hh_tes!E13=0,"",SER_hh_tes!E13/SER_hh_fec!E13)</f>
        <v>1.6138118366320384</v>
      </c>
      <c r="F13" s="136">
        <f>IF(SER_hh_tes!F13=0,"",SER_hh_tes!F13/SER_hh_fec!F13)</f>
        <v>1.6855648036776101</v>
      </c>
      <c r="G13" s="136">
        <f>IF(SER_hh_tes!G13=0,"",SER_hh_tes!G13/SER_hh_fec!G13)</f>
        <v>1.758394218254093</v>
      </c>
      <c r="H13" s="136">
        <f>IF(SER_hh_tes!H13=0,"",SER_hh_tes!H13/SER_hh_fec!H13)</f>
        <v>1.8314878398783547</v>
      </c>
      <c r="I13" s="136">
        <f>IF(SER_hh_tes!I13=0,"",SER_hh_tes!I13/SER_hh_fec!I13)</f>
        <v>1.8972551562475974</v>
      </c>
      <c r="J13" s="136">
        <f>IF(SER_hh_tes!J13=0,"",SER_hh_tes!J13/SER_hh_fec!J13)</f>
        <v>1.9493297451311382</v>
      </c>
      <c r="K13" s="136">
        <f>IF(SER_hh_tes!K13=0,"",SER_hh_tes!K13/SER_hh_fec!K13)</f>
        <v>2.0048223067369992</v>
      </c>
      <c r="L13" s="136">
        <f>IF(SER_hh_tes!L13=0,"",SER_hh_tes!L13/SER_hh_fec!L13)</f>
        <v>2.0544570630268431</v>
      </c>
      <c r="M13" s="136">
        <f>IF(SER_hh_tes!M13=0,"",SER_hh_tes!M13/SER_hh_fec!M13)</f>
        <v>2.134161534137077</v>
      </c>
      <c r="N13" s="136">
        <f>IF(SER_hh_tes!N13=0,"",SER_hh_tes!N13/SER_hh_fec!N13)</f>
        <v>2.2012042560224345</v>
      </c>
      <c r="O13" s="136">
        <f>IF(SER_hh_tes!O13=0,"",SER_hh_tes!O13/SER_hh_fec!O13)</f>
        <v>2.2819560295107491</v>
      </c>
      <c r="P13" s="136">
        <f>IF(SER_hh_tes!P13=0,"",SER_hh_tes!P13/SER_hh_fec!P13)</f>
        <v>2.3532912612761323</v>
      </c>
      <c r="Q13" s="136">
        <f>IF(SER_hh_tes!Q13=0,"",SER_hh_tes!Q13/SER_hh_fec!Q13)</f>
        <v>2.444707911686427</v>
      </c>
      <c r="R13" s="136">
        <f>IF(SER_hh_tes!R13=0,"",SER_hh_tes!R13/SER_hh_fec!R13)</f>
        <v>2.5640915060740195</v>
      </c>
      <c r="S13" s="136">
        <f>IF(SER_hh_tes!S13=0,"",SER_hh_tes!S13/SER_hh_fec!S13)</f>
        <v>2.705177763791633</v>
      </c>
      <c r="T13" s="136">
        <f>IF(SER_hh_tes!T13=0,"",SER_hh_tes!T13/SER_hh_fec!T13)</f>
        <v>2.8465861589373813</v>
      </c>
      <c r="U13" s="136">
        <f>IF(SER_hh_tes!U13=0,"",SER_hh_tes!U13/SER_hh_fec!U13)</f>
        <v>2.9864774218169212</v>
      </c>
      <c r="V13" s="136">
        <f>IF(SER_hh_tes!V13=0,"",SER_hh_tes!V13/SER_hh_fec!V13)</f>
        <v>3.1239848210075825</v>
      </c>
      <c r="W13" s="136">
        <f>IF(SER_hh_tes!W13=0,"",SER_hh_tes!W13/SER_hh_fec!W13)</f>
        <v>3.2330561330103014</v>
      </c>
      <c r="X13" s="136">
        <f>IF(SER_hh_tes!X13=0,"",SER_hh_tes!X13/SER_hh_fec!X13)</f>
        <v>3.3348475683487746</v>
      </c>
      <c r="Y13" s="136">
        <f>IF(SER_hh_tes!Y13=0,"",SER_hh_tes!Y13/SER_hh_fec!Y13)</f>
        <v>3.4319981079288655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0.6750247791795394</v>
      </c>
      <c r="C14" s="137">
        <f>IF(SER_hh_tes!C14=0,"",SER_hh_tes!C14/SER_hh_fec!C14)</f>
        <v>0.67903020747502041</v>
      </c>
      <c r="D14" s="137">
        <f>IF(SER_hh_tes!D14=0,"",SER_hh_tes!D14/SER_hh_fec!D14)</f>
        <v>0.68182112504419279</v>
      </c>
      <c r="E14" s="137">
        <f>IF(SER_hh_tes!E14=0,"",SER_hh_tes!E14/SER_hh_fec!E14)</f>
        <v>0.68487781851167484</v>
      </c>
      <c r="F14" s="137">
        <f>IF(SER_hh_tes!F14=0,"",SER_hh_tes!F14/SER_hh_fec!F14)</f>
        <v>0.68947406672158507</v>
      </c>
      <c r="G14" s="137">
        <f>IF(SER_hh_tes!G14=0,"",SER_hh_tes!G14/SER_hh_fec!G14)</f>
        <v>0.69481601165841134</v>
      </c>
      <c r="H14" s="137">
        <f>IF(SER_hh_tes!H14=0,"",SER_hh_tes!H14/SER_hh_fec!H14)</f>
        <v>0.7014653623315108</v>
      </c>
      <c r="I14" s="137">
        <f>IF(SER_hh_tes!I14=0,"",SER_hh_tes!I14/SER_hh_fec!I14)</f>
        <v>0.7073418673249704</v>
      </c>
      <c r="J14" s="137">
        <f>IF(SER_hh_tes!J14=0,"",SER_hh_tes!J14/SER_hh_fec!J14)</f>
        <v>0.71177454185904088</v>
      </c>
      <c r="K14" s="137">
        <f>IF(SER_hh_tes!K14=0,"",SER_hh_tes!K14/SER_hh_fec!K14)</f>
        <v>0.71479560859332703</v>
      </c>
      <c r="L14" s="137">
        <f>IF(SER_hh_tes!L14=0,"",SER_hh_tes!L14/SER_hh_fec!L14)</f>
        <v>0.71863921979722578</v>
      </c>
      <c r="M14" s="137">
        <f>IF(SER_hh_tes!M14=0,"",SER_hh_tes!M14/SER_hh_fec!M14)</f>
        <v>0.72359710480615369</v>
      </c>
      <c r="N14" s="137">
        <f>IF(SER_hh_tes!N14=0,"",SER_hh_tes!N14/SER_hh_fec!N14)</f>
        <v>0.73170147648614925</v>
      </c>
      <c r="O14" s="137">
        <f>IF(SER_hh_tes!O14=0,"",SER_hh_tes!O14/SER_hh_fec!O14)</f>
        <v>0.74017481457697831</v>
      </c>
      <c r="P14" s="137">
        <f>IF(SER_hh_tes!P14=0,"",SER_hh_tes!P14/SER_hh_fec!P14)</f>
        <v>0.74345041644848175</v>
      </c>
      <c r="Q14" s="137">
        <f>IF(SER_hh_tes!Q14=0,"",SER_hh_tes!Q14/SER_hh_fec!Q14)</f>
        <v>0.74776792611654919</v>
      </c>
      <c r="R14" s="137">
        <f>IF(SER_hh_tes!R14=0,"",SER_hh_tes!R14/SER_hh_fec!R14)</f>
        <v>0.75316935500679005</v>
      </c>
      <c r="S14" s="137">
        <f>IF(SER_hh_tes!S14=0,"",SER_hh_tes!S14/SER_hh_fec!S14)</f>
        <v>0.75941105392988106</v>
      </c>
      <c r="T14" s="137">
        <f>IF(SER_hh_tes!T14=0,"",SER_hh_tes!T14/SER_hh_fec!T14)</f>
        <v>0.76774564541254831</v>
      </c>
      <c r="U14" s="137">
        <f>IF(SER_hh_tes!U14=0,"",SER_hh_tes!U14/SER_hh_fec!U14)</f>
        <v>0.77899693914752643</v>
      </c>
      <c r="V14" s="137">
        <f>IF(SER_hh_tes!V14=0,"",SER_hh_tes!V14/SER_hh_fec!V14)</f>
        <v>0.79754460662150539</v>
      </c>
      <c r="W14" s="137">
        <f>IF(SER_hh_tes!W14=0,"",SER_hh_tes!W14/SER_hh_fec!W14)</f>
        <v>0.81543765021318271</v>
      </c>
      <c r="X14" s="137">
        <f>IF(SER_hh_tes!X14=0,"",SER_hh_tes!X14/SER_hh_fec!X14)</f>
        <v>0.83446921546169384</v>
      </c>
      <c r="Y14" s="137">
        <f>IF(SER_hh_tes!Y14=0,"",SER_hh_tes!Y14/SER_hh_fec!Y14)</f>
        <v>0.84601280721576377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1.9433822954868891</v>
      </c>
      <c r="C16" s="135">
        <f>IF(SER_hh_tes!C16=0,"",SER_hh_tes!C16/SER_hh_fec!C16)</f>
        <v>2.0117266370451117</v>
      </c>
      <c r="D16" s="135">
        <f>IF(SER_hh_tes!D16=0,"",SER_hh_tes!D16/SER_hh_fec!D16)</f>
        <v>2.0958180883474333</v>
      </c>
      <c r="E16" s="135">
        <f>IF(SER_hh_tes!E16=0,"",SER_hh_tes!E16/SER_hh_fec!E16)</f>
        <v>2.1880720532856843</v>
      </c>
      <c r="F16" s="135">
        <f>IF(SER_hh_tes!F16=0,"",SER_hh_tes!F16/SER_hh_fec!F16)</f>
        <v>2.3030800048880051</v>
      </c>
      <c r="G16" s="135">
        <f>IF(SER_hh_tes!G16=0,"",SER_hh_tes!G16/SER_hh_fec!G16)</f>
        <v>2.4331563206716598</v>
      </c>
      <c r="H16" s="135">
        <f>IF(SER_hh_tes!H16=0,"",SER_hh_tes!H16/SER_hh_fec!H16)</f>
        <v>2.5873891339507029</v>
      </c>
      <c r="I16" s="135">
        <f>IF(SER_hh_tes!I16=0,"",SER_hh_tes!I16/SER_hh_fec!I16)</f>
        <v>2.7760028258702691</v>
      </c>
      <c r="J16" s="135">
        <f>IF(SER_hh_tes!J16=0,"",SER_hh_tes!J16/SER_hh_fec!J16)</f>
        <v>3.0022740292728245</v>
      </c>
      <c r="K16" s="135">
        <f>IF(SER_hh_tes!K16=0,"",SER_hh_tes!K16/SER_hh_fec!K16)</f>
        <v>3.0586417980517977</v>
      </c>
      <c r="L16" s="135">
        <f>IF(SER_hh_tes!L16=0,"",SER_hh_tes!L16/SER_hh_fec!L16)</f>
        <v>3.1454745542697009</v>
      </c>
      <c r="M16" s="135">
        <f>IF(SER_hh_tes!M16=0,"",SER_hh_tes!M16/SER_hh_fec!M16)</f>
        <v>3.2700625686786435</v>
      </c>
      <c r="N16" s="135">
        <f>IF(SER_hh_tes!N16=0,"",SER_hh_tes!N16/SER_hh_fec!N16)</f>
        <v>3.4020058937835183</v>
      </c>
      <c r="O16" s="135">
        <f>IF(SER_hh_tes!O16=0,"",SER_hh_tes!O16/SER_hh_fec!O16)</f>
        <v>3.5436614545294933</v>
      </c>
      <c r="P16" s="135">
        <f>IF(SER_hh_tes!P16=0,"",SER_hh_tes!P16/SER_hh_fec!P16)</f>
        <v>3.6943745585749235</v>
      </c>
      <c r="Q16" s="135">
        <f>IF(SER_hh_tes!Q16=0,"",SER_hh_tes!Q16/SER_hh_fec!Q16)</f>
        <v>3.8502206142451256</v>
      </c>
      <c r="R16" s="135">
        <f>IF(SER_hh_tes!R16=0,"",SER_hh_tes!R16/SER_hh_fec!R16)</f>
        <v>4.0169641022061704</v>
      </c>
      <c r="S16" s="135">
        <f>IF(SER_hh_tes!S16=0,"",SER_hh_tes!S16/SER_hh_fec!S16)</f>
        <v>4.1786713838030591</v>
      </c>
      <c r="T16" s="135">
        <f>IF(SER_hh_tes!T16=0,"",SER_hh_tes!T16/SER_hh_fec!T16)</f>
        <v>4.3120634823423423</v>
      </c>
      <c r="U16" s="135">
        <f>IF(SER_hh_tes!U16=0,"",SER_hh_tes!U16/SER_hh_fec!U16)</f>
        <v>4.4160179414211118</v>
      </c>
      <c r="V16" s="135">
        <f>IF(SER_hh_tes!V16=0,"",SER_hh_tes!V16/SER_hh_fec!V16)</f>
        <v>4.5242044432501718</v>
      </c>
      <c r="W16" s="135">
        <f>IF(SER_hh_tes!W16=0,"",SER_hh_tes!W16/SER_hh_fec!W16)</f>
        <v>4.6224099967097567</v>
      </c>
      <c r="X16" s="135">
        <f>IF(SER_hh_tes!X16=0,"",SER_hh_tes!X16/SER_hh_fec!X16)</f>
        <v>4.7020395088518905</v>
      </c>
      <c r="Y16" s="135">
        <f>IF(SER_hh_tes!Y16=0,"",SER_hh_tes!Y16/SER_hh_fec!Y16)</f>
        <v>4.765293547579895</v>
      </c>
      <c r="DA16" s="162" t="s">
        <v>241</v>
      </c>
    </row>
    <row r="17" spans="1:105" ht="12.95" customHeight="1" x14ac:dyDescent="0.25">
      <c r="A17" s="131" t="s">
        <v>73</v>
      </c>
      <c r="B17" s="136" t="str">
        <f>IF(SER_hh_tes!B17=0,"",SER_hh_tes!B17/SER_hh_fec!B17)</f>
        <v/>
      </c>
      <c r="C17" s="136" t="str">
        <f>IF(SER_hh_tes!C17=0,"",SER_hh_tes!C17/SER_hh_fec!C17)</f>
        <v/>
      </c>
      <c r="D17" s="136" t="str">
        <f>IF(SER_hh_tes!D17=0,"",SER_hh_tes!D17/SER_hh_fec!D17)</f>
        <v/>
      </c>
      <c r="E17" s="136" t="str">
        <f>IF(SER_hh_tes!E17=0,"",SER_hh_tes!E17/SER_hh_fec!E17)</f>
        <v/>
      </c>
      <c r="F17" s="136" t="str">
        <f>IF(SER_hh_tes!F17=0,"",SER_hh_tes!F17/SER_hh_fec!F17)</f>
        <v/>
      </c>
      <c r="G17" s="136" t="str">
        <f>IF(SER_hh_tes!G17=0,"",SER_hh_tes!G17/SER_hh_fec!G17)</f>
        <v/>
      </c>
      <c r="H17" s="136" t="str">
        <f>IF(SER_hh_tes!H17=0,"",SER_hh_tes!H17/SER_hh_fec!H17)</f>
        <v/>
      </c>
      <c r="I17" s="136" t="str">
        <f>IF(SER_hh_tes!I17=0,"",SER_hh_tes!I17/SER_hh_fec!I17)</f>
        <v/>
      </c>
      <c r="J17" s="136" t="str">
        <f>IF(SER_hh_tes!J17=0,"",SER_hh_tes!J17/SER_hh_fec!J17)</f>
        <v/>
      </c>
      <c r="K17" s="136" t="str">
        <f>IF(SER_hh_tes!K17=0,"",SER_hh_tes!K17/SER_hh_fec!K17)</f>
        <v/>
      </c>
      <c r="L17" s="136" t="str">
        <f>IF(SER_hh_tes!L17=0,"",SER_hh_tes!L17/SER_hh_fec!L17)</f>
        <v/>
      </c>
      <c r="M17" s="136" t="str">
        <f>IF(SER_hh_tes!M17=0,"",SER_hh_tes!M17/SER_hh_fec!M17)</f>
        <v/>
      </c>
      <c r="N17" s="136" t="str">
        <f>IF(SER_hh_tes!N17=0,"",SER_hh_tes!N17/SER_hh_fec!N17)</f>
        <v/>
      </c>
      <c r="O17" s="136" t="str">
        <f>IF(SER_hh_tes!O17=0,"",SER_hh_tes!O17/SER_hh_fec!O17)</f>
        <v/>
      </c>
      <c r="P17" s="136" t="str">
        <f>IF(SER_hh_tes!P17=0,"",SER_hh_tes!P17/SER_hh_fec!P17)</f>
        <v/>
      </c>
      <c r="Q17" s="136" t="str">
        <f>IF(SER_hh_tes!Q17=0,"",SER_hh_tes!Q17/SER_hh_fec!Q17)</f>
        <v/>
      </c>
      <c r="R17" s="136" t="str">
        <f>IF(SER_hh_tes!R17=0,"",SER_hh_tes!R17/SER_hh_fec!R17)</f>
        <v/>
      </c>
      <c r="S17" s="136" t="str">
        <f>IF(SER_hh_tes!S17=0,"",SER_hh_tes!S17/SER_hh_fec!S17)</f>
        <v/>
      </c>
      <c r="T17" s="136" t="str">
        <f>IF(SER_hh_tes!T17=0,"",SER_hh_tes!T17/SER_hh_fec!T17)</f>
        <v/>
      </c>
      <c r="U17" s="136" t="str">
        <f>IF(SER_hh_tes!U17=0,"",SER_hh_tes!U17/SER_hh_fec!U17)</f>
        <v/>
      </c>
      <c r="V17" s="136" t="str">
        <f>IF(SER_hh_tes!V17=0,"",SER_hh_tes!V17/SER_hh_fec!V17)</f>
        <v/>
      </c>
      <c r="W17" s="136" t="str">
        <f>IF(SER_hh_tes!W17=0,"",SER_hh_tes!W17/SER_hh_fec!W17)</f>
        <v/>
      </c>
      <c r="X17" s="136" t="str">
        <f>IF(SER_hh_tes!X17=0,"",SER_hh_tes!X17/SER_hh_fec!X17)</f>
        <v/>
      </c>
      <c r="Y17" s="136" t="str">
        <f>IF(SER_hh_tes!Y17=0,"",SER_hh_tes!Y17/SER_hh_fec!Y17)</f>
        <v/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1.9433822954868891</v>
      </c>
      <c r="C18" s="136">
        <f>IF(SER_hh_tes!C18=0,"",SER_hh_tes!C18/SER_hh_fec!C18)</f>
        <v>2.0117266370451117</v>
      </c>
      <c r="D18" s="136">
        <f>IF(SER_hh_tes!D18=0,"",SER_hh_tes!D18/SER_hh_fec!D18)</f>
        <v>2.0958180883474333</v>
      </c>
      <c r="E18" s="136">
        <f>IF(SER_hh_tes!E18=0,"",SER_hh_tes!E18/SER_hh_fec!E18)</f>
        <v>2.1880720532856843</v>
      </c>
      <c r="F18" s="136">
        <f>IF(SER_hh_tes!F18=0,"",SER_hh_tes!F18/SER_hh_fec!F18)</f>
        <v>2.3030800048880051</v>
      </c>
      <c r="G18" s="136">
        <f>IF(SER_hh_tes!G18=0,"",SER_hh_tes!G18/SER_hh_fec!G18)</f>
        <v>2.4331563206716598</v>
      </c>
      <c r="H18" s="136">
        <f>IF(SER_hh_tes!H18=0,"",SER_hh_tes!H18/SER_hh_fec!H18)</f>
        <v>2.5873891339507029</v>
      </c>
      <c r="I18" s="136">
        <f>IF(SER_hh_tes!I18=0,"",SER_hh_tes!I18/SER_hh_fec!I18)</f>
        <v>2.7760028258702691</v>
      </c>
      <c r="J18" s="136">
        <f>IF(SER_hh_tes!J18=0,"",SER_hh_tes!J18/SER_hh_fec!J18)</f>
        <v>3.0022740292728245</v>
      </c>
      <c r="K18" s="136">
        <f>IF(SER_hh_tes!K18=0,"",SER_hh_tes!K18/SER_hh_fec!K18)</f>
        <v>3.0586417980517977</v>
      </c>
      <c r="L18" s="136">
        <f>IF(SER_hh_tes!L18=0,"",SER_hh_tes!L18/SER_hh_fec!L18)</f>
        <v>3.1454745542697009</v>
      </c>
      <c r="M18" s="136">
        <f>IF(SER_hh_tes!M18=0,"",SER_hh_tes!M18/SER_hh_fec!M18)</f>
        <v>3.2700625686786435</v>
      </c>
      <c r="N18" s="136">
        <f>IF(SER_hh_tes!N18=0,"",SER_hh_tes!N18/SER_hh_fec!N18)</f>
        <v>3.4020058937835183</v>
      </c>
      <c r="O18" s="136">
        <f>IF(SER_hh_tes!O18=0,"",SER_hh_tes!O18/SER_hh_fec!O18)</f>
        <v>3.5436614545294933</v>
      </c>
      <c r="P18" s="136">
        <f>IF(SER_hh_tes!P18=0,"",SER_hh_tes!P18/SER_hh_fec!P18)</f>
        <v>3.6943745585749235</v>
      </c>
      <c r="Q18" s="136">
        <f>IF(SER_hh_tes!Q18=0,"",SER_hh_tes!Q18/SER_hh_fec!Q18)</f>
        <v>3.8502206142451256</v>
      </c>
      <c r="R18" s="136">
        <f>IF(SER_hh_tes!R18=0,"",SER_hh_tes!R18/SER_hh_fec!R18)</f>
        <v>4.0169641022061704</v>
      </c>
      <c r="S18" s="136">
        <f>IF(SER_hh_tes!S18=0,"",SER_hh_tes!S18/SER_hh_fec!S18)</f>
        <v>4.1786713838030591</v>
      </c>
      <c r="T18" s="136">
        <f>IF(SER_hh_tes!T18=0,"",SER_hh_tes!T18/SER_hh_fec!T18)</f>
        <v>4.3120634823423423</v>
      </c>
      <c r="U18" s="136">
        <f>IF(SER_hh_tes!U18=0,"",SER_hh_tes!U18/SER_hh_fec!U18)</f>
        <v>4.4160179414211118</v>
      </c>
      <c r="V18" s="136">
        <f>IF(SER_hh_tes!V18=0,"",SER_hh_tes!V18/SER_hh_fec!V18)</f>
        <v>4.5242044432501718</v>
      </c>
      <c r="W18" s="136">
        <f>IF(SER_hh_tes!W18=0,"",SER_hh_tes!W18/SER_hh_fec!W18)</f>
        <v>4.6224099967097567</v>
      </c>
      <c r="X18" s="136">
        <f>IF(SER_hh_tes!X18=0,"",SER_hh_tes!X18/SER_hh_fec!X18)</f>
        <v>4.7020395088518905</v>
      </c>
      <c r="Y18" s="136">
        <f>IF(SER_hh_tes!Y18=0,"",SER_hh_tes!Y18/SER_hh_fec!Y18)</f>
        <v>4.765293547579895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0.6468135384957906</v>
      </c>
      <c r="C19" s="135">
        <f>IF(SER_hh_tes!C19=0,"",SER_hh_tes!C19/SER_hh_fec!C19)</f>
        <v>0.64891327553149214</v>
      </c>
      <c r="D19" s="135">
        <f>IF(SER_hh_tes!D19=0,"",SER_hh_tes!D19/SER_hh_fec!D19)</f>
        <v>0.65234317073446546</v>
      </c>
      <c r="E19" s="135">
        <f>IF(SER_hh_tes!E19=0,"",SER_hh_tes!E19/SER_hh_fec!E19)</f>
        <v>0.65597544811044306</v>
      </c>
      <c r="F19" s="135">
        <f>IF(SER_hh_tes!F19=0,"",SER_hh_tes!F19/SER_hh_fec!F19)</f>
        <v>0.66458835154903217</v>
      </c>
      <c r="G19" s="135">
        <f>IF(SER_hh_tes!G19=0,"",SER_hh_tes!G19/SER_hh_fec!G19)</f>
        <v>0.68051743033152057</v>
      </c>
      <c r="H19" s="135">
        <f>IF(SER_hh_tes!H19=0,"",SER_hh_tes!H19/SER_hh_fec!H19)</f>
        <v>0.68536883267197535</v>
      </c>
      <c r="I19" s="135">
        <f>IF(SER_hh_tes!I19=0,"",SER_hh_tes!I19/SER_hh_fec!I19)</f>
        <v>0.69040975348297617</v>
      </c>
      <c r="J19" s="135">
        <f>IF(SER_hh_tes!J19=0,"",SER_hh_tes!J19/SER_hh_fec!J19)</f>
        <v>0.69598090298127968</v>
      </c>
      <c r="K19" s="135">
        <f>IF(SER_hh_tes!K19=0,"",SER_hh_tes!K19/SER_hh_fec!K19)</f>
        <v>0.70568103271816984</v>
      </c>
      <c r="L19" s="135">
        <f>IF(SER_hh_tes!L19=0,"",SER_hh_tes!L19/SER_hh_fec!L19)</f>
        <v>0.71038445570789743</v>
      </c>
      <c r="M19" s="135">
        <f>IF(SER_hh_tes!M19=0,"",SER_hh_tes!M19/SER_hh_fec!M19)</f>
        <v>0.71571743838591084</v>
      </c>
      <c r="N19" s="135">
        <f>IF(SER_hh_tes!N19=0,"",SER_hh_tes!N19/SER_hh_fec!N19)</f>
        <v>0.72084307541792947</v>
      </c>
      <c r="O19" s="135">
        <f>IF(SER_hh_tes!O19=0,"",SER_hh_tes!O19/SER_hh_fec!O19)</f>
        <v>0.72746550988883629</v>
      </c>
      <c r="P19" s="135">
        <f>IF(SER_hh_tes!P19=0,"",SER_hh_tes!P19/SER_hh_fec!P19)</f>
        <v>0.73285038624992005</v>
      </c>
      <c r="Q19" s="135">
        <f>IF(SER_hh_tes!Q19=0,"",SER_hh_tes!Q19/SER_hh_fec!Q19)</f>
        <v>0.73513566888773618</v>
      </c>
      <c r="R19" s="135">
        <f>IF(SER_hh_tes!R19=0,"",SER_hh_tes!R19/SER_hh_fec!R19)</f>
        <v>0.74553373451145555</v>
      </c>
      <c r="S19" s="135">
        <f>IF(SER_hh_tes!S19=0,"",SER_hh_tes!S19/SER_hh_fec!S19)</f>
        <v>0.75263423949446451</v>
      </c>
      <c r="T19" s="135">
        <f>IF(SER_hh_tes!T19=0,"",SER_hh_tes!T19/SER_hh_fec!T19)</f>
        <v>0.7649878592587197</v>
      </c>
      <c r="U19" s="135">
        <f>IF(SER_hh_tes!U19=0,"",SER_hh_tes!U19/SER_hh_fec!U19)</f>
        <v>0.77576293534906005</v>
      </c>
      <c r="V19" s="135">
        <f>IF(SER_hh_tes!V19=0,"",SER_hh_tes!V19/SER_hh_fec!V19)</f>
        <v>0.78337078369950075</v>
      </c>
      <c r="W19" s="135">
        <f>IF(SER_hh_tes!W19=0,"",SER_hh_tes!W19/SER_hh_fec!W19)</f>
        <v>0.80175429040517121</v>
      </c>
      <c r="X19" s="135">
        <f>IF(SER_hh_tes!X19=0,"",SER_hh_tes!X19/SER_hh_fec!X19)</f>
        <v>0.81367924416989568</v>
      </c>
      <c r="Y19" s="135">
        <f>IF(SER_hh_tes!Y19=0,"",SER_hh_tes!Y19/SER_hh_fec!Y19)</f>
        <v>0.82906459560729595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 t="str">
        <f>IF(SER_hh_tes!B21=0,"",SER_hh_tes!B21/SER_hh_fec!B21)</f>
        <v/>
      </c>
      <c r="C21" s="136" t="str">
        <f>IF(SER_hh_tes!C21=0,"",SER_hh_tes!C21/SER_hh_fec!C21)</f>
        <v/>
      </c>
      <c r="D21" s="136" t="str">
        <f>IF(SER_hh_tes!D21=0,"",SER_hh_tes!D21/SER_hh_fec!D21)</f>
        <v/>
      </c>
      <c r="E21" s="136" t="str">
        <f>IF(SER_hh_tes!E21=0,"",SER_hh_tes!E21/SER_hh_fec!E21)</f>
        <v/>
      </c>
      <c r="F21" s="136" t="str">
        <f>IF(SER_hh_tes!F21=0,"",SER_hh_tes!F21/SER_hh_fec!F21)</f>
        <v/>
      </c>
      <c r="G21" s="136" t="str">
        <f>IF(SER_hh_tes!G21=0,"",SER_hh_tes!G21/SER_hh_fec!G21)</f>
        <v/>
      </c>
      <c r="H21" s="136" t="str">
        <f>IF(SER_hh_tes!H21=0,"",SER_hh_tes!H21/SER_hh_fec!H21)</f>
        <v/>
      </c>
      <c r="I21" s="136" t="str">
        <f>IF(SER_hh_tes!I21=0,"",SER_hh_tes!I21/SER_hh_fec!I21)</f>
        <v/>
      </c>
      <c r="J21" s="136" t="str">
        <f>IF(SER_hh_tes!J21=0,"",SER_hh_tes!J21/SER_hh_fec!J21)</f>
        <v/>
      </c>
      <c r="K21" s="136" t="str">
        <f>IF(SER_hh_tes!K21=0,"",SER_hh_tes!K21/SER_hh_fec!K21)</f>
        <v/>
      </c>
      <c r="L21" s="136" t="str">
        <f>IF(SER_hh_tes!L21=0,"",SER_hh_tes!L21/SER_hh_fec!L21)</f>
        <v/>
      </c>
      <c r="M21" s="136" t="str">
        <f>IF(SER_hh_tes!M21=0,"",SER_hh_tes!M21/SER_hh_fec!M21)</f>
        <v/>
      </c>
      <c r="N21" s="136" t="str">
        <f>IF(SER_hh_tes!N21=0,"",SER_hh_tes!N21/SER_hh_fec!N21)</f>
        <v/>
      </c>
      <c r="O21" s="136" t="str">
        <f>IF(SER_hh_tes!O21=0,"",SER_hh_tes!O21/SER_hh_fec!O21)</f>
        <v/>
      </c>
      <c r="P21" s="136" t="str">
        <f>IF(SER_hh_tes!P21=0,"",SER_hh_tes!P21/SER_hh_fec!P21)</f>
        <v/>
      </c>
      <c r="Q21" s="136" t="str">
        <f>IF(SER_hh_tes!Q21=0,"",SER_hh_tes!Q21/SER_hh_fec!Q21)</f>
        <v/>
      </c>
      <c r="R21" s="136" t="str">
        <f>IF(SER_hh_tes!R21=0,"",SER_hh_tes!R21/SER_hh_fec!R21)</f>
        <v/>
      </c>
      <c r="S21" s="136" t="str">
        <f>IF(SER_hh_tes!S21=0,"",SER_hh_tes!S21/SER_hh_fec!S21)</f>
        <v/>
      </c>
      <c r="T21" s="136" t="str">
        <f>IF(SER_hh_tes!T21=0,"",SER_hh_tes!T21/SER_hh_fec!T21)</f>
        <v/>
      </c>
      <c r="U21" s="136" t="str">
        <f>IF(SER_hh_tes!U21=0,"",SER_hh_tes!U21/SER_hh_fec!U21)</f>
        <v/>
      </c>
      <c r="V21" s="136" t="str">
        <f>IF(SER_hh_tes!V21=0,"",SER_hh_tes!V21/SER_hh_fec!V21)</f>
        <v/>
      </c>
      <c r="W21" s="136" t="str">
        <f>IF(SER_hh_tes!W21=0,"",SER_hh_tes!W21/SER_hh_fec!W21)</f>
        <v/>
      </c>
      <c r="X21" s="136" t="str">
        <f>IF(SER_hh_tes!X21=0,"",SER_hh_tes!X21/SER_hh_fec!X21)</f>
        <v/>
      </c>
      <c r="Y21" s="136" t="str">
        <f>IF(SER_hh_tes!Y21=0,"",SER_hh_tes!Y21/SER_hh_fec!Y21)</f>
        <v/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0.50160201060853016</v>
      </c>
      <c r="C22" s="136">
        <f>IF(SER_hh_tes!C22=0,"",SER_hh_tes!C22/SER_hh_fec!C22)</f>
        <v>0.50287095635382273</v>
      </c>
      <c r="D22" s="136">
        <f>IF(SER_hh_tes!D22=0,"",SER_hh_tes!D22/SER_hh_fec!D22)</f>
        <v>0.50386577162490098</v>
      </c>
      <c r="E22" s="136">
        <f>IF(SER_hh_tes!E22=0,"",SER_hh_tes!E22/SER_hh_fec!E22)</f>
        <v>0.50432169760929557</v>
      </c>
      <c r="F22" s="136">
        <f>IF(SER_hh_tes!F22=0,"",SER_hh_tes!F22/SER_hh_fec!F22)</f>
        <v>0.50458029038018581</v>
      </c>
      <c r="G22" s="136">
        <f>IF(SER_hh_tes!G22=0,"",SER_hh_tes!G22/SER_hh_fec!G22)</f>
        <v>0.50481966858596394</v>
      </c>
      <c r="H22" s="136">
        <f>IF(SER_hh_tes!H22=0,"",SER_hh_tes!H22/SER_hh_fec!H22)</f>
        <v>0.50484931407665479</v>
      </c>
      <c r="I22" s="136">
        <f>IF(SER_hh_tes!I22=0,"",SER_hh_tes!I22/SER_hh_fec!I22)</f>
        <v>0.50490836457633359</v>
      </c>
      <c r="J22" s="136">
        <f>IF(SER_hh_tes!J22=0,"",SER_hh_tes!J22/SER_hh_fec!J22)</f>
        <v>0.50496915334243087</v>
      </c>
      <c r="K22" s="136">
        <f>IF(SER_hh_tes!K22=0,"",SER_hh_tes!K22/SER_hh_fec!K22)</f>
        <v>0.5051670423579524</v>
      </c>
      <c r="L22" s="136">
        <f>IF(SER_hh_tes!L22=0,"",SER_hh_tes!L22/SER_hh_fec!L22)</f>
        <v>0.50542664443088514</v>
      </c>
      <c r="M22" s="136">
        <f>IF(SER_hh_tes!M22=0,"",SER_hh_tes!M22/SER_hh_fec!M22)</f>
        <v>0.52519180556333755</v>
      </c>
      <c r="N22" s="136">
        <f>IF(SER_hh_tes!N22=0,"",SER_hh_tes!N22/SER_hh_fec!N22)</f>
        <v>0.55703236826952574</v>
      </c>
      <c r="O22" s="136">
        <f>IF(SER_hh_tes!O22=0,"",SER_hh_tes!O22/SER_hh_fec!O22)</f>
        <v>0.58640825257287765</v>
      </c>
      <c r="P22" s="136">
        <f>IF(SER_hh_tes!P22=0,"",SER_hh_tes!P22/SER_hh_fec!P22)</f>
        <v>0.58910312383797003</v>
      </c>
      <c r="Q22" s="136">
        <f>IF(SER_hh_tes!Q22=0,"",SER_hh_tes!Q22/SER_hh_fec!Q22)</f>
        <v>0.60345637257819362</v>
      </c>
      <c r="R22" s="136">
        <f>IF(SER_hh_tes!R22=0,"",SER_hh_tes!R22/SER_hh_fec!R22)</f>
        <v>0.61805808862697165</v>
      </c>
      <c r="S22" s="136">
        <f>IF(SER_hh_tes!S22=0,"",SER_hh_tes!S22/SER_hh_fec!S22)</f>
        <v>0.63473343034775498</v>
      </c>
      <c r="T22" s="136">
        <f>IF(SER_hh_tes!T22=0,"",SER_hh_tes!T22/SER_hh_fec!T22)</f>
        <v>0.64297339092143135</v>
      </c>
      <c r="U22" s="136">
        <f>IF(SER_hh_tes!U22=0,"",SER_hh_tes!U22/SER_hh_fec!U22)</f>
        <v>0.64465684472646068</v>
      </c>
      <c r="V22" s="136">
        <f>IF(SER_hh_tes!V22=0,"",SER_hh_tes!V22/SER_hh_fec!V22)</f>
        <v>0.64592356056407485</v>
      </c>
      <c r="W22" s="136">
        <f>IF(SER_hh_tes!W22=0,"",SER_hh_tes!W22/SER_hh_fec!W22)</f>
        <v>0.6473941846069311</v>
      </c>
      <c r="X22" s="136">
        <f>IF(SER_hh_tes!X22=0,"",SER_hh_tes!X22/SER_hh_fec!X22)</f>
        <v>0.64817908246461475</v>
      </c>
      <c r="Y22" s="136">
        <f>IF(SER_hh_tes!Y22=0,"",SER_hh_tes!Y22/SER_hh_fec!Y22)</f>
        <v>0.64909434646108932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0.51287168537376315</v>
      </c>
      <c r="C23" s="136">
        <f>IF(SER_hh_tes!C23=0,"",SER_hh_tes!C23/SER_hh_fec!C23)</f>
        <v>0.5194327775068921</v>
      </c>
      <c r="D23" s="136">
        <f>IF(SER_hh_tes!D23=0,"",SER_hh_tes!D23/SER_hh_fec!D23)</f>
        <v>0.53177466285069197</v>
      </c>
      <c r="E23" s="136">
        <f>IF(SER_hh_tes!E23=0,"",SER_hh_tes!E23/SER_hh_fec!E23)</f>
        <v>0.54146695754460261</v>
      </c>
      <c r="F23" s="136">
        <f>IF(SER_hh_tes!F23=0,"",SER_hh_tes!F23/SER_hh_fec!F23)</f>
        <v>0.55008715060425262</v>
      </c>
      <c r="G23" s="136">
        <f>IF(SER_hh_tes!G23=0,"",SER_hh_tes!G23/SER_hh_fec!G23)</f>
        <v>0.55857270061939912</v>
      </c>
      <c r="H23" s="136">
        <f>IF(SER_hh_tes!H23=0,"",SER_hh_tes!H23/SER_hh_fec!H23)</f>
        <v>0.56686534653221687</v>
      </c>
      <c r="I23" s="136">
        <f>IF(SER_hh_tes!I23=0,"",SER_hh_tes!I23/SER_hh_fec!I23)</f>
        <v>0.5728778799784281</v>
      </c>
      <c r="J23" s="136">
        <f>IF(SER_hh_tes!J23=0,"",SER_hh_tes!J23/SER_hh_fec!J23)</f>
        <v>0.57871725153700804</v>
      </c>
      <c r="K23" s="136">
        <f>IF(SER_hh_tes!K23=0,"",SER_hh_tes!K23/SER_hh_fec!K23)</f>
        <v>0.58364013429967809</v>
      </c>
      <c r="L23" s="136">
        <f>IF(SER_hh_tes!L23=0,"",SER_hh_tes!L23/SER_hh_fec!L23)</f>
        <v>0.58951199177984903</v>
      </c>
      <c r="M23" s="136">
        <f>IF(SER_hh_tes!M23=0,"",SER_hh_tes!M23/SER_hh_fec!M23)</f>
        <v>0.59579448034885329</v>
      </c>
      <c r="N23" s="136">
        <f>IF(SER_hh_tes!N23=0,"",SER_hh_tes!N23/SER_hh_fec!N23)</f>
        <v>0.60453765383850711</v>
      </c>
      <c r="O23" s="136">
        <f>IF(SER_hh_tes!O23=0,"",SER_hh_tes!O23/SER_hh_fec!O23)</f>
        <v>0.61485611367046522</v>
      </c>
      <c r="P23" s="136">
        <f>IF(SER_hh_tes!P23=0,"",SER_hh_tes!P23/SER_hh_fec!P23)</f>
        <v>0.62471529000279291</v>
      </c>
      <c r="Q23" s="136">
        <f>IF(SER_hh_tes!Q23=0,"",SER_hh_tes!Q23/SER_hh_fec!Q23)</f>
        <v>0.63103160773115918</v>
      </c>
      <c r="R23" s="136">
        <f>IF(SER_hh_tes!R23=0,"",SER_hh_tes!R23/SER_hh_fec!R23)</f>
        <v>0.63765593989929137</v>
      </c>
      <c r="S23" s="136">
        <f>IF(SER_hh_tes!S23=0,"",SER_hh_tes!S23/SER_hh_fec!S23)</f>
        <v>0.65283905088919247</v>
      </c>
      <c r="T23" s="136">
        <f>IF(SER_hh_tes!T23=0,"",SER_hh_tes!T23/SER_hh_fec!T23)</f>
        <v>0.67090968260496975</v>
      </c>
      <c r="U23" s="136">
        <f>IF(SER_hh_tes!U23=0,"",SER_hh_tes!U23/SER_hh_fec!U23)</f>
        <v>0.70426571003420158</v>
      </c>
      <c r="V23" s="136">
        <f>IF(SER_hh_tes!V23=0,"",SER_hh_tes!V23/SER_hh_fec!V23)</f>
        <v>0.72451390289880546</v>
      </c>
      <c r="W23" s="136">
        <f>IF(SER_hh_tes!W23=0,"",SER_hh_tes!W23/SER_hh_fec!W23)</f>
        <v>0.74157978516077694</v>
      </c>
      <c r="X23" s="136">
        <f>IF(SER_hh_tes!X23=0,"",SER_hh_tes!X23/SER_hh_fec!X23)</f>
        <v>0.75523372291009072</v>
      </c>
      <c r="Y23" s="136">
        <f>IF(SER_hh_tes!Y23=0,"",SER_hh_tes!Y23/SER_hh_fec!Y23)</f>
        <v>0.76424733466966155</v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0.76533178875224961</v>
      </c>
      <c r="C25" s="136">
        <f>IF(SER_hh_tes!C25=0,"",SER_hh_tes!C25/SER_hh_fec!C25)</f>
        <v>0.76754064719167603</v>
      </c>
      <c r="D25" s="136">
        <f>IF(SER_hh_tes!D25=0,"",SER_hh_tes!D25/SER_hh_fec!D25)</f>
        <v>0.77000495719652629</v>
      </c>
      <c r="E25" s="136">
        <f>IF(SER_hh_tes!E25=0,"",SER_hh_tes!E25/SER_hh_fec!E25)</f>
        <v>0.77290362504965104</v>
      </c>
      <c r="F25" s="136">
        <f>IF(SER_hh_tes!F25=0,"",SER_hh_tes!F25/SER_hh_fec!F25)</f>
        <v>0.77635059173734111</v>
      </c>
      <c r="G25" s="136">
        <f>IF(SER_hh_tes!G25=0,"",SER_hh_tes!G25/SER_hh_fec!G25)</f>
        <v>0.77972571704082505</v>
      </c>
      <c r="H25" s="136">
        <f>IF(SER_hh_tes!H25=0,"",SER_hh_tes!H25/SER_hh_fec!H25)</f>
        <v>0.78301792031260387</v>
      </c>
      <c r="I25" s="136">
        <f>IF(SER_hh_tes!I25=0,"",SER_hh_tes!I25/SER_hh_fec!I25)</f>
        <v>0.78584865071275556</v>
      </c>
      <c r="J25" s="136">
        <f>IF(SER_hh_tes!J25=0,"",SER_hh_tes!J25/SER_hh_fec!J25)</f>
        <v>0.78859566500702449</v>
      </c>
      <c r="K25" s="136">
        <f>IF(SER_hh_tes!K25=0,"",SER_hh_tes!K25/SER_hh_fec!K25)</f>
        <v>0.79158058483190941</v>
      </c>
      <c r="L25" s="136">
        <f>IF(SER_hh_tes!L25=0,"",SER_hh_tes!L25/SER_hh_fec!L25)</f>
        <v>0.79496503458975643</v>
      </c>
      <c r="M25" s="136">
        <f>IF(SER_hh_tes!M25=0,"",SER_hh_tes!M25/SER_hh_fec!M25)</f>
        <v>0.79875358161578713</v>
      </c>
      <c r="N25" s="136">
        <f>IF(SER_hh_tes!N25=0,"",SER_hh_tes!N25/SER_hh_fec!N25)</f>
        <v>0.80299486332747072</v>
      </c>
      <c r="O25" s="136">
        <f>IF(SER_hh_tes!O25=0,"",SER_hh_tes!O25/SER_hh_fec!O25)</f>
        <v>0.80728570271246958</v>
      </c>
      <c r="P25" s="136">
        <f>IF(SER_hh_tes!P25=0,"",SER_hh_tes!P25/SER_hh_fec!P25)</f>
        <v>0.80922957456073741</v>
      </c>
      <c r="Q25" s="136">
        <f>IF(SER_hh_tes!Q25=0,"",SER_hh_tes!Q25/SER_hh_fec!Q25)</f>
        <v>0.81204869060011764</v>
      </c>
      <c r="R25" s="136">
        <f>IF(SER_hh_tes!R25=0,"",SER_hh_tes!R25/SER_hh_fec!R25)</f>
        <v>0.81602571355090459</v>
      </c>
      <c r="S25" s="136">
        <f>IF(SER_hh_tes!S25=0,"",SER_hh_tes!S25/SER_hh_fec!S25)</f>
        <v>0.82027636593797304</v>
      </c>
      <c r="T25" s="136">
        <f>IF(SER_hh_tes!T25=0,"",SER_hh_tes!T25/SER_hh_fec!T25)</f>
        <v>0.82471747962886655</v>
      </c>
      <c r="U25" s="136">
        <f>IF(SER_hh_tes!U25=0,"",SER_hh_tes!U25/SER_hh_fec!U25)</f>
        <v>0.8292955305076678</v>
      </c>
      <c r="V25" s="136">
        <f>IF(SER_hh_tes!V25=0,"",SER_hh_tes!V25/SER_hh_fec!V25)</f>
        <v>0.83485700363556448</v>
      </c>
      <c r="W25" s="136">
        <f>IF(SER_hh_tes!W25=0,"",SER_hh_tes!W25/SER_hh_fec!W25)</f>
        <v>0.84117776065128846</v>
      </c>
      <c r="X25" s="136">
        <f>IF(SER_hh_tes!X25=0,"",SER_hh_tes!X25/SER_hh_fec!X25)</f>
        <v>0.84742368187134498</v>
      </c>
      <c r="Y25" s="136">
        <f>IF(SER_hh_tes!Y25=0,"",SER_hh_tes!Y25/SER_hh_fec!Y25)</f>
        <v>0.85256907655244629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0.63647010094404588</v>
      </c>
      <c r="C26" s="137">
        <f>IF(SER_hh_tes!C26=0,"",SER_hh_tes!C26/SER_hh_fec!C26)</f>
        <v>0.63852052868194498</v>
      </c>
      <c r="D26" s="137">
        <f>IF(SER_hh_tes!D26=0,"",SER_hh_tes!D26/SER_hh_fec!D26)</f>
        <v>0.64071843783198212</v>
      </c>
      <c r="E26" s="137">
        <f>IF(SER_hh_tes!E26=0,"",SER_hh_tes!E26/SER_hh_fec!E26)</f>
        <v>0.64299037915297064</v>
      </c>
      <c r="F26" s="137">
        <f>IF(SER_hh_tes!F26=0,"",SER_hh_tes!F26/SER_hh_fec!F26)</f>
        <v>0.6453861301319811</v>
      </c>
      <c r="G26" s="137">
        <f>IF(SER_hh_tes!G26=0,"",SER_hh_tes!G26/SER_hh_fec!G26)</f>
        <v>0.64823242604508302</v>
      </c>
      <c r="H26" s="137">
        <f>IF(SER_hh_tes!H26=0,"",SER_hh_tes!H26/SER_hh_fec!H26)</f>
        <v>0.65100816205516876</v>
      </c>
      <c r="I26" s="137">
        <f>IF(SER_hh_tes!I26=0,"",SER_hh_tes!I26/SER_hh_fec!I26)</f>
        <v>0.65461352920179616</v>
      </c>
      <c r="J26" s="137">
        <f>IF(SER_hh_tes!J26=0,"",SER_hh_tes!J26/SER_hh_fec!J26)</f>
        <v>0.65828944822394508</v>
      </c>
      <c r="K26" s="137">
        <f>IF(SER_hh_tes!K26=0,"",SER_hh_tes!K26/SER_hh_fec!K26)</f>
        <v>0.66238633450138629</v>
      </c>
      <c r="L26" s="137">
        <f>IF(SER_hh_tes!L26=0,"",SER_hh_tes!L26/SER_hh_fec!L26)</f>
        <v>0.66626742965997943</v>
      </c>
      <c r="M26" s="137">
        <f>IF(SER_hh_tes!M26=0,"",SER_hh_tes!M26/SER_hh_fec!M26)</f>
        <v>0.67035685076558293</v>
      </c>
      <c r="N26" s="137">
        <f>IF(SER_hh_tes!N26=0,"",SER_hh_tes!N26/SER_hh_fec!N26)</f>
        <v>0.67546398130320717</v>
      </c>
      <c r="O26" s="137">
        <f>IF(SER_hh_tes!O26=0,"",SER_hh_tes!O26/SER_hh_fec!O26)</f>
        <v>0.68252326937282748</v>
      </c>
      <c r="P26" s="137">
        <f>IF(SER_hh_tes!P26=0,"",SER_hh_tes!P26/SER_hh_fec!P26)</f>
        <v>0.68681426772049381</v>
      </c>
      <c r="Q26" s="137">
        <f>IF(SER_hh_tes!Q26=0,"",SER_hh_tes!Q26/SER_hh_fec!Q26)</f>
        <v>0.69254771674386673</v>
      </c>
      <c r="R26" s="137">
        <f>IF(SER_hh_tes!R26=0,"",SER_hh_tes!R26/SER_hh_fec!R26)</f>
        <v>0.70010072638368237</v>
      </c>
      <c r="S26" s="137">
        <f>IF(SER_hh_tes!S26=0,"",SER_hh_tes!S26/SER_hh_fec!S26)</f>
        <v>0.71443997284935934</v>
      </c>
      <c r="T26" s="137">
        <f>IF(SER_hh_tes!T26=0,"",SER_hh_tes!T26/SER_hh_fec!T26)</f>
        <v>0.73155449002546591</v>
      </c>
      <c r="U26" s="137">
        <f>IF(SER_hh_tes!U26=0,"",SER_hh_tes!U26/SER_hh_fec!U26)</f>
        <v>0.75117544558556193</v>
      </c>
      <c r="V26" s="137">
        <f>IF(SER_hh_tes!V26=0,"",SER_hh_tes!V26/SER_hh_fec!V26)</f>
        <v>0.77032201644299003</v>
      </c>
      <c r="W26" s="137">
        <f>IF(SER_hh_tes!W26=0,"",SER_hh_tes!W26/SER_hh_fec!W26)</f>
        <v>0.78825650015349702</v>
      </c>
      <c r="X26" s="137">
        <f>IF(SER_hh_tes!X26=0,"",SER_hh_tes!X26/SER_hh_fec!X26)</f>
        <v>0.80598370118146967</v>
      </c>
      <c r="Y26" s="137">
        <f>IF(SER_hh_tes!Y26=0,"",SER_hh_tes!Y26/SER_hh_fec!Y26)</f>
        <v>0.82832143132697456</v>
      </c>
      <c r="DA26" s="164" t="s">
        <v>351</v>
      </c>
    </row>
    <row r="27" spans="1:105" ht="12" customHeight="1" x14ac:dyDescent="0.25">
      <c r="A27" s="144" t="s">
        <v>26</v>
      </c>
      <c r="B27" s="153" t="str">
        <f>IF(SER_hh_tes!B27=0,"",SER_hh_tes!B27/SER_hh_fec!B27)</f>
        <v/>
      </c>
      <c r="C27" s="153" t="str">
        <f>IF(SER_hh_tes!C27=0,"",SER_hh_tes!C27/SER_hh_fec!C27)</f>
        <v/>
      </c>
      <c r="D27" s="153" t="str">
        <f>IF(SER_hh_tes!D27=0,"",SER_hh_tes!D27/SER_hh_fec!D27)</f>
        <v/>
      </c>
      <c r="E27" s="153" t="str">
        <f>IF(SER_hh_tes!E27=0,"",SER_hh_tes!E27/SER_hh_fec!E27)</f>
        <v/>
      </c>
      <c r="F27" s="153" t="str">
        <f>IF(SER_hh_tes!F27=0,"",SER_hh_tes!F27/SER_hh_fec!F27)</f>
        <v/>
      </c>
      <c r="G27" s="153" t="str">
        <f>IF(SER_hh_tes!G27=0,"",SER_hh_tes!G27/SER_hh_fec!G27)</f>
        <v/>
      </c>
      <c r="H27" s="153" t="str">
        <f>IF(SER_hh_tes!H27=0,"",SER_hh_tes!H27/SER_hh_fec!H27)</f>
        <v/>
      </c>
      <c r="I27" s="153" t="str">
        <f>IF(SER_hh_tes!I27=0,"",SER_hh_tes!I27/SER_hh_fec!I27)</f>
        <v/>
      </c>
      <c r="J27" s="153" t="str">
        <f>IF(SER_hh_tes!J27=0,"",SER_hh_tes!J27/SER_hh_fec!J27)</f>
        <v/>
      </c>
      <c r="K27" s="153" t="str">
        <f>IF(SER_hh_tes!K27=0,"",SER_hh_tes!K27/SER_hh_fec!K27)</f>
        <v/>
      </c>
      <c r="L27" s="153" t="str">
        <f>IF(SER_hh_tes!L27=0,"",SER_hh_tes!L27/SER_hh_fec!L27)</f>
        <v/>
      </c>
      <c r="M27" s="153" t="str">
        <f>IF(SER_hh_tes!M27=0,"",SER_hh_tes!M27/SER_hh_fec!M27)</f>
        <v/>
      </c>
      <c r="N27" s="153" t="str">
        <f>IF(SER_hh_tes!N27=0,"",SER_hh_tes!N27/SER_hh_fec!N27)</f>
        <v/>
      </c>
      <c r="O27" s="153" t="str">
        <f>IF(SER_hh_tes!O27=0,"",SER_hh_tes!O27/SER_hh_fec!O27)</f>
        <v/>
      </c>
      <c r="P27" s="153" t="str">
        <f>IF(SER_hh_tes!P27=0,"",SER_hh_tes!P27/SER_hh_fec!P27)</f>
        <v/>
      </c>
      <c r="Q27" s="153" t="str">
        <f>IF(SER_hh_tes!Q27=0,"",SER_hh_tes!Q27/SER_hh_fec!Q27)</f>
        <v/>
      </c>
      <c r="R27" s="153" t="str">
        <f>IF(SER_hh_tes!R27=0,"",SER_hh_tes!R27/SER_hh_fec!R27)</f>
        <v/>
      </c>
      <c r="S27" s="153" t="str">
        <f>IF(SER_hh_tes!S27=0,"",SER_hh_tes!S27/SER_hh_fec!S27)</f>
        <v/>
      </c>
      <c r="T27" s="153" t="str">
        <f>IF(SER_hh_tes!T27=0,"",SER_hh_tes!T27/SER_hh_fec!T27)</f>
        <v/>
      </c>
      <c r="U27" s="153" t="str">
        <f>IF(SER_hh_tes!U27=0,"",SER_hh_tes!U27/SER_hh_fec!U27)</f>
        <v/>
      </c>
      <c r="V27" s="153" t="str">
        <f>IF(SER_hh_tes!V27=0,"",SER_hh_tes!V27/SER_hh_fec!V27)</f>
        <v/>
      </c>
      <c r="W27" s="153" t="str">
        <f>IF(SER_hh_tes!W27=0,"",SER_hh_tes!W27/SER_hh_fec!W27)</f>
        <v/>
      </c>
      <c r="X27" s="153" t="str">
        <f>IF(SER_hh_tes!X27=0,"",SER_hh_tes!X27/SER_hh_fec!X27)</f>
        <v/>
      </c>
      <c r="Y27" s="153" t="str">
        <f>IF(SER_hh_tes!Y27=0,"",SER_hh_tes!Y27/SER_hh_fec!Y27)</f>
        <v/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0.78091432888983969</v>
      </c>
      <c r="C29" s="135">
        <f>IF(SER_hh_tes!C29=0,"",SER_hh_tes!C29/SER_hh_fec!C29)</f>
        <v>0.77430261263302458</v>
      </c>
      <c r="D29" s="135">
        <f>IF(SER_hh_tes!D29=0,"",SER_hh_tes!D29/SER_hh_fec!D29)</f>
        <v>0.7824242168140787</v>
      </c>
      <c r="E29" s="135">
        <f>IF(SER_hh_tes!E29=0,"",SER_hh_tes!E29/SER_hh_fec!E29)</f>
        <v>0.7907634738134357</v>
      </c>
      <c r="F29" s="135">
        <f>IF(SER_hh_tes!F29=0,"",SER_hh_tes!F29/SER_hh_fec!F29)</f>
        <v>0.79613132005494625</v>
      </c>
      <c r="G29" s="135">
        <f>IF(SER_hh_tes!G29=0,"",SER_hh_tes!G29/SER_hh_fec!G29)</f>
        <v>0.79805148760520594</v>
      </c>
      <c r="H29" s="135">
        <f>IF(SER_hh_tes!H29=0,"",SER_hh_tes!H29/SER_hh_fec!H29)</f>
        <v>0.78149544628348044</v>
      </c>
      <c r="I29" s="135">
        <f>IF(SER_hh_tes!I29=0,"",SER_hh_tes!I29/SER_hh_fec!I29)</f>
        <v>0.76595304299264677</v>
      </c>
      <c r="J29" s="135">
        <f>IF(SER_hh_tes!J29=0,"",SER_hh_tes!J29/SER_hh_fec!J29)</f>
        <v>0.77350573245489207</v>
      </c>
      <c r="K29" s="135">
        <f>IF(SER_hh_tes!K29=0,"",SER_hh_tes!K29/SER_hh_fec!K29)</f>
        <v>0.79513665869348804</v>
      </c>
      <c r="L29" s="135">
        <f>IF(SER_hh_tes!L29=0,"",SER_hh_tes!L29/SER_hh_fec!L29)</f>
        <v>0.77995748376320007</v>
      </c>
      <c r="M29" s="135">
        <f>IF(SER_hh_tes!M29=0,"",SER_hh_tes!M29/SER_hh_fec!M29)</f>
        <v>0.78619457750985933</v>
      </c>
      <c r="N29" s="135">
        <f>IF(SER_hh_tes!N29=0,"",SER_hh_tes!N29/SER_hh_fec!N29)</f>
        <v>0.8216421750031071</v>
      </c>
      <c r="O29" s="135">
        <f>IF(SER_hh_tes!O29=0,"",SER_hh_tes!O29/SER_hh_fec!O29)</f>
        <v>0.82300372725434123</v>
      </c>
      <c r="P29" s="135">
        <f>IF(SER_hh_tes!P29=0,"",SER_hh_tes!P29/SER_hh_fec!P29)</f>
        <v>0.82401302613788863</v>
      </c>
      <c r="Q29" s="135">
        <f>IF(SER_hh_tes!Q29=0,"",SER_hh_tes!Q29/SER_hh_fec!Q29)</f>
        <v>0.83523814026333298</v>
      </c>
      <c r="R29" s="135">
        <f>IF(SER_hh_tes!R29=0,"",SER_hh_tes!R29/SER_hh_fec!R29)</f>
        <v>0.83813023189309543</v>
      </c>
      <c r="S29" s="135">
        <f>IF(SER_hh_tes!S29=0,"",SER_hh_tes!S29/SER_hh_fec!S29)</f>
        <v>0.84452313121283584</v>
      </c>
      <c r="T29" s="135">
        <f>IF(SER_hh_tes!T29=0,"",SER_hh_tes!T29/SER_hh_fec!T29)</f>
        <v>0.84911093858754005</v>
      </c>
      <c r="U29" s="135">
        <f>IF(SER_hh_tes!U29=0,"",SER_hh_tes!U29/SER_hh_fec!U29)</f>
        <v>0.85473213673378556</v>
      </c>
      <c r="V29" s="135">
        <f>IF(SER_hh_tes!V29=0,"",SER_hh_tes!V29/SER_hh_fec!V29)</f>
        <v>0.86311737360302832</v>
      </c>
      <c r="W29" s="135">
        <f>IF(SER_hh_tes!W29=0,"",SER_hh_tes!W29/SER_hh_fec!W29)</f>
        <v>0.87105671602704804</v>
      </c>
      <c r="X29" s="135">
        <f>IF(SER_hh_tes!X29=0,"",SER_hh_tes!X29/SER_hh_fec!X29)</f>
        <v>0.8786326445115008</v>
      </c>
      <c r="Y29" s="135">
        <f>IF(SER_hh_tes!Y29=0,"",SER_hh_tes!Y29/SER_hh_fec!Y29)</f>
        <v>0.88636332208408086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0.61752223764268732</v>
      </c>
      <c r="C30" s="136">
        <f>IF(SER_hh_tes!C30=0,"",SER_hh_tes!C30/SER_hh_fec!C30)</f>
        <v>0.61801685659315864</v>
      </c>
      <c r="D30" s="136">
        <f>IF(SER_hh_tes!D30=0,"",SER_hh_tes!D30/SER_hh_fec!D30)</f>
        <v>0.61850450491623532</v>
      </c>
      <c r="E30" s="136">
        <f>IF(SER_hh_tes!E30=0,"",SER_hh_tes!E30/SER_hh_fec!E30)</f>
        <v>0.6186265573723797</v>
      </c>
      <c r="F30" s="136">
        <f>IF(SER_hh_tes!F30=0,"",SER_hh_tes!F30/SER_hh_fec!F30)</f>
        <v>0.61907622414353214</v>
      </c>
      <c r="G30" s="136">
        <f>IF(SER_hh_tes!G30=0,"",SER_hh_tes!G30/SER_hh_fec!G30)</f>
        <v>0.62097587674199972</v>
      </c>
      <c r="H30" s="136">
        <f>IF(SER_hh_tes!H30=0,"",SER_hh_tes!H30/SER_hh_fec!H30)</f>
        <v>0.62296067408649758</v>
      </c>
      <c r="I30" s="136">
        <f>IF(SER_hh_tes!I30=0,"",SER_hh_tes!I30/SER_hh_fec!I30)</f>
        <v>0.62410385880034058</v>
      </c>
      <c r="J30" s="136">
        <f>IF(SER_hh_tes!J30=0,"",SER_hh_tes!J30/SER_hh_fec!J30)</f>
        <v>0.6247792786557731</v>
      </c>
      <c r="K30" s="136">
        <f>IF(SER_hh_tes!K30=0,"",SER_hh_tes!K30/SER_hh_fec!K30)</f>
        <v>0.62532009345304218</v>
      </c>
      <c r="L30" s="136">
        <f>IF(SER_hh_tes!L30=0,"",SER_hh_tes!L30/SER_hh_fec!L30)</f>
        <v>0.62574964525321242</v>
      </c>
      <c r="M30" s="136">
        <f>IF(SER_hh_tes!M30=0,"",SER_hh_tes!M30/SER_hh_fec!M30)</f>
        <v>0.62577576441486804</v>
      </c>
      <c r="N30" s="136">
        <f>IF(SER_hh_tes!N30=0,"",SER_hh_tes!N30/SER_hh_fec!N30)</f>
        <v>0.62579724293286254</v>
      </c>
      <c r="O30" s="136">
        <f>IF(SER_hh_tes!O30=0,"",SER_hh_tes!O30/SER_hh_fec!O30)</f>
        <v>0.62582850821140379</v>
      </c>
      <c r="P30" s="136">
        <f>IF(SER_hh_tes!P30=0,"",SER_hh_tes!P30/SER_hh_fec!P30)</f>
        <v>0.6258566639862666</v>
      </c>
      <c r="Q30" s="136">
        <f>IF(SER_hh_tes!Q30=0,"",SER_hh_tes!Q30/SER_hh_fec!Q30)</f>
        <v>0.62585742635094366</v>
      </c>
      <c r="R30" s="136">
        <f>IF(SER_hh_tes!R30=0,"",SER_hh_tes!R30/SER_hh_fec!R30)</f>
        <v>0.62587687513438128</v>
      </c>
      <c r="S30" s="136">
        <f>IF(SER_hh_tes!S30=0,"",SER_hh_tes!S30/SER_hh_fec!S30)</f>
        <v>0.62641014096327241</v>
      </c>
      <c r="T30" s="136">
        <f>IF(SER_hh_tes!T30=0,"",SER_hh_tes!T30/SER_hh_fec!T30)</f>
        <v>0.63096817421505114</v>
      </c>
      <c r="U30" s="136">
        <f>IF(SER_hh_tes!U30=0,"",SER_hh_tes!U30/SER_hh_fec!U30)</f>
        <v>0.6363175796188496</v>
      </c>
      <c r="V30" s="136">
        <f>IF(SER_hh_tes!V30=0,"",SER_hh_tes!V30/SER_hh_fec!V30)</f>
        <v>0.63916306197648309</v>
      </c>
      <c r="W30" s="136">
        <f>IF(SER_hh_tes!W30=0,"",SER_hh_tes!W30/SER_hh_fec!W30)</f>
        <v>0.639457018942438</v>
      </c>
      <c r="X30" s="136">
        <f>IF(SER_hh_tes!X30=0,"",SER_hh_tes!X30/SER_hh_fec!X30)</f>
        <v>0.64080122053298083</v>
      </c>
      <c r="Y30" s="136">
        <f>IF(SER_hh_tes!Y30=0,"",SER_hh_tes!Y30/SER_hh_fec!Y30)</f>
        <v>0.6410624251860384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0.62515911925752476</v>
      </c>
      <c r="C31" s="136">
        <f>IF(SER_hh_tes!C31=0,"",SER_hh_tes!C31/SER_hh_fec!C31)</f>
        <v>0.626065480953517</v>
      </c>
      <c r="D31" s="136">
        <f>IF(SER_hh_tes!D31=0,"",SER_hh_tes!D31/SER_hh_fec!D31)</f>
        <v>0.62701703635058126</v>
      </c>
      <c r="E31" s="136">
        <f>IF(SER_hh_tes!E31=0,"",SER_hh_tes!E31/SER_hh_fec!E31)</f>
        <v>0.6278472902601191</v>
      </c>
      <c r="F31" s="136">
        <f>IF(SER_hh_tes!F31=0,"",SER_hh_tes!F31/SER_hh_fec!F31)</f>
        <v>0.62856811190889783</v>
      </c>
      <c r="G31" s="136">
        <f>IF(SER_hh_tes!G31=0,"",SER_hh_tes!G31/SER_hh_fec!G31)</f>
        <v>0.62923474035902671</v>
      </c>
      <c r="H31" s="136">
        <f>IF(SER_hh_tes!H31=0,"",SER_hh_tes!H31/SER_hh_fec!H31)</f>
        <v>0.62989709208778422</v>
      </c>
      <c r="I31" s="136">
        <f>IF(SER_hh_tes!I31=0,"",SER_hh_tes!I31/SER_hh_fec!I31)</f>
        <v>0.63055634270942063</v>
      </c>
      <c r="J31" s="136">
        <f>IF(SER_hh_tes!J31=0,"",SER_hh_tes!J31/SER_hh_fec!J31)</f>
        <v>0.63122393455487014</v>
      </c>
      <c r="K31" s="136">
        <f>IF(SER_hh_tes!K31=0,"",SER_hh_tes!K31/SER_hh_fec!K31)</f>
        <v>0.63194320276990268</v>
      </c>
      <c r="L31" s="136">
        <f>IF(SER_hh_tes!L31=0,"",SER_hh_tes!L31/SER_hh_fec!L31)</f>
        <v>0.63246310496147085</v>
      </c>
      <c r="M31" s="136">
        <f>IF(SER_hh_tes!M31=0,"",SER_hh_tes!M31/SER_hh_fec!M31)</f>
        <v>0.63250676433928521</v>
      </c>
      <c r="N31" s="136">
        <f>IF(SER_hh_tes!N31=0,"",SER_hh_tes!N31/SER_hh_fec!N31)</f>
        <v>0.63266969113303329</v>
      </c>
      <c r="O31" s="136">
        <f>IF(SER_hh_tes!O31=0,"",SER_hh_tes!O31/SER_hh_fec!O31)</f>
        <v>0.63295963704238634</v>
      </c>
      <c r="P31" s="136">
        <f>IF(SER_hh_tes!P31=0,"",SER_hh_tes!P31/SER_hh_fec!P31)</f>
        <v>0.63325900058585205</v>
      </c>
      <c r="Q31" s="136">
        <f>IF(SER_hh_tes!Q31=0,"",SER_hh_tes!Q31/SER_hh_fec!Q31)</f>
        <v>0.63352426818728524</v>
      </c>
      <c r="R31" s="136">
        <f>IF(SER_hh_tes!R31=0,"",SER_hh_tes!R31/SER_hh_fec!R31)</f>
        <v>0.63385073447491791</v>
      </c>
      <c r="S31" s="136">
        <f>IF(SER_hh_tes!S31=0,"",SER_hh_tes!S31/SER_hh_fec!S31)</f>
        <v>0.63442041180115383</v>
      </c>
      <c r="T31" s="136">
        <f>IF(SER_hh_tes!T31=0,"",SER_hh_tes!T31/SER_hh_fec!T31)</f>
        <v>0.63515375044284794</v>
      </c>
      <c r="U31" s="136">
        <f>IF(SER_hh_tes!U31=0,"",SER_hh_tes!U31/SER_hh_fec!U31)</f>
        <v>0.6369592306996481</v>
      </c>
      <c r="V31" s="136">
        <f>IF(SER_hh_tes!V31=0,"",SER_hh_tes!V31/SER_hh_fec!V31)</f>
        <v>0.63822482677492165</v>
      </c>
      <c r="W31" s="136">
        <f>IF(SER_hh_tes!W31=0,"",SER_hh_tes!W31/SER_hh_fec!W31)</f>
        <v>0.63932356066398388</v>
      </c>
      <c r="X31" s="136">
        <f>IF(SER_hh_tes!X31=0,"",SER_hh_tes!X31/SER_hh_fec!X31)</f>
        <v>0.64029589372432905</v>
      </c>
      <c r="Y31" s="136">
        <f>IF(SER_hh_tes!Y31=0,"",SER_hh_tes!Y31/SER_hh_fec!Y31)</f>
        <v>0.64131473704593522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0.81710250503001924</v>
      </c>
      <c r="C33" s="149">
        <f>IF(SER_hh_tes!C33=0,"",SER_hh_tes!C33/SER_hh_fec!C33)</f>
        <v>0.81871654456146403</v>
      </c>
      <c r="D33" s="149">
        <f>IF(SER_hh_tes!D33=0,"",SER_hh_tes!D33/SER_hh_fec!D33)</f>
        <v>0.82038648348655852</v>
      </c>
      <c r="E33" s="149">
        <f>IF(SER_hh_tes!E33=0,"",SER_hh_tes!E33/SER_hh_fec!E33)</f>
        <v>0.82223799603928716</v>
      </c>
      <c r="F33" s="149">
        <f>IF(SER_hh_tes!F33=0,"",SER_hh_tes!F33/SER_hh_fec!F33)</f>
        <v>0.82405700042243202</v>
      </c>
      <c r="G33" s="149">
        <f>IF(SER_hh_tes!G33=0,"",SER_hh_tes!G33/SER_hh_fec!G33)</f>
        <v>0.82569119995542872</v>
      </c>
      <c r="H33" s="149">
        <f>IF(SER_hh_tes!H33=0,"",SER_hh_tes!H33/SER_hh_fec!H33)</f>
        <v>0.82727461950404257</v>
      </c>
      <c r="I33" s="149">
        <f>IF(SER_hh_tes!I33=0,"",SER_hh_tes!I33/SER_hh_fec!I33)</f>
        <v>0.82917249339251164</v>
      </c>
      <c r="J33" s="149">
        <f>IF(SER_hh_tes!J33=0,"",SER_hh_tes!J33/SER_hh_fec!J33)</f>
        <v>0.83153415980340895</v>
      </c>
      <c r="K33" s="149">
        <f>IF(SER_hh_tes!K33=0,"",SER_hh_tes!K33/SER_hh_fec!K33)</f>
        <v>0.83429034969645788</v>
      </c>
      <c r="L33" s="149">
        <f>IF(SER_hh_tes!L33=0,"",SER_hh_tes!L33/SER_hh_fec!L33)</f>
        <v>0.83626528324066385</v>
      </c>
      <c r="M33" s="149">
        <f>IF(SER_hh_tes!M33=0,"",SER_hh_tes!M33/SER_hh_fec!M33)</f>
        <v>0.83721598459829594</v>
      </c>
      <c r="N33" s="149">
        <f>IF(SER_hh_tes!N33=0,"",SER_hh_tes!N33/SER_hh_fec!N33)</f>
        <v>0.83876964163183743</v>
      </c>
      <c r="O33" s="149">
        <f>IF(SER_hh_tes!O33=0,"",SER_hh_tes!O33/SER_hh_fec!O33)</f>
        <v>0.84087907339664214</v>
      </c>
      <c r="P33" s="149">
        <f>IF(SER_hh_tes!P33=0,"",SER_hh_tes!P33/SER_hh_fec!P33)</f>
        <v>0.8431994602039049</v>
      </c>
      <c r="Q33" s="149">
        <f>IF(SER_hh_tes!Q33=0,"",SER_hh_tes!Q33/SER_hh_fec!Q33)</f>
        <v>0.84603532800757619</v>
      </c>
      <c r="R33" s="149">
        <f>IF(SER_hh_tes!R33=0,"",SER_hh_tes!R33/SER_hh_fec!R33)</f>
        <v>0.84940831205865253</v>
      </c>
      <c r="S33" s="149">
        <f>IF(SER_hh_tes!S33=0,"",SER_hh_tes!S33/SER_hh_fec!S33)</f>
        <v>0.85361149316689577</v>
      </c>
      <c r="T33" s="149">
        <f>IF(SER_hh_tes!T33=0,"",SER_hh_tes!T33/SER_hh_fec!T33)</f>
        <v>0.8588044644283519</v>
      </c>
      <c r="U33" s="149">
        <f>IF(SER_hh_tes!U33=0,"",SER_hh_tes!U33/SER_hh_fec!U33)</f>
        <v>0.86540218995811591</v>
      </c>
      <c r="V33" s="149">
        <f>IF(SER_hh_tes!V33=0,"",SER_hh_tes!V33/SER_hh_fec!V33)</f>
        <v>0.87335615199513716</v>
      </c>
      <c r="W33" s="149">
        <f>IF(SER_hh_tes!W33=0,"",SER_hh_tes!W33/SER_hh_fec!W33)</f>
        <v>0.88196721539582101</v>
      </c>
      <c r="X33" s="149">
        <f>IF(SER_hh_tes!X33=0,"",SER_hh_tes!X33/SER_hh_fec!X33)</f>
        <v>0.89027528747884277</v>
      </c>
      <c r="Y33" s="149">
        <f>IF(SER_hh_tes!Y33=0,"",SER_hh_tes!Y33/SER_hh_fec!Y33)</f>
        <v>0.89864175623607911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3357.1379861999999</v>
      </c>
      <c r="C3" s="125">
        <f t="shared" si="0"/>
        <v>3406.2525241200005</v>
      </c>
      <c r="D3" s="125">
        <f t="shared" si="0"/>
        <v>3369.9590056799993</v>
      </c>
      <c r="E3" s="125">
        <f t="shared" si="0"/>
        <v>3512.4602356800015</v>
      </c>
      <c r="F3" s="125">
        <f t="shared" si="0"/>
        <v>2690.2597075200001</v>
      </c>
      <c r="G3" s="125">
        <f t="shared" si="0"/>
        <v>1515.0228850799997</v>
      </c>
      <c r="H3" s="125">
        <f t="shared" si="0"/>
        <v>1459.9620586799999</v>
      </c>
      <c r="I3" s="125">
        <f t="shared" si="0"/>
        <v>1501.3992258000003</v>
      </c>
      <c r="J3" s="125">
        <f t="shared" si="0"/>
        <v>1339.1486391599997</v>
      </c>
      <c r="K3" s="125">
        <f t="shared" si="0"/>
        <v>1143.0836564399999</v>
      </c>
      <c r="L3" s="125">
        <f t="shared" si="0"/>
        <v>1380.0584584799999</v>
      </c>
      <c r="M3" s="125">
        <f t="shared" si="0"/>
        <v>1275.6788089199995</v>
      </c>
      <c r="N3" s="125">
        <f t="shared" si="0"/>
        <v>1173.4774696799996</v>
      </c>
      <c r="O3" s="125">
        <f t="shared" si="0"/>
        <v>1050.2111570399995</v>
      </c>
      <c r="P3" s="125">
        <f t="shared" si="0"/>
        <v>1006.6840516799998</v>
      </c>
      <c r="Q3" s="125">
        <f t="shared" si="0"/>
        <v>955.55723759999989</v>
      </c>
      <c r="R3" s="125">
        <f t="shared" ref="R3:W3" si="1">SUM(R4,R16,R19,R29)</f>
        <v>929.28082536000068</v>
      </c>
      <c r="S3" s="125">
        <f t="shared" si="1"/>
        <v>828.9479262996</v>
      </c>
      <c r="T3" s="125">
        <f t="shared" si="1"/>
        <v>873.93664799999999</v>
      </c>
      <c r="U3" s="125">
        <f t="shared" si="1"/>
        <v>905.98398048000024</v>
      </c>
      <c r="V3" s="125">
        <f t="shared" si="1"/>
        <v>880.22639736000019</v>
      </c>
      <c r="W3" s="125">
        <f t="shared" si="1"/>
        <v>781.61360253169732</v>
      </c>
      <c r="X3" s="125">
        <f t="shared" ref="X3:Y3" si="2">SUM(X4,X16,X19,X29)</f>
        <v>690.85854554950345</v>
      </c>
      <c r="Y3" s="125">
        <f t="shared" si="2"/>
        <v>591.76968110663961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2934.2861871775108</v>
      </c>
      <c r="C4" s="130">
        <f t="shared" si="3"/>
        <v>2952.1535971860089</v>
      </c>
      <c r="D4" s="130">
        <f t="shared" si="3"/>
        <v>2950.2295897925951</v>
      </c>
      <c r="E4" s="130">
        <f t="shared" si="3"/>
        <v>3124.2013011494055</v>
      </c>
      <c r="F4" s="130">
        <f t="shared" si="3"/>
        <v>2340.1327615203504</v>
      </c>
      <c r="G4" s="130">
        <f t="shared" si="3"/>
        <v>1243.8816835193381</v>
      </c>
      <c r="H4" s="130">
        <f t="shared" si="3"/>
        <v>1103.509375143766</v>
      </c>
      <c r="I4" s="130">
        <f t="shared" si="3"/>
        <v>1086.3306364509845</v>
      </c>
      <c r="J4" s="130">
        <f t="shared" si="3"/>
        <v>959.02820700106281</v>
      </c>
      <c r="K4" s="130">
        <f t="shared" si="3"/>
        <v>892.7892771002123</v>
      </c>
      <c r="L4" s="130">
        <f t="shared" si="3"/>
        <v>1050.0749198959718</v>
      </c>
      <c r="M4" s="130">
        <f t="shared" si="3"/>
        <v>961.42737080549614</v>
      </c>
      <c r="N4" s="130">
        <f t="shared" si="3"/>
        <v>994.95986034059842</v>
      </c>
      <c r="O4" s="130">
        <f t="shared" si="3"/>
        <v>861.26222313131859</v>
      </c>
      <c r="P4" s="130">
        <f t="shared" si="3"/>
        <v>836.7395061038244</v>
      </c>
      <c r="Q4" s="130">
        <f t="shared" si="3"/>
        <v>794.4932374177456</v>
      </c>
      <c r="R4" s="130">
        <f t="shared" ref="R4:W4" si="4">SUM(R5:R15)</f>
        <v>766.7567170376384</v>
      </c>
      <c r="S4" s="130">
        <f t="shared" si="4"/>
        <v>680.29663393042813</v>
      </c>
      <c r="T4" s="130">
        <f t="shared" si="4"/>
        <v>720.70074597823623</v>
      </c>
      <c r="U4" s="130">
        <f t="shared" si="4"/>
        <v>746.69340829404132</v>
      </c>
      <c r="V4" s="130">
        <f t="shared" si="4"/>
        <v>726.30122413257197</v>
      </c>
      <c r="W4" s="130">
        <f t="shared" si="4"/>
        <v>640.74987913419875</v>
      </c>
      <c r="X4" s="130">
        <f t="shared" ref="X4:Y4" si="5">SUM(X5:X15)</f>
        <v>563.79835006533187</v>
      </c>
      <c r="Y4" s="130">
        <f t="shared" si="5"/>
        <v>480.7295201664607</v>
      </c>
      <c r="DA4" s="155" t="s">
        <v>234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2877.9662677295282</v>
      </c>
      <c r="C7" s="132">
        <v>2899.5288793759164</v>
      </c>
      <c r="D7" s="132">
        <v>2826.7451219173336</v>
      </c>
      <c r="E7" s="132">
        <v>2948.0911682964675</v>
      </c>
      <c r="F7" s="132">
        <v>2163.713689260162</v>
      </c>
      <c r="G7" s="132">
        <v>1058.3063526534172</v>
      </c>
      <c r="H7" s="132">
        <v>916.57579460786587</v>
      </c>
      <c r="I7" s="132">
        <v>893.68913196098651</v>
      </c>
      <c r="J7" s="132">
        <v>758.08206610485104</v>
      </c>
      <c r="K7" s="132">
        <v>797.18102801669704</v>
      </c>
      <c r="L7" s="132">
        <v>832.82073005652683</v>
      </c>
      <c r="M7" s="132">
        <v>771.64264951624045</v>
      </c>
      <c r="N7" s="132">
        <v>740.26191825220189</v>
      </c>
      <c r="O7" s="132">
        <v>643.52823183271096</v>
      </c>
      <c r="P7" s="132">
        <v>632.74037771150631</v>
      </c>
      <c r="Q7" s="132">
        <v>602.10530402149993</v>
      </c>
      <c r="R7" s="132">
        <v>573.32639367659817</v>
      </c>
      <c r="S7" s="132">
        <v>571.36130197464058</v>
      </c>
      <c r="T7" s="132">
        <v>561.85454040316608</v>
      </c>
      <c r="U7" s="132">
        <v>542.19792993420026</v>
      </c>
      <c r="V7" s="132">
        <v>534.50417610629222</v>
      </c>
      <c r="W7" s="132">
        <v>463.5057223438414</v>
      </c>
      <c r="X7" s="132">
        <v>401.67356507847092</v>
      </c>
      <c r="Y7" s="132">
        <v>341.18985577645356</v>
      </c>
      <c r="DA7" s="156" t="s">
        <v>360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361</v>
      </c>
    </row>
    <row r="9" spans="1:105" ht="12" customHeight="1" x14ac:dyDescent="0.25">
      <c r="A9" s="131" t="s">
        <v>78</v>
      </c>
      <c r="B9" s="132">
        <v>56.319919447982386</v>
      </c>
      <c r="C9" s="132">
        <v>52.624717810092449</v>
      </c>
      <c r="D9" s="132">
        <v>123.48446787526152</v>
      </c>
      <c r="E9" s="132">
        <v>176.11013285293788</v>
      </c>
      <c r="F9" s="132">
        <v>176.41907226018853</v>
      </c>
      <c r="G9" s="132">
        <v>185.57533086592093</v>
      </c>
      <c r="H9" s="132">
        <v>186.93358053590009</v>
      </c>
      <c r="I9" s="132">
        <v>192.64150448999797</v>
      </c>
      <c r="J9" s="132">
        <v>200.94614089621174</v>
      </c>
      <c r="K9" s="132">
        <v>95.608249083515275</v>
      </c>
      <c r="L9" s="132">
        <v>217.25418983944505</v>
      </c>
      <c r="M9" s="132">
        <v>189.78472128925569</v>
      </c>
      <c r="N9" s="132">
        <v>254.69794208839656</v>
      </c>
      <c r="O9" s="132">
        <v>217.73399129860766</v>
      </c>
      <c r="P9" s="132">
        <v>203.99912839231806</v>
      </c>
      <c r="Q9" s="132">
        <v>192.38793339624564</v>
      </c>
      <c r="R9" s="132">
        <v>193.43032336104025</v>
      </c>
      <c r="S9" s="132">
        <v>108.93533195578752</v>
      </c>
      <c r="T9" s="132">
        <v>158.84620557507012</v>
      </c>
      <c r="U9" s="132">
        <v>204.49547835984109</v>
      </c>
      <c r="V9" s="132">
        <v>191.79704802627975</v>
      </c>
      <c r="W9" s="132">
        <v>177.24415679035738</v>
      </c>
      <c r="X9" s="132">
        <v>162.12478498686099</v>
      </c>
      <c r="Y9" s="132">
        <v>139.53966439000712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0</v>
      </c>
      <c r="C16" s="130">
        <f t="shared" si="6"/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235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290.77055375699297</v>
      </c>
      <c r="C19" s="130">
        <f t="shared" si="9"/>
        <v>284.42563070622197</v>
      </c>
      <c r="D19" s="130">
        <f t="shared" si="9"/>
        <v>274.33180316164288</v>
      </c>
      <c r="E19" s="130">
        <f t="shared" si="9"/>
        <v>267.42508659297124</v>
      </c>
      <c r="F19" s="130">
        <f t="shared" si="9"/>
        <v>241.0897626747356</v>
      </c>
      <c r="G19" s="130">
        <f t="shared" si="9"/>
        <v>160.58069420249177</v>
      </c>
      <c r="H19" s="130">
        <f t="shared" si="9"/>
        <v>163.38660459278776</v>
      </c>
      <c r="I19" s="130">
        <f t="shared" si="9"/>
        <v>137.37521003748006</v>
      </c>
      <c r="J19" s="130">
        <f t="shared" si="9"/>
        <v>123.43750167375578</v>
      </c>
      <c r="K19" s="130">
        <f t="shared" si="9"/>
        <v>76.285938712449109</v>
      </c>
      <c r="L19" s="130">
        <f t="shared" si="9"/>
        <v>71.68001263383222</v>
      </c>
      <c r="M19" s="130">
        <f t="shared" si="9"/>
        <v>74.804601168169043</v>
      </c>
      <c r="N19" s="130">
        <f t="shared" si="9"/>
        <v>101.18460642932313</v>
      </c>
      <c r="O19" s="130">
        <f t="shared" si="9"/>
        <v>106.81236489068742</v>
      </c>
      <c r="P19" s="130">
        <f t="shared" si="9"/>
        <v>81.785654322901124</v>
      </c>
      <c r="Q19" s="130">
        <f t="shared" si="9"/>
        <v>112.68246390386153</v>
      </c>
      <c r="R19" s="130">
        <f t="shared" ref="R19:W19" si="10">SUM(R20:R27)</f>
        <v>111.63805713414001</v>
      </c>
      <c r="S19" s="130">
        <f t="shared" si="10"/>
        <v>106.28134898974227</v>
      </c>
      <c r="T19" s="130">
        <f t="shared" si="10"/>
        <v>108.29013552092054</v>
      </c>
      <c r="U19" s="130">
        <f t="shared" si="10"/>
        <v>108.77268456257826</v>
      </c>
      <c r="V19" s="130">
        <f t="shared" si="10"/>
        <v>105.28433374457636</v>
      </c>
      <c r="W19" s="130">
        <f t="shared" si="10"/>
        <v>91.527533525678976</v>
      </c>
      <c r="X19" s="130">
        <f t="shared" ref="X19:Y19" si="11">SUM(X20:X27)</f>
        <v>78.28647391532688</v>
      </c>
      <c r="Y19" s="130">
        <f t="shared" si="11"/>
        <v>62.333130725512731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372</v>
      </c>
    </row>
    <row r="22" spans="1:105" ht="12" customHeight="1" x14ac:dyDescent="0.25">
      <c r="A22" s="131" t="s">
        <v>161</v>
      </c>
      <c r="B22" s="132">
        <v>285.77424323047137</v>
      </c>
      <c r="C22" s="132">
        <v>279.74574570408407</v>
      </c>
      <c r="D22" s="132">
        <v>268.14295472266599</v>
      </c>
      <c r="E22" s="132">
        <v>259.90152834353415</v>
      </c>
      <c r="F22" s="132">
        <v>233.49334301983822</v>
      </c>
      <c r="G22" s="132">
        <v>151.78463802658248</v>
      </c>
      <c r="H22" s="132">
        <v>152.20664715213405</v>
      </c>
      <c r="I22" s="132">
        <v>126.16275203901382</v>
      </c>
      <c r="J22" s="132">
        <v>111.18865897514844</v>
      </c>
      <c r="K22" s="132">
        <v>64.159572423302762</v>
      </c>
      <c r="L22" s="132">
        <v>58.767107463473266</v>
      </c>
      <c r="M22" s="132">
        <v>61.8549202037591</v>
      </c>
      <c r="N22" s="132">
        <v>87.939815307797829</v>
      </c>
      <c r="O22" s="132">
        <v>93.208261767288818</v>
      </c>
      <c r="P22" s="132">
        <v>67.263478808493531</v>
      </c>
      <c r="Q22" s="132">
        <v>98.409967058499916</v>
      </c>
      <c r="R22" s="132">
        <v>97.044479003402273</v>
      </c>
      <c r="S22" s="132">
        <v>97.945449945359456</v>
      </c>
      <c r="T22" s="132">
        <v>97.112603636833839</v>
      </c>
      <c r="U22" s="132">
        <v>93.289866145799564</v>
      </c>
      <c r="V22" s="132">
        <v>90.325172333708011</v>
      </c>
      <c r="W22" s="132">
        <v>77.337177696158335</v>
      </c>
      <c r="X22" s="132">
        <v>66.308104801528444</v>
      </c>
      <c r="Y22" s="132">
        <v>51.685799623546359</v>
      </c>
      <c r="DA22" s="156" t="s">
        <v>373</v>
      </c>
    </row>
    <row r="23" spans="1:105" ht="12" customHeight="1" x14ac:dyDescent="0.25">
      <c r="A23" s="131" t="s">
        <v>149</v>
      </c>
      <c r="B23" s="132">
        <v>4.9963105265216168</v>
      </c>
      <c r="C23" s="132">
        <v>4.6798850021378904</v>
      </c>
      <c r="D23" s="132">
        <v>6.1888484389768808</v>
      </c>
      <c r="E23" s="132">
        <v>7.5235582494370865</v>
      </c>
      <c r="F23" s="132">
        <v>7.5964196548973817</v>
      </c>
      <c r="G23" s="132">
        <v>8.7960561759092748</v>
      </c>
      <c r="H23" s="132">
        <v>11.179957440653718</v>
      </c>
      <c r="I23" s="132">
        <v>11.212457998466229</v>
      </c>
      <c r="J23" s="132">
        <v>12.248842698607335</v>
      </c>
      <c r="K23" s="132">
        <v>12.126366289146354</v>
      </c>
      <c r="L23" s="132">
        <v>12.912905170358957</v>
      </c>
      <c r="M23" s="132">
        <v>12.949680964409941</v>
      </c>
      <c r="N23" s="132">
        <v>13.244791121525299</v>
      </c>
      <c r="O23" s="132">
        <v>13.604103123398602</v>
      </c>
      <c r="P23" s="132">
        <v>14.522175514407591</v>
      </c>
      <c r="Q23" s="132">
        <v>14.272496845361617</v>
      </c>
      <c r="R23" s="132">
        <v>14.593578130737734</v>
      </c>
      <c r="S23" s="132">
        <v>8.3358990443828116</v>
      </c>
      <c r="T23" s="132">
        <v>11.177531884086706</v>
      </c>
      <c r="U23" s="132">
        <v>15.482818416778693</v>
      </c>
      <c r="V23" s="132">
        <v>14.959161410868345</v>
      </c>
      <c r="W23" s="132">
        <v>14.190355829520636</v>
      </c>
      <c r="X23" s="132">
        <v>11.978369113798433</v>
      </c>
      <c r="Y23" s="132">
        <v>10.647331101966374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132.08124526549605</v>
      </c>
      <c r="C29" s="130">
        <f t="shared" si="12"/>
        <v>169.6732962277697</v>
      </c>
      <c r="D29" s="130">
        <f t="shared" si="12"/>
        <v>145.3976127257616</v>
      </c>
      <c r="E29" s="130">
        <f t="shared" si="12"/>
        <v>120.83384793762499</v>
      </c>
      <c r="F29" s="130">
        <f t="shared" si="12"/>
        <v>109.0371833249142</v>
      </c>
      <c r="G29" s="130">
        <f t="shared" si="12"/>
        <v>110.56050735816986</v>
      </c>
      <c r="H29" s="130">
        <f t="shared" si="12"/>
        <v>193.06607894344626</v>
      </c>
      <c r="I29" s="130">
        <f t="shared" si="12"/>
        <v>277.69337931153586</v>
      </c>
      <c r="J29" s="130">
        <f t="shared" si="12"/>
        <v>256.68293048518092</v>
      </c>
      <c r="K29" s="130">
        <f t="shared" si="12"/>
        <v>174.00844062733842</v>
      </c>
      <c r="L29" s="130">
        <f t="shared" si="12"/>
        <v>258.30352595019593</v>
      </c>
      <c r="M29" s="130">
        <f t="shared" si="12"/>
        <v>239.44683694633432</v>
      </c>
      <c r="N29" s="130">
        <f t="shared" si="12"/>
        <v>77.333002910078108</v>
      </c>
      <c r="O29" s="130">
        <f t="shared" si="12"/>
        <v>82.136569017993622</v>
      </c>
      <c r="P29" s="130">
        <f t="shared" si="12"/>
        <v>88.158891253274305</v>
      </c>
      <c r="Q29" s="130">
        <f t="shared" si="12"/>
        <v>48.381536278392772</v>
      </c>
      <c r="R29" s="130">
        <f t="shared" ref="R29:W29" si="13">SUM(R30:R33)</f>
        <v>50.886051188222282</v>
      </c>
      <c r="S29" s="130">
        <f t="shared" si="13"/>
        <v>42.369943379429657</v>
      </c>
      <c r="T29" s="130">
        <f t="shared" si="13"/>
        <v>44.945766500843256</v>
      </c>
      <c r="U29" s="130">
        <f t="shared" si="13"/>
        <v>50.517887623380688</v>
      </c>
      <c r="V29" s="130">
        <f t="shared" si="13"/>
        <v>48.640839482851931</v>
      </c>
      <c r="W29" s="130">
        <f t="shared" si="13"/>
        <v>49.336189871819563</v>
      </c>
      <c r="X29" s="130">
        <f t="shared" ref="X29:Y29" si="14">SUM(X30:X33)</f>
        <v>48.773721568844721</v>
      </c>
      <c r="Y29" s="130">
        <f t="shared" si="14"/>
        <v>48.707030214666155</v>
      </c>
      <c r="DA29" s="155" t="s">
        <v>237</v>
      </c>
    </row>
    <row r="30" spans="1:105" ht="12" customHeight="1" x14ac:dyDescent="0.25">
      <c r="A30" s="131" t="s">
        <v>52</v>
      </c>
      <c r="B30" s="132">
        <v>110.43133524000002</v>
      </c>
      <c r="C30" s="132">
        <v>149.23139904000001</v>
      </c>
      <c r="D30" s="132">
        <v>122.36972904000001</v>
      </c>
      <c r="E30" s="132">
        <v>95.508059039999992</v>
      </c>
      <c r="F30" s="132">
        <v>83.56966524000002</v>
      </c>
      <c r="G30" s="132">
        <v>84.978284400000007</v>
      </c>
      <c r="H30" s="132">
        <v>167.35717691999997</v>
      </c>
      <c r="I30" s="132">
        <v>252.05787180000007</v>
      </c>
      <c r="J30" s="132">
        <v>231.30294408000012</v>
      </c>
      <c r="K30" s="132">
        <v>151.59522600000003</v>
      </c>
      <c r="L30" s="132">
        <v>239.09862096000009</v>
      </c>
      <c r="M30" s="132">
        <v>220.88356919999998</v>
      </c>
      <c r="N30" s="132">
        <v>59.653806120000056</v>
      </c>
      <c r="O30" s="132">
        <v>64.861903440000006</v>
      </c>
      <c r="P30" s="132">
        <v>70.487975159999991</v>
      </c>
      <c r="Q30" s="132">
        <v>31.926656520000016</v>
      </c>
      <c r="R30" s="132">
        <v>33.977002680000012</v>
      </c>
      <c r="S30" s="132">
        <v>32.85694713960001</v>
      </c>
      <c r="T30" s="132">
        <v>31.741293960000011</v>
      </c>
      <c r="U30" s="132">
        <v>31.741293960000025</v>
      </c>
      <c r="V30" s="132">
        <v>31.74129396</v>
      </c>
      <c r="W30" s="132">
        <v>31.741293960000011</v>
      </c>
      <c r="X30" s="132">
        <v>31.741293960000018</v>
      </c>
      <c r="Y30" s="132">
        <v>31.741293959999989</v>
      </c>
      <c r="DA30" s="156" t="s">
        <v>379</v>
      </c>
    </row>
    <row r="31" spans="1:105" ht="12" customHeight="1" x14ac:dyDescent="0.25">
      <c r="A31" s="131" t="s">
        <v>149</v>
      </c>
      <c r="B31" s="132">
        <v>21.64991002549603</v>
      </c>
      <c r="C31" s="132">
        <v>20.441897187769673</v>
      </c>
      <c r="D31" s="132">
        <v>23.027883685761591</v>
      </c>
      <c r="E31" s="132">
        <v>25.325788897625007</v>
      </c>
      <c r="F31" s="132">
        <v>25.467518084914175</v>
      </c>
      <c r="G31" s="132">
        <v>25.582222958169854</v>
      </c>
      <c r="H31" s="132">
        <v>25.708902023446271</v>
      </c>
      <c r="I31" s="132">
        <v>25.635507511535781</v>
      </c>
      <c r="J31" s="132">
        <v>25.379986405180812</v>
      </c>
      <c r="K31" s="132">
        <v>22.413214627338387</v>
      </c>
      <c r="L31" s="132">
        <v>19.204904990195839</v>
      </c>
      <c r="M31" s="132">
        <v>18.563267746334347</v>
      </c>
      <c r="N31" s="132">
        <v>17.679196790078045</v>
      </c>
      <c r="O31" s="132">
        <v>17.274665577993623</v>
      </c>
      <c r="P31" s="132">
        <v>17.670916093274311</v>
      </c>
      <c r="Q31" s="132">
        <v>16.454879758392753</v>
      </c>
      <c r="R31" s="132">
        <v>16.909048508222273</v>
      </c>
      <c r="S31" s="132">
        <v>9.5129962398296435</v>
      </c>
      <c r="T31" s="132">
        <v>13.204472540843245</v>
      </c>
      <c r="U31" s="132">
        <v>18.776593663380662</v>
      </c>
      <c r="V31" s="132">
        <v>16.89954552285193</v>
      </c>
      <c r="W31" s="132">
        <v>17.594895911819552</v>
      </c>
      <c r="X31" s="132">
        <v>17.032427608844703</v>
      </c>
      <c r="Y31" s="132">
        <v>16.965736254666165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259293.83124241783</v>
      </c>
      <c r="C3" s="125">
        <f>IF(SER_hh_fec!C3=0,0,11630*1000*SER_hh_fec!C3/SER_hh_num!C3)</f>
        <v>281575.80226360844</v>
      </c>
      <c r="D3" s="125">
        <f>IF(SER_hh_fec!D3=0,0,11630*1000*SER_hh_fec!D3/SER_hh_num!D3)</f>
        <v>276275.0359953451</v>
      </c>
      <c r="E3" s="125">
        <f>IF(SER_hh_fec!E3=0,0,11630*1000*SER_hh_fec!E3/SER_hh_num!E3)</f>
        <v>272933.56730376411</v>
      </c>
      <c r="F3" s="125">
        <f>IF(SER_hh_fec!F3=0,0,11630*1000*SER_hh_fec!F3/SER_hh_num!F3)</f>
        <v>252153.9845805681</v>
      </c>
      <c r="G3" s="125">
        <f>IF(SER_hh_fec!G3=0,0,11630*1000*SER_hh_fec!G3/SER_hh_num!G3)</f>
        <v>218014.02862428725</v>
      </c>
      <c r="H3" s="125">
        <f>IF(SER_hh_fec!H3=0,0,11630*1000*SER_hh_fec!H3/SER_hh_num!H3)</f>
        <v>216763.65629461769</v>
      </c>
      <c r="I3" s="125">
        <f>IF(SER_hh_fec!I3=0,0,11630*1000*SER_hh_fec!I3/SER_hh_num!I3)</f>
        <v>217894.95486081808</v>
      </c>
      <c r="J3" s="125">
        <f>IF(SER_hh_fec!J3=0,0,11630*1000*SER_hh_fec!J3/SER_hh_num!J3)</f>
        <v>211921.19000258949</v>
      </c>
      <c r="K3" s="125">
        <f>IF(SER_hh_fec!K3=0,0,11630*1000*SER_hh_fec!K3/SER_hh_num!K3)</f>
        <v>200722.19647233089</v>
      </c>
      <c r="L3" s="125">
        <f>IF(SER_hh_fec!L3=0,0,11630*1000*SER_hh_fec!L3/SER_hh_num!L3)</f>
        <v>216469.33207635826</v>
      </c>
      <c r="M3" s="125">
        <f>IF(SER_hh_fec!M3=0,0,11630*1000*SER_hh_fec!M3/SER_hh_num!M3)</f>
        <v>184702.75913401126</v>
      </c>
      <c r="N3" s="125">
        <f>IF(SER_hh_fec!N3=0,0,11630*1000*SER_hh_fec!N3/SER_hh_num!N3)</f>
        <v>193978.79278238292</v>
      </c>
      <c r="O3" s="125">
        <f>IF(SER_hh_fec!O3=0,0,11630*1000*SER_hh_fec!O3/SER_hh_num!O3)</f>
        <v>184821.57708882101</v>
      </c>
      <c r="P3" s="125">
        <f>IF(SER_hh_fec!P3=0,0,11630*1000*SER_hh_fec!P3/SER_hh_num!P3)</f>
        <v>182073.07856782791</v>
      </c>
      <c r="Q3" s="125">
        <f>IF(SER_hh_fec!Q3=0,0,11630*1000*SER_hh_fec!Q3/SER_hh_num!Q3)</f>
        <v>182299.2507398522</v>
      </c>
      <c r="R3" s="125">
        <f>IF(SER_hh_fec!R3=0,0,11630*1000*SER_hh_fec!R3/SER_hh_num!R3)</f>
        <v>190934.98642280357</v>
      </c>
      <c r="S3" s="125">
        <f>IF(SER_hh_fec!S3=0,0,11630*1000*SER_hh_fec!S3/SER_hh_num!S3)</f>
        <v>175555.77647214764</v>
      </c>
      <c r="T3" s="125">
        <f>IF(SER_hh_fec!T3=0,0,11630*1000*SER_hh_fec!T3/SER_hh_num!T3)</f>
        <v>180169.11948172632</v>
      </c>
      <c r="U3" s="125">
        <f>IF(SER_hh_fec!U3=0,0,11630*1000*SER_hh_fec!U3/SER_hh_num!U3)</f>
        <v>172926.27193420858</v>
      </c>
      <c r="V3" s="125">
        <f>IF(SER_hh_fec!V3=0,0,11630*1000*SER_hh_fec!V3/SER_hh_num!V3)</f>
        <v>167762.44028004387</v>
      </c>
      <c r="W3" s="125">
        <f>IF(SER_hh_fec!W3=0,0,11630*1000*SER_hh_fec!W3/SER_hh_num!W3)</f>
        <v>179440.23006068816</v>
      </c>
      <c r="X3" s="125">
        <f>IF(SER_hh_fec!X3=0,0,11630*1000*SER_hh_fec!X3/SER_hh_num!X3)</f>
        <v>176757.5982118629</v>
      </c>
      <c r="Y3" s="125">
        <f>IF(SER_hh_fec!Y3=0,0,11630*1000*SER_hh_fec!Y3/SER_hh_num!Y3)</f>
        <v>172476.43440066854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209417.99095901422</v>
      </c>
      <c r="C4" s="130">
        <f>IF(SER_hh_fec!C4=0,0,11630*1000*SER_hh_fec!C4/SER_hh_num!C4)</f>
        <v>231302.31319224092</v>
      </c>
      <c r="D4" s="130">
        <f>IF(SER_hh_fec!D4=0,0,11630*1000*SER_hh_fec!D4/SER_hh_num!D4)</f>
        <v>226297.95873735502</v>
      </c>
      <c r="E4" s="130">
        <f>IF(SER_hh_fec!E4=0,0,11630*1000*SER_hh_fec!E4/SER_hh_num!E4)</f>
        <v>223015.93779820472</v>
      </c>
      <c r="F4" s="130">
        <f>IF(SER_hh_fec!F4=0,0,11630*1000*SER_hh_fec!F4/SER_hh_num!F4)</f>
        <v>202448.55689798176</v>
      </c>
      <c r="G4" s="130">
        <f>IF(SER_hh_fec!G4=0,0,11630*1000*SER_hh_fec!G4/SER_hh_num!G4)</f>
        <v>168505.46399993845</v>
      </c>
      <c r="H4" s="130">
        <f>IF(SER_hh_fec!H4=0,0,11630*1000*SER_hh_fec!H4/SER_hh_num!H4)</f>
        <v>167079.05873207227</v>
      </c>
      <c r="I4" s="130">
        <f>IF(SER_hh_fec!I4=0,0,11630*1000*SER_hh_fec!I4/SER_hh_num!I4)</f>
        <v>167727.73964069627</v>
      </c>
      <c r="J4" s="130">
        <f>IF(SER_hh_fec!J4=0,0,11630*1000*SER_hh_fec!J4/SER_hh_num!J4)</f>
        <v>161646.79255354908</v>
      </c>
      <c r="K4" s="130">
        <f>IF(SER_hh_fec!K4=0,0,11630*1000*SER_hh_fec!K4/SER_hh_num!K4)</f>
        <v>150232.16906558204</v>
      </c>
      <c r="L4" s="130">
        <f>IF(SER_hh_fec!L4=0,0,11630*1000*SER_hh_fec!L4/SER_hh_num!L4)</f>
        <v>165677.77928914671</v>
      </c>
      <c r="M4" s="130">
        <f>IF(SER_hh_fec!M4=0,0,11630*1000*SER_hh_fec!M4/SER_hh_num!M4)</f>
        <v>133572.07799926164</v>
      </c>
      <c r="N4" s="130">
        <f>IF(SER_hh_fec!N4=0,0,11630*1000*SER_hh_fec!N4/SER_hh_num!N4)</f>
        <v>143703.59759105396</v>
      </c>
      <c r="O4" s="130">
        <f>IF(SER_hh_fec!O4=0,0,11630*1000*SER_hh_fec!O4/SER_hh_num!O4)</f>
        <v>134298.21447588716</v>
      </c>
      <c r="P4" s="130">
        <f>IF(SER_hh_fec!P4=0,0,11630*1000*SER_hh_fec!P4/SER_hh_num!P4)</f>
        <v>131703.64604349801</v>
      </c>
      <c r="Q4" s="130">
        <f>IF(SER_hh_fec!Q4=0,0,11630*1000*SER_hh_fec!Q4/SER_hh_num!Q4)</f>
        <v>132485.52939212334</v>
      </c>
      <c r="R4" s="130">
        <f>IF(SER_hh_fec!R4=0,0,11630*1000*SER_hh_fec!R4/SER_hh_num!R4)</f>
        <v>141478.86365800956</v>
      </c>
      <c r="S4" s="130">
        <f>IF(SER_hh_fec!S4=0,0,11630*1000*SER_hh_fec!S4/SER_hh_num!S4)</f>
        <v>125547.19103103374</v>
      </c>
      <c r="T4" s="130">
        <f>IF(SER_hh_fec!T4=0,0,11630*1000*SER_hh_fec!T4/SER_hh_num!T4)</f>
        <v>130583.68728678934</v>
      </c>
      <c r="U4" s="130">
        <f>IF(SER_hh_fec!U4=0,0,11630*1000*SER_hh_fec!U4/SER_hh_num!U4)</f>
        <v>122782.41367761145</v>
      </c>
      <c r="V4" s="130">
        <f>IF(SER_hh_fec!V4=0,0,11630*1000*SER_hh_fec!V4/SER_hh_num!V4)</f>
        <v>117091.23964254266</v>
      </c>
      <c r="W4" s="130">
        <f>IF(SER_hh_fec!W4=0,0,11630*1000*SER_hh_fec!W4/SER_hh_num!W4)</f>
        <v>129526.76409039192</v>
      </c>
      <c r="X4" s="130">
        <f>IF(SER_hh_fec!X4=0,0,11630*1000*SER_hh_fec!X4/SER_hh_num!X4)</f>
        <v>129023.48170483891</v>
      </c>
      <c r="Y4" s="130">
        <f>IF(SER_hh_fec!Y4=0,0,11630*1000*SER_hh_fec!Y4/SER_hh_num!Y4)</f>
        <v>126090.21756374274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0</v>
      </c>
      <c r="C5" s="132">
        <f>IF(SER_hh_fec!C5=0,0,11630*1000*SER_hh_fec!C5/SER_hh_num!C5)</f>
        <v>0</v>
      </c>
      <c r="D5" s="132">
        <f>IF(SER_hh_fec!D5=0,0,11630*1000*SER_hh_fec!D5/SER_hh_num!D5)</f>
        <v>0</v>
      </c>
      <c r="E5" s="132">
        <f>IF(SER_hh_fec!E5=0,0,11630*1000*SER_hh_fec!E5/SER_hh_num!E5)</f>
        <v>0</v>
      </c>
      <c r="F5" s="132">
        <f>IF(SER_hh_fec!F5=0,0,11630*1000*SER_hh_fec!F5/SER_hh_num!F5)</f>
        <v>0</v>
      </c>
      <c r="G5" s="132">
        <f>IF(SER_hh_fec!G5=0,0,11630*1000*SER_hh_fec!G5/SER_hh_num!G5)</f>
        <v>0</v>
      </c>
      <c r="H5" s="132">
        <f>IF(SER_hh_fec!H5=0,0,11630*1000*SER_hh_fec!H5/SER_hh_num!H5)</f>
        <v>0</v>
      </c>
      <c r="I5" s="132">
        <f>IF(SER_hh_fec!I5=0,0,11630*1000*SER_hh_fec!I5/SER_hh_num!I5)</f>
        <v>0</v>
      </c>
      <c r="J5" s="132">
        <f>IF(SER_hh_fec!J5=0,0,11630*1000*SER_hh_fec!J5/SER_hh_num!J5)</f>
        <v>0</v>
      </c>
      <c r="K5" s="132">
        <f>IF(SER_hh_fec!K5=0,0,11630*1000*SER_hh_fec!K5/SER_hh_num!K5)</f>
        <v>0</v>
      </c>
      <c r="L5" s="132">
        <f>IF(SER_hh_fec!L5=0,0,11630*1000*SER_hh_fec!L5/SER_hh_num!L5)</f>
        <v>0</v>
      </c>
      <c r="M5" s="132">
        <f>IF(SER_hh_fec!M5=0,0,11630*1000*SER_hh_fec!M5/SER_hh_num!M5)</f>
        <v>0</v>
      </c>
      <c r="N5" s="132">
        <f>IF(SER_hh_fec!N5=0,0,11630*1000*SER_hh_fec!N5/SER_hh_num!N5)</f>
        <v>0</v>
      </c>
      <c r="O5" s="132">
        <f>IF(SER_hh_fec!O5=0,0,11630*1000*SER_hh_fec!O5/SER_hh_num!O5)</f>
        <v>0</v>
      </c>
      <c r="P5" s="132">
        <f>IF(SER_hh_fec!P5=0,0,11630*1000*SER_hh_fec!P5/SER_hh_num!P5)</f>
        <v>0</v>
      </c>
      <c r="Q5" s="132">
        <f>IF(SER_hh_fec!Q5=0,0,11630*1000*SER_hh_fec!Q5/SER_hh_num!Q5)</f>
        <v>0</v>
      </c>
      <c r="R5" s="132">
        <f>IF(SER_hh_fec!R5=0,0,11630*1000*SER_hh_fec!R5/SER_hh_num!R5)</f>
        <v>0</v>
      </c>
      <c r="S5" s="132">
        <f>IF(SER_hh_fec!S5=0,0,11630*1000*SER_hh_fec!S5/SER_hh_num!S5)</f>
        <v>0</v>
      </c>
      <c r="T5" s="132">
        <f>IF(SER_hh_fec!T5=0,0,11630*1000*SER_hh_fec!T5/SER_hh_num!T5)</f>
        <v>0</v>
      </c>
      <c r="U5" s="132">
        <f>IF(SER_hh_fec!U5=0,0,11630*1000*SER_hh_fec!U5/SER_hh_num!U5)</f>
        <v>0</v>
      </c>
      <c r="V5" s="132">
        <f>IF(SER_hh_fec!V5=0,0,11630*1000*SER_hh_fec!V5/SER_hh_num!V5)</f>
        <v>0</v>
      </c>
      <c r="W5" s="132">
        <f>IF(SER_hh_fec!W5=0,0,11630*1000*SER_hh_fec!W5/SER_hh_num!W5)</f>
        <v>0</v>
      </c>
      <c r="X5" s="132">
        <f>IF(SER_hh_fec!X5=0,0,11630*1000*SER_hh_fec!X5/SER_hh_num!X5)</f>
        <v>0</v>
      </c>
      <c r="Y5" s="132">
        <f>IF(SER_hh_fec!Y5=0,0,11630*1000*SER_hh_fec!Y5/SER_hh_num!Y5)</f>
        <v>0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301068.09246587747</v>
      </c>
      <c r="C7" s="132">
        <f>IF(SER_hh_fec!C7=0,0,11630*1000*SER_hh_fec!C7/SER_hh_num!C7)</f>
        <v>317529.69316207641</v>
      </c>
      <c r="D7" s="132">
        <f>IF(SER_hh_fec!D7=0,0,11630*1000*SER_hh_fec!D7/SER_hh_num!D7)</f>
        <v>316367.68596199213</v>
      </c>
      <c r="E7" s="132">
        <f>IF(SER_hh_fec!E7=0,0,11630*1000*SER_hh_fec!E7/SER_hh_num!E7)</f>
        <v>353915.27663273574</v>
      </c>
      <c r="F7" s="132">
        <f>IF(SER_hh_fec!F7=0,0,11630*1000*SER_hh_fec!F7/SER_hh_num!F7)</f>
        <v>312286.09809022577</v>
      </c>
      <c r="G7" s="132">
        <f>IF(SER_hh_fec!G7=0,0,11630*1000*SER_hh_fec!G7/SER_hh_num!G7)</f>
        <v>207853.08378145704</v>
      </c>
      <c r="H7" s="132">
        <f>IF(SER_hh_fec!H7=0,0,11630*1000*SER_hh_fec!H7/SER_hh_num!H7)</f>
        <v>232307.97592452192</v>
      </c>
      <c r="I7" s="132">
        <f>IF(SER_hh_fec!I7=0,0,11630*1000*SER_hh_fec!I7/SER_hh_num!I7)</f>
        <v>262258.42317512224</v>
      </c>
      <c r="J7" s="132">
        <f>IF(SER_hh_fec!J7=0,0,11630*1000*SER_hh_fec!J7/SER_hh_num!J7)</f>
        <v>236711.09449207623</v>
      </c>
      <c r="K7" s="132">
        <f>IF(SER_hh_fec!K7=0,0,11630*1000*SER_hh_fec!K7/SER_hh_num!K7)</f>
        <v>240848.2115786502</v>
      </c>
      <c r="L7" s="132">
        <f>IF(SER_hh_fec!L7=0,0,11630*1000*SER_hh_fec!L7/SER_hh_num!L7)</f>
        <v>241945.25939744819</v>
      </c>
      <c r="M7" s="132">
        <f>IF(SER_hh_fec!M7=0,0,11630*1000*SER_hh_fec!M7/SER_hh_num!M7)</f>
        <v>210935.79336538157</v>
      </c>
      <c r="N7" s="132">
        <f>IF(SER_hh_fec!N7=0,0,11630*1000*SER_hh_fec!N7/SER_hh_num!N7)</f>
        <v>202205.94232052829</v>
      </c>
      <c r="O7" s="132">
        <f>IF(SER_hh_fec!O7=0,0,11630*1000*SER_hh_fec!O7/SER_hh_num!O7)</f>
        <v>179474.73455450803</v>
      </c>
      <c r="P7" s="132">
        <f>IF(SER_hh_fec!P7=0,0,11630*1000*SER_hh_fec!P7/SER_hh_num!P7)</f>
        <v>184049.43004529327</v>
      </c>
      <c r="Q7" s="132">
        <f>IF(SER_hh_fec!Q7=0,0,11630*1000*SER_hh_fec!Q7/SER_hh_num!Q7)</f>
        <v>180385.22787473735</v>
      </c>
      <c r="R7" s="132">
        <f>IF(SER_hh_fec!R7=0,0,11630*1000*SER_hh_fec!R7/SER_hh_num!R7)</f>
        <v>178802.0813249081</v>
      </c>
      <c r="S7" s="132">
        <f>IF(SER_hh_fec!S7=0,0,11630*1000*SER_hh_fec!S7/SER_hh_num!S7)</f>
        <v>177145.15174081267</v>
      </c>
      <c r="T7" s="132">
        <f>IF(SER_hh_fec!T7=0,0,11630*1000*SER_hh_fec!T7/SER_hh_num!T7)</f>
        <v>175663.14707910857</v>
      </c>
      <c r="U7" s="132">
        <f>IF(SER_hh_fec!U7=0,0,11630*1000*SER_hh_fec!U7/SER_hh_num!U7)</f>
        <v>168699.01243464803</v>
      </c>
      <c r="V7" s="132">
        <f>IF(SER_hh_fec!V7=0,0,11630*1000*SER_hh_fec!V7/SER_hh_num!V7)</f>
        <v>174296.90255382276</v>
      </c>
      <c r="W7" s="132">
        <f>IF(SER_hh_fec!W7=0,0,11630*1000*SER_hh_fec!W7/SER_hh_num!W7)</f>
        <v>174065.80201363697</v>
      </c>
      <c r="X7" s="132">
        <f>IF(SER_hh_fec!X7=0,0,11630*1000*SER_hh_fec!X7/SER_hh_num!X7)</f>
        <v>184514.45234375799</v>
      </c>
      <c r="Y7" s="132">
        <f>IF(SER_hh_fec!Y7=0,0,11630*1000*SER_hh_fec!Y7/SER_hh_num!Y7)</f>
        <v>167568.84925882588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0</v>
      </c>
      <c r="C8" s="132">
        <f>IF(SER_hh_fec!C8=0,0,11630*1000*SER_hh_fec!C8/SER_hh_num!C8)</f>
        <v>0</v>
      </c>
      <c r="D8" s="132">
        <f>IF(SER_hh_fec!D8=0,0,11630*1000*SER_hh_fec!D8/SER_hh_num!D8)</f>
        <v>0</v>
      </c>
      <c r="E8" s="132">
        <f>IF(SER_hh_fec!E8=0,0,11630*1000*SER_hh_fec!E8/SER_hh_num!E8)</f>
        <v>0</v>
      </c>
      <c r="F8" s="132">
        <f>IF(SER_hh_fec!F8=0,0,11630*1000*SER_hh_fec!F8/SER_hh_num!F8)</f>
        <v>0</v>
      </c>
      <c r="G8" s="132">
        <f>IF(SER_hh_fec!G8=0,0,11630*1000*SER_hh_fec!G8/SER_hh_num!G8)</f>
        <v>0</v>
      </c>
      <c r="H8" s="132">
        <f>IF(SER_hh_fec!H8=0,0,11630*1000*SER_hh_fec!H8/SER_hh_num!H8)</f>
        <v>0</v>
      </c>
      <c r="I8" s="132">
        <f>IF(SER_hh_fec!I8=0,0,11630*1000*SER_hh_fec!I8/SER_hh_num!I8)</f>
        <v>0</v>
      </c>
      <c r="J8" s="132">
        <f>IF(SER_hh_fec!J8=0,0,11630*1000*SER_hh_fec!J8/SER_hh_num!J8)</f>
        <v>0</v>
      </c>
      <c r="K8" s="132">
        <f>IF(SER_hh_fec!K8=0,0,11630*1000*SER_hh_fec!K8/SER_hh_num!K8)</f>
        <v>0</v>
      </c>
      <c r="L8" s="132">
        <f>IF(SER_hh_fec!L8=0,0,11630*1000*SER_hh_fec!L8/SER_hh_num!L8)</f>
        <v>0</v>
      </c>
      <c r="M8" s="132">
        <f>IF(SER_hh_fec!M8=0,0,11630*1000*SER_hh_fec!M8/SER_hh_num!M8)</f>
        <v>0</v>
      </c>
      <c r="N8" s="132">
        <f>IF(SER_hh_fec!N8=0,0,11630*1000*SER_hh_fec!N8/SER_hh_num!N8)</f>
        <v>0</v>
      </c>
      <c r="O8" s="132">
        <f>IF(SER_hh_fec!O8=0,0,11630*1000*SER_hh_fec!O8/SER_hh_num!O8)</f>
        <v>0</v>
      </c>
      <c r="P8" s="132">
        <f>IF(SER_hh_fec!P8=0,0,11630*1000*SER_hh_fec!P8/SER_hh_num!P8)</f>
        <v>0</v>
      </c>
      <c r="Q8" s="132">
        <f>IF(SER_hh_fec!Q8=0,0,11630*1000*SER_hh_fec!Q8/SER_hh_num!Q8)</f>
        <v>0</v>
      </c>
      <c r="R8" s="132">
        <f>IF(SER_hh_fec!R8=0,0,11630*1000*SER_hh_fec!R8/SER_hh_num!R8)</f>
        <v>0</v>
      </c>
      <c r="S8" s="132">
        <f>IF(SER_hh_fec!S8=0,0,11630*1000*SER_hh_fec!S8/SER_hh_num!S8)</f>
        <v>0</v>
      </c>
      <c r="T8" s="132">
        <f>IF(SER_hh_fec!T8=0,0,11630*1000*SER_hh_fec!T8/SER_hh_num!T8)</f>
        <v>0</v>
      </c>
      <c r="U8" s="132">
        <f>IF(SER_hh_fec!U8=0,0,11630*1000*SER_hh_fec!U8/SER_hh_num!U8)</f>
        <v>0</v>
      </c>
      <c r="V8" s="132">
        <f>IF(SER_hh_fec!V8=0,0,11630*1000*SER_hh_fec!V8/SER_hh_num!V8)</f>
        <v>0</v>
      </c>
      <c r="W8" s="132">
        <f>IF(SER_hh_fec!W8=0,0,11630*1000*SER_hh_fec!W8/SER_hh_num!W8)</f>
        <v>0</v>
      </c>
      <c r="X8" s="132">
        <f>IF(SER_hh_fec!X8=0,0,11630*1000*SER_hh_fec!X8/SER_hh_num!X8)</f>
        <v>0</v>
      </c>
      <c r="Y8" s="132">
        <f>IF(SER_hh_fec!Y8=0,0,11630*1000*SER_hh_fec!Y8/SER_hh_num!Y8)</f>
        <v>0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283003.52705786703</v>
      </c>
      <c r="C9" s="132">
        <f>IF(SER_hh_fec!C9=0,0,11630*1000*SER_hh_fec!C9/SER_hh_num!C9)</f>
        <v>210411.44208374023</v>
      </c>
      <c r="D9" s="132">
        <f>IF(SER_hh_fec!D9=0,0,11630*1000*SER_hh_fec!D9/SER_hh_num!D9)</f>
        <v>285354.95337903051</v>
      </c>
      <c r="E9" s="132">
        <f>IF(SER_hh_fec!E9=0,0,11630*1000*SER_hh_fec!E9/SER_hh_num!E9)</f>
        <v>297746.72824523854</v>
      </c>
      <c r="F9" s="132">
        <f>IF(SER_hh_fec!F9=0,0,11630*1000*SER_hh_fec!F9/SER_hh_num!F9)</f>
        <v>248234.07507468172</v>
      </c>
      <c r="G9" s="132">
        <f>IF(SER_hh_fec!G9=0,0,11630*1000*SER_hh_fec!G9/SER_hh_num!G9)</f>
        <v>232159.69903757607</v>
      </c>
      <c r="H9" s="132">
        <f>IF(SER_hh_fec!H9=0,0,11630*1000*SER_hh_fec!H9/SER_hh_num!H9)</f>
        <v>221342.93637912199</v>
      </c>
      <c r="I9" s="132">
        <f>IF(SER_hh_fec!I9=0,0,11630*1000*SER_hh_fec!I9/SER_hh_num!I9)</f>
        <v>230053.77153965589</v>
      </c>
      <c r="J9" s="132">
        <f>IF(SER_hh_fec!J9=0,0,11630*1000*SER_hh_fec!J9/SER_hh_num!J9)</f>
        <v>244539.33469885174</v>
      </c>
      <c r="K9" s="132">
        <f>IF(SER_hh_fec!K9=0,0,11630*1000*SER_hh_fec!K9/SER_hh_num!K9)</f>
        <v>112123.12080566953</v>
      </c>
      <c r="L9" s="132">
        <f>IF(SER_hh_fec!L9=0,0,11630*1000*SER_hh_fec!L9/SER_hh_num!L9)</f>
        <v>237038.1199750847</v>
      </c>
      <c r="M9" s="132">
        <f>IF(SER_hh_fec!M9=0,0,11630*1000*SER_hh_fec!M9/SER_hh_num!M9)</f>
        <v>181195.83283342046</v>
      </c>
      <c r="N9" s="132">
        <f>IF(SER_hh_fec!N9=0,0,11630*1000*SER_hh_fec!N9/SER_hh_num!N9)</f>
        <v>214414.71383702161</v>
      </c>
      <c r="O9" s="132">
        <f>IF(SER_hh_fec!O9=0,0,11630*1000*SER_hh_fec!O9/SER_hh_num!O9)</f>
        <v>184613.91999425393</v>
      </c>
      <c r="P9" s="132">
        <f>IF(SER_hh_fec!P9=0,0,11630*1000*SER_hh_fec!P9/SER_hh_num!P9)</f>
        <v>179000.29564460489</v>
      </c>
      <c r="Q9" s="132">
        <f>IF(SER_hh_fec!Q9=0,0,11630*1000*SER_hh_fec!Q9/SER_hh_num!Q9)</f>
        <v>185174.89622373509</v>
      </c>
      <c r="R9" s="132">
        <f>IF(SER_hh_fec!R9=0,0,11630*1000*SER_hh_fec!R9/SER_hh_num!R9)</f>
        <v>203720.57280441429</v>
      </c>
      <c r="S9" s="132">
        <f>IF(SER_hh_fec!S9=0,0,11630*1000*SER_hh_fec!S9/SER_hh_num!S9)</f>
        <v>110902.35259984677</v>
      </c>
      <c r="T9" s="132">
        <f>IF(SER_hh_fec!T9=0,0,11630*1000*SER_hh_fec!T9/SER_hh_num!T9)</f>
        <v>160331.86671879917</v>
      </c>
      <c r="U9" s="132">
        <f>IF(SER_hh_fec!U9=0,0,11630*1000*SER_hh_fec!U9/SER_hh_num!U9)</f>
        <v>185158.24910810869</v>
      </c>
      <c r="V9" s="132">
        <f>IF(SER_hh_fec!V9=0,0,11630*1000*SER_hh_fec!V9/SER_hh_num!V9)</f>
        <v>174046.93933921133</v>
      </c>
      <c r="W9" s="132">
        <f>IF(SER_hh_fec!W9=0,0,11630*1000*SER_hh_fec!W9/SER_hh_num!W9)</f>
        <v>167889.43851785615</v>
      </c>
      <c r="X9" s="132">
        <f>IF(SER_hh_fec!X9=0,0,11630*1000*SER_hh_fec!X9/SER_hh_num!X9)</f>
        <v>165415.89958580837</v>
      </c>
      <c r="Y9" s="132">
        <f>IF(SER_hh_fec!Y9=0,0,11630*1000*SER_hh_fec!Y9/SER_hh_num!Y9)</f>
        <v>152835.85230603511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199063.39539080716</v>
      </c>
      <c r="C10" s="132">
        <f>IF(SER_hh_fec!C10=0,0,11630*1000*SER_hh_fec!C10/SER_hh_num!C10)</f>
        <v>397600.98802031227</v>
      </c>
      <c r="D10" s="132">
        <f>IF(SER_hh_fec!D10=0,0,11630*1000*SER_hh_fec!D10/SER_hh_num!D10)</f>
        <v>264986.08563014114</v>
      </c>
      <c r="E10" s="132">
        <f>IF(SER_hh_fec!E10=0,0,11630*1000*SER_hh_fec!E10/SER_hh_num!E10)</f>
        <v>185528.3612012685</v>
      </c>
      <c r="F10" s="132">
        <f>IF(SER_hh_fec!F10=0,0,11630*1000*SER_hh_fec!F10/SER_hh_num!F10)</f>
        <v>303004.11212478398</v>
      </c>
      <c r="G10" s="132">
        <f>IF(SER_hh_fec!G10=0,0,11630*1000*SER_hh_fec!G10/SER_hh_num!G10)</f>
        <v>294031.50178304838</v>
      </c>
      <c r="H10" s="132">
        <f>IF(SER_hh_fec!H10=0,0,11630*1000*SER_hh_fec!H10/SER_hh_num!H10)</f>
        <v>205858.25256347054</v>
      </c>
      <c r="I10" s="132">
        <f>IF(SER_hh_fec!I10=0,0,11630*1000*SER_hh_fec!I10/SER_hh_num!I10)</f>
        <v>217553.27304282194</v>
      </c>
      <c r="J10" s="132">
        <f>IF(SER_hh_fec!J10=0,0,11630*1000*SER_hh_fec!J10/SER_hh_num!J10)</f>
        <v>224967.24639888553</v>
      </c>
      <c r="K10" s="132">
        <f>IF(SER_hh_fec!K10=0,0,11630*1000*SER_hh_fec!K10/SER_hh_num!K10)</f>
        <v>218593.75112337392</v>
      </c>
      <c r="L10" s="132">
        <f>IF(SER_hh_fec!L10=0,0,11630*1000*SER_hh_fec!L10/SER_hh_num!L10)</f>
        <v>214893.69499397182</v>
      </c>
      <c r="M10" s="132">
        <f>IF(SER_hh_fec!M10=0,0,11630*1000*SER_hh_fec!M10/SER_hh_num!M10)</f>
        <v>191244.71762999383</v>
      </c>
      <c r="N10" s="132">
        <f>IF(SER_hh_fec!N10=0,0,11630*1000*SER_hh_fec!N10/SER_hh_num!N10)</f>
        <v>242256.71848572395</v>
      </c>
      <c r="O10" s="132">
        <f>IF(SER_hh_fec!O10=0,0,11630*1000*SER_hh_fec!O10/SER_hh_num!O10)</f>
        <v>136768.581747452</v>
      </c>
      <c r="P10" s="132">
        <f>IF(SER_hh_fec!P10=0,0,11630*1000*SER_hh_fec!P10/SER_hh_num!P10)</f>
        <v>188352.9143506769</v>
      </c>
      <c r="Q10" s="132">
        <f>IF(SER_hh_fec!Q10=0,0,11630*1000*SER_hh_fec!Q10/SER_hh_num!Q10)</f>
        <v>176288.26392483828</v>
      </c>
      <c r="R10" s="132">
        <f>IF(SER_hh_fec!R10=0,0,11630*1000*SER_hh_fec!R10/SER_hh_num!R10)</f>
        <v>284295.3361821085</v>
      </c>
      <c r="S10" s="132">
        <f>IF(SER_hh_fec!S10=0,0,11630*1000*SER_hh_fec!S10/SER_hh_num!S10)</f>
        <v>281624.38839984284</v>
      </c>
      <c r="T10" s="132">
        <f>IF(SER_hh_fec!T10=0,0,11630*1000*SER_hh_fec!T10/SER_hh_num!T10)</f>
        <v>285115.35537573782</v>
      </c>
      <c r="U10" s="132">
        <f>IF(SER_hh_fec!U10=0,0,11630*1000*SER_hh_fec!U10/SER_hh_num!U10)</f>
        <v>170267.47265746121</v>
      </c>
      <c r="V10" s="132">
        <f>IF(SER_hh_fec!V10=0,0,11630*1000*SER_hh_fec!V10/SER_hh_num!V10)</f>
        <v>175287.0379364508</v>
      </c>
      <c r="W10" s="132">
        <f>IF(SER_hh_fec!W10=0,0,11630*1000*SER_hh_fec!W10/SER_hh_num!W10)</f>
        <v>216920.63604239529</v>
      </c>
      <c r="X10" s="132">
        <f>IF(SER_hh_fec!X10=0,0,11630*1000*SER_hh_fec!X10/SER_hh_num!X10)</f>
        <v>188697.17342086972</v>
      </c>
      <c r="Y10" s="132">
        <f>IF(SER_hh_fec!Y10=0,0,11630*1000*SER_hh_fec!Y10/SER_hh_num!Y10)</f>
        <v>215040.88422113692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0</v>
      </c>
      <c r="F11" s="132">
        <f>IF(SER_hh_fec!F11=0,0,11630*1000*SER_hh_fec!F11/SER_hh_num!F11)</f>
        <v>0</v>
      </c>
      <c r="G11" s="132">
        <f>IF(SER_hh_fec!G11=0,0,11630*1000*SER_hh_fec!G11/SER_hh_num!G11)</f>
        <v>0</v>
      </c>
      <c r="H11" s="132">
        <f>IF(SER_hh_fec!H11=0,0,11630*1000*SER_hh_fec!H11/SER_hh_num!H11)</f>
        <v>0</v>
      </c>
      <c r="I11" s="132">
        <f>IF(SER_hh_fec!I11=0,0,11630*1000*SER_hh_fec!I11/SER_hh_num!I11)</f>
        <v>0</v>
      </c>
      <c r="J11" s="132">
        <f>IF(SER_hh_fec!J11=0,0,11630*1000*SER_hh_fec!J11/SER_hh_num!J11)</f>
        <v>0</v>
      </c>
      <c r="K11" s="132">
        <f>IF(SER_hh_fec!K11=0,0,11630*1000*SER_hh_fec!K11/SER_hh_num!K11)</f>
        <v>0</v>
      </c>
      <c r="L11" s="132">
        <f>IF(SER_hh_fec!L11=0,0,11630*1000*SER_hh_fec!L11/SER_hh_num!L11)</f>
        <v>0</v>
      </c>
      <c r="M11" s="132">
        <f>IF(SER_hh_fec!M11=0,0,11630*1000*SER_hh_fec!M11/SER_hh_num!M11)</f>
        <v>0</v>
      </c>
      <c r="N11" s="132">
        <f>IF(SER_hh_fec!N11=0,0,11630*1000*SER_hh_fec!N11/SER_hh_num!N11)</f>
        <v>0</v>
      </c>
      <c r="O11" s="132">
        <f>IF(SER_hh_fec!O11=0,0,11630*1000*SER_hh_fec!O11/SER_hh_num!O11)</f>
        <v>0</v>
      </c>
      <c r="P11" s="132">
        <f>IF(SER_hh_fec!P11=0,0,11630*1000*SER_hh_fec!P11/SER_hh_num!P11)</f>
        <v>0</v>
      </c>
      <c r="Q11" s="132">
        <f>IF(SER_hh_fec!Q11=0,0,11630*1000*SER_hh_fec!Q11/SER_hh_num!Q11)</f>
        <v>0</v>
      </c>
      <c r="R11" s="132">
        <f>IF(SER_hh_fec!R11=0,0,11630*1000*SER_hh_fec!R11/SER_hh_num!R11)</f>
        <v>0</v>
      </c>
      <c r="S11" s="132">
        <f>IF(SER_hh_fec!S11=0,0,11630*1000*SER_hh_fec!S11/SER_hh_num!S11)</f>
        <v>0</v>
      </c>
      <c r="T11" s="132">
        <f>IF(SER_hh_fec!T11=0,0,11630*1000*SER_hh_fec!T11/SER_hh_num!T11)</f>
        <v>0</v>
      </c>
      <c r="U11" s="132">
        <f>IF(SER_hh_fec!U11=0,0,11630*1000*SER_hh_fec!U11/SER_hh_num!U11)</f>
        <v>0</v>
      </c>
      <c r="V11" s="132">
        <f>IF(SER_hh_fec!V11=0,0,11630*1000*SER_hh_fec!V11/SER_hh_num!V11)</f>
        <v>0</v>
      </c>
      <c r="W11" s="132">
        <f>IF(SER_hh_fec!W11=0,0,11630*1000*SER_hh_fec!W11/SER_hh_num!W11)</f>
        <v>0</v>
      </c>
      <c r="X11" s="132">
        <f>IF(SER_hh_fec!X11=0,0,11630*1000*SER_hh_fec!X11/SER_hh_num!X11)</f>
        <v>0</v>
      </c>
      <c r="Y11" s="132">
        <f>IF(SER_hh_fec!Y11=0,0,11630*1000*SER_hh_fec!Y11/SER_hh_num!Y11)</f>
        <v>0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174555.98353704906</v>
      </c>
      <c r="C12" s="132">
        <f>IF(SER_hh_fec!C12=0,0,11630*1000*SER_hh_fec!C12/SER_hh_num!C12)</f>
        <v>191658.89921543599</v>
      </c>
      <c r="D12" s="132">
        <f>IF(SER_hh_fec!D12=0,0,11630*1000*SER_hh_fec!D12/SER_hh_num!D12)</f>
        <v>187973.32006493787</v>
      </c>
      <c r="E12" s="132">
        <f>IF(SER_hh_fec!E12=0,0,11630*1000*SER_hh_fec!E12/SER_hh_num!E12)</f>
        <v>183683.48720564944</v>
      </c>
      <c r="F12" s="132">
        <f>IF(SER_hh_fec!F12=0,0,11630*1000*SER_hh_fec!F12/SER_hh_num!F12)</f>
        <v>167800.11847968298</v>
      </c>
      <c r="G12" s="132">
        <f>IF(SER_hh_fec!G12=0,0,11630*1000*SER_hh_fec!G12/SER_hh_num!G12)</f>
        <v>161479.5742644468</v>
      </c>
      <c r="H12" s="132">
        <f>IF(SER_hh_fec!H12=0,0,11630*1000*SER_hh_fec!H12/SER_hh_num!H12)</f>
        <v>155170.01532316883</v>
      </c>
      <c r="I12" s="132">
        <f>IF(SER_hh_fec!I12=0,0,11630*1000*SER_hh_fec!I12/SER_hh_num!I12)</f>
        <v>145430.46347775648</v>
      </c>
      <c r="J12" s="132">
        <f>IF(SER_hh_fec!J12=0,0,11630*1000*SER_hh_fec!J12/SER_hh_num!J12)</f>
        <v>144960.57917814405</v>
      </c>
      <c r="K12" s="132">
        <f>IF(SER_hh_fec!K12=0,0,11630*1000*SER_hh_fec!K12/SER_hh_num!K12)</f>
        <v>145370.67590586678</v>
      </c>
      <c r="L12" s="132">
        <f>IF(SER_hh_fec!L12=0,0,11630*1000*SER_hh_fec!L12/SER_hh_num!L12)</f>
        <v>157420.3041556548</v>
      </c>
      <c r="M12" s="132">
        <f>IF(SER_hh_fec!M12=0,0,11630*1000*SER_hh_fec!M12/SER_hh_num!M12)</f>
        <v>127481.08229679297</v>
      </c>
      <c r="N12" s="132">
        <f>IF(SER_hh_fec!N12=0,0,11630*1000*SER_hh_fec!N12/SER_hh_num!N12)</f>
        <v>138151.43219534043</v>
      </c>
      <c r="O12" s="132">
        <f>IF(SER_hh_fec!O12=0,0,11630*1000*SER_hh_fec!O12/SER_hh_num!O12)</f>
        <v>136216.66237706508</v>
      </c>
      <c r="P12" s="132">
        <f>IF(SER_hh_fec!P12=0,0,11630*1000*SER_hh_fec!P12/SER_hh_num!P12)</f>
        <v>130147.56852587419</v>
      </c>
      <c r="Q12" s="132">
        <f>IF(SER_hh_fec!Q12=0,0,11630*1000*SER_hh_fec!Q12/SER_hh_num!Q12)</f>
        <v>127500.48544839775</v>
      </c>
      <c r="R12" s="132">
        <f>IF(SER_hh_fec!R12=0,0,11630*1000*SER_hh_fec!R12/SER_hh_num!R12)</f>
        <v>136915.69621758891</v>
      </c>
      <c r="S12" s="132">
        <f>IF(SER_hh_fec!S12=0,0,11630*1000*SER_hh_fec!S12/SER_hh_num!S12)</f>
        <v>127180.16471331584</v>
      </c>
      <c r="T12" s="132">
        <f>IF(SER_hh_fec!T12=0,0,11630*1000*SER_hh_fec!T12/SER_hh_num!T12)</f>
        <v>131959.38285371193</v>
      </c>
      <c r="U12" s="132">
        <f>IF(SER_hh_fec!U12=0,0,11630*1000*SER_hh_fec!U12/SER_hh_num!U12)</f>
        <v>129125.53423428287</v>
      </c>
      <c r="V12" s="132">
        <f>IF(SER_hh_fec!V12=0,0,11630*1000*SER_hh_fec!V12/SER_hh_num!V12)</f>
        <v>116520.94846908284</v>
      </c>
      <c r="W12" s="132">
        <f>IF(SER_hh_fec!W12=0,0,11630*1000*SER_hh_fec!W12/SER_hh_num!W12)</f>
        <v>140159.02788756572</v>
      </c>
      <c r="X12" s="132">
        <f>IF(SER_hh_fec!X12=0,0,11630*1000*SER_hh_fec!X12/SER_hh_num!X12)</f>
        <v>130797.68423877566</v>
      </c>
      <c r="Y12" s="132">
        <f>IF(SER_hh_fec!Y12=0,0,11630*1000*SER_hh_fec!Y12/SER_hh_num!Y12)</f>
        <v>136936.29339372742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75035.658774996002</v>
      </c>
      <c r="C13" s="132">
        <f>IF(SER_hh_fec!C13=0,0,11630*1000*SER_hh_fec!C13/SER_hh_num!C13)</f>
        <v>97162.150213425295</v>
      </c>
      <c r="D13" s="132">
        <f>IF(SER_hh_fec!D13=0,0,11630*1000*SER_hh_fec!D13/SER_hh_num!D13)</f>
        <v>90638.386695212146</v>
      </c>
      <c r="E13" s="132">
        <f>IF(SER_hh_fec!E13=0,0,11630*1000*SER_hh_fec!E13/SER_hh_num!E13)</f>
        <v>78488.35835752073</v>
      </c>
      <c r="F13" s="132">
        <f>IF(SER_hh_fec!F13=0,0,11630*1000*SER_hh_fec!F13/SER_hh_num!F13)</f>
        <v>77541.036119777709</v>
      </c>
      <c r="G13" s="132">
        <f>IF(SER_hh_fec!G13=0,0,11630*1000*SER_hh_fec!G13/SER_hh_num!G13)</f>
        <v>62816.387319418951</v>
      </c>
      <c r="H13" s="132">
        <f>IF(SER_hh_fec!H13=0,0,11630*1000*SER_hh_fec!H13/SER_hh_num!H13)</f>
        <v>65142.328858297027</v>
      </c>
      <c r="I13" s="132">
        <f>IF(SER_hh_fec!I13=0,0,11630*1000*SER_hh_fec!I13/SER_hh_num!I13)</f>
        <v>66255.425338422967</v>
      </c>
      <c r="J13" s="132">
        <f>IF(SER_hh_fec!J13=0,0,11630*1000*SER_hh_fec!J13/SER_hh_num!J13)</f>
        <v>61118.806091056686</v>
      </c>
      <c r="K13" s="132">
        <f>IF(SER_hh_fec!K13=0,0,11630*1000*SER_hh_fec!K13/SER_hh_num!K13)</f>
        <v>57028.74045035147</v>
      </c>
      <c r="L13" s="132">
        <f>IF(SER_hh_fec!L13=0,0,11630*1000*SER_hh_fec!L13/SER_hh_num!L13)</f>
        <v>54703.67907104647</v>
      </c>
      <c r="M13" s="132">
        <f>IF(SER_hh_fec!M13=0,0,11630*1000*SER_hh_fec!M13/SER_hh_num!M13)</f>
        <v>50732.140572101183</v>
      </c>
      <c r="N13" s="132">
        <f>IF(SER_hh_fec!N13=0,0,11630*1000*SER_hh_fec!N13/SER_hh_num!N13)</f>
        <v>49466.637351249126</v>
      </c>
      <c r="O13" s="132">
        <f>IF(SER_hh_fec!O13=0,0,11630*1000*SER_hh_fec!O13/SER_hh_num!O13)</f>
        <v>47414.149201588807</v>
      </c>
      <c r="P13" s="132">
        <f>IF(SER_hh_fec!P13=0,0,11630*1000*SER_hh_fec!P13/SER_hh_num!P13)</f>
        <v>44534.608295230275</v>
      </c>
      <c r="Q13" s="132">
        <f>IF(SER_hh_fec!Q13=0,0,11630*1000*SER_hh_fec!Q13/SER_hh_num!Q13)</f>
        <v>41610.294999128077</v>
      </c>
      <c r="R13" s="132">
        <f>IF(SER_hh_fec!R13=0,0,11630*1000*SER_hh_fec!R13/SER_hh_num!R13)</f>
        <v>43932.232983406502</v>
      </c>
      <c r="S13" s="132">
        <f>IF(SER_hh_fec!S13=0,0,11630*1000*SER_hh_fec!S13/SER_hh_num!S13)</f>
        <v>39177.995833445624</v>
      </c>
      <c r="T13" s="132">
        <f>IF(SER_hh_fec!T13=0,0,11630*1000*SER_hh_fec!T13/SER_hh_num!T13)</f>
        <v>37339.548269229148</v>
      </c>
      <c r="U13" s="132">
        <f>IF(SER_hh_fec!U13=0,0,11630*1000*SER_hh_fec!U13/SER_hh_num!U13)</f>
        <v>34282.244764318064</v>
      </c>
      <c r="V13" s="132">
        <f>IF(SER_hh_fec!V13=0,0,11630*1000*SER_hh_fec!V13/SER_hh_num!V13)</f>
        <v>34505.86350051334</v>
      </c>
      <c r="W13" s="132">
        <f>IF(SER_hh_fec!W13=0,0,11630*1000*SER_hh_fec!W13/SER_hh_num!W13)</f>
        <v>34558.104610936702</v>
      </c>
      <c r="X13" s="132">
        <f>IF(SER_hh_fec!X13=0,0,11630*1000*SER_hh_fec!X13/SER_hh_num!X13)</f>
        <v>34345.544609621014</v>
      </c>
      <c r="Y13" s="132">
        <f>IF(SER_hh_fec!Y13=0,0,11630*1000*SER_hh_fec!Y13/SER_hh_num!Y13)</f>
        <v>32854.355767165835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191113.87337974776</v>
      </c>
      <c r="C14" s="65">
        <f>IF(SER_hh_fec!C14=0,0,11630*1000*SER_hh_fec!C14/SER_hh_num!C14)</f>
        <v>224261.10448917522</v>
      </c>
      <c r="D14" s="65">
        <f>IF(SER_hh_fec!D14=0,0,11630*1000*SER_hh_fec!D14/SER_hh_num!D14)</f>
        <v>218536.73322324883</v>
      </c>
      <c r="E14" s="65">
        <f>IF(SER_hh_fec!E14=0,0,11630*1000*SER_hh_fec!E14/SER_hh_num!E14)</f>
        <v>201950.31830311834</v>
      </c>
      <c r="F14" s="65">
        <f>IF(SER_hh_fec!F14=0,0,11630*1000*SER_hh_fec!F14/SER_hh_num!F14)</f>
        <v>197538.33311453916</v>
      </c>
      <c r="G14" s="65">
        <f>IF(SER_hh_fec!G14=0,0,11630*1000*SER_hh_fec!G14/SER_hh_num!G14)</f>
        <v>162607.42064443126</v>
      </c>
      <c r="H14" s="65">
        <f>IF(SER_hh_fec!H14=0,0,11630*1000*SER_hh_fec!H14/SER_hh_num!H14)</f>
        <v>170199.57153627567</v>
      </c>
      <c r="I14" s="65">
        <f>IF(SER_hh_fec!I14=0,0,11630*1000*SER_hh_fec!I14/SER_hh_num!I14)</f>
        <v>181495.56198609661</v>
      </c>
      <c r="J14" s="65">
        <f>IF(SER_hh_fec!J14=0,0,11630*1000*SER_hh_fec!J14/SER_hh_num!J14)</f>
        <v>173848.26599289724</v>
      </c>
      <c r="K14" s="65">
        <f>IF(SER_hh_fec!K14=0,0,11630*1000*SER_hh_fec!K14/SER_hh_num!K14)</f>
        <v>152091.04429197212</v>
      </c>
      <c r="L14" s="65">
        <f>IF(SER_hh_fec!L14=0,0,11630*1000*SER_hh_fec!L14/SER_hh_num!L14)</f>
        <v>173405.12812766831</v>
      </c>
      <c r="M14" s="65">
        <f>IF(SER_hh_fec!M14=0,0,11630*1000*SER_hh_fec!M14/SER_hh_num!M14)</f>
        <v>134550.2875349019</v>
      </c>
      <c r="N14" s="65">
        <f>IF(SER_hh_fec!N14=0,0,11630*1000*SER_hh_fec!N14/SER_hh_num!N14)</f>
        <v>148516.89879465883</v>
      </c>
      <c r="O14" s="65">
        <f>IF(SER_hh_fec!O14=0,0,11630*1000*SER_hh_fec!O14/SER_hh_num!O14)</f>
        <v>135648.94324177995</v>
      </c>
      <c r="P14" s="65">
        <f>IF(SER_hh_fec!P14=0,0,11630*1000*SER_hh_fec!P14/SER_hh_num!P14)</f>
        <v>137310.48028436239</v>
      </c>
      <c r="Q14" s="65">
        <f>IF(SER_hh_fec!Q14=0,0,11630*1000*SER_hh_fec!Q14/SER_hh_num!Q14)</f>
        <v>147870.55451897369</v>
      </c>
      <c r="R14" s="65">
        <f>IF(SER_hh_fec!R14=0,0,11630*1000*SER_hh_fec!R14/SER_hh_num!R14)</f>
        <v>157602.78624624357</v>
      </c>
      <c r="S14" s="65">
        <f>IF(SER_hh_fec!S14=0,0,11630*1000*SER_hh_fec!S14/SER_hh_num!S14)</f>
        <v>132206.96763247336</v>
      </c>
      <c r="T14" s="65">
        <f>IF(SER_hh_fec!T14=0,0,11630*1000*SER_hh_fec!T14/SER_hh_num!T14)</f>
        <v>140003.38101513716</v>
      </c>
      <c r="U14" s="65">
        <f>IF(SER_hh_fec!U14=0,0,11630*1000*SER_hh_fec!U14/SER_hh_num!U14)</f>
        <v>125919.94675268701</v>
      </c>
      <c r="V14" s="65">
        <f>IF(SER_hh_fec!V14=0,0,11630*1000*SER_hh_fec!V14/SER_hh_num!V14)</f>
        <v>127914.78385017962</v>
      </c>
      <c r="W14" s="65">
        <f>IF(SER_hh_fec!W14=0,0,11630*1000*SER_hh_fec!W14/SER_hh_num!W14)</f>
        <v>133576.8003264897</v>
      </c>
      <c r="X14" s="65">
        <f>IF(SER_hh_fec!X14=0,0,11630*1000*SER_hh_fec!X14/SER_hh_num!X14)</f>
        <v>143825.8599124696</v>
      </c>
      <c r="Y14" s="65">
        <f>IF(SER_hh_fec!Y14=0,0,11630*1000*SER_hh_fec!Y14/SER_hh_num!Y14)</f>
        <v>132114.72775295051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1385.4259679896029</v>
      </c>
      <c r="C15" s="134">
        <f>IF(SER_hh_fec!C15=0,0,11630*1000*SER_hh_fec!C15/SER_hh_num!C15)</f>
        <v>1427.4452070370435</v>
      </c>
      <c r="D15" s="134">
        <f>IF(SER_hh_fec!D15=0,0,11630*1000*SER_hh_fec!D15/SER_hh_num!D15)</f>
        <v>1388.8046511960213</v>
      </c>
      <c r="E15" s="134">
        <f>IF(SER_hh_fec!E15=0,0,11630*1000*SER_hh_fec!E15/SER_hh_num!E15)</f>
        <v>1411.0881934575141</v>
      </c>
      <c r="F15" s="134">
        <f>IF(SER_hh_fec!F15=0,0,11630*1000*SER_hh_fec!F15/SER_hh_num!F15)</f>
        <v>1161.1855257277523</v>
      </c>
      <c r="G15" s="134">
        <f>IF(SER_hh_fec!G15=0,0,11630*1000*SER_hh_fec!G15/SER_hh_num!G15)</f>
        <v>858.92456552005751</v>
      </c>
      <c r="H15" s="134">
        <f>IF(SER_hh_fec!H15=0,0,11630*1000*SER_hh_fec!H15/SER_hh_num!H15)</f>
        <v>810.4254200131229</v>
      </c>
      <c r="I15" s="134">
        <f>IF(SER_hh_fec!I15=0,0,11630*1000*SER_hh_fec!I15/SER_hh_num!I15)</f>
        <v>785.10503834125802</v>
      </c>
      <c r="J15" s="134">
        <f>IF(SER_hh_fec!J15=0,0,11630*1000*SER_hh_fec!J15/SER_hh_num!J15)</f>
        <v>741.48178574166616</v>
      </c>
      <c r="K15" s="134">
        <f>IF(SER_hh_fec!K15=0,0,11630*1000*SER_hh_fec!K15/SER_hh_num!K15)</f>
        <v>689.97864625140187</v>
      </c>
      <c r="L15" s="134">
        <f>IF(SER_hh_fec!L15=0,0,11630*1000*SER_hh_fec!L15/SER_hh_num!L15)</f>
        <v>772.5083554452051</v>
      </c>
      <c r="M15" s="134">
        <f>IF(SER_hh_fec!M15=0,0,11630*1000*SER_hh_fec!M15/SER_hh_num!M15)</f>
        <v>654.69259930493649</v>
      </c>
      <c r="N15" s="134">
        <f>IF(SER_hh_fec!N15=0,0,11630*1000*SER_hh_fec!N15/SER_hh_num!N15)</f>
        <v>708.67234139951506</v>
      </c>
      <c r="O15" s="134">
        <f>IF(SER_hh_fec!O15=0,0,11630*1000*SER_hh_fec!O15/SER_hh_num!O15)</f>
        <v>661.66940988239139</v>
      </c>
      <c r="P15" s="134">
        <f>IF(SER_hh_fec!P15=0,0,11630*1000*SER_hh_fec!P15/SER_hh_num!P15)</f>
        <v>648.45090427227274</v>
      </c>
      <c r="Q15" s="134">
        <f>IF(SER_hh_fec!Q15=0,0,11630*1000*SER_hh_fec!Q15/SER_hh_num!Q15)</f>
        <v>633.48593599325375</v>
      </c>
      <c r="R15" s="134">
        <f>IF(SER_hh_fec!R15=0,0,11630*1000*SER_hh_fec!R15/SER_hh_num!R15)</f>
        <v>670.53913987987937</v>
      </c>
      <c r="S15" s="134">
        <f>IF(SER_hh_fec!S15=0,0,11630*1000*SER_hh_fec!S15/SER_hh_num!S15)</f>
        <v>618.09040946730875</v>
      </c>
      <c r="T15" s="134">
        <f>IF(SER_hh_fec!T15=0,0,11630*1000*SER_hh_fec!T15/SER_hh_num!T15)</f>
        <v>657.91985598600638</v>
      </c>
      <c r="U15" s="134">
        <f>IF(SER_hh_fec!U15=0,0,11630*1000*SER_hh_fec!U15/SER_hh_num!U15)</f>
        <v>654.11333932973389</v>
      </c>
      <c r="V15" s="134">
        <f>IF(SER_hh_fec!V15=0,0,11630*1000*SER_hh_fec!V15/SER_hh_num!V15)</f>
        <v>628.13823493431551</v>
      </c>
      <c r="W15" s="134">
        <f>IF(SER_hh_fec!W15=0,0,11630*1000*SER_hh_fec!W15/SER_hh_num!W15)</f>
        <v>679.85785679795913</v>
      </c>
      <c r="X15" s="134">
        <f>IF(SER_hh_fec!X15=0,0,11630*1000*SER_hh_fec!X15/SER_hh_num!X15)</f>
        <v>650.72516659349799</v>
      </c>
      <c r="Y15" s="134">
        <f>IF(SER_hh_fec!Y15=0,0,11630*1000*SER_hh_fec!Y15/SER_hh_num!Y15)</f>
        <v>633.78269030857086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11871.563164208348</v>
      </c>
      <c r="C16" s="130">
        <f>IF(SER_hh_fec!C16=0,0,11630*1000*SER_hh_fec!C16/SER_hh_num!C16)</f>
        <v>11492.637966021941</v>
      </c>
      <c r="D16" s="130">
        <f>IF(SER_hh_fec!D16=0,0,11630*1000*SER_hh_fec!D16/SER_hh_num!D16)</f>
        <v>11042.72435123272</v>
      </c>
      <c r="E16" s="130">
        <f>IF(SER_hh_fec!E16=0,0,11630*1000*SER_hh_fec!E16/SER_hh_num!E16)</f>
        <v>10597.799422116175</v>
      </c>
      <c r="F16" s="130">
        <f>IF(SER_hh_fec!F16=0,0,11630*1000*SER_hh_fec!F16/SER_hh_num!F16)</f>
        <v>10090.637188648725</v>
      </c>
      <c r="G16" s="130">
        <f>IF(SER_hh_fec!G16=0,0,11630*1000*SER_hh_fec!G16/SER_hh_num!G16)</f>
        <v>9576.7094932381078</v>
      </c>
      <c r="H16" s="130">
        <f>IF(SER_hh_fec!H16=0,0,11630*1000*SER_hh_fec!H16/SER_hh_num!H16)</f>
        <v>9028.631542961848</v>
      </c>
      <c r="I16" s="130">
        <f>IF(SER_hh_fec!I16=0,0,11630*1000*SER_hh_fec!I16/SER_hh_num!I16)</f>
        <v>8437.8022055841229</v>
      </c>
      <c r="J16" s="130">
        <f>IF(SER_hh_fec!J16=0,0,11630*1000*SER_hh_fec!J16/SER_hh_num!J16)</f>
        <v>7892.8901117271489</v>
      </c>
      <c r="K16" s="130">
        <f>IF(SER_hh_fec!K16=0,0,11630*1000*SER_hh_fec!K16/SER_hh_num!K16)</f>
        <v>7761.1503992937314</v>
      </c>
      <c r="L16" s="130">
        <f>IF(SER_hh_fec!L16=0,0,11630*1000*SER_hh_fec!L16/SER_hh_num!L16)</f>
        <v>7676.686614428083</v>
      </c>
      <c r="M16" s="130">
        <f>IF(SER_hh_fec!M16=0,0,11630*1000*SER_hh_fec!M16/SER_hh_num!M16)</f>
        <v>7284.8291512959941</v>
      </c>
      <c r="N16" s="130">
        <f>IF(SER_hh_fec!N16=0,0,11630*1000*SER_hh_fec!N16/SER_hh_num!N16)</f>
        <v>7017.3188200551531</v>
      </c>
      <c r="O16" s="130">
        <f>IF(SER_hh_fec!O16=0,0,11630*1000*SER_hh_fec!O16/SER_hh_num!O16)</f>
        <v>6750.5245642184727</v>
      </c>
      <c r="P16" s="130">
        <f>IF(SER_hh_fec!P16=0,0,11630*1000*SER_hh_fec!P16/SER_hh_num!P16)</f>
        <v>6577.3669397769318</v>
      </c>
      <c r="Q16" s="130">
        <f>IF(SER_hh_fec!Q16=0,0,11630*1000*SER_hh_fec!Q16/SER_hh_num!Q16)</f>
        <v>6244.209398011466</v>
      </c>
      <c r="R16" s="130">
        <f>IF(SER_hh_fec!R16=0,0,11630*1000*SER_hh_fec!R16/SER_hh_num!R16)</f>
        <v>6027.0093017149093</v>
      </c>
      <c r="S16" s="130">
        <f>IF(SER_hh_fec!S16=0,0,11630*1000*SER_hh_fec!S16/SER_hh_num!S16)</f>
        <v>5822.0640414034606</v>
      </c>
      <c r="T16" s="130">
        <f>IF(SER_hh_fec!T16=0,0,11630*1000*SER_hh_fec!T16/SER_hh_num!T16)</f>
        <v>5727.1600701782054</v>
      </c>
      <c r="U16" s="130">
        <f>IF(SER_hh_fec!U16=0,0,11630*1000*SER_hh_fec!U16/SER_hh_num!U16)</f>
        <v>5577.3864024348495</v>
      </c>
      <c r="V16" s="130">
        <f>IF(SER_hh_fec!V16=0,0,11630*1000*SER_hh_fec!V16/SER_hh_num!V16)</f>
        <v>5343.4223099257388</v>
      </c>
      <c r="W16" s="130">
        <f>IF(SER_hh_fec!W16=0,0,11630*1000*SER_hh_fec!W16/SER_hh_num!W16)</f>
        <v>5355.5459362693327</v>
      </c>
      <c r="X16" s="130">
        <f>IF(SER_hh_fec!X16=0,0,11630*1000*SER_hh_fec!X16/SER_hh_num!X16)</f>
        <v>5197.7887788781045</v>
      </c>
      <c r="Y16" s="130">
        <f>IF(SER_hh_fec!Y16=0,0,11630*1000*SER_hh_fec!Y16/SER_hh_num!Y16)</f>
        <v>5168.966333460743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0</v>
      </c>
      <c r="C17" s="132">
        <f>IF(SER_hh_fec!C17=0,0,11630*1000*SER_hh_fec!C17/SER_hh_num!C17)</f>
        <v>0</v>
      </c>
      <c r="D17" s="132">
        <f>IF(SER_hh_fec!D17=0,0,11630*1000*SER_hh_fec!D17/SER_hh_num!D17)</f>
        <v>0</v>
      </c>
      <c r="E17" s="132">
        <f>IF(SER_hh_fec!E17=0,0,11630*1000*SER_hh_fec!E17/SER_hh_num!E17)</f>
        <v>0</v>
      </c>
      <c r="F17" s="132">
        <f>IF(SER_hh_fec!F17=0,0,11630*1000*SER_hh_fec!F17/SER_hh_num!F17)</f>
        <v>0</v>
      </c>
      <c r="G17" s="132">
        <f>IF(SER_hh_fec!G17=0,0,11630*1000*SER_hh_fec!G17/SER_hh_num!G17)</f>
        <v>0</v>
      </c>
      <c r="H17" s="132">
        <f>IF(SER_hh_fec!H17=0,0,11630*1000*SER_hh_fec!H17/SER_hh_num!H17)</f>
        <v>0</v>
      </c>
      <c r="I17" s="132">
        <f>IF(SER_hh_fec!I17=0,0,11630*1000*SER_hh_fec!I17/SER_hh_num!I17)</f>
        <v>0</v>
      </c>
      <c r="J17" s="132">
        <f>IF(SER_hh_fec!J17=0,0,11630*1000*SER_hh_fec!J17/SER_hh_num!J17)</f>
        <v>0</v>
      </c>
      <c r="K17" s="132">
        <f>IF(SER_hh_fec!K17=0,0,11630*1000*SER_hh_fec!K17/SER_hh_num!K17)</f>
        <v>0</v>
      </c>
      <c r="L17" s="132">
        <f>IF(SER_hh_fec!L17=0,0,11630*1000*SER_hh_fec!L17/SER_hh_num!L17)</f>
        <v>0</v>
      </c>
      <c r="M17" s="132">
        <f>IF(SER_hh_fec!M17=0,0,11630*1000*SER_hh_fec!M17/SER_hh_num!M17)</f>
        <v>0</v>
      </c>
      <c r="N17" s="132">
        <f>IF(SER_hh_fec!N17=0,0,11630*1000*SER_hh_fec!N17/SER_hh_num!N17)</f>
        <v>0</v>
      </c>
      <c r="O17" s="132">
        <f>IF(SER_hh_fec!O17=0,0,11630*1000*SER_hh_fec!O17/SER_hh_num!O17)</f>
        <v>0</v>
      </c>
      <c r="P17" s="132">
        <f>IF(SER_hh_fec!P17=0,0,11630*1000*SER_hh_fec!P17/SER_hh_num!P17)</f>
        <v>0</v>
      </c>
      <c r="Q17" s="132">
        <f>IF(SER_hh_fec!Q17=0,0,11630*1000*SER_hh_fec!Q17/SER_hh_num!Q17)</f>
        <v>0</v>
      </c>
      <c r="R17" s="132">
        <f>IF(SER_hh_fec!R17=0,0,11630*1000*SER_hh_fec!R17/SER_hh_num!R17)</f>
        <v>0</v>
      </c>
      <c r="S17" s="132">
        <f>IF(SER_hh_fec!S17=0,0,11630*1000*SER_hh_fec!S17/SER_hh_num!S17)</f>
        <v>0</v>
      </c>
      <c r="T17" s="132">
        <f>IF(SER_hh_fec!T17=0,0,11630*1000*SER_hh_fec!T17/SER_hh_num!T17)</f>
        <v>0</v>
      </c>
      <c r="U17" s="132">
        <f>IF(SER_hh_fec!U17=0,0,11630*1000*SER_hh_fec!U17/SER_hh_num!U17)</f>
        <v>0</v>
      </c>
      <c r="V17" s="132">
        <f>IF(SER_hh_fec!V17=0,0,11630*1000*SER_hh_fec!V17/SER_hh_num!V17)</f>
        <v>0</v>
      </c>
      <c r="W17" s="132">
        <f>IF(SER_hh_fec!W17=0,0,11630*1000*SER_hh_fec!W17/SER_hh_num!W17)</f>
        <v>0</v>
      </c>
      <c r="X17" s="132">
        <f>IF(SER_hh_fec!X17=0,0,11630*1000*SER_hh_fec!X17/SER_hh_num!X17)</f>
        <v>0</v>
      </c>
      <c r="Y17" s="132">
        <f>IF(SER_hh_fec!Y17=0,0,11630*1000*SER_hh_fec!Y17/SER_hh_num!Y17)</f>
        <v>0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11871.563164208348</v>
      </c>
      <c r="C18" s="132">
        <f>IF(SER_hh_fec!C18=0,0,11630*1000*SER_hh_fec!C18/SER_hh_num!C18)</f>
        <v>11492.637966021941</v>
      </c>
      <c r="D18" s="132">
        <f>IF(SER_hh_fec!D18=0,0,11630*1000*SER_hh_fec!D18/SER_hh_num!D18)</f>
        <v>11042.72435123272</v>
      </c>
      <c r="E18" s="132">
        <f>IF(SER_hh_fec!E18=0,0,11630*1000*SER_hh_fec!E18/SER_hh_num!E18)</f>
        <v>10597.799422116175</v>
      </c>
      <c r="F18" s="132">
        <f>IF(SER_hh_fec!F18=0,0,11630*1000*SER_hh_fec!F18/SER_hh_num!F18)</f>
        <v>10090.637188648725</v>
      </c>
      <c r="G18" s="132">
        <f>IF(SER_hh_fec!G18=0,0,11630*1000*SER_hh_fec!G18/SER_hh_num!G18)</f>
        <v>9576.7094932381078</v>
      </c>
      <c r="H18" s="132">
        <f>IF(SER_hh_fec!H18=0,0,11630*1000*SER_hh_fec!H18/SER_hh_num!H18)</f>
        <v>9028.631542961848</v>
      </c>
      <c r="I18" s="132">
        <f>IF(SER_hh_fec!I18=0,0,11630*1000*SER_hh_fec!I18/SER_hh_num!I18)</f>
        <v>8437.8022055841229</v>
      </c>
      <c r="J18" s="132">
        <f>IF(SER_hh_fec!J18=0,0,11630*1000*SER_hh_fec!J18/SER_hh_num!J18)</f>
        <v>7892.8901117271489</v>
      </c>
      <c r="K18" s="132">
        <f>IF(SER_hh_fec!K18=0,0,11630*1000*SER_hh_fec!K18/SER_hh_num!K18)</f>
        <v>7761.1503992937314</v>
      </c>
      <c r="L18" s="132">
        <f>IF(SER_hh_fec!L18=0,0,11630*1000*SER_hh_fec!L18/SER_hh_num!L18)</f>
        <v>7676.686614428083</v>
      </c>
      <c r="M18" s="132">
        <f>IF(SER_hh_fec!M18=0,0,11630*1000*SER_hh_fec!M18/SER_hh_num!M18)</f>
        <v>7284.8291512959941</v>
      </c>
      <c r="N18" s="132">
        <f>IF(SER_hh_fec!N18=0,0,11630*1000*SER_hh_fec!N18/SER_hh_num!N18)</f>
        <v>7017.3188200551531</v>
      </c>
      <c r="O18" s="132">
        <f>IF(SER_hh_fec!O18=0,0,11630*1000*SER_hh_fec!O18/SER_hh_num!O18)</f>
        <v>6750.5245642184727</v>
      </c>
      <c r="P18" s="132">
        <f>IF(SER_hh_fec!P18=0,0,11630*1000*SER_hh_fec!P18/SER_hh_num!P18)</f>
        <v>6577.3669397769318</v>
      </c>
      <c r="Q18" s="132">
        <f>IF(SER_hh_fec!Q18=0,0,11630*1000*SER_hh_fec!Q18/SER_hh_num!Q18)</f>
        <v>6244.209398011466</v>
      </c>
      <c r="R18" s="132">
        <f>IF(SER_hh_fec!R18=0,0,11630*1000*SER_hh_fec!R18/SER_hh_num!R18)</f>
        <v>6027.0093017149093</v>
      </c>
      <c r="S18" s="132">
        <f>IF(SER_hh_fec!S18=0,0,11630*1000*SER_hh_fec!S18/SER_hh_num!S18)</f>
        <v>5822.0640414034606</v>
      </c>
      <c r="T18" s="132">
        <f>IF(SER_hh_fec!T18=0,0,11630*1000*SER_hh_fec!T18/SER_hh_num!T18)</f>
        <v>5727.1600701782054</v>
      </c>
      <c r="U18" s="132">
        <f>IF(SER_hh_fec!U18=0,0,11630*1000*SER_hh_fec!U18/SER_hh_num!U18)</f>
        <v>5577.3864024348495</v>
      </c>
      <c r="V18" s="132">
        <f>IF(SER_hh_fec!V18=0,0,11630*1000*SER_hh_fec!V18/SER_hh_num!V18)</f>
        <v>5343.4223099257388</v>
      </c>
      <c r="W18" s="132">
        <f>IF(SER_hh_fec!W18=0,0,11630*1000*SER_hh_fec!W18/SER_hh_num!W18)</f>
        <v>5355.5459362693327</v>
      </c>
      <c r="X18" s="132">
        <f>IF(SER_hh_fec!X18=0,0,11630*1000*SER_hh_fec!X18/SER_hh_num!X18)</f>
        <v>5197.7887788781045</v>
      </c>
      <c r="Y18" s="132">
        <f>IF(SER_hh_fec!Y18=0,0,11630*1000*SER_hh_fec!Y18/SER_hh_num!Y18)</f>
        <v>5168.966333460743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26720.321920731509</v>
      </c>
      <c r="C19" s="130">
        <f>IF(SER_hh_fec!C19=0,0,11630*1000*SER_hh_fec!C19/SER_hh_num!C19)</f>
        <v>26484.111419691217</v>
      </c>
      <c r="D19" s="130">
        <f>IF(SER_hh_fec!D19=0,0,11630*1000*SER_hh_fec!D19/SER_hh_num!D19)</f>
        <v>26277.121472082261</v>
      </c>
      <c r="E19" s="130">
        <f>IF(SER_hh_fec!E19=0,0,11630*1000*SER_hh_fec!E19/SER_hh_num!E19)</f>
        <v>26211.572486146131</v>
      </c>
      <c r="F19" s="130">
        <f>IF(SER_hh_fec!F19=0,0,11630*1000*SER_hh_fec!F19/SER_hh_num!F19)</f>
        <v>25800.865945518901</v>
      </c>
      <c r="G19" s="130">
        <f>IF(SER_hh_fec!G19=0,0,11630*1000*SER_hh_fec!G19/SER_hh_num!G19)</f>
        <v>25375.998316368245</v>
      </c>
      <c r="H19" s="130">
        <f>IF(SER_hh_fec!H19=0,0,11630*1000*SER_hh_fec!H19/SER_hh_num!H19)</f>
        <v>25065.233315629932</v>
      </c>
      <c r="I19" s="130">
        <f>IF(SER_hh_fec!I19=0,0,11630*1000*SER_hh_fec!I19/SER_hh_num!I19)</f>
        <v>25075.989455805102</v>
      </c>
      <c r="J19" s="130">
        <f>IF(SER_hh_fec!J19=0,0,11630*1000*SER_hh_fec!J19/SER_hh_num!J19)</f>
        <v>25107.823712886355</v>
      </c>
      <c r="K19" s="130">
        <f>IF(SER_hh_fec!K19=0,0,11630*1000*SER_hh_fec!K19/SER_hh_num!K19)</f>
        <v>25098.091120922421</v>
      </c>
      <c r="L19" s="130">
        <f>IF(SER_hh_fec!L19=0,0,11630*1000*SER_hh_fec!L19/SER_hh_num!L19)</f>
        <v>24905.691407058002</v>
      </c>
      <c r="M19" s="130">
        <f>IF(SER_hh_fec!M19=0,0,11630*1000*SER_hh_fec!M19/SER_hh_num!M19)</f>
        <v>24919.945231181071</v>
      </c>
      <c r="N19" s="130">
        <f>IF(SER_hh_fec!N19=0,0,11630*1000*SER_hh_fec!N19/SER_hh_num!N19)</f>
        <v>24727.315473083403</v>
      </c>
      <c r="O19" s="130">
        <f>IF(SER_hh_fec!O19=0,0,11630*1000*SER_hh_fec!O19/SER_hh_num!O19)</f>
        <v>24764.614439057281</v>
      </c>
      <c r="P19" s="130">
        <f>IF(SER_hh_fec!P19=0,0,11630*1000*SER_hh_fec!P19/SER_hh_num!P19)</f>
        <v>24672.46607310282</v>
      </c>
      <c r="Q19" s="130">
        <f>IF(SER_hh_fec!Q19=0,0,11630*1000*SER_hh_fec!Q19/SER_hh_num!Q19)</f>
        <v>24541.077572842638</v>
      </c>
      <c r="R19" s="130">
        <f>IF(SER_hh_fec!R19=0,0,11630*1000*SER_hh_fec!R19/SER_hh_num!R19)</f>
        <v>24015.626387555949</v>
      </c>
      <c r="S19" s="130">
        <f>IF(SER_hh_fec!S19=0,0,11630*1000*SER_hh_fec!S19/SER_hh_num!S19)</f>
        <v>23974.92212275253</v>
      </c>
      <c r="T19" s="130">
        <f>IF(SER_hh_fec!T19=0,0,11630*1000*SER_hh_fec!T19/SER_hh_num!T19)</f>
        <v>23651.237676073146</v>
      </c>
      <c r="U19" s="130">
        <f>IF(SER_hh_fec!U19=0,0,11630*1000*SER_hh_fec!U19/SER_hh_num!U19)</f>
        <v>23528.350321647704</v>
      </c>
      <c r="V19" s="130">
        <f>IF(SER_hh_fec!V19=0,0,11630*1000*SER_hh_fec!V19/SER_hh_num!V19)</f>
        <v>23757.632831481253</v>
      </c>
      <c r="W19" s="130">
        <f>IF(SER_hh_fec!W19=0,0,11630*1000*SER_hh_fec!W19/SER_hh_num!W19)</f>
        <v>23152.072398803168</v>
      </c>
      <c r="X19" s="130">
        <f>IF(SER_hh_fec!X19=0,0,11630*1000*SER_hh_fec!X19/SER_hh_num!X19)</f>
        <v>22318.663558801876</v>
      </c>
      <c r="Y19" s="130">
        <f>IF(SER_hh_fec!Y19=0,0,11630*1000*SER_hh_fec!Y19/SER_hh_num!Y19)</f>
        <v>21814.58225654942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0</v>
      </c>
      <c r="C21" s="132">
        <f>IF(SER_hh_fec!C21=0,0,11630*1000*SER_hh_fec!C21/SER_hh_num!C21)</f>
        <v>0</v>
      </c>
      <c r="D21" s="132">
        <f>IF(SER_hh_fec!D21=0,0,11630*1000*SER_hh_fec!D21/SER_hh_num!D21)</f>
        <v>0</v>
      </c>
      <c r="E21" s="132">
        <f>IF(SER_hh_fec!E21=0,0,11630*1000*SER_hh_fec!E21/SER_hh_num!E21)</f>
        <v>0</v>
      </c>
      <c r="F21" s="132">
        <f>IF(SER_hh_fec!F21=0,0,11630*1000*SER_hh_fec!F21/SER_hh_num!F21)</f>
        <v>0</v>
      </c>
      <c r="G21" s="132">
        <f>IF(SER_hh_fec!G21=0,0,11630*1000*SER_hh_fec!G21/SER_hh_num!G21)</f>
        <v>0</v>
      </c>
      <c r="H21" s="132">
        <f>IF(SER_hh_fec!H21=0,0,11630*1000*SER_hh_fec!H21/SER_hh_num!H21)</f>
        <v>0</v>
      </c>
      <c r="I21" s="132">
        <f>IF(SER_hh_fec!I21=0,0,11630*1000*SER_hh_fec!I21/SER_hh_num!I21)</f>
        <v>0</v>
      </c>
      <c r="J21" s="132">
        <f>IF(SER_hh_fec!J21=0,0,11630*1000*SER_hh_fec!J21/SER_hh_num!J21)</f>
        <v>0</v>
      </c>
      <c r="K21" s="132">
        <f>IF(SER_hh_fec!K21=0,0,11630*1000*SER_hh_fec!K21/SER_hh_num!K21)</f>
        <v>0</v>
      </c>
      <c r="L21" s="132">
        <f>IF(SER_hh_fec!L21=0,0,11630*1000*SER_hh_fec!L21/SER_hh_num!L21)</f>
        <v>0</v>
      </c>
      <c r="M21" s="132">
        <f>IF(SER_hh_fec!M21=0,0,11630*1000*SER_hh_fec!M21/SER_hh_num!M21)</f>
        <v>0</v>
      </c>
      <c r="N21" s="132">
        <f>IF(SER_hh_fec!N21=0,0,11630*1000*SER_hh_fec!N21/SER_hh_num!N21)</f>
        <v>0</v>
      </c>
      <c r="O21" s="132">
        <f>IF(SER_hh_fec!O21=0,0,11630*1000*SER_hh_fec!O21/SER_hh_num!O21)</f>
        <v>0</v>
      </c>
      <c r="P21" s="132">
        <f>IF(SER_hh_fec!P21=0,0,11630*1000*SER_hh_fec!P21/SER_hh_num!P21)</f>
        <v>0</v>
      </c>
      <c r="Q21" s="132">
        <f>IF(SER_hh_fec!Q21=0,0,11630*1000*SER_hh_fec!Q21/SER_hh_num!Q21)</f>
        <v>0</v>
      </c>
      <c r="R21" s="132">
        <f>IF(SER_hh_fec!R21=0,0,11630*1000*SER_hh_fec!R21/SER_hh_num!R21)</f>
        <v>0</v>
      </c>
      <c r="S21" s="132">
        <f>IF(SER_hh_fec!S21=0,0,11630*1000*SER_hh_fec!S21/SER_hh_num!S21)</f>
        <v>0</v>
      </c>
      <c r="T21" s="132">
        <f>IF(SER_hh_fec!T21=0,0,11630*1000*SER_hh_fec!T21/SER_hh_num!T21)</f>
        <v>0</v>
      </c>
      <c r="U21" s="132">
        <f>IF(SER_hh_fec!U21=0,0,11630*1000*SER_hh_fec!U21/SER_hh_num!U21)</f>
        <v>0</v>
      </c>
      <c r="V21" s="132">
        <f>IF(SER_hh_fec!V21=0,0,11630*1000*SER_hh_fec!V21/SER_hh_num!V21)</f>
        <v>0</v>
      </c>
      <c r="W21" s="132">
        <f>IF(SER_hh_fec!W21=0,0,11630*1000*SER_hh_fec!W21/SER_hh_num!W21)</f>
        <v>0</v>
      </c>
      <c r="X21" s="132">
        <f>IF(SER_hh_fec!X21=0,0,11630*1000*SER_hh_fec!X21/SER_hh_num!X21)</f>
        <v>0</v>
      </c>
      <c r="Y21" s="132">
        <f>IF(SER_hh_fec!Y21=0,0,11630*1000*SER_hh_fec!Y21/SER_hh_num!Y21)</f>
        <v>0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34583.788730288688</v>
      </c>
      <c r="C22" s="132">
        <f>IF(SER_hh_fec!C22=0,0,11630*1000*SER_hh_fec!C22/SER_hh_num!C22)</f>
        <v>34407.475261393171</v>
      </c>
      <c r="D22" s="132">
        <f>IF(SER_hh_fec!D22=0,0,11630*1000*SER_hh_fec!D22/SER_hh_num!D22)</f>
        <v>34244.487855381994</v>
      </c>
      <c r="E22" s="132">
        <f>IF(SER_hh_fec!E22=0,0,11630*1000*SER_hh_fec!E22/SER_hh_num!E22)</f>
        <v>35726.803884251123</v>
      </c>
      <c r="F22" s="132">
        <f>IF(SER_hh_fec!F22=0,0,11630*1000*SER_hh_fec!F22/SER_hh_num!F22)</f>
        <v>36354.77523051665</v>
      </c>
      <c r="G22" s="132">
        <f>IF(SER_hh_fec!G22=0,0,11630*1000*SER_hh_fec!G22/SER_hh_num!G22)</f>
        <v>29468.266578156577</v>
      </c>
      <c r="H22" s="132">
        <f>IF(SER_hh_fec!H22=0,0,11630*1000*SER_hh_fec!H22/SER_hh_num!H22)</f>
        <v>34532.248846848728</v>
      </c>
      <c r="I22" s="132">
        <f>IF(SER_hh_fec!I22=0,0,11630*1000*SER_hh_fec!I22/SER_hh_num!I22)</f>
        <v>34749.199838113949</v>
      </c>
      <c r="J22" s="132">
        <f>IF(SER_hh_fec!J22=0,0,11630*1000*SER_hh_fec!J22/SER_hh_num!J22)</f>
        <v>37208.192528671098</v>
      </c>
      <c r="K22" s="132">
        <f>IF(SER_hh_fec!K22=0,0,11630*1000*SER_hh_fec!K22/SER_hh_num!K22)</f>
        <v>28460.97366014088</v>
      </c>
      <c r="L22" s="132">
        <f>IF(SER_hh_fec!L22=0,0,11630*1000*SER_hh_fec!L22/SER_hh_num!L22)</f>
        <v>29310.824661513197</v>
      </c>
      <c r="M22" s="132">
        <f>IF(SER_hh_fec!M22=0,0,11630*1000*SER_hh_fec!M22/SER_hh_num!M22)</f>
        <v>29313.912127277697</v>
      </c>
      <c r="N22" s="132">
        <f>IF(SER_hh_fec!N22=0,0,11630*1000*SER_hh_fec!N22/SER_hh_num!N22)</f>
        <v>35535.771721209472</v>
      </c>
      <c r="O22" s="132">
        <f>IF(SER_hh_fec!O22=0,0,11630*1000*SER_hh_fec!O22/SER_hh_num!O22)</f>
        <v>34217.624706874842</v>
      </c>
      <c r="P22" s="132">
        <f>IF(SER_hh_fec!P22=0,0,11630*1000*SER_hh_fec!P22/SER_hh_num!P22)</f>
        <v>24447.649793057124</v>
      </c>
      <c r="Q22" s="132">
        <f>IF(SER_hh_fec!Q22=0,0,11630*1000*SER_hh_fec!Q22/SER_hh_num!Q22)</f>
        <v>31734.826886811054</v>
      </c>
      <c r="R22" s="132">
        <f>IF(SER_hh_fec!R22=0,0,11630*1000*SER_hh_fec!R22/SER_hh_num!R22)</f>
        <v>29683.771546170286</v>
      </c>
      <c r="S22" s="132">
        <f>IF(SER_hh_fec!S22=0,0,11630*1000*SER_hh_fec!S22/SER_hh_num!S22)</f>
        <v>28941.715629873634</v>
      </c>
      <c r="T22" s="132">
        <f>IF(SER_hh_fec!T22=0,0,11630*1000*SER_hh_fec!T22/SER_hh_num!T22)</f>
        <v>29102.473367368922</v>
      </c>
      <c r="U22" s="132">
        <f>IF(SER_hh_fec!U22=0,0,11630*1000*SER_hh_fec!U22/SER_hh_num!U22)</f>
        <v>28622.855388781234</v>
      </c>
      <c r="V22" s="132">
        <f>IF(SER_hh_fec!V22=0,0,11630*1000*SER_hh_fec!V22/SER_hh_num!V22)</f>
        <v>29472.338195891116</v>
      </c>
      <c r="W22" s="132">
        <f>IF(SER_hh_fec!W22=0,0,11630*1000*SER_hh_fec!W22/SER_hh_num!W22)</f>
        <v>28617.614031530386</v>
      </c>
      <c r="X22" s="132">
        <f>IF(SER_hh_fec!X22=0,0,11630*1000*SER_hh_fec!X22/SER_hh_num!X22)</f>
        <v>29304.260880144673</v>
      </c>
      <c r="Y22" s="132">
        <f>IF(SER_hh_fec!Y22=0,0,11630*1000*SER_hh_fec!Y22/SER_hh_num!Y22)</f>
        <v>25258.465723450554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34179.590072634957</v>
      </c>
      <c r="C23" s="132">
        <f>IF(SER_hh_fec!C23=0,0,11630*1000*SER_hh_fec!C23/SER_hh_num!C23)</f>
        <v>30175.311602767273</v>
      </c>
      <c r="D23" s="132">
        <f>IF(SER_hh_fec!D23=0,0,11630*1000*SER_hh_fec!D23/SER_hh_num!D23)</f>
        <v>32230.277640146072</v>
      </c>
      <c r="E23" s="132">
        <f>IF(SER_hh_fec!E23=0,0,11630*1000*SER_hh_fec!E23/SER_hh_num!E23)</f>
        <v>33427.021232522427</v>
      </c>
      <c r="F23" s="132">
        <f>IF(SER_hh_fec!F23=0,0,11630*1000*SER_hh_fec!F23/SER_hh_num!F23)</f>
        <v>29388.332129363003</v>
      </c>
      <c r="G23" s="132">
        <f>IF(SER_hh_fec!G23=0,0,11630*1000*SER_hh_fec!G23/SER_hh_num!G23)</f>
        <v>29691.029229301937</v>
      </c>
      <c r="H23" s="132">
        <f>IF(SER_hh_fec!H23=0,0,11630*1000*SER_hh_fec!H23/SER_hh_num!H23)</f>
        <v>32618.94556316415</v>
      </c>
      <c r="I23" s="132">
        <f>IF(SER_hh_fec!I23=0,0,11630*1000*SER_hh_fec!I23/SER_hh_num!I23)</f>
        <v>30057.380749301094</v>
      </c>
      <c r="J23" s="132">
        <f>IF(SER_hh_fec!J23=0,0,11630*1000*SER_hh_fec!J23/SER_hh_num!J23)</f>
        <v>30861.221610305816</v>
      </c>
      <c r="K23" s="132">
        <f>IF(SER_hh_fec!K23=0,0,11630*1000*SER_hh_fec!K23/SER_hh_num!K23)</f>
        <v>29976.204605459014</v>
      </c>
      <c r="L23" s="132">
        <f>IF(SER_hh_fec!L23=0,0,11630*1000*SER_hh_fec!L23/SER_hh_num!L23)</f>
        <v>30463.109941422292</v>
      </c>
      <c r="M23" s="132">
        <f>IF(SER_hh_fec!M23=0,0,11630*1000*SER_hh_fec!M23/SER_hh_num!M23)</f>
        <v>29642.690592629104</v>
      </c>
      <c r="N23" s="132">
        <f>IF(SER_hh_fec!N23=0,0,11630*1000*SER_hh_fec!N23/SER_hh_num!N23)</f>
        <v>29261.513498352469</v>
      </c>
      <c r="O23" s="132">
        <f>IF(SER_hh_fec!O23=0,0,11630*1000*SER_hh_fec!O23/SER_hh_num!O23)</f>
        <v>29000.919741336078</v>
      </c>
      <c r="P23" s="132">
        <f>IF(SER_hh_fec!P23=0,0,11630*1000*SER_hh_fec!P23/SER_hh_num!P23)</f>
        <v>29619.038350680516</v>
      </c>
      <c r="Q23" s="132">
        <f>IF(SER_hh_fec!Q23=0,0,11630*1000*SER_hh_fec!Q23/SER_hh_num!Q23)</f>
        <v>29698.789443401547</v>
      </c>
      <c r="R23" s="132">
        <f>IF(SER_hh_fec!R23=0,0,11630*1000*SER_hh_fec!R23/SER_hh_num!R23)</f>
        <v>31747.082279127371</v>
      </c>
      <c r="S23" s="132">
        <f>IF(SER_hh_fec!S23=0,0,11630*1000*SER_hh_fec!S23/SER_hh_num!S23)</f>
        <v>18218.971040458953</v>
      </c>
      <c r="T23" s="132">
        <f>IF(SER_hh_fec!T23=0,0,11630*1000*SER_hh_fec!T23/SER_hh_num!T23)</f>
        <v>24522.1872700044</v>
      </c>
      <c r="U23" s="132">
        <f>IF(SER_hh_fec!U23=0,0,11630*1000*SER_hh_fec!U23/SER_hh_num!U23)</f>
        <v>29325.439084825022</v>
      </c>
      <c r="V23" s="132">
        <f>IF(SER_hh_fec!V23=0,0,11630*1000*SER_hh_fec!V23/SER_hh_num!V23)</f>
        <v>27415.268431240154</v>
      </c>
      <c r="W23" s="132">
        <f>IF(SER_hh_fec!W23=0,0,11630*1000*SER_hh_fec!W23/SER_hh_num!W23)</f>
        <v>27171.96627292435</v>
      </c>
      <c r="X23" s="132">
        <f>IF(SER_hh_fec!X23=0,0,11630*1000*SER_hh_fec!X23/SER_hh_num!X23)</f>
        <v>23924.783193421921</v>
      </c>
      <c r="Y23" s="132">
        <f>IF(SER_hh_fec!Y23=0,0,11630*1000*SER_hh_fec!Y23/SER_hh_num!Y23)</f>
        <v>22809.773628312043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22836.96554249719</v>
      </c>
      <c r="C25" s="132">
        <f>IF(SER_hh_fec!C25=0,0,11630*1000*SER_hh_fec!C25/SER_hh_num!C25)</f>
        <v>22319.963259569799</v>
      </c>
      <c r="D25" s="132">
        <f>IF(SER_hh_fec!D25=0,0,11630*1000*SER_hh_fec!D25/SER_hh_num!D25)</f>
        <v>22035.5215223493</v>
      </c>
      <c r="E25" s="132">
        <f>IF(SER_hh_fec!E25=0,0,11630*1000*SER_hh_fec!E25/SER_hh_num!E25)</f>
        <v>21712.108033148052</v>
      </c>
      <c r="F25" s="132">
        <f>IF(SER_hh_fec!F25=0,0,11630*1000*SER_hh_fec!F25/SER_hh_num!F25)</f>
        <v>21973.792985519594</v>
      </c>
      <c r="G25" s="132">
        <f>IF(SER_hh_fec!G25=0,0,11630*1000*SER_hh_fec!G25/SER_hh_num!G25)</f>
        <v>22442.661477223599</v>
      </c>
      <c r="H25" s="132">
        <f>IF(SER_hh_fec!H25=0,0,11630*1000*SER_hh_fec!H25/SER_hh_num!H25)</f>
        <v>22516.562578190136</v>
      </c>
      <c r="I25" s="132">
        <f>IF(SER_hh_fec!I25=0,0,11630*1000*SER_hh_fec!I25/SER_hh_num!I25)</f>
        <v>21850.795613180595</v>
      </c>
      <c r="J25" s="132">
        <f>IF(SER_hh_fec!J25=0,0,11630*1000*SER_hh_fec!J25/SER_hh_num!J25)</f>
        <v>22228.457475813775</v>
      </c>
      <c r="K25" s="132">
        <f>IF(SER_hh_fec!K25=0,0,11630*1000*SER_hh_fec!K25/SER_hh_num!K25)</f>
        <v>22223.067746828401</v>
      </c>
      <c r="L25" s="132">
        <f>IF(SER_hh_fec!L25=0,0,11630*1000*SER_hh_fec!L25/SER_hh_num!L25)</f>
        <v>22131.280598187157</v>
      </c>
      <c r="M25" s="132">
        <f>IF(SER_hh_fec!M25=0,0,11630*1000*SER_hh_fec!M25/SER_hh_num!M25)</f>
        <v>22262.702161290912</v>
      </c>
      <c r="N25" s="132">
        <f>IF(SER_hh_fec!N25=0,0,11630*1000*SER_hh_fec!N25/SER_hh_num!N25)</f>
        <v>22567.496734926233</v>
      </c>
      <c r="O25" s="132">
        <f>IF(SER_hh_fec!O25=0,0,11630*1000*SER_hh_fec!O25/SER_hh_num!O25)</f>
        <v>22308.261956853723</v>
      </c>
      <c r="P25" s="132">
        <f>IF(SER_hh_fec!P25=0,0,11630*1000*SER_hh_fec!P25/SER_hh_num!P25)</f>
        <v>22172.295703558673</v>
      </c>
      <c r="Q25" s="132">
        <f>IF(SER_hh_fec!Q25=0,0,11630*1000*SER_hh_fec!Q25/SER_hh_num!Q25)</f>
        <v>21871.338778877856</v>
      </c>
      <c r="R25" s="132">
        <f>IF(SER_hh_fec!R25=0,0,11630*1000*SER_hh_fec!R25/SER_hh_num!R25)</f>
        <v>22742.100293393618</v>
      </c>
      <c r="S25" s="132">
        <f>IF(SER_hh_fec!S25=0,0,11630*1000*SER_hh_fec!S25/SER_hh_num!S25)</f>
        <v>21501.697689142497</v>
      </c>
      <c r="T25" s="132">
        <f>IF(SER_hh_fec!T25=0,0,11630*1000*SER_hh_fec!T25/SER_hh_num!T25)</f>
        <v>22527.493171288519</v>
      </c>
      <c r="U25" s="132">
        <f>IF(SER_hh_fec!U25=0,0,11630*1000*SER_hh_fec!U25/SER_hh_num!U25)</f>
        <v>22472.252611941632</v>
      </c>
      <c r="V25" s="132">
        <f>IF(SER_hh_fec!V25=0,0,11630*1000*SER_hh_fec!V25/SER_hh_num!V25)</f>
        <v>19380.546626221694</v>
      </c>
      <c r="W25" s="132">
        <f>IF(SER_hh_fec!W25=0,0,11630*1000*SER_hh_fec!W25/SER_hh_num!W25)</f>
        <v>22947.269850009219</v>
      </c>
      <c r="X25" s="132">
        <f>IF(SER_hh_fec!X25=0,0,11630*1000*SER_hh_fec!X25/SER_hh_num!X25)</f>
        <v>21717.760958282284</v>
      </c>
      <c r="Y25" s="132">
        <f>IF(SER_hh_fec!Y25=0,0,11630*1000*SER_hh_fec!Y25/SER_hh_num!Y25)</f>
        <v>21132.496687901123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26798.745926331965</v>
      </c>
      <c r="C26" s="65">
        <f>IF(SER_hh_fec!C26=0,0,11630*1000*SER_hh_fec!C26/SER_hh_num!C26)</f>
        <v>26943.749376694395</v>
      </c>
      <c r="D26" s="65">
        <f>IF(SER_hh_fec!D26=0,0,11630*1000*SER_hh_fec!D26/SER_hh_num!D26)</f>
        <v>26943.966490833525</v>
      </c>
      <c r="E26" s="65">
        <f>IF(SER_hh_fec!E26=0,0,11630*1000*SER_hh_fec!E26/SER_hh_num!E26)</f>
        <v>26856.480508878285</v>
      </c>
      <c r="F26" s="65">
        <f>IF(SER_hh_fec!F26=0,0,11630*1000*SER_hh_fec!F26/SER_hh_num!F26)</f>
        <v>26112.532022209041</v>
      </c>
      <c r="G26" s="65">
        <f>IF(SER_hh_fec!G26=0,0,11630*1000*SER_hh_fec!G26/SER_hh_num!G26)</f>
        <v>27270.457505769933</v>
      </c>
      <c r="H26" s="65">
        <f>IF(SER_hh_fec!H26=0,0,11630*1000*SER_hh_fec!H26/SER_hh_num!H26)</f>
        <v>25504.892733049295</v>
      </c>
      <c r="I26" s="65">
        <f>IF(SER_hh_fec!I26=0,0,11630*1000*SER_hh_fec!I26/SER_hh_num!I26)</f>
        <v>26613.673954897327</v>
      </c>
      <c r="J26" s="65">
        <f>IF(SER_hh_fec!J26=0,0,11630*1000*SER_hh_fec!J26/SER_hh_num!J26)</f>
        <v>26161.313276451547</v>
      </c>
      <c r="K26" s="65">
        <f>IF(SER_hh_fec!K26=0,0,11630*1000*SER_hh_fec!K26/SER_hh_num!K26)</f>
        <v>27444.044234961348</v>
      </c>
      <c r="L26" s="65">
        <f>IF(SER_hh_fec!L26=0,0,11630*1000*SER_hh_fec!L26/SER_hh_num!L26)</f>
        <v>27080.843444243968</v>
      </c>
      <c r="M26" s="65">
        <f>IF(SER_hh_fec!M26=0,0,11630*1000*SER_hh_fec!M26/SER_hh_num!M26)</f>
        <v>27044.962278306812</v>
      </c>
      <c r="N26" s="65">
        <f>IF(SER_hh_fec!N26=0,0,11630*1000*SER_hh_fec!N26/SER_hh_num!N26)</f>
        <v>25594.015524061826</v>
      </c>
      <c r="O26" s="65">
        <f>IF(SER_hh_fec!O26=0,0,11630*1000*SER_hh_fec!O26/SER_hh_num!O26)</f>
        <v>26015.872519206383</v>
      </c>
      <c r="P26" s="65">
        <f>IF(SER_hh_fec!P26=0,0,11630*1000*SER_hh_fec!P26/SER_hh_num!P26)</f>
        <v>27260.983930135211</v>
      </c>
      <c r="Q26" s="65">
        <f>IF(SER_hh_fec!Q26=0,0,11630*1000*SER_hh_fec!Q26/SER_hh_num!Q26)</f>
        <v>26216.727494689952</v>
      </c>
      <c r="R26" s="65">
        <f>IF(SER_hh_fec!R26=0,0,11630*1000*SER_hh_fec!R26/SER_hh_num!R26)</f>
        <v>24283.41207425742</v>
      </c>
      <c r="S26" s="65">
        <f>IF(SER_hh_fec!S26=0,0,11630*1000*SER_hh_fec!S26/SER_hh_num!S26)</f>
        <v>26065.290121234306</v>
      </c>
      <c r="T26" s="65">
        <f>IF(SER_hh_fec!T26=0,0,11630*1000*SER_hh_fec!T26/SER_hh_num!T26)</f>
        <v>23881.360195462687</v>
      </c>
      <c r="U26" s="65">
        <f>IF(SER_hh_fec!U26=0,0,11630*1000*SER_hh_fec!U26/SER_hh_num!U26)</f>
        <v>23602.405188559791</v>
      </c>
      <c r="V26" s="65">
        <f>IF(SER_hh_fec!V26=0,0,11630*1000*SER_hh_fec!V26/SER_hh_num!V26)</f>
        <v>27426.95481262375</v>
      </c>
      <c r="W26" s="65">
        <f>IF(SER_hh_fec!W26=0,0,11630*1000*SER_hh_fec!W26/SER_hh_num!W26)</f>
        <v>22430.186401408206</v>
      </c>
      <c r="X26" s="65">
        <f>IF(SER_hh_fec!X26=0,0,11630*1000*SER_hh_fec!X26/SER_hh_num!X26)</f>
        <v>22024.268898319784</v>
      </c>
      <c r="Y26" s="65">
        <f>IF(SER_hh_fec!Y26=0,0,11630*1000*SER_hh_fec!Y26/SER_hh_num!Y26)</f>
        <v>22205.656086473427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0</v>
      </c>
      <c r="C27" s="145">
        <f>IF(SER_hh_fec!C27=0,0,11630*1000*SER_hh_fec!C27/SER_hh_num!C19)</f>
        <v>0</v>
      </c>
      <c r="D27" s="145">
        <f>IF(SER_hh_fec!D27=0,0,11630*1000*SER_hh_fec!D27/SER_hh_num!D19)</f>
        <v>0</v>
      </c>
      <c r="E27" s="145">
        <f>IF(SER_hh_fec!E27=0,0,11630*1000*SER_hh_fec!E27/SER_hh_num!E19)</f>
        <v>0</v>
      </c>
      <c r="F27" s="145">
        <f>IF(SER_hh_fec!F27=0,0,11630*1000*SER_hh_fec!F27/SER_hh_num!F19)</f>
        <v>0</v>
      </c>
      <c r="G27" s="145">
        <f>IF(SER_hh_fec!G27=0,0,11630*1000*SER_hh_fec!G27/SER_hh_num!G19)</f>
        <v>0</v>
      </c>
      <c r="H27" s="145">
        <f>IF(SER_hh_fec!H27=0,0,11630*1000*SER_hh_fec!H27/SER_hh_num!H19)</f>
        <v>0</v>
      </c>
      <c r="I27" s="145">
        <f>IF(SER_hh_fec!I27=0,0,11630*1000*SER_hh_fec!I27/SER_hh_num!I19)</f>
        <v>0</v>
      </c>
      <c r="J27" s="145">
        <f>IF(SER_hh_fec!J27=0,0,11630*1000*SER_hh_fec!J27/SER_hh_num!J19)</f>
        <v>0</v>
      </c>
      <c r="K27" s="145">
        <f>IF(SER_hh_fec!K27=0,0,11630*1000*SER_hh_fec!K27/SER_hh_num!K19)</f>
        <v>0</v>
      </c>
      <c r="L27" s="145">
        <f>IF(SER_hh_fec!L27=0,0,11630*1000*SER_hh_fec!L27/SER_hh_num!L19)</f>
        <v>0</v>
      </c>
      <c r="M27" s="145">
        <f>IF(SER_hh_fec!M27=0,0,11630*1000*SER_hh_fec!M27/SER_hh_num!M19)</f>
        <v>0</v>
      </c>
      <c r="N27" s="145">
        <f>IF(SER_hh_fec!N27=0,0,11630*1000*SER_hh_fec!N27/SER_hh_num!N19)</f>
        <v>0</v>
      </c>
      <c r="O27" s="145">
        <f>IF(SER_hh_fec!O27=0,0,11630*1000*SER_hh_fec!O27/SER_hh_num!O19)</f>
        <v>0</v>
      </c>
      <c r="P27" s="145">
        <f>IF(SER_hh_fec!P27=0,0,11630*1000*SER_hh_fec!P27/SER_hh_num!P19)</f>
        <v>0</v>
      </c>
      <c r="Q27" s="145">
        <f>IF(SER_hh_fec!Q27=0,0,11630*1000*SER_hh_fec!Q27/SER_hh_num!Q19)</f>
        <v>0</v>
      </c>
      <c r="R27" s="145">
        <f>IF(SER_hh_fec!R27=0,0,11630*1000*SER_hh_fec!R27/SER_hh_num!R19)</f>
        <v>0</v>
      </c>
      <c r="S27" s="145">
        <f>IF(SER_hh_fec!S27=0,0,11630*1000*SER_hh_fec!S27/SER_hh_num!S19)</f>
        <v>0</v>
      </c>
      <c r="T27" s="145">
        <f>IF(SER_hh_fec!T27=0,0,11630*1000*SER_hh_fec!T27/SER_hh_num!T19)</f>
        <v>0</v>
      </c>
      <c r="U27" s="145">
        <f>IF(SER_hh_fec!U27=0,0,11630*1000*SER_hh_fec!U27/SER_hh_num!U19)</f>
        <v>0</v>
      </c>
      <c r="V27" s="145">
        <f>IF(SER_hh_fec!V27=0,0,11630*1000*SER_hh_fec!V27/SER_hh_num!V19)</f>
        <v>0</v>
      </c>
      <c r="W27" s="145">
        <f>IF(SER_hh_fec!W27=0,0,11630*1000*SER_hh_fec!W27/SER_hh_num!W19)</f>
        <v>0</v>
      </c>
      <c r="X27" s="145">
        <f>IF(SER_hh_fec!X27=0,0,11630*1000*SER_hh_fec!X27/SER_hh_num!X19)</f>
        <v>0</v>
      </c>
      <c r="Y27" s="145">
        <f>IF(SER_hh_fec!Y27=0,0,11630*1000*SER_hh_fec!Y27/SER_hh_num!Y19)</f>
        <v>0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0</v>
      </c>
      <c r="C28" s="146">
        <f>IF(SER_hh_fec!C27=0,0,11630*1000*SER_hh_fec!C27/SER_hh_num!C27)</f>
        <v>0</v>
      </c>
      <c r="D28" s="146">
        <f>IF(SER_hh_fec!D27=0,0,11630*1000*SER_hh_fec!D27/SER_hh_num!D27)</f>
        <v>0</v>
      </c>
      <c r="E28" s="146">
        <f>IF(SER_hh_fec!E27=0,0,11630*1000*SER_hh_fec!E27/SER_hh_num!E27)</f>
        <v>0</v>
      </c>
      <c r="F28" s="146">
        <f>IF(SER_hh_fec!F27=0,0,11630*1000*SER_hh_fec!F27/SER_hh_num!F27)</f>
        <v>0</v>
      </c>
      <c r="G28" s="146">
        <f>IF(SER_hh_fec!G27=0,0,11630*1000*SER_hh_fec!G27/SER_hh_num!G27)</f>
        <v>0</v>
      </c>
      <c r="H28" s="146">
        <f>IF(SER_hh_fec!H27=0,0,11630*1000*SER_hh_fec!H27/SER_hh_num!H27)</f>
        <v>0</v>
      </c>
      <c r="I28" s="146">
        <f>IF(SER_hh_fec!I27=0,0,11630*1000*SER_hh_fec!I27/SER_hh_num!I27)</f>
        <v>0</v>
      </c>
      <c r="J28" s="146">
        <f>IF(SER_hh_fec!J27=0,0,11630*1000*SER_hh_fec!J27/SER_hh_num!J27)</f>
        <v>0</v>
      </c>
      <c r="K28" s="146">
        <f>IF(SER_hh_fec!K27=0,0,11630*1000*SER_hh_fec!K27/SER_hh_num!K27)</f>
        <v>0</v>
      </c>
      <c r="L28" s="146">
        <f>IF(SER_hh_fec!L27=0,0,11630*1000*SER_hh_fec!L27/SER_hh_num!L27)</f>
        <v>0</v>
      </c>
      <c r="M28" s="146">
        <f>IF(SER_hh_fec!M27=0,0,11630*1000*SER_hh_fec!M27/SER_hh_num!M27)</f>
        <v>0</v>
      </c>
      <c r="N28" s="146">
        <f>IF(SER_hh_fec!N27=0,0,11630*1000*SER_hh_fec!N27/SER_hh_num!N27)</f>
        <v>0</v>
      </c>
      <c r="O28" s="146">
        <f>IF(SER_hh_fec!O27=0,0,11630*1000*SER_hh_fec!O27/SER_hh_num!O27)</f>
        <v>0</v>
      </c>
      <c r="P28" s="146">
        <f>IF(SER_hh_fec!P27=0,0,11630*1000*SER_hh_fec!P27/SER_hh_num!P27)</f>
        <v>0</v>
      </c>
      <c r="Q28" s="146">
        <f>IF(SER_hh_fec!Q27=0,0,11630*1000*SER_hh_fec!Q27/SER_hh_num!Q27)</f>
        <v>0</v>
      </c>
      <c r="R28" s="146">
        <f>IF(SER_hh_fec!R27=0,0,11630*1000*SER_hh_fec!R27/SER_hh_num!R27)</f>
        <v>0</v>
      </c>
      <c r="S28" s="146">
        <f>IF(SER_hh_fec!S27=0,0,11630*1000*SER_hh_fec!S27/SER_hh_num!S27)</f>
        <v>0</v>
      </c>
      <c r="T28" s="146">
        <f>IF(SER_hh_fec!T27=0,0,11630*1000*SER_hh_fec!T27/SER_hh_num!T27)</f>
        <v>0</v>
      </c>
      <c r="U28" s="146">
        <f>IF(SER_hh_fec!U27=0,0,11630*1000*SER_hh_fec!U27/SER_hh_num!U27)</f>
        <v>0</v>
      </c>
      <c r="V28" s="146">
        <f>IF(SER_hh_fec!V27=0,0,11630*1000*SER_hh_fec!V27/SER_hh_num!V27)</f>
        <v>0</v>
      </c>
      <c r="W28" s="146">
        <f>IF(SER_hh_fec!W27=0,0,11630*1000*SER_hh_fec!W27/SER_hh_num!W27)</f>
        <v>0</v>
      </c>
      <c r="X28" s="146">
        <f>IF(SER_hh_fec!X27=0,0,11630*1000*SER_hh_fec!X27/SER_hh_num!X27)</f>
        <v>0</v>
      </c>
      <c r="Y28" s="146">
        <f>IF(SER_hh_fec!Y27=0,0,11630*1000*SER_hh_fec!Y27/SER_hh_num!Y27)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20035.244166712844</v>
      </c>
      <c r="C29" s="130">
        <f>IF(SER_hh_fec!C29=0,0,11630*1000*SER_hh_fec!C29/SER_hh_num!C29)</f>
        <v>20741.908130964704</v>
      </c>
      <c r="D29" s="130">
        <f>IF(SER_hh_fec!D29=0,0,11630*1000*SER_hh_fec!D29/SER_hh_num!D29)</f>
        <v>20718.195398590029</v>
      </c>
      <c r="E29" s="130">
        <f>IF(SER_hh_fec!E29=0,0,11630*1000*SER_hh_fec!E29/SER_hh_num!E29)</f>
        <v>20818.880102176339</v>
      </c>
      <c r="F29" s="130">
        <f>IF(SER_hh_fec!F29=0,0,11630*1000*SER_hh_fec!F29/SER_hh_num!F29)</f>
        <v>21096.253068055157</v>
      </c>
      <c r="G29" s="130">
        <f>IF(SER_hh_fec!G29=0,0,11630*1000*SER_hh_fec!G29/SER_hh_num!G29)</f>
        <v>21421.61666950347</v>
      </c>
      <c r="H29" s="130">
        <f>IF(SER_hh_fec!H29=0,0,11630*1000*SER_hh_fec!H29/SER_hh_num!H29)</f>
        <v>22020.928761134302</v>
      </c>
      <c r="I29" s="130">
        <f>IF(SER_hh_fec!I29=0,0,11630*1000*SER_hh_fec!I29/SER_hh_num!I29)</f>
        <v>22594.858845728915</v>
      </c>
      <c r="J29" s="130">
        <f>IF(SER_hh_fec!J29=0,0,11630*1000*SER_hh_fec!J29/SER_hh_num!J29)</f>
        <v>22768.633248272945</v>
      </c>
      <c r="K29" s="130">
        <f>IF(SER_hh_fec!K29=0,0,11630*1000*SER_hh_fec!K29/SER_hh_num!K29)</f>
        <v>22991.744441948209</v>
      </c>
      <c r="L29" s="130">
        <f>IF(SER_hh_fec!L29=0,0,11630*1000*SER_hh_fec!L29/SER_hh_num!L29)</f>
        <v>23459.789804397082</v>
      </c>
      <c r="M29" s="130">
        <f>IF(SER_hh_fec!M29=0,0,11630*1000*SER_hh_fec!M29/SER_hh_num!M29)</f>
        <v>23875.868880314334</v>
      </c>
      <c r="N29" s="130">
        <f>IF(SER_hh_fec!N29=0,0,11630*1000*SER_hh_fec!N29/SER_hh_num!N29)</f>
        <v>23265.026093140084</v>
      </c>
      <c r="O29" s="130">
        <f>IF(SER_hh_fec!O29=0,0,11630*1000*SER_hh_fec!O29/SER_hh_num!O29)</f>
        <v>23529.340852096786</v>
      </c>
      <c r="P29" s="130">
        <f>IF(SER_hh_fec!P29=0,0,11630*1000*SER_hh_fec!P29/SER_hh_num!P29)</f>
        <v>23508.145596228205</v>
      </c>
      <c r="Q29" s="130">
        <f>IF(SER_hh_fec!Q29=0,0,11630*1000*SER_hh_fec!Q29/SER_hh_num!Q29)</f>
        <v>23184.061531873289</v>
      </c>
      <c r="R29" s="130">
        <f>IF(SER_hh_fec!R29=0,0,11630*1000*SER_hh_fec!R29/SER_hh_num!R29)</f>
        <v>23397.048490332589</v>
      </c>
      <c r="S29" s="130">
        <f>IF(SER_hh_fec!S29=0,0,11630*1000*SER_hh_fec!S29/SER_hh_num!S29)</f>
        <v>24031.25721226251</v>
      </c>
      <c r="T29" s="130">
        <f>IF(SER_hh_fec!T29=0,0,11630*1000*SER_hh_fec!T29/SER_hh_num!T29)</f>
        <v>23968.130864069582</v>
      </c>
      <c r="U29" s="130">
        <f>IF(SER_hh_fec!U29=0,0,11630*1000*SER_hh_fec!U29/SER_hh_num!U29)</f>
        <v>24701.181695033942</v>
      </c>
      <c r="V29" s="130">
        <f>IF(SER_hh_fec!V29=0,0,11630*1000*SER_hh_fec!V29/SER_hh_num!V29)</f>
        <v>25075.144056020392</v>
      </c>
      <c r="W29" s="130">
        <f>IF(SER_hh_fec!W29=0,0,11630*1000*SER_hh_fec!W29/SER_hh_num!W29)</f>
        <v>24923.46670662293</v>
      </c>
      <c r="X29" s="130">
        <f>IF(SER_hh_fec!X29=0,0,11630*1000*SER_hh_fec!X29/SER_hh_num!X29)</f>
        <v>23646.12400336051</v>
      </c>
      <c r="Y29" s="130">
        <f>IF(SER_hh_fec!Y29=0,0,11630*1000*SER_hh_fec!Y29/SER_hh_num!Y29)</f>
        <v>22825.321600596642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22911.542562254319</v>
      </c>
      <c r="C30" s="132">
        <f>IF(SER_hh_fec!C30=0,0,11630*1000*SER_hh_fec!C30/SER_hh_num!C30)</f>
        <v>31929.165738105432</v>
      </c>
      <c r="D30" s="132">
        <f>IF(SER_hh_fec!D30=0,0,11630*1000*SER_hh_fec!D30/SER_hh_num!D30)</f>
        <v>27328.23089167018</v>
      </c>
      <c r="E30" s="132">
        <f>IF(SER_hh_fec!E30=0,0,11630*1000*SER_hh_fec!E30/SER_hh_num!E30)</f>
        <v>24689.511223026944</v>
      </c>
      <c r="F30" s="132">
        <f>IF(SER_hh_fec!F30=0,0,11630*1000*SER_hh_fec!F30/SER_hh_num!F30)</f>
        <v>22958.712046276069</v>
      </c>
      <c r="G30" s="132">
        <f>IF(SER_hh_fec!G30=0,0,11630*1000*SER_hh_fec!G30/SER_hh_num!G30)</f>
        <v>19624.290285070991</v>
      </c>
      <c r="H30" s="132">
        <f>IF(SER_hh_fec!H30=0,0,11630*1000*SER_hh_fec!H30/SER_hh_num!H30)</f>
        <v>27952.789720225803</v>
      </c>
      <c r="I30" s="132">
        <f>IF(SER_hh_fec!I30=0,0,11630*1000*SER_hh_fec!I30/SER_hh_num!I30)</f>
        <v>34453.926113099835</v>
      </c>
      <c r="J30" s="132">
        <f>IF(SER_hh_fec!J30=0,0,11630*1000*SER_hh_fec!J30/SER_hh_num!J30)</f>
        <v>30592.804254368959</v>
      </c>
      <c r="K30" s="132">
        <f>IF(SER_hh_fec!K30=0,0,11630*1000*SER_hh_fec!K30/SER_hh_num!K30)</f>
        <v>21669.112405594085</v>
      </c>
      <c r="L30" s="132">
        <f>IF(SER_hh_fec!L30=0,0,11630*1000*SER_hh_fec!L30/SER_hh_num!L30)</f>
        <v>35180.439439155089</v>
      </c>
      <c r="M30" s="132">
        <f>IF(SER_hh_fec!M30=0,0,11630*1000*SER_hh_fec!M30/SER_hh_num!M30)</f>
        <v>38754.55292810734</v>
      </c>
      <c r="N30" s="132">
        <f>IF(SER_hh_fec!N30=0,0,11630*1000*SER_hh_fec!N30/SER_hh_num!N30)</f>
        <v>16042.189707655645</v>
      </c>
      <c r="O30" s="132">
        <f>IF(SER_hh_fec!O30=0,0,11630*1000*SER_hh_fec!O30/SER_hh_num!O30)</f>
        <v>25697.071688458764</v>
      </c>
      <c r="P30" s="132">
        <f>IF(SER_hh_fec!P30=0,0,11630*1000*SER_hh_fec!P30/SER_hh_num!P30)</f>
        <v>38302.266305399513</v>
      </c>
      <c r="Q30" s="132">
        <f>IF(SER_hh_fec!Q30=0,0,11630*1000*SER_hh_fec!Q30/SER_hh_num!Q30)</f>
        <v>22867.637567581132</v>
      </c>
      <c r="R30" s="132">
        <f>IF(SER_hh_fec!R30=0,0,11630*1000*SER_hh_fec!R30/SER_hh_num!R30)</f>
        <v>29061.94424720835</v>
      </c>
      <c r="S30" s="132">
        <f>IF(SER_hh_fec!S30=0,0,11630*1000*SER_hh_fec!S30/SER_hh_num!S30)</f>
        <v>32269.265145364519</v>
      </c>
      <c r="T30" s="132">
        <f>IF(SER_hh_fec!T30=0,0,11630*1000*SER_hh_fec!T30/SER_hh_num!T30)</f>
        <v>32062.74385829757</v>
      </c>
      <c r="U30" s="132">
        <f>IF(SER_hh_fec!U30=0,0,11630*1000*SER_hh_fec!U30/SER_hh_num!U30)</f>
        <v>32999.842559214281</v>
      </c>
      <c r="V30" s="132">
        <f>IF(SER_hh_fec!V30=0,0,11630*1000*SER_hh_fec!V30/SER_hh_num!V30)</f>
        <v>33426.581436339933</v>
      </c>
      <c r="W30" s="132">
        <f>IF(SER_hh_fec!W30=0,0,11630*1000*SER_hh_fec!W30/SER_hh_num!W30)</f>
        <v>33289.49125359537</v>
      </c>
      <c r="X30" s="132">
        <f>IF(SER_hh_fec!X30=0,0,11630*1000*SER_hh_fec!X30/SER_hh_num!X30)</f>
        <v>32566.115595049174</v>
      </c>
      <c r="Y30" s="132">
        <f>IF(SER_hh_fec!Y30=0,0,11630*1000*SER_hh_fec!Y30/SER_hh_num!Y30)</f>
        <v>31841.86903802204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26938.394079314108</v>
      </c>
      <c r="C31" s="132">
        <f>IF(SER_hh_fec!C31=0,0,11630*1000*SER_hh_fec!C31/SER_hh_num!C31)</f>
        <v>24511.731340999806</v>
      </c>
      <c r="D31" s="132">
        <f>IF(SER_hh_fec!D31=0,0,11630*1000*SER_hh_fec!D31/SER_hh_num!D31)</f>
        <v>25793.009854676693</v>
      </c>
      <c r="E31" s="132">
        <f>IF(SER_hh_fec!E31=0,0,11630*1000*SER_hh_fec!E31/SER_hh_num!E31)</f>
        <v>27190.930832340153</v>
      </c>
      <c r="F31" s="132">
        <f>IF(SER_hh_fec!F31=0,0,11630*1000*SER_hh_fec!F31/SER_hh_num!F31)</f>
        <v>26871.562042556332</v>
      </c>
      <c r="G31" s="132">
        <f>IF(SER_hh_fec!G31=0,0,11630*1000*SER_hh_fec!G31/SER_hh_num!G31)</f>
        <v>27144.666944130026</v>
      </c>
      <c r="H31" s="132">
        <f>IF(SER_hh_fec!H31=0,0,11630*1000*SER_hh_fec!H31/SER_hh_num!H31)</f>
        <v>27482.397978738682</v>
      </c>
      <c r="I31" s="132">
        <f>IF(SER_hh_fec!I31=0,0,11630*1000*SER_hh_fec!I31/SER_hh_num!I31)</f>
        <v>27908.627974386975</v>
      </c>
      <c r="J31" s="132">
        <f>IF(SER_hh_fec!J31=0,0,11630*1000*SER_hh_fec!J31/SER_hh_num!J31)</f>
        <v>29262.09978881116</v>
      </c>
      <c r="K31" s="132">
        <f>IF(SER_hh_fec!K31=0,0,11630*1000*SER_hh_fec!K31/SER_hh_num!K31)</f>
        <v>28905.659988237323</v>
      </c>
      <c r="L31" s="132">
        <f>IF(SER_hh_fec!L31=0,0,11630*1000*SER_hh_fec!L31/SER_hh_num!L31)</f>
        <v>27615.434066084628</v>
      </c>
      <c r="M31" s="132">
        <f>IF(SER_hh_fec!M31=0,0,11630*1000*SER_hh_fec!M31/SER_hh_num!M31)</f>
        <v>29158.641107926913</v>
      </c>
      <c r="N31" s="132">
        <f>IF(SER_hh_fec!N31=0,0,11630*1000*SER_hh_fec!N31/SER_hh_num!N31)</f>
        <v>29622.830571365059</v>
      </c>
      <c r="O31" s="132">
        <f>IF(SER_hh_fec!O31=0,0,11630*1000*SER_hh_fec!O31/SER_hh_num!O31)</f>
        <v>30053.123798064906</v>
      </c>
      <c r="P31" s="132">
        <f>IF(SER_hh_fec!P31=0,0,11630*1000*SER_hh_fec!P31/SER_hh_num!P31)</f>
        <v>31284.931059859671</v>
      </c>
      <c r="Q31" s="132">
        <f>IF(SER_hh_fec!Q31=0,0,11630*1000*SER_hh_fec!Q31/SER_hh_num!Q31)</f>
        <v>31260.113869525478</v>
      </c>
      <c r="R31" s="132">
        <f>IF(SER_hh_fec!R31=0,0,11630*1000*SER_hh_fec!R31/SER_hh_num!R31)</f>
        <v>34882.468593165453</v>
      </c>
      <c r="S31" s="132">
        <f>IF(SER_hh_fec!S31=0,0,11630*1000*SER_hh_fec!S31/SER_hh_num!S31)</f>
        <v>20610.757612013873</v>
      </c>
      <c r="T31" s="132">
        <f>IF(SER_hh_fec!T31=0,0,11630*1000*SER_hh_fec!T31/SER_hh_num!T31)</f>
        <v>29867.591528882254</v>
      </c>
      <c r="U31" s="132">
        <f>IF(SER_hh_fec!U31=0,0,11630*1000*SER_hh_fec!U31/SER_hh_num!U31)</f>
        <v>38105.742374794332</v>
      </c>
      <c r="V31" s="132">
        <f>IF(SER_hh_fec!V31=0,0,11630*1000*SER_hh_fec!V31/SER_hh_num!V31)</f>
        <v>32599.607835485102</v>
      </c>
      <c r="W31" s="132">
        <f>IF(SER_hh_fec!W31=0,0,11630*1000*SER_hh_fec!W31/SER_hh_num!W31)</f>
        <v>34013.900931894561</v>
      </c>
      <c r="X31" s="132">
        <f>IF(SER_hh_fec!X31=0,0,11630*1000*SER_hh_fec!X31/SER_hh_num!X31)</f>
        <v>32512.796549068877</v>
      </c>
      <c r="Y31" s="132">
        <f>IF(SER_hh_fec!Y31=0,0,11630*1000*SER_hh_fec!Y31/SER_hh_num!Y31)</f>
        <v>31752.949742624758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19387.768911194038</v>
      </c>
      <c r="C33" s="68">
        <f>IF(SER_hh_fec!C33=0,0,11630*1000*SER_hh_fec!C33/SER_hh_num!C33)</f>
        <v>18983.584404630568</v>
      </c>
      <c r="D33" s="68">
        <f>IF(SER_hh_fec!D33=0,0,11630*1000*SER_hh_fec!D33/SER_hh_num!D33)</f>
        <v>19644.135163836592</v>
      </c>
      <c r="E33" s="68">
        <f>IF(SER_hh_fec!E33=0,0,11630*1000*SER_hh_fec!E33/SER_hh_num!E33)</f>
        <v>20166.603566458354</v>
      </c>
      <c r="F33" s="68">
        <f>IF(SER_hh_fec!F33=0,0,11630*1000*SER_hh_fec!F33/SER_hh_num!F33)</f>
        <v>20713.587219485078</v>
      </c>
      <c r="G33" s="68">
        <f>IF(SER_hh_fec!G33=0,0,11630*1000*SER_hh_fec!G33/SER_hh_num!G33)</f>
        <v>21469.52762001309</v>
      </c>
      <c r="H33" s="68">
        <f>IF(SER_hh_fec!H33=0,0,11630*1000*SER_hh_fec!H33/SER_hh_num!H33)</f>
        <v>20752.99700831126</v>
      </c>
      <c r="I33" s="68">
        <f>IF(SER_hh_fec!I33=0,0,11630*1000*SER_hh_fec!I33/SER_hh_num!I33)</f>
        <v>19699.091440584776</v>
      </c>
      <c r="J33" s="68">
        <f>IF(SER_hh_fec!J33=0,0,11630*1000*SER_hh_fec!J33/SER_hh_num!J33)</f>
        <v>20721.435505326801</v>
      </c>
      <c r="K33" s="68">
        <f>IF(SER_hh_fec!K33=0,0,11630*1000*SER_hh_fec!K33/SER_hh_num!K33)</f>
        <v>23112.422833174343</v>
      </c>
      <c r="L33" s="68">
        <f>IF(SER_hh_fec!L33=0,0,11630*1000*SER_hh_fec!L33/SER_hh_num!L33)</f>
        <v>21011.85076994701</v>
      </c>
      <c r="M33" s="68">
        <f>IF(SER_hh_fec!M33=0,0,11630*1000*SER_hh_fec!M33/SER_hh_num!M33)</f>
        <v>21375.735208676568</v>
      </c>
      <c r="N33" s="68">
        <f>IF(SER_hh_fec!N33=0,0,11630*1000*SER_hh_fec!N33/SER_hh_num!N33)</f>
        <v>23862.999744866367</v>
      </c>
      <c r="O33" s="68">
        <f>IF(SER_hh_fec!O33=0,0,11630*1000*SER_hh_fec!O33/SER_hh_num!O33)</f>
        <v>23284.650838243688</v>
      </c>
      <c r="P33" s="68">
        <f>IF(SER_hh_fec!P33=0,0,11630*1000*SER_hh_fec!P33/SER_hh_num!P33)</f>
        <v>22718.630725601481</v>
      </c>
      <c r="Q33" s="68">
        <f>IF(SER_hh_fec!Q33=0,0,11630*1000*SER_hh_fec!Q33/SER_hh_num!Q33)</f>
        <v>23080.254080852163</v>
      </c>
      <c r="R33" s="68">
        <f>IF(SER_hh_fec!R33=0,0,11630*1000*SER_hh_fec!R33/SER_hh_num!R33)</f>
        <v>23094.612780482876</v>
      </c>
      <c r="S33" s="68">
        <f>IF(SER_hh_fec!S33=0,0,11630*1000*SER_hh_fec!S33/SER_hh_num!S33)</f>
        <v>23878.835088071439</v>
      </c>
      <c r="T33" s="68">
        <f>IF(SER_hh_fec!T33=0,0,11630*1000*SER_hh_fec!T33/SER_hh_num!T33)</f>
        <v>23718.973287070086</v>
      </c>
      <c r="U33" s="68">
        <f>IF(SER_hh_fec!U33=0,0,11630*1000*SER_hh_fec!U33/SER_hh_num!U33)</f>
        <v>24353.907163815962</v>
      </c>
      <c r="V33" s="68">
        <f>IF(SER_hh_fec!V33=0,0,11630*1000*SER_hh_fec!V33/SER_hh_num!V33)</f>
        <v>24800.376397373722</v>
      </c>
      <c r="W33" s="68">
        <f>IF(SER_hh_fec!W33=0,0,11630*1000*SER_hh_fec!W33/SER_hh_num!W33)</f>
        <v>24624.688252033189</v>
      </c>
      <c r="X33" s="68">
        <f>IF(SER_hh_fec!X33=0,0,11630*1000*SER_hh_fec!X33/SER_hh_num!X33)</f>
        <v>23334.04058848312</v>
      </c>
      <c r="Y33" s="68">
        <f>IF(SER_hh_fec!Y33=0,0,11630*1000*SER_hh_fec!Y33/SER_hh_num!Y33)</f>
        <v>22507.064248306022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171528.30780502551</v>
      </c>
      <c r="C3" s="125">
        <f>IF(SER_hh_tes!C3=0,0,11630*1000*SER_hh_tes!C3/SER_hh_num!C3)</f>
        <v>188000.38837533037</v>
      </c>
      <c r="D3" s="125">
        <f>IF(SER_hh_tes!D3=0,0,11630*1000*SER_hh_tes!D3/SER_hh_num!D3)</f>
        <v>186050.09084494898</v>
      </c>
      <c r="E3" s="125">
        <f>IF(SER_hh_tes!E3=0,0,11630*1000*SER_hh_tes!E3/SER_hh_num!E3)</f>
        <v>184375.5581623844</v>
      </c>
      <c r="F3" s="125">
        <f>IF(SER_hh_tes!F3=0,0,11630*1000*SER_hh_tes!F3/SER_hh_num!F3)</f>
        <v>175351.2579441703</v>
      </c>
      <c r="G3" s="125">
        <f>IF(SER_hh_tes!G3=0,0,11630*1000*SER_hh_tes!G3/SER_hh_num!G3)</f>
        <v>159006.97793294137</v>
      </c>
      <c r="H3" s="125">
        <f>IF(SER_hh_tes!H3=0,0,11630*1000*SER_hh_tes!H3/SER_hh_num!H3)</f>
        <v>160348.98656636849</v>
      </c>
      <c r="I3" s="125">
        <f>IF(SER_hh_tes!I3=0,0,11630*1000*SER_hh_tes!I3/SER_hh_num!I3)</f>
        <v>162401.39795947928</v>
      </c>
      <c r="J3" s="125">
        <f>IF(SER_hh_tes!J3=0,0,11630*1000*SER_hh_tes!J3/SER_hh_num!J3)</f>
        <v>160455.19965080428</v>
      </c>
      <c r="K3" s="125">
        <f>IF(SER_hh_tes!K3=0,0,11630*1000*SER_hh_tes!K3/SER_hh_num!K3)</f>
        <v>154811.6968906922</v>
      </c>
      <c r="L3" s="125">
        <f>IF(SER_hh_tes!L3=0,0,11630*1000*SER_hh_tes!L3/SER_hh_num!L3)</f>
        <v>167416.59356732672</v>
      </c>
      <c r="M3" s="125">
        <f>IF(SER_hh_tes!M3=0,0,11630*1000*SER_hh_tes!M3/SER_hh_num!M3)</f>
        <v>145897.60680181737</v>
      </c>
      <c r="N3" s="125">
        <f>IF(SER_hh_tes!N3=0,0,11630*1000*SER_hh_tes!N3/SER_hh_num!N3)</f>
        <v>155512.74254992919</v>
      </c>
      <c r="O3" s="125">
        <f>IF(SER_hh_tes!O3=0,0,11630*1000*SER_hh_tes!O3/SER_hh_num!O3)</f>
        <v>151458.76243425786</v>
      </c>
      <c r="P3" s="125">
        <f>IF(SER_hh_tes!P3=0,0,11630*1000*SER_hh_tes!P3/SER_hh_num!P3)</f>
        <v>149790.47384918161</v>
      </c>
      <c r="Q3" s="125">
        <f>IF(SER_hh_tes!Q3=0,0,11630*1000*SER_hh_tes!Q3/SER_hh_num!Q3)</f>
        <v>150787.8694951426</v>
      </c>
      <c r="R3" s="125">
        <f>IF(SER_hh_tes!R3=0,0,11630*1000*SER_hh_tes!R3/SER_hh_num!R3)</f>
        <v>159595.03697047275</v>
      </c>
      <c r="S3" s="125">
        <f>IF(SER_hh_tes!S3=0,0,11630*1000*SER_hh_tes!S3/SER_hh_num!S3)</f>
        <v>149638.21884771535</v>
      </c>
      <c r="T3" s="125">
        <f>IF(SER_hh_tes!T3=0,0,11630*1000*SER_hh_tes!T3/SER_hh_num!T3)</f>
        <v>155076.28005436124</v>
      </c>
      <c r="U3" s="125">
        <f>IF(SER_hh_tes!U3=0,0,11630*1000*SER_hh_tes!U3/SER_hh_num!U3)</f>
        <v>151368.86417730461</v>
      </c>
      <c r="V3" s="125">
        <f>IF(SER_hh_tes!V3=0,0,11630*1000*SER_hh_tes!V3/SER_hh_num!V3)</f>
        <v>149509.80884664261</v>
      </c>
      <c r="W3" s="125">
        <f>IF(SER_hh_tes!W3=0,0,11630*1000*SER_hh_tes!W3/SER_hh_num!W3)</f>
        <v>161662.98006222499</v>
      </c>
      <c r="X3" s="125">
        <f>IF(SER_hh_tes!X3=0,0,11630*1000*SER_hh_tes!X3/SER_hh_num!X3)</f>
        <v>161453.0544260384</v>
      </c>
      <c r="Y3" s="125">
        <f>IF(SER_hh_tes!Y3=0,0,11630*1000*SER_hh_tes!Y3/SER_hh_num!Y3)</f>
        <v>159571.67927512637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132535.54695164607</v>
      </c>
      <c r="C4" s="130">
        <f>IF(SER_hh_tes!C4=0,0,11630*1000*SER_hh_tes!C4/SER_hh_num!C4)</f>
        <v>148623.30761723881</v>
      </c>
      <c r="D4" s="130">
        <f>IF(SER_hh_tes!D4=0,0,11630*1000*SER_hh_tes!D4/SER_hh_num!D4)</f>
        <v>146448.74494267482</v>
      </c>
      <c r="E4" s="130">
        <f>IF(SER_hh_tes!E4=0,0,11630*1000*SER_hh_tes!E4/SER_hh_num!E4)</f>
        <v>144401.24907910533</v>
      </c>
      <c r="F4" s="130">
        <f>IF(SER_hh_tes!F4=0,0,11630*1000*SER_hh_tes!F4/SER_hh_num!F4)</f>
        <v>134941.15563046056</v>
      </c>
      <c r="G4" s="130">
        <f>IF(SER_hh_tes!G4=0,0,11630*1000*SER_hh_tes!G4/SER_hh_num!G4)</f>
        <v>118046.45146870067</v>
      </c>
      <c r="H4" s="130">
        <f>IF(SER_hh_tes!H4=0,0,11630*1000*SER_hh_tes!H4/SER_hh_num!H4)</f>
        <v>119237.6375772429</v>
      </c>
      <c r="I4" s="130">
        <f>IF(SER_hh_tes!I4=0,0,11630*1000*SER_hh_tes!I4/SER_hh_num!I4)</f>
        <v>120852.16775167109</v>
      </c>
      <c r="J4" s="130">
        <f>IF(SER_hh_tes!J4=0,0,11630*1000*SER_hh_tes!J4/SER_hh_num!J4)</f>
        <v>118169.69104300541</v>
      </c>
      <c r="K4" s="130">
        <f>IF(SER_hh_tes!K4=0,0,11630*1000*SER_hh_tes!K4/SER_hh_num!K4)</f>
        <v>111477.54407909066</v>
      </c>
      <c r="L4" s="130">
        <f>IF(SER_hh_tes!L4=0,0,11630*1000*SER_hh_tes!L4/SER_hh_num!L4)</f>
        <v>123795.1924992649</v>
      </c>
      <c r="M4" s="130">
        <f>IF(SER_hh_tes!M4=0,0,11630*1000*SER_hh_tes!M4/SER_hh_num!M4)</f>
        <v>101655.72753361402</v>
      </c>
      <c r="N4" s="130">
        <f>IF(SER_hh_tes!N4=0,0,11630*1000*SER_hh_tes!N4/SER_hh_num!N4)</f>
        <v>110806.4202895569</v>
      </c>
      <c r="O4" s="130">
        <f>IF(SER_hh_tes!O4=0,0,11630*1000*SER_hh_tes!O4/SER_hh_num!O4)</f>
        <v>106178.35955039822</v>
      </c>
      <c r="P4" s="130">
        <f>IF(SER_hh_tes!P4=0,0,11630*1000*SER_hh_tes!P4/SER_hh_num!P4)</f>
        <v>104251.90528614596</v>
      </c>
      <c r="Q4" s="130">
        <f>IF(SER_hh_tes!Q4=0,0,11630*1000*SER_hh_tes!Q4/SER_hh_num!Q4)</f>
        <v>105341.13317417806</v>
      </c>
      <c r="R4" s="130">
        <f>IF(SER_hh_tes!R4=0,0,11630*1000*SER_hh_tes!R4/SER_hh_num!R4)</f>
        <v>113872.34685988148</v>
      </c>
      <c r="S4" s="130">
        <f>IF(SER_hh_tes!S4=0,0,11630*1000*SER_hh_tes!S4/SER_hh_num!S4)</f>
        <v>102931.52188672964</v>
      </c>
      <c r="T4" s="130">
        <f>IF(SER_hh_tes!T4=0,0,11630*1000*SER_hh_tes!T4/SER_hh_num!T4)</f>
        <v>108153.97699174487</v>
      </c>
      <c r="U4" s="130">
        <f>IF(SER_hh_tes!U4=0,0,11630*1000*SER_hh_tes!U4/SER_hh_num!U4)</f>
        <v>103549.8492366165</v>
      </c>
      <c r="V4" s="130">
        <f>IF(SER_hh_tes!V4=0,0,11630*1000*SER_hh_tes!V4/SER_hh_num!V4)</f>
        <v>100938.57601792559</v>
      </c>
      <c r="W4" s="130">
        <f>IF(SER_hh_tes!W4=0,0,11630*1000*SER_hh_tes!W4/SER_hh_num!W4)</f>
        <v>112895.30210983595</v>
      </c>
      <c r="X4" s="130">
        <f>IF(SER_hh_tes!X4=0,0,11630*1000*SER_hh_tes!X4/SER_hh_num!X4)</f>
        <v>114197.11006221631</v>
      </c>
      <c r="Y4" s="130">
        <f>IF(SER_hh_tes!Y4=0,0,11630*1000*SER_hh_tes!Y4/SER_hh_num!Y4)</f>
        <v>112932.75960211625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0</v>
      </c>
      <c r="C5" s="132">
        <f>IF(SER_hh_tes!C5=0,0,11630*1000*SER_hh_tes!C5/SER_hh_num!C5)</f>
        <v>0</v>
      </c>
      <c r="D5" s="132">
        <f>IF(SER_hh_tes!D5=0,0,11630*1000*SER_hh_tes!D5/SER_hh_num!D5)</f>
        <v>0</v>
      </c>
      <c r="E5" s="132">
        <f>IF(SER_hh_tes!E5=0,0,11630*1000*SER_hh_tes!E5/SER_hh_num!E5)</f>
        <v>0</v>
      </c>
      <c r="F5" s="132">
        <f>IF(SER_hh_tes!F5=0,0,11630*1000*SER_hh_tes!F5/SER_hh_num!F5)</f>
        <v>0</v>
      </c>
      <c r="G5" s="132">
        <f>IF(SER_hh_tes!G5=0,0,11630*1000*SER_hh_tes!G5/SER_hh_num!G5)</f>
        <v>0</v>
      </c>
      <c r="H5" s="132">
        <f>IF(SER_hh_tes!H5=0,0,11630*1000*SER_hh_tes!H5/SER_hh_num!H5)</f>
        <v>0</v>
      </c>
      <c r="I5" s="132">
        <f>IF(SER_hh_tes!I5=0,0,11630*1000*SER_hh_tes!I5/SER_hh_num!I5)</f>
        <v>0</v>
      </c>
      <c r="J5" s="132">
        <f>IF(SER_hh_tes!J5=0,0,11630*1000*SER_hh_tes!J5/SER_hh_num!J5)</f>
        <v>0</v>
      </c>
      <c r="K5" s="132">
        <f>IF(SER_hh_tes!K5=0,0,11630*1000*SER_hh_tes!K5/SER_hh_num!K5)</f>
        <v>0</v>
      </c>
      <c r="L5" s="132">
        <f>IF(SER_hh_tes!L5=0,0,11630*1000*SER_hh_tes!L5/SER_hh_num!L5)</f>
        <v>0</v>
      </c>
      <c r="M5" s="132">
        <f>IF(SER_hh_tes!M5=0,0,11630*1000*SER_hh_tes!M5/SER_hh_num!M5)</f>
        <v>0</v>
      </c>
      <c r="N5" s="132">
        <f>IF(SER_hh_tes!N5=0,0,11630*1000*SER_hh_tes!N5/SER_hh_num!N5)</f>
        <v>0</v>
      </c>
      <c r="O5" s="132">
        <f>IF(SER_hh_tes!O5=0,0,11630*1000*SER_hh_tes!O5/SER_hh_num!O5)</f>
        <v>0</v>
      </c>
      <c r="P5" s="132">
        <f>IF(SER_hh_tes!P5=0,0,11630*1000*SER_hh_tes!P5/SER_hh_num!P5)</f>
        <v>0</v>
      </c>
      <c r="Q5" s="132">
        <f>IF(SER_hh_tes!Q5=0,0,11630*1000*SER_hh_tes!Q5/SER_hh_num!Q5)</f>
        <v>0</v>
      </c>
      <c r="R5" s="132">
        <f>IF(SER_hh_tes!R5=0,0,11630*1000*SER_hh_tes!R5/SER_hh_num!R5)</f>
        <v>0</v>
      </c>
      <c r="S5" s="132">
        <f>IF(SER_hh_tes!S5=0,0,11630*1000*SER_hh_tes!S5/SER_hh_num!S5)</f>
        <v>0</v>
      </c>
      <c r="T5" s="132">
        <f>IF(SER_hh_tes!T5=0,0,11630*1000*SER_hh_tes!T5/SER_hh_num!T5)</f>
        <v>0</v>
      </c>
      <c r="U5" s="132">
        <f>IF(SER_hh_tes!U5=0,0,11630*1000*SER_hh_tes!U5/SER_hh_num!U5)</f>
        <v>0</v>
      </c>
      <c r="V5" s="132">
        <f>IF(SER_hh_tes!V5=0,0,11630*1000*SER_hh_tes!V5/SER_hh_num!V5)</f>
        <v>0</v>
      </c>
      <c r="W5" s="132">
        <f>IF(SER_hh_tes!W5=0,0,11630*1000*SER_hh_tes!W5/SER_hh_num!W5)</f>
        <v>0</v>
      </c>
      <c r="X5" s="132">
        <f>IF(SER_hh_tes!X5=0,0,11630*1000*SER_hh_tes!X5/SER_hh_num!X5)</f>
        <v>0</v>
      </c>
      <c r="Y5" s="132">
        <f>IF(SER_hh_tes!Y5=0,0,11630*1000*SER_hh_tes!Y5/SER_hh_num!Y5)</f>
        <v>0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134264.06099947239</v>
      </c>
      <c r="C7" s="132">
        <f>IF(SER_hh_tes!C7=0,0,11630*1000*SER_hh_tes!C7/SER_hh_num!C7)</f>
        <v>142149.23683207715</v>
      </c>
      <c r="D7" s="132">
        <f>IF(SER_hh_tes!D7=0,0,11630*1000*SER_hh_tes!D7/SER_hh_num!D7)</f>
        <v>142622.6597425424</v>
      </c>
      <c r="E7" s="132">
        <f>IF(SER_hh_tes!E7=0,0,11630*1000*SER_hh_tes!E7/SER_hh_num!E7)</f>
        <v>159995.80314549425</v>
      </c>
      <c r="F7" s="132">
        <f>IF(SER_hh_tes!F7=0,0,11630*1000*SER_hh_tes!F7/SER_hh_num!F7)</f>
        <v>141362.9375708981</v>
      </c>
      <c r="G7" s="132">
        <f>IF(SER_hh_tes!G7=0,0,11630*1000*SER_hh_tes!G7/SER_hh_num!G7)</f>
        <v>94128.195584811008</v>
      </c>
      <c r="H7" s="132">
        <f>IF(SER_hh_tes!H7=0,0,11630*1000*SER_hh_tes!H7/SER_hh_num!H7)</f>
        <v>105202.8201646808</v>
      </c>
      <c r="I7" s="132">
        <f>IF(SER_hh_tes!I7=0,0,11630*1000*SER_hh_tes!I7/SER_hh_num!I7)</f>
        <v>118766.15781340793</v>
      </c>
      <c r="J7" s="132">
        <f>IF(SER_hh_tes!J7=0,0,11630*1000*SER_hh_tes!J7/SER_hh_num!J7)</f>
        <v>107196.8132205916</v>
      </c>
      <c r="K7" s="132">
        <f>IF(SER_hh_tes!K7=0,0,11630*1000*SER_hh_tes!K7/SER_hh_num!K7)</f>
        <v>110101.78793598096</v>
      </c>
      <c r="L7" s="132">
        <f>IF(SER_hh_tes!L7=0,0,11630*1000*SER_hh_tes!L7/SER_hh_num!L7)</f>
        <v>116256.62981363975</v>
      </c>
      <c r="M7" s="132">
        <f>IF(SER_hh_tes!M7=0,0,11630*1000*SER_hh_tes!M7/SER_hh_num!M7)</f>
        <v>107478.54500752021</v>
      </c>
      <c r="N7" s="132">
        <f>IF(SER_hh_tes!N7=0,0,11630*1000*SER_hh_tes!N7/SER_hh_num!N7)</f>
        <v>109311.58172231678</v>
      </c>
      <c r="O7" s="132">
        <f>IF(SER_hh_tes!O7=0,0,11630*1000*SER_hh_tes!O7/SER_hh_num!O7)</f>
        <v>102712.8310684648</v>
      </c>
      <c r="P7" s="132">
        <f>IF(SER_hh_tes!P7=0,0,11630*1000*SER_hh_tes!P7/SER_hh_num!P7)</f>
        <v>105337.257095568</v>
      </c>
      <c r="Q7" s="132">
        <f>IF(SER_hh_tes!Q7=0,0,11630*1000*SER_hh_tes!Q7/SER_hh_num!Q7)</f>
        <v>103423.60664964492</v>
      </c>
      <c r="R7" s="132">
        <f>IF(SER_hh_tes!R7=0,0,11630*1000*SER_hh_tes!R7/SER_hh_num!R7)</f>
        <v>103731.73213455919</v>
      </c>
      <c r="S7" s="132">
        <f>IF(SER_hh_tes!S7=0,0,11630*1000*SER_hh_tes!S7/SER_hh_num!S7)</f>
        <v>105475.77879838475</v>
      </c>
      <c r="T7" s="132">
        <f>IF(SER_hh_tes!T7=0,0,11630*1000*SER_hh_tes!T7/SER_hh_num!T7)</f>
        <v>106694.03732682223</v>
      </c>
      <c r="U7" s="132">
        <f>IF(SER_hh_tes!U7=0,0,11630*1000*SER_hh_tes!U7/SER_hh_num!U7)</f>
        <v>103508.64397232221</v>
      </c>
      <c r="V7" s="132">
        <f>IF(SER_hh_tes!V7=0,0,11630*1000*SER_hh_tes!V7/SER_hh_num!V7)</f>
        <v>107444.68650335704</v>
      </c>
      <c r="W7" s="132">
        <f>IF(SER_hh_tes!W7=0,0,11630*1000*SER_hh_tes!W7/SER_hh_num!W7)</f>
        <v>107720.94821539723</v>
      </c>
      <c r="X7" s="132">
        <f>IF(SER_hh_tes!X7=0,0,11630*1000*SER_hh_tes!X7/SER_hh_num!X7)</f>
        <v>114620.33564922315</v>
      </c>
      <c r="Y7" s="132">
        <f>IF(SER_hh_tes!Y7=0,0,11630*1000*SER_hh_tes!Y7/SER_hh_num!Y7)</f>
        <v>104558.37505550377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0</v>
      </c>
      <c r="C8" s="132">
        <f>IF(SER_hh_tes!C8=0,0,11630*1000*SER_hh_tes!C8/SER_hh_num!C8)</f>
        <v>0</v>
      </c>
      <c r="D8" s="132">
        <f>IF(SER_hh_tes!D8=0,0,11630*1000*SER_hh_tes!D8/SER_hh_num!D8)</f>
        <v>0</v>
      </c>
      <c r="E8" s="132">
        <f>IF(SER_hh_tes!E8=0,0,11630*1000*SER_hh_tes!E8/SER_hh_num!E8)</f>
        <v>0</v>
      </c>
      <c r="F8" s="132">
        <f>IF(SER_hh_tes!F8=0,0,11630*1000*SER_hh_tes!F8/SER_hh_num!F8)</f>
        <v>0</v>
      </c>
      <c r="G8" s="132">
        <f>IF(SER_hh_tes!G8=0,0,11630*1000*SER_hh_tes!G8/SER_hh_num!G8)</f>
        <v>0</v>
      </c>
      <c r="H8" s="132">
        <f>IF(SER_hh_tes!H8=0,0,11630*1000*SER_hh_tes!H8/SER_hh_num!H8)</f>
        <v>0</v>
      </c>
      <c r="I8" s="132">
        <f>IF(SER_hh_tes!I8=0,0,11630*1000*SER_hh_tes!I8/SER_hh_num!I8)</f>
        <v>0</v>
      </c>
      <c r="J8" s="132">
        <f>IF(SER_hh_tes!J8=0,0,11630*1000*SER_hh_tes!J8/SER_hh_num!J8)</f>
        <v>0</v>
      </c>
      <c r="K8" s="132">
        <f>IF(SER_hh_tes!K8=0,0,11630*1000*SER_hh_tes!K8/SER_hh_num!K8)</f>
        <v>0</v>
      </c>
      <c r="L8" s="132">
        <f>IF(SER_hh_tes!L8=0,0,11630*1000*SER_hh_tes!L8/SER_hh_num!L8)</f>
        <v>0</v>
      </c>
      <c r="M8" s="132">
        <f>IF(SER_hh_tes!M8=0,0,11630*1000*SER_hh_tes!M8/SER_hh_num!M8)</f>
        <v>0</v>
      </c>
      <c r="N8" s="132">
        <f>IF(SER_hh_tes!N8=0,0,11630*1000*SER_hh_tes!N8/SER_hh_num!N8)</f>
        <v>0</v>
      </c>
      <c r="O8" s="132">
        <f>IF(SER_hh_tes!O8=0,0,11630*1000*SER_hh_tes!O8/SER_hh_num!O8)</f>
        <v>0</v>
      </c>
      <c r="P8" s="132">
        <f>IF(SER_hh_tes!P8=0,0,11630*1000*SER_hh_tes!P8/SER_hh_num!P8)</f>
        <v>0</v>
      </c>
      <c r="Q8" s="132">
        <f>IF(SER_hh_tes!Q8=0,0,11630*1000*SER_hh_tes!Q8/SER_hh_num!Q8)</f>
        <v>0</v>
      </c>
      <c r="R8" s="132">
        <f>IF(SER_hh_tes!R8=0,0,11630*1000*SER_hh_tes!R8/SER_hh_num!R8)</f>
        <v>0</v>
      </c>
      <c r="S8" s="132">
        <f>IF(SER_hh_tes!S8=0,0,11630*1000*SER_hh_tes!S8/SER_hh_num!S8)</f>
        <v>0</v>
      </c>
      <c r="T8" s="132">
        <f>IF(SER_hh_tes!T8=0,0,11630*1000*SER_hh_tes!T8/SER_hh_num!T8)</f>
        <v>0</v>
      </c>
      <c r="U8" s="132">
        <f>IF(SER_hh_tes!U8=0,0,11630*1000*SER_hh_tes!U8/SER_hh_num!U8)</f>
        <v>0</v>
      </c>
      <c r="V8" s="132">
        <f>IF(SER_hh_tes!V8=0,0,11630*1000*SER_hh_tes!V8/SER_hh_num!V8)</f>
        <v>0</v>
      </c>
      <c r="W8" s="132">
        <f>IF(SER_hh_tes!W8=0,0,11630*1000*SER_hh_tes!W8/SER_hh_num!W8)</f>
        <v>0</v>
      </c>
      <c r="X8" s="132">
        <f>IF(SER_hh_tes!X8=0,0,11630*1000*SER_hh_tes!X8/SER_hh_num!X8)</f>
        <v>0</v>
      </c>
      <c r="Y8" s="132">
        <f>IF(SER_hh_tes!Y8=0,0,11630*1000*SER_hh_tes!Y8/SER_hh_num!Y8)</f>
        <v>0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136417.52457237104</v>
      </c>
      <c r="C9" s="132">
        <f>IF(SER_hh_tes!C9=0,0,11630*1000*SER_hh_tes!C9/SER_hh_num!C9)</f>
        <v>104007.19387541999</v>
      </c>
      <c r="D9" s="132">
        <f>IF(SER_hh_tes!D9=0,0,11630*1000*SER_hh_tes!D9/SER_hh_num!D9)</f>
        <v>146255.46181429757</v>
      </c>
      <c r="E9" s="132">
        <f>IF(SER_hh_tes!E9=0,0,11630*1000*SER_hh_tes!E9/SER_hh_num!E9)</f>
        <v>155195.65989981536</v>
      </c>
      <c r="F9" s="132">
        <f>IF(SER_hh_tes!F9=0,0,11630*1000*SER_hh_tes!F9/SER_hh_num!F9)</f>
        <v>130704.63745735638</v>
      </c>
      <c r="G9" s="132">
        <f>IF(SER_hh_tes!G9=0,0,11630*1000*SER_hh_tes!G9/SER_hh_num!G9)</f>
        <v>123182.23778910044</v>
      </c>
      <c r="H9" s="132">
        <f>IF(SER_hh_tes!H9=0,0,11630*1000*SER_hh_tes!H9/SER_hh_num!H9)</f>
        <v>118048.74844883617</v>
      </c>
      <c r="I9" s="132">
        <f>IF(SER_hh_tes!I9=0,0,11630*1000*SER_hh_tes!I9/SER_hh_num!I9)</f>
        <v>123000.33659740209</v>
      </c>
      <c r="J9" s="132">
        <f>IF(SER_hh_tes!J9=0,0,11630*1000*SER_hh_tes!J9/SER_hh_num!J9)</f>
        <v>131120.25842032343</v>
      </c>
      <c r="K9" s="132">
        <f>IF(SER_hh_tes!K9=0,0,11630*1000*SER_hh_tes!K9/SER_hh_num!K9)</f>
        <v>60551.439829994386</v>
      </c>
      <c r="L9" s="132">
        <f>IF(SER_hh_tes!L9=0,0,11630*1000*SER_hh_tes!L9/SER_hh_num!L9)</f>
        <v>129183.96452976479</v>
      </c>
      <c r="M9" s="132">
        <f>IF(SER_hh_tes!M9=0,0,11630*1000*SER_hh_tes!M9/SER_hh_num!M9)</f>
        <v>100317.46241942143</v>
      </c>
      <c r="N9" s="132">
        <f>IF(SER_hh_tes!N9=0,0,11630*1000*SER_hh_tes!N9/SER_hh_num!N9)</f>
        <v>121079.98129571775</v>
      </c>
      <c r="O9" s="132">
        <f>IF(SER_hh_tes!O9=0,0,11630*1000*SER_hh_tes!O9/SER_hh_num!O9)</f>
        <v>105254.69417525538</v>
      </c>
      <c r="P9" s="132">
        <f>IF(SER_hh_tes!P9=0,0,11630*1000*SER_hh_tes!P9/SER_hh_num!P9)</f>
        <v>102674.20611535147</v>
      </c>
      <c r="Q9" s="132">
        <f>IF(SER_hh_tes!Q9=0,0,11630*1000*SER_hh_tes!Q9/SER_hh_num!Q9)</f>
        <v>106654.37107890764</v>
      </c>
      <c r="R9" s="132">
        <f>IF(SER_hh_tes!R9=0,0,11630*1000*SER_hh_tes!R9/SER_hh_num!R9)</f>
        <v>117958.95142554847</v>
      </c>
      <c r="S9" s="132">
        <f>IF(SER_hh_tes!S9=0,0,11630*1000*SER_hh_tes!S9/SER_hh_num!S9)</f>
        <v>66526.269024608395</v>
      </c>
      <c r="T9" s="132">
        <f>IF(SER_hh_tes!T9=0,0,11630*1000*SER_hh_tes!T9/SER_hh_num!T9)</f>
        <v>99769.675862754957</v>
      </c>
      <c r="U9" s="132">
        <f>IF(SER_hh_tes!U9=0,0,11630*1000*SER_hh_tes!U9/SER_hh_num!U9)</f>
        <v>120700.89749475678</v>
      </c>
      <c r="V9" s="132">
        <f>IF(SER_hh_tes!V9=0,0,11630*1000*SER_hh_tes!V9/SER_hh_num!V9)</f>
        <v>116132.37215743175</v>
      </c>
      <c r="W9" s="132">
        <f>IF(SER_hh_tes!W9=0,0,11630*1000*SER_hh_tes!W9/SER_hh_num!W9)</f>
        <v>114310.42458851771</v>
      </c>
      <c r="X9" s="132">
        <f>IF(SER_hh_tes!X9=0,0,11630*1000*SER_hh_tes!X9/SER_hh_num!X9)</f>
        <v>113748.80678743236</v>
      </c>
      <c r="Y9" s="132">
        <f>IF(SER_hh_tes!Y9=0,0,11630*1000*SER_hh_tes!Y9/SER_hh_num!Y9)</f>
        <v>106091.33801093089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87486.302726311449</v>
      </c>
      <c r="C10" s="132">
        <f>IF(SER_hh_tes!C10=0,0,11630*1000*SER_hh_tes!C10/SER_hh_num!C10)</f>
        <v>185088.54505102689</v>
      </c>
      <c r="D10" s="132">
        <f>IF(SER_hh_tes!D10=0,0,11630*1000*SER_hh_tes!D10/SER_hh_num!D10)</f>
        <v>126559.01246936097</v>
      </c>
      <c r="E10" s="132">
        <f>IF(SER_hh_tes!E10=0,0,11630*1000*SER_hh_tes!E10/SER_hh_num!E10)</f>
        <v>91886.28777943227</v>
      </c>
      <c r="F10" s="132">
        <f>IF(SER_hh_tes!F10=0,0,11630*1000*SER_hh_tes!F10/SER_hh_num!F10)</f>
        <v>154535.10046323709</v>
      </c>
      <c r="G10" s="132">
        <f>IF(SER_hh_tes!G10=0,0,11630*1000*SER_hh_tes!G10/SER_hh_num!G10)</f>
        <v>151751.82436160665</v>
      </c>
      <c r="H10" s="132">
        <f>IF(SER_hh_tes!H10=0,0,11630*1000*SER_hh_tes!H10/SER_hh_num!H10)</f>
        <v>106905.7011221873</v>
      </c>
      <c r="I10" s="132">
        <f>IF(SER_hh_tes!I10=0,0,11630*1000*SER_hh_tes!I10/SER_hh_num!I10)</f>
        <v>113517.7775778177</v>
      </c>
      <c r="J10" s="132">
        <f>IF(SER_hh_tes!J10=0,0,11630*1000*SER_hh_tes!J10/SER_hh_num!J10)</f>
        <v>118017.84137939864</v>
      </c>
      <c r="K10" s="132">
        <f>IF(SER_hh_tes!K10=0,0,11630*1000*SER_hh_tes!K10/SER_hh_num!K10)</f>
        <v>115415.95276839545</v>
      </c>
      <c r="L10" s="132">
        <f>IF(SER_hh_tes!L10=0,0,11630*1000*SER_hh_tes!L10/SER_hh_num!L10)</f>
        <v>114146.19747015594</v>
      </c>
      <c r="M10" s="132">
        <f>IF(SER_hh_tes!M10=0,0,11630*1000*SER_hh_tes!M10/SER_hh_num!M10)</f>
        <v>102182.03775959187</v>
      </c>
      <c r="N10" s="132">
        <f>IF(SER_hh_tes!N10=0,0,11630*1000*SER_hh_tes!N10/SER_hh_num!N10)</f>
        <v>130195.52539699867</v>
      </c>
      <c r="O10" s="132">
        <f>IF(SER_hh_tes!O10=0,0,11630*1000*SER_hh_tes!O10/SER_hh_num!O10)</f>
        <v>73845.011823611043</v>
      </c>
      <c r="P10" s="132">
        <f>IF(SER_hh_tes!P10=0,0,11630*1000*SER_hh_tes!P10/SER_hh_num!P10)</f>
        <v>101728.4333101009</v>
      </c>
      <c r="Q10" s="132">
        <f>IF(SER_hh_tes!Q10=0,0,11630*1000*SER_hh_tes!Q10/SER_hh_num!Q10)</f>
        <v>95272.060204850859</v>
      </c>
      <c r="R10" s="132">
        <f>IF(SER_hh_tes!R10=0,0,11630*1000*SER_hh_tes!R10/SER_hh_num!R10)</f>
        <v>153723.29752800649</v>
      </c>
      <c r="S10" s="132">
        <f>IF(SER_hh_tes!S10=0,0,11630*1000*SER_hh_tes!S10/SER_hh_num!S10)</f>
        <v>152379.48117030589</v>
      </c>
      <c r="T10" s="132">
        <f>IF(SER_hh_tes!T10=0,0,11630*1000*SER_hh_tes!T10/SER_hh_num!T10)</f>
        <v>154371.04653329562</v>
      </c>
      <c r="U10" s="132">
        <f>IF(SER_hh_tes!U10=0,0,11630*1000*SER_hh_tes!U10/SER_hh_num!U10)</f>
        <v>92239.483348983704</v>
      </c>
      <c r="V10" s="132">
        <f>IF(SER_hh_tes!V10=0,0,11630*1000*SER_hh_tes!V10/SER_hh_num!V10)</f>
        <v>94997.393064395685</v>
      </c>
      <c r="W10" s="132">
        <f>IF(SER_hh_tes!W10=0,0,11630*1000*SER_hh_tes!W10/SER_hh_num!W10)</f>
        <v>117585.59127407047</v>
      </c>
      <c r="X10" s="132">
        <f>IF(SER_hh_tes!X10=0,0,11630*1000*SER_hh_tes!X10/SER_hh_num!X10)</f>
        <v>102296.2182026706</v>
      </c>
      <c r="Y10" s="132">
        <f>IF(SER_hh_tes!Y10=0,0,11630*1000*SER_hh_tes!Y10/SER_hh_num!Y10)</f>
        <v>116613.39512361649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0</v>
      </c>
      <c r="F11" s="132">
        <f>IF(SER_hh_tes!F11=0,0,11630*1000*SER_hh_tes!F11/SER_hh_num!F11)</f>
        <v>0</v>
      </c>
      <c r="G11" s="132">
        <f>IF(SER_hh_tes!G11=0,0,11630*1000*SER_hh_tes!G11/SER_hh_num!G11)</f>
        <v>0</v>
      </c>
      <c r="H11" s="132">
        <f>IF(SER_hh_tes!H11=0,0,11630*1000*SER_hh_tes!H11/SER_hh_num!H11)</f>
        <v>0</v>
      </c>
      <c r="I11" s="132">
        <f>IF(SER_hh_tes!I11=0,0,11630*1000*SER_hh_tes!I11/SER_hh_num!I11)</f>
        <v>0</v>
      </c>
      <c r="J11" s="132">
        <f>IF(SER_hh_tes!J11=0,0,11630*1000*SER_hh_tes!J11/SER_hh_num!J11)</f>
        <v>0</v>
      </c>
      <c r="K11" s="132">
        <f>IF(SER_hh_tes!K11=0,0,11630*1000*SER_hh_tes!K11/SER_hh_num!K11)</f>
        <v>0</v>
      </c>
      <c r="L11" s="132">
        <f>IF(SER_hh_tes!L11=0,0,11630*1000*SER_hh_tes!L11/SER_hh_num!L11)</f>
        <v>0</v>
      </c>
      <c r="M11" s="132">
        <f>IF(SER_hh_tes!M11=0,0,11630*1000*SER_hh_tes!M11/SER_hh_num!M11)</f>
        <v>0</v>
      </c>
      <c r="N11" s="132">
        <f>IF(SER_hh_tes!N11=0,0,11630*1000*SER_hh_tes!N11/SER_hh_num!N11)</f>
        <v>0</v>
      </c>
      <c r="O11" s="132">
        <f>IF(SER_hh_tes!O11=0,0,11630*1000*SER_hh_tes!O11/SER_hh_num!O11)</f>
        <v>0</v>
      </c>
      <c r="P11" s="132">
        <f>IF(SER_hh_tes!P11=0,0,11630*1000*SER_hh_tes!P11/SER_hh_num!P11)</f>
        <v>0</v>
      </c>
      <c r="Q11" s="132">
        <f>IF(SER_hh_tes!Q11=0,0,11630*1000*SER_hh_tes!Q11/SER_hh_num!Q11)</f>
        <v>0</v>
      </c>
      <c r="R11" s="132">
        <f>IF(SER_hh_tes!R11=0,0,11630*1000*SER_hh_tes!R11/SER_hh_num!R11)</f>
        <v>0</v>
      </c>
      <c r="S11" s="132">
        <f>IF(SER_hh_tes!S11=0,0,11630*1000*SER_hh_tes!S11/SER_hh_num!S11)</f>
        <v>0</v>
      </c>
      <c r="T11" s="132">
        <f>IF(SER_hh_tes!T11=0,0,11630*1000*SER_hh_tes!T11/SER_hh_num!T11)</f>
        <v>0</v>
      </c>
      <c r="U11" s="132">
        <f>IF(SER_hh_tes!U11=0,0,11630*1000*SER_hh_tes!U11/SER_hh_num!U11)</f>
        <v>0</v>
      </c>
      <c r="V11" s="132">
        <f>IF(SER_hh_tes!V11=0,0,11630*1000*SER_hh_tes!V11/SER_hh_num!V11)</f>
        <v>0</v>
      </c>
      <c r="W11" s="132">
        <f>IF(SER_hh_tes!W11=0,0,11630*1000*SER_hh_tes!W11/SER_hh_num!W11)</f>
        <v>0</v>
      </c>
      <c r="X11" s="132">
        <f>IF(SER_hh_tes!X11=0,0,11630*1000*SER_hh_tes!X11/SER_hh_num!X11)</f>
        <v>0</v>
      </c>
      <c r="Y11" s="132">
        <f>IF(SER_hh_tes!Y11=0,0,11630*1000*SER_hh_tes!Y11/SER_hh_num!Y11)</f>
        <v>0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133280.24695811226</v>
      </c>
      <c r="C12" s="132">
        <f>IF(SER_hh_tes!C12=0,0,11630*1000*SER_hh_tes!C12/SER_hh_num!C12)</f>
        <v>146778.22233727467</v>
      </c>
      <c r="D12" s="132">
        <f>IF(SER_hh_tes!D12=0,0,11630*1000*SER_hh_tes!D12/SER_hh_num!D12)</f>
        <v>144444.62127162982</v>
      </c>
      <c r="E12" s="132">
        <f>IF(SER_hh_tes!E12=0,0,11630*1000*SER_hh_tes!E12/SER_hh_num!E12)</f>
        <v>141693.61842300667</v>
      </c>
      <c r="F12" s="132">
        <f>IF(SER_hh_tes!F12=0,0,11630*1000*SER_hh_tes!F12/SER_hh_num!F12)</f>
        <v>129987.60878843523</v>
      </c>
      <c r="G12" s="132">
        <f>IF(SER_hh_tes!G12=0,0,11630*1000*SER_hh_tes!G12/SER_hh_num!G12)</f>
        <v>125617.32547466141</v>
      </c>
      <c r="H12" s="132">
        <f>IF(SER_hh_tes!H12=0,0,11630*1000*SER_hh_tes!H12/SER_hh_num!H12)</f>
        <v>121090.84980248587</v>
      </c>
      <c r="I12" s="132">
        <f>IF(SER_hh_tes!I12=0,0,11630*1000*SER_hh_tes!I12/SER_hh_num!I12)</f>
        <v>113845.12259244642</v>
      </c>
      <c r="J12" s="132">
        <f>IF(SER_hh_tes!J12=0,0,11630*1000*SER_hh_tes!J12/SER_hh_num!J12)</f>
        <v>113892.07226308782</v>
      </c>
      <c r="K12" s="132">
        <f>IF(SER_hh_tes!K12=0,0,11630*1000*SER_hh_tes!K12/SER_hh_num!K12)</f>
        <v>114701.4562535485</v>
      </c>
      <c r="L12" s="132">
        <f>IF(SER_hh_tes!L12=0,0,11630*1000*SER_hh_tes!L12/SER_hh_num!L12)</f>
        <v>124746.48815945287</v>
      </c>
      <c r="M12" s="132">
        <f>IF(SER_hh_tes!M12=0,0,11630*1000*SER_hh_tes!M12/SER_hh_num!M12)</f>
        <v>101436.25513452325</v>
      </c>
      <c r="N12" s="132">
        <f>IF(SER_hh_tes!N12=0,0,11630*1000*SER_hh_tes!N12/SER_hh_num!N12)</f>
        <v>110390.22411326187</v>
      </c>
      <c r="O12" s="132">
        <f>IF(SER_hh_tes!O12=0,0,11630*1000*SER_hh_tes!O12/SER_hh_num!O12)</f>
        <v>109298.51548577051</v>
      </c>
      <c r="P12" s="132">
        <f>IF(SER_hh_tes!P12=0,0,11630*1000*SER_hh_tes!P12/SER_hh_num!P12)</f>
        <v>104537.3678339255</v>
      </c>
      <c r="Q12" s="132">
        <f>IF(SER_hh_tes!Q12=0,0,11630*1000*SER_hh_tes!Q12/SER_hh_num!Q12)</f>
        <v>102585.50295615122</v>
      </c>
      <c r="R12" s="132">
        <f>IF(SER_hh_tes!R12=0,0,11630*1000*SER_hh_tes!R12/SER_hh_num!R12)</f>
        <v>110498.72103860023</v>
      </c>
      <c r="S12" s="132">
        <f>IF(SER_hh_tes!S12=0,0,11630*1000*SER_hh_tes!S12/SER_hh_num!S12)</f>
        <v>103123.14839468645</v>
      </c>
      <c r="T12" s="132">
        <f>IF(SER_hh_tes!T12=0,0,11630*1000*SER_hh_tes!T12/SER_hh_num!T12)</f>
        <v>107517.03860748286</v>
      </c>
      <c r="U12" s="132">
        <f>IF(SER_hh_tes!U12=0,0,11630*1000*SER_hh_tes!U12/SER_hh_num!U12)</f>
        <v>105731.71567894139</v>
      </c>
      <c r="V12" s="132">
        <f>IF(SER_hh_tes!V12=0,0,11630*1000*SER_hh_tes!V12/SER_hh_num!V12)</f>
        <v>95825.953642525928</v>
      </c>
      <c r="W12" s="132">
        <f>IF(SER_hh_tes!W12=0,0,11630*1000*SER_hh_tes!W12/SER_hh_num!W12)</f>
        <v>115887.10575106836</v>
      </c>
      <c r="X12" s="132">
        <f>IF(SER_hh_tes!X12=0,0,11630*1000*SER_hh_tes!X12/SER_hh_num!X12)</f>
        <v>108652.19244962366</v>
      </c>
      <c r="Y12" s="132">
        <f>IF(SER_hh_tes!Y12=0,0,11630*1000*SER_hh_tes!Y12/SER_hh_num!Y12)</f>
        <v>114484.7916902711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112007.31392961067</v>
      </c>
      <c r="C13" s="132">
        <f>IF(SER_hh_tes!C13=0,0,11630*1000*SER_hh_tes!C13/SER_hh_num!C13)</f>
        <v>146795.4773798614</v>
      </c>
      <c r="D13" s="132">
        <f>IF(SER_hh_tes!D13=0,0,11630*1000*SER_hh_tes!D13/SER_hh_num!D13)</f>
        <v>141162.53912011665</v>
      </c>
      <c r="E13" s="132">
        <f>IF(SER_hh_tes!E13=0,0,11630*1000*SER_hh_tes!E13/SER_hh_num!E13)</f>
        <v>126665.44175518412</v>
      </c>
      <c r="F13" s="132">
        <f>IF(SER_hh_tes!F13=0,0,11630*1000*SER_hh_tes!F13/SER_hh_num!F13)</f>
        <v>130700.44132419159</v>
      </c>
      <c r="G13" s="132">
        <f>IF(SER_hh_tes!G13=0,0,11630*1000*SER_hh_tes!G13/SER_hh_num!G13)</f>
        <v>110455.972274076</v>
      </c>
      <c r="H13" s="132">
        <f>IF(SER_hh_tes!H13=0,0,11630*1000*SER_hh_tes!H13/SER_hh_num!H13)</f>
        <v>119307.38316532782</v>
      </c>
      <c r="I13" s="132">
        <f>IF(SER_hh_tes!I13=0,0,11630*1000*SER_hh_tes!I13/SER_hh_num!I13)</f>
        <v>125703.44735270069</v>
      </c>
      <c r="J13" s="132">
        <f>IF(SER_hh_tes!J13=0,0,11630*1000*SER_hh_tes!J13/SER_hh_num!J13)</f>
        <v>119140.70670019899</v>
      </c>
      <c r="K13" s="132">
        <f>IF(SER_hh_tes!K13=0,0,11630*1000*SER_hh_tes!K13/SER_hh_num!K13)</f>
        <v>114332.49097997925</v>
      </c>
      <c r="L13" s="132">
        <f>IF(SER_hh_tes!L13=0,0,11630*1000*SER_hh_tes!L13/SER_hh_num!L13)</f>
        <v>112386.35984106507</v>
      </c>
      <c r="M13" s="132">
        <f>IF(SER_hh_tes!M13=0,0,11630*1000*SER_hh_tes!M13/SER_hh_num!M13)</f>
        <v>108270.58295341331</v>
      </c>
      <c r="N13" s="132">
        <f>IF(SER_hh_tes!N13=0,0,11630*1000*SER_hh_tes!N13/SER_hh_num!N13)</f>
        <v>108886.1726686879</v>
      </c>
      <c r="O13" s="132">
        <f>IF(SER_hh_tes!O13=0,0,11630*1000*SER_hh_tes!O13/SER_hh_num!O13)</f>
        <v>108197.00365468787</v>
      </c>
      <c r="P13" s="132">
        <f>IF(SER_hh_tes!P13=0,0,11630*1000*SER_hh_tes!P13/SER_hh_num!P13)</f>
        <v>104802.90452552095</v>
      </c>
      <c r="Q13" s="132">
        <f>IF(SER_hh_tes!Q13=0,0,11630*1000*SER_hh_tes!Q13/SER_hh_num!Q13)</f>
        <v>101725.01739197457</v>
      </c>
      <c r="R13" s="132">
        <f>IF(SER_hh_tes!R13=0,0,11630*1000*SER_hh_tes!R13/SER_hh_num!R13)</f>
        <v>112646.26543561749</v>
      </c>
      <c r="S13" s="132">
        <f>IF(SER_hh_tes!S13=0,0,11630*1000*SER_hh_tes!S13/SER_hh_num!S13)</f>
        <v>105983.44315855835</v>
      </c>
      <c r="T13" s="132">
        <f>IF(SER_hh_tes!T13=0,0,11630*1000*SER_hh_tes!T13/SER_hh_num!T13)</f>
        <v>106290.24128416194</v>
      </c>
      <c r="U13" s="132">
        <f>IF(SER_hh_tes!U13=0,0,11630*1000*SER_hh_tes!U13/SER_hh_num!U13)</f>
        <v>102383.14995783725</v>
      </c>
      <c r="V13" s="132">
        <f>IF(SER_hh_tes!V13=0,0,11630*1000*SER_hh_tes!V13/SER_hh_num!V13)</f>
        <v>107795.79381136326</v>
      </c>
      <c r="W13" s="132">
        <f>IF(SER_hh_tes!W13=0,0,11630*1000*SER_hh_tes!W13/SER_hh_num!W13)</f>
        <v>111728.29205760048</v>
      </c>
      <c r="X13" s="132">
        <f>IF(SER_hh_tes!X13=0,0,11630*1000*SER_hh_tes!X13/SER_hh_num!X13)</f>
        <v>114537.15592500901</v>
      </c>
      <c r="Y13" s="132">
        <f>IF(SER_hh_tes!Y13=0,0,11630*1000*SER_hh_tes!Y13/SER_hh_num!Y13)</f>
        <v>112756.08683013494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129006.60017631069</v>
      </c>
      <c r="C14" s="65">
        <f>IF(SER_hh_tes!C14=0,0,11630*1000*SER_hh_tes!C14/SER_hh_num!C14)</f>
        <v>152280.06430986189</v>
      </c>
      <c r="D14" s="65">
        <f>IF(SER_hh_tes!D14=0,0,11630*1000*SER_hh_tes!D14/SER_hh_num!D14)</f>
        <v>149002.96130975816</v>
      </c>
      <c r="E14" s="65">
        <f>IF(SER_hh_tes!E14=0,0,11630*1000*SER_hh_tes!E14/SER_hh_num!E14)</f>
        <v>138311.29344717806</v>
      </c>
      <c r="F14" s="65">
        <f>IF(SER_hh_tes!F14=0,0,11630*1000*SER_hh_tes!F14/SER_hh_num!F14)</f>
        <v>136197.55786588448</v>
      </c>
      <c r="G14" s="65">
        <f>IF(SER_hh_tes!G14=0,0,11630*1000*SER_hh_tes!G14/SER_hh_num!G14)</f>
        <v>112982.23947822534</v>
      </c>
      <c r="H14" s="65">
        <f>IF(SER_hh_tes!H14=0,0,11630*1000*SER_hh_tes!H14/SER_hh_num!H14)</f>
        <v>119389.10411636149</v>
      </c>
      <c r="I14" s="65">
        <f>IF(SER_hh_tes!I14=0,0,11630*1000*SER_hh_tes!I14/SER_hh_num!I14)</f>
        <v>128379.40972644051</v>
      </c>
      <c r="J14" s="65">
        <f>IF(SER_hh_tes!J14=0,0,11630*1000*SER_hh_tes!J14/SER_hh_num!J14)</f>
        <v>123740.76988008311</v>
      </c>
      <c r="K14" s="65">
        <f>IF(SER_hh_tes!K14=0,0,11630*1000*SER_hh_tes!K14/SER_hh_num!K14)</f>
        <v>108714.0105662749</v>
      </c>
      <c r="L14" s="65">
        <f>IF(SER_hh_tes!L14=0,0,11630*1000*SER_hh_tes!L14/SER_hh_num!L14)</f>
        <v>124615.72598650552</v>
      </c>
      <c r="M14" s="65">
        <f>IF(SER_hh_tes!M14=0,0,11630*1000*SER_hh_tes!M14/SER_hh_num!M14)</f>
        <v>97360.198511090523</v>
      </c>
      <c r="N14" s="65">
        <f>IF(SER_hh_tes!N14=0,0,11630*1000*SER_hh_tes!N14/SER_hh_num!N14)</f>
        <v>108670.03413119586</v>
      </c>
      <c r="O14" s="65">
        <f>IF(SER_hh_tes!O14=0,0,11630*1000*SER_hh_tes!O14/SER_hh_num!O14)</f>
        <v>100403.93141154754</v>
      </c>
      <c r="P14" s="65">
        <f>IF(SER_hh_tes!P14=0,0,11630*1000*SER_hh_tes!P14/SER_hh_num!P14)</f>
        <v>102083.53375015027</v>
      </c>
      <c r="Q14" s="65">
        <f>IF(SER_hh_tes!Q14=0,0,11630*1000*SER_hh_tes!Q14/SER_hh_num!Q14)</f>
        <v>110572.85788635707</v>
      </c>
      <c r="R14" s="65">
        <f>IF(SER_hh_tes!R14=0,0,11630*1000*SER_hh_tes!R14/SER_hh_num!R14)</f>
        <v>118701.58886435628</v>
      </c>
      <c r="S14" s="65">
        <f>IF(SER_hh_tes!S14=0,0,11630*1000*SER_hh_tes!S14/SER_hh_num!S14)</f>
        <v>100399.43262665026</v>
      </c>
      <c r="T14" s="65">
        <f>IF(SER_hh_tes!T14=0,0,11630*1000*SER_hh_tes!T14/SER_hh_num!T14)</f>
        <v>107486.98611740538</v>
      </c>
      <c r="U14" s="65">
        <f>IF(SER_hh_tes!U14=0,0,11630*1000*SER_hh_tes!U14/SER_hh_num!U14)</f>
        <v>98091.25309796269</v>
      </c>
      <c r="V14" s="65">
        <f>IF(SER_hh_tes!V14=0,0,11630*1000*SER_hh_tes!V14/SER_hh_num!V14)</f>
        <v>102017.74596686641</v>
      </c>
      <c r="W14" s="65">
        <f>IF(SER_hh_tes!W14=0,0,11630*1000*SER_hh_tes!W14/SER_hh_num!W14)</f>
        <v>108923.55218122825</v>
      </c>
      <c r="X14" s="65">
        <f>IF(SER_hh_tes!X14=0,0,11630*1000*SER_hh_tes!X14/SER_hh_num!X14)</f>
        <v>120018.25248426203</v>
      </c>
      <c r="Y14" s="65">
        <f>IF(SER_hh_tes!Y14=0,0,11630*1000*SER_hh_tes!Y14/SER_hh_num!Y14)</f>
        <v>111770.75170082002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1385.4259679896029</v>
      </c>
      <c r="C15" s="134">
        <f>IF(SER_hh_tes!C15=0,0,11630*1000*SER_hh_tes!C15/SER_hh_num!C15)</f>
        <v>1427.4452070370435</v>
      </c>
      <c r="D15" s="134">
        <f>IF(SER_hh_tes!D15=0,0,11630*1000*SER_hh_tes!D15/SER_hh_num!D15)</f>
        <v>1388.8046511960213</v>
      </c>
      <c r="E15" s="134">
        <f>IF(SER_hh_tes!E15=0,0,11630*1000*SER_hh_tes!E15/SER_hh_num!E15)</f>
        <v>1411.0881934575141</v>
      </c>
      <c r="F15" s="134">
        <f>IF(SER_hh_tes!F15=0,0,11630*1000*SER_hh_tes!F15/SER_hh_num!F15)</f>
        <v>1161.1855257277523</v>
      </c>
      <c r="G15" s="134">
        <f>IF(SER_hh_tes!G15=0,0,11630*1000*SER_hh_tes!G15/SER_hh_num!G15)</f>
        <v>858.92456552005751</v>
      </c>
      <c r="H15" s="134">
        <f>IF(SER_hh_tes!H15=0,0,11630*1000*SER_hh_tes!H15/SER_hh_num!H15)</f>
        <v>810.4254200131229</v>
      </c>
      <c r="I15" s="134">
        <f>IF(SER_hh_tes!I15=0,0,11630*1000*SER_hh_tes!I15/SER_hh_num!I15)</f>
        <v>785.10503834125802</v>
      </c>
      <c r="J15" s="134">
        <f>IF(SER_hh_tes!J15=0,0,11630*1000*SER_hh_tes!J15/SER_hh_num!J15)</f>
        <v>741.48178574166616</v>
      </c>
      <c r="K15" s="134">
        <f>IF(SER_hh_tes!K15=0,0,11630*1000*SER_hh_tes!K15/SER_hh_num!K15)</f>
        <v>689.97864625140187</v>
      </c>
      <c r="L15" s="134">
        <f>IF(SER_hh_tes!L15=0,0,11630*1000*SER_hh_tes!L15/SER_hh_num!L15)</f>
        <v>772.5083554452051</v>
      </c>
      <c r="M15" s="134">
        <f>IF(SER_hh_tes!M15=0,0,11630*1000*SER_hh_tes!M15/SER_hh_num!M15)</f>
        <v>654.69259930493649</v>
      </c>
      <c r="N15" s="134">
        <f>IF(SER_hh_tes!N15=0,0,11630*1000*SER_hh_tes!N15/SER_hh_num!N15)</f>
        <v>708.67234139951506</v>
      </c>
      <c r="O15" s="134">
        <f>IF(SER_hh_tes!O15=0,0,11630*1000*SER_hh_tes!O15/SER_hh_num!O15)</f>
        <v>661.66940988239139</v>
      </c>
      <c r="P15" s="134">
        <f>IF(SER_hh_tes!P15=0,0,11630*1000*SER_hh_tes!P15/SER_hh_num!P15)</f>
        <v>648.45090427227274</v>
      </c>
      <c r="Q15" s="134">
        <f>IF(SER_hh_tes!Q15=0,0,11630*1000*SER_hh_tes!Q15/SER_hh_num!Q15)</f>
        <v>633.48593599325375</v>
      </c>
      <c r="R15" s="134">
        <f>IF(SER_hh_tes!R15=0,0,11630*1000*SER_hh_tes!R15/SER_hh_num!R15)</f>
        <v>670.53913987987937</v>
      </c>
      <c r="S15" s="134">
        <f>IF(SER_hh_tes!S15=0,0,11630*1000*SER_hh_tes!S15/SER_hh_num!S15)</f>
        <v>618.09040946730875</v>
      </c>
      <c r="T15" s="134">
        <f>IF(SER_hh_tes!T15=0,0,11630*1000*SER_hh_tes!T15/SER_hh_num!T15)</f>
        <v>657.91985598600638</v>
      </c>
      <c r="U15" s="134">
        <f>IF(SER_hh_tes!U15=0,0,11630*1000*SER_hh_tes!U15/SER_hh_num!U15)</f>
        <v>654.11333932973389</v>
      </c>
      <c r="V15" s="134">
        <f>IF(SER_hh_tes!V15=0,0,11630*1000*SER_hh_tes!V15/SER_hh_num!V15)</f>
        <v>628.13823493431551</v>
      </c>
      <c r="W15" s="134">
        <f>IF(SER_hh_tes!W15=0,0,11630*1000*SER_hh_tes!W15/SER_hh_num!W15)</f>
        <v>679.85785679795913</v>
      </c>
      <c r="X15" s="134">
        <f>IF(SER_hh_tes!X15=0,0,11630*1000*SER_hh_tes!X15/SER_hh_num!X15)</f>
        <v>650.72516659349799</v>
      </c>
      <c r="Y15" s="134">
        <f>IF(SER_hh_tes!Y15=0,0,11630*1000*SER_hh_tes!Y15/SER_hh_num!Y15)</f>
        <v>633.78269030857086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23070.985673076815</v>
      </c>
      <c r="C16" s="130">
        <f>IF(SER_hh_tes!C16=0,0,11630*1000*SER_hh_tes!C16/SER_hh_num!C16)</f>
        <v>23120.045926162293</v>
      </c>
      <c r="D16" s="130">
        <f>IF(SER_hh_tes!D16=0,0,11630*1000*SER_hh_tes!D16/SER_hh_num!D16)</f>
        <v>23143.541439948211</v>
      </c>
      <c r="E16" s="130">
        <f>IF(SER_hh_tes!E16=0,0,11630*1000*SER_hh_tes!E16/SER_hh_num!E16)</f>
        <v>23188.748741859577</v>
      </c>
      <c r="F16" s="130">
        <f>IF(SER_hh_tes!F16=0,0,11630*1000*SER_hh_tes!F16/SER_hh_num!F16)</f>
        <v>23239.54474575619</v>
      </c>
      <c r="G16" s="130">
        <f>IF(SER_hh_tes!G16=0,0,11630*1000*SER_hh_tes!G16/SER_hh_num!G16)</f>
        <v>23301.631234708588</v>
      </c>
      <c r="H16" s="130">
        <f>IF(SER_hh_tes!H16=0,0,11630*1000*SER_hh_tes!H16/SER_hh_num!H16)</f>
        <v>23360.583148704056</v>
      </c>
      <c r="I16" s="130">
        <f>IF(SER_hh_tes!I16=0,0,11630*1000*SER_hh_tes!I16/SER_hh_num!I16)</f>
        <v>23423.362766835911</v>
      </c>
      <c r="J16" s="130">
        <f>IF(SER_hh_tes!J16=0,0,11630*1000*SER_hh_tes!J16/SER_hh_num!J16)</f>
        <v>23696.618998342703</v>
      </c>
      <c r="K16" s="130">
        <f>IF(SER_hh_tes!K16=0,0,11630*1000*SER_hh_tes!K16/SER_hh_num!K16)</f>
        <v>23738.579012246209</v>
      </c>
      <c r="L16" s="130">
        <f>IF(SER_hh_tes!L16=0,0,11630*1000*SER_hh_tes!L16/SER_hh_num!L16)</f>
        <v>24146.822406786352</v>
      </c>
      <c r="M16" s="130">
        <f>IF(SER_hh_tes!M16=0,0,11630*1000*SER_hh_tes!M16/SER_hh_num!M16)</f>
        <v>23821.847126872039</v>
      </c>
      <c r="N16" s="130">
        <f>IF(SER_hh_tes!N16=0,0,11630*1000*SER_hh_tes!N16/SER_hh_num!N16)</f>
        <v>23872.959984385634</v>
      </c>
      <c r="O16" s="130">
        <f>IF(SER_hh_tes!O16=0,0,11630*1000*SER_hh_tes!O16/SER_hh_num!O16)</f>
        <v>23921.573696075506</v>
      </c>
      <c r="P16" s="130">
        <f>IF(SER_hh_tes!P16=0,0,11630*1000*SER_hh_tes!P16/SER_hh_num!P16)</f>
        <v>24299.257084723697</v>
      </c>
      <c r="Q16" s="130">
        <f>IF(SER_hh_tes!Q16=0,0,11630*1000*SER_hh_tes!Q16/SER_hh_num!Q16)</f>
        <v>24041.583743886895</v>
      </c>
      <c r="R16" s="130">
        <f>IF(SER_hh_tes!R16=0,0,11630*1000*SER_hh_tes!R16/SER_hh_num!R16)</f>
        <v>24210.280008651473</v>
      </c>
      <c r="S16" s="130">
        <f>IF(SER_hh_tes!S16=0,0,11630*1000*SER_hh_tes!S16/SER_hh_num!S16)</f>
        <v>24328.492404481432</v>
      </c>
      <c r="T16" s="130">
        <f>IF(SER_hh_tes!T16=0,0,11630*1000*SER_hh_tes!T16/SER_hh_num!T16)</f>
        <v>24695.877796144647</v>
      </c>
      <c r="U16" s="130">
        <f>IF(SER_hh_tes!U16=0,0,11630*1000*SER_hh_tes!U16/SER_hh_num!U16)</f>
        <v>24629.838419390446</v>
      </c>
      <c r="V16" s="130">
        <f>IF(SER_hh_tes!V16=0,0,11630*1000*SER_hh_tes!V16/SER_hh_num!V16)</f>
        <v>24174.734956728124</v>
      </c>
      <c r="W16" s="130">
        <f>IF(SER_hh_tes!W16=0,0,11630*1000*SER_hh_tes!W16/SER_hh_num!W16)</f>
        <v>24755.529073649679</v>
      </c>
      <c r="X16" s="130">
        <f>IF(SER_hh_tes!X16=0,0,11630*1000*SER_hh_tes!X16/SER_hh_num!X16)</f>
        <v>24440.208196951869</v>
      </c>
      <c r="Y16" s="130">
        <f>IF(SER_hh_tes!Y16=0,0,11630*1000*SER_hh_tes!Y16/SER_hh_num!Y16)</f>
        <v>24631.641916498185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0</v>
      </c>
      <c r="C17" s="132">
        <f>IF(SER_hh_tes!C17=0,0,11630*1000*SER_hh_tes!C17/SER_hh_num!C17)</f>
        <v>0</v>
      </c>
      <c r="D17" s="132">
        <f>IF(SER_hh_tes!D17=0,0,11630*1000*SER_hh_tes!D17/SER_hh_num!D17)</f>
        <v>0</v>
      </c>
      <c r="E17" s="132">
        <f>IF(SER_hh_tes!E17=0,0,11630*1000*SER_hh_tes!E17/SER_hh_num!E17)</f>
        <v>0</v>
      </c>
      <c r="F17" s="132">
        <f>IF(SER_hh_tes!F17=0,0,11630*1000*SER_hh_tes!F17/SER_hh_num!F17)</f>
        <v>0</v>
      </c>
      <c r="G17" s="132">
        <f>IF(SER_hh_tes!G17=0,0,11630*1000*SER_hh_tes!G17/SER_hh_num!G17)</f>
        <v>0</v>
      </c>
      <c r="H17" s="132">
        <f>IF(SER_hh_tes!H17=0,0,11630*1000*SER_hh_tes!H17/SER_hh_num!H17)</f>
        <v>0</v>
      </c>
      <c r="I17" s="132">
        <f>IF(SER_hh_tes!I17=0,0,11630*1000*SER_hh_tes!I17/SER_hh_num!I17)</f>
        <v>0</v>
      </c>
      <c r="J17" s="132">
        <f>IF(SER_hh_tes!J17=0,0,11630*1000*SER_hh_tes!J17/SER_hh_num!J17)</f>
        <v>0</v>
      </c>
      <c r="K17" s="132">
        <f>IF(SER_hh_tes!K17=0,0,11630*1000*SER_hh_tes!K17/SER_hh_num!K17)</f>
        <v>0</v>
      </c>
      <c r="L17" s="132">
        <f>IF(SER_hh_tes!L17=0,0,11630*1000*SER_hh_tes!L17/SER_hh_num!L17)</f>
        <v>0</v>
      </c>
      <c r="M17" s="132">
        <f>IF(SER_hh_tes!M17=0,0,11630*1000*SER_hh_tes!M17/SER_hh_num!M17)</f>
        <v>0</v>
      </c>
      <c r="N17" s="132">
        <f>IF(SER_hh_tes!N17=0,0,11630*1000*SER_hh_tes!N17/SER_hh_num!N17)</f>
        <v>0</v>
      </c>
      <c r="O17" s="132">
        <f>IF(SER_hh_tes!O17=0,0,11630*1000*SER_hh_tes!O17/SER_hh_num!O17)</f>
        <v>0</v>
      </c>
      <c r="P17" s="132">
        <f>IF(SER_hh_tes!P17=0,0,11630*1000*SER_hh_tes!P17/SER_hh_num!P17)</f>
        <v>0</v>
      </c>
      <c r="Q17" s="132">
        <f>IF(SER_hh_tes!Q17=0,0,11630*1000*SER_hh_tes!Q17/SER_hh_num!Q17)</f>
        <v>0</v>
      </c>
      <c r="R17" s="132">
        <f>IF(SER_hh_tes!R17=0,0,11630*1000*SER_hh_tes!R17/SER_hh_num!R17)</f>
        <v>0</v>
      </c>
      <c r="S17" s="132">
        <f>IF(SER_hh_tes!S17=0,0,11630*1000*SER_hh_tes!S17/SER_hh_num!S17)</f>
        <v>0</v>
      </c>
      <c r="T17" s="132">
        <f>IF(SER_hh_tes!T17=0,0,11630*1000*SER_hh_tes!T17/SER_hh_num!T17)</f>
        <v>0</v>
      </c>
      <c r="U17" s="132">
        <f>IF(SER_hh_tes!U17=0,0,11630*1000*SER_hh_tes!U17/SER_hh_num!U17)</f>
        <v>0</v>
      </c>
      <c r="V17" s="132">
        <f>IF(SER_hh_tes!V17=0,0,11630*1000*SER_hh_tes!V17/SER_hh_num!V17)</f>
        <v>0</v>
      </c>
      <c r="W17" s="132">
        <f>IF(SER_hh_tes!W17=0,0,11630*1000*SER_hh_tes!W17/SER_hh_num!W17)</f>
        <v>0</v>
      </c>
      <c r="X17" s="132">
        <f>IF(SER_hh_tes!X17=0,0,11630*1000*SER_hh_tes!X17/SER_hh_num!X17)</f>
        <v>0</v>
      </c>
      <c r="Y17" s="132">
        <f>IF(SER_hh_tes!Y17=0,0,11630*1000*SER_hh_tes!Y17/SER_hh_num!Y17)</f>
        <v>0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23070.985673076815</v>
      </c>
      <c r="C18" s="132">
        <f>IF(SER_hh_tes!C18=0,0,11630*1000*SER_hh_tes!C18/SER_hh_num!C18)</f>
        <v>23120.045926162293</v>
      </c>
      <c r="D18" s="132">
        <f>IF(SER_hh_tes!D18=0,0,11630*1000*SER_hh_tes!D18/SER_hh_num!D18)</f>
        <v>23143.541439948211</v>
      </c>
      <c r="E18" s="132">
        <f>IF(SER_hh_tes!E18=0,0,11630*1000*SER_hh_tes!E18/SER_hh_num!E18)</f>
        <v>23188.748741859577</v>
      </c>
      <c r="F18" s="132">
        <f>IF(SER_hh_tes!F18=0,0,11630*1000*SER_hh_tes!F18/SER_hh_num!F18)</f>
        <v>23239.54474575619</v>
      </c>
      <c r="G18" s="132">
        <f>IF(SER_hh_tes!G18=0,0,11630*1000*SER_hh_tes!G18/SER_hh_num!G18)</f>
        <v>23301.631234708588</v>
      </c>
      <c r="H18" s="132">
        <f>IF(SER_hh_tes!H18=0,0,11630*1000*SER_hh_tes!H18/SER_hh_num!H18)</f>
        <v>23360.583148704056</v>
      </c>
      <c r="I18" s="132">
        <f>IF(SER_hh_tes!I18=0,0,11630*1000*SER_hh_tes!I18/SER_hh_num!I18)</f>
        <v>23423.362766835911</v>
      </c>
      <c r="J18" s="132">
        <f>IF(SER_hh_tes!J18=0,0,11630*1000*SER_hh_tes!J18/SER_hh_num!J18)</f>
        <v>23696.618998342703</v>
      </c>
      <c r="K18" s="132">
        <f>IF(SER_hh_tes!K18=0,0,11630*1000*SER_hh_tes!K18/SER_hh_num!K18)</f>
        <v>23738.579012246209</v>
      </c>
      <c r="L18" s="132">
        <f>IF(SER_hh_tes!L18=0,0,11630*1000*SER_hh_tes!L18/SER_hh_num!L18)</f>
        <v>24146.822406786352</v>
      </c>
      <c r="M18" s="132">
        <f>IF(SER_hh_tes!M18=0,0,11630*1000*SER_hh_tes!M18/SER_hh_num!M18)</f>
        <v>23821.847126872039</v>
      </c>
      <c r="N18" s="132">
        <f>IF(SER_hh_tes!N18=0,0,11630*1000*SER_hh_tes!N18/SER_hh_num!N18)</f>
        <v>23872.959984385634</v>
      </c>
      <c r="O18" s="132">
        <f>IF(SER_hh_tes!O18=0,0,11630*1000*SER_hh_tes!O18/SER_hh_num!O18)</f>
        <v>23921.573696075506</v>
      </c>
      <c r="P18" s="132">
        <f>IF(SER_hh_tes!P18=0,0,11630*1000*SER_hh_tes!P18/SER_hh_num!P18)</f>
        <v>24299.257084723697</v>
      </c>
      <c r="Q18" s="132">
        <f>IF(SER_hh_tes!Q18=0,0,11630*1000*SER_hh_tes!Q18/SER_hh_num!Q18)</f>
        <v>24041.583743886895</v>
      </c>
      <c r="R18" s="132">
        <f>IF(SER_hh_tes!R18=0,0,11630*1000*SER_hh_tes!R18/SER_hh_num!R18)</f>
        <v>24210.280008651473</v>
      </c>
      <c r="S18" s="132">
        <f>IF(SER_hh_tes!S18=0,0,11630*1000*SER_hh_tes!S18/SER_hh_num!S18)</f>
        <v>24328.492404481432</v>
      </c>
      <c r="T18" s="132">
        <f>IF(SER_hh_tes!T18=0,0,11630*1000*SER_hh_tes!T18/SER_hh_num!T18)</f>
        <v>24695.877796144647</v>
      </c>
      <c r="U18" s="132">
        <f>IF(SER_hh_tes!U18=0,0,11630*1000*SER_hh_tes!U18/SER_hh_num!U18)</f>
        <v>24629.838419390446</v>
      </c>
      <c r="V18" s="132">
        <f>IF(SER_hh_tes!V18=0,0,11630*1000*SER_hh_tes!V18/SER_hh_num!V18)</f>
        <v>24174.734956728124</v>
      </c>
      <c r="W18" s="132">
        <f>IF(SER_hh_tes!W18=0,0,11630*1000*SER_hh_tes!W18/SER_hh_num!W18)</f>
        <v>24755.529073649679</v>
      </c>
      <c r="X18" s="132">
        <f>IF(SER_hh_tes!X18=0,0,11630*1000*SER_hh_tes!X18/SER_hh_num!X18)</f>
        <v>24440.208196951869</v>
      </c>
      <c r="Y18" s="132">
        <f>IF(SER_hh_tes!Y18=0,0,11630*1000*SER_hh_tes!Y18/SER_hh_num!Y18)</f>
        <v>24631.641916498185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17283.065971294986</v>
      </c>
      <c r="C19" s="130">
        <f>IF(SER_hh_tes!C19=0,0,11630*1000*SER_hh_tes!C19/SER_hh_num!C19)</f>
        <v>17185.891490892824</v>
      </c>
      <c r="D19" s="130">
        <f>IF(SER_hh_tes!D19=0,0,11630*1000*SER_hh_tes!D19/SER_hh_num!D19)</f>
        <v>17141.700738872849</v>
      </c>
      <c r="E19" s="130">
        <f>IF(SER_hh_tes!E19=0,0,11630*1000*SER_hh_tes!E19/SER_hh_num!E19)</f>
        <v>17194.148007279069</v>
      </c>
      <c r="F19" s="130">
        <f>IF(SER_hh_tes!F19=0,0,11630*1000*SER_hh_tes!F19/SER_hh_num!F19)</f>
        <v>17146.954967269965</v>
      </c>
      <c r="G19" s="130">
        <f>IF(SER_hh_tes!G19=0,0,11630*1000*SER_hh_tes!G19/SER_hh_num!G19)</f>
        <v>17268.809166351908</v>
      </c>
      <c r="H19" s="130">
        <f>IF(SER_hh_tes!H19=0,0,11630*1000*SER_hh_tes!H19/SER_hh_num!H19)</f>
        <v>17178.929698183994</v>
      </c>
      <c r="I19" s="130">
        <f>IF(SER_hh_tes!I19=0,0,11630*1000*SER_hh_tes!I19/SER_hh_num!I19)</f>
        <v>17312.707698524111</v>
      </c>
      <c r="J19" s="130">
        <f>IF(SER_hh_tes!J19=0,0,11630*1000*SER_hh_tes!J19/SER_hh_num!J19)</f>
        <v>17474.565819589432</v>
      </c>
      <c r="K19" s="130">
        <f>IF(SER_hh_tes!K19=0,0,11630*1000*SER_hh_tes!K19/SER_hh_num!K19)</f>
        <v>17711.246861467265</v>
      </c>
      <c r="L19" s="130">
        <f>IF(SER_hh_tes!L19=0,0,11630*1000*SER_hh_tes!L19/SER_hh_num!L19)</f>
        <v>17692.61603423176</v>
      </c>
      <c r="M19" s="130">
        <f>IF(SER_hh_tes!M19=0,0,11630*1000*SER_hh_tes!M19/SER_hh_num!M19)</f>
        <v>17835.639365578114</v>
      </c>
      <c r="N19" s="130">
        <f>IF(SER_hh_tes!N19=0,0,11630*1000*SER_hh_tes!N19/SER_hh_num!N19)</f>
        <v>17824.514132446795</v>
      </c>
      <c r="O19" s="130">
        <f>IF(SER_hh_tes!O19=0,0,11630*1000*SER_hh_tes!O19/SER_hh_num!O19)</f>
        <v>18015.402870109239</v>
      </c>
      <c r="P19" s="130">
        <f>IF(SER_hh_tes!P19=0,0,11630*1000*SER_hh_tes!P19/SER_hh_num!P19)</f>
        <v>18081.226291411451</v>
      </c>
      <c r="Q19" s="130">
        <f>IF(SER_hh_tes!Q19=0,0,11630*1000*SER_hh_tes!Q19/SER_hh_num!Q19)</f>
        <v>18041.021476737496</v>
      </c>
      <c r="R19" s="130">
        <f>IF(SER_hh_tes!R19=0,0,11630*1000*SER_hh_tes!R19/SER_hh_num!R19)</f>
        <v>17904.459627346441</v>
      </c>
      <c r="S19" s="130">
        <f>IF(SER_hh_tes!S19=0,0,11630*1000*SER_hh_tes!S19/SER_hh_num!S19)</f>
        <v>18044.347278796864</v>
      </c>
      <c r="T19" s="130">
        <f>IF(SER_hh_tes!T19=0,0,11630*1000*SER_hh_tes!T19/SER_hh_num!T19)</f>
        <v>18092.909678638371</v>
      </c>
      <c r="U19" s="130">
        <f>IF(SER_hh_tes!U19=0,0,11630*1000*SER_hh_tes!U19/SER_hh_num!U19)</f>
        <v>18252.422109442425</v>
      </c>
      <c r="V19" s="130">
        <f>IF(SER_hh_tes!V19=0,0,11630*1000*SER_hh_tes!V19/SER_hh_num!V19)</f>
        <v>18611.035450042458</v>
      </c>
      <c r="W19" s="130">
        <f>IF(SER_hh_tes!W19=0,0,11630*1000*SER_hh_tes!W19/SER_hh_num!W19)</f>
        <v>18562.273377511588</v>
      </c>
      <c r="X19" s="130">
        <f>IF(SER_hh_tes!X19=0,0,11630*1000*SER_hh_tes!X19/SER_hh_num!X19)</f>
        <v>18160.233295408107</v>
      </c>
      <c r="Y19" s="130">
        <f>IF(SER_hh_tes!Y19=0,0,11630*1000*SER_hh_tes!Y19/SER_hh_num!Y19)</f>
        <v>18085.697816868236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0</v>
      </c>
      <c r="C21" s="132">
        <f>IF(SER_hh_tes!C21=0,0,11630*1000*SER_hh_tes!C21/SER_hh_num!C21)</f>
        <v>0</v>
      </c>
      <c r="D21" s="132">
        <f>IF(SER_hh_tes!D21=0,0,11630*1000*SER_hh_tes!D21/SER_hh_num!D21)</f>
        <v>0</v>
      </c>
      <c r="E21" s="132">
        <f>IF(SER_hh_tes!E21=0,0,11630*1000*SER_hh_tes!E21/SER_hh_num!E21)</f>
        <v>0</v>
      </c>
      <c r="F21" s="132">
        <f>IF(SER_hh_tes!F21=0,0,11630*1000*SER_hh_tes!F21/SER_hh_num!F21)</f>
        <v>0</v>
      </c>
      <c r="G21" s="132">
        <f>IF(SER_hh_tes!G21=0,0,11630*1000*SER_hh_tes!G21/SER_hh_num!G21)</f>
        <v>0</v>
      </c>
      <c r="H21" s="132">
        <f>IF(SER_hh_tes!H21=0,0,11630*1000*SER_hh_tes!H21/SER_hh_num!H21)</f>
        <v>0</v>
      </c>
      <c r="I21" s="132">
        <f>IF(SER_hh_tes!I21=0,0,11630*1000*SER_hh_tes!I21/SER_hh_num!I21)</f>
        <v>0</v>
      </c>
      <c r="J21" s="132">
        <f>IF(SER_hh_tes!J21=0,0,11630*1000*SER_hh_tes!J21/SER_hh_num!J21)</f>
        <v>0</v>
      </c>
      <c r="K21" s="132">
        <f>IF(SER_hh_tes!K21=0,0,11630*1000*SER_hh_tes!K21/SER_hh_num!K21)</f>
        <v>0</v>
      </c>
      <c r="L21" s="132">
        <f>IF(SER_hh_tes!L21=0,0,11630*1000*SER_hh_tes!L21/SER_hh_num!L21)</f>
        <v>0</v>
      </c>
      <c r="M21" s="132">
        <f>IF(SER_hh_tes!M21=0,0,11630*1000*SER_hh_tes!M21/SER_hh_num!M21)</f>
        <v>0</v>
      </c>
      <c r="N21" s="132">
        <f>IF(SER_hh_tes!N21=0,0,11630*1000*SER_hh_tes!N21/SER_hh_num!N21)</f>
        <v>0</v>
      </c>
      <c r="O21" s="132">
        <f>IF(SER_hh_tes!O21=0,0,11630*1000*SER_hh_tes!O21/SER_hh_num!O21)</f>
        <v>0</v>
      </c>
      <c r="P21" s="132">
        <f>IF(SER_hh_tes!P21=0,0,11630*1000*SER_hh_tes!P21/SER_hh_num!P21)</f>
        <v>0</v>
      </c>
      <c r="Q21" s="132">
        <f>IF(SER_hh_tes!Q21=0,0,11630*1000*SER_hh_tes!Q21/SER_hh_num!Q21)</f>
        <v>0</v>
      </c>
      <c r="R21" s="132">
        <f>IF(SER_hh_tes!R21=0,0,11630*1000*SER_hh_tes!R21/SER_hh_num!R21)</f>
        <v>0</v>
      </c>
      <c r="S21" s="132">
        <f>IF(SER_hh_tes!S21=0,0,11630*1000*SER_hh_tes!S21/SER_hh_num!S21)</f>
        <v>0</v>
      </c>
      <c r="T21" s="132">
        <f>IF(SER_hh_tes!T21=0,0,11630*1000*SER_hh_tes!T21/SER_hh_num!T21)</f>
        <v>0</v>
      </c>
      <c r="U21" s="132">
        <f>IF(SER_hh_tes!U21=0,0,11630*1000*SER_hh_tes!U21/SER_hh_num!U21)</f>
        <v>0</v>
      </c>
      <c r="V21" s="132">
        <f>IF(SER_hh_tes!V21=0,0,11630*1000*SER_hh_tes!V21/SER_hh_num!V21)</f>
        <v>0</v>
      </c>
      <c r="W21" s="132">
        <f>IF(SER_hh_tes!W21=0,0,11630*1000*SER_hh_tes!W21/SER_hh_num!W21)</f>
        <v>0</v>
      </c>
      <c r="X21" s="132">
        <f>IF(SER_hh_tes!X21=0,0,11630*1000*SER_hh_tes!X21/SER_hh_num!X21)</f>
        <v>0</v>
      </c>
      <c r="Y21" s="132">
        <f>IF(SER_hh_tes!Y21=0,0,11630*1000*SER_hh_tes!Y21/SER_hh_num!Y21)</f>
        <v>0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17347.297961573429</v>
      </c>
      <c r="C22" s="132">
        <f>IF(SER_hh_tes!C22=0,0,11630*1000*SER_hh_tes!C22/SER_hh_num!C22)</f>
        <v>17302.51999041728</v>
      </c>
      <c r="D22" s="132">
        <f>IF(SER_hh_tes!D22=0,0,11630*1000*SER_hh_tes!D22/SER_hh_num!D22)</f>
        <v>17254.625297151601</v>
      </c>
      <c r="E22" s="132">
        <f>IF(SER_hh_tes!E22=0,0,11630*1000*SER_hh_tes!E22/SER_hh_num!E22)</f>
        <v>18017.802385059898</v>
      </c>
      <c r="F22" s="132">
        <f>IF(SER_hh_tes!F22=0,0,11630*1000*SER_hh_tes!F22/SER_hh_num!F22)</f>
        <v>18343.90304252048</v>
      </c>
      <c r="G22" s="132">
        <f>IF(SER_hh_tes!G22=0,0,11630*1000*SER_hh_tes!G22/SER_hh_num!G22)</f>
        <v>14876.160567787843</v>
      </c>
      <c r="H22" s="132">
        <f>IF(SER_hh_tes!H22=0,0,11630*1000*SER_hh_tes!H22/SER_hh_num!H22)</f>
        <v>17433.582143855936</v>
      </c>
      <c r="I22" s="132">
        <f>IF(SER_hh_tes!I22=0,0,11630*1000*SER_hh_tes!I22/SER_hh_num!I22)</f>
        <v>17545.161660598307</v>
      </c>
      <c r="J22" s="132">
        <f>IF(SER_hh_tes!J22=0,0,11630*1000*SER_hh_tes!J22/SER_hh_num!J22)</f>
        <v>18788.989478605206</v>
      </c>
      <c r="K22" s="132">
        <f>IF(SER_hh_tes!K22=0,0,11630*1000*SER_hh_tes!K22/SER_hh_num!K22)</f>
        <v>14377.545886520957</v>
      </c>
      <c r="L22" s="132">
        <f>IF(SER_hh_tes!L22=0,0,11630*1000*SER_hh_tes!L22/SER_hh_num!L22)</f>
        <v>14814.471754170652</v>
      </c>
      <c r="M22" s="132">
        <f>IF(SER_hh_tes!M22=0,0,11630*1000*SER_hh_tes!M22/SER_hh_num!M22)</f>
        <v>15395.426438249991</v>
      </c>
      <c r="N22" s="132">
        <f>IF(SER_hh_tes!N22=0,0,11630*1000*SER_hh_tes!N22/SER_hh_num!N22)</f>
        <v>19794.575080150553</v>
      </c>
      <c r="O22" s="132">
        <f>IF(SER_hh_tes!O22=0,0,11630*1000*SER_hh_tes!O22/SER_hh_num!O22)</f>
        <v>20065.497511553003</v>
      </c>
      <c r="P22" s="132">
        <f>IF(SER_hh_tes!P22=0,0,11630*1000*SER_hh_tes!P22/SER_hh_num!P22)</f>
        <v>14402.186863586652</v>
      </c>
      <c r="Q22" s="132">
        <f>IF(SER_hh_tes!Q22=0,0,11630*1000*SER_hh_tes!Q22/SER_hh_num!Q22)</f>
        <v>19150.583517511925</v>
      </c>
      <c r="R22" s="132">
        <f>IF(SER_hh_tes!R22=0,0,11630*1000*SER_hh_tes!R22/SER_hh_num!R22)</f>
        <v>18346.295105065692</v>
      </c>
      <c r="S22" s="132">
        <f>IF(SER_hh_tes!S22=0,0,11630*1000*SER_hh_tes!S22/SER_hh_num!S22)</f>
        <v>18370.274441898931</v>
      </c>
      <c r="T22" s="132">
        <f>IF(SER_hh_tes!T22=0,0,11630*1000*SER_hh_tes!T22/SER_hh_num!T22)</f>
        <v>18712.115985217843</v>
      </c>
      <c r="U22" s="132">
        <f>IF(SER_hh_tes!U22=0,0,11630*1000*SER_hh_tes!U22/SER_hh_num!U22)</f>
        <v>18451.919641993485</v>
      </c>
      <c r="V22" s="132">
        <f>IF(SER_hh_tes!V22=0,0,11630*1000*SER_hh_tes!V22/SER_hh_num!V22)</f>
        <v>19036.877625638572</v>
      </c>
      <c r="W22" s="132">
        <f>IF(SER_hh_tes!W22=0,0,11630*1000*SER_hh_tes!W22/SER_hh_num!W22)</f>
        <v>18526.876901338484</v>
      </c>
      <c r="X22" s="132">
        <f>IF(SER_hh_tes!X22=0,0,11630*1000*SER_hh_tes!X22/SER_hh_num!X22)</f>
        <v>18994.40892959588</v>
      </c>
      <c r="Y22" s="132">
        <f>IF(SER_hh_tes!Y22=0,0,11630*1000*SER_hh_tes!Y22/SER_hh_num!Y22)</f>
        <v>16395.127301372966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17529.743965936636</v>
      </c>
      <c r="C23" s="132">
        <f>IF(SER_hh_tes!C23=0,0,11630*1000*SER_hh_tes!C23/SER_hh_num!C23)</f>
        <v>15674.045917961354</v>
      </c>
      <c r="D23" s="132">
        <f>IF(SER_hh_tes!D23=0,0,11630*1000*SER_hh_tes!D23/SER_hh_num!D23)</f>
        <v>17139.245025672873</v>
      </c>
      <c r="E23" s="132">
        <f>IF(SER_hh_tes!E23=0,0,11630*1000*SER_hh_tes!E23/SER_hh_num!E23)</f>
        <v>18099.627486552752</v>
      </c>
      <c r="F23" s="132">
        <f>IF(SER_hh_tes!F23=0,0,11630*1000*SER_hh_tes!F23/SER_hh_num!F23)</f>
        <v>16166.143882052702</v>
      </c>
      <c r="G23" s="132">
        <f>IF(SER_hh_tes!G23=0,0,11630*1000*SER_hh_tes!G23/SER_hh_num!G23)</f>
        <v>16584.598380780699</v>
      </c>
      <c r="H23" s="132">
        <f>IF(SER_hh_tes!H23=0,0,11630*1000*SER_hh_tes!H23/SER_hh_num!H23)</f>
        <v>18490.549880178565</v>
      </c>
      <c r="I23" s="132">
        <f>IF(SER_hh_tes!I23=0,0,11630*1000*SER_hh_tes!I23/SER_hh_num!I23)</f>
        <v>17219.208561364027</v>
      </c>
      <c r="J23" s="132">
        <f>IF(SER_hh_tes!J23=0,0,11630*1000*SER_hh_tes!J23/SER_hh_num!J23)</f>
        <v>17859.921349390701</v>
      </c>
      <c r="K23" s="132">
        <f>IF(SER_hh_tes!K23=0,0,11630*1000*SER_hh_tes!K23/SER_hh_num!K23)</f>
        <v>17495.31608172473</v>
      </c>
      <c r="L23" s="132">
        <f>IF(SER_hh_tes!L23=0,0,11630*1000*SER_hh_tes!L23/SER_hh_num!L23)</f>
        <v>17958.368617376378</v>
      </c>
      <c r="M23" s="132">
        <f>IF(SER_hh_tes!M23=0,0,11630*1000*SER_hh_tes!M23/SER_hh_num!M23)</f>
        <v>17660.951437777298</v>
      </c>
      <c r="N23" s="132">
        <f>IF(SER_hh_tes!N23=0,0,11630*1000*SER_hh_tes!N23/SER_hh_num!N23)</f>
        <v>17689.686718057808</v>
      </c>
      <c r="O23" s="132">
        <f>IF(SER_hh_tes!O23=0,0,11630*1000*SER_hh_tes!O23/SER_hh_num!O23)</f>
        <v>17831.392805026975</v>
      </c>
      <c r="P23" s="132">
        <f>IF(SER_hh_tes!P23=0,0,11630*1000*SER_hh_tes!P23/SER_hh_num!P23)</f>
        <v>18503.466132849226</v>
      </c>
      <c r="Q23" s="132">
        <f>IF(SER_hh_tes!Q23=0,0,11630*1000*SER_hh_tes!Q23/SER_hh_num!Q23)</f>
        <v>18740.874850138858</v>
      </c>
      <c r="R23" s="132">
        <f>IF(SER_hh_tes!R23=0,0,11630*1000*SER_hh_tes!R23/SER_hh_num!R23)</f>
        <v>20243.715589757103</v>
      </c>
      <c r="S23" s="132">
        <f>IF(SER_hh_tes!S23=0,0,11630*1000*SER_hh_tes!S23/SER_hh_num!S23)</f>
        <v>11894.055762230904</v>
      </c>
      <c r="T23" s="132">
        <f>IF(SER_hh_tes!T23=0,0,11630*1000*SER_hh_tes!T23/SER_hh_num!T23)</f>
        <v>16452.172878098285</v>
      </c>
      <c r="U23" s="132">
        <f>IF(SER_hh_tes!U23=0,0,11630*1000*SER_hh_tes!U23/SER_hh_num!U23)</f>
        <v>20652.901179139022</v>
      </c>
      <c r="V23" s="132">
        <f>IF(SER_hh_tes!V23=0,0,11630*1000*SER_hh_tes!V23/SER_hh_num!V23)</f>
        <v>19862.743130136216</v>
      </c>
      <c r="W23" s="132">
        <f>IF(SER_hh_tes!W23=0,0,11630*1000*SER_hh_tes!W23/SER_hh_num!W23)</f>
        <v>20150.180911071115</v>
      </c>
      <c r="X23" s="132">
        <f>IF(SER_hh_tes!X23=0,0,11630*1000*SER_hh_tes!X23/SER_hh_num!X23)</f>
        <v>18068.803080984806</v>
      </c>
      <c r="Y23" s="132">
        <f>IF(SER_hh_tes!Y23=0,0,11630*1000*SER_hh_tes!Y23/SER_hh_num!Y23)</f>
        <v>17432.308699855814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17477.855688312866</v>
      </c>
      <c r="C25" s="132">
        <f>IF(SER_hh_tes!C25=0,0,11630*1000*SER_hh_tes!C25/SER_hh_num!C25)</f>
        <v>17131.479045544635</v>
      </c>
      <c r="D25" s="132">
        <f>IF(SER_hh_tes!D25=0,0,11630*1000*SER_hh_tes!D25/SER_hh_num!D25)</f>
        <v>16967.460806619703</v>
      </c>
      <c r="E25" s="132">
        <f>IF(SER_hh_tes!E25=0,0,11630*1000*SER_hh_tes!E25/SER_hh_num!E25)</f>
        <v>16781.367006289776</v>
      </c>
      <c r="F25" s="132">
        <f>IF(SER_hh_tes!F25=0,0,11630*1000*SER_hh_tes!F25/SER_hh_num!F25)</f>
        <v>17059.367187021973</v>
      </c>
      <c r="G25" s="132">
        <f>IF(SER_hh_tes!G25=0,0,11630*1000*SER_hh_tes!G25/SER_hh_num!G25)</f>
        <v>17499.120312632673</v>
      </c>
      <c r="H25" s="132">
        <f>IF(SER_hh_tes!H25=0,0,11630*1000*SER_hh_tes!H25/SER_hh_num!H25)</f>
        <v>17630.872002563043</v>
      </c>
      <c r="I25" s="132">
        <f>IF(SER_hh_tes!I25=0,0,11630*1000*SER_hh_tes!I25/SER_hh_num!I25)</f>
        <v>17171.418249618171</v>
      </c>
      <c r="J25" s="132">
        <f>IF(SER_hh_tes!J25=0,0,11630*1000*SER_hh_tes!J25/SER_hh_num!J25)</f>
        <v>17529.265205219734</v>
      </c>
      <c r="K25" s="132">
        <f>IF(SER_hh_tes!K25=0,0,11630*1000*SER_hh_tes!K25/SER_hh_num!K25)</f>
        <v>17591.348963793571</v>
      </c>
      <c r="L25" s="132">
        <f>IF(SER_hh_tes!L25=0,0,11630*1000*SER_hh_tes!L25/SER_hh_num!L25)</f>
        <v>17593.594246253459</v>
      </c>
      <c r="M25" s="132">
        <f>IF(SER_hh_tes!M25=0,0,11630*1000*SER_hh_tes!M25/SER_hh_num!M25)</f>
        <v>17782.413087776644</v>
      </c>
      <c r="N25" s="132">
        <f>IF(SER_hh_tes!N25=0,0,11630*1000*SER_hh_tes!N25/SER_hh_num!N25)</f>
        <v>18121.583956305236</v>
      </c>
      <c r="O25" s="132">
        <f>IF(SER_hh_tes!O25=0,0,11630*1000*SER_hh_tes!O25/SER_hh_num!O25)</f>
        <v>18009.140930132511</v>
      </c>
      <c r="P25" s="132">
        <f>IF(SER_hh_tes!P25=0,0,11630*1000*SER_hh_tes!P25/SER_hh_num!P25)</f>
        <v>17942.477419225652</v>
      </c>
      <c r="Q25" s="132">
        <f>IF(SER_hh_tes!Q25=0,0,11630*1000*SER_hh_tes!Q25/SER_hh_num!Q25)</f>
        <v>17760.592017059342</v>
      </c>
      <c r="R25" s="132">
        <f>IF(SER_hh_tes!R25=0,0,11630*1000*SER_hh_tes!R25/SER_hh_num!R25)</f>
        <v>18558.138619562764</v>
      </c>
      <c r="S25" s="132">
        <f>IF(SER_hh_tes!S25=0,0,11630*1000*SER_hh_tes!S25/SER_hh_num!S25)</f>
        <v>17637.334441946718</v>
      </c>
      <c r="T25" s="132">
        <f>IF(SER_hh_tes!T25=0,0,11630*1000*SER_hh_tes!T25/SER_hh_num!T25)</f>
        <v>18578.817390581567</v>
      </c>
      <c r="U25" s="132">
        <f>IF(SER_hh_tes!U25=0,0,11630*1000*SER_hh_tes!U25/SER_hh_num!U25)</f>
        <v>18636.138651522462</v>
      </c>
      <c r="V25" s="132">
        <f>IF(SER_hh_tes!V25=0,0,11630*1000*SER_hh_tes!V25/SER_hh_num!V25)</f>
        <v>16179.98508518679</v>
      </c>
      <c r="W25" s="132">
        <f>IF(SER_hh_tes!W25=0,0,11630*1000*SER_hh_tes!W25/SER_hh_num!W25)</f>
        <v>19302.733065491586</v>
      </c>
      <c r="X25" s="132">
        <f>IF(SER_hh_tes!X25=0,0,11630*1000*SER_hh_tes!X25/SER_hh_num!X25)</f>
        <v>18404.144953269322</v>
      </c>
      <c r="Y25" s="132">
        <f>IF(SER_hh_tes!Y25=0,0,11630*1000*SER_hh_tes!Y25/SER_hh_num!Y25)</f>
        <v>18016.913186451493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17056.600524906342</v>
      </c>
      <c r="C26" s="65">
        <f>IF(SER_hh_tes!C26=0,0,11630*1000*SER_hh_tes!C26/SER_hh_num!C26)</f>
        <v>17204.13709668073</v>
      </c>
      <c r="D26" s="65">
        <f>IF(SER_hh_tes!D26=0,0,11630*1000*SER_hh_tes!D26/SER_hh_num!D26)</f>
        <v>17263.496119004129</v>
      </c>
      <c r="E26" s="65">
        <f>IF(SER_hh_tes!E26=0,0,11630*1000*SER_hh_tes!E26/SER_hh_num!E26)</f>
        <v>17268.458585118013</v>
      </c>
      <c r="F26" s="65">
        <f>IF(SER_hh_tes!F26=0,0,11630*1000*SER_hh_tes!F26/SER_hh_num!F26)</f>
        <v>16852.665989760928</v>
      </c>
      <c r="G26" s="65">
        <f>IF(SER_hh_tes!G26=0,0,11630*1000*SER_hh_tes!G26/SER_hh_num!G26)</f>
        <v>17677.594828324585</v>
      </c>
      <c r="H26" s="65">
        <f>IF(SER_hh_tes!H26=0,0,11630*1000*SER_hh_tes!H26/SER_hh_num!H26)</f>
        <v>16603.893341556653</v>
      </c>
      <c r="I26" s="65">
        <f>IF(SER_hh_tes!I26=0,0,11630*1000*SER_hh_tes!I26/SER_hh_num!I26)</f>
        <v>17421.671032641265</v>
      </c>
      <c r="J26" s="65">
        <f>IF(SER_hh_tes!J26=0,0,11630*1000*SER_hh_tes!J26/SER_hh_num!J26)</f>
        <v>17221.716481569059</v>
      </c>
      <c r="K26" s="65">
        <f>IF(SER_hh_tes!K26=0,0,11630*1000*SER_hh_tes!K26/SER_hh_num!K26)</f>
        <v>18178.559864689949</v>
      </c>
      <c r="L26" s="65">
        <f>IF(SER_hh_tes!L26=0,0,11630*1000*SER_hh_tes!L26/SER_hh_num!L26)</f>
        <v>18043.083954620732</v>
      </c>
      <c r="M26" s="65">
        <f>IF(SER_hh_tes!M26=0,0,11630*1000*SER_hh_tes!M26/SER_hh_num!M26)</f>
        <v>18129.77574195974</v>
      </c>
      <c r="N26" s="65">
        <f>IF(SER_hh_tes!N26=0,0,11630*1000*SER_hh_tes!N26/SER_hh_num!N26)</f>
        <v>17287.83562341889</v>
      </c>
      <c r="O26" s="65">
        <f>IF(SER_hh_tes!O26=0,0,11630*1000*SER_hh_tes!O26/SER_hh_num!O26)</f>
        <v>17756.43836739544</v>
      </c>
      <c r="P26" s="65">
        <f>IF(SER_hh_tes!P26=0,0,11630*1000*SER_hh_tes!P26/SER_hh_num!P26)</f>
        <v>18723.232715315968</v>
      </c>
      <c r="Q26" s="65">
        <f>IF(SER_hh_tes!Q26=0,0,11630*1000*SER_hh_tes!Q26/SER_hh_num!Q26)</f>
        <v>18156.334766943684</v>
      </c>
      <c r="R26" s="65">
        <f>IF(SER_hh_tes!R26=0,0,11630*1000*SER_hh_tes!R26/SER_hh_num!R26)</f>
        <v>17000.834432261901</v>
      </c>
      <c r="S26" s="65">
        <f>IF(SER_hh_tes!S26=0,0,11630*1000*SER_hh_tes!S26/SER_hh_num!S26)</f>
        <v>18622.08516652531</v>
      </c>
      <c r="T26" s="65">
        <f>IF(SER_hh_tes!T26=0,0,11630*1000*SER_hh_tes!T26/SER_hh_num!T26)</f>
        <v>17470.516278906169</v>
      </c>
      <c r="U26" s="65">
        <f>IF(SER_hh_tes!U26=0,0,11630*1000*SER_hh_tes!U26/SER_hh_num!U26)</f>
        <v>17729.547234407379</v>
      </c>
      <c r="V26" s="65">
        <f>IF(SER_hh_tes!V26=0,0,11630*1000*SER_hh_tes!V26/SER_hh_num!V26)</f>
        <v>21127.587136151094</v>
      </c>
      <c r="W26" s="65">
        <f>IF(SER_hh_tes!W26=0,0,11630*1000*SER_hh_tes!W26/SER_hh_num!W26)</f>
        <v>17680.740230564592</v>
      </c>
      <c r="X26" s="65">
        <f>IF(SER_hh_tes!X26=0,0,11630*1000*SER_hh_tes!X26/SER_hh_num!X26)</f>
        <v>17751.20176248371</v>
      </c>
      <c r="Y26" s="65">
        <f>IF(SER_hh_tes!Y26=0,0,11630*1000*SER_hh_tes!Y26/SER_hh_num!Y26)</f>
        <v>18393.420833102213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0</v>
      </c>
      <c r="C27" s="145">
        <f>IF(SER_hh_tes!C27=0,0,11630*1000*SER_hh_tes!C27/SER_hh_num!C19)</f>
        <v>0</v>
      </c>
      <c r="D27" s="145">
        <f>IF(SER_hh_tes!D27=0,0,11630*1000*SER_hh_tes!D27/SER_hh_num!D19)</f>
        <v>0</v>
      </c>
      <c r="E27" s="145">
        <f>IF(SER_hh_tes!E27=0,0,11630*1000*SER_hh_tes!E27/SER_hh_num!E19)</f>
        <v>0</v>
      </c>
      <c r="F27" s="145">
        <f>IF(SER_hh_tes!F27=0,0,11630*1000*SER_hh_tes!F27/SER_hh_num!F19)</f>
        <v>0</v>
      </c>
      <c r="G27" s="145">
        <f>IF(SER_hh_tes!G27=0,0,11630*1000*SER_hh_tes!G27/SER_hh_num!G19)</f>
        <v>0</v>
      </c>
      <c r="H27" s="145">
        <f>IF(SER_hh_tes!H27=0,0,11630*1000*SER_hh_tes!H27/SER_hh_num!H19)</f>
        <v>0</v>
      </c>
      <c r="I27" s="145">
        <f>IF(SER_hh_tes!I27=0,0,11630*1000*SER_hh_tes!I27/SER_hh_num!I19)</f>
        <v>0</v>
      </c>
      <c r="J27" s="145">
        <f>IF(SER_hh_tes!J27=0,0,11630*1000*SER_hh_tes!J27/SER_hh_num!J19)</f>
        <v>0</v>
      </c>
      <c r="K27" s="145">
        <f>IF(SER_hh_tes!K27=0,0,11630*1000*SER_hh_tes!K27/SER_hh_num!K19)</f>
        <v>0</v>
      </c>
      <c r="L27" s="145">
        <f>IF(SER_hh_tes!L27=0,0,11630*1000*SER_hh_tes!L27/SER_hh_num!L19)</f>
        <v>0</v>
      </c>
      <c r="M27" s="145">
        <f>IF(SER_hh_tes!M27=0,0,11630*1000*SER_hh_tes!M27/SER_hh_num!M19)</f>
        <v>0</v>
      </c>
      <c r="N27" s="145">
        <f>IF(SER_hh_tes!N27=0,0,11630*1000*SER_hh_tes!N27/SER_hh_num!N19)</f>
        <v>0</v>
      </c>
      <c r="O27" s="145">
        <f>IF(SER_hh_tes!O27=0,0,11630*1000*SER_hh_tes!O27/SER_hh_num!O19)</f>
        <v>0</v>
      </c>
      <c r="P27" s="145">
        <f>IF(SER_hh_tes!P27=0,0,11630*1000*SER_hh_tes!P27/SER_hh_num!P19)</f>
        <v>0</v>
      </c>
      <c r="Q27" s="145">
        <f>IF(SER_hh_tes!Q27=0,0,11630*1000*SER_hh_tes!Q27/SER_hh_num!Q19)</f>
        <v>0</v>
      </c>
      <c r="R27" s="145">
        <f>IF(SER_hh_tes!R27=0,0,11630*1000*SER_hh_tes!R27/SER_hh_num!R19)</f>
        <v>0</v>
      </c>
      <c r="S27" s="145">
        <f>IF(SER_hh_tes!S27=0,0,11630*1000*SER_hh_tes!S27/SER_hh_num!S19)</f>
        <v>0</v>
      </c>
      <c r="T27" s="145">
        <f>IF(SER_hh_tes!T27=0,0,11630*1000*SER_hh_tes!T27/SER_hh_num!T19)</f>
        <v>0</v>
      </c>
      <c r="U27" s="145">
        <f>IF(SER_hh_tes!U27=0,0,11630*1000*SER_hh_tes!U27/SER_hh_num!U19)</f>
        <v>0</v>
      </c>
      <c r="V27" s="145">
        <f>IF(SER_hh_tes!V27=0,0,11630*1000*SER_hh_tes!V27/SER_hh_num!V19)</f>
        <v>0</v>
      </c>
      <c r="W27" s="145">
        <f>IF(SER_hh_tes!W27=0,0,11630*1000*SER_hh_tes!W27/SER_hh_num!W19)</f>
        <v>0</v>
      </c>
      <c r="X27" s="145">
        <f>IF(SER_hh_tes!X27=0,0,11630*1000*SER_hh_tes!X27/SER_hh_num!X19)</f>
        <v>0</v>
      </c>
      <c r="Y27" s="145">
        <f>IF(SER_hh_tes!Y27=0,0,11630*1000*SER_hh_tes!Y27/SER_hh_num!Y19)</f>
        <v>0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0</v>
      </c>
      <c r="C28" s="146">
        <f>IF(SER_hh_tes!C27=0,0,11630*1000*SER_hh_tes!C27/SER_hh_num!C27)</f>
        <v>0</v>
      </c>
      <c r="D28" s="146">
        <f>IF(SER_hh_tes!D27=0,0,11630*1000*SER_hh_tes!D27/SER_hh_num!D27)</f>
        <v>0</v>
      </c>
      <c r="E28" s="146">
        <f>IF(SER_hh_tes!E27=0,0,11630*1000*SER_hh_tes!E27/SER_hh_num!E27)</f>
        <v>0</v>
      </c>
      <c r="F28" s="146">
        <f>IF(SER_hh_tes!F27=0,0,11630*1000*SER_hh_tes!F27/SER_hh_num!F27)</f>
        <v>0</v>
      </c>
      <c r="G28" s="146">
        <f>IF(SER_hh_tes!G27=0,0,11630*1000*SER_hh_tes!G27/SER_hh_num!G27)</f>
        <v>0</v>
      </c>
      <c r="H28" s="146">
        <f>IF(SER_hh_tes!H27=0,0,11630*1000*SER_hh_tes!H27/SER_hh_num!H27)</f>
        <v>0</v>
      </c>
      <c r="I28" s="146">
        <f>IF(SER_hh_tes!I27=0,0,11630*1000*SER_hh_tes!I27/SER_hh_num!I27)</f>
        <v>0</v>
      </c>
      <c r="J28" s="146">
        <f>IF(SER_hh_tes!J27=0,0,11630*1000*SER_hh_tes!J27/SER_hh_num!J27)</f>
        <v>0</v>
      </c>
      <c r="K28" s="146">
        <f>IF(SER_hh_tes!K27=0,0,11630*1000*SER_hh_tes!K27/SER_hh_num!K27)</f>
        <v>0</v>
      </c>
      <c r="L28" s="146">
        <f>IF(SER_hh_tes!L27=0,0,11630*1000*SER_hh_tes!L27/SER_hh_num!L27)</f>
        <v>0</v>
      </c>
      <c r="M28" s="146">
        <f>IF(SER_hh_tes!M27=0,0,11630*1000*SER_hh_tes!M27/SER_hh_num!M27)</f>
        <v>0</v>
      </c>
      <c r="N28" s="146">
        <f>IF(SER_hh_tes!N27=0,0,11630*1000*SER_hh_tes!N27/SER_hh_num!N27)</f>
        <v>0</v>
      </c>
      <c r="O28" s="146">
        <f>IF(SER_hh_tes!O27=0,0,11630*1000*SER_hh_tes!O27/SER_hh_num!O27)</f>
        <v>0</v>
      </c>
      <c r="P28" s="146">
        <f>IF(SER_hh_tes!P27=0,0,11630*1000*SER_hh_tes!P27/SER_hh_num!P27)</f>
        <v>0</v>
      </c>
      <c r="Q28" s="146">
        <f>IF(SER_hh_tes!Q27=0,0,11630*1000*SER_hh_tes!Q27/SER_hh_num!Q27)</f>
        <v>0</v>
      </c>
      <c r="R28" s="146">
        <f>IF(SER_hh_tes!R27=0,0,11630*1000*SER_hh_tes!R27/SER_hh_num!R27)</f>
        <v>0</v>
      </c>
      <c r="S28" s="146">
        <f>IF(SER_hh_tes!S27=0,0,11630*1000*SER_hh_tes!S27/SER_hh_num!S27)</f>
        <v>0</v>
      </c>
      <c r="T28" s="146">
        <f>IF(SER_hh_tes!T27=0,0,11630*1000*SER_hh_tes!T27/SER_hh_num!T27)</f>
        <v>0</v>
      </c>
      <c r="U28" s="146">
        <f>IF(SER_hh_tes!U27=0,0,11630*1000*SER_hh_tes!U27/SER_hh_num!U27)</f>
        <v>0</v>
      </c>
      <c r="V28" s="146">
        <f>IF(SER_hh_tes!V27=0,0,11630*1000*SER_hh_tes!V27/SER_hh_num!V27)</f>
        <v>0</v>
      </c>
      <c r="W28" s="146">
        <f>IF(SER_hh_tes!W27=0,0,11630*1000*SER_hh_tes!W27/SER_hh_num!W27)</f>
        <v>0</v>
      </c>
      <c r="X28" s="146">
        <f>IF(SER_hh_tes!X27=0,0,11630*1000*SER_hh_tes!X27/SER_hh_num!X27)</f>
        <v>0</v>
      </c>
      <c r="Y28" s="146">
        <f>IF(SER_hh_tes!Y27=0,0,11630*1000*SER_hh_tes!Y27/SER_hh_num!Y27)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15645.809252592639</v>
      </c>
      <c r="C29" s="130">
        <f>IF(SER_hh_tes!C29=0,0,11630*1000*SER_hh_tes!C29/SER_hh_num!C29)</f>
        <v>16060.513656800147</v>
      </c>
      <c r="D29" s="130">
        <f>IF(SER_hh_tes!D29=0,0,11630*1000*SER_hh_tes!D29/SER_hh_num!D29)</f>
        <v>16210.417808542852</v>
      </c>
      <c r="E29" s="130">
        <f>IF(SER_hh_tes!E29=0,0,11630*1000*SER_hh_tes!E29/SER_hh_num!E29)</f>
        <v>16462.809950502375</v>
      </c>
      <c r="F29" s="130">
        <f>IF(SER_hh_tes!F29=0,0,11630*1000*SER_hh_tes!F29/SER_hh_num!F29)</f>
        <v>16795.387803283964</v>
      </c>
      <c r="G29" s="130">
        <f>IF(SER_hh_tes!G29=0,0,11630*1000*SER_hh_tes!G29/SER_hh_num!G29)</f>
        <v>17095.553050005721</v>
      </c>
      <c r="H29" s="130">
        <f>IF(SER_hh_tes!H29=0,0,11630*1000*SER_hh_tes!H29/SER_hh_num!H29)</f>
        <v>17209.255549759382</v>
      </c>
      <c r="I29" s="130">
        <f>IF(SER_hh_tes!I29=0,0,11630*1000*SER_hh_tes!I29/SER_hh_num!I29)</f>
        <v>17306.600888875386</v>
      </c>
      <c r="J29" s="130">
        <f>IF(SER_hh_tes!J29=0,0,11630*1000*SER_hh_tes!J29/SER_hh_num!J29)</f>
        <v>17611.668337702173</v>
      </c>
      <c r="K29" s="130">
        <f>IF(SER_hh_tes!K29=0,0,11630*1000*SER_hh_tes!K29/SER_hh_num!K29)</f>
        <v>18281.578853105275</v>
      </c>
      <c r="L29" s="130">
        <f>IF(SER_hh_tes!L29=0,0,11630*1000*SER_hh_tes!L29/SER_hh_num!L29)</f>
        <v>18297.638625451124</v>
      </c>
      <c r="M29" s="130">
        <f>IF(SER_hh_tes!M29=0,0,11630*1000*SER_hh_tes!M29/SER_hh_num!M29)</f>
        <v>18771.078647039529</v>
      </c>
      <c r="N29" s="130">
        <f>IF(SER_hh_tes!N29=0,0,11630*1000*SER_hh_tes!N29/SER_hh_num!N29)</f>
        <v>19115.526640671658</v>
      </c>
      <c r="O29" s="130">
        <f>IF(SER_hh_tes!O29=0,0,11630*1000*SER_hh_tes!O29/SER_hh_num!O29)</f>
        <v>19364.735221113493</v>
      </c>
      <c r="P29" s="130">
        <f>IF(SER_hh_tes!P29=0,0,11630*1000*SER_hh_tes!P29/SER_hh_num!P29)</f>
        <v>19371.018191638086</v>
      </c>
      <c r="Q29" s="130">
        <f>IF(SER_hh_tes!Q29=0,0,11630*1000*SER_hh_tes!Q29/SER_hh_num!Q29)</f>
        <v>19364.212437632523</v>
      </c>
      <c r="R29" s="130">
        <f>IF(SER_hh_tes!R29=0,0,11630*1000*SER_hh_tes!R29/SER_hh_num!R29)</f>
        <v>19609.77367681645</v>
      </c>
      <c r="S29" s="130">
        <f>IF(SER_hh_tes!S29=0,0,11630*1000*SER_hh_tes!S29/SER_hh_num!S29)</f>
        <v>20294.95258788098</v>
      </c>
      <c r="T29" s="130">
        <f>IF(SER_hh_tes!T29=0,0,11630*1000*SER_hh_tes!T29/SER_hh_num!T29)</f>
        <v>20351.60209417911</v>
      </c>
      <c r="U29" s="130">
        <f>IF(SER_hh_tes!U29=0,0,11630*1000*SER_hh_tes!U29/SER_hh_num!U29)</f>
        <v>21112.893810045836</v>
      </c>
      <c r="V29" s="130">
        <f>IF(SER_hh_tes!V29=0,0,11630*1000*SER_hh_tes!V29/SER_hh_num!V29)</f>
        <v>21642.792480349905</v>
      </c>
      <c r="W29" s="130">
        <f>IF(SER_hh_tes!W29=0,0,11630*1000*SER_hh_tes!W29/SER_hh_num!W29)</f>
        <v>21709.753061480431</v>
      </c>
      <c r="X29" s="130">
        <f>IF(SER_hh_tes!X29=0,0,11630*1000*SER_hh_tes!X29/SER_hh_num!X29)</f>
        <v>20776.256465519524</v>
      </c>
      <c r="Y29" s="130">
        <f>IF(SER_hh_tes!Y29=0,0,11630*1000*SER_hh_tes!Y29/SER_hh_num!Y29)</f>
        <v>20231.52788154237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14148.387030888958</v>
      </c>
      <c r="C30" s="132">
        <f>IF(SER_hh_tes!C30=0,0,11630*1000*SER_hh_tes!C30/SER_hh_num!C30)</f>
        <v>19732.762643105903</v>
      </c>
      <c r="D30" s="132">
        <f>IF(SER_hh_tes!D30=0,0,11630*1000*SER_hh_tes!D30/SER_hh_num!D30)</f>
        <v>16902.63391788903</v>
      </c>
      <c r="E30" s="132">
        <f>IF(SER_hh_tes!E30=0,0,11630*1000*SER_hh_tes!E30/SER_hh_num!E30)</f>
        <v>15273.58733110789</v>
      </c>
      <c r="F30" s="132">
        <f>IF(SER_hh_tes!F30=0,0,11630*1000*SER_hh_tes!F30/SER_hh_num!F30)</f>
        <v>14213.192764807216</v>
      </c>
      <c r="G30" s="132">
        <f>IF(SER_hh_tes!G30=0,0,11630*1000*SER_hh_tes!G30/SER_hh_num!G30)</f>
        <v>12186.210865211466</v>
      </c>
      <c r="H30" s="132">
        <f>IF(SER_hh_tes!H30=0,0,11630*1000*SER_hh_tes!H30/SER_hh_num!H30)</f>
        <v>17413.488726709988</v>
      </c>
      <c r="I30" s="132">
        <f>IF(SER_hh_tes!I30=0,0,11630*1000*SER_hh_tes!I30/SER_hh_num!I30)</f>
        <v>21502.82823800742</v>
      </c>
      <c r="J30" s="132">
        <f>IF(SER_hh_tes!J30=0,0,11630*1000*SER_hh_tes!J30/SER_hh_num!J30)</f>
        <v>19113.750174101904</v>
      </c>
      <c r="K30" s="132">
        <f>IF(SER_hh_tes!K30=0,0,11630*1000*SER_hh_tes!K30/SER_hh_num!K30)</f>
        <v>13550.13139451057</v>
      </c>
      <c r="L30" s="132">
        <f>IF(SER_hh_tes!L30=0,0,11630*1000*SER_hh_tes!L30/SER_hh_num!L30)</f>
        <v>22014.147498903421</v>
      </c>
      <c r="M30" s="132">
        <f>IF(SER_hh_tes!M30=0,0,11630*1000*SER_hh_tes!M30/SER_hh_num!M30)</f>
        <v>24251.659983142832</v>
      </c>
      <c r="N30" s="132">
        <f>IF(SER_hh_tes!N30=0,0,11630*1000*SER_hh_tes!N30/SER_hh_num!N30)</f>
        <v>10039.158089656847</v>
      </c>
      <c r="O30" s="132">
        <f>IF(SER_hh_tes!O30=0,0,11630*1000*SER_hh_tes!O30/SER_hh_num!O30)</f>
        <v>16081.96004018965</v>
      </c>
      <c r="P30" s="132">
        <f>IF(SER_hh_tes!P30=0,0,11630*1000*SER_hh_tes!P30/SER_hh_num!P30)</f>
        <v>23971.728613010924</v>
      </c>
      <c r="Q30" s="132">
        <f>IF(SER_hh_tes!Q30=0,0,11630*1000*SER_hh_tes!Q30/SER_hh_num!Q30)</f>
        <v>14311.88079477248</v>
      </c>
      <c r="R30" s="132">
        <f>IF(SER_hh_tes!R30=0,0,11630*1000*SER_hh_tes!R30/SER_hh_num!R30)</f>
        <v>18189.198850772373</v>
      </c>
      <c r="S30" s="132">
        <f>IF(SER_hh_tes!S30=0,0,11630*1000*SER_hh_tes!S30/SER_hh_num!S30)</f>
        <v>20213.794928489002</v>
      </c>
      <c r="T30" s="132">
        <f>IF(SER_hh_tes!T30=0,0,11630*1000*SER_hh_tes!T30/SER_hh_num!T30)</f>
        <v>20230.570952594862</v>
      </c>
      <c r="U30" s="132">
        <f>IF(SER_hh_tes!U30=0,0,11630*1000*SER_hh_tes!U30/SER_hh_num!U30)</f>
        <v>20998.379945082332</v>
      </c>
      <c r="V30" s="132">
        <f>IF(SER_hh_tes!V30=0,0,11630*1000*SER_hh_tes!V30/SER_hh_num!V30)</f>
        <v>21365.036142257304</v>
      </c>
      <c r="W30" s="132">
        <f>IF(SER_hh_tes!W30=0,0,11630*1000*SER_hh_tes!W30/SER_hh_num!W30)</f>
        <v>21287.19883913446</v>
      </c>
      <c r="X30" s="132">
        <f>IF(SER_hh_tes!X30=0,0,11630*1000*SER_hh_tes!X30/SER_hh_num!X30)</f>
        <v>20868.406621325652</v>
      </c>
      <c r="Y30" s="132">
        <f>IF(SER_hh_tes!Y30=0,0,11630*1000*SER_hh_tes!Y30/SER_hh_num!Y30)</f>
        <v>20412.625787970635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16840.782716836129</v>
      </c>
      <c r="C31" s="132">
        <f>IF(SER_hh_tes!C31=0,0,11630*1000*SER_hh_tes!C31/SER_hh_num!C31)</f>
        <v>15345.948871006438</v>
      </c>
      <c r="D31" s="132">
        <f>IF(SER_hh_tes!D31=0,0,11630*1000*SER_hh_tes!D31/SER_hh_num!D31)</f>
        <v>16172.656597640718</v>
      </c>
      <c r="E31" s="132">
        <f>IF(SER_hh_tes!E31=0,0,11630*1000*SER_hh_tes!E31/SER_hh_num!E31)</f>
        <v>17071.752242735089</v>
      </c>
      <c r="F31" s="132">
        <f>IF(SER_hh_tes!F31=0,0,11630*1000*SER_hh_tes!F31/SER_hh_num!F31)</f>
        <v>16890.607017132439</v>
      </c>
      <c r="G31" s="132">
        <f>IF(SER_hh_tes!G31=0,0,11630*1000*SER_hh_tes!G31/SER_hh_num!G31)</f>
        <v>17080.367456721913</v>
      </c>
      <c r="H31" s="132">
        <f>IF(SER_hh_tes!H31=0,0,11630*1000*SER_hh_tes!H31/SER_hh_num!H31)</f>
        <v>17311.082570406696</v>
      </c>
      <c r="I31" s="132">
        <f>IF(SER_hh_tes!I31=0,0,11630*1000*SER_hh_tes!I31/SER_hh_num!I31)</f>
        <v>17597.962385567273</v>
      </c>
      <c r="J31" s="132">
        <f>IF(SER_hh_tes!J31=0,0,11630*1000*SER_hh_tes!J31/SER_hh_num!J31)</f>
        <v>18470.937762030615</v>
      </c>
      <c r="K31" s="132">
        <f>IF(SER_hh_tes!K31=0,0,11630*1000*SER_hh_tes!K31/SER_hh_num!K31)</f>
        <v>18266.735351144525</v>
      </c>
      <c r="L31" s="132">
        <f>IF(SER_hh_tes!L31=0,0,11630*1000*SER_hh_tes!L31/SER_hh_num!L31)</f>
        <v>17465.743174294661</v>
      </c>
      <c r="M31" s="132">
        <f>IF(SER_hh_tes!M31=0,0,11630*1000*SER_hh_tes!M31/SER_hh_num!M31)</f>
        <v>18443.037739705323</v>
      </c>
      <c r="N31" s="132">
        <f>IF(SER_hh_tes!N31=0,0,11630*1000*SER_hh_tes!N31/SER_hh_num!N31)</f>
        <v>18741.467068071706</v>
      </c>
      <c r="O31" s="132">
        <f>IF(SER_hh_tes!O31=0,0,11630*1000*SER_hh_tes!O31/SER_hh_num!O31)</f>
        <v>19022.414331213065</v>
      </c>
      <c r="P31" s="132">
        <f>IF(SER_hh_tes!P31=0,0,11630*1000*SER_hh_tes!P31/SER_hh_num!P31)</f>
        <v>19811.464176364017</v>
      </c>
      <c r="Q31" s="132">
        <f>IF(SER_hh_tes!Q31=0,0,11630*1000*SER_hh_tes!Q31/SER_hh_num!Q31)</f>
        <v>19804.040762642333</v>
      </c>
      <c r="R31" s="132">
        <f>IF(SER_hh_tes!R31=0,0,11630*1000*SER_hh_tes!R31/SER_hh_num!R31)</f>
        <v>22110.278338076176</v>
      </c>
      <c r="S31" s="132">
        <f>IF(SER_hh_tes!S31=0,0,11630*1000*SER_hh_tes!S31/SER_hh_num!S31)</f>
        <v>13075.885331747608</v>
      </c>
      <c r="T31" s="132">
        <f>IF(SER_hh_tes!T31=0,0,11630*1000*SER_hh_tes!T31/SER_hh_num!T31)</f>
        <v>18970.512776264597</v>
      </c>
      <c r="U31" s="132">
        <f>IF(SER_hh_tes!U31=0,0,11630*1000*SER_hh_tes!U31/SER_hh_num!U31)</f>
        <v>24271.804348287977</v>
      </c>
      <c r="V31" s="132">
        <f>IF(SER_hh_tes!V31=0,0,11630*1000*SER_hh_tes!V31/SER_hh_num!V31)</f>
        <v>20805.87906373286</v>
      </c>
      <c r="W31" s="132">
        <f>IF(SER_hh_tes!W31=0,0,11630*1000*SER_hh_tes!W31/SER_hh_num!W31)</f>
        <v>21745.88825585083</v>
      </c>
      <c r="X31" s="132">
        <f>IF(SER_hh_tes!X31=0,0,11630*1000*SER_hh_tes!X31/SER_hh_num!X31)</f>
        <v>20817.810123863339</v>
      </c>
      <c r="Y31" s="132">
        <f>IF(SER_hh_tes!Y31=0,0,11630*1000*SER_hh_tes!Y31/SER_hh_num!Y31)</f>
        <v>20363.634614624192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15841.794544279779</v>
      </c>
      <c r="C33" s="68">
        <f>IF(SER_hh_tes!C33=0,0,11630*1000*SER_hh_tes!C33/SER_hh_num!C33)</f>
        <v>15542.174627150038</v>
      </c>
      <c r="D33" s="68">
        <f>IF(SER_hh_tes!D33=0,0,11630*1000*SER_hh_tes!D33/SER_hh_num!D33)</f>
        <v>16115.782968194551</v>
      </c>
      <c r="E33" s="68">
        <f>IF(SER_hh_tes!E33=0,0,11630*1000*SER_hh_tes!E33/SER_hh_num!E33)</f>
        <v>16581.747703403456</v>
      </c>
      <c r="F33" s="68">
        <f>IF(SER_hh_tes!F33=0,0,11630*1000*SER_hh_tes!F33/SER_hh_num!F33)</f>
        <v>17069.176552077301</v>
      </c>
      <c r="G33" s="68">
        <f>IF(SER_hh_tes!G33=0,0,11630*1000*SER_hh_tes!G33/SER_hh_num!G33)</f>
        <v>17727.200023044825</v>
      </c>
      <c r="H33" s="68">
        <f>IF(SER_hh_tes!H33=0,0,11630*1000*SER_hh_tes!H33/SER_hh_num!H33)</f>
        <v>17168.427703619229</v>
      </c>
      <c r="I33" s="68">
        <f>IF(SER_hh_tes!I33=0,0,11630*1000*SER_hh_tes!I33/SER_hh_num!I33)</f>
        <v>16333.944767356763</v>
      </c>
      <c r="J33" s="68">
        <f>IF(SER_hh_tes!J33=0,0,11630*1000*SER_hh_tes!J33/SER_hh_num!J33)</f>
        <v>17230.581462842449</v>
      </c>
      <c r="K33" s="68">
        <f>IF(SER_hh_tes!K33=0,0,11630*1000*SER_hh_tes!K33/SER_hh_num!K33)</f>
        <v>19282.471327821426</v>
      </c>
      <c r="L33" s="68">
        <f>IF(SER_hh_tes!L33=0,0,11630*1000*SER_hh_tes!L33/SER_hh_num!L33)</f>
        <v>17571.481335540298</v>
      </c>
      <c r="M33" s="68">
        <f>IF(SER_hh_tes!M33=0,0,11630*1000*SER_hh_tes!M33/SER_hh_num!M33)</f>
        <v>17896.107199244612</v>
      </c>
      <c r="N33" s="68">
        <f>IF(SER_hh_tes!N33=0,0,11630*1000*SER_hh_tes!N33/SER_hh_num!N33)</f>
        <v>20015.559744262195</v>
      </c>
      <c r="O33" s="68">
        <f>IF(SER_hh_tes!O33=0,0,11630*1000*SER_hh_tes!O33/SER_hh_num!O33)</f>
        <v>19579.575621226701</v>
      </c>
      <c r="P33" s="68">
        <f>IF(SER_hh_tes!P33=0,0,11630*1000*SER_hh_tes!P33/SER_hh_num!P33)</f>
        <v>19156.337164399018</v>
      </c>
      <c r="Q33" s="68">
        <f>IF(SER_hh_tes!Q33=0,0,11630*1000*SER_hh_tes!Q33/SER_hh_num!Q33)</f>
        <v>19526.710331791957</v>
      </c>
      <c r="R33" s="68">
        <f>IF(SER_hh_tes!R33=0,0,11630*1000*SER_hh_tes!R33/SER_hh_num!R33)</f>
        <v>19616.756059518146</v>
      </c>
      <c r="S33" s="68">
        <f>IF(SER_hh_tes!S33=0,0,11630*1000*SER_hh_tes!S33/SER_hh_num!S33)</f>
        <v>20383.248074614723</v>
      </c>
      <c r="T33" s="68">
        <f>IF(SER_hh_tes!T33=0,0,11630*1000*SER_hh_tes!T33/SER_hh_num!T33)</f>
        <v>20369.960150592611</v>
      </c>
      <c r="U33" s="68">
        <f>IF(SER_hh_tes!U33=0,0,11630*1000*SER_hh_tes!U33/SER_hh_num!U33)</f>
        <v>21075.92459360298</v>
      </c>
      <c r="V33" s="68">
        <f>IF(SER_hh_tes!V33=0,0,11630*1000*SER_hh_tes!V33/SER_hh_num!V33)</f>
        <v>21659.561298441335</v>
      </c>
      <c r="W33" s="68">
        <f>IF(SER_hh_tes!W33=0,0,11630*1000*SER_hh_tes!W33/SER_hh_num!W33)</f>
        <v>21718.167727635897</v>
      </c>
      <c r="X33" s="68">
        <f>IF(SER_hh_tes!X33=0,0,11630*1000*SER_hh_tes!X33/SER_hh_num!X33)</f>
        <v>20773.719692954797</v>
      </c>
      <c r="Y33" s="68">
        <f>IF(SER_hh_tes!Y33=0,0,11630*1000*SER_hh_tes!Y33/SER_hh_num!Y33)</f>
        <v>20225.787743815992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20634.537404536459</v>
      </c>
      <c r="C3" s="125">
        <f>IF(SER_hh_emi!C3=0,0,1000000*SER_hh_emi!C3/SER_hh_num!C3)</f>
        <v>20675.8996279444</v>
      </c>
      <c r="D3" s="125">
        <f>IF(SER_hh_emi!D3=0,0,1000000*SER_hh_emi!D3/SER_hh_num!D3)</f>
        <v>20230.257974299471</v>
      </c>
      <c r="E3" s="125">
        <f>IF(SER_hh_emi!E3=0,0,1000000*SER_hh_emi!E3/SER_hh_num!E3)</f>
        <v>20889.294666177906</v>
      </c>
      <c r="F3" s="125">
        <f>IF(SER_hh_emi!F3=0,0,1000000*SER_hh_emi!F3/SER_hh_num!F3)</f>
        <v>15802.688301964221</v>
      </c>
      <c r="G3" s="125">
        <f>IF(SER_hh_emi!G3=0,0,1000000*SER_hh_emi!G3/SER_hh_num!G3)</f>
        <v>8804.0736352841741</v>
      </c>
      <c r="H3" s="125">
        <f>IF(SER_hh_emi!H3=0,0,1000000*SER_hh_emi!H3/SER_hh_num!H3)</f>
        <v>8359.3456363757723</v>
      </c>
      <c r="I3" s="125">
        <f>IF(SER_hh_emi!I3=0,0,1000000*SER_hh_emi!I3/SER_hh_num!I3)</f>
        <v>8477.1012088411353</v>
      </c>
      <c r="J3" s="125">
        <f>IF(SER_hh_emi!J3=0,0,1000000*SER_hh_emi!J3/SER_hh_num!J3)</f>
        <v>7497.5983036173684</v>
      </c>
      <c r="K3" s="125">
        <f>IF(SER_hh_emi!K3=0,0,1000000*SER_hh_emi!K3/SER_hh_num!K3)</f>
        <v>6337.8961704652938</v>
      </c>
      <c r="L3" s="125">
        <f>IF(SER_hh_emi!L3=0,0,1000000*SER_hh_emi!L3/SER_hh_num!L3)</f>
        <v>7560.3556197681855</v>
      </c>
      <c r="M3" s="125">
        <f>IF(SER_hh_emi!M3=0,0,1000000*SER_hh_emi!M3/SER_hh_num!M3)</f>
        <v>6924.7298559901728</v>
      </c>
      <c r="N3" s="125">
        <f>IF(SER_hh_emi!N3=0,0,1000000*SER_hh_emi!N3/SER_hh_num!N3)</f>
        <v>6321.4674694302776</v>
      </c>
      <c r="O3" s="125">
        <f>IF(SER_hh_emi!O3=0,0,1000000*SER_hh_emi!O3/SER_hh_num!O3)</f>
        <v>5577.9919735718386</v>
      </c>
      <c r="P3" s="125">
        <f>IF(SER_hh_emi!P3=0,0,1000000*SER_hh_emi!P3/SER_hh_num!P3)</f>
        <v>5291.3138167459329</v>
      </c>
      <c r="Q3" s="125">
        <f>IF(SER_hh_emi!Q3=0,0,1000000*SER_hh_emi!Q3/SER_hh_num!Q3)</f>
        <v>4956.4489287532788</v>
      </c>
      <c r="R3" s="125">
        <f>IF(SER_hh_emi!R3=0,0,1000000*SER_hh_emi!R3/SER_hh_num!R3)</f>
        <v>4763.1006677351043</v>
      </c>
      <c r="S3" s="125">
        <f>IF(SER_hh_emi!S3=0,0,1000000*SER_hh_emi!S3/SER_hh_num!S3)</f>
        <v>4192.0902275144517</v>
      </c>
      <c r="T3" s="125">
        <f>IF(SER_hh_emi!T3=0,0,1000000*SER_hh_emi!T3/SER_hh_num!T3)</f>
        <v>4370.501514530697</v>
      </c>
      <c r="U3" s="125">
        <f>IF(SER_hh_emi!U3=0,0,1000000*SER_hh_emi!U3/SER_hh_num!U3)</f>
        <v>4484.2880446537447</v>
      </c>
      <c r="V3" s="125">
        <f>IF(SER_hh_emi!V3=0,0,1000000*SER_hh_emi!V3/SER_hh_num!V3)</f>
        <v>4312.8132154117875</v>
      </c>
      <c r="W3" s="125">
        <f>IF(SER_hh_emi!W3=0,0,1000000*SER_hh_emi!W3/SER_hh_num!W3)</f>
        <v>3791.8379433963828</v>
      </c>
      <c r="X3" s="125">
        <f>IF(SER_hh_emi!X3=0,0,1000000*SER_hh_emi!X3/SER_hh_num!X3)</f>
        <v>3318.9852018708848</v>
      </c>
      <c r="Y3" s="125">
        <f>IF(SER_hh_emi!Y3=0,0,1000000*SER_hh_emi!Y3/SER_hh_num!Y3)</f>
        <v>2815.6743749235748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18035.492831637788</v>
      </c>
      <c r="C4" s="130">
        <f>IF(SER_hh_emi!C4=0,0,1000000*SER_hh_emi!C4/SER_hh_num!C4)</f>
        <v>17919.52623285383</v>
      </c>
      <c r="D4" s="130">
        <f>IF(SER_hh_emi!D4=0,0,1000000*SER_hh_emi!D4/SER_hh_num!D4)</f>
        <v>17710.573210036044</v>
      </c>
      <c r="E4" s="130">
        <f>IF(SER_hh_emi!E4=0,0,1000000*SER_hh_emi!E4/SER_hh_num!E4)</f>
        <v>18580.242108714367</v>
      </c>
      <c r="F4" s="130">
        <f>IF(SER_hh_emi!F4=0,0,1000000*SER_hh_emi!F4/SER_hh_num!F4)</f>
        <v>13746.02924474196</v>
      </c>
      <c r="G4" s="130">
        <f>IF(SER_hh_emi!G4=0,0,1000000*SER_hh_emi!G4/SER_hh_num!G4)</f>
        <v>7228.4227803642889</v>
      </c>
      <c r="H4" s="130">
        <f>IF(SER_hh_emi!H4=0,0,1000000*SER_hh_emi!H4/SER_hh_num!H4)</f>
        <v>6318.394526052326</v>
      </c>
      <c r="I4" s="130">
        <f>IF(SER_hh_emi!I4=0,0,1000000*SER_hh_emi!I4/SER_hh_num!I4)</f>
        <v>6133.5683362650898</v>
      </c>
      <c r="J4" s="130">
        <f>IF(SER_hh_emi!J4=0,0,1000000*SER_hh_emi!J4/SER_hh_num!J4)</f>
        <v>5369.3877196803651</v>
      </c>
      <c r="K4" s="130">
        <f>IF(SER_hh_emi!K4=0,0,1000000*SER_hh_emi!K4/SER_hh_num!K4)</f>
        <v>4950.1239113052807</v>
      </c>
      <c r="L4" s="130">
        <f>IF(SER_hh_emi!L4=0,0,1000000*SER_hh_emi!L4/SER_hh_num!L4)</f>
        <v>5752.6112557268825</v>
      </c>
      <c r="M4" s="130">
        <f>IF(SER_hh_emi!M4=0,0,1000000*SER_hh_emi!M4/SER_hh_num!M4)</f>
        <v>5218.8879931456686</v>
      </c>
      <c r="N4" s="130">
        <f>IF(SER_hh_emi!N4=0,0,1000000*SER_hh_emi!N4/SER_hh_num!N4)</f>
        <v>5359.8015752676738</v>
      </c>
      <c r="O4" s="130">
        <f>IF(SER_hh_emi!O4=0,0,1000000*SER_hh_emi!O4/SER_hh_num!O4)</f>
        <v>4574.4265194319951</v>
      </c>
      <c r="P4" s="130">
        <f>IF(SER_hh_emi!P4=0,0,1000000*SER_hh_emi!P4/SER_hh_num!P4)</f>
        <v>4398.054486187204</v>
      </c>
      <c r="Q4" s="130">
        <f>IF(SER_hh_emi!Q4=0,0,1000000*SER_hh_emi!Q4/SER_hh_num!Q4)</f>
        <v>4121.0144202259871</v>
      </c>
      <c r="R4" s="130">
        <f>IF(SER_hh_emi!R4=0,0,1000000*SER_hh_emi!R4/SER_hh_num!R4)</f>
        <v>3930.0707937210732</v>
      </c>
      <c r="S4" s="130">
        <f>IF(SER_hh_emi!S4=0,0,1000000*SER_hh_emi!S4/SER_hh_num!S4)</f>
        <v>3440.3426083003405</v>
      </c>
      <c r="T4" s="130">
        <f>IF(SER_hh_emi!T4=0,0,1000000*SER_hh_emi!T4/SER_hh_num!T4)</f>
        <v>3604.1785283059612</v>
      </c>
      <c r="U4" s="130">
        <f>IF(SER_hh_emi!U4=0,0,1000000*SER_hh_emi!U4/SER_hh_num!U4)</f>
        <v>3695.8582005619055</v>
      </c>
      <c r="V4" s="130">
        <f>IF(SER_hh_emi!V4=0,0,1000000*SER_hh_emi!V4/SER_hh_num!V4)</f>
        <v>3558.6316511337332</v>
      </c>
      <c r="W4" s="130">
        <f>IF(SER_hh_emi!W4=0,0,1000000*SER_hh_emi!W4/SER_hh_num!W4)</f>
        <v>3108.4665057747266</v>
      </c>
      <c r="X4" s="130">
        <f>IF(SER_hh_emi!X4=0,0,1000000*SER_hh_emi!X4/SER_hh_num!X4)</f>
        <v>2708.5694933652285</v>
      </c>
      <c r="Y4" s="130">
        <f>IF(SER_hh_emi!Y4=0,0,1000000*SER_hh_emi!Y4/SER_hh_num!Y4)</f>
        <v>2287.3388658079771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0</v>
      </c>
      <c r="C5" s="132">
        <f>IF(SER_hh_emi!C5=0,0,1000000*SER_hh_emi!C5/SER_hh_num!C5)</f>
        <v>0</v>
      </c>
      <c r="D5" s="132">
        <f>IF(SER_hh_emi!D5=0,0,1000000*SER_hh_emi!D5/SER_hh_num!D5)</f>
        <v>0</v>
      </c>
      <c r="E5" s="132">
        <f>IF(SER_hh_emi!E5=0,0,1000000*SER_hh_emi!E5/SER_hh_num!E5)</f>
        <v>0</v>
      </c>
      <c r="F5" s="132">
        <f>IF(SER_hh_emi!F5=0,0,1000000*SER_hh_emi!F5/SER_hh_num!F5)</f>
        <v>0</v>
      </c>
      <c r="G5" s="132">
        <f>IF(SER_hh_emi!G5=0,0,1000000*SER_hh_emi!G5/SER_hh_num!G5)</f>
        <v>0</v>
      </c>
      <c r="H5" s="132">
        <f>IF(SER_hh_emi!H5=0,0,1000000*SER_hh_emi!H5/SER_hh_num!H5)</f>
        <v>0</v>
      </c>
      <c r="I5" s="132">
        <f>IF(SER_hh_emi!I5=0,0,1000000*SER_hh_emi!I5/SER_hh_num!I5)</f>
        <v>0</v>
      </c>
      <c r="J5" s="132">
        <f>IF(SER_hh_emi!J5=0,0,1000000*SER_hh_emi!J5/SER_hh_num!J5)</f>
        <v>0</v>
      </c>
      <c r="K5" s="132">
        <f>IF(SER_hh_emi!K5=0,0,1000000*SER_hh_emi!K5/SER_hh_num!K5)</f>
        <v>0</v>
      </c>
      <c r="L5" s="132">
        <f>IF(SER_hh_emi!L5=0,0,1000000*SER_hh_emi!L5/SER_hh_num!L5)</f>
        <v>0</v>
      </c>
      <c r="M5" s="132">
        <f>IF(SER_hh_emi!M5=0,0,1000000*SER_hh_emi!M5/SER_hh_num!M5)</f>
        <v>0</v>
      </c>
      <c r="N5" s="132">
        <f>IF(SER_hh_emi!N5=0,0,1000000*SER_hh_emi!N5/SER_hh_num!N5)</f>
        <v>0</v>
      </c>
      <c r="O5" s="132">
        <f>IF(SER_hh_emi!O5=0,0,1000000*SER_hh_emi!O5/SER_hh_num!O5)</f>
        <v>0</v>
      </c>
      <c r="P5" s="132">
        <f>IF(SER_hh_emi!P5=0,0,1000000*SER_hh_emi!P5/SER_hh_num!P5)</f>
        <v>0</v>
      </c>
      <c r="Q5" s="132">
        <f>IF(SER_hh_emi!Q5=0,0,1000000*SER_hh_emi!Q5/SER_hh_num!Q5)</f>
        <v>0</v>
      </c>
      <c r="R5" s="132">
        <f>IF(SER_hh_emi!R5=0,0,1000000*SER_hh_emi!R5/SER_hh_num!R5)</f>
        <v>0</v>
      </c>
      <c r="S5" s="132">
        <f>IF(SER_hh_emi!S5=0,0,1000000*SER_hh_emi!S5/SER_hh_num!S5)</f>
        <v>0</v>
      </c>
      <c r="T5" s="132">
        <f>IF(SER_hh_emi!T5=0,0,1000000*SER_hh_emi!T5/SER_hh_num!T5)</f>
        <v>0</v>
      </c>
      <c r="U5" s="132">
        <f>IF(SER_hh_emi!U5=0,0,1000000*SER_hh_emi!U5/SER_hh_num!U5)</f>
        <v>0</v>
      </c>
      <c r="V5" s="132">
        <f>IF(SER_hh_emi!V5=0,0,1000000*SER_hh_emi!V5/SER_hh_num!V5)</f>
        <v>0</v>
      </c>
      <c r="W5" s="132">
        <f>IF(SER_hh_emi!W5=0,0,1000000*SER_hh_emi!W5/SER_hh_num!W5)</f>
        <v>0</v>
      </c>
      <c r="X5" s="132">
        <f>IF(SER_hh_emi!X5=0,0,1000000*SER_hh_emi!X5/SER_hh_num!X5)</f>
        <v>0</v>
      </c>
      <c r="Y5" s="132">
        <f>IF(SER_hh_emi!Y5=0,0,1000000*SER_hh_emi!Y5/SER_hh_num!Y5)</f>
        <v>0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80509.699709949753</v>
      </c>
      <c r="C7" s="132">
        <f>IF(SER_hh_emi!C7=0,0,1000000*SER_hh_emi!C7/SER_hh_num!C7)</f>
        <v>84743.310780451749</v>
      </c>
      <c r="D7" s="132">
        <f>IF(SER_hh_emi!D7=0,0,1000000*SER_hh_emi!D7/SER_hh_num!D7)</f>
        <v>84528.971774480204</v>
      </c>
      <c r="E7" s="132">
        <f>IF(SER_hh_emi!E7=0,0,1000000*SER_hh_emi!E7/SER_hh_num!E7)</f>
        <v>94662.217582078098</v>
      </c>
      <c r="F7" s="132">
        <f>IF(SER_hh_emi!F7=0,0,1000000*SER_hh_emi!F7/SER_hh_num!F7)</f>
        <v>83467.911178873008</v>
      </c>
      <c r="G7" s="132">
        <f>IF(SER_hh_emi!G7=0,0,1000000*SER_hh_emi!G7/SER_hh_num!G7)</f>
        <v>54595.216269829281</v>
      </c>
      <c r="H7" s="132">
        <f>IF(SER_hh_emi!H7=0,0,1000000*SER_hh_emi!H7/SER_hh_num!H7)</f>
        <v>60480.740673989334</v>
      </c>
      <c r="I7" s="132">
        <f>IF(SER_hh_emi!I7=0,0,1000000*SER_hh_emi!I7/SER_hh_num!I7)</f>
        <v>67712.937019938763</v>
      </c>
      <c r="J7" s="132">
        <f>IF(SER_hh_emi!J7=0,0,1000000*SER_hh_emi!J7/SER_hh_num!J7)</f>
        <v>60450.114763605561</v>
      </c>
      <c r="K7" s="132">
        <f>IF(SER_hh_emi!K7=0,0,1000000*SER_hh_emi!K7/SER_hh_num!K7)</f>
        <v>61231.831567007939</v>
      </c>
      <c r="L7" s="132">
        <f>IF(SER_hh_emi!L7=0,0,1000000*SER_hh_emi!L7/SER_hh_num!L7)</f>
        <v>61447.502218129055</v>
      </c>
      <c r="M7" s="132">
        <f>IF(SER_hh_emi!M7=0,0,1000000*SER_hh_emi!M7/SER_hh_num!M7)</f>
        <v>53039.52752760383</v>
      </c>
      <c r="N7" s="132">
        <f>IF(SER_hh_emi!N7=0,0,1000000*SER_hh_emi!N7/SER_hh_num!N7)</f>
        <v>50343.049474179177</v>
      </c>
      <c r="O7" s="132">
        <f>IF(SER_hh_emi!O7=0,0,1000000*SER_hh_emi!O7/SER_hh_num!O7)</f>
        <v>43744.154362992012</v>
      </c>
      <c r="P7" s="132">
        <f>IF(SER_hh_emi!P7=0,0,1000000*SER_hh_emi!P7/SER_hh_num!P7)</f>
        <v>43600.683484206274</v>
      </c>
      <c r="Q7" s="132">
        <f>IF(SER_hh_emi!Q7=0,0,1000000*SER_hh_emi!Q7/SER_hh_num!Q7)</f>
        <v>41972.384628479056</v>
      </c>
      <c r="R7" s="132">
        <f>IF(SER_hh_emi!R7=0,0,1000000*SER_hh_emi!R7/SER_hh_num!R7)</f>
        <v>40176.436774272785</v>
      </c>
      <c r="S7" s="132">
        <f>IF(SER_hh_emi!S7=0,0,1000000*SER_hh_emi!S7/SER_hh_num!S7)</f>
        <v>38344.311674919583</v>
      </c>
      <c r="T7" s="132">
        <f>IF(SER_hh_emi!T7=0,0,1000000*SER_hh_emi!T7/SER_hh_num!T7)</f>
        <v>36782.133249890416</v>
      </c>
      <c r="U7" s="132">
        <f>IF(SER_hh_emi!U7=0,0,1000000*SER_hh_emi!U7/SER_hh_num!U7)</f>
        <v>35294.640169433187</v>
      </c>
      <c r="V7" s="132">
        <f>IF(SER_hh_emi!V7=0,0,1000000*SER_hh_emi!V7/SER_hh_num!V7)</f>
        <v>35961.076957814279</v>
      </c>
      <c r="W7" s="132">
        <f>IF(SER_hh_emi!W7=0,0,1000000*SER_hh_emi!W7/SER_hh_num!W7)</f>
        <v>34730.316420082854</v>
      </c>
      <c r="X7" s="132">
        <f>IF(SER_hh_emi!X7=0,0,1000000*SER_hh_emi!X7/SER_hh_num!X7)</f>
        <v>34257.335139043935</v>
      </c>
      <c r="Y7" s="132">
        <f>IF(SER_hh_emi!Y7=0,0,1000000*SER_hh_emi!Y7/SER_hh_num!Y7)</f>
        <v>31927.027116887646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0</v>
      </c>
      <c r="C8" s="132">
        <f>IF(SER_hh_emi!C8=0,0,1000000*SER_hh_emi!C8/SER_hh_num!C8)</f>
        <v>0</v>
      </c>
      <c r="D8" s="132">
        <f>IF(SER_hh_emi!D8=0,0,1000000*SER_hh_emi!D8/SER_hh_num!D8)</f>
        <v>0</v>
      </c>
      <c r="E8" s="132">
        <f>IF(SER_hh_emi!E8=0,0,1000000*SER_hh_emi!E8/SER_hh_num!E8)</f>
        <v>0</v>
      </c>
      <c r="F8" s="132">
        <f>IF(SER_hh_emi!F8=0,0,1000000*SER_hh_emi!F8/SER_hh_num!F8)</f>
        <v>0</v>
      </c>
      <c r="G8" s="132">
        <f>IF(SER_hh_emi!G8=0,0,1000000*SER_hh_emi!G8/SER_hh_num!G8)</f>
        <v>0</v>
      </c>
      <c r="H8" s="132">
        <f>IF(SER_hh_emi!H8=0,0,1000000*SER_hh_emi!H8/SER_hh_num!H8)</f>
        <v>0</v>
      </c>
      <c r="I8" s="132">
        <f>IF(SER_hh_emi!I8=0,0,1000000*SER_hh_emi!I8/SER_hh_num!I8)</f>
        <v>0</v>
      </c>
      <c r="J8" s="132">
        <f>IF(SER_hh_emi!J8=0,0,1000000*SER_hh_emi!J8/SER_hh_num!J8)</f>
        <v>0</v>
      </c>
      <c r="K8" s="132">
        <f>IF(SER_hh_emi!K8=0,0,1000000*SER_hh_emi!K8/SER_hh_num!K8)</f>
        <v>0</v>
      </c>
      <c r="L8" s="132">
        <f>IF(SER_hh_emi!L8=0,0,1000000*SER_hh_emi!L8/SER_hh_num!L8)</f>
        <v>0</v>
      </c>
      <c r="M8" s="132">
        <f>IF(SER_hh_emi!M8=0,0,1000000*SER_hh_emi!M8/SER_hh_num!M8)</f>
        <v>0</v>
      </c>
      <c r="N8" s="132">
        <f>IF(SER_hh_emi!N8=0,0,1000000*SER_hh_emi!N8/SER_hh_num!N8)</f>
        <v>0</v>
      </c>
      <c r="O8" s="132">
        <f>IF(SER_hh_emi!O8=0,0,1000000*SER_hh_emi!O8/SER_hh_num!O8)</f>
        <v>0</v>
      </c>
      <c r="P8" s="132">
        <f>IF(SER_hh_emi!P8=0,0,1000000*SER_hh_emi!P8/SER_hh_num!P8)</f>
        <v>0</v>
      </c>
      <c r="Q8" s="132">
        <f>IF(SER_hh_emi!Q8=0,0,1000000*SER_hh_emi!Q8/SER_hh_num!Q8)</f>
        <v>0</v>
      </c>
      <c r="R8" s="132">
        <f>IF(SER_hh_emi!R8=0,0,1000000*SER_hh_emi!R8/SER_hh_num!R8)</f>
        <v>0</v>
      </c>
      <c r="S8" s="132">
        <f>IF(SER_hh_emi!S8=0,0,1000000*SER_hh_emi!S8/SER_hh_num!S8)</f>
        <v>0</v>
      </c>
      <c r="T8" s="132">
        <f>IF(SER_hh_emi!T8=0,0,1000000*SER_hh_emi!T8/SER_hh_num!T8)</f>
        <v>0</v>
      </c>
      <c r="U8" s="132">
        <f>IF(SER_hh_emi!U8=0,0,1000000*SER_hh_emi!U8/SER_hh_num!U8)</f>
        <v>0</v>
      </c>
      <c r="V8" s="132">
        <f>IF(SER_hh_emi!V8=0,0,1000000*SER_hh_emi!V8/SER_hh_num!V8)</f>
        <v>0</v>
      </c>
      <c r="W8" s="132">
        <f>IF(SER_hh_emi!W8=0,0,1000000*SER_hh_emi!W8/SER_hh_num!W8)</f>
        <v>0</v>
      </c>
      <c r="X8" s="132">
        <f>IF(SER_hh_emi!X8=0,0,1000000*SER_hh_emi!X8/SER_hh_num!X8)</f>
        <v>0</v>
      </c>
      <c r="Y8" s="132">
        <f>IF(SER_hh_emi!Y8=0,0,1000000*SER_hh_emi!Y8/SER_hh_num!Y8)</f>
        <v>0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56171.555613341603</v>
      </c>
      <c r="C9" s="132">
        <f>IF(SER_hh_emi!C9=0,0,1000000*SER_hh_emi!C9/SER_hh_num!C9)</f>
        <v>41598.863781216816</v>
      </c>
      <c r="D9" s="132">
        <f>IF(SER_hh_emi!D9=0,0,1000000*SER_hh_emi!D9/SER_hh_num!D9)</f>
        <v>57071.439170821235</v>
      </c>
      <c r="E9" s="132">
        <f>IF(SER_hh_emi!E9=0,0,1000000*SER_hh_emi!E9/SER_hh_num!E9)</f>
        <v>59651.966927925554</v>
      </c>
      <c r="F9" s="132">
        <f>IF(SER_hh_emi!F9=0,0,1000000*SER_hh_emi!F9/SER_hh_num!F9)</f>
        <v>49666.495922836963</v>
      </c>
      <c r="G9" s="132">
        <f>IF(SER_hh_emi!G9=0,0,1000000*SER_hh_emi!G9/SER_hh_num!G9)</f>
        <v>46107.777787655432</v>
      </c>
      <c r="H9" s="132">
        <f>IF(SER_hh_emi!H9=0,0,1000000*SER_hh_emi!H9/SER_hh_num!H9)</f>
        <v>43978.265510110839</v>
      </c>
      <c r="I9" s="132">
        <f>IF(SER_hh_emi!I9=0,0,1000000*SER_hh_emi!I9/SER_hh_num!I9)</f>
        <v>46028.699304391223</v>
      </c>
      <c r="J9" s="132">
        <f>IF(SER_hh_emi!J9=0,0,1000000*SER_hh_emi!J9/SER_hh_num!J9)</f>
        <v>48831.106457081827</v>
      </c>
      <c r="K9" s="132">
        <f>IF(SER_hh_emi!K9=0,0,1000000*SER_hh_emi!K9/SER_hh_num!K9)</f>
        <v>22202.481347562938</v>
      </c>
      <c r="L9" s="132">
        <f>IF(SER_hh_emi!L9=0,0,1000000*SER_hh_emi!L9/SER_hh_num!L9)</f>
        <v>47459.389846990627</v>
      </c>
      <c r="M9" s="132">
        <f>IF(SER_hh_emi!M9=0,0,1000000*SER_hh_emi!M9/SER_hh_num!M9)</f>
        <v>36594.310399037597</v>
      </c>
      <c r="N9" s="132">
        <f>IF(SER_hh_emi!N9=0,0,1000000*SER_hh_emi!N9/SER_hh_num!N9)</f>
        <v>43303.195606524889</v>
      </c>
      <c r="O9" s="132">
        <f>IF(SER_hh_emi!O9=0,0,1000000*SER_hh_emi!O9/SER_hh_num!O9)</f>
        <v>37284.627282039539</v>
      </c>
      <c r="P9" s="132">
        <f>IF(SER_hh_emi!P9=0,0,1000000*SER_hh_emi!P9/SER_hh_num!P9)</f>
        <v>36150.899708384408</v>
      </c>
      <c r="Q9" s="132">
        <f>IF(SER_hh_emi!Q9=0,0,1000000*SER_hh_emi!Q9/SER_hh_num!Q9)</f>
        <v>37397.92204134554</v>
      </c>
      <c r="R9" s="132">
        <f>IF(SER_hh_emi!R9=0,0,1000000*SER_hh_emi!R9/SER_hh_num!R9)</f>
        <v>41143.406883579519</v>
      </c>
      <c r="S9" s="132">
        <f>IF(SER_hh_emi!S9=0,0,1000000*SER_hh_emi!S9/SER_hh_num!S9)</f>
        <v>22397.839131065059</v>
      </c>
      <c r="T9" s="132">
        <f>IF(SER_hh_emi!T9=0,0,1000000*SER_hh_emi!T9/SER_hh_num!T9)</f>
        <v>32380.623802528684</v>
      </c>
      <c r="U9" s="132">
        <f>IF(SER_hh_emi!U9=0,0,1000000*SER_hh_emi!U9/SER_hh_num!U9)</f>
        <v>37394.559989873633</v>
      </c>
      <c r="V9" s="132">
        <f>IF(SER_hh_emi!V9=0,0,1000000*SER_hh_emi!V9/SER_hh_num!V9)</f>
        <v>35150.519868947122</v>
      </c>
      <c r="W9" s="132">
        <f>IF(SER_hh_emi!W9=0,0,1000000*SER_hh_emi!W9/SER_hh_num!W9)</f>
        <v>32335.871238318825</v>
      </c>
      <c r="X9" s="132">
        <f>IF(SER_hh_emi!X9=0,0,1000000*SER_hh_emi!X9/SER_hh_num!X9)</f>
        <v>31377.391936078271</v>
      </c>
      <c r="Y9" s="132">
        <f>IF(SER_hh_emi!Y9=0,0,1000000*SER_hh_emi!Y9/SER_hh_num!Y9)</f>
        <v>29124.230306040354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0</v>
      </c>
      <c r="O10" s="132">
        <f>IF(SER_hh_emi!O10=0,0,1000000*SER_hh_emi!O10/SER_hh_num!O10)</f>
        <v>0</v>
      </c>
      <c r="P10" s="132">
        <f>IF(SER_hh_emi!P10=0,0,1000000*SER_hh_emi!P10/SER_hh_num!P10)</f>
        <v>0</v>
      </c>
      <c r="Q10" s="132">
        <f>IF(SER_hh_emi!Q10=0,0,1000000*SER_hh_emi!Q10/SER_hh_num!Q10)</f>
        <v>0</v>
      </c>
      <c r="R10" s="132">
        <f>IF(SER_hh_emi!R10=0,0,1000000*SER_hh_emi!R10/SER_hh_num!R10)</f>
        <v>0</v>
      </c>
      <c r="S10" s="132">
        <f>IF(SER_hh_emi!S10=0,0,1000000*SER_hh_emi!S10/SER_hh_num!S10)</f>
        <v>0</v>
      </c>
      <c r="T10" s="132">
        <f>IF(SER_hh_emi!T10=0,0,1000000*SER_hh_emi!T10/SER_hh_num!T10)</f>
        <v>0</v>
      </c>
      <c r="U10" s="132">
        <f>IF(SER_hh_emi!U10=0,0,1000000*SER_hh_emi!U10/SER_hh_num!U10)</f>
        <v>0</v>
      </c>
      <c r="V10" s="132">
        <f>IF(SER_hh_emi!V10=0,0,1000000*SER_hh_emi!V10/SER_hh_num!V10)</f>
        <v>0</v>
      </c>
      <c r="W10" s="132">
        <f>IF(SER_hh_emi!W10=0,0,1000000*SER_hh_emi!W10/SER_hh_num!W10)</f>
        <v>0</v>
      </c>
      <c r="X10" s="132">
        <f>IF(SER_hh_emi!X10=0,0,1000000*SER_hh_emi!X10/SER_hh_num!X10)</f>
        <v>0</v>
      </c>
      <c r="Y10" s="132">
        <f>IF(SER_hh_emi!Y10=0,0,1000000*SER_hh_emi!Y10/SER_hh_num!Y10)</f>
        <v>0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0</v>
      </c>
      <c r="C16" s="130">
        <f>IF(SER_hh_emi!C16=0,0,1000000*SER_hh_emi!C16/SER_hh_num!C16)</f>
        <v>0</v>
      </c>
      <c r="D16" s="130">
        <f>IF(SER_hh_emi!D16=0,0,1000000*SER_hh_emi!D16/SER_hh_num!D16)</f>
        <v>0</v>
      </c>
      <c r="E16" s="130">
        <f>IF(SER_hh_emi!E16=0,0,1000000*SER_hh_emi!E16/SER_hh_num!E16)</f>
        <v>0</v>
      </c>
      <c r="F16" s="130">
        <f>IF(SER_hh_emi!F16=0,0,1000000*SER_hh_emi!F16/SER_hh_num!F16)</f>
        <v>0</v>
      </c>
      <c r="G16" s="130">
        <f>IF(SER_hh_emi!G16=0,0,1000000*SER_hh_emi!G16/SER_hh_num!G16)</f>
        <v>0</v>
      </c>
      <c r="H16" s="130">
        <f>IF(SER_hh_emi!H16=0,0,1000000*SER_hh_emi!H16/SER_hh_num!H16)</f>
        <v>0</v>
      </c>
      <c r="I16" s="130">
        <f>IF(SER_hh_emi!I16=0,0,1000000*SER_hh_emi!I16/SER_hh_num!I16)</f>
        <v>0</v>
      </c>
      <c r="J16" s="130">
        <f>IF(SER_hh_emi!J16=0,0,1000000*SER_hh_emi!J16/SER_hh_num!J16)</f>
        <v>0</v>
      </c>
      <c r="K16" s="130">
        <f>IF(SER_hh_emi!K16=0,0,1000000*SER_hh_emi!K16/SER_hh_num!K16)</f>
        <v>0</v>
      </c>
      <c r="L16" s="130">
        <f>IF(SER_hh_emi!L16=0,0,1000000*SER_hh_emi!L16/SER_hh_num!L16)</f>
        <v>0</v>
      </c>
      <c r="M16" s="130">
        <f>IF(SER_hh_emi!M16=0,0,1000000*SER_hh_emi!M16/SER_hh_num!M16)</f>
        <v>0</v>
      </c>
      <c r="N16" s="130">
        <f>IF(SER_hh_emi!N16=0,0,1000000*SER_hh_emi!N16/SER_hh_num!N16)</f>
        <v>0</v>
      </c>
      <c r="O16" s="130">
        <f>IF(SER_hh_emi!O16=0,0,1000000*SER_hh_emi!O16/SER_hh_num!O16)</f>
        <v>0</v>
      </c>
      <c r="P16" s="130">
        <f>IF(SER_hh_emi!P16=0,0,1000000*SER_hh_emi!P16/SER_hh_num!P16)</f>
        <v>0</v>
      </c>
      <c r="Q16" s="130">
        <f>IF(SER_hh_emi!Q16=0,0,1000000*SER_hh_emi!Q16/SER_hh_num!Q16)</f>
        <v>0</v>
      </c>
      <c r="R16" s="130">
        <f>IF(SER_hh_emi!R16=0,0,1000000*SER_hh_emi!R16/SER_hh_num!R16)</f>
        <v>0</v>
      </c>
      <c r="S16" s="130">
        <f>IF(SER_hh_emi!S16=0,0,1000000*SER_hh_emi!S16/SER_hh_num!S16)</f>
        <v>0</v>
      </c>
      <c r="T16" s="130">
        <f>IF(SER_hh_emi!T16=0,0,1000000*SER_hh_emi!T16/SER_hh_num!T16)</f>
        <v>0</v>
      </c>
      <c r="U16" s="130">
        <f>IF(SER_hh_emi!U16=0,0,1000000*SER_hh_emi!U16/SER_hh_num!U16)</f>
        <v>0</v>
      </c>
      <c r="V16" s="130">
        <f>IF(SER_hh_emi!V16=0,0,1000000*SER_hh_emi!V16/SER_hh_num!V16)</f>
        <v>0</v>
      </c>
      <c r="W16" s="130">
        <f>IF(SER_hh_emi!W16=0,0,1000000*SER_hh_emi!W16/SER_hh_num!W16)</f>
        <v>0</v>
      </c>
      <c r="X16" s="130">
        <f>IF(SER_hh_emi!X16=0,0,1000000*SER_hh_emi!X16/SER_hh_num!X16)</f>
        <v>0</v>
      </c>
      <c r="Y16" s="130">
        <f>IF(SER_hh_emi!Y16=0,0,1000000*SER_hh_emi!Y16/SER_hh_num!Y16)</f>
        <v>0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0</v>
      </c>
      <c r="C17" s="132">
        <f>IF(SER_hh_emi!C17=0,0,1000000*SER_hh_emi!C17/SER_hh_num!C17)</f>
        <v>0</v>
      </c>
      <c r="D17" s="132">
        <f>IF(SER_hh_emi!D17=0,0,1000000*SER_hh_emi!D17/SER_hh_num!D17)</f>
        <v>0</v>
      </c>
      <c r="E17" s="132">
        <f>IF(SER_hh_emi!E17=0,0,1000000*SER_hh_emi!E17/SER_hh_num!E17)</f>
        <v>0</v>
      </c>
      <c r="F17" s="132">
        <f>IF(SER_hh_emi!F17=0,0,1000000*SER_hh_emi!F17/SER_hh_num!F17)</f>
        <v>0</v>
      </c>
      <c r="G17" s="132">
        <f>IF(SER_hh_emi!G17=0,0,1000000*SER_hh_emi!G17/SER_hh_num!G17)</f>
        <v>0</v>
      </c>
      <c r="H17" s="132">
        <f>IF(SER_hh_emi!H17=0,0,1000000*SER_hh_emi!H17/SER_hh_num!H17)</f>
        <v>0</v>
      </c>
      <c r="I17" s="132">
        <f>IF(SER_hh_emi!I17=0,0,1000000*SER_hh_emi!I17/SER_hh_num!I17)</f>
        <v>0</v>
      </c>
      <c r="J17" s="132">
        <f>IF(SER_hh_emi!J17=0,0,1000000*SER_hh_emi!J17/SER_hh_num!J17)</f>
        <v>0</v>
      </c>
      <c r="K17" s="132">
        <f>IF(SER_hh_emi!K17=0,0,1000000*SER_hh_emi!K17/SER_hh_num!K17)</f>
        <v>0</v>
      </c>
      <c r="L17" s="132">
        <f>IF(SER_hh_emi!L17=0,0,1000000*SER_hh_emi!L17/SER_hh_num!L17)</f>
        <v>0</v>
      </c>
      <c r="M17" s="132">
        <f>IF(SER_hh_emi!M17=0,0,1000000*SER_hh_emi!M17/SER_hh_num!M17)</f>
        <v>0</v>
      </c>
      <c r="N17" s="132">
        <f>IF(SER_hh_emi!N17=0,0,1000000*SER_hh_emi!N17/SER_hh_num!N17)</f>
        <v>0</v>
      </c>
      <c r="O17" s="132">
        <f>IF(SER_hh_emi!O17=0,0,1000000*SER_hh_emi!O17/SER_hh_num!O17)</f>
        <v>0</v>
      </c>
      <c r="P17" s="132">
        <f>IF(SER_hh_emi!P17=0,0,1000000*SER_hh_emi!P17/SER_hh_num!P17)</f>
        <v>0</v>
      </c>
      <c r="Q17" s="132">
        <f>IF(SER_hh_emi!Q17=0,0,1000000*SER_hh_emi!Q17/SER_hh_num!Q17)</f>
        <v>0</v>
      </c>
      <c r="R17" s="132">
        <f>IF(SER_hh_emi!R17=0,0,1000000*SER_hh_emi!R17/SER_hh_num!R17)</f>
        <v>0</v>
      </c>
      <c r="S17" s="132">
        <f>IF(SER_hh_emi!S17=0,0,1000000*SER_hh_emi!S17/SER_hh_num!S17)</f>
        <v>0</v>
      </c>
      <c r="T17" s="132">
        <f>IF(SER_hh_emi!T17=0,0,1000000*SER_hh_emi!T17/SER_hh_num!T17)</f>
        <v>0</v>
      </c>
      <c r="U17" s="132">
        <f>IF(SER_hh_emi!U17=0,0,1000000*SER_hh_emi!U17/SER_hh_num!U17)</f>
        <v>0</v>
      </c>
      <c r="V17" s="132">
        <f>IF(SER_hh_emi!V17=0,0,1000000*SER_hh_emi!V17/SER_hh_num!V17)</f>
        <v>0</v>
      </c>
      <c r="W17" s="132">
        <f>IF(SER_hh_emi!W17=0,0,1000000*SER_hh_emi!W17/SER_hh_num!W17)</f>
        <v>0</v>
      </c>
      <c r="X17" s="132">
        <f>IF(SER_hh_emi!X17=0,0,1000000*SER_hh_emi!X17/SER_hh_num!X17)</f>
        <v>0</v>
      </c>
      <c r="Y17" s="132">
        <f>IF(SER_hh_emi!Y17=0,0,1000000*SER_hh_emi!Y17/SER_hh_num!Y17)</f>
        <v>0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1787.2115749486536</v>
      </c>
      <c r="C19" s="130">
        <f>IF(SER_hh_emi!C19=0,0,1000000*SER_hh_emi!C19/SER_hh_num!C19)</f>
        <v>1726.4591366771633</v>
      </c>
      <c r="D19" s="130">
        <f>IF(SER_hh_emi!D19=0,0,1000000*SER_hh_emi!D19/SER_hh_num!D19)</f>
        <v>1646.8458931282835</v>
      </c>
      <c r="E19" s="130">
        <f>IF(SER_hh_emi!E19=0,0,1000000*SER_hh_emi!E19/SER_hh_num!E19)</f>
        <v>1590.4298013745984</v>
      </c>
      <c r="F19" s="130">
        <f>IF(SER_hh_emi!F19=0,0,1000000*SER_hh_emi!F19/SER_hh_num!F19)</f>
        <v>1416.1704766620758</v>
      </c>
      <c r="G19" s="130">
        <f>IF(SER_hh_emi!G19=0,0,1000000*SER_hh_emi!G19/SER_hh_num!G19)</f>
        <v>933.16363078511233</v>
      </c>
      <c r="H19" s="130">
        <f>IF(SER_hh_emi!H19=0,0,1000000*SER_hh_emi!H19/SER_hh_num!H19)</f>
        <v>935.50725652408005</v>
      </c>
      <c r="I19" s="130">
        <f>IF(SER_hh_emi!I19=0,0,1000000*SER_hh_emi!I19/SER_hh_num!I19)</f>
        <v>775.63884346151531</v>
      </c>
      <c r="J19" s="130">
        <f>IF(SER_hh_emi!J19=0,0,1000000*SER_hh_emi!J19/SER_hh_num!J19)</f>
        <v>691.09938664646006</v>
      </c>
      <c r="K19" s="130">
        <f>IF(SER_hh_emi!K19=0,0,1000000*SER_hh_emi!K19/SER_hh_num!K19)</f>
        <v>422.97198118619025</v>
      </c>
      <c r="L19" s="130">
        <f>IF(SER_hh_emi!L19=0,0,1000000*SER_hh_emi!L19/SER_hh_num!L19)</f>
        <v>392.6836454001575</v>
      </c>
      <c r="M19" s="130">
        <f>IF(SER_hh_emi!M19=0,0,1000000*SER_hh_emi!M19/SER_hh_num!M19)</f>
        <v>406.05962210284116</v>
      </c>
      <c r="N19" s="130">
        <f>IF(SER_hh_emi!N19=0,0,1000000*SER_hh_emi!N19/SER_hh_num!N19)</f>
        <v>545.07667550233953</v>
      </c>
      <c r="O19" s="130">
        <f>IF(SER_hh_emi!O19=0,0,1000000*SER_hh_emi!O19/SER_hh_num!O19)</f>
        <v>567.31306846684788</v>
      </c>
      <c r="P19" s="130">
        <f>IF(SER_hh_emi!P19=0,0,1000000*SER_hh_emi!P19/SER_hh_num!P19)</f>
        <v>429.8802211162228</v>
      </c>
      <c r="Q19" s="130">
        <f>IF(SER_hh_emi!Q19=0,0,1000000*SER_hh_emi!Q19/SER_hh_num!Q19)</f>
        <v>584.48081970299211</v>
      </c>
      <c r="R19" s="130">
        <f>IF(SER_hh_emi!R19=0,0,1000000*SER_hh_emi!R19/SER_hh_num!R19)</f>
        <v>572.20948713138057</v>
      </c>
      <c r="S19" s="130">
        <f>IF(SER_hh_emi!S19=0,0,1000000*SER_hh_emi!S19/SER_hh_num!S19)</f>
        <v>537.47767541422479</v>
      </c>
      <c r="T19" s="130">
        <f>IF(SER_hh_emi!T19=0,0,1000000*SER_hh_emi!T19/SER_hh_num!T19)</f>
        <v>541.55207060605824</v>
      </c>
      <c r="U19" s="130">
        <f>IF(SER_hh_emi!U19=0,0,1000000*SER_hh_emi!U19/SER_hh_num!U19)</f>
        <v>538.38484948755638</v>
      </c>
      <c r="V19" s="130">
        <f>IF(SER_hh_emi!V19=0,0,1000000*SER_hh_emi!V19/SER_hh_num!V19)</f>
        <v>515.85781488864529</v>
      </c>
      <c r="W19" s="130">
        <f>IF(SER_hh_emi!W19=0,0,1000000*SER_hh_emi!W19/SER_hh_num!W19)</f>
        <v>444.02704016922422</v>
      </c>
      <c r="X19" s="130">
        <f>IF(SER_hh_emi!X19=0,0,1000000*SER_hh_emi!X19/SER_hh_num!X19)</f>
        <v>376.09963733596544</v>
      </c>
      <c r="Y19" s="130">
        <f>IF(SER_hh_emi!Y19=0,0,1000000*SER_hh_emi!Y19/SER_hh_num!Y19)</f>
        <v>296.5846417889731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0</v>
      </c>
      <c r="C21" s="132">
        <f>IF(SER_hh_emi!C21=0,0,1000000*SER_hh_emi!C21/SER_hh_num!C21)</f>
        <v>0</v>
      </c>
      <c r="D21" s="132">
        <f>IF(SER_hh_emi!D21=0,0,1000000*SER_hh_emi!D21/SER_hh_num!D21)</f>
        <v>0</v>
      </c>
      <c r="E21" s="132">
        <f>IF(SER_hh_emi!E21=0,0,1000000*SER_hh_emi!E21/SER_hh_num!E21)</f>
        <v>0</v>
      </c>
      <c r="F21" s="132">
        <f>IF(SER_hh_emi!F21=0,0,1000000*SER_hh_emi!F21/SER_hh_num!F21)</f>
        <v>0</v>
      </c>
      <c r="G21" s="132">
        <f>IF(SER_hh_emi!G21=0,0,1000000*SER_hh_emi!G21/SER_hh_num!G21)</f>
        <v>0</v>
      </c>
      <c r="H21" s="132">
        <f>IF(SER_hh_emi!H21=0,0,1000000*SER_hh_emi!H21/SER_hh_num!H21)</f>
        <v>0</v>
      </c>
      <c r="I21" s="132">
        <f>IF(SER_hh_emi!I21=0,0,1000000*SER_hh_emi!I21/SER_hh_num!I21)</f>
        <v>0</v>
      </c>
      <c r="J21" s="132">
        <f>IF(SER_hh_emi!J21=0,0,1000000*SER_hh_emi!J21/SER_hh_num!J21)</f>
        <v>0</v>
      </c>
      <c r="K21" s="132">
        <f>IF(SER_hh_emi!K21=0,0,1000000*SER_hh_emi!K21/SER_hh_num!K21)</f>
        <v>0</v>
      </c>
      <c r="L21" s="132">
        <f>IF(SER_hh_emi!L21=0,0,1000000*SER_hh_emi!L21/SER_hh_num!L21)</f>
        <v>0</v>
      </c>
      <c r="M21" s="132">
        <f>IF(SER_hh_emi!M21=0,0,1000000*SER_hh_emi!M21/SER_hh_num!M21)</f>
        <v>0</v>
      </c>
      <c r="N21" s="132">
        <f>IF(SER_hh_emi!N21=0,0,1000000*SER_hh_emi!N21/SER_hh_num!N21)</f>
        <v>0</v>
      </c>
      <c r="O21" s="132">
        <f>IF(SER_hh_emi!O21=0,0,1000000*SER_hh_emi!O21/SER_hh_num!O21)</f>
        <v>0</v>
      </c>
      <c r="P21" s="132">
        <f>IF(SER_hh_emi!P21=0,0,1000000*SER_hh_emi!P21/SER_hh_num!P21)</f>
        <v>0</v>
      </c>
      <c r="Q21" s="132">
        <f>IF(SER_hh_emi!Q21=0,0,1000000*SER_hh_emi!Q21/SER_hh_num!Q21)</f>
        <v>0</v>
      </c>
      <c r="R21" s="132">
        <f>IF(SER_hh_emi!R21=0,0,1000000*SER_hh_emi!R21/SER_hh_num!R21)</f>
        <v>0</v>
      </c>
      <c r="S21" s="132">
        <f>IF(SER_hh_emi!S21=0,0,1000000*SER_hh_emi!S21/SER_hh_num!S21)</f>
        <v>0</v>
      </c>
      <c r="T21" s="132">
        <f>IF(SER_hh_emi!T21=0,0,1000000*SER_hh_emi!T21/SER_hh_num!T21)</f>
        <v>0</v>
      </c>
      <c r="U21" s="132">
        <f>IF(SER_hh_emi!U21=0,0,1000000*SER_hh_emi!U21/SER_hh_num!U21)</f>
        <v>0</v>
      </c>
      <c r="V21" s="132">
        <f>IF(SER_hh_emi!V21=0,0,1000000*SER_hh_emi!V21/SER_hh_num!V21)</f>
        <v>0</v>
      </c>
      <c r="W21" s="132">
        <f>IF(SER_hh_emi!W21=0,0,1000000*SER_hh_emi!W21/SER_hh_num!W21)</f>
        <v>0</v>
      </c>
      <c r="X21" s="132">
        <f>IF(SER_hh_emi!X21=0,0,1000000*SER_hh_emi!X21/SER_hh_num!X21)</f>
        <v>0</v>
      </c>
      <c r="Y21" s="132">
        <f>IF(SER_hh_emi!Y21=0,0,1000000*SER_hh_emi!Y21/SER_hh_num!Y21)</f>
        <v>0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9248.1751310908421</v>
      </c>
      <c r="C22" s="132">
        <f>IF(SER_hh_emi!C22=0,0,1000000*SER_hh_emi!C22/SER_hh_num!C22)</f>
        <v>9182.7738697767563</v>
      </c>
      <c r="D22" s="132">
        <f>IF(SER_hh_emi!D22=0,0,1000000*SER_hh_emi!D22/SER_hh_num!D22)</f>
        <v>9149.6428864320642</v>
      </c>
      <c r="E22" s="132">
        <f>IF(SER_hh_emi!E22=0,0,1000000*SER_hh_emi!E22/SER_hh_num!E22)</f>
        <v>9555.8985613179757</v>
      </c>
      <c r="F22" s="132">
        <f>IF(SER_hh_emi!F22=0,0,1000000*SER_hh_emi!F22/SER_hh_num!F22)</f>
        <v>9716.9139722381769</v>
      </c>
      <c r="G22" s="132">
        <f>IF(SER_hh_emi!G22=0,0,1000000*SER_hh_emi!G22/SER_hh_num!G22)</f>
        <v>7740.20937126441</v>
      </c>
      <c r="H22" s="132">
        <f>IF(SER_hh_emi!H22=0,0,1000000*SER_hh_emi!H22/SER_hh_num!H22)</f>
        <v>8990.3757246565729</v>
      </c>
      <c r="I22" s="132">
        <f>IF(SER_hh_emi!I22=0,0,1000000*SER_hh_emi!I22/SER_hh_num!I22)</f>
        <v>8971.9535092311871</v>
      </c>
      <c r="J22" s="132">
        <f>IF(SER_hh_emi!J22=0,0,1000000*SER_hh_emi!J22/SER_hh_num!J22)</f>
        <v>9502.0451547943467</v>
      </c>
      <c r="K22" s="132">
        <f>IF(SER_hh_emi!K22=0,0,1000000*SER_hh_emi!K22/SER_hh_num!K22)</f>
        <v>7235.7504088075948</v>
      </c>
      <c r="L22" s="132">
        <f>IF(SER_hh_emi!L22=0,0,1000000*SER_hh_emi!L22/SER_hh_num!L22)</f>
        <v>7444.1506640345451</v>
      </c>
      <c r="M22" s="132">
        <f>IF(SER_hh_emi!M22=0,0,1000000*SER_hh_emi!M22/SER_hh_num!M22)</f>
        <v>7370.9446102553948</v>
      </c>
      <c r="N22" s="132">
        <f>IF(SER_hh_emi!N22=0,0,1000000*SER_hh_emi!N22/SER_hh_num!N22)</f>
        <v>8847.3122665612464</v>
      </c>
      <c r="O22" s="132">
        <f>IF(SER_hh_emi!O22=0,0,1000000*SER_hh_emi!O22/SER_hh_num!O22)</f>
        <v>8340.0098672822642</v>
      </c>
      <c r="P22" s="132">
        <f>IF(SER_hh_emi!P22=0,0,1000000*SER_hh_emi!P22/SER_hh_num!P22)</f>
        <v>5791.5650176014424</v>
      </c>
      <c r="Q22" s="132">
        <f>IF(SER_hh_emi!Q22=0,0,1000000*SER_hh_emi!Q22/SER_hh_num!Q22)</f>
        <v>7384.1210608242636</v>
      </c>
      <c r="R22" s="132">
        <f>IF(SER_hh_emi!R22=0,0,1000000*SER_hh_emi!R22/SER_hh_num!R22)</f>
        <v>6669.8785713773123</v>
      </c>
      <c r="S22" s="132">
        <f>IF(SER_hh_emi!S22=0,0,1000000*SER_hh_emi!S22/SER_hh_num!S22)</f>
        <v>6264.6375224679077</v>
      </c>
      <c r="T22" s="132">
        <f>IF(SER_hh_emi!T22=0,0,1000000*SER_hh_emi!T22/SER_hh_num!T22)</f>
        <v>6093.7713521543656</v>
      </c>
      <c r="U22" s="132">
        <f>IF(SER_hh_emi!U22=0,0,1000000*SER_hh_emi!U22/SER_hh_num!U22)</f>
        <v>5988.3775665853846</v>
      </c>
      <c r="V22" s="132">
        <f>IF(SER_hh_emi!V22=0,0,1000000*SER_hh_emi!V22/SER_hh_num!V22)</f>
        <v>6080.7564934315833</v>
      </c>
      <c r="W22" s="132">
        <f>IF(SER_hh_emi!W22=0,0,1000000*SER_hh_emi!W22/SER_hh_num!W22)</f>
        <v>5709.9026862553246</v>
      </c>
      <c r="X22" s="132">
        <f>IF(SER_hh_emi!X22=0,0,1000000*SER_hh_emi!X22/SER_hh_num!X22)</f>
        <v>5440.6897303784654</v>
      </c>
      <c r="Y22" s="132">
        <f>IF(SER_hh_emi!Y22=0,0,1000000*SER_hh_emi!Y22/SER_hh_num!Y22)</f>
        <v>4812.5157130964089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6784.0876916479492</v>
      </c>
      <c r="C23" s="132">
        <f>IF(SER_hh_emi!C23=0,0,1000000*SER_hh_emi!C23/SER_hh_num!C23)</f>
        <v>5965.7339186892459</v>
      </c>
      <c r="D23" s="132">
        <f>IF(SER_hh_emi!D23=0,0,1000000*SER_hh_emi!D23/SER_hh_num!D23)</f>
        <v>6446.1061846541897</v>
      </c>
      <c r="E23" s="132">
        <f>IF(SER_hh_emi!E23=0,0,1000000*SER_hh_emi!E23/SER_hh_num!E23)</f>
        <v>6696.9251914638971</v>
      </c>
      <c r="F23" s="132">
        <f>IF(SER_hh_emi!F23=0,0,1000000*SER_hh_emi!F23/SER_hh_num!F23)</f>
        <v>5879.9964406291037</v>
      </c>
      <c r="G23" s="132">
        <f>IF(SER_hh_emi!G23=0,0,1000000*SER_hh_emi!G23/SER_hh_num!G23)</f>
        <v>5896.7485901584478</v>
      </c>
      <c r="H23" s="132">
        <f>IF(SER_hh_emi!H23=0,0,1000000*SER_hh_emi!H23/SER_hh_num!H23)</f>
        <v>6481.0048701061469</v>
      </c>
      <c r="I23" s="132">
        <f>IF(SER_hh_emi!I23=0,0,1000000*SER_hh_emi!I23/SER_hh_num!I23)</f>
        <v>6013.8207303795216</v>
      </c>
      <c r="J23" s="132">
        <f>IF(SER_hh_emi!J23=0,0,1000000*SER_hh_emi!J23/SER_hh_num!J23)</f>
        <v>6162.5570369048437</v>
      </c>
      <c r="K23" s="132">
        <f>IF(SER_hh_emi!K23=0,0,1000000*SER_hh_emi!K23/SER_hh_num!K23)</f>
        <v>5935.8508650231988</v>
      </c>
      <c r="L23" s="132">
        <f>IF(SER_hh_emi!L23=0,0,1000000*SER_hh_emi!L23/SER_hh_num!L23)</f>
        <v>6099.2747108088006</v>
      </c>
      <c r="M23" s="132">
        <f>IF(SER_hh_emi!M23=0,0,1000000*SER_hh_emi!M23/SER_hh_num!M23)</f>
        <v>5986.6377920873747</v>
      </c>
      <c r="N23" s="132">
        <f>IF(SER_hh_emi!N23=0,0,1000000*SER_hh_emi!N23/SER_hh_num!N23)</f>
        <v>5909.6552661272653</v>
      </c>
      <c r="O23" s="132">
        <f>IF(SER_hh_emi!O23=0,0,1000000*SER_hh_emi!O23/SER_hh_num!O23)</f>
        <v>5857.0257509602361</v>
      </c>
      <c r="P23" s="132">
        <f>IF(SER_hh_emi!P23=0,0,1000000*SER_hh_emi!P23/SER_hh_num!P23)</f>
        <v>5981.8609853034377</v>
      </c>
      <c r="Q23" s="132">
        <f>IF(SER_hh_emi!Q23=0,0,1000000*SER_hh_emi!Q23/SER_hh_num!Q23)</f>
        <v>5997.9675159893777</v>
      </c>
      <c r="R23" s="132">
        <f>IF(SER_hh_emi!R23=0,0,1000000*SER_hh_emi!R23/SER_hh_num!R23)</f>
        <v>6411.6407370925654</v>
      </c>
      <c r="S23" s="132">
        <f>IF(SER_hh_emi!S23=0,0,1000000*SER_hh_emi!S23/SER_hh_num!S23)</f>
        <v>3679.5033913310899</v>
      </c>
      <c r="T23" s="132">
        <f>IF(SER_hh_emi!T23=0,0,1000000*SER_hh_emi!T23/SER_hh_num!T23)</f>
        <v>4952.5009410500898</v>
      </c>
      <c r="U23" s="132">
        <f>IF(SER_hh_emi!U23=0,0,1000000*SER_hh_emi!U23/SER_hh_num!U23)</f>
        <v>5922.5656775712623</v>
      </c>
      <c r="V23" s="132">
        <f>IF(SER_hh_emi!V23=0,0,1000000*SER_hh_emi!V23/SER_hh_num!V23)</f>
        <v>5536.7876123732613</v>
      </c>
      <c r="W23" s="132">
        <f>IF(SER_hh_emi!W23=0,0,1000000*SER_hh_emi!W23/SER_hh_num!W23)</f>
        <v>5233.3798388382584</v>
      </c>
      <c r="X23" s="132">
        <f>IF(SER_hh_emi!X23=0,0,1000000*SER_hh_emi!X23/SER_hh_num!X23)</f>
        <v>4538.2414938672737</v>
      </c>
      <c r="Y23" s="132">
        <f>IF(SER_hh_emi!Y23=0,0,1000000*SER_hh_emi!Y23/SER_hh_num!Y23)</f>
        <v>4346.6051345687647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811.83299795001813</v>
      </c>
      <c r="C29" s="130">
        <f>IF(SER_hh_emi!C29=0,0,1000000*SER_hh_emi!C29/SER_hh_num!C29)</f>
        <v>1029.9142584134061</v>
      </c>
      <c r="D29" s="130">
        <f>IF(SER_hh_emi!D29=0,0,1000000*SER_hh_emi!D29/SER_hh_num!D29)</f>
        <v>872.8388711351447</v>
      </c>
      <c r="E29" s="130">
        <f>IF(SER_hh_emi!E29=0,0,1000000*SER_hh_emi!E29/SER_hh_num!E29)</f>
        <v>718.62275608894345</v>
      </c>
      <c r="F29" s="130">
        <f>IF(SER_hh_emi!F29=0,0,1000000*SER_hh_emi!F29/SER_hh_num!F29)</f>
        <v>640.48858056018776</v>
      </c>
      <c r="G29" s="130">
        <f>IF(SER_hh_emi!G29=0,0,1000000*SER_hh_emi!G29/SER_hh_num!G29)</f>
        <v>642.48722413477356</v>
      </c>
      <c r="H29" s="130">
        <f>IF(SER_hh_emi!H29=0,0,1000000*SER_hh_emi!H29/SER_hh_num!H29)</f>
        <v>1105.4438537993678</v>
      </c>
      <c r="I29" s="130">
        <f>IF(SER_hh_emi!I29=0,0,1000000*SER_hh_emi!I29/SER_hh_num!I29)</f>
        <v>1567.8940291145316</v>
      </c>
      <c r="J29" s="130">
        <f>IF(SER_hh_emi!J29=0,0,1000000*SER_hh_emi!J29/SER_hh_num!J29)</f>
        <v>1437.1111972905412</v>
      </c>
      <c r="K29" s="130">
        <f>IF(SER_hh_emi!K29=0,0,1000000*SER_hh_emi!K29/SER_hh_num!K29)</f>
        <v>964.80027797382297</v>
      </c>
      <c r="L29" s="130">
        <f>IF(SER_hh_emi!L29=0,0,1000000*SER_hh_emi!L29/SER_hh_num!L29)</f>
        <v>1415.060718641146</v>
      </c>
      <c r="M29" s="130">
        <f>IF(SER_hh_emi!M29=0,0,1000000*SER_hh_emi!M29/SER_hh_num!M29)</f>
        <v>1299.7822407416627</v>
      </c>
      <c r="N29" s="130">
        <f>IF(SER_hh_emi!N29=0,0,1000000*SER_hh_emi!N29/SER_hh_num!N29)</f>
        <v>416.58921866026486</v>
      </c>
      <c r="O29" s="130">
        <f>IF(SER_hh_emi!O29=0,0,1000000*SER_hh_emi!O29/SER_hh_num!O29)</f>
        <v>436.2523856729967</v>
      </c>
      <c r="P29" s="130">
        <f>IF(SER_hh_emi!P29=0,0,1000000*SER_hh_emi!P29/SER_hh_num!P29)</f>
        <v>463.37910944250655</v>
      </c>
      <c r="Q29" s="130">
        <f>IF(SER_hh_emi!Q29=0,0,1000000*SER_hh_emi!Q29/SER_hh_num!Q29)</f>
        <v>250.95368882429949</v>
      </c>
      <c r="R29" s="130">
        <f>IF(SER_hh_emi!R29=0,0,1000000*SER_hh_emi!R29/SER_hh_num!R29)</f>
        <v>260.82038688265055</v>
      </c>
      <c r="S29" s="130">
        <f>IF(SER_hh_emi!S29=0,0,1000000*SER_hh_emi!S29/SER_hh_num!S29)</f>
        <v>214.26994379988625</v>
      </c>
      <c r="T29" s="130">
        <f>IF(SER_hh_emi!T29=0,0,1000000*SER_hh_emi!T29/SER_hh_num!T29)</f>
        <v>224.7709156186784</v>
      </c>
      <c r="U29" s="130">
        <f>IF(SER_hh_emi!U29=0,0,1000000*SER_hh_emi!U29/SER_hh_num!U29)</f>
        <v>250.04499460428167</v>
      </c>
      <c r="V29" s="130">
        <f>IF(SER_hh_emi!V29=0,0,1000000*SER_hh_emi!V29/SER_hh_num!V29)</f>
        <v>238.32374938940913</v>
      </c>
      <c r="W29" s="130">
        <f>IF(SER_hh_emi!W29=0,0,1000000*SER_hh_emi!W29/SER_hh_num!W29)</f>
        <v>239.34439745243191</v>
      </c>
      <c r="X29" s="130">
        <f>IF(SER_hh_emi!X29=0,0,1000000*SER_hh_emi!X29/SER_hh_num!X29)</f>
        <v>234.3160711696909</v>
      </c>
      <c r="Y29" s="130">
        <f>IF(SER_hh_emi!Y29=0,0,1000000*SER_hh_emi!Y29/SER_hh_num!Y29)</f>
        <v>231.75086732662459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5204.5860084416918</v>
      </c>
      <c r="C30" s="132">
        <f>IF(SER_hh_emi!C30=0,0,1000000*SER_hh_emi!C30/SER_hh_num!C30)</f>
        <v>7253.0292890680321</v>
      </c>
      <c r="D30" s="132">
        <f>IF(SER_hh_emi!D30=0,0,1000000*SER_hh_emi!D30/SER_hh_num!D30)</f>
        <v>6207.8809293517988</v>
      </c>
      <c r="E30" s="132">
        <f>IF(SER_hh_emi!E30=0,0,1000000*SER_hh_emi!E30/SER_hh_num!E30)</f>
        <v>5608.4693694228017</v>
      </c>
      <c r="F30" s="132">
        <f>IF(SER_hh_emi!F30=0,0,1000000*SER_hh_emi!F30/SER_hh_num!F30)</f>
        <v>5215.3010284320735</v>
      </c>
      <c r="G30" s="132">
        <f>IF(SER_hh_emi!G30=0,0,1000000*SER_hh_emi!G30/SER_hh_num!G30)</f>
        <v>4457.8537811567267</v>
      </c>
      <c r="H30" s="132">
        <f>IF(SER_hh_emi!H30=0,0,1000000*SER_hh_emi!H30/SER_hh_num!H30)</f>
        <v>6349.755712846495</v>
      </c>
      <c r="I30" s="132">
        <f>IF(SER_hh_emi!I30=0,0,1000000*SER_hh_emi!I30/SER_hh_num!I30)</f>
        <v>7826.5538558517583</v>
      </c>
      <c r="J30" s="132">
        <f>IF(SER_hh_emi!J30=0,0,1000000*SER_hh_emi!J30/SER_hh_num!J30)</f>
        <v>6949.4614144224533</v>
      </c>
      <c r="K30" s="132">
        <f>IF(SER_hh_emi!K30=0,0,1000000*SER_hh_emi!K30/SER_hh_num!K30)</f>
        <v>4922.3555740547536</v>
      </c>
      <c r="L30" s="132">
        <f>IF(SER_hh_emi!L30=0,0,1000000*SER_hh_emi!L30/SER_hh_num!L30)</f>
        <v>7991.5886229984717</v>
      </c>
      <c r="M30" s="132">
        <f>IF(SER_hh_emi!M30=0,0,1000000*SER_hh_emi!M30/SER_hh_num!M30)</f>
        <v>8803.4842431488651</v>
      </c>
      <c r="N30" s="132">
        <f>IF(SER_hh_emi!N30=0,0,1000000*SER_hh_emi!N30/SER_hh_num!N30)</f>
        <v>3644.143813991057</v>
      </c>
      <c r="O30" s="132">
        <f>IF(SER_hh_emi!O30=0,0,1000000*SER_hh_emi!O30/SER_hh_num!O30)</f>
        <v>5837.3468047502947</v>
      </c>
      <c r="P30" s="132">
        <f>IF(SER_hh_emi!P30=0,0,1000000*SER_hh_emi!P30/SER_hh_num!P30)</f>
        <v>8700.7428139345539</v>
      </c>
      <c r="Q30" s="132">
        <f>IF(SER_hh_emi!Q30=0,0,1000000*SER_hh_emi!Q30/SER_hh_num!Q30)</f>
        <v>5194.6125498517304</v>
      </c>
      <c r="R30" s="132">
        <f>IF(SER_hh_emi!R30=0,0,1000000*SER_hh_emi!R30/SER_hh_num!R30)</f>
        <v>6601.7112551958489</v>
      </c>
      <c r="S30" s="132">
        <f>IF(SER_hh_emi!S30=0,0,1000000*SER_hh_emi!S30/SER_hh_num!S30)</f>
        <v>7330.2862704210047</v>
      </c>
      <c r="T30" s="132">
        <f>IF(SER_hh_emi!T30=0,0,1000000*SER_hh_emi!T30/SER_hh_num!T30)</f>
        <v>7283.3728948508769</v>
      </c>
      <c r="U30" s="132">
        <f>IF(SER_hh_emi!U30=0,0,1000000*SER_hh_emi!U30/SER_hh_num!U30)</f>
        <v>7496.2442357511163</v>
      </c>
      <c r="V30" s="132">
        <f>IF(SER_hh_emi!V30=0,0,1000000*SER_hh_emi!V30/SER_hh_num!V30)</f>
        <v>7593.1822390789821</v>
      </c>
      <c r="W30" s="132">
        <f>IF(SER_hh_emi!W30=0,0,1000000*SER_hh_emi!W30/SER_hh_num!W30)</f>
        <v>7562.0408331667259</v>
      </c>
      <c r="X30" s="132">
        <f>IF(SER_hh_emi!X30=0,0,1000000*SER_hh_emi!X30/SER_hh_num!X30)</f>
        <v>7397.7188185713721</v>
      </c>
      <c r="Y30" s="132">
        <f>IF(SER_hh_emi!Y30=0,0,1000000*SER_hh_emi!Y30/SER_hh_num!Y30)</f>
        <v>7233.1989706770873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5346.8291257405399</v>
      </c>
      <c r="C31" s="132">
        <f>IF(SER_hh_emi!C31=0,0,1000000*SER_hh_emi!C31/SER_hh_num!C31)</f>
        <v>4846.0300590032848</v>
      </c>
      <c r="D31" s="132">
        <f>IF(SER_hh_emi!D31=0,0,1000000*SER_hh_emi!D31/SER_hh_num!D31)</f>
        <v>5158.6425100470951</v>
      </c>
      <c r="E31" s="132">
        <f>IF(SER_hh_emi!E31=0,0,1000000*SER_hh_emi!E31/SER_hh_num!E31)</f>
        <v>5447.5577827821335</v>
      </c>
      <c r="F31" s="132">
        <f>IF(SER_hh_emi!F31=0,0,1000000*SER_hh_emi!F31/SER_hh_num!F31)</f>
        <v>5376.442884504726</v>
      </c>
      <c r="G31" s="132">
        <f>IF(SER_hh_emi!G31=0,0,1000000*SER_hh_emi!G31/SER_hh_num!G31)</f>
        <v>5391.0315906176684</v>
      </c>
      <c r="H31" s="132">
        <f>IF(SER_hh_emi!H31=0,0,1000000*SER_hh_emi!H31/SER_hh_num!H31)</f>
        <v>5460.4326432777279</v>
      </c>
      <c r="I31" s="132">
        <f>IF(SER_hh_emi!I31=0,0,1000000*SER_hh_emi!I31/SER_hh_num!I31)</f>
        <v>5583.9025651867832</v>
      </c>
      <c r="J31" s="132">
        <f>IF(SER_hh_emi!J31=0,0,1000000*SER_hh_emi!J31/SER_hh_num!J31)</f>
        <v>5843.234634235303</v>
      </c>
      <c r="K31" s="132">
        <f>IF(SER_hh_emi!K31=0,0,1000000*SER_hh_emi!K31/SER_hh_num!K31)</f>
        <v>5723.8629474125728</v>
      </c>
      <c r="L31" s="132">
        <f>IF(SER_hh_emi!L31=0,0,1000000*SER_hh_emi!L31/SER_hh_num!L31)</f>
        <v>5529.1176426556858</v>
      </c>
      <c r="M31" s="132">
        <f>IF(SER_hh_emi!M31=0,0,1000000*SER_hh_emi!M31/SER_hh_num!M31)</f>
        <v>5888.8791581569194</v>
      </c>
      <c r="N31" s="132">
        <f>IF(SER_hh_emi!N31=0,0,1000000*SER_hh_emi!N31/SER_hh_num!N31)</f>
        <v>5982.6268621928875</v>
      </c>
      <c r="O31" s="132">
        <f>IF(SER_hh_emi!O31=0,0,1000000*SER_hh_emi!O31/SER_hh_num!O31)</f>
        <v>6069.5288822571883</v>
      </c>
      <c r="P31" s="132">
        <f>IF(SER_hh_emi!P31=0,0,1000000*SER_hh_emi!P31/SER_hh_num!P31)</f>
        <v>6318.3046768492604</v>
      </c>
      <c r="Q31" s="132">
        <f>IF(SER_hh_emi!Q31=0,0,1000000*SER_hh_emi!Q31/SER_hh_num!Q31)</f>
        <v>6313.2925970893666</v>
      </c>
      <c r="R31" s="132">
        <f>IF(SER_hh_emi!R31=0,0,1000000*SER_hh_emi!R31/SER_hh_num!R31)</f>
        <v>7044.8633570756956</v>
      </c>
      <c r="S31" s="132">
        <f>IF(SER_hh_emi!S31=0,0,1000000*SER_hh_emi!S31/SER_hh_num!S31)</f>
        <v>4162.5486073223219</v>
      </c>
      <c r="T31" s="132">
        <f>IF(SER_hh_emi!T31=0,0,1000000*SER_hh_emi!T31/SER_hh_num!T31)</f>
        <v>6032.0587851730606</v>
      </c>
      <c r="U31" s="132">
        <f>IF(SER_hh_emi!U31=0,0,1000000*SER_hh_emi!U31/SER_hh_num!U31)</f>
        <v>7695.8357300134639</v>
      </c>
      <c r="V31" s="132">
        <f>IF(SER_hh_emi!V31=0,0,1000000*SER_hh_emi!V31/SER_hh_num!V31)</f>
        <v>6583.8167984545717</v>
      </c>
      <c r="W31" s="132">
        <f>IF(SER_hh_emi!W31=0,0,1000000*SER_hh_emi!W31/SER_hh_num!W31)</f>
        <v>6551.151344339607</v>
      </c>
      <c r="X31" s="132">
        <f>IF(SER_hh_emi!X31=0,0,1000000*SER_hh_emi!X31/SER_hh_num!X31)</f>
        <v>6167.2835731785417</v>
      </c>
      <c r="Y31" s="132">
        <f>IF(SER_hh_emi!Y31=0,0,1000000*SER_hh_emi!Y31/SER_hh_num!Y31)</f>
        <v>6050.8068443820957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288.10425693601979</v>
      </c>
      <c r="C3" s="125">
        <f>IF(SER_hh_fech!C3=0,0,SER_hh_fech!C3/SER_summary!C$26)</f>
        <v>312.86200251512048</v>
      </c>
      <c r="D3" s="125">
        <f>IF(SER_hh_fech!D3=0,0,SER_hh_fech!D3/SER_summary!D$26)</f>
        <v>306.97226221705012</v>
      </c>
      <c r="E3" s="125">
        <f>IF(SER_hh_fech!E3=0,0,SER_hh_fech!E3/SER_summary!E$26)</f>
        <v>303.25951922640451</v>
      </c>
      <c r="F3" s="125">
        <f>IF(SER_hh_fech!F3=0,0,SER_hh_fech!F3/SER_summary!F$26)</f>
        <v>280.17109397840898</v>
      </c>
      <c r="G3" s="125">
        <f>IF(SER_hh_fech!G3=0,0,SER_hh_fech!G3/SER_summary!G$26)</f>
        <v>242.23780958254142</v>
      </c>
      <c r="H3" s="125">
        <f>IF(SER_hh_fech!H3=0,0,SER_hh_fech!H3/SER_summary!H$26)</f>
        <v>240.84850699401966</v>
      </c>
      <c r="I3" s="125">
        <f>IF(SER_hh_fech!I3=0,0,SER_hh_fech!I3/SER_summary!I$26)</f>
        <v>242.10550540090895</v>
      </c>
      <c r="J3" s="125">
        <f>IF(SER_hh_fech!J3=0,0,SER_hh_fech!J3/SER_summary!J$26)</f>
        <v>235.46798889176605</v>
      </c>
      <c r="K3" s="125">
        <f>IF(SER_hh_fech!K3=0,0,SER_hh_fech!K3/SER_summary!K$26)</f>
        <v>223.02466274703431</v>
      </c>
      <c r="L3" s="125">
        <f>IF(SER_hh_fech!L3=0,0,SER_hh_fech!L3/SER_summary!L$26)</f>
        <v>240.52148008484252</v>
      </c>
      <c r="M3" s="125">
        <f>IF(SER_hh_fech!M3=0,0,SER_hh_fech!M3/SER_summary!M$26)</f>
        <v>205.22528792667919</v>
      </c>
      <c r="N3" s="125">
        <f>IF(SER_hh_fech!N3=0,0,SER_hh_fech!N3/SER_summary!N$26)</f>
        <v>215.53199198042546</v>
      </c>
      <c r="O3" s="125">
        <f>IF(SER_hh_fech!O3=0,0,SER_hh_fech!O3/SER_summary!O$26)</f>
        <v>205.35730787646776</v>
      </c>
      <c r="P3" s="125">
        <f>IF(SER_hh_fech!P3=0,0,SER_hh_fech!P3/SER_summary!P$26)</f>
        <v>202.3034206309199</v>
      </c>
      <c r="Q3" s="125">
        <f>IF(SER_hh_fech!Q3=0,0,SER_hh_fech!Q3/SER_summary!Q$26)</f>
        <v>202.55472304428022</v>
      </c>
      <c r="R3" s="125">
        <f>IF(SER_hh_fech!R3=0,0,SER_hh_fech!R3/SER_summary!R$26)</f>
        <v>212.1499849142262</v>
      </c>
      <c r="S3" s="125">
        <f>IF(SER_hh_fech!S3=0,0,SER_hh_fech!S3/SER_summary!S$26)</f>
        <v>195.06197385794181</v>
      </c>
      <c r="T3" s="125">
        <f>IF(SER_hh_fech!T3=0,0,SER_hh_fech!T3/SER_summary!T$26)</f>
        <v>200.18791053525146</v>
      </c>
      <c r="U3" s="125">
        <f>IF(SER_hh_fech!U3=0,0,SER_hh_fech!U3/SER_summary!U$26)</f>
        <v>192.14030214912063</v>
      </c>
      <c r="V3" s="125">
        <f>IF(SER_hh_fech!V3=0,0,SER_hh_fech!V3/SER_summary!V$26)</f>
        <v>186.40271142227095</v>
      </c>
      <c r="W3" s="125">
        <f>IF(SER_hh_fech!W3=0,0,SER_hh_fech!W3/SER_summary!W$26)</f>
        <v>199.37803340076459</v>
      </c>
      <c r="X3" s="125">
        <f>IF(SER_hh_fech!X3=0,0,SER_hh_fech!X3/SER_summary!X$26)</f>
        <v>196.39733134651436</v>
      </c>
      <c r="Y3" s="125">
        <f>IF(SER_hh_fech!Y3=0,0,SER_hh_fech!Y3/SER_summary!Y$26)</f>
        <v>191.64048266740949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232.6866566211269</v>
      </c>
      <c r="C4" s="130">
        <f>IF(SER_hh_fech!C4=0,0,SER_hh_fech!C4/SER_summary!C$26)</f>
        <v>257.00257021360102</v>
      </c>
      <c r="D4" s="130">
        <f>IF(SER_hh_fech!D4=0,0,SER_hh_fech!D4/SER_summary!D$26)</f>
        <v>251.44217637483891</v>
      </c>
      <c r="E4" s="130">
        <f>IF(SER_hh_fech!E4=0,0,SER_hh_fech!E4/SER_summary!E$26)</f>
        <v>247.79548644244966</v>
      </c>
      <c r="F4" s="130">
        <f>IF(SER_hh_fech!F4=0,0,SER_hh_fech!F4/SER_summary!F$26)</f>
        <v>224.94284099775751</v>
      </c>
      <c r="G4" s="130">
        <f>IF(SER_hh_fech!G4=0,0,SER_hh_fech!G4/SER_summary!G$26)</f>
        <v>187.22829333326496</v>
      </c>
      <c r="H4" s="130">
        <f>IF(SER_hh_fech!H4=0,0,SER_hh_fech!H4/SER_summary!H$26)</f>
        <v>185.64339859119141</v>
      </c>
      <c r="I4" s="130">
        <f>IF(SER_hh_fech!I4=0,0,SER_hh_fech!I4/SER_summary!I$26)</f>
        <v>186.36415515632916</v>
      </c>
      <c r="J4" s="130">
        <f>IF(SER_hh_fech!J4=0,0,SER_hh_fech!J4/SER_summary!J$26)</f>
        <v>179.60754728172117</v>
      </c>
      <c r="K4" s="130">
        <f>IF(SER_hh_fech!K4=0,0,SER_hh_fech!K4/SER_summary!K$26)</f>
        <v>166.92463229509116</v>
      </c>
      <c r="L4" s="130">
        <f>IF(SER_hh_fech!L4=0,0,SER_hh_fech!L4/SER_summary!L$26)</f>
        <v>184.08642143238524</v>
      </c>
      <c r="M4" s="130">
        <f>IF(SER_hh_fech!M4=0,0,SER_hh_fech!M4/SER_summary!M$26)</f>
        <v>148.41341999917961</v>
      </c>
      <c r="N4" s="130">
        <f>IF(SER_hh_fech!N4=0,0,SER_hh_fech!N4/SER_summary!N$26)</f>
        <v>159.67066399005995</v>
      </c>
      <c r="O4" s="130">
        <f>IF(SER_hh_fech!O4=0,0,SER_hh_fech!O4/SER_summary!O$26)</f>
        <v>149.22023830654126</v>
      </c>
      <c r="P4" s="130">
        <f>IF(SER_hh_fech!P4=0,0,SER_hh_fech!P4/SER_summary!P$26)</f>
        <v>146.33738449277556</v>
      </c>
      <c r="Q4" s="130">
        <f>IF(SER_hh_fech!Q4=0,0,SER_hh_fech!Q4/SER_summary!Q$26)</f>
        <v>147.20614376902594</v>
      </c>
      <c r="R4" s="130">
        <f>IF(SER_hh_fech!R4=0,0,SER_hh_fech!R4/SER_summary!R$26)</f>
        <v>157.19873739778839</v>
      </c>
      <c r="S4" s="130">
        <f>IF(SER_hh_fech!S4=0,0,SER_hh_fech!S4/SER_summary!S$26)</f>
        <v>139.49687892337082</v>
      </c>
      <c r="T4" s="130">
        <f>IF(SER_hh_fech!T4=0,0,SER_hh_fech!T4/SER_summary!T$26)</f>
        <v>145.09298587421037</v>
      </c>
      <c r="U4" s="130">
        <f>IF(SER_hh_fech!U4=0,0,SER_hh_fech!U4/SER_summary!U$26)</f>
        <v>136.42490408623493</v>
      </c>
      <c r="V4" s="130">
        <f>IF(SER_hh_fech!V4=0,0,SER_hh_fech!V4/SER_summary!V$26)</f>
        <v>130.10137738060294</v>
      </c>
      <c r="W4" s="130">
        <f>IF(SER_hh_fech!W4=0,0,SER_hh_fech!W4/SER_summary!W$26)</f>
        <v>143.91862676710213</v>
      </c>
      <c r="X4" s="130">
        <f>IF(SER_hh_fech!X4=0,0,SER_hh_fech!X4/SER_summary!X$26)</f>
        <v>143.3594241164877</v>
      </c>
      <c r="Y4" s="130">
        <f>IF(SER_hh_fech!Y4=0,0,SER_hh_fech!Y4/SER_summary!Y$26)</f>
        <v>140.10024173749193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0</v>
      </c>
      <c r="C5" s="132">
        <f>IF(SER_hh_fech!C5=0,0,SER_hh_fech!C5/SER_summary!C$26)</f>
        <v>0</v>
      </c>
      <c r="D5" s="132">
        <f>IF(SER_hh_fech!D5=0,0,SER_hh_fech!D5/SER_summary!D$26)</f>
        <v>0</v>
      </c>
      <c r="E5" s="132">
        <f>IF(SER_hh_fech!E5=0,0,SER_hh_fech!E5/SER_summary!E$26)</f>
        <v>0</v>
      </c>
      <c r="F5" s="132">
        <f>IF(SER_hh_fech!F5=0,0,SER_hh_fech!F5/SER_summary!F$26)</f>
        <v>0</v>
      </c>
      <c r="G5" s="132">
        <f>IF(SER_hh_fech!G5=0,0,SER_hh_fech!G5/SER_summary!G$26)</f>
        <v>0</v>
      </c>
      <c r="H5" s="132">
        <f>IF(SER_hh_fech!H5=0,0,SER_hh_fech!H5/SER_summary!H$26)</f>
        <v>0</v>
      </c>
      <c r="I5" s="132">
        <f>IF(SER_hh_fech!I5=0,0,SER_hh_fech!I5/SER_summary!I$26)</f>
        <v>0</v>
      </c>
      <c r="J5" s="132">
        <f>IF(SER_hh_fech!J5=0,0,SER_hh_fech!J5/SER_summary!J$26)</f>
        <v>0</v>
      </c>
      <c r="K5" s="132">
        <f>IF(SER_hh_fech!K5=0,0,SER_hh_fech!K5/SER_summary!K$26)</f>
        <v>0</v>
      </c>
      <c r="L5" s="132">
        <f>IF(SER_hh_fech!L5=0,0,SER_hh_fech!L5/SER_summary!L$26)</f>
        <v>0</v>
      </c>
      <c r="M5" s="132">
        <f>IF(SER_hh_fech!M5=0,0,SER_hh_fech!M5/SER_summary!M$26)</f>
        <v>0</v>
      </c>
      <c r="N5" s="132">
        <f>IF(SER_hh_fech!N5=0,0,SER_hh_fech!N5/SER_summary!N$26)</f>
        <v>0</v>
      </c>
      <c r="O5" s="132">
        <f>IF(SER_hh_fech!O5=0,0,SER_hh_fech!O5/SER_summary!O$26)</f>
        <v>0</v>
      </c>
      <c r="P5" s="132">
        <f>IF(SER_hh_fech!P5=0,0,SER_hh_fech!P5/SER_summary!P$26)</f>
        <v>0</v>
      </c>
      <c r="Q5" s="132">
        <f>IF(SER_hh_fech!Q5=0,0,SER_hh_fech!Q5/SER_summary!Q$26)</f>
        <v>0</v>
      </c>
      <c r="R5" s="132">
        <f>IF(SER_hh_fech!R5=0,0,SER_hh_fech!R5/SER_summary!R$26)</f>
        <v>0</v>
      </c>
      <c r="S5" s="132">
        <f>IF(SER_hh_fech!S5=0,0,SER_hh_fech!S5/SER_summary!S$26)</f>
        <v>0</v>
      </c>
      <c r="T5" s="132">
        <f>IF(SER_hh_fech!T5=0,0,SER_hh_fech!T5/SER_summary!T$26)</f>
        <v>0</v>
      </c>
      <c r="U5" s="132">
        <f>IF(SER_hh_fech!U5=0,0,SER_hh_fech!U5/SER_summary!U$26)</f>
        <v>0</v>
      </c>
      <c r="V5" s="132">
        <f>IF(SER_hh_fech!V5=0,0,SER_hh_fech!V5/SER_summary!V$26)</f>
        <v>0</v>
      </c>
      <c r="W5" s="132">
        <f>IF(SER_hh_fech!W5=0,0,SER_hh_fech!W5/SER_summary!W$26)</f>
        <v>0</v>
      </c>
      <c r="X5" s="132">
        <f>IF(SER_hh_fech!X5=0,0,SER_hh_fech!X5/SER_summary!X$26)</f>
        <v>0</v>
      </c>
      <c r="Y5" s="132">
        <f>IF(SER_hh_fech!Y5=0,0,SER_hh_fech!Y5/SER_summary!Y$26)</f>
        <v>0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334.52010273986389</v>
      </c>
      <c r="C7" s="132">
        <f>IF(SER_hh_fech!C7=0,0,SER_hh_fech!C7/SER_summary!C$26)</f>
        <v>352.81077018008489</v>
      </c>
      <c r="D7" s="132">
        <f>IF(SER_hh_fech!D7=0,0,SER_hh_fech!D7/SER_summary!D$26)</f>
        <v>351.51965106888014</v>
      </c>
      <c r="E7" s="132">
        <f>IF(SER_hh_fech!E7=0,0,SER_hh_fech!E7/SER_summary!E$26)</f>
        <v>393.2391962585952</v>
      </c>
      <c r="F7" s="132">
        <f>IF(SER_hh_fech!F7=0,0,SER_hh_fech!F7/SER_summary!F$26)</f>
        <v>346.98455343358421</v>
      </c>
      <c r="G7" s="132">
        <f>IF(SER_hh_fech!G7=0,0,SER_hh_fech!G7/SER_summary!G$26)</f>
        <v>230.94787086828563</v>
      </c>
      <c r="H7" s="132">
        <f>IF(SER_hh_fech!H7=0,0,SER_hh_fech!H7/SER_summary!H$26)</f>
        <v>258.11997324946879</v>
      </c>
      <c r="I7" s="132">
        <f>IF(SER_hh_fech!I7=0,0,SER_hh_fech!I7/SER_summary!I$26)</f>
        <v>291.39824797235804</v>
      </c>
      <c r="J7" s="132">
        <f>IF(SER_hh_fech!J7=0,0,SER_hh_fech!J7/SER_summary!J$26)</f>
        <v>263.01232721341802</v>
      </c>
      <c r="K7" s="132">
        <f>IF(SER_hh_fech!K7=0,0,SER_hh_fech!K7/SER_summary!K$26)</f>
        <v>267.609123976278</v>
      </c>
      <c r="L7" s="132">
        <f>IF(SER_hh_fech!L7=0,0,SER_hh_fech!L7/SER_summary!L$26)</f>
        <v>268.82806599716463</v>
      </c>
      <c r="M7" s="132">
        <f>IF(SER_hh_fech!M7=0,0,SER_hh_fech!M7/SER_summary!M$26)</f>
        <v>234.37310373931285</v>
      </c>
      <c r="N7" s="132">
        <f>IF(SER_hh_fech!N7=0,0,SER_hh_fech!N7/SER_summary!N$26)</f>
        <v>224.67326924503143</v>
      </c>
      <c r="O7" s="132">
        <f>IF(SER_hh_fech!O7=0,0,SER_hh_fech!O7/SER_summary!O$26)</f>
        <v>199.41637172723111</v>
      </c>
      <c r="P7" s="132">
        <f>IF(SER_hh_fech!P7=0,0,SER_hh_fech!P7/SER_summary!P$26)</f>
        <v>204.49936671699251</v>
      </c>
      <c r="Q7" s="132">
        <f>IF(SER_hh_fech!Q7=0,0,SER_hh_fech!Q7/SER_summary!Q$26)</f>
        <v>200.42803097193038</v>
      </c>
      <c r="R7" s="132">
        <f>IF(SER_hh_fech!R7=0,0,SER_hh_fech!R7/SER_summary!R$26)</f>
        <v>198.66897924989789</v>
      </c>
      <c r="S7" s="132">
        <f>IF(SER_hh_fech!S7=0,0,SER_hh_fech!S7/SER_summary!S$26)</f>
        <v>196.82794637868071</v>
      </c>
      <c r="T7" s="132">
        <f>IF(SER_hh_fech!T7=0,0,SER_hh_fech!T7/SER_summary!T$26)</f>
        <v>195.18127453234285</v>
      </c>
      <c r="U7" s="132">
        <f>IF(SER_hh_fech!U7=0,0,SER_hh_fech!U7/SER_summary!U$26)</f>
        <v>187.44334714960891</v>
      </c>
      <c r="V7" s="132">
        <f>IF(SER_hh_fech!V7=0,0,SER_hh_fech!V7/SER_summary!V$26)</f>
        <v>193.66322505980307</v>
      </c>
      <c r="W7" s="132">
        <f>IF(SER_hh_fech!W7=0,0,SER_hh_fech!W7/SER_summary!W$26)</f>
        <v>193.40644668181884</v>
      </c>
      <c r="X7" s="132">
        <f>IF(SER_hh_fech!X7=0,0,SER_hh_fech!X7/SER_summary!X$26)</f>
        <v>205.01605815973113</v>
      </c>
      <c r="Y7" s="132">
        <f>IF(SER_hh_fech!Y7=0,0,SER_hh_fech!Y7/SER_summary!Y$26)</f>
        <v>186.18761028758431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0</v>
      </c>
      <c r="C8" s="132">
        <f>IF(SER_hh_fech!C8=0,0,SER_hh_fech!C8/SER_summary!C$26)</f>
        <v>0</v>
      </c>
      <c r="D8" s="132">
        <f>IF(SER_hh_fech!D8=0,0,SER_hh_fech!D8/SER_summary!D$26)</f>
        <v>0</v>
      </c>
      <c r="E8" s="132">
        <f>IF(SER_hh_fech!E8=0,0,SER_hh_fech!E8/SER_summary!E$26)</f>
        <v>0</v>
      </c>
      <c r="F8" s="132">
        <f>IF(SER_hh_fech!F8=0,0,SER_hh_fech!F8/SER_summary!F$26)</f>
        <v>0</v>
      </c>
      <c r="G8" s="132">
        <f>IF(SER_hh_fech!G8=0,0,SER_hh_fech!G8/SER_summary!G$26)</f>
        <v>0</v>
      </c>
      <c r="H8" s="132">
        <f>IF(SER_hh_fech!H8=0,0,SER_hh_fech!H8/SER_summary!H$26)</f>
        <v>0</v>
      </c>
      <c r="I8" s="132">
        <f>IF(SER_hh_fech!I8=0,0,SER_hh_fech!I8/SER_summary!I$26)</f>
        <v>0</v>
      </c>
      <c r="J8" s="132">
        <f>IF(SER_hh_fech!J8=0,0,SER_hh_fech!J8/SER_summary!J$26)</f>
        <v>0</v>
      </c>
      <c r="K8" s="132">
        <f>IF(SER_hh_fech!K8=0,0,SER_hh_fech!K8/SER_summary!K$26)</f>
        <v>0</v>
      </c>
      <c r="L8" s="132">
        <f>IF(SER_hh_fech!L8=0,0,SER_hh_fech!L8/SER_summary!L$26)</f>
        <v>0</v>
      </c>
      <c r="M8" s="132">
        <f>IF(SER_hh_fech!M8=0,0,SER_hh_fech!M8/SER_summary!M$26)</f>
        <v>0</v>
      </c>
      <c r="N8" s="132">
        <f>IF(SER_hh_fech!N8=0,0,SER_hh_fech!N8/SER_summary!N$26)</f>
        <v>0</v>
      </c>
      <c r="O8" s="132">
        <f>IF(SER_hh_fech!O8=0,0,SER_hh_fech!O8/SER_summary!O$26)</f>
        <v>0</v>
      </c>
      <c r="P8" s="132">
        <f>IF(SER_hh_fech!P8=0,0,SER_hh_fech!P8/SER_summary!P$26)</f>
        <v>0</v>
      </c>
      <c r="Q8" s="132">
        <f>IF(SER_hh_fech!Q8=0,0,SER_hh_fech!Q8/SER_summary!Q$26)</f>
        <v>0</v>
      </c>
      <c r="R8" s="132">
        <f>IF(SER_hh_fech!R8=0,0,SER_hh_fech!R8/SER_summary!R$26)</f>
        <v>0</v>
      </c>
      <c r="S8" s="132">
        <f>IF(SER_hh_fech!S8=0,0,SER_hh_fech!S8/SER_summary!S$26)</f>
        <v>0</v>
      </c>
      <c r="T8" s="132">
        <f>IF(SER_hh_fech!T8=0,0,SER_hh_fech!T8/SER_summary!T$26)</f>
        <v>0</v>
      </c>
      <c r="U8" s="132">
        <f>IF(SER_hh_fech!U8=0,0,SER_hh_fech!U8/SER_summary!U$26)</f>
        <v>0</v>
      </c>
      <c r="V8" s="132">
        <f>IF(SER_hh_fech!V8=0,0,SER_hh_fech!V8/SER_summary!V$26)</f>
        <v>0</v>
      </c>
      <c r="W8" s="132">
        <f>IF(SER_hh_fech!W8=0,0,SER_hh_fech!W8/SER_summary!W$26)</f>
        <v>0</v>
      </c>
      <c r="X8" s="132">
        <f>IF(SER_hh_fech!X8=0,0,SER_hh_fech!X8/SER_summary!X$26)</f>
        <v>0</v>
      </c>
      <c r="Y8" s="132">
        <f>IF(SER_hh_fech!Y8=0,0,SER_hh_fech!Y8/SER_summary!Y$26)</f>
        <v>0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314.44836339763003</v>
      </c>
      <c r="C9" s="132">
        <f>IF(SER_hh_fech!C9=0,0,SER_hh_fech!C9/SER_summary!C$26)</f>
        <v>233.79049120415581</v>
      </c>
      <c r="D9" s="132">
        <f>IF(SER_hh_fech!D9=0,0,SER_hh_fech!D9/SER_summary!D$26)</f>
        <v>317.0610593100339</v>
      </c>
      <c r="E9" s="132">
        <f>IF(SER_hh_fech!E9=0,0,SER_hh_fech!E9/SER_summary!E$26)</f>
        <v>330.82969805026499</v>
      </c>
      <c r="F9" s="132">
        <f>IF(SER_hh_fech!F9=0,0,SER_hh_fech!F9/SER_summary!F$26)</f>
        <v>275.81563897186857</v>
      </c>
      <c r="G9" s="132">
        <f>IF(SER_hh_fech!G9=0,0,SER_hh_fech!G9/SER_summary!G$26)</f>
        <v>257.95522115286235</v>
      </c>
      <c r="H9" s="132">
        <f>IF(SER_hh_fech!H9=0,0,SER_hh_fech!H9/SER_summary!H$26)</f>
        <v>245.93659597680221</v>
      </c>
      <c r="I9" s="132">
        <f>IF(SER_hh_fech!I9=0,0,SER_hh_fech!I9/SER_summary!I$26)</f>
        <v>255.61530171072874</v>
      </c>
      <c r="J9" s="132">
        <f>IF(SER_hh_fech!J9=0,0,SER_hh_fech!J9/SER_summary!J$26)</f>
        <v>271.71037188761301</v>
      </c>
      <c r="K9" s="132">
        <f>IF(SER_hh_fech!K9=0,0,SER_hh_fech!K9/SER_summary!K$26)</f>
        <v>124.58124533963282</v>
      </c>
      <c r="L9" s="132">
        <f>IF(SER_hh_fech!L9=0,0,SER_hh_fech!L9/SER_summary!L$26)</f>
        <v>263.37568886120522</v>
      </c>
      <c r="M9" s="132">
        <f>IF(SER_hh_fech!M9=0,0,SER_hh_fech!M9/SER_summary!M$26)</f>
        <v>201.32870314824495</v>
      </c>
      <c r="N9" s="132">
        <f>IF(SER_hh_fech!N9=0,0,SER_hh_fech!N9/SER_summary!N$26)</f>
        <v>238.23857093002403</v>
      </c>
      <c r="O9" s="132">
        <f>IF(SER_hh_fech!O9=0,0,SER_hh_fech!O9/SER_summary!O$26)</f>
        <v>205.12657777139322</v>
      </c>
      <c r="P9" s="132">
        <f>IF(SER_hh_fech!P9=0,0,SER_hh_fech!P9/SER_summary!P$26)</f>
        <v>198.88921738289432</v>
      </c>
      <c r="Q9" s="132">
        <f>IF(SER_hh_fech!Q9=0,0,SER_hh_fech!Q9/SER_summary!Q$26)</f>
        <v>205.74988469303898</v>
      </c>
      <c r="R9" s="132">
        <f>IF(SER_hh_fech!R9=0,0,SER_hh_fech!R9/SER_summary!R$26)</f>
        <v>226.35619200490476</v>
      </c>
      <c r="S9" s="132">
        <f>IF(SER_hh_fech!S9=0,0,SER_hh_fech!S9/SER_summary!S$26)</f>
        <v>123.22483622205195</v>
      </c>
      <c r="T9" s="132">
        <f>IF(SER_hh_fech!T9=0,0,SER_hh_fech!T9/SER_summary!T$26)</f>
        <v>178.14651857644353</v>
      </c>
      <c r="U9" s="132">
        <f>IF(SER_hh_fech!U9=0,0,SER_hh_fech!U9/SER_summary!U$26)</f>
        <v>205.73138789789851</v>
      </c>
      <c r="V9" s="132">
        <f>IF(SER_hh_fech!V9=0,0,SER_hh_fech!V9/SER_summary!V$26)</f>
        <v>193.38548815467925</v>
      </c>
      <c r="W9" s="132">
        <f>IF(SER_hh_fech!W9=0,0,SER_hh_fech!W9/SER_summary!W$26)</f>
        <v>186.5438205753957</v>
      </c>
      <c r="X9" s="132">
        <f>IF(SER_hh_fech!X9=0,0,SER_hh_fech!X9/SER_summary!X$26)</f>
        <v>183.79544398423155</v>
      </c>
      <c r="Y9" s="132">
        <f>IF(SER_hh_fech!Y9=0,0,SER_hh_fech!Y9/SER_summary!Y$26)</f>
        <v>169.81761367337234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221.18155043423016</v>
      </c>
      <c r="C10" s="132">
        <f>IF(SER_hh_fech!C10=0,0,SER_hh_fech!C10/SER_summary!C$26)</f>
        <v>441.77887557812477</v>
      </c>
      <c r="D10" s="132">
        <f>IF(SER_hh_fech!D10=0,0,SER_hh_fech!D10/SER_summary!D$26)</f>
        <v>294.42898403349017</v>
      </c>
      <c r="E10" s="132">
        <f>IF(SER_hh_fech!E10=0,0,SER_hh_fech!E10/SER_summary!E$26)</f>
        <v>206.14262355696499</v>
      </c>
      <c r="F10" s="132">
        <f>IF(SER_hh_fech!F10=0,0,SER_hh_fech!F10/SER_summary!F$26)</f>
        <v>336.67123569420443</v>
      </c>
      <c r="G10" s="132">
        <f>IF(SER_hh_fech!G10=0,0,SER_hh_fech!G10/SER_summary!G$26)</f>
        <v>326.70166864783158</v>
      </c>
      <c r="H10" s="132">
        <f>IF(SER_hh_fech!H10=0,0,SER_hh_fech!H10/SER_summary!H$26)</f>
        <v>228.73139173718948</v>
      </c>
      <c r="I10" s="132">
        <f>IF(SER_hh_fech!I10=0,0,SER_hh_fech!I10/SER_summary!I$26)</f>
        <v>241.7258589364688</v>
      </c>
      <c r="J10" s="132">
        <f>IF(SER_hh_fech!J10=0,0,SER_hh_fech!J10/SER_summary!J$26)</f>
        <v>249.96360710987278</v>
      </c>
      <c r="K10" s="132">
        <f>IF(SER_hh_fech!K10=0,0,SER_hh_fech!K10/SER_summary!K$26)</f>
        <v>242.88194569263769</v>
      </c>
      <c r="L10" s="132">
        <f>IF(SER_hh_fech!L10=0,0,SER_hh_fech!L10/SER_summary!L$26)</f>
        <v>238.77077221552423</v>
      </c>
      <c r="M10" s="132">
        <f>IF(SER_hh_fech!M10=0,0,SER_hh_fech!M10/SER_summary!M$26)</f>
        <v>212.49413069999315</v>
      </c>
      <c r="N10" s="132">
        <f>IF(SER_hh_fech!N10=0,0,SER_hh_fech!N10/SER_summary!N$26)</f>
        <v>269.17413165080438</v>
      </c>
      <c r="O10" s="132">
        <f>IF(SER_hh_fech!O10=0,0,SER_hh_fech!O10/SER_summary!O$26)</f>
        <v>151.96509083050219</v>
      </c>
      <c r="P10" s="132">
        <f>IF(SER_hh_fech!P10=0,0,SER_hh_fech!P10/SER_summary!P$26)</f>
        <v>209.28101594519657</v>
      </c>
      <c r="Q10" s="132">
        <f>IF(SER_hh_fech!Q10=0,0,SER_hh_fech!Q10/SER_summary!Q$26)</f>
        <v>195.87584880537585</v>
      </c>
      <c r="R10" s="132">
        <f>IF(SER_hh_fech!R10=0,0,SER_hh_fech!R10/SER_summary!R$26)</f>
        <v>315.88370686900942</v>
      </c>
      <c r="S10" s="132">
        <f>IF(SER_hh_fech!S10=0,0,SER_hh_fech!S10/SER_summary!S$26)</f>
        <v>312.91598711093644</v>
      </c>
      <c r="T10" s="132">
        <f>IF(SER_hh_fech!T10=0,0,SER_hh_fech!T10/SER_summary!T$26)</f>
        <v>316.79483930637537</v>
      </c>
      <c r="U10" s="132">
        <f>IF(SER_hh_fech!U10=0,0,SER_hh_fech!U10/SER_summary!U$26)</f>
        <v>189.18608073051243</v>
      </c>
      <c r="V10" s="132">
        <f>IF(SER_hh_fech!V10=0,0,SER_hh_fech!V10/SER_summary!V$26)</f>
        <v>194.76337548494533</v>
      </c>
      <c r="W10" s="132">
        <f>IF(SER_hh_fech!W10=0,0,SER_hh_fech!W10/SER_summary!W$26)</f>
        <v>241.02292893599474</v>
      </c>
      <c r="X10" s="132">
        <f>IF(SER_hh_fech!X10=0,0,SER_hh_fech!X10/SER_summary!X$26)</f>
        <v>209.66352602318861</v>
      </c>
      <c r="Y10" s="132">
        <f>IF(SER_hh_fech!Y10=0,0,SER_hh_fech!Y10/SER_summary!Y$26)</f>
        <v>238.93431580126324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0</v>
      </c>
      <c r="F11" s="132">
        <f>IF(SER_hh_fech!F11=0,0,SER_hh_fech!F11/SER_summary!F$26)</f>
        <v>0</v>
      </c>
      <c r="G11" s="132">
        <f>IF(SER_hh_fech!G11=0,0,SER_hh_fech!G11/SER_summary!G$26)</f>
        <v>0</v>
      </c>
      <c r="H11" s="132">
        <f>IF(SER_hh_fech!H11=0,0,SER_hh_fech!H11/SER_summary!H$26)</f>
        <v>0</v>
      </c>
      <c r="I11" s="132">
        <f>IF(SER_hh_fech!I11=0,0,SER_hh_fech!I11/SER_summary!I$26)</f>
        <v>0</v>
      </c>
      <c r="J11" s="132">
        <f>IF(SER_hh_fech!J11=0,0,SER_hh_fech!J11/SER_summary!J$26)</f>
        <v>0</v>
      </c>
      <c r="K11" s="132">
        <f>IF(SER_hh_fech!K11=0,0,SER_hh_fech!K11/SER_summary!K$26)</f>
        <v>0</v>
      </c>
      <c r="L11" s="132">
        <f>IF(SER_hh_fech!L11=0,0,SER_hh_fech!L11/SER_summary!L$26)</f>
        <v>0</v>
      </c>
      <c r="M11" s="132">
        <f>IF(SER_hh_fech!M11=0,0,SER_hh_fech!M11/SER_summary!M$26)</f>
        <v>0</v>
      </c>
      <c r="N11" s="132">
        <f>IF(SER_hh_fech!N11=0,0,SER_hh_fech!N11/SER_summary!N$26)</f>
        <v>0</v>
      </c>
      <c r="O11" s="132">
        <f>IF(SER_hh_fech!O11=0,0,SER_hh_fech!O11/SER_summary!O$26)</f>
        <v>0</v>
      </c>
      <c r="P11" s="132">
        <f>IF(SER_hh_fech!P11=0,0,SER_hh_fech!P11/SER_summary!P$26)</f>
        <v>0</v>
      </c>
      <c r="Q11" s="132">
        <f>IF(SER_hh_fech!Q11=0,0,SER_hh_fech!Q11/SER_summary!Q$26)</f>
        <v>0</v>
      </c>
      <c r="R11" s="132">
        <f>IF(SER_hh_fech!R11=0,0,SER_hh_fech!R11/SER_summary!R$26)</f>
        <v>0</v>
      </c>
      <c r="S11" s="132">
        <f>IF(SER_hh_fech!S11=0,0,SER_hh_fech!S11/SER_summary!S$26)</f>
        <v>0</v>
      </c>
      <c r="T11" s="132">
        <f>IF(SER_hh_fech!T11=0,0,SER_hh_fech!T11/SER_summary!T$26)</f>
        <v>0</v>
      </c>
      <c r="U11" s="132">
        <f>IF(SER_hh_fech!U11=0,0,SER_hh_fech!U11/SER_summary!U$26)</f>
        <v>0</v>
      </c>
      <c r="V11" s="132">
        <f>IF(SER_hh_fech!V11=0,0,SER_hh_fech!V11/SER_summary!V$26)</f>
        <v>0</v>
      </c>
      <c r="W11" s="132">
        <f>IF(SER_hh_fech!W11=0,0,SER_hh_fech!W11/SER_summary!W$26)</f>
        <v>0</v>
      </c>
      <c r="X11" s="132">
        <f>IF(SER_hh_fech!X11=0,0,SER_hh_fech!X11/SER_summary!X$26)</f>
        <v>0</v>
      </c>
      <c r="Y11" s="132">
        <f>IF(SER_hh_fech!Y11=0,0,SER_hh_fech!Y11/SER_summary!Y$26)</f>
        <v>0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193.95109281894341</v>
      </c>
      <c r="C12" s="132">
        <f>IF(SER_hh_fech!C12=0,0,SER_hh_fech!C12/SER_summary!C$26)</f>
        <v>212.95433246159556</v>
      </c>
      <c r="D12" s="132">
        <f>IF(SER_hh_fech!D12=0,0,SER_hh_fech!D12/SER_summary!D$26)</f>
        <v>208.85924451659764</v>
      </c>
      <c r="E12" s="132">
        <f>IF(SER_hh_fech!E12=0,0,SER_hh_fech!E12/SER_summary!E$26)</f>
        <v>204.09276356183267</v>
      </c>
      <c r="F12" s="132">
        <f>IF(SER_hh_fech!F12=0,0,SER_hh_fech!F12/SER_summary!F$26)</f>
        <v>186.44457608853665</v>
      </c>
      <c r="G12" s="132">
        <f>IF(SER_hh_fech!G12=0,0,SER_hh_fech!G12/SER_summary!G$26)</f>
        <v>179.42174918271868</v>
      </c>
      <c r="H12" s="132">
        <f>IF(SER_hh_fech!H12=0,0,SER_hh_fech!H12/SER_summary!H$26)</f>
        <v>172.41112813685424</v>
      </c>
      <c r="I12" s="132">
        <f>IF(SER_hh_fech!I12=0,0,SER_hh_fech!I12/SER_summary!I$26)</f>
        <v>161.58940386417385</v>
      </c>
      <c r="J12" s="132">
        <f>IF(SER_hh_fech!J12=0,0,SER_hh_fech!J12/SER_summary!J$26)</f>
        <v>161.06731019793781</v>
      </c>
      <c r="K12" s="132">
        <f>IF(SER_hh_fech!K12=0,0,SER_hh_fech!K12/SER_summary!K$26)</f>
        <v>161.52297322874088</v>
      </c>
      <c r="L12" s="132">
        <f>IF(SER_hh_fech!L12=0,0,SER_hh_fech!L12/SER_summary!L$26)</f>
        <v>174.91144906183865</v>
      </c>
      <c r="M12" s="132">
        <f>IF(SER_hh_fech!M12=0,0,SER_hh_fech!M12/SER_summary!M$26)</f>
        <v>141.64564699643662</v>
      </c>
      <c r="N12" s="132">
        <f>IF(SER_hh_fech!N12=0,0,SER_hh_fech!N12/SER_summary!N$26)</f>
        <v>153.50159132815602</v>
      </c>
      <c r="O12" s="132">
        <f>IF(SER_hh_fech!O12=0,0,SER_hh_fech!O12/SER_summary!O$26)</f>
        <v>151.35184708562784</v>
      </c>
      <c r="P12" s="132">
        <f>IF(SER_hh_fech!P12=0,0,SER_hh_fech!P12/SER_summary!P$26)</f>
        <v>144.60840947319355</v>
      </c>
      <c r="Q12" s="132">
        <f>IF(SER_hh_fech!Q12=0,0,SER_hh_fech!Q12/SER_summary!Q$26)</f>
        <v>141.66720605377529</v>
      </c>
      <c r="R12" s="132">
        <f>IF(SER_hh_fech!R12=0,0,SER_hh_fech!R12/SER_summary!R$26)</f>
        <v>152.12855135287657</v>
      </c>
      <c r="S12" s="132">
        <f>IF(SER_hh_fech!S12=0,0,SER_hh_fech!S12/SER_summary!S$26)</f>
        <v>141.31129412590647</v>
      </c>
      <c r="T12" s="132">
        <f>IF(SER_hh_fech!T12=0,0,SER_hh_fech!T12/SER_summary!T$26)</f>
        <v>146.62153650412435</v>
      </c>
      <c r="U12" s="132">
        <f>IF(SER_hh_fech!U12=0,0,SER_hh_fech!U12/SER_summary!U$26)</f>
        <v>143.47281581586984</v>
      </c>
      <c r="V12" s="132">
        <f>IF(SER_hh_fech!V12=0,0,SER_hh_fech!V12/SER_summary!V$26)</f>
        <v>129.46772052120315</v>
      </c>
      <c r="W12" s="132">
        <f>IF(SER_hh_fech!W12=0,0,SER_hh_fech!W12/SER_summary!W$26)</f>
        <v>155.73225320840635</v>
      </c>
      <c r="X12" s="132">
        <f>IF(SER_hh_fech!X12=0,0,SER_hh_fech!X12/SER_summary!X$26)</f>
        <v>145.33076026530631</v>
      </c>
      <c r="Y12" s="132">
        <f>IF(SER_hh_fech!Y12=0,0,SER_hh_fech!Y12/SER_summary!Y$26)</f>
        <v>152.15143710414159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83.372954194439998</v>
      </c>
      <c r="C13" s="132">
        <f>IF(SER_hh_fech!C13=0,0,SER_hh_fech!C13/SER_summary!C$26)</f>
        <v>107.95794468158365</v>
      </c>
      <c r="D13" s="132">
        <f>IF(SER_hh_fech!D13=0,0,SER_hh_fech!D13/SER_summary!D$26)</f>
        <v>100.70931855023572</v>
      </c>
      <c r="E13" s="132">
        <f>IF(SER_hh_fech!E13=0,0,SER_hh_fech!E13/SER_summary!E$26)</f>
        <v>87.209287063911916</v>
      </c>
      <c r="F13" s="132">
        <f>IF(SER_hh_fech!F13=0,0,SER_hh_fech!F13/SER_summary!F$26)</f>
        <v>86.15670679975301</v>
      </c>
      <c r="G13" s="132">
        <f>IF(SER_hh_fech!G13=0,0,SER_hh_fech!G13/SER_summary!G$26)</f>
        <v>69.795985910465504</v>
      </c>
      <c r="H13" s="132">
        <f>IF(SER_hh_fech!H13=0,0,SER_hh_fech!H13/SER_summary!H$26)</f>
        <v>72.380365398107813</v>
      </c>
      <c r="I13" s="132">
        <f>IF(SER_hh_fech!I13=0,0,SER_hh_fech!I13/SER_summary!I$26)</f>
        <v>73.6171392649144</v>
      </c>
      <c r="J13" s="132">
        <f>IF(SER_hh_fech!J13=0,0,SER_hh_fech!J13/SER_summary!J$26)</f>
        <v>67.909784545618535</v>
      </c>
      <c r="K13" s="132">
        <f>IF(SER_hh_fech!K13=0,0,SER_hh_fech!K13/SER_summary!K$26)</f>
        <v>63.365267167057191</v>
      </c>
      <c r="L13" s="132">
        <f>IF(SER_hh_fech!L13=0,0,SER_hh_fech!L13/SER_summary!L$26)</f>
        <v>60.781865634496079</v>
      </c>
      <c r="M13" s="132">
        <f>IF(SER_hh_fech!M13=0,0,SER_hh_fech!M13/SER_summary!M$26)</f>
        <v>56.369045080112429</v>
      </c>
      <c r="N13" s="132">
        <f>IF(SER_hh_fech!N13=0,0,SER_hh_fech!N13/SER_summary!N$26)</f>
        <v>54.96293039027681</v>
      </c>
      <c r="O13" s="132">
        <f>IF(SER_hh_fech!O13=0,0,SER_hh_fech!O13/SER_summary!O$26)</f>
        <v>52.682388001765332</v>
      </c>
      <c r="P13" s="132">
        <f>IF(SER_hh_fech!P13=0,0,SER_hh_fech!P13/SER_summary!P$26)</f>
        <v>49.482898105811415</v>
      </c>
      <c r="Q13" s="132">
        <f>IF(SER_hh_fech!Q13=0,0,SER_hh_fech!Q13/SER_summary!Q$26)</f>
        <v>46.233661110142307</v>
      </c>
      <c r="R13" s="132">
        <f>IF(SER_hh_fech!R13=0,0,SER_hh_fech!R13/SER_summary!R$26)</f>
        <v>48.813592203784999</v>
      </c>
      <c r="S13" s="132">
        <f>IF(SER_hh_fech!S13=0,0,SER_hh_fech!S13/SER_summary!S$26)</f>
        <v>43.531106481606244</v>
      </c>
      <c r="T13" s="132">
        <f>IF(SER_hh_fech!T13=0,0,SER_hh_fech!T13/SER_summary!T$26)</f>
        <v>41.488386965810164</v>
      </c>
      <c r="U13" s="132">
        <f>IF(SER_hh_fech!U13=0,0,SER_hh_fech!U13/SER_summary!U$26)</f>
        <v>38.091383071464513</v>
      </c>
      <c r="V13" s="132">
        <f>IF(SER_hh_fech!V13=0,0,SER_hh_fech!V13/SER_summary!V$26)</f>
        <v>38.33984833390371</v>
      </c>
      <c r="W13" s="132">
        <f>IF(SER_hh_fech!W13=0,0,SER_hh_fech!W13/SER_summary!W$26)</f>
        <v>38.397894012151887</v>
      </c>
      <c r="X13" s="132">
        <f>IF(SER_hh_fech!X13=0,0,SER_hh_fech!X13/SER_summary!X$26)</f>
        <v>38.161716232912241</v>
      </c>
      <c r="Y13" s="132">
        <f>IF(SER_hh_fech!Y13=0,0,SER_hh_fech!Y13/SER_summary!Y$26)</f>
        <v>36.50483974129537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212.34874819971972</v>
      </c>
      <c r="C14" s="65">
        <f>IF(SER_hh_fech!C14=0,0,SER_hh_fech!C14/SER_summary!C$26)</f>
        <v>249.17900498797246</v>
      </c>
      <c r="D14" s="65">
        <f>IF(SER_hh_fech!D14=0,0,SER_hh_fech!D14/SER_summary!D$26)</f>
        <v>242.81859247027649</v>
      </c>
      <c r="E14" s="65">
        <f>IF(SER_hh_fech!E14=0,0,SER_hh_fech!E14/SER_summary!E$26)</f>
        <v>224.38924255902035</v>
      </c>
      <c r="F14" s="65">
        <f>IF(SER_hh_fech!F14=0,0,SER_hh_fech!F14/SER_summary!F$26)</f>
        <v>219.48703679393239</v>
      </c>
      <c r="G14" s="65">
        <f>IF(SER_hh_fech!G14=0,0,SER_hh_fech!G14/SER_summary!G$26)</f>
        <v>180.67491182714588</v>
      </c>
      <c r="H14" s="65">
        <f>IF(SER_hh_fech!H14=0,0,SER_hh_fech!H14/SER_summary!H$26)</f>
        <v>189.11063504030631</v>
      </c>
      <c r="I14" s="65">
        <f>IF(SER_hh_fech!I14=0,0,SER_hh_fech!I14/SER_summary!I$26)</f>
        <v>201.66173554010732</v>
      </c>
      <c r="J14" s="65">
        <f>IF(SER_hh_fech!J14=0,0,SER_hh_fech!J14/SER_summary!J$26)</f>
        <v>193.16473999210803</v>
      </c>
      <c r="K14" s="65">
        <f>IF(SER_hh_fech!K14=0,0,SER_hh_fech!K14/SER_summary!K$26)</f>
        <v>168.99004921330237</v>
      </c>
      <c r="L14" s="65">
        <f>IF(SER_hh_fech!L14=0,0,SER_hh_fech!L14/SER_summary!L$26)</f>
        <v>192.67236458629813</v>
      </c>
      <c r="M14" s="65">
        <f>IF(SER_hh_fech!M14=0,0,SER_hh_fech!M14/SER_summary!M$26)</f>
        <v>149.50031948322433</v>
      </c>
      <c r="N14" s="65">
        <f>IF(SER_hh_fech!N14=0,0,SER_hh_fech!N14/SER_summary!N$26)</f>
        <v>165.0187764385098</v>
      </c>
      <c r="O14" s="65">
        <f>IF(SER_hh_fech!O14=0,0,SER_hh_fech!O14/SER_summary!O$26)</f>
        <v>150.72104804642214</v>
      </c>
      <c r="P14" s="65">
        <f>IF(SER_hh_fech!P14=0,0,SER_hh_fech!P14/SER_summary!P$26)</f>
        <v>152.56720031595822</v>
      </c>
      <c r="Q14" s="65">
        <f>IF(SER_hh_fech!Q14=0,0,SER_hh_fech!Q14/SER_summary!Q$26)</f>
        <v>164.300616132193</v>
      </c>
      <c r="R14" s="65">
        <f>IF(SER_hh_fech!R14=0,0,SER_hh_fech!R14/SER_summary!R$26)</f>
        <v>175.11420694027063</v>
      </c>
      <c r="S14" s="65">
        <f>IF(SER_hh_fech!S14=0,0,SER_hh_fech!S14/SER_summary!S$26)</f>
        <v>146.89663070274815</v>
      </c>
      <c r="T14" s="65">
        <f>IF(SER_hh_fech!T14=0,0,SER_hh_fech!T14/SER_summary!T$26)</f>
        <v>155.55931223904128</v>
      </c>
      <c r="U14" s="65">
        <f>IF(SER_hh_fech!U14=0,0,SER_hh_fech!U14/SER_summary!U$26)</f>
        <v>139.91105194743</v>
      </c>
      <c r="V14" s="65">
        <f>IF(SER_hh_fech!V14=0,0,SER_hh_fech!V14/SER_summary!V$26)</f>
        <v>142.12753761131069</v>
      </c>
      <c r="W14" s="65">
        <f>IF(SER_hh_fech!W14=0,0,SER_hh_fech!W14/SER_summary!W$26)</f>
        <v>148.41866702943298</v>
      </c>
      <c r="X14" s="65">
        <f>IF(SER_hh_fech!X14=0,0,SER_hh_fech!X14/SER_summary!X$26)</f>
        <v>159.80651101385513</v>
      </c>
      <c r="Y14" s="65">
        <f>IF(SER_hh_fech!Y14=0,0,SER_hh_fech!Y14/SER_summary!Y$26)</f>
        <v>146.79414194772278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1.5393621866551144</v>
      </c>
      <c r="C15" s="134">
        <f>IF(SER_hh_fech!C15=0,0,SER_hh_fech!C15/SER_summary!C$26)</f>
        <v>1.5860502300411594</v>
      </c>
      <c r="D15" s="134">
        <f>IF(SER_hh_fech!D15=0,0,SER_hh_fech!D15/SER_summary!D$26)</f>
        <v>1.5431162791066904</v>
      </c>
      <c r="E15" s="134">
        <f>IF(SER_hh_fech!E15=0,0,SER_hh_fech!E15/SER_summary!E$26)</f>
        <v>1.5678757705083488</v>
      </c>
      <c r="F15" s="134">
        <f>IF(SER_hh_fech!F15=0,0,SER_hh_fech!F15/SER_summary!F$26)</f>
        <v>1.2902061396975026</v>
      </c>
      <c r="G15" s="134">
        <f>IF(SER_hh_fech!G15=0,0,SER_hh_fech!G15/SER_summary!G$26)</f>
        <v>0.95436062835561963</v>
      </c>
      <c r="H15" s="134">
        <f>IF(SER_hh_fech!H15=0,0,SER_hh_fech!H15/SER_summary!H$26)</f>
        <v>0.90047268890346988</v>
      </c>
      <c r="I15" s="134">
        <f>IF(SER_hh_fech!I15=0,0,SER_hh_fech!I15/SER_summary!I$26)</f>
        <v>0.87233893149028663</v>
      </c>
      <c r="J15" s="134">
        <f>IF(SER_hh_fech!J15=0,0,SER_hh_fech!J15/SER_summary!J$26)</f>
        <v>0.82386865082407346</v>
      </c>
      <c r="K15" s="134">
        <f>IF(SER_hh_fech!K15=0,0,SER_hh_fech!K15/SER_summary!K$26)</f>
        <v>0.76664294027933544</v>
      </c>
      <c r="L15" s="134">
        <f>IF(SER_hh_fech!L15=0,0,SER_hh_fech!L15/SER_summary!L$26)</f>
        <v>0.85834261716133897</v>
      </c>
      <c r="M15" s="134">
        <f>IF(SER_hh_fech!M15=0,0,SER_hh_fech!M15/SER_summary!M$26)</f>
        <v>0.72743622144992948</v>
      </c>
      <c r="N15" s="134">
        <f>IF(SER_hh_fech!N15=0,0,SER_hh_fech!N15/SER_summary!N$26)</f>
        <v>0.78741371266612781</v>
      </c>
      <c r="O15" s="134">
        <f>IF(SER_hh_fech!O15=0,0,SER_hh_fech!O15/SER_summary!O$26)</f>
        <v>0.73518823320265703</v>
      </c>
      <c r="P15" s="134">
        <f>IF(SER_hh_fech!P15=0,0,SER_hh_fech!P15/SER_summary!P$26)</f>
        <v>0.72050100474696965</v>
      </c>
      <c r="Q15" s="134">
        <f>IF(SER_hh_fech!Q15=0,0,SER_hh_fech!Q15/SER_summary!Q$26)</f>
        <v>0.70387326221472635</v>
      </c>
      <c r="R15" s="134">
        <f>IF(SER_hh_fech!R15=0,0,SER_hh_fech!R15/SER_summary!R$26)</f>
        <v>0.74504348875542148</v>
      </c>
      <c r="S15" s="134">
        <f>IF(SER_hh_fech!S15=0,0,SER_hh_fech!S15/SER_summary!S$26)</f>
        <v>0.68676712163034292</v>
      </c>
      <c r="T15" s="134">
        <f>IF(SER_hh_fech!T15=0,0,SER_hh_fech!T15/SER_summary!T$26)</f>
        <v>0.73102206220667376</v>
      </c>
      <c r="U15" s="134">
        <f>IF(SER_hh_fech!U15=0,0,SER_hh_fech!U15/SER_summary!U$26)</f>
        <v>0.72679259925525974</v>
      </c>
      <c r="V15" s="134">
        <f>IF(SER_hh_fech!V15=0,0,SER_hh_fech!V15/SER_summary!V$26)</f>
        <v>0.6979313721492395</v>
      </c>
      <c r="W15" s="134">
        <f>IF(SER_hh_fech!W15=0,0,SER_hh_fech!W15/SER_summary!W$26)</f>
        <v>0.75539761866439892</v>
      </c>
      <c r="X15" s="134">
        <f>IF(SER_hh_fech!X15=0,0,SER_hh_fech!X15/SER_summary!X$26)</f>
        <v>0.72302796288166449</v>
      </c>
      <c r="Y15" s="134">
        <f>IF(SER_hh_fech!Y15=0,0,SER_hh_fech!Y15/SER_summary!Y$26)</f>
        <v>0.7042029892317454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13.190625738009276</v>
      </c>
      <c r="C16" s="130">
        <f>IF(SER_hh_fech!C16=0,0,SER_hh_fech!C16/SER_summary!C$26)</f>
        <v>12.769597740024379</v>
      </c>
      <c r="D16" s="130">
        <f>IF(SER_hh_fech!D16=0,0,SER_hh_fech!D16/SER_summary!D$26)</f>
        <v>12.269693723591912</v>
      </c>
      <c r="E16" s="130">
        <f>IF(SER_hh_fech!E16=0,0,SER_hh_fech!E16/SER_summary!E$26)</f>
        <v>11.775332691240193</v>
      </c>
      <c r="F16" s="130">
        <f>IF(SER_hh_fech!F16=0,0,SER_hh_fech!F16/SER_summary!F$26)</f>
        <v>11.211819098498584</v>
      </c>
      <c r="G16" s="130">
        <f>IF(SER_hh_fech!G16=0,0,SER_hh_fech!G16/SER_summary!G$26)</f>
        <v>10.640788325820122</v>
      </c>
      <c r="H16" s="130">
        <f>IF(SER_hh_fech!H16=0,0,SER_hh_fech!H16/SER_summary!H$26)</f>
        <v>10.031812825513164</v>
      </c>
      <c r="I16" s="130">
        <f>IF(SER_hh_fech!I16=0,0,SER_hh_fech!I16/SER_summary!I$26)</f>
        <v>9.3753357839823579</v>
      </c>
      <c r="J16" s="130">
        <f>IF(SER_hh_fech!J16=0,0,SER_hh_fech!J16/SER_summary!J$26)</f>
        <v>8.7698779019190525</v>
      </c>
      <c r="K16" s="130">
        <f>IF(SER_hh_fech!K16=0,0,SER_hh_fech!K16/SER_summary!K$26)</f>
        <v>8.6235004436597009</v>
      </c>
      <c r="L16" s="130">
        <f>IF(SER_hh_fech!L16=0,0,SER_hh_fech!L16/SER_summary!L$26)</f>
        <v>8.5296517938089806</v>
      </c>
      <c r="M16" s="130">
        <f>IF(SER_hh_fech!M16=0,0,SER_hh_fech!M16/SER_summary!M$26)</f>
        <v>8.0942546125511043</v>
      </c>
      <c r="N16" s="130">
        <f>IF(SER_hh_fech!N16=0,0,SER_hh_fech!N16/SER_summary!N$26)</f>
        <v>7.7970209111723925</v>
      </c>
      <c r="O16" s="130">
        <f>IF(SER_hh_fech!O16=0,0,SER_hh_fech!O16/SER_summary!O$26)</f>
        <v>7.5005828491316358</v>
      </c>
      <c r="P16" s="130">
        <f>IF(SER_hh_fech!P16=0,0,SER_hh_fech!P16/SER_summary!P$26)</f>
        <v>7.3081854886410351</v>
      </c>
      <c r="Q16" s="130">
        <f>IF(SER_hh_fech!Q16=0,0,SER_hh_fech!Q16/SER_summary!Q$26)</f>
        <v>6.9380104422349618</v>
      </c>
      <c r="R16" s="130">
        <f>IF(SER_hh_fech!R16=0,0,SER_hh_fech!R16/SER_summary!R$26)</f>
        <v>6.6966770019054547</v>
      </c>
      <c r="S16" s="130">
        <f>IF(SER_hh_fech!S16=0,0,SER_hh_fech!S16/SER_summary!S$26)</f>
        <v>6.4689600460038443</v>
      </c>
      <c r="T16" s="130">
        <f>IF(SER_hh_fech!T16=0,0,SER_hh_fech!T16/SER_summary!T$26)</f>
        <v>6.3635111890868945</v>
      </c>
      <c r="U16" s="130">
        <f>IF(SER_hh_fech!U16=0,0,SER_hh_fech!U16/SER_summary!U$26)</f>
        <v>6.1970960027053872</v>
      </c>
      <c r="V16" s="130">
        <f>IF(SER_hh_fech!V16=0,0,SER_hh_fech!V16/SER_summary!V$26)</f>
        <v>5.9371358999174877</v>
      </c>
      <c r="W16" s="130">
        <f>IF(SER_hh_fech!W16=0,0,SER_hh_fech!W16/SER_summary!W$26)</f>
        <v>5.9506065958548131</v>
      </c>
      <c r="X16" s="130">
        <f>IF(SER_hh_fech!X16=0,0,SER_hh_fech!X16/SER_summary!X$26)</f>
        <v>5.7753208654201167</v>
      </c>
      <c r="Y16" s="130">
        <f>IF(SER_hh_fech!Y16=0,0,SER_hh_fech!Y16/SER_summary!Y$26)</f>
        <v>5.7432959260674918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0</v>
      </c>
      <c r="C17" s="132">
        <f>IF(SER_hh_fech!C17=0,0,SER_hh_fech!C17/SER_summary!C$26)</f>
        <v>0</v>
      </c>
      <c r="D17" s="132">
        <f>IF(SER_hh_fech!D17=0,0,SER_hh_fech!D17/SER_summary!D$26)</f>
        <v>0</v>
      </c>
      <c r="E17" s="132">
        <f>IF(SER_hh_fech!E17=0,0,SER_hh_fech!E17/SER_summary!E$26)</f>
        <v>0</v>
      </c>
      <c r="F17" s="132">
        <f>IF(SER_hh_fech!F17=0,0,SER_hh_fech!F17/SER_summary!F$26)</f>
        <v>0</v>
      </c>
      <c r="G17" s="132">
        <f>IF(SER_hh_fech!G17=0,0,SER_hh_fech!G17/SER_summary!G$26)</f>
        <v>0</v>
      </c>
      <c r="H17" s="132">
        <f>IF(SER_hh_fech!H17=0,0,SER_hh_fech!H17/SER_summary!H$26)</f>
        <v>0</v>
      </c>
      <c r="I17" s="132">
        <f>IF(SER_hh_fech!I17=0,0,SER_hh_fech!I17/SER_summary!I$26)</f>
        <v>0</v>
      </c>
      <c r="J17" s="132">
        <f>IF(SER_hh_fech!J17=0,0,SER_hh_fech!J17/SER_summary!J$26)</f>
        <v>0</v>
      </c>
      <c r="K17" s="132">
        <f>IF(SER_hh_fech!K17=0,0,SER_hh_fech!K17/SER_summary!K$26)</f>
        <v>0</v>
      </c>
      <c r="L17" s="132">
        <f>IF(SER_hh_fech!L17=0,0,SER_hh_fech!L17/SER_summary!L$26)</f>
        <v>0</v>
      </c>
      <c r="M17" s="132">
        <f>IF(SER_hh_fech!M17=0,0,SER_hh_fech!M17/SER_summary!M$26)</f>
        <v>0</v>
      </c>
      <c r="N17" s="132">
        <f>IF(SER_hh_fech!N17=0,0,SER_hh_fech!N17/SER_summary!N$26)</f>
        <v>0</v>
      </c>
      <c r="O17" s="132">
        <f>IF(SER_hh_fech!O17=0,0,SER_hh_fech!O17/SER_summary!O$26)</f>
        <v>0</v>
      </c>
      <c r="P17" s="132">
        <f>IF(SER_hh_fech!P17=0,0,SER_hh_fech!P17/SER_summary!P$26)</f>
        <v>0</v>
      </c>
      <c r="Q17" s="132">
        <f>IF(SER_hh_fech!Q17=0,0,SER_hh_fech!Q17/SER_summary!Q$26)</f>
        <v>0</v>
      </c>
      <c r="R17" s="132">
        <f>IF(SER_hh_fech!R17=0,0,SER_hh_fech!R17/SER_summary!R$26)</f>
        <v>0</v>
      </c>
      <c r="S17" s="132">
        <f>IF(SER_hh_fech!S17=0,0,SER_hh_fech!S17/SER_summary!S$26)</f>
        <v>0</v>
      </c>
      <c r="T17" s="132">
        <f>IF(SER_hh_fech!T17=0,0,SER_hh_fech!T17/SER_summary!T$26)</f>
        <v>0</v>
      </c>
      <c r="U17" s="132">
        <f>IF(SER_hh_fech!U17=0,0,SER_hh_fech!U17/SER_summary!U$26)</f>
        <v>0</v>
      </c>
      <c r="V17" s="132">
        <f>IF(SER_hh_fech!V17=0,0,SER_hh_fech!V17/SER_summary!V$26)</f>
        <v>0</v>
      </c>
      <c r="W17" s="132">
        <f>IF(SER_hh_fech!W17=0,0,SER_hh_fech!W17/SER_summary!W$26)</f>
        <v>0</v>
      </c>
      <c r="X17" s="132">
        <f>IF(SER_hh_fech!X17=0,0,SER_hh_fech!X17/SER_summary!X$26)</f>
        <v>0</v>
      </c>
      <c r="Y17" s="132">
        <f>IF(SER_hh_fech!Y17=0,0,SER_hh_fech!Y17/SER_summary!Y$26)</f>
        <v>0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13.190625738009276</v>
      </c>
      <c r="C18" s="132">
        <f>IF(SER_hh_fech!C18=0,0,SER_hh_fech!C18/SER_summary!C$26)</f>
        <v>12.769597740024379</v>
      </c>
      <c r="D18" s="132">
        <f>IF(SER_hh_fech!D18=0,0,SER_hh_fech!D18/SER_summary!D$26)</f>
        <v>12.269693723591912</v>
      </c>
      <c r="E18" s="132">
        <f>IF(SER_hh_fech!E18=0,0,SER_hh_fech!E18/SER_summary!E$26)</f>
        <v>11.775332691240193</v>
      </c>
      <c r="F18" s="132">
        <f>IF(SER_hh_fech!F18=0,0,SER_hh_fech!F18/SER_summary!F$26)</f>
        <v>11.211819098498584</v>
      </c>
      <c r="G18" s="132">
        <f>IF(SER_hh_fech!G18=0,0,SER_hh_fech!G18/SER_summary!G$26)</f>
        <v>10.640788325820122</v>
      </c>
      <c r="H18" s="132">
        <f>IF(SER_hh_fech!H18=0,0,SER_hh_fech!H18/SER_summary!H$26)</f>
        <v>10.031812825513164</v>
      </c>
      <c r="I18" s="132">
        <f>IF(SER_hh_fech!I18=0,0,SER_hh_fech!I18/SER_summary!I$26)</f>
        <v>9.3753357839823579</v>
      </c>
      <c r="J18" s="132">
        <f>IF(SER_hh_fech!J18=0,0,SER_hh_fech!J18/SER_summary!J$26)</f>
        <v>8.7698779019190525</v>
      </c>
      <c r="K18" s="132">
        <f>IF(SER_hh_fech!K18=0,0,SER_hh_fech!K18/SER_summary!K$26)</f>
        <v>8.6235004436597009</v>
      </c>
      <c r="L18" s="132">
        <f>IF(SER_hh_fech!L18=0,0,SER_hh_fech!L18/SER_summary!L$26)</f>
        <v>8.5296517938089806</v>
      </c>
      <c r="M18" s="132">
        <f>IF(SER_hh_fech!M18=0,0,SER_hh_fech!M18/SER_summary!M$26)</f>
        <v>8.0942546125511043</v>
      </c>
      <c r="N18" s="132">
        <f>IF(SER_hh_fech!N18=0,0,SER_hh_fech!N18/SER_summary!N$26)</f>
        <v>7.7970209111723925</v>
      </c>
      <c r="O18" s="132">
        <f>IF(SER_hh_fech!O18=0,0,SER_hh_fech!O18/SER_summary!O$26)</f>
        <v>7.5005828491316358</v>
      </c>
      <c r="P18" s="132">
        <f>IF(SER_hh_fech!P18=0,0,SER_hh_fech!P18/SER_summary!P$26)</f>
        <v>7.3081854886410351</v>
      </c>
      <c r="Q18" s="132">
        <f>IF(SER_hh_fech!Q18=0,0,SER_hh_fech!Q18/SER_summary!Q$26)</f>
        <v>6.9380104422349618</v>
      </c>
      <c r="R18" s="132">
        <f>IF(SER_hh_fech!R18=0,0,SER_hh_fech!R18/SER_summary!R$26)</f>
        <v>6.6966770019054547</v>
      </c>
      <c r="S18" s="132">
        <f>IF(SER_hh_fech!S18=0,0,SER_hh_fech!S18/SER_summary!S$26)</f>
        <v>6.4689600460038443</v>
      </c>
      <c r="T18" s="132">
        <f>IF(SER_hh_fech!T18=0,0,SER_hh_fech!T18/SER_summary!T$26)</f>
        <v>6.3635111890868945</v>
      </c>
      <c r="U18" s="132">
        <f>IF(SER_hh_fech!U18=0,0,SER_hh_fech!U18/SER_summary!U$26)</f>
        <v>6.1970960027053872</v>
      </c>
      <c r="V18" s="132">
        <f>IF(SER_hh_fech!V18=0,0,SER_hh_fech!V18/SER_summary!V$26)</f>
        <v>5.9371358999174877</v>
      </c>
      <c r="W18" s="132">
        <f>IF(SER_hh_fech!W18=0,0,SER_hh_fech!W18/SER_summary!W$26)</f>
        <v>5.9506065958548131</v>
      </c>
      <c r="X18" s="132">
        <f>IF(SER_hh_fech!X18=0,0,SER_hh_fech!X18/SER_summary!X$26)</f>
        <v>5.7753208654201167</v>
      </c>
      <c r="Y18" s="132">
        <f>IF(SER_hh_fech!Y18=0,0,SER_hh_fech!Y18/SER_summary!Y$26)</f>
        <v>5.7432959260674918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29.689246578590566</v>
      </c>
      <c r="C19" s="130">
        <f>IF(SER_hh_fech!C19=0,0,SER_hh_fech!C19/SER_summary!C$26)</f>
        <v>29.426790466323574</v>
      </c>
      <c r="D19" s="130">
        <f>IF(SER_hh_fech!D19=0,0,SER_hh_fech!D19/SER_summary!D$26)</f>
        <v>29.196801635646956</v>
      </c>
      <c r="E19" s="130">
        <f>IF(SER_hh_fech!E19=0,0,SER_hh_fech!E19/SER_summary!E$26)</f>
        <v>29.123969429051254</v>
      </c>
      <c r="F19" s="130">
        <f>IF(SER_hh_fech!F19=0,0,SER_hh_fech!F19/SER_summary!F$26)</f>
        <v>28.667628828354335</v>
      </c>
      <c r="G19" s="130">
        <f>IF(SER_hh_fech!G19=0,0,SER_hh_fech!G19/SER_summary!G$26)</f>
        <v>28.195553684853607</v>
      </c>
      <c r="H19" s="130">
        <f>IF(SER_hh_fech!H19=0,0,SER_hh_fech!H19/SER_summary!H$26)</f>
        <v>27.850259239588812</v>
      </c>
      <c r="I19" s="130">
        <f>IF(SER_hh_fech!I19=0,0,SER_hh_fech!I19/SER_summary!I$26)</f>
        <v>27.862210506450111</v>
      </c>
      <c r="J19" s="130">
        <f>IF(SER_hh_fech!J19=0,0,SER_hh_fech!J19/SER_summary!J$26)</f>
        <v>27.897581903207058</v>
      </c>
      <c r="K19" s="130">
        <f>IF(SER_hh_fech!K19=0,0,SER_hh_fech!K19/SER_summary!K$26)</f>
        <v>27.886767912136023</v>
      </c>
      <c r="L19" s="130">
        <f>IF(SER_hh_fech!L19=0,0,SER_hh_fech!L19/SER_summary!L$26)</f>
        <v>27.672990452286669</v>
      </c>
      <c r="M19" s="130">
        <f>IF(SER_hh_fech!M19=0,0,SER_hh_fech!M19/SER_summary!M$26)</f>
        <v>27.688828034645635</v>
      </c>
      <c r="N19" s="130">
        <f>IF(SER_hh_fech!N19=0,0,SER_hh_fech!N19/SER_summary!N$26)</f>
        <v>27.47479497009267</v>
      </c>
      <c r="O19" s="130">
        <f>IF(SER_hh_fech!O19=0,0,SER_hh_fech!O19/SER_summary!O$26)</f>
        <v>27.516238265619197</v>
      </c>
      <c r="P19" s="130">
        <f>IF(SER_hh_fech!P19=0,0,SER_hh_fech!P19/SER_summary!P$26)</f>
        <v>27.413851192336466</v>
      </c>
      <c r="Q19" s="130">
        <f>IF(SER_hh_fech!Q19=0,0,SER_hh_fech!Q19/SER_summary!Q$26)</f>
        <v>27.267863969825154</v>
      </c>
      <c r="R19" s="130">
        <f>IF(SER_hh_fech!R19=0,0,SER_hh_fech!R19/SER_summary!R$26)</f>
        <v>26.68402931950661</v>
      </c>
      <c r="S19" s="130">
        <f>IF(SER_hh_fech!S19=0,0,SER_hh_fech!S19/SER_summary!S$26)</f>
        <v>26.638802358613919</v>
      </c>
      <c r="T19" s="130">
        <f>IF(SER_hh_fech!T19=0,0,SER_hh_fech!T19/SER_summary!T$26)</f>
        <v>26.279152973414607</v>
      </c>
      <c r="U19" s="130">
        <f>IF(SER_hh_fech!U19=0,0,SER_hh_fech!U19/SER_summary!U$26)</f>
        <v>26.142611468497446</v>
      </c>
      <c r="V19" s="130">
        <f>IF(SER_hh_fech!V19=0,0,SER_hh_fech!V19/SER_summary!V$26)</f>
        <v>26.397369812756949</v>
      </c>
      <c r="W19" s="130">
        <f>IF(SER_hh_fech!W19=0,0,SER_hh_fech!W19/SER_summary!W$26)</f>
        <v>25.72452488755907</v>
      </c>
      <c r="X19" s="130">
        <f>IF(SER_hh_fech!X19=0,0,SER_hh_fech!X19/SER_summary!X$26)</f>
        <v>24.798515065335422</v>
      </c>
      <c r="Y19" s="130">
        <f>IF(SER_hh_fech!Y19=0,0,SER_hh_fech!Y19/SER_summary!Y$26)</f>
        <v>24.238424729499357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0</v>
      </c>
      <c r="C21" s="132">
        <f>IF(SER_hh_fech!C21=0,0,SER_hh_fech!C21/SER_summary!C$26)</f>
        <v>0</v>
      </c>
      <c r="D21" s="132">
        <f>IF(SER_hh_fech!D21=0,0,SER_hh_fech!D21/SER_summary!D$26)</f>
        <v>0</v>
      </c>
      <c r="E21" s="132">
        <f>IF(SER_hh_fech!E21=0,0,SER_hh_fech!E21/SER_summary!E$26)</f>
        <v>0</v>
      </c>
      <c r="F21" s="132">
        <f>IF(SER_hh_fech!F21=0,0,SER_hh_fech!F21/SER_summary!F$26)</f>
        <v>0</v>
      </c>
      <c r="G21" s="132">
        <f>IF(SER_hh_fech!G21=0,0,SER_hh_fech!G21/SER_summary!G$26)</f>
        <v>0</v>
      </c>
      <c r="H21" s="132">
        <f>IF(SER_hh_fech!H21=0,0,SER_hh_fech!H21/SER_summary!H$26)</f>
        <v>0</v>
      </c>
      <c r="I21" s="132">
        <f>IF(SER_hh_fech!I21=0,0,SER_hh_fech!I21/SER_summary!I$26)</f>
        <v>0</v>
      </c>
      <c r="J21" s="132">
        <f>IF(SER_hh_fech!J21=0,0,SER_hh_fech!J21/SER_summary!J$26)</f>
        <v>0</v>
      </c>
      <c r="K21" s="132">
        <f>IF(SER_hh_fech!K21=0,0,SER_hh_fech!K21/SER_summary!K$26)</f>
        <v>0</v>
      </c>
      <c r="L21" s="132">
        <f>IF(SER_hh_fech!L21=0,0,SER_hh_fech!L21/SER_summary!L$26)</f>
        <v>0</v>
      </c>
      <c r="M21" s="132">
        <f>IF(SER_hh_fech!M21=0,0,SER_hh_fech!M21/SER_summary!M$26)</f>
        <v>0</v>
      </c>
      <c r="N21" s="132">
        <f>IF(SER_hh_fech!N21=0,0,SER_hh_fech!N21/SER_summary!N$26)</f>
        <v>0</v>
      </c>
      <c r="O21" s="132">
        <f>IF(SER_hh_fech!O21=0,0,SER_hh_fech!O21/SER_summary!O$26)</f>
        <v>0</v>
      </c>
      <c r="P21" s="132">
        <f>IF(SER_hh_fech!P21=0,0,SER_hh_fech!P21/SER_summary!P$26)</f>
        <v>0</v>
      </c>
      <c r="Q21" s="132">
        <f>IF(SER_hh_fech!Q21=0,0,SER_hh_fech!Q21/SER_summary!Q$26)</f>
        <v>0</v>
      </c>
      <c r="R21" s="132">
        <f>IF(SER_hh_fech!R21=0,0,SER_hh_fech!R21/SER_summary!R$26)</f>
        <v>0</v>
      </c>
      <c r="S21" s="132">
        <f>IF(SER_hh_fech!S21=0,0,SER_hh_fech!S21/SER_summary!S$26)</f>
        <v>0</v>
      </c>
      <c r="T21" s="132">
        <f>IF(SER_hh_fech!T21=0,0,SER_hh_fech!T21/SER_summary!T$26)</f>
        <v>0</v>
      </c>
      <c r="U21" s="132">
        <f>IF(SER_hh_fech!U21=0,0,SER_hh_fech!U21/SER_summary!U$26)</f>
        <v>0</v>
      </c>
      <c r="V21" s="132">
        <f>IF(SER_hh_fech!V21=0,0,SER_hh_fech!V21/SER_summary!V$26)</f>
        <v>0</v>
      </c>
      <c r="W21" s="132">
        <f>IF(SER_hh_fech!W21=0,0,SER_hh_fech!W21/SER_summary!W$26)</f>
        <v>0</v>
      </c>
      <c r="X21" s="132">
        <f>IF(SER_hh_fech!X21=0,0,SER_hh_fech!X21/SER_summary!X$26)</f>
        <v>0</v>
      </c>
      <c r="Y21" s="132">
        <f>IF(SER_hh_fech!Y21=0,0,SER_hh_fech!Y21/SER_summary!Y$26)</f>
        <v>0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38.426431922542989</v>
      </c>
      <c r="C22" s="132">
        <f>IF(SER_hh_fech!C22=0,0,SER_hh_fech!C22/SER_summary!C$26)</f>
        <v>38.230528068214632</v>
      </c>
      <c r="D22" s="132">
        <f>IF(SER_hh_fech!D22=0,0,SER_hh_fech!D22/SER_summary!D$26)</f>
        <v>38.049430950424437</v>
      </c>
      <c r="E22" s="132">
        <f>IF(SER_hh_fech!E22=0,0,SER_hh_fech!E22/SER_summary!E$26)</f>
        <v>39.696448760279019</v>
      </c>
      <c r="F22" s="132">
        <f>IF(SER_hh_fech!F22=0,0,SER_hh_fech!F22/SER_summary!F$26)</f>
        <v>40.394194700574054</v>
      </c>
      <c r="G22" s="132">
        <f>IF(SER_hh_fech!G22=0,0,SER_hh_fech!G22/SER_summary!G$26)</f>
        <v>32.74251842017398</v>
      </c>
      <c r="H22" s="132">
        <f>IF(SER_hh_fech!H22=0,0,SER_hh_fech!H22/SER_summary!H$26)</f>
        <v>38.369165385387475</v>
      </c>
      <c r="I22" s="132">
        <f>IF(SER_hh_fech!I22=0,0,SER_hh_fech!I22/SER_summary!I$26)</f>
        <v>38.61022204234883</v>
      </c>
      <c r="J22" s="132">
        <f>IF(SER_hh_fech!J22=0,0,SER_hh_fech!J22/SER_summary!J$26)</f>
        <v>41.342436142967884</v>
      </c>
      <c r="K22" s="132">
        <f>IF(SER_hh_fech!K22=0,0,SER_hh_fech!K22/SER_summary!K$26)</f>
        <v>31.623304066823202</v>
      </c>
      <c r="L22" s="132">
        <f>IF(SER_hh_fech!L22=0,0,SER_hh_fech!L22/SER_summary!L$26)</f>
        <v>32.567582957236887</v>
      </c>
      <c r="M22" s="132">
        <f>IF(SER_hh_fech!M22=0,0,SER_hh_fech!M22/SER_summary!M$26)</f>
        <v>32.571013474752995</v>
      </c>
      <c r="N22" s="132">
        <f>IF(SER_hh_fech!N22=0,0,SER_hh_fech!N22/SER_summary!N$26)</f>
        <v>39.484190801343857</v>
      </c>
      <c r="O22" s="132">
        <f>IF(SER_hh_fech!O22=0,0,SER_hh_fech!O22/SER_summary!O$26)</f>
        <v>38.019583007638708</v>
      </c>
      <c r="P22" s="132">
        <f>IF(SER_hh_fech!P22=0,0,SER_hh_fech!P22/SER_summary!P$26)</f>
        <v>27.164055325619028</v>
      </c>
      <c r="Q22" s="132">
        <f>IF(SER_hh_fech!Q22=0,0,SER_hh_fech!Q22/SER_summary!Q$26)</f>
        <v>35.260918763123392</v>
      </c>
      <c r="R22" s="132">
        <f>IF(SER_hh_fech!R22=0,0,SER_hh_fech!R22/SER_summary!R$26)</f>
        <v>32.981968384633653</v>
      </c>
      <c r="S22" s="132">
        <f>IF(SER_hh_fech!S22=0,0,SER_hh_fech!S22/SER_summary!S$26)</f>
        <v>32.157461810970702</v>
      </c>
      <c r="T22" s="132">
        <f>IF(SER_hh_fech!T22=0,0,SER_hh_fech!T22/SER_summary!T$26)</f>
        <v>32.336081519298801</v>
      </c>
      <c r="U22" s="132">
        <f>IF(SER_hh_fech!U22=0,0,SER_hh_fech!U22/SER_summary!U$26)</f>
        <v>31.803172654201369</v>
      </c>
      <c r="V22" s="132">
        <f>IF(SER_hh_fech!V22=0,0,SER_hh_fech!V22/SER_summary!V$26)</f>
        <v>32.747042439879017</v>
      </c>
      <c r="W22" s="132">
        <f>IF(SER_hh_fech!W22=0,0,SER_hh_fech!W22/SER_summary!W$26)</f>
        <v>31.797348923922648</v>
      </c>
      <c r="X22" s="132">
        <f>IF(SER_hh_fech!X22=0,0,SER_hh_fech!X22/SER_summary!X$26)</f>
        <v>32.560289866827418</v>
      </c>
      <c r="Y22" s="132">
        <f>IF(SER_hh_fech!Y22=0,0,SER_hh_fech!Y22/SER_summary!Y$26)</f>
        <v>28.064961914945059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37.977322302927732</v>
      </c>
      <c r="C23" s="132">
        <f>IF(SER_hh_fech!C23=0,0,SER_hh_fech!C23/SER_summary!C$26)</f>
        <v>33.528124003074751</v>
      </c>
      <c r="D23" s="132">
        <f>IF(SER_hh_fech!D23=0,0,SER_hh_fech!D23/SER_summary!D$26)</f>
        <v>35.811419600162303</v>
      </c>
      <c r="E23" s="132">
        <f>IF(SER_hh_fech!E23=0,0,SER_hh_fech!E23/SER_summary!E$26)</f>
        <v>37.141134702802695</v>
      </c>
      <c r="F23" s="132">
        <f>IF(SER_hh_fech!F23=0,0,SER_hh_fech!F23/SER_summary!F$26)</f>
        <v>32.653702365958893</v>
      </c>
      <c r="G23" s="132">
        <f>IF(SER_hh_fech!G23=0,0,SER_hh_fech!G23/SER_summary!G$26)</f>
        <v>32.99003247700216</v>
      </c>
      <c r="H23" s="132">
        <f>IF(SER_hh_fech!H23=0,0,SER_hh_fech!H23/SER_summary!H$26)</f>
        <v>36.243272847960164</v>
      </c>
      <c r="I23" s="132">
        <f>IF(SER_hh_fech!I23=0,0,SER_hh_fech!I23/SER_summary!I$26)</f>
        <v>33.397089721445653</v>
      </c>
      <c r="J23" s="132">
        <f>IF(SER_hh_fech!J23=0,0,SER_hh_fech!J23/SER_summary!J$26)</f>
        <v>34.290246233673123</v>
      </c>
      <c r="K23" s="132">
        <f>IF(SER_hh_fech!K23=0,0,SER_hh_fech!K23/SER_summary!K$26)</f>
        <v>33.306894006065569</v>
      </c>
      <c r="L23" s="132">
        <f>IF(SER_hh_fech!L23=0,0,SER_hh_fech!L23/SER_summary!L$26)</f>
        <v>33.847899934913656</v>
      </c>
      <c r="M23" s="132">
        <f>IF(SER_hh_fech!M23=0,0,SER_hh_fech!M23/SER_summary!M$26)</f>
        <v>32.936322880699002</v>
      </c>
      <c r="N23" s="132">
        <f>IF(SER_hh_fech!N23=0,0,SER_hh_fech!N23/SER_summary!N$26)</f>
        <v>32.51279277594719</v>
      </c>
      <c r="O23" s="132">
        <f>IF(SER_hh_fech!O23=0,0,SER_hh_fech!O23/SER_summary!O$26)</f>
        <v>32.223244157040085</v>
      </c>
      <c r="P23" s="132">
        <f>IF(SER_hh_fech!P23=0,0,SER_hh_fech!P23/SER_summary!P$26)</f>
        <v>32.91004261186724</v>
      </c>
      <c r="Q23" s="132">
        <f>IF(SER_hh_fech!Q23=0,0,SER_hh_fech!Q23/SER_summary!Q$26)</f>
        <v>32.998654937112832</v>
      </c>
      <c r="R23" s="132">
        <f>IF(SER_hh_fech!R23=0,0,SER_hh_fech!R23/SER_summary!R$26)</f>
        <v>35.274535865697082</v>
      </c>
      <c r="S23" s="132">
        <f>IF(SER_hh_fech!S23=0,0,SER_hh_fech!S23/SER_summary!S$26)</f>
        <v>20.243301156065503</v>
      </c>
      <c r="T23" s="132">
        <f>IF(SER_hh_fech!T23=0,0,SER_hh_fech!T23/SER_summary!T$26)</f>
        <v>27.246874744449332</v>
      </c>
      <c r="U23" s="132">
        <f>IF(SER_hh_fech!U23=0,0,SER_hh_fech!U23/SER_summary!U$26)</f>
        <v>32.583821205361133</v>
      </c>
      <c r="V23" s="132">
        <f>IF(SER_hh_fech!V23=0,0,SER_hh_fech!V23/SER_summary!V$26)</f>
        <v>30.461409368044617</v>
      </c>
      <c r="W23" s="132">
        <f>IF(SER_hh_fech!W23=0,0,SER_hh_fech!W23/SER_summary!W$26)</f>
        <v>30.191073636582608</v>
      </c>
      <c r="X23" s="132">
        <f>IF(SER_hh_fech!X23=0,0,SER_hh_fech!X23/SER_summary!X$26)</f>
        <v>26.58309243713547</v>
      </c>
      <c r="Y23" s="132">
        <f>IF(SER_hh_fech!Y23=0,0,SER_hh_fech!Y23/SER_summary!Y$26)</f>
        <v>25.344192920346714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25.37440615833021</v>
      </c>
      <c r="C25" s="132">
        <f>IF(SER_hh_fech!C25=0,0,SER_hh_fech!C25/SER_summary!C$26)</f>
        <v>24.799959177299776</v>
      </c>
      <c r="D25" s="132">
        <f>IF(SER_hh_fech!D25=0,0,SER_hh_fech!D25/SER_summary!D$26)</f>
        <v>24.483912802610334</v>
      </c>
      <c r="E25" s="132">
        <f>IF(SER_hh_fech!E25=0,0,SER_hh_fech!E25/SER_summary!E$26)</f>
        <v>24.124564481275609</v>
      </c>
      <c r="F25" s="132">
        <f>IF(SER_hh_fech!F25=0,0,SER_hh_fech!F25/SER_summary!F$26)</f>
        <v>24.415325539466217</v>
      </c>
      <c r="G25" s="132">
        <f>IF(SER_hh_fech!G25=0,0,SER_hh_fech!G25/SER_summary!G$26)</f>
        <v>24.936290530248446</v>
      </c>
      <c r="H25" s="132">
        <f>IF(SER_hh_fech!H25=0,0,SER_hh_fech!H25/SER_summary!H$26)</f>
        <v>25.018402864655705</v>
      </c>
      <c r="I25" s="132">
        <f>IF(SER_hh_fech!I25=0,0,SER_hh_fech!I25/SER_summary!I$26)</f>
        <v>24.278661792422881</v>
      </c>
      <c r="J25" s="132">
        <f>IF(SER_hh_fech!J25=0,0,SER_hh_fech!J25/SER_summary!J$26)</f>
        <v>24.698286084237523</v>
      </c>
      <c r="K25" s="132">
        <f>IF(SER_hh_fech!K25=0,0,SER_hh_fech!K25/SER_summary!K$26)</f>
        <v>24.692297496476002</v>
      </c>
      <c r="L25" s="132">
        <f>IF(SER_hh_fech!L25=0,0,SER_hh_fech!L25/SER_summary!L$26)</f>
        <v>24.590311775763507</v>
      </c>
      <c r="M25" s="132">
        <f>IF(SER_hh_fech!M25=0,0,SER_hh_fech!M25/SER_summary!M$26)</f>
        <v>24.736335734767682</v>
      </c>
      <c r="N25" s="132">
        <f>IF(SER_hh_fech!N25=0,0,SER_hh_fech!N25/SER_summary!N$26)</f>
        <v>25.074996372140259</v>
      </c>
      <c r="O25" s="132">
        <f>IF(SER_hh_fech!O25=0,0,SER_hh_fech!O25/SER_summary!O$26)</f>
        <v>24.786957729837468</v>
      </c>
      <c r="P25" s="132">
        <f>IF(SER_hh_fech!P25=0,0,SER_hh_fech!P25/SER_summary!P$26)</f>
        <v>24.635884115065192</v>
      </c>
      <c r="Q25" s="132">
        <f>IF(SER_hh_fech!Q25=0,0,SER_hh_fech!Q25/SER_summary!Q$26)</f>
        <v>24.301487532086508</v>
      </c>
      <c r="R25" s="132">
        <f>IF(SER_hh_fech!R25=0,0,SER_hh_fech!R25/SER_summary!R$26)</f>
        <v>25.269000325992909</v>
      </c>
      <c r="S25" s="132">
        <f>IF(SER_hh_fech!S25=0,0,SER_hh_fech!S25/SER_summary!S$26)</f>
        <v>23.890775210158328</v>
      </c>
      <c r="T25" s="132">
        <f>IF(SER_hh_fech!T25=0,0,SER_hh_fech!T25/SER_summary!T$26)</f>
        <v>25.030547968098354</v>
      </c>
      <c r="U25" s="132">
        <f>IF(SER_hh_fech!U25=0,0,SER_hh_fech!U25/SER_summary!U$26)</f>
        <v>24.969169568824032</v>
      </c>
      <c r="V25" s="132">
        <f>IF(SER_hh_fech!V25=0,0,SER_hh_fech!V25/SER_summary!V$26)</f>
        <v>21.533940695801881</v>
      </c>
      <c r="W25" s="132">
        <f>IF(SER_hh_fech!W25=0,0,SER_hh_fech!W25/SER_summary!W$26)</f>
        <v>25.496966500010242</v>
      </c>
      <c r="X25" s="132">
        <f>IF(SER_hh_fech!X25=0,0,SER_hh_fech!X25/SER_summary!X$26)</f>
        <v>24.13084550920254</v>
      </c>
      <c r="Y25" s="132">
        <f>IF(SER_hh_fech!Y25=0,0,SER_hh_fech!Y25/SER_summary!Y$26)</f>
        <v>23.480551875445691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29.776384362591074</v>
      </c>
      <c r="C26" s="65">
        <f>IF(SER_hh_fech!C26=0,0,SER_hh_fech!C26/SER_summary!C$26)</f>
        <v>29.937499307438216</v>
      </c>
      <c r="D26" s="65">
        <f>IF(SER_hh_fech!D26=0,0,SER_hh_fech!D26/SER_summary!D$26)</f>
        <v>29.937740545370584</v>
      </c>
      <c r="E26" s="65">
        <f>IF(SER_hh_fech!E26=0,0,SER_hh_fech!E26/SER_summary!E$26)</f>
        <v>29.840533898753645</v>
      </c>
      <c r="F26" s="65">
        <f>IF(SER_hh_fech!F26=0,0,SER_hh_fech!F26/SER_summary!F$26)</f>
        <v>29.013924469121157</v>
      </c>
      <c r="G26" s="65">
        <f>IF(SER_hh_fech!G26=0,0,SER_hh_fech!G26/SER_summary!G$26)</f>
        <v>30.300508339744376</v>
      </c>
      <c r="H26" s="65">
        <f>IF(SER_hh_fech!H26=0,0,SER_hh_fech!H26/SER_summary!H$26)</f>
        <v>28.338769703388106</v>
      </c>
      <c r="I26" s="65">
        <f>IF(SER_hh_fech!I26=0,0,SER_hh_fech!I26/SER_summary!I$26)</f>
        <v>29.570748838774804</v>
      </c>
      <c r="J26" s="65">
        <f>IF(SER_hh_fech!J26=0,0,SER_hh_fech!J26/SER_summary!J$26)</f>
        <v>29.068125862723939</v>
      </c>
      <c r="K26" s="65">
        <f>IF(SER_hh_fech!K26=0,0,SER_hh_fech!K26/SER_summary!K$26)</f>
        <v>30.493382483290386</v>
      </c>
      <c r="L26" s="65">
        <f>IF(SER_hh_fech!L26=0,0,SER_hh_fech!L26/SER_summary!L$26)</f>
        <v>30.089826049159964</v>
      </c>
      <c r="M26" s="65">
        <f>IF(SER_hh_fech!M26=0,0,SER_hh_fech!M26/SER_summary!M$26)</f>
        <v>30.049958087007568</v>
      </c>
      <c r="N26" s="65">
        <f>IF(SER_hh_fech!N26=0,0,SER_hh_fech!N26/SER_summary!N$26)</f>
        <v>28.437795026735362</v>
      </c>
      <c r="O26" s="65">
        <f>IF(SER_hh_fech!O26=0,0,SER_hh_fech!O26/SER_summary!O$26)</f>
        <v>28.906525021340421</v>
      </c>
      <c r="P26" s="65">
        <f>IF(SER_hh_fech!P26=0,0,SER_hh_fech!P26/SER_summary!P$26)</f>
        <v>30.289982144594678</v>
      </c>
      <c r="Q26" s="65">
        <f>IF(SER_hh_fech!Q26=0,0,SER_hh_fech!Q26/SER_summary!Q$26)</f>
        <v>29.129697216322171</v>
      </c>
      <c r="R26" s="65">
        <f>IF(SER_hh_fech!R26=0,0,SER_hh_fech!R26/SER_summary!R$26)</f>
        <v>26.981568971397135</v>
      </c>
      <c r="S26" s="65">
        <f>IF(SER_hh_fech!S26=0,0,SER_hh_fech!S26/SER_summary!S$26)</f>
        <v>28.961433468038113</v>
      </c>
      <c r="T26" s="65">
        <f>IF(SER_hh_fech!T26=0,0,SER_hh_fech!T26/SER_summary!T$26)</f>
        <v>26.534844661625208</v>
      </c>
      <c r="U26" s="65">
        <f>IF(SER_hh_fech!U26=0,0,SER_hh_fech!U26/SER_summary!U$26)</f>
        <v>26.224894653955321</v>
      </c>
      <c r="V26" s="65">
        <f>IF(SER_hh_fech!V26=0,0,SER_hh_fech!V26/SER_summary!V$26)</f>
        <v>30.47439423624861</v>
      </c>
      <c r="W26" s="65">
        <f>IF(SER_hh_fech!W26=0,0,SER_hh_fech!W26/SER_summary!W$26)</f>
        <v>24.922429334898002</v>
      </c>
      <c r="X26" s="65">
        <f>IF(SER_hh_fech!X26=0,0,SER_hh_fech!X26/SER_summary!X$26)</f>
        <v>24.471409887021984</v>
      </c>
      <c r="Y26" s="65">
        <f>IF(SER_hh_fech!Y26=0,0,SER_hh_fech!Y26/SER_summary!Y$26)</f>
        <v>24.672951207192696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</v>
      </c>
      <c r="C27" s="145">
        <f>IF(SER_hh_fech!C27=0,0,SER_hh_fech!C27/SER_summary!C$26)</f>
        <v>0</v>
      </c>
      <c r="D27" s="145">
        <f>IF(SER_hh_fech!D27=0,0,SER_hh_fech!D27/SER_summary!D$26)</f>
        <v>0</v>
      </c>
      <c r="E27" s="145">
        <f>IF(SER_hh_fech!E27=0,0,SER_hh_fech!E27/SER_summary!E$26)</f>
        <v>0</v>
      </c>
      <c r="F27" s="145">
        <f>IF(SER_hh_fech!F27=0,0,SER_hh_fech!F27/SER_summary!F$26)</f>
        <v>0</v>
      </c>
      <c r="G27" s="145">
        <f>IF(SER_hh_fech!G27=0,0,SER_hh_fech!G27/SER_summary!G$26)</f>
        <v>0</v>
      </c>
      <c r="H27" s="145">
        <f>IF(SER_hh_fech!H27=0,0,SER_hh_fech!H27/SER_summary!H$26)</f>
        <v>0</v>
      </c>
      <c r="I27" s="145">
        <f>IF(SER_hh_fech!I27=0,0,SER_hh_fech!I27/SER_summary!I$26)</f>
        <v>0</v>
      </c>
      <c r="J27" s="145">
        <f>IF(SER_hh_fech!J27=0,0,SER_hh_fech!J27/SER_summary!J$26)</f>
        <v>0</v>
      </c>
      <c r="K27" s="145">
        <f>IF(SER_hh_fech!K27=0,0,SER_hh_fech!K27/SER_summary!K$26)</f>
        <v>0</v>
      </c>
      <c r="L27" s="145">
        <f>IF(SER_hh_fech!L27=0,0,SER_hh_fech!L27/SER_summary!L$26)</f>
        <v>0</v>
      </c>
      <c r="M27" s="145">
        <f>IF(SER_hh_fech!M27=0,0,SER_hh_fech!M27/SER_summary!M$26)</f>
        <v>0</v>
      </c>
      <c r="N27" s="145">
        <f>IF(SER_hh_fech!N27=0,0,SER_hh_fech!N27/SER_summary!N$26)</f>
        <v>0</v>
      </c>
      <c r="O27" s="145">
        <f>IF(SER_hh_fech!O27=0,0,SER_hh_fech!O27/SER_summary!O$26)</f>
        <v>0</v>
      </c>
      <c r="P27" s="145">
        <f>IF(SER_hh_fech!P27=0,0,SER_hh_fech!P27/SER_summary!P$26)</f>
        <v>0</v>
      </c>
      <c r="Q27" s="145">
        <f>IF(SER_hh_fech!Q27=0,0,SER_hh_fech!Q27/SER_summary!Q$26)</f>
        <v>0</v>
      </c>
      <c r="R27" s="145">
        <f>IF(SER_hh_fech!R27=0,0,SER_hh_fech!R27/SER_summary!R$26)</f>
        <v>0</v>
      </c>
      <c r="S27" s="145">
        <f>IF(SER_hh_fech!S27=0,0,SER_hh_fech!S27/SER_summary!S$26)</f>
        <v>0</v>
      </c>
      <c r="T27" s="145">
        <f>IF(SER_hh_fech!T27=0,0,SER_hh_fech!T27/SER_summary!T$26)</f>
        <v>0</v>
      </c>
      <c r="U27" s="145">
        <f>IF(SER_hh_fech!U27=0,0,SER_hh_fech!U27/SER_summary!U$26)</f>
        <v>0</v>
      </c>
      <c r="V27" s="145">
        <f>IF(SER_hh_fech!V27=0,0,SER_hh_fech!V27/SER_summary!V$26)</f>
        <v>0</v>
      </c>
      <c r="W27" s="145">
        <f>IF(SER_hh_fech!W27=0,0,SER_hh_fech!W27/SER_summary!W$26)</f>
        <v>0</v>
      </c>
      <c r="X27" s="145">
        <f>IF(SER_hh_fech!X27=0,0,SER_hh_fech!X27/SER_summary!X$26)</f>
        <v>0</v>
      </c>
      <c r="Y27" s="145">
        <f>IF(SER_hh_fech!Y27=0,0,SER_hh_fech!Y27/SER_summary!Y$26)</f>
        <v>0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0</v>
      </c>
      <c r="C28" s="146">
        <f>IF(SER_hh_fech!C28=0,0,SER_hh_fech!C28/SER_summary!C$26)</f>
        <v>0</v>
      </c>
      <c r="D28" s="146">
        <f>IF(SER_hh_fech!D28=0,0,SER_hh_fech!D28/SER_summary!D$26)</f>
        <v>0</v>
      </c>
      <c r="E28" s="146">
        <f>IF(SER_hh_fech!E28=0,0,SER_hh_fech!E28/SER_summary!E$26)</f>
        <v>0</v>
      </c>
      <c r="F28" s="146">
        <f>IF(SER_hh_fech!F28=0,0,SER_hh_fech!F28/SER_summary!F$26)</f>
        <v>0</v>
      </c>
      <c r="G28" s="146">
        <f>IF(SER_hh_fech!G28=0,0,SER_hh_fech!G28/SER_summary!G$26)</f>
        <v>0</v>
      </c>
      <c r="H28" s="146">
        <f>IF(SER_hh_fech!H28=0,0,SER_hh_fech!H28/SER_summary!H$26)</f>
        <v>0</v>
      </c>
      <c r="I28" s="146">
        <f>IF(SER_hh_fech!I28=0,0,SER_hh_fech!I28/SER_summary!I$26)</f>
        <v>0</v>
      </c>
      <c r="J28" s="146">
        <f>IF(SER_hh_fech!J28=0,0,SER_hh_fech!J28/SER_summary!J$26)</f>
        <v>0</v>
      </c>
      <c r="K28" s="146">
        <f>IF(SER_hh_fech!K28=0,0,SER_hh_fech!K28/SER_summary!K$26)</f>
        <v>0</v>
      </c>
      <c r="L28" s="146">
        <f>IF(SER_hh_fech!L28=0,0,SER_hh_fech!L28/SER_summary!L$26)</f>
        <v>0</v>
      </c>
      <c r="M28" s="146">
        <f>IF(SER_hh_fech!M28=0,0,SER_hh_fech!M28/SER_summary!M$26)</f>
        <v>0</v>
      </c>
      <c r="N28" s="146">
        <f>IF(SER_hh_fech!N28=0,0,SER_hh_fech!N28/SER_summary!N$26)</f>
        <v>0</v>
      </c>
      <c r="O28" s="146">
        <f>IF(SER_hh_fech!O28=0,0,SER_hh_fech!O28/SER_summary!O$26)</f>
        <v>0</v>
      </c>
      <c r="P28" s="146">
        <f>IF(SER_hh_fech!P28=0,0,SER_hh_fech!P28/SER_summary!P$26)</f>
        <v>0</v>
      </c>
      <c r="Q28" s="146">
        <f>IF(SER_hh_fech!Q28=0,0,SER_hh_fech!Q28/SER_summary!Q$26)</f>
        <v>0</v>
      </c>
      <c r="R28" s="146">
        <f>IF(SER_hh_fech!R28=0,0,SER_hh_fech!R28/SER_summary!R$26)</f>
        <v>0</v>
      </c>
      <c r="S28" s="146">
        <f>IF(SER_hh_fech!S28=0,0,SER_hh_fech!S28/SER_summary!S$26)</f>
        <v>0</v>
      </c>
      <c r="T28" s="146">
        <f>IF(SER_hh_fech!T28=0,0,SER_hh_fech!T28/SER_summary!T$26)</f>
        <v>0</v>
      </c>
      <c r="U28" s="146">
        <f>IF(SER_hh_fech!U28=0,0,SER_hh_fech!U28/SER_summary!U$26)</f>
        <v>0</v>
      </c>
      <c r="V28" s="146">
        <f>IF(SER_hh_fech!V28=0,0,SER_hh_fech!V28/SER_summary!V$26)</f>
        <v>0</v>
      </c>
      <c r="W28" s="146">
        <f>IF(SER_hh_fech!W28=0,0,SER_hh_fech!W28/SER_summary!W$26)</f>
        <v>0</v>
      </c>
      <c r="X28" s="146">
        <f>IF(SER_hh_fech!X28=0,0,SER_hh_fech!X28/SER_summary!X$26)</f>
        <v>0</v>
      </c>
      <c r="Y28" s="146">
        <f>IF(SER_hh_fech!Y28=0,0,SER_hh_fech!Y28/SER_summary!Y$26)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22.261382407458715</v>
      </c>
      <c r="C29" s="130">
        <f>IF(SER_hh_fech!C29=0,0,SER_hh_fech!C29/SER_summary!C$26)</f>
        <v>23.046564589960784</v>
      </c>
      <c r="D29" s="130">
        <f>IF(SER_hh_fech!D29=0,0,SER_hh_fech!D29/SER_summary!D$26)</f>
        <v>23.020217109544475</v>
      </c>
      <c r="E29" s="130">
        <f>IF(SER_hh_fech!E29=0,0,SER_hh_fech!E29/SER_summary!E$26)</f>
        <v>23.132089002418152</v>
      </c>
      <c r="F29" s="130">
        <f>IF(SER_hh_fech!F29=0,0,SER_hh_fech!F29/SER_summary!F$26)</f>
        <v>23.440281186727951</v>
      </c>
      <c r="G29" s="130">
        <f>IF(SER_hh_fech!G29=0,0,SER_hh_fech!G29/SER_summary!G$26)</f>
        <v>23.801796299448302</v>
      </c>
      <c r="H29" s="130">
        <f>IF(SER_hh_fech!H29=0,0,SER_hh_fech!H29/SER_summary!H$26)</f>
        <v>24.467698623482558</v>
      </c>
      <c r="I29" s="130">
        <f>IF(SER_hh_fech!I29=0,0,SER_hh_fech!I29/SER_summary!I$26)</f>
        <v>25.105398717476568</v>
      </c>
      <c r="J29" s="130">
        <f>IF(SER_hh_fech!J29=0,0,SER_hh_fech!J29/SER_summary!J$26)</f>
        <v>25.298481386969936</v>
      </c>
      <c r="K29" s="130">
        <f>IF(SER_hh_fech!K29=0,0,SER_hh_fech!K29/SER_summary!K$26)</f>
        <v>25.546382713275786</v>
      </c>
      <c r="L29" s="130">
        <f>IF(SER_hh_fech!L29=0,0,SER_hh_fech!L29/SER_summary!L$26)</f>
        <v>26.066433115996759</v>
      </c>
      <c r="M29" s="130">
        <f>IF(SER_hh_fech!M29=0,0,SER_hh_fech!M29/SER_summary!M$26)</f>
        <v>26.528743200349261</v>
      </c>
      <c r="N29" s="130">
        <f>IF(SER_hh_fech!N29=0,0,SER_hh_fech!N29/SER_summary!N$26)</f>
        <v>25.850028992377872</v>
      </c>
      <c r="O29" s="130">
        <f>IF(SER_hh_fech!O29=0,0,SER_hh_fech!O29/SER_summary!O$26)</f>
        <v>26.143712057885313</v>
      </c>
      <c r="P29" s="130">
        <f>IF(SER_hh_fech!P29=0,0,SER_hh_fech!P29/SER_summary!P$26)</f>
        <v>26.120161773586894</v>
      </c>
      <c r="Q29" s="130">
        <f>IF(SER_hh_fech!Q29=0,0,SER_hh_fech!Q29/SER_summary!Q$26)</f>
        <v>25.760068368748097</v>
      </c>
      <c r="R29" s="130">
        <f>IF(SER_hh_fech!R29=0,0,SER_hh_fech!R29/SER_summary!R$26)</f>
        <v>25.996720544813986</v>
      </c>
      <c r="S29" s="130">
        <f>IF(SER_hh_fech!S29=0,0,SER_hh_fech!S29/SER_summary!S$26)</f>
        <v>26.701396902513896</v>
      </c>
      <c r="T29" s="130">
        <f>IF(SER_hh_fech!T29=0,0,SER_hh_fech!T29/SER_summary!T$26)</f>
        <v>26.63125651563287</v>
      </c>
      <c r="U29" s="130">
        <f>IF(SER_hh_fech!U29=0,0,SER_hh_fech!U29/SER_summary!U$26)</f>
        <v>27.445757438926599</v>
      </c>
      <c r="V29" s="130">
        <f>IF(SER_hh_fech!V29=0,0,SER_hh_fech!V29/SER_summary!V$26)</f>
        <v>27.861271173355991</v>
      </c>
      <c r="W29" s="130">
        <f>IF(SER_hh_fech!W29=0,0,SER_hh_fech!W29/SER_summary!W$26)</f>
        <v>27.692740785136586</v>
      </c>
      <c r="X29" s="130">
        <f>IF(SER_hh_fech!X29=0,0,SER_hh_fech!X29/SER_summary!X$26)</f>
        <v>26.273471114845016</v>
      </c>
      <c r="Y29" s="130">
        <f>IF(SER_hh_fech!Y29=0,0,SER_hh_fech!Y29/SER_summary!Y$26)</f>
        <v>25.361468445107381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25.457269513615909</v>
      </c>
      <c r="C30" s="132">
        <f>IF(SER_hh_fech!C30=0,0,SER_hh_fech!C30/SER_summary!C$26)</f>
        <v>35.47685082011715</v>
      </c>
      <c r="D30" s="132">
        <f>IF(SER_hh_fech!D30=0,0,SER_hh_fech!D30/SER_summary!D$26)</f>
        <v>30.364700990744645</v>
      </c>
      <c r="E30" s="132">
        <f>IF(SER_hh_fech!E30=0,0,SER_hh_fech!E30/SER_summary!E$26)</f>
        <v>27.432790247807713</v>
      </c>
      <c r="F30" s="132">
        <f>IF(SER_hh_fech!F30=0,0,SER_hh_fech!F30/SER_summary!F$26)</f>
        <v>25.509680051417853</v>
      </c>
      <c r="G30" s="132">
        <f>IF(SER_hh_fech!G30=0,0,SER_hh_fech!G30/SER_summary!G$26)</f>
        <v>21.804766983412215</v>
      </c>
      <c r="H30" s="132">
        <f>IF(SER_hh_fech!H30=0,0,SER_hh_fech!H30/SER_summary!H$26)</f>
        <v>31.058655244695338</v>
      </c>
      <c r="I30" s="132">
        <f>IF(SER_hh_fech!I30=0,0,SER_hh_fech!I30/SER_summary!I$26)</f>
        <v>38.28214012566648</v>
      </c>
      <c r="J30" s="132">
        <f>IF(SER_hh_fech!J30=0,0,SER_hh_fech!J30/SER_summary!J$26)</f>
        <v>33.992004727076619</v>
      </c>
      <c r="K30" s="132">
        <f>IF(SER_hh_fech!K30=0,0,SER_hh_fech!K30/SER_summary!K$26)</f>
        <v>24.076791561771206</v>
      </c>
      <c r="L30" s="132">
        <f>IF(SER_hh_fech!L30=0,0,SER_hh_fech!L30/SER_summary!L$26)</f>
        <v>39.089377154616763</v>
      </c>
      <c r="M30" s="132">
        <f>IF(SER_hh_fech!M30=0,0,SER_hh_fech!M30/SER_summary!M$26)</f>
        <v>43.060614364563712</v>
      </c>
      <c r="N30" s="132">
        <f>IF(SER_hh_fech!N30=0,0,SER_hh_fech!N30/SER_summary!N$26)</f>
        <v>17.824655230728496</v>
      </c>
      <c r="O30" s="132">
        <f>IF(SER_hh_fech!O30=0,0,SER_hh_fech!O30/SER_summary!O$26)</f>
        <v>28.55230187606529</v>
      </c>
      <c r="P30" s="132">
        <f>IF(SER_hh_fech!P30=0,0,SER_hh_fech!P30/SER_summary!P$26)</f>
        <v>42.558073672666126</v>
      </c>
      <c r="Q30" s="132">
        <f>IF(SER_hh_fech!Q30=0,0,SER_hh_fech!Q30/SER_summary!Q$26)</f>
        <v>25.408486186201259</v>
      </c>
      <c r="R30" s="132">
        <f>IF(SER_hh_fech!R30=0,0,SER_hh_fech!R30/SER_summary!R$26)</f>
        <v>32.291049163564836</v>
      </c>
      <c r="S30" s="132">
        <f>IF(SER_hh_fech!S30=0,0,SER_hh_fech!S30/SER_summary!S$26)</f>
        <v>35.854739050405016</v>
      </c>
      <c r="T30" s="132">
        <f>IF(SER_hh_fech!T30=0,0,SER_hh_fech!T30/SER_summary!T$26)</f>
        <v>35.625270953663964</v>
      </c>
      <c r="U30" s="132">
        <f>IF(SER_hh_fech!U30=0,0,SER_hh_fech!U30/SER_summary!U$26)</f>
        <v>36.666491732460308</v>
      </c>
      <c r="V30" s="132">
        <f>IF(SER_hh_fech!V30=0,0,SER_hh_fech!V30/SER_summary!V$26)</f>
        <v>37.140646040377703</v>
      </c>
      <c r="W30" s="132">
        <f>IF(SER_hh_fech!W30=0,0,SER_hh_fech!W30/SER_summary!W$26)</f>
        <v>36.988323615105962</v>
      </c>
      <c r="X30" s="132">
        <f>IF(SER_hh_fech!X30=0,0,SER_hh_fech!X30/SER_summary!X$26)</f>
        <v>36.184572883387979</v>
      </c>
      <c r="Y30" s="132">
        <f>IF(SER_hh_fech!Y30=0,0,SER_hh_fech!Y30/SER_summary!Y$26)</f>
        <v>35.379854486691158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29.931548977015677</v>
      </c>
      <c r="C31" s="132">
        <f>IF(SER_hh_fech!C31=0,0,SER_hh_fech!C31/SER_summary!C$26)</f>
        <v>27.23525704555534</v>
      </c>
      <c r="D31" s="132">
        <f>IF(SER_hh_fech!D31=0,0,SER_hh_fech!D31/SER_summary!D$26)</f>
        <v>28.65889983852966</v>
      </c>
      <c r="E31" s="132">
        <f>IF(SER_hh_fech!E31=0,0,SER_hh_fech!E31/SER_summary!E$26)</f>
        <v>30.212145369266832</v>
      </c>
      <c r="F31" s="132">
        <f>IF(SER_hh_fech!F31=0,0,SER_hh_fech!F31/SER_summary!F$26)</f>
        <v>29.857291158395924</v>
      </c>
      <c r="G31" s="132">
        <f>IF(SER_hh_fech!G31=0,0,SER_hh_fech!G31/SER_summary!G$26)</f>
        <v>30.160741049033366</v>
      </c>
      <c r="H31" s="132">
        <f>IF(SER_hh_fech!H31=0,0,SER_hh_fech!H31/SER_summary!H$26)</f>
        <v>30.535997754154092</v>
      </c>
      <c r="I31" s="132">
        <f>IF(SER_hh_fech!I31=0,0,SER_hh_fech!I31/SER_summary!I$26)</f>
        <v>31.009586638207747</v>
      </c>
      <c r="J31" s="132">
        <f>IF(SER_hh_fech!J31=0,0,SER_hh_fech!J31/SER_summary!J$26)</f>
        <v>32.513444209790173</v>
      </c>
      <c r="K31" s="132">
        <f>IF(SER_hh_fech!K31=0,0,SER_hh_fech!K31/SER_summary!K$26)</f>
        <v>32.117399986930359</v>
      </c>
      <c r="L31" s="132">
        <f>IF(SER_hh_fech!L31=0,0,SER_hh_fech!L31/SER_summary!L$26)</f>
        <v>30.68381562898292</v>
      </c>
      <c r="M31" s="132">
        <f>IF(SER_hh_fech!M31=0,0,SER_hh_fech!M31/SER_summary!M$26)</f>
        <v>32.39849011991879</v>
      </c>
      <c r="N31" s="132">
        <f>IF(SER_hh_fech!N31=0,0,SER_hh_fech!N31/SER_summary!N$26)</f>
        <v>32.914256190405624</v>
      </c>
      <c r="O31" s="132">
        <f>IF(SER_hh_fech!O31=0,0,SER_hh_fech!O31/SER_summary!O$26)</f>
        <v>33.392359775627668</v>
      </c>
      <c r="P31" s="132">
        <f>IF(SER_hh_fech!P31=0,0,SER_hh_fech!P31/SER_summary!P$26)</f>
        <v>34.761034510955191</v>
      </c>
      <c r="Q31" s="132">
        <f>IF(SER_hh_fech!Q31=0,0,SER_hh_fech!Q31/SER_summary!Q$26)</f>
        <v>34.733459855028308</v>
      </c>
      <c r="R31" s="132">
        <f>IF(SER_hh_fech!R31=0,0,SER_hh_fech!R31/SER_summary!R$26)</f>
        <v>38.758298436850502</v>
      </c>
      <c r="S31" s="132">
        <f>IF(SER_hh_fech!S31=0,0,SER_hh_fech!S31/SER_summary!S$26)</f>
        <v>22.900841791126524</v>
      </c>
      <c r="T31" s="132">
        <f>IF(SER_hh_fech!T31=0,0,SER_hh_fech!T31/SER_summary!T$26)</f>
        <v>33.186212809869168</v>
      </c>
      <c r="U31" s="132">
        <f>IF(SER_hh_fech!U31=0,0,SER_hh_fech!U31/SER_summary!U$26)</f>
        <v>42.339713749771477</v>
      </c>
      <c r="V31" s="132">
        <f>IF(SER_hh_fech!V31=0,0,SER_hh_fech!V31/SER_summary!V$26)</f>
        <v>36.221786483872336</v>
      </c>
      <c r="W31" s="132">
        <f>IF(SER_hh_fech!W31=0,0,SER_hh_fech!W31/SER_summary!W$26)</f>
        <v>37.793223257660621</v>
      </c>
      <c r="X31" s="132">
        <f>IF(SER_hh_fech!X31=0,0,SER_hh_fech!X31/SER_summary!X$26)</f>
        <v>36.125329498965421</v>
      </c>
      <c r="Y31" s="132">
        <f>IF(SER_hh_fech!Y31=0,0,SER_hh_fech!Y31/SER_summary!Y$26)</f>
        <v>35.281055269583064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21.541965456882263</v>
      </c>
      <c r="C33" s="68">
        <f>IF(SER_hh_fech!C33=0,0,SER_hh_fech!C33/SER_summary!C$26)</f>
        <v>21.092871560700633</v>
      </c>
      <c r="D33" s="68">
        <f>IF(SER_hh_fech!D33=0,0,SER_hh_fech!D33/SER_summary!D$26)</f>
        <v>21.826816848707324</v>
      </c>
      <c r="E33" s="68">
        <f>IF(SER_hh_fech!E33=0,0,SER_hh_fech!E33/SER_summary!E$26)</f>
        <v>22.407337296064835</v>
      </c>
      <c r="F33" s="68">
        <f>IF(SER_hh_fech!F33=0,0,SER_hh_fech!F33/SER_summary!F$26)</f>
        <v>23.015096910538976</v>
      </c>
      <c r="G33" s="68">
        <f>IF(SER_hh_fech!G33=0,0,SER_hh_fech!G33/SER_summary!G$26)</f>
        <v>23.855030688903437</v>
      </c>
      <c r="H33" s="68">
        <f>IF(SER_hh_fech!H33=0,0,SER_hh_fech!H33/SER_summary!H$26)</f>
        <v>23.058885564790288</v>
      </c>
      <c r="I33" s="68">
        <f>IF(SER_hh_fech!I33=0,0,SER_hh_fech!I33/SER_summary!I$26)</f>
        <v>21.887879378427527</v>
      </c>
      <c r="J33" s="68">
        <f>IF(SER_hh_fech!J33=0,0,SER_hh_fech!J33/SER_summary!J$26)</f>
        <v>23.023817228140889</v>
      </c>
      <c r="K33" s="68">
        <f>IF(SER_hh_fech!K33=0,0,SER_hh_fech!K33/SER_summary!K$26)</f>
        <v>25.680469814638158</v>
      </c>
      <c r="L33" s="68">
        <f>IF(SER_hh_fech!L33=0,0,SER_hh_fech!L33/SER_summary!L$26)</f>
        <v>23.346500855496679</v>
      </c>
      <c r="M33" s="68">
        <f>IF(SER_hh_fech!M33=0,0,SER_hh_fech!M33/SER_summary!M$26)</f>
        <v>23.750816898529521</v>
      </c>
      <c r="N33" s="68">
        <f>IF(SER_hh_fech!N33=0,0,SER_hh_fech!N33/SER_summary!N$26)</f>
        <v>26.514444160962629</v>
      </c>
      <c r="O33" s="68">
        <f>IF(SER_hh_fech!O33=0,0,SER_hh_fech!O33/SER_summary!O$26)</f>
        <v>25.871834264715204</v>
      </c>
      <c r="P33" s="68">
        <f>IF(SER_hh_fech!P33=0,0,SER_hh_fech!P33/SER_summary!P$26)</f>
        <v>25.242923028446089</v>
      </c>
      <c r="Q33" s="68">
        <f>IF(SER_hh_fech!Q33=0,0,SER_hh_fech!Q33/SER_summary!Q$26)</f>
        <v>25.644726756502404</v>
      </c>
      <c r="R33" s="68">
        <f>IF(SER_hh_fech!R33=0,0,SER_hh_fech!R33/SER_summary!R$26)</f>
        <v>25.660680867203194</v>
      </c>
      <c r="S33" s="68">
        <f>IF(SER_hh_fech!S33=0,0,SER_hh_fech!S33/SER_summary!S$26)</f>
        <v>26.532038986746041</v>
      </c>
      <c r="T33" s="68">
        <f>IF(SER_hh_fech!T33=0,0,SER_hh_fech!T33/SER_summary!T$26)</f>
        <v>26.354414763411206</v>
      </c>
      <c r="U33" s="68">
        <f>IF(SER_hh_fech!U33=0,0,SER_hh_fech!U33/SER_summary!U$26)</f>
        <v>27.059896848684399</v>
      </c>
      <c r="V33" s="68">
        <f>IF(SER_hh_fech!V33=0,0,SER_hh_fech!V33/SER_summary!V$26)</f>
        <v>27.555973774859691</v>
      </c>
      <c r="W33" s="68">
        <f>IF(SER_hh_fech!W33=0,0,SER_hh_fech!W33/SER_summary!W$26)</f>
        <v>27.360764724481317</v>
      </c>
      <c r="X33" s="68">
        <f>IF(SER_hh_fech!X33=0,0,SER_hh_fech!X33/SER_summary!X$26)</f>
        <v>25.926711764981249</v>
      </c>
      <c r="Y33" s="68">
        <f>IF(SER_hh_fech!Y33=0,0,SER_hh_fech!Y33/SER_summary!Y$26)</f>
        <v>25.007849164784467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190.58700867225056</v>
      </c>
      <c r="C3" s="125">
        <f>IF(SER_hh_tesh!C3=0,0,SER_hh_tesh!C3/SER_summary!C$26)</f>
        <v>208.88932041703373</v>
      </c>
      <c r="D3" s="125">
        <f>IF(SER_hh_tesh!D3=0,0,SER_hh_tesh!D3/SER_summary!D$26)</f>
        <v>206.72232316105442</v>
      </c>
      <c r="E3" s="125">
        <f>IF(SER_hh_tesh!E3=0,0,SER_hh_tesh!E3/SER_summary!E$26)</f>
        <v>204.86173129153821</v>
      </c>
      <c r="F3" s="125">
        <f>IF(SER_hh_tesh!F3=0,0,SER_hh_tesh!F3/SER_summary!F$26)</f>
        <v>194.8347310490781</v>
      </c>
      <c r="G3" s="125">
        <f>IF(SER_hh_tesh!G3=0,0,SER_hh_tesh!G3/SER_summary!G$26)</f>
        <v>176.67441992549044</v>
      </c>
      <c r="H3" s="125">
        <f>IF(SER_hh_tesh!H3=0,0,SER_hh_tesh!H3/SER_summary!H$26)</f>
        <v>178.16554062929833</v>
      </c>
      <c r="I3" s="125">
        <f>IF(SER_hh_tesh!I3=0,0,SER_hh_tesh!I3/SER_summary!I$26)</f>
        <v>180.44599773275473</v>
      </c>
      <c r="J3" s="125">
        <f>IF(SER_hh_tesh!J3=0,0,SER_hh_tesh!J3/SER_summary!J$26)</f>
        <v>178.28355516756028</v>
      </c>
      <c r="K3" s="125">
        <f>IF(SER_hh_tesh!K3=0,0,SER_hh_tesh!K3/SER_summary!K$26)</f>
        <v>172.01299654521355</v>
      </c>
      <c r="L3" s="125">
        <f>IF(SER_hh_tesh!L3=0,0,SER_hh_tesh!L3/SER_summary!L$26)</f>
        <v>186.01843729702969</v>
      </c>
      <c r="M3" s="125">
        <f>IF(SER_hh_tesh!M3=0,0,SER_hh_tesh!M3/SER_summary!M$26)</f>
        <v>162.10845200201931</v>
      </c>
      <c r="N3" s="125">
        <f>IF(SER_hh_tesh!N3=0,0,SER_hh_tesh!N3/SER_summary!N$26)</f>
        <v>172.79193616658799</v>
      </c>
      <c r="O3" s="125">
        <f>IF(SER_hh_tesh!O3=0,0,SER_hh_tesh!O3/SER_summary!O$26)</f>
        <v>168.28751381584206</v>
      </c>
      <c r="P3" s="125">
        <f>IF(SER_hh_tesh!P3=0,0,SER_hh_tesh!P3/SER_summary!P$26)</f>
        <v>166.43385983242402</v>
      </c>
      <c r="Q3" s="125">
        <f>IF(SER_hh_tesh!Q3=0,0,SER_hh_tesh!Q3/SER_summary!Q$26)</f>
        <v>167.54207721682511</v>
      </c>
      <c r="R3" s="125">
        <f>IF(SER_hh_tesh!R3=0,0,SER_hh_tesh!R3/SER_summary!R$26)</f>
        <v>177.32781885608082</v>
      </c>
      <c r="S3" s="125">
        <f>IF(SER_hh_tesh!S3=0,0,SER_hh_tesh!S3/SER_summary!S$26)</f>
        <v>166.26468760857259</v>
      </c>
      <c r="T3" s="125">
        <f>IF(SER_hh_tesh!T3=0,0,SER_hh_tesh!T3/SER_summary!T$26)</f>
        <v>172.30697783817917</v>
      </c>
      <c r="U3" s="125">
        <f>IF(SER_hh_tesh!U3=0,0,SER_hh_tesh!U3/SER_summary!U$26)</f>
        <v>168.18762686367177</v>
      </c>
      <c r="V3" s="125">
        <f>IF(SER_hh_tesh!V3=0,0,SER_hh_tesh!V3/SER_summary!V$26)</f>
        <v>166.12200982960292</v>
      </c>
      <c r="W3" s="125">
        <f>IF(SER_hh_tesh!W3=0,0,SER_hh_tesh!W3/SER_summary!W$26)</f>
        <v>179.6255334024722</v>
      </c>
      <c r="X3" s="125">
        <f>IF(SER_hh_tesh!X3=0,0,SER_hh_tesh!X3/SER_summary!X$26)</f>
        <v>179.39228269559825</v>
      </c>
      <c r="Y3" s="125">
        <f>IF(SER_hh_tesh!Y3=0,0,SER_hh_tesh!Y3/SER_summary!Y$26)</f>
        <v>177.30186586125151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147.2617188351623</v>
      </c>
      <c r="C4" s="130">
        <f>IF(SER_hh_tesh!C4=0,0,SER_hh_tesh!C4/SER_summary!C$26)</f>
        <v>165.13700846359868</v>
      </c>
      <c r="D4" s="130">
        <f>IF(SER_hh_tesh!D4=0,0,SER_hh_tesh!D4/SER_summary!D$26)</f>
        <v>162.72082771408313</v>
      </c>
      <c r="E4" s="130">
        <f>IF(SER_hh_tesh!E4=0,0,SER_hh_tesh!E4/SER_summary!E$26)</f>
        <v>160.445832310117</v>
      </c>
      <c r="F4" s="130">
        <f>IF(SER_hh_tesh!F4=0,0,SER_hh_tesh!F4/SER_summary!F$26)</f>
        <v>149.93461736717839</v>
      </c>
      <c r="G4" s="130">
        <f>IF(SER_hh_tesh!G4=0,0,SER_hh_tesh!G4/SER_summary!G$26)</f>
        <v>131.16272385411187</v>
      </c>
      <c r="H4" s="130">
        <f>IF(SER_hh_tesh!H4=0,0,SER_hh_tesh!H4/SER_summary!H$26)</f>
        <v>132.48626397471435</v>
      </c>
      <c r="I4" s="130">
        <f>IF(SER_hh_tesh!I4=0,0,SER_hh_tesh!I4/SER_summary!I$26)</f>
        <v>134.28018639074563</v>
      </c>
      <c r="J4" s="130">
        <f>IF(SER_hh_tesh!J4=0,0,SER_hh_tesh!J4/SER_summary!J$26)</f>
        <v>131.29965671445044</v>
      </c>
      <c r="K4" s="130">
        <f>IF(SER_hh_tesh!K4=0,0,SER_hh_tesh!K4/SER_summary!K$26)</f>
        <v>123.86393786565628</v>
      </c>
      <c r="L4" s="130">
        <f>IF(SER_hh_tesh!L4=0,0,SER_hh_tesh!L4/SER_summary!L$26)</f>
        <v>137.55021388807211</v>
      </c>
      <c r="M4" s="130">
        <f>IF(SER_hh_tesh!M4=0,0,SER_hh_tesh!M4/SER_summary!M$26)</f>
        <v>112.95080837068224</v>
      </c>
      <c r="N4" s="130">
        <f>IF(SER_hh_tesh!N4=0,0,SER_hh_tesh!N4/SER_summary!N$26)</f>
        <v>123.11824476617434</v>
      </c>
      <c r="O4" s="130">
        <f>IF(SER_hh_tesh!O4=0,0,SER_hh_tesh!O4/SER_summary!O$26)</f>
        <v>117.97595505599801</v>
      </c>
      <c r="P4" s="130">
        <f>IF(SER_hh_tesh!P4=0,0,SER_hh_tesh!P4/SER_summary!P$26)</f>
        <v>115.83545031793996</v>
      </c>
      <c r="Q4" s="130">
        <f>IF(SER_hh_tesh!Q4=0,0,SER_hh_tesh!Q4/SER_summary!Q$26)</f>
        <v>117.04570352686451</v>
      </c>
      <c r="R4" s="130">
        <f>IF(SER_hh_tesh!R4=0,0,SER_hh_tesh!R4/SER_summary!R$26)</f>
        <v>126.52482984431276</v>
      </c>
      <c r="S4" s="130">
        <f>IF(SER_hh_tesh!S4=0,0,SER_hh_tesh!S4/SER_summary!S$26)</f>
        <v>114.3683576519218</v>
      </c>
      <c r="T4" s="130">
        <f>IF(SER_hh_tesh!T4=0,0,SER_hh_tesh!T4/SER_summary!T$26)</f>
        <v>120.1710855463832</v>
      </c>
      <c r="U4" s="130">
        <f>IF(SER_hh_tesh!U4=0,0,SER_hh_tesh!U4/SER_summary!U$26)</f>
        <v>115.05538804068499</v>
      </c>
      <c r="V4" s="130">
        <f>IF(SER_hh_tesh!V4=0,0,SER_hh_tesh!V4/SER_summary!V$26)</f>
        <v>112.15397335325065</v>
      </c>
      <c r="W4" s="130">
        <f>IF(SER_hh_tesh!W4=0,0,SER_hh_tesh!W4/SER_summary!W$26)</f>
        <v>125.43922456648437</v>
      </c>
      <c r="X4" s="130">
        <f>IF(SER_hh_tesh!X4=0,0,SER_hh_tesh!X4/SER_summary!X$26)</f>
        <v>126.88567784690703</v>
      </c>
      <c r="Y4" s="130">
        <f>IF(SER_hh_tesh!Y4=0,0,SER_hh_tesh!Y4/SER_summary!Y$26)</f>
        <v>125.48084400235139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0</v>
      </c>
      <c r="C5" s="132">
        <f>IF(SER_hh_tesh!C5=0,0,SER_hh_tesh!C5/SER_summary!C$26)</f>
        <v>0</v>
      </c>
      <c r="D5" s="132">
        <f>IF(SER_hh_tesh!D5=0,0,SER_hh_tesh!D5/SER_summary!D$26)</f>
        <v>0</v>
      </c>
      <c r="E5" s="132">
        <f>IF(SER_hh_tesh!E5=0,0,SER_hh_tesh!E5/SER_summary!E$26)</f>
        <v>0</v>
      </c>
      <c r="F5" s="132">
        <f>IF(SER_hh_tesh!F5=0,0,SER_hh_tesh!F5/SER_summary!F$26)</f>
        <v>0</v>
      </c>
      <c r="G5" s="132">
        <f>IF(SER_hh_tesh!G5=0,0,SER_hh_tesh!G5/SER_summary!G$26)</f>
        <v>0</v>
      </c>
      <c r="H5" s="132">
        <f>IF(SER_hh_tesh!H5=0,0,SER_hh_tesh!H5/SER_summary!H$26)</f>
        <v>0</v>
      </c>
      <c r="I5" s="132">
        <f>IF(SER_hh_tesh!I5=0,0,SER_hh_tesh!I5/SER_summary!I$26)</f>
        <v>0</v>
      </c>
      <c r="J5" s="132">
        <f>IF(SER_hh_tesh!J5=0,0,SER_hh_tesh!J5/SER_summary!J$26)</f>
        <v>0</v>
      </c>
      <c r="K5" s="132">
        <f>IF(SER_hh_tesh!K5=0,0,SER_hh_tesh!K5/SER_summary!K$26)</f>
        <v>0</v>
      </c>
      <c r="L5" s="132">
        <f>IF(SER_hh_tesh!L5=0,0,SER_hh_tesh!L5/SER_summary!L$26)</f>
        <v>0</v>
      </c>
      <c r="M5" s="132">
        <f>IF(SER_hh_tesh!M5=0,0,SER_hh_tesh!M5/SER_summary!M$26)</f>
        <v>0</v>
      </c>
      <c r="N5" s="132">
        <f>IF(SER_hh_tesh!N5=0,0,SER_hh_tesh!N5/SER_summary!N$26)</f>
        <v>0</v>
      </c>
      <c r="O5" s="132">
        <f>IF(SER_hh_tesh!O5=0,0,SER_hh_tesh!O5/SER_summary!O$26)</f>
        <v>0</v>
      </c>
      <c r="P5" s="132">
        <f>IF(SER_hh_tesh!P5=0,0,SER_hh_tesh!P5/SER_summary!P$26)</f>
        <v>0</v>
      </c>
      <c r="Q5" s="132">
        <f>IF(SER_hh_tesh!Q5=0,0,SER_hh_tesh!Q5/SER_summary!Q$26)</f>
        <v>0</v>
      </c>
      <c r="R5" s="132">
        <f>IF(SER_hh_tesh!R5=0,0,SER_hh_tesh!R5/SER_summary!R$26)</f>
        <v>0</v>
      </c>
      <c r="S5" s="132">
        <f>IF(SER_hh_tesh!S5=0,0,SER_hh_tesh!S5/SER_summary!S$26)</f>
        <v>0</v>
      </c>
      <c r="T5" s="132">
        <f>IF(SER_hh_tesh!T5=0,0,SER_hh_tesh!T5/SER_summary!T$26)</f>
        <v>0</v>
      </c>
      <c r="U5" s="132">
        <f>IF(SER_hh_tesh!U5=0,0,SER_hh_tesh!U5/SER_summary!U$26)</f>
        <v>0</v>
      </c>
      <c r="V5" s="132">
        <f>IF(SER_hh_tesh!V5=0,0,SER_hh_tesh!V5/SER_summary!V$26)</f>
        <v>0</v>
      </c>
      <c r="W5" s="132">
        <f>IF(SER_hh_tesh!W5=0,0,SER_hh_tesh!W5/SER_summary!W$26)</f>
        <v>0</v>
      </c>
      <c r="X5" s="132">
        <f>IF(SER_hh_tesh!X5=0,0,SER_hh_tesh!X5/SER_summary!X$26)</f>
        <v>0</v>
      </c>
      <c r="Y5" s="132">
        <f>IF(SER_hh_tesh!Y5=0,0,SER_hh_tesh!Y5/SER_summary!Y$26)</f>
        <v>0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149.18228999941377</v>
      </c>
      <c r="C7" s="132">
        <f>IF(SER_hh_tesh!C7=0,0,SER_hh_tesh!C7/SER_summary!C$26)</f>
        <v>157.94359648008572</v>
      </c>
      <c r="D7" s="132">
        <f>IF(SER_hh_tesh!D7=0,0,SER_hh_tesh!D7/SER_summary!D$26)</f>
        <v>158.46962193615821</v>
      </c>
      <c r="E7" s="132">
        <f>IF(SER_hh_tesh!E7=0,0,SER_hh_tesh!E7/SER_summary!E$26)</f>
        <v>177.77311460610471</v>
      </c>
      <c r="F7" s="132">
        <f>IF(SER_hh_tesh!F7=0,0,SER_hh_tesh!F7/SER_summary!F$26)</f>
        <v>157.06993063433123</v>
      </c>
      <c r="G7" s="132">
        <f>IF(SER_hh_tesh!G7=0,0,SER_hh_tesh!G7/SER_summary!G$26)</f>
        <v>104.58688398312336</v>
      </c>
      <c r="H7" s="132">
        <f>IF(SER_hh_tesh!H7=0,0,SER_hh_tesh!H7/SER_summary!H$26)</f>
        <v>116.89202240520089</v>
      </c>
      <c r="I7" s="132">
        <f>IF(SER_hh_tesh!I7=0,0,SER_hh_tesh!I7/SER_summary!I$26)</f>
        <v>131.96239757045325</v>
      </c>
      <c r="J7" s="132">
        <f>IF(SER_hh_tesh!J7=0,0,SER_hh_tesh!J7/SER_summary!J$26)</f>
        <v>119.10757024510177</v>
      </c>
      <c r="K7" s="132">
        <f>IF(SER_hh_tesh!K7=0,0,SER_hh_tesh!K7/SER_summary!K$26)</f>
        <v>122.33531992886773</v>
      </c>
      <c r="L7" s="132">
        <f>IF(SER_hh_tesh!L7=0,0,SER_hh_tesh!L7/SER_summary!L$26)</f>
        <v>129.17403312626638</v>
      </c>
      <c r="M7" s="132">
        <f>IF(SER_hh_tesh!M7=0,0,SER_hh_tesh!M7/SER_summary!M$26)</f>
        <v>119.42060556391134</v>
      </c>
      <c r="N7" s="132">
        <f>IF(SER_hh_tesh!N7=0,0,SER_hh_tesh!N7/SER_summary!N$26)</f>
        <v>121.45731302479642</v>
      </c>
      <c r="O7" s="132">
        <f>IF(SER_hh_tesh!O7=0,0,SER_hh_tesh!O7/SER_summary!O$26)</f>
        <v>114.12536785384977</v>
      </c>
      <c r="P7" s="132">
        <f>IF(SER_hh_tesh!P7=0,0,SER_hh_tesh!P7/SER_summary!P$26)</f>
        <v>117.04139677285333</v>
      </c>
      <c r="Q7" s="132">
        <f>IF(SER_hh_tesh!Q7=0,0,SER_hh_tesh!Q7/SER_summary!Q$26)</f>
        <v>114.91511849960547</v>
      </c>
      <c r="R7" s="132">
        <f>IF(SER_hh_tesh!R7=0,0,SER_hh_tesh!R7/SER_summary!R$26)</f>
        <v>115.25748014951022</v>
      </c>
      <c r="S7" s="132">
        <f>IF(SER_hh_tesh!S7=0,0,SER_hh_tesh!S7/SER_summary!S$26)</f>
        <v>117.19530977598305</v>
      </c>
      <c r="T7" s="132">
        <f>IF(SER_hh_tesh!T7=0,0,SER_hh_tesh!T7/SER_summary!T$26)</f>
        <v>118.54893036313581</v>
      </c>
      <c r="U7" s="132">
        <f>IF(SER_hh_tesh!U7=0,0,SER_hh_tesh!U7/SER_summary!U$26)</f>
        <v>115.00960441369133</v>
      </c>
      <c r="V7" s="132">
        <f>IF(SER_hh_tesh!V7=0,0,SER_hh_tesh!V7/SER_summary!V$26)</f>
        <v>119.38298500373004</v>
      </c>
      <c r="W7" s="132">
        <f>IF(SER_hh_tesh!W7=0,0,SER_hh_tesh!W7/SER_summary!W$26)</f>
        <v>119.68994246155246</v>
      </c>
      <c r="X7" s="132">
        <f>IF(SER_hh_tesh!X7=0,0,SER_hh_tesh!X7/SER_summary!X$26)</f>
        <v>127.35592849913685</v>
      </c>
      <c r="Y7" s="132">
        <f>IF(SER_hh_tesh!Y7=0,0,SER_hh_tesh!Y7/SER_summary!Y$26)</f>
        <v>116.17597228389307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0</v>
      </c>
      <c r="C8" s="132">
        <f>IF(SER_hh_tesh!C8=0,0,SER_hh_tesh!C8/SER_summary!C$26)</f>
        <v>0</v>
      </c>
      <c r="D8" s="132">
        <f>IF(SER_hh_tesh!D8=0,0,SER_hh_tesh!D8/SER_summary!D$26)</f>
        <v>0</v>
      </c>
      <c r="E8" s="132">
        <f>IF(SER_hh_tesh!E8=0,0,SER_hh_tesh!E8/SER_summary!E$26)</f>
        <v>0</v>
      </c>
      <c r="F8" s="132">
        <f>IF(SER_hh_tesh!F8=0,0,SER_hh_tesh!F8/SER_summary!F$26)</f>
        <v>0</v>
      </c>
      <c r="G8" s="132">
        <f>IF(SER_hh_tesh!G8=0,0,SER_hh_tesh!G8/SER_summary!G$26)</f>
        <v>0</v>
      </c>
      <c r="H8" s="132">
        <f>IF(SER_hh_tesh!H8=0,0,SER_hh_tesh!H8/SER_summary!H$26)</f>
        <v>0</v>
      </c>
      <c r="I8" s="132">
        <f>IF(SER_hh_tesh!I8=0,0,SER_hh_tesh!I8/SER_summary!I$26)</f>
        <v>0</v>
      </c>
      <c r="J8" s="132">
        <f>IF(SER_hh_tesh!J8=0,0,SER_hh_tesh!J8/SER_summary!J$26)</f>
        <v>0</v>
      </c>
      <c r="K8" s="132">
        <f>IF(SER_hh_tesh!K8=0,0,SER_hh_tesh!K8/SER_summary!K$26)</f>
        <v>0</v>
      </c>
      <c r="L8" s="132">
        <f>IF(SER_hh_tesh!L8=0,0,SER_hh_tesh!L8/SER_summary!L$26)</f>
        <v>0</v>
      </c>
      <c r="M8" s="132">
        <f>IF(SER_hh_tesh!M8=0,0,SER_hh_tesh!M8/SER_summary!M$26)</f>
        <v>0</v>
      </c>
      <c r="N8" s="132">
        <f>IF(SER_hh_tesh!N8=0,0,SER_hh_tesh!N8/SER_summary!N$26)</f>
        <v>0</v>
      </c>
      <c r="O8" s="132">
        <f>IF(SER_hh_tesh!O8=0,0,SER_hh_tesh!O8/SER_summary!O$26)</f>
        <v>0</v>
      </c>
      <c r="P8" s="132">
        <f>IF(SER_hh_tesh!P8=0,0,SER_hh_tesh!P8/SER_summary!P$26)</f>
        <v>0</v>
      </c>
      <c r="Q8" s="132">
        <f>IF(SER_hh_tesh!Q8=0,0,SER_hh_tesh!Q8/SER_summary!Q$26)</f>
        <v>0</v>
      </c>
      <c r="R8" s="132">
        <f>IF(SER_hh_tesh!R8=0,0,SER_hh_tesh!R8/SER_summary!R$26)</f>
        <v>0</v>
      </c>
      <c r="S8" s="132">
        <f>IF(SER_hh_tesh!S8=0,0,SER_hh_tesh!S8/SER_summary!S$26)</f>
        <v>0</v>
      </c>
      <c r="T8" s="132">
        <f>IF(SER_hh_tesh!T8=0,0,SER_hh_tesh!T8/SER_summary!T$26)</f>
        <v>0</v>
      </c>
      <c r="U8" s="132">
        <f>IF(SER_hh_tesh!U8=0,0,SER_hh_tesh!U8/SER_summary!U$26)</f>
        <v>0</v>
      </c>
      <c r="V8" s="132">
        <f>IF(SER_hh_tesh!V8=0,0,SER_hh_tesh!V8/SER_summary!V$26)</f>
        <v>0</v>
      </c>
      <c r="W8" s="132">
        <f>IF(SER_hh_tesh!W8=0,0,SER_hh_tesh!W8/SER_summary!W$26)</f>
        <v>0</v>
      </c>
      <c r="X8" s="132">
        <f>IF(SER_hh_tesh!X8=0,0,SER_hh_tesh!X8/SER_summary!X$26)</f>
        <v>0</v>
      </c>
      <c r="Y8" s="132">
        <f>IF(SER_hh_tesh!Y8=0,0,SER_hh_tesh!Y8/SER_summary!Y$26)</f>
        <v>0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151.57502730263448</v>
      </c>
      <c r="C9" s="132">
        <f>IF(SER_hh_tesh!C9=0,0,SER_hh_tesh!C9/SER_summary!C$26)</f>
        <v>115.56354875046667</v>
      </c>
      <c r="D9" s="132">
        <f>IF(SER_hh_tesh!D9=0,0,SER_hh_tesh!D9/SER_summary!D$26)</f>
        <v>162.50606868255286</v>
      </c>
      <c r="E9" s="132">
        <f>IF(SER_hh_tesh!E9=0,0,SER_hh_tesh!E9/SER_summary!E$26)</f>
        <v>172.43962211090593</v>
      </c>
      <c r="F9" s="132">
        <f>IF(SER_hh_tesh!F9=0,0,SER_hh_tesh!F9/SER_summary!F$26)</f>
        <v>145.22737495261819</v>
      </c>
      <c r="G9" s="132">
        <f>IF(SER_hh_tesh!G9=0,0,SER_hh_tesh!G9/SER_summary!G$26)</f>
        <v>136.8691530990005</v>
      </c>
      <c r="H9" s="132">
        <f>IF(SER_hh_tesh!H9=0,0,SER_hh_tesh!H9/SER_summary!H$26)</f>
        <v>131.16527605426242</v>
      </c>
      <c r="I9" s="132">
        <f>IF(SER_hh_tesh!I9=0,0,SER_hh_tesh!I9/SER_summary!I$26)</f>
        <v>136.66704066378009</v>
      </c>
      <c r="J9" s="132">
        <f>IF(SER_hh_tesh!J9=0,0,SER_hh_tesh!J9/SER_summary!J$26)</f>
        <v>145.68917602258156</v>
      </c>
      <c r="K9" s="132">
        <f>IF(SER_hh_tesh!K9=0,0,SER_hh_tesh!K9/SER_summary!K$26)</f>
        <v>67.279377588882653</v>
      </c>
      <c r="L9" s="132">
        <f>IF(SER_hh_tesh!L9=0,0,SER_hh_tesh!L9/SER_summary!L$26)</f>
        <v>143.53773836640534</v>
      </c>
      <c r="M9" s="132">
        <f>IF(SER_hh_tesh!M9=0,0,SER_hh_tesh!M9/SER_summary!M$26)</f>
        <v>111.46384713269047</v>
      </c>
      <c r="N9" s="132">
        <f>IF(SER_hh_tesh!N9=0,0,SER_hh_tesh!N9/SER_summary!N$26)</f>
        <v>134.53331255079749</v>
      </c>
      <c r="O9" s="132">
        <f>IF(SER_hh_tesh!O9=0,0,SER_hh_tesh!O9/SER_summary!O$26)</f>
        <v>116.94966019472818</v>
      </c>
      <c r="P9" s="132">
        <f>IF(SER_hh_tesh!P9=0,0,SER_hh_tesh!P9/SER_summary!P$26)</f>
        <v>114.08245123927941</v>
      </c>
      <c r="Q9" s="132">
        <f>IF(SER_hh_tesh!Q9=0,0,SER_hh_tesh!Q9/SER_summary!Q$26)</f>
        <v>118.50485675434183</v>
      </c>
      <c r="R9" s="132">
        <f>IF(SER_hh_tesh!R9=0,0,SER_hh_tesh!R9/SER_summary!R$26)</f>
        <v>131.06550158394273</v>
      </c>
      <c r="S9" s="132">
        <f>IF(SER_hh_tesh!S9=0,0,SER_hh_tesh!S9/SER_summary!S$26)</f>
        <v>73.918076694009315</v>
      </c>
      <c r="T9" s="132">
        <f>IF(SER_hh_tesh!T9=0,0,SER_hh_tesh!T9/SER_summary!T$26)</f>
        <v>110.85519540306106</v>
      </c>
      <c r="U9" s="132">
        <f>IF(SER_hh_tesh!U9=0,0,SER_hh_tesh!U9/SER_summary!U$26)</f>
        <v>134.11210832750751</v>
      </c>
      <c r="V9" s="132">
        <f>IF(SER_hh_tesh!V9=0,0,SER_hh_tesh!V9/SER_summary!V$26)</f>
        <v>129.03596906381304</v>
      </c>
      <c r="W9" s="132">
        <f>IF(SER_hh_tesh!W9=0,0,SER_hh_tesh!W9/SER_summary!W$26)</f>
        <v>127.01158287613077</v>
      </c>
      <c r="X9" s="132">
        <f>IF(SER_hh_tesh!X9=0,0,SER_hh_tesh!X9/SER_summary!X$26)</f>
        <v>126.38756309714708</v>
      </c>
      <c r="Y9" s="132">
        <f>IF(SER_hh_tesh!Y9=0,0,SER_hh_tesh!Y9/SER_summary!Y$26)</f>
        <v>117.87926445658988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97.20700302923494</v>
      </c>
      <c r="C10" s="132">
        <f>IF(SER_hh_tesh!C10=0,0,SER_hh_tesh!C10/SER_summary!C$26)</f>
        <v>205.65393894558542</v>
      </c>
      <c r="D10" s="132">
        <f>IF(SER_hh_tesh!D10=0,0,SER_hh_tesh!D10/SER_summary!D$26)</f>
        <v>140.62112496595662</v>
      </c>
      <c r="E10" s="132">
        <f>IF(SER_hh_tesh!E10=0,0,SER_hh_tesh!E10/SER_summary!E$26)</f>
        <v>102.09587531048028</v>
      </c>
      <c r="F10" s="132">
        <f>IF(SER_hh_tesh!F10=0,0,SER_hh_tesh!F10/SER_summary!F$26)</f>
        <v>171.70566718137454</v>
      </c>
      <c r="G10" s="132">
        <f>IF(SER_hh_tesh!G10=0,0,SER_hh_tesh!G10/SER_summary!G$26)</f>
        <v>168.61313817956295</v>
      </c>
      <c r="H10" s="132">
        <f>IF(SER_hh_tesh!H10=0,0,SER_hh_tesh!H10/SER_summary!H$26)</f>
        <v>118.78411235798589</v>
      </c>
      <c r="I10" s="132">
        <f>IF(SER_hh_tesh!I10=0,0,SER_hh_tesh!I10/SER_summary!I$26)</f>
        <v>126.13086397535298</v>
      </c>
      <c r="J10" s="132">
        <f>IF(SER_hh_tesh!J10=0,0,SER_hh_tesh!J10/SER_summary!J$26)</f>
        <v>131.13093486599848</v>
      </c>
      <c r="K10" s="132">
        <f>IF(SER_hh_tesh!K10=0,0,SER_hh_tesh!K10/SER_summary!K$26)</f>
        <v>128.23994752043939</v>
      </c>
      <c r="L10" s="132">
        <f>IF(SER_hh_tesh!L10=0,0,SER_hh_tesh!L10/SER_summary!L$26)</f>
        <v>126.82910830017326</v>
      </c>
      <c r="M10" s="132">
        <f>IF(SER_hh_tesh!M10=0,0,SER_hh_tesh!M10/SER_summary!M$26)</f>
        <v>113.53559751065764</v>
      </c>
      <c r="N10" s="132">
        <f>IF(SER_hh_tesh!N10=0,0,SER_hh_tesh!N10/SER_summary!N$26)</f>
        <v>144.66169488555408</v>
      </c>
      <c r="O10" s="132">
        <f>IF(SER_hh_tesh!O10=0,0,SER_hh_tesh!O10/SER_summary!O$26)</f>
        <v>82.050013137345587</v>
      </c>
      <c r="P10" s="132">
        <f>IF(SER_hh_tesh!P10=0,0,SER_hh_tesh!P10/SER_summary!P$26)</f>
        <v>113.03159256677877</v>
      </c>
      <c r="Q10" s="132">
        <f>IF(SER_hh_tesh!Q10=0,0,SER_hh_tesh!Q10/SER_summary!Q$26)</f>
        <v>105.85784467205652</v>
      </c>
      <c r="R10" s="132">
        <f>IF(SER_hh_tesh!R10=0,0,SER_hh_tesh!R10/SER_summary!R$26)</f>
        <v>170.80366392000721</v>
      </c>
      <c r="S10" s="132">
        <f>IF(SER_hh_tesh!S10=0,0,SER_hh_tesh!S10/SER_summary!S$26)</f>
        <v>169.3105346336732</v>
      </c>
      <c r="T10" s="132">
        <f>IF(SER_hh_tesh!T10=0,0,SER_hh_tesh!T10/SER_summary!T$26)</f>
        <v>171.52338503699514</v>
      </c>
      <c r="U10" s="132">
        <f>IF(SER_hh_tesh!U10=0,0,SER_hh_tesh!U10/SER_summary!U$26)</f>
        <v>102.4883148322041</v>
      </c>
      <c r="V10" s="132">
        <f>IF(SER_hh_tesh!V10=0,0,SER_hh_tesh!V10/SER_summary!V$26)</f>
        <v>105.55265896043964</v>
      </c>
      <c r="W10" s="132">
        <f>IF(SER_hh_tesh!W10=0,0,SER_hh_tesh!W10/SER_summary!W$26)</f>
        <v>130.65065697118939</v>
      </c>
      <c r="X10" s="132">
        <f>IF(SER_hh_tesh!X10=0,0,SER_hh_tesh!X10/SER_summary!X$26)</f>
        <v>113.66246466963402</v>
      </c>
      <c r="Y10" s="132">
        <f>IF(SER_hh_tesh!Y10=0,0,SER_hh_tesh!Y10/SER_summary!Y$26)</f>
        <v>129.57043902624054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0</v>
      </c>
      <c r="F11" s="132">
        <f>IF(SER_hh_tesh!F11=0,0,SER_hh_tesh!F11/SER_summary!F$26)</f>
        <v>0</v>
      </c>
      <c r="G11" s="132">
        <f>IF(SER_hh_tesh!G11=0,0,SER_hh_tesh!G11/SER_summary!G$26)</f>
        <v>0</v>
      </c>
      <c r="H11" s="132">
        <f>IF(SER_hh_tesh!H11=0,0,SER_hh_tesh!H11/SER_summary!H$26)</f>
        <v>0</v>
      </c>
      <c r="I11" s="132">
        <f>IF(SER_hh_tesh!I11=0,0,SER_hh_tesh!I11/SER_summary!I$26)</f>
        <v>0</v>
      </c>
      <c r="J11" s="132">
        <f>IF(SER_hh_tesh!J11=0,0,SER_hh_tesh!J11/SER_summary!J$26)</f>
        <v>0</v>
      </c>
      <c r="K11" s="132">
        <f>IF(SER_hh_tesh!K11=0,0,SER_hh_tesh!K11/SER_summary!K$26)</f>
        <v>0</v>
      </c>
      <c r="L11" s="132">
        <f>IF(SER_hh_tesh!L11=0,0,SER_hh_tesh!L11/SER_summary!L$26)</f>
        <v>0</v>
      </c>
      <c r="M11" s="132">
        <f>IF(SER_hh_tesh!M11=0,0,SER_hh_tesh!M11/SER_summary!M$26)</f>
        <v>0</v>
      </c>
      <c r="N11" s="132">
        <f>IF(SER_hh_tesh!N11=0,0,SER_hh_tesh!N11/SER_summary!N$26)</f>
        <v>0</v>
      </c>
      <c r="O11" s="132">
        <f>IF(SER_hh_tesh!O11=0,0,SER_hh_tesh!O11/SER_summary!O$26)</f>
        <v>0</v>
      </c>
      <c r="P11" s="132">
        <f>IF(SER_hh_tesh!P11=0,0,SER_hh_tesh!P11/SER_summary!P$26)</f>
        <v>0</v>
      </c>
      <c r="Q11" s="132">
        <f>IF(SER_hh_tesh!Q11=0,0,SER_hh_tesh!Q11/SER_summary!Q$26)</f>
        <v>0</v>
      </c>
      <c r="R11" s="132">
        <f>IF(SER_hh_tesh!R11=0,0,SER_hh_tesh!R11/SER_summary!R$26)</f>
        <v>0</v>
      </c>
      <c r="S11" s="132">
        <f>IF(SER_hh_tesh!S11=0,0,SER_hh_tesh!S11/SER_summary!S$26)</f>
        <v>0</v>
      </c>
      <c r="T11" s="132">
        <f>IF(SER_hh_tesh!T11=0,0,SER_hh_tesh!T11/SER_summary!T$26)</f>
        <v>0</v>
      </c>
      <c r="U11" s="132">
        <f>IF(SER_hh_tesh!U11=0,0,SER_hh_tesh!U11/SER_summary!U$26)</f>
        <v>0</v>
      </c>
      <c r="V11" s="132">
        <f>IF(SER_hh_tesh!V11=0,0,SER_hh_tesh!V11/SER_summary!V$26)</f>
        <v>0</v>
      </c>
      <c r="W11" s="132">
        <f>IF(SER_hh_tesh!W11=0,0,SER_hh_tesh!W11/SER_summary!W$26)</f>
        <v>0</v>
      </c>
      <c r="X11" s="132">
        <f>IF(SER_hh_tesh!X11=0,0,SER_hh_tesh!X11/SER_summary!X$26)</f>
        <v>0</v>
      </c>
      <c r="Y11" s="132">
        <f>IF(SER_hh_tesh!Y11=0,0,SER_hh_tesh!Y11/SER_summary!Y$26)</f>
        <v>0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148.0891632867914</v>
      </c>
      <c r="C12" s="132">
        <f>IF(SER_hh_tesh!C12=0,0,SER_hh_tesh!C12/SER_summary!C$26)</f>
        <v>163.08691370808296</v>
      </c>
      <c r="D12" s="132">
        <f>IF(SER_hh_tesh!D12=0,0,SER_hh_tesh!D12/SER_summary!D$26)</f>
        <v>160.49402363514423</v>
      </c>
      <c r="E12" s="132">
        <f>IF(SER_hh_tesh!E12=0,0,SER_hh_tesh!E12/SER_summary!E$26)</f>
        <v>157.43735380334073</v>
      </c>
      <c r="F12" s="132">
        <f>IF(SER_hh_tesh!F12=0,0,SER_hh_tesh!F12/SER_summary!F$26)</f>
        <v>144.43067643159469</v>
      </c>
      <c r="G12" s="132">
        <f>IF(SER_hh_tesh!G12=0,0,SER_hh_tesh!G12/SER_summary!G$26)</f>
        <v>139.57480608295714</v>
      </c>
      <c r="H12" s="132">
        <f>IF(SER_hh_tesh!H12=0,0,SER_hh_tesh!H12/SER_summary!H$26)</f>
        <v>134.54538866942875</v>
      </c>
      <c r="I12" s="132">
        <f>IF(SER_hh_tesh!I12=0,0,SER_hh_tesh!I12/SER_summary!I$26)</f>
        <v>126.49458065827379</v>
      </c>
      <c r="J12" s="132">
        <f>IF(SER_hh_tesh!J12=0,0,SER_hh_tesh!J12/SER_summary!J$26)</f>
        <v>126.54674695898645</v>
      </c>
      <c r="K12" s="132">
        <f>IF(SER_hh_tesh!K12=0,0,SER_hh_tesh!K12/SER_summary!K$26)</f>
        <v>127.44606250394278</v>
      </c>
      <c r="L12" s="132">
        <f>IF(SER_hh_tesh!L12=0,0,SER_hh_tesh!L12/SER_summary!L$26)</f>
        <v>138.60720906605874</v>
      </c>
      <c r="M12" s="132">
        <f>IF(SER_hh_tesh!M12=0,0,SER_hh_tesh!M12/SER_summary!M$26)</f>
        <v>112.70695014947027</v>
      </c>
      <c r="N12" s="132">
        <f>IF(SER_hh_tesh!N12=0,0,SER_hh_tesh!N12/SER_summary!N$26)</f>
        <v>122.65580457029097</v>
      </c>
      <c r="O12" s="132">
        <f>IF(SER_hh_tesh!O12=0,0,SER_hh_tesh!O12/SER_summary!O$26)</f>
        <v>121.44279498418943</v>
      </c>
      <c r="P12" s="132">
        <f>IF(SER_hh_tesh!P12=0,0,SER_hh_tesh!P12/SER_summary!P$26)</f>
        <v>116.15263092658388</v>
      </c>
      <c r="Q12" s="132">
        <f>IF(SER_hh_tesh!Q12=0,0,SER_hh_tesh!Q12/SER_summary!Q$26)</f>
        <v>113.98389217350136</v>
      </c>
      <c r="R12" s="132">
        <f>IF(SER_hh_tesh!R12=0,0,SER_hh_tesh!R12/SER_summary!R$26)</f>
        <v>122.77635670955581</v>
      </c>
      <c r="S12" s="132">
        <f>IF(SER_hh_tesh!S12=0,0,SER_hh_tesh!S12/SER_summary!S$26)</f>
        <v>114.58127599409603</v>
      </c>
      <c r="T12" s="132">
        <f>IF(SER_hh_tesh!T12=0,0,SER_hh_tesh!T12/SER_summary!T$26)</f>
        <v>119.46337623053651</v>
      </c>
      <c r="U12" s="132">
        <f>IF(SER_hh_tesh!U12=0,0,SER_hh_tesh!U12/SER_summary!U$26)</f>
        <v>117.47968408771264</v>
      </c>
      <c r="V12" s="132">
        <f>IF(SER_hh_tesh!V12=0,0,SER_hh_tesh!V12/SER_summary!V$26)</f>
        <v>106.47328182502881</v>
      </c>
      <c r="W12" s="132">
        <f>IF(SER_hh_tesh!W12=0,0,SER_hh_tesh!W12/SER_summary!W$26)</f>
        <v>128.7634508345204</v>
      </c>
      <c r="X12" s="132">
        <f>IF(SER_hh_tesh!X12=0,0,SER_hh_tesh!X12/SER_summary!X$26)</f>
        <v>120.72465827735964</v>
      </c>
      <c r="Y12" s="132">
        <f>IF(SER_hh_tesh!Y12=0,0,SER_hh_tesh!Y12/SER_summary!Y$26)</f>
        <v>127.20532410030123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124.45257103290074</v>
      </c>
      <c r="C13" s="132">
        <f>IF(SER_hh_tesh!C13=0,0,SER_hh_tesh!C13/SER_summary!C$26)</f>
        <v>163.10608597762379</v>
      </c>
      <c r="D13" s="132">
        <f>IF(SER_hh_tesh!D13=0,0,SER_hh_tesh!D13/SER_summary!D$26)</f>
        <v>156.84726568901851</v>
      </c>
      <c r="E13" s="132">
        <f>IF(SER_hh_tesh!E13=0,0,SER_hh_tesh!E13/SER_summary!E$26)</f>
        <v>140.73937972798234</v>
      </c>
      <c r="F13" s="132">
        <f>IF(SER_hh_tesh!F13=0,0,SER_hh_tesh!F13/SER_summary!F$26)</f>
        <v>145.22271258243509</v>
      </c>
      <c r="G13" s="132">
        <f>IF(SER_hh_tesh!G13=0,0,SER_hh_tesh!G13/SER_summary!G$26)</f>
        <v>122.72885808230669</v>
      </c>
      <c r="H13" s="132">
        <f>IF(SER_hh_tesh!H13=0,0,SER_hh_tesh!H13/SER_summary!H$26)</f>
        <v>132.56375907258646</v>
      </c>
      <c r="I13" s="132">
        <f>IF(SER_hh_tesh!I13=0,0,SER_hh_tesh!I13/SER_summary!I$26)</f>
        <v>139.67049705855629</v>
      </c>
      <c r="J13" s="132">
        <f>IF(SER_hh_tesh!J13=0,0,SER_hh_tesh!J13/SER_summary!J$26)</f>
        <v>132.37856300022108</v>
      </c>
      <c r="K13" s="132">
        <f>IF(SER_hh_tesh!K13=0,0,SER_hh_tesh!K13/SER_summary!K$26)</f>
        <v>127.03610108886583</v>
      </c>
      <c r="L13" s="132">
        <f>IF(SER_hh_tesh!L13=0,0,SER_hh_tesh!L13/SER_summary!L$26)</f>
        <v>124.87373315673896</v>
      </c>
      <c r="M13" s="132">
        <f>IF(SER_hh_tesh!M13=0,0,SER_hh_tesh!M13/SER_summary!M$26)</f>
        <v>120.30064772601479</v>
      </c>
      <c r="N13" s="132">
        <f>IF(SER_hh_tesh!N13=0,0,SER_hh_tesh!N13/SER_summary!N$26)</f>
        <v>120.98463629854211</v>
      </c>
      <c r="O13" s="132">
        <f>IF(SER_hh_tesh!O13=0,0,SER_hh_tesh!O13/SER_summary!O$26)</f>
        <v>120.21889294965317</v>
      </c>
      <c r="P13" s="132">
        <f>IF(SER_hh_tesh!P13=0,0,SER_hh_tesh!P13/SER_summary!P$26)</f>
        <v>116.44767169502327</v>
      </c>
      <c r="Q13" s="132">
        <f>IF(SER_hh_tesh!Q13=0,0,SER_hh_tesh!Q13/SER_summary!Q$26)</f>
        <v>113.02779710219397</v>
      </c>
      <c r="R13" s="132">
        <f>IF(SER_hh_tesh!R13=0,0,SER_hh_tesh!R13/SER_summary!R$26)</f>
        <v>125.1625171506861</v>
      </c>
      <c r="S13" s="132">
        <f>IF(SER_hh_tesh!S13=0,0,SER_hh_tesh!S13/SER_summary!S$26)</f>
        <v>117.75938128728704</v>
      </c>
      <c r="T13" s="132">
        <f>IF(SER_hh_tesh!T13=0,0,SER_hh_tesh!T13/SER_summary!T$26)</f>
        <v>118.10026809351326</v>
      </c>
      <c r="U13" s="132">
        <f>IF(SER_hh_tesh!U13=0,0,SER_hh_tesh!U13/SER_summary!U$26)</f>
        <v>113.75905550870803</v>
      </c>
      <c r="V13" s="132">
        <f>IF(SER_hh_tesh!V13=0,0,SER_hh_tesh!V13/SER_summary!V$26)</f>
        <v>119.77310423484806</v>
      </c>
      <c r="W13" s="132">
        <f>IF(SER_hh_tesh!W13=0,0,SER_hh_tesh!W13/SER_summary!W$26)</f>
        <v>124.14254673066719</v>
      </c>
      <c r="X13" s="132">
        <f>IF(SER_hh_tesh!X13=0,0,SER_hh_tesh!X13/SER_summary!X$26)</f>
        <v>127.26350658334336</v>
      </c>
      <c r="Y13" s="132">
        <f>IF(SER_hh_tesh!Y13=0,0,SER_hh_tesh!Y13/SER_summary!Y$26)</f>
        <v>125.28454092237216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143.34066686256745</v>
      </c>
      <c r="C14" s="65">
        <f>IF(SER_hh_tesh!C14=0,0,SER_hh_tesh!C14/SER_summary!C$26)</f>
        <v>169.20007145540211</v>
      </c>
      <c r="D14" s="65">
        <f>IF(SER_hh_tesh!D14=0,0,SER_hh_tesh!D14/SER_summary!D$26)</f>
        <v>165.5588458997313</v>
      </c>
      <c r="E14" s="65">
        <f>IF(SER_hh_tesh!E14=0,0,SER_hh_tesh!E14/SER_summary!E$26)</f>
        <v>153.67921494130894</v>
      </c>
      <c r="F14" s="65">
        <f>IF(SER_hh_tesh!F14=0,0,SER_hh_tesh!F14/SER_summary!F$26)</f>
        <v>151.33061985098274</v>
      </c>
      <c r="G14" s="65">
        <f>IF(SER_hh_tesh!G14=0,0,SER_hh_tesh!G14/SER_summary!G$26)</f>
        <v>125.53582164247261</v>
      </c>
      <c r="H14" s="65">
        <f>IF(SER_hh_tesh!H14=0,0,SER_hh_tesh!H14/SER_summary!H$26)</f>
        <v>132.65456012929053</v>
      </c>
      <c r="I14" s="65">
        <f>IF(SER_hh_tesh!I14=0,0,SER_hh_tesh!I14/SER_summary!I$26)</f>
        <v>142.64378858493387</v>
      </c>
      <c r="J14" s="65">
        <f>IF(SER_hh_tesh!J14=0,0,SER_hh_tesh!J14/SER_summary!J$26)</f>
        <v>137.48974431120345</v>
      </c>
      <c r="K14" s="65">
        <f>IF(SER_hh_tesh!K14=0,0,SER_hh_tesh!K14/SER_summary!K$26)</f>
        <v>120.79334507363878</v>
      </c>
      <c r="L14" s="65">
        <f>IF(SER_hh_tesh!L14=0,0,SER_hh_tesh!L14/SER_summary!L$26)</f>
        <v>138.46191776278391</v>
      </c>
      <c r="M14" s="65">
        <f>IF(SER_hh_tesh!M14=0,0,SER_hh_tesh!M14/SER_summary!M$26)</f>
        <v>108.17799834565614</v>
      </c>
      <c r="N14" s="65">
        <f>IF(SER_hh_tesh!N14=0,0,SER_hh_tesh!N14/SER_summary!N$26)</f>
        <v>120.7444823679954</v>
      </c>
      <c r="O14" s="65">
        <f>IF(SER_hh_tesh!O14=0,0,SER_hh_tesh!O14/SER_summary!O$26)</f>
        <v>111.55992379060837</v>
      </c>
      <c r="P14" s="65">
        <f>IF(SER_hh_tesh!P14=0,0,SER_hh_tesh!P14/SER_summary!P$26)</f>
        <v>113.42614861127807</v>
      </c>
      <c r="Q14" s="65">
        <f>IF(SER_hh_tesh!Q14=0,0,SER_hh_tesh!Q14/SER_summary!Q$26)</f>
        <v>122.85873098484119</v>
      </c>
      <c r="R14" s="65">
        <f>IF(SER_hh_tesh!R14=0,0,SER_hh_tesh!R14/SER_summary!R$26)</f>
        <v>131.8906542937292</v>
      </c>
      <c r="S14" s="65">
        <f>IF(SER_hh_tesh!S14=0,0,SER_hh_tesh!S14/SER_summary!S$26)</f>
        <v>111.5549251407225</v>
      </c>
      <c r="T14" s="65">
        <f>IF(SER_hh_tesh!T14=0,0,SER_hh_tesh!T14/SER_summary!T$26)</f>
        <v>119.42998457489487</v>
      </c>
      <c r="U14" s="65">
        <f>IF(SER_hh_tesh!U14=0,0,SER_hh_tesh!U14/SER_summary!U$26)</f>
        <v>108.99028121995853</v>
      </c>
      <c r="V14" s="65">
        <f>IF(SER_hh_tesh!V14=0,0,SER_hh_tesh!V14/SER_summary!V$26)</f>
        <v>113.353051074296</v>
      </c>
      <c r="W14" s="65">
        <f>IF(SER_hh_tesh!W14=0,0,SER_hh_tesh!W14/SER_summary!W$26)</f>
        <v>121.0261690902536</v>
      </c>
      <c r="X14" s="65">
        <f>IF(SER_hh_tesh!X14=0,0,SER_hh_tesh!X14/SER_summary!X$26)</f>
        <v>133.35361387140227</v>
      </c>
      <c r="Y14" s="65">
        <f>IF(SER_hh_tesh!Y14=0,0,SER_hh_tesh!Y14/SER_summary!Y$26)</f>
        <v>124.18972411202225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1.5393621866551144</v>
      </c>
      <c r="C15" s="134">
        <f>IF(SER_hh_tesh!C15=0,0,SER_hh_tesh!C15/SER_summary!C$26)</f>
        <v>1.5860502300411594</v>
      </c>
      <c r="D15" s="134">
        <f>IF(SER_hh_tesh!D15=0,0,SER_hh_tesh!D15/SER_summary!D$26)</f>
        <v>1.5431162791066904</v>
      </c>
      <c r="E15" s="134">
        <f>IF(SER_hh_tesh!E15=0,0,SER_hh_tesh!E15/SER_summary!E$26)</f>
        <v>1.5678757705083488</v>
      </c>
      <c r="F15" s="134">
        <f>IF(SER_hh_tesh!F15=0,0,SER_hh_tesh!F15/SER_summary!F$26)</f>
        <v>1.2902061396975026</v>
      </c>
      <c r="G15" s="134">
        <f>IF(SER_hh_tesh!G15=0,0,SER_hh_tesh!G15/SER_summary!G$26)</f>
        <v>0.95436062835561963</v>
      </c>
      <c r="H15" s="134">
        <f>IF(SER_hh_tesh!H15=0,0,SER_hh_tesh!H15/SER_summary!H$26)</f>
        <v>0.90047268890346988</v>
      </c>
      <c r="I15" s="134">
        <f>IF(SER_hh_tesh!I15=0,0,SER_hh_tesh!I15/SER_summary!I$26)</f>
        <v>0.87233893149028663</v>
      </c>
      <c r="J15" s="134">
        <f>IF(SER_hh_tesh!J15=0,0,SER_hh_tesh!J15/SER_summary!J$26)</f>
        <v>0.82386865082407346</v>
      </c>
      <c r="K15" s="134">
        <f>IF(SER_hh_tesh!K15=0,0,SER_hh_tesh!K15/SER_summary!K$26)</f>
        <v>0.76664294027933544</v>
      </c>
      <c r="L15" s="134">
        <f>IF(SER_hh_tesh!L15=0,0,SER_hh_tesh!L15/SER_summary!L$26)</f>
        <v>0.85834261716133897</v>
      </c>
      <c r="M15" s="134">
        <f>IF(SER_hh_tesh!M15=0,0,SER_hh_tesh!M15/SER_summary!M$26)</f>
        <v>0.72743622144992948</v>
      </c>
      <c r="N15" s="134">
        <f>IF(SER_hh_tesh!N15=0,0,SER_hh_tesh!N15/SER_summary!N$26)</f>
        <v>0.78741371266612781</v>
      </c>
      <c r="O15" s="134">
        <f>IF(SER_hh_tesh!O15=0,0,SER_hh_tesh!O15/SER_summary!O$26)</f>
        <v>0.73518823320265703</v>
      </c>
      <c r="P15" s="134">
        <f>IF(SER_hh_tesh!P15=0,0,SER_hh_tesh!P15/SER_summary!P$26)</f>
        <v>0.72050100474696965</v>
      </c>
      <c r="Q15" s="134">
        <f>IF(SER_hh_tesh!Q15=0,0,SER_hh_tesh!Q15/SER_summary!Q$26)</f>
        <v>0.70387326221472635</v>
      </c>
      <c r="R15" s="134">
        <f>IF(SER_hh_tesh!R15=0,0,SER_hh_tesh!R15/SER_summary!R$26)</f>
        <v>0.74504348875542148</v>
      </c>
      <c r="S15" s="134">
        <f>IF(SER_hh_tesh!S15=0,0,SER_hh_tesh!S15/SER_summary!S$26)</f>
        <v>0.68676712163034292</v>
      </c>
      <c r="T15" s="134">
        <f>IF(SER_hh_tesh!T15=0,0,SER_hh_tesh!T15/SER_summary!T$26)</f>
        <v>0.73102206220667376</v>
      </c>
      <c r="U15" s="134">
        <f>IF(SER_hh_tesh!U15=0,0,SER_hh_tesh!U15/SER_summary!U$26)</f>
        <v>0.72679259925525974</v>
      </c>
      <c r="V15" s="134">
        <f>IF(SER_hh_tesh!V15=0,0,SER_hh_tesh!V15/SER_summary!V$26)</f>
        <v>0.6979313721492395</v>
      </c>
      <c r="W15" s="134">
        <f>IF(SER_hh_tesh!W15=0,0,SER_hh_tesh!W15/SER_summary!W$26)</f>
        <v>0.75539761866439892</v>
      </c>
      <c r="X15" s="134">
        <f>IF(SER_hh_tesh!X15=0,0,SER_hh_tesh!X15/SER_summary!X$26)</f>
        <v>0.72302796288166449</v>
      </c>
      <c r="Y15" s="134">
        <f>IF(SER_hh_tesh!Y15=0,0,SER_hh_tesh!Y15/SER_summary!Y$26)</f>
        <v>0.7042029892317454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25.634428525640907</v>
      </c>
      <c r="C16" s="130">
        <f>IF(SER_hh_tesh!C16=0,0,SER_hh_tesh!C16/SER_summary!C$26)</f>
        <v>25.688939917958102</v>
      </c>
      <c r="D16" s="130">
        <f>IF(SER_hh_tesh!D16=0,0,SER_hh_tesh!D16/SER_summary!D$26)</f>
        <v>25.715046044386902</v>
      </c>
      <c r="E16" s="130">
        <f>IF(SER_hh_tesh!E16=0,0,SER_hh_tesh!E16/SER_summary!E$26)</f>
        <v>25.765276379843971</v>
      </c>
      <c r="F16" s="130">
        <f>IF(SER_hh_tesh!F16=0,0,SER_hh_tesh!F16/SER_summary!F$26)</f>
        <v>25.821716384173545</v>
      </c>
      <c r="G16" s="130">
        <f>IF(SER_hh_tesh!G16=0,0,SER_hh_tesh!G16/SER_summary!G$26)</f>
        <v>25.890701371898434</v>
      </c>
      <c r="H16" s="130">
        <f>IF(SER_hh_tesh!H16=0,0,SER_hh_tesh!H16/SER_summary!H$26)</f>
        <v>25.956203498560061</v>
      </c>
      <c r="I16" s="130">
        <f>IF(SER_hh_tesh!I16=0,0,SER_hh_tesh!I16/SER_summary!I$26)</f>
        <v>26.025958629817676</v>
      </c>
      <c r="J16" s="130">
        <f>IF(SER_hh_tesh!J16=0,0,SER_hh_tesh!J16/SER_summary!J$26)</f>
        <v>26.329576664825222</v>
      </c>
      <c r="K16" s="130">
        <f>IF(SER_hh_tesh!K16=0,0,SER_hh_tesh!K16/SER_summary!K$26)</f>
        <v>26.376198902495787</v>
      </c>
      <c r="L16" s="130">
        <f>IF(SER_hh_tesh!L16=0,0,SER_hh_tesh!L16/SER_summary!L$26)</f>
        <v>26.829802674207059</v>
      </c>
      <c r="M16" s="130">
        <f>IF(SER_hh_tesh!M16=0,0,SER_hh_tesh!M16/SER_summary!M$26)</f>
        <v>26.468719029857819</v>
      </c>
      <c r="N16" s="130">
        <f>IF(SER_hh_tesh!N16=0,0,SER_hh_tesh!N16/SER_summary!N$26)</f>
        <v>26.525511093761814</v>
      </c>
      <c r="O16" s="130">
        <f>IF(SER_hh_tesh!O16=0,0,SER_hh_tesh!O16/SER_summary!O$26)</f>
        <v>26.579526328972779</v>
      </c>
      <c r="P16" s="130">
        <f>IF(SER_hh_tesh!P16=0,0,SER_hh_tesh!P16/SER_summary!P$26)</f>
        <v>26.999174538581887</v>
      </c>
      <c r="Q16" s="130">
        <f>IF(SER_hh_tesh!Q16=0,0,SER_hh_tesh!Q16/SER_summary!Q$26)</f>
        <v>26.712870826540993</v>
      </c>
      <c r="R16" s="130">
        <f>IF(SER_hh_tesh!R16=0,0,SER_hh_tesh!R16/SER_summary!R$26)</f>
        <v>26.90031112072386</v>
      </c>
      <c r="S16" s="130">
        <f>IF(SER_hh_tesh!S16=0,0,SER_hh_tesh!S16/SER_summary!S$26)</f>
        <v>27.031658227201589</v>
      </c>
      <c r="T16" s="130">
        <f>IF(SER_hh_tesh!T16=0,0,SER_hh_tesh!T16/SER_summary!T$26)</f>
        <v>27.439864217938496</v>
      </c>
      <c r="U16" s="130">
        <f>IF(SER_hh_tesh!U16=0,0,SER_hh_tesh!U16/SER_summary!U$26)</f>
        <v>27.366487132656047</v>
      </c>
      <c r="V16" s="130">
        <f>IF(SER_hh_tesh!V16=0,0,SER_hh_tesh!V16/SER_summary!V$26)</f>
        <v>26.860816618586803</v>
      </c>
      <c r="W16" s="130">
        <f>IF(SER_hh_tesh!W16=0,0,SER_hh_tesh!W16/SER_summary!W$26)</f>
        <v>27.506143415166306</v>
      </c>
      <c r="X16" s="130">
        <f>IF(SER_hh_tesh!X16=0,0,SER_hh_tesh!X16/SER_summary!X$26)</f>
        <v>27.155786885502081</v>
      </c>
      <c r="Y16" s="130">
        <f>IF(SER_hh_tesh!Y16=0,0,SER_hh_tesh!Y16/SER_summary!Y$26)</f>
        <v>27.368491018331316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0</v>
      </c>
      <c r="C17" s="132">
        <f>IF(SER_hh_tesh!C17=0,0,SER_hh_tesh!C17/SER_summary!C$26)</f>
        <v>0</v>
      </c>
      <c r="D17" s="132">
        <f>IF(SER_hh_tesh!D17=0,0,SER_hh_tesh!D17/SER_summary!D$26)</f>
        <v>0</v>
      </c>
      <c r="E17" s="132">
        <f>IF(SER_hh_tesh!E17=0,0,SER_hh_tesh!E17/SER_summary!E$26)</f>
        <v>0</v>
      </c>
      <c r="F17" s="132">
        <f>IF(SER_hh_tesh!F17=0,0,SER_hh_tesh!F17/SER_summary!F$26)</f>
        <v>0</v>
      </c>
      <c r="G17" s="132">
        <f>IF(SER_hh_tesh!G17=0,0,SER_hh_tesh!G17/SER_summary!G$26)</f>
        <v>0</v>
      </c>
      <c r="H17" s="132">
        <f>IF(SER_hh_tesh!H17=0,0,SER_hh_tesh!H17/SER_summary!H$26)</f>
        <v>0</v>
      </c>
      <c r="I17" s="132">
        <f>IF(SER_hh_tesh!I17=0,0,SER_hh_tesh!I17/SER_summary!I$26)</f>
        <v>0</v>
      </c>
      <c r="J17" s="132">
        <f>IF(SER_hh_tesh!J17=0,0,SER_hh_tesh!J17/SER_summary!J$26)</f>
        <v>0</v>
      </c>
      <c r="K17" s="132">
        <f>IF(SER_hh_tesh!K17=0,0,SER_hh_tesh!K17/SER_summary!K$26)</f>
        <v>0</v>
      </c>
      <c r="L17" s="132">
        <f>IF(SER_hh_tesh!L17=0,0,SER_hh_tesh!L17/SER_summary!L$26)</f>
        <v>0</v>
      </c>
      <c r="M17" s="132">
        <f>IF(SER_hh_tesh!M17=0,0,SER_hh_tesh!M17/SER_summary!M$26)</f>
        <v>0</v>
      </c>
      <c r="N17" s="132">
        <f>IF(SER_hh_tesh!N17=0,0,SER_hh_tesh!N17/SER_summary!N$26)</f>
        <v>0</v>
      </c>
      <c r="O17" s="132">
        <f>IF(SER_hh_tesh!O17=0,0,SER_hh_tesh!O17/SER_summary!O$26)</f>
        <v>0</v>
      </c>
      <c r="P17" s="132">
        <f>IF(SER_hh_tesh!P17=0,0,SER_hh_tesh!P17/SER_summary!P$26)</f>
        <v>0</v>
      </c>
      <c r="Q17" s="132">
        <f>IF(SER_hh_tesh!Q17=0,0,SER_hh_tesh!Q17/SER_summary!Q$26)</f>
        <v>0</v>
      </c>
      <c r="R17" s="132">
        <f>IF(SER_hh_tesh!R17=0,0,SER_hh_tesh!R17/SER_summary!R$26)</f>
        <v>0</v>
      </c>
      <c r="S17" s="132">
        <f>IF(SER_hh_tesh!S17=0,0,SER_hh_tesh!S17/SER_summary!S$26)</f>
        <v>0</v>
      </c>
      <c r="T17" s="132">
        <f>IF(SER_hh_tesh!T17=0,0,SER_hh_tesh!T17/SER_summary!T$26)</f>
        <v>0</v>
      </c>
      <c r="U17" s="132">
        <f>IF(SER_hh_tesh!U17=0,0,SER_hh_tesh!U17/SER_summary!U$26)</f>
        <v>0</v>
      </c>
      <c r="V17" s="132">
        <f>IF(SER_hh_tesh!V17=0,0,SER_hh_tesh!V17/SER_summary!V$26)</f>
        <v>0</v>
      </c>
      <c r="W17" s="132">
        <f>IF(SER_hh_tesh!W17=0,0,SER_hh_tesh!W17/SER_summary!W$26)</f>
        <v>0</v>
      </c>
      <c r="X17" s="132">
        <f>IF(SER_hh_tesh!X17=0,0,SER_hh_tesh!X17/SER_summary!X$26)</f>
        <v>0</v>
      </c>
      <c r="Y17" s="132">
        <f>IF(SER_hh_tesh!Y17=0,0,SER_hh_tesh!Y17/SER_summary!Y$26)</f>
        <v>0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25.634428525640907</v>
      </c>
      <c r="C18" s="132">
        <f>IF(SER_hh_tesh!C18=0,0,SER_hh_tesh!C18/SER_summary!C$26)</f>
        <v>25.688939917958102</v>
      </c>
      <c r="D18" s="132">
        <f>IF(SER_hh_tesh!D18=0,0,SER_hh_tesh!D18/SER_summary!D$26)</f>
        <v>25.715046044386902</v>
      </c>
      <c r="E18" s="132">
        <f>IF(SER_hh_tesh!E18=0,0,SER_hh_tesh!E18/SER_summary!E$26)</f>
        <v>25.765276379843971</v>
      </c>
      <c r="F18" s="132">
        <f>IF(SER_hh_tesh!F18=0,0,SER_hh_tesh!F18/SER_summary!F$26)</f>
        <v>25.821716384173545</v>
      </c>
      <c r="G18" s="132">
        <f>IF(SER_hh_tesh!G18=0,0,SER_hh_tesh!G18/SER_summary!G$26)</f>
        <v>25.890701371898434</v>
      </c>
      <c r="H18" s="132">
        <f>IF(SER_hh_tesh!H18=0,0,SER_hh_tesh!H18/SER_summary!H$26)</f>
        <v>25.956203498560061</v>
      </c>
      <c r="I18" s="132">
        <f>IF(SER_hh_tesh!I18=0,0,SER_hh_tesh!I18/SER_summary!I$26)</f>
        <v>26.025958629817676</v>
      </c>
      <c r="J18" s="132">
        <f>IF(SER_hh_tesh!J18=0,0,SER_hh_tesh!J18/SER_summary!J$26)</f>
        <v>26.329576664825222</v>
      </c>
      <c r="K18" s="132">
        <f>IF(SER_hh_tesh!K18=0,0,SER_hh_tesh!K18/SER_summary!K$26)</f>
        <v>26.376198902495787</v>
      </c>
      <c r="L18" s="132">
        <f>IF(SER_hh_tesh!L18=0,0,SER_hh_tesh!L18/SER_summary!L$26)</f>
        <v>26.829802674207059</v>
      </c>
      <c r="M18" s="132">
        <f>IF(SER_hh_tesh!M18=0,0,SER_hh_tesh!M18/SER_summary!M$26)</f>
        <v>26.468719029857819</v>
      </c>
      <c r="N18" s="132">
        <f>IF(SER_hh_tesh!N18=0,0,SER_hh_tesh!N18/SER_summary!N$26)</f>
        <v>26.525511093761814</v>
      </c>
      <c r="O18" s="132">
        <f>IF(SER_hh_tesh!O18=0,0,SER_hh_tesh!O18/SER_summary!O$26)</f>
        <v>26.579526328972779</v>
      </c>
      <c r="P18" s="132">
        <f>IF(SER_hh_tesh!P18=0,0,SER_hh_tesh!P18/SER_summary!P$26)</f>
        <v>26.999174538581887</v>
      </c>
      <c r="Q18" s="132">
        <f>IF(SER_hh_tesh!Q18=0,0,SER_hh_tesh!Q18/SER_summary!Q$26)</f>
        <v>26.712870826540993</v>
      </c>
      <c r="R18" s="132">
        <f>IF(SER_hh_tesh!R18=0,0,SER_hh_tesh!R18/SER_summary!R$26)</f>
        <v>26.90031112072386</v>
      </c>
      <c r="S18" s="132">
        <f>IF(SER_hh_tesh!S18=0,0,SER_hh_tesh!S18/SER_summary!S$26)</f>
        <v>27.031658227201589</v>
      </c>
      <c r="T18" s="132">
        <f>IF(SER_hh_tesh!T18=0,0,SER_hh_tesh!T18/SER_summary!T$26)</f>
        <v>27.439864217938496</v>
      </c>
      <c r="U18" s="132">
        <f>IF(SER_hh_tesh!U18=0,0,SER_hh_tesh!U18/SER_summary!U$26)</f>
        <v>27.366487132656047</v>
      </c>
      <c r="V18" s="132">
        <f>IF(SER_hh_tesh!V18=0,0,SER_hh_tesh!V18/SER_summary!V$26)</f>
        <v>26.860816618586803</v>
      </c>
      <c r="W18" s="132">
        <f>IF(SER_hh_tesh!W18=0,0,SER_hh_tesh!W18/SER_summary!W$26)</f>
        <v>27.506143415166306</v>
      </c>
      <c r="X18" s="132">
        <f>IF(SER_hh_tesh!X18=0,0,SER_hh_tesh!X18/SER_summary!X$26)</f>
        <v>27.155786885502081</v>
      </c>
      <c r="Y18" s="132">
        <f>IF(SER_hh_tesh!Y18=0,0,SER_hh_tesh!Y18/SER_summary!Y$26)</f>
        <v>27.368491018331316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19.203406634772207</v>
      </c>
      <c r="C19" s="130">
        <f>IF(SER_hh_tesh!C19=0,0,SER_hh_tesh!C19/SER_summary!C$26)</f>
        <v>19.095434989880914</v>
      </c>
      <c r="D19" s="130">
        <f>IF(SER_hh_tesh!D19=0,0,SER_hh_tesh!D19/SER_summary!D$26)</f>
        <v>19.046334154303164</v>
      </c>
      <c r="E19" s="130">
        <f>IF(SER_hh_tesh!E19=0,0,SER_hh_tesh!E19/SER_summary!E$26)</f>
        <v>19.104608896976742</v>
      </c>
      <c r="F19" s="130">
        <f>IF(SER_hh_tesh!F19=0,0,SER_hh_tesh!F19/SER_summary!F$26)</f>
        <v>19.052172185855518</v>
      </c>
      <c r="G19" s="130">
        <f>IF(SER_hh_tesh!G19=0,0,SER_hh_tesh!G19/SER_summary!G$26)</f>
        <v>19.187565740391012</v>
      </c>
      <c r="H19" s="130">
        <f>IF(SER_hh_tesh!H19=0,0,SER_hh_tesh!H19/SER_summary!H$26)</f>
        <v>19.087699664648884</v>
      </c>
      <c r="I19" s="130">
        <f>IF(SER_hh_tesh!I19=0,0,SER_hh_tesh!I19/SER_summary!I$26)</f>
        <v>19.236341887249012</v>
      </c>
      <c r="J19" s="130">
        <f>IF(SER_hh_tesh!J19=0,0,SER_hh_tesh!J19/SER_summary!J$26)</f>
        <v>19.416184243988255</v>
      </c>
      <c r="K19" s="130">
        <f>IF(SER_hh_tesh!K19=0,0,SER_hh_tesh!K19/SER_summary!K$26)</f>
        <v>19.679163179408071</v>
      </c>
      <c r="L19" s="130">
        <f>IF(SER_hh_tesh!L19=0,0,SER_hh_tesh!L19/SER_summary!L$26)</f>
        <v>19.658462260257512</v>
      </c>
      <c r="M19" s="130">
        <f>IF(SER_hh_tesh!M19=0,0,SER_hh_tesh!M19/SER_summary!M$26)</f>
        <v>19.81737707286457</v>
      </c>
      <c r="N19" s="130">
        <f>IF(SER_hh_tesh!N19=0,0,SER_hh_tesh!N19/SER_summary!N$26)</f>
        <v>19.805015702718663</v>
      </c>
      <c r="O19" s="130">
        <f>IF(SER_hh_tesh!O19=0,0,SER_hh_tesh!O19/SER_summary!O$26)</f>
        <v>20.017114300121374</v>
      </c>
      <c r="P19" s="130">
        <f>IF(SER_hh_tesh!P19=0,0,SER_hh_tesh!P19/SER_summary!P$26)</f>
        <v>20.090251434901614</v>
      </c>
      <c r="Q19" s="130">
        <f>IF(SER_hh_tesh!Q19=0,0,SER_hh_tesh!Q19/SER_summary!Q$26)</f>
        <v>20.045579418597217</v>
      </c>
      <c r="R19" s="130">
        <f>IF(SER_hh_tesh!R19=0,0,SER_hh_tesh!R19/SER_summary!R$26)</f>
        <v>19.893844030384933</v>
      </c>
      <c r="S19" s="130">
        <f>IF(SER_hh_tesh!S19=0,0,SER_hh_tesh!S19/SER_summary!S$26)</f>
        <v>20.049274754218736</v>
      </c>
      <c r="T19" s="130">
        <f>IF(SER_hh_tesh!T19=0,0,SER_hh_tesh!T19/SER_summary!T$26)</f>
        <v>20.103232976264856</v>
      </c>
      <c r="U19" s="130">
        <f>IF(SER_hh_tesh!U19=0,0,SER_hh_tesh!U19/SER_summary!U$26)</f>
        <v>20.280469010491579</v>
      </c>
      <c r="V19" s="130">
        <f>IF(SER_hh_tesh!V19=0,0,SER_hh_tesh!V19/SER_summary!V$26)</f>
        <v>20.678928277824955</v>
      </c>
      <c r="W19" s="130">
        <f>IF(SER_hh_tesh!W19=0,0,SER_hh_tesh!W19/SER_summary!W$26)</f>
        <v>20.624748197235096</v>
      </c>
      <c r="X19" s="130">
        <f>IF(SER_hh_tesh!X19=0,0,SER_hh_tesh!X19/SER_summary!X$26)</f>
        <v>20.178036994897898</v>
      </c>
      <c r="Y19" s="130">
        <f>IF(SER_hh_tesh!Y19=0,0,SER_hh_tesh!Y19/SER_summary!Y$26)</f>
        <v>20.095219796520261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0</v>
      </c>
      <c r="C21" s="132">
        <f>IF(SER_hh_tesh!C21=0,0,SER_hh_tesh!C21/SER_summary!C$26)</f>
        <v>0</v>
      </c>
      <c r="D21" s="132">
        <f>IF(SER_hh_tesh!D21=0,0,SER_hh_tesh!D21/SER_summary!D$26)</f>
        <v>0</v>
      </c>
      <c r="E21" s="132">
        <f>IF(SER_hh_tesh!E21=0,0,SER_hh_tesh!E21/SER_summary!E$26)</f>
        <v>0</v>
      </c>
      <c r="F21" s="132">
        <f>IF(SER_hh_tesh!F21=0,0,SER_hh_tesh!F21/SER_summary!F$26)</f>
        <v>0</v>
      </c>
      <c r="G21" s="132">
        <f>IF(SER_hh_tesh!G21=0,0,SER_hh_tesh!G21/SER_summary!G$26)</f>
        <v>0</v>
      </c>
      <c r="H21" s="132">
        <f>IF(SER_hh_tesh!H21=0,0,SER_hh_tesh!H21/SER_summary!H$26)</f>
        <v>0</v>
      </c>
      <c r="I21" s="132">
        <f>IF(SER_hh_tesh!I21=0,0,SER_hh_tesh!I21/SER_summary!I$26)</f>
        <v>0</v>
      </c>
      <c r="J21" s="132">
        <f>IF(SER_hh_tesh!J21=0,0,SER_hh_tesh!J21/SER_summary!J$26)</f>
        <v>0</v>
      </c>
      <c r="K21" s="132">
        <f>IF(SER_hh_tesh!K21=0,0,SER_hh_tesh!K21/SER_summary!K$26)</f>
        <v>0</v>
      </c>
      <c r="L21" s="132">
        <f>IF(SER_hh_tesh!L21=0,0,SER_hh_tesh!L21/SER_summary!L$26)</f>
        <v>0</v>
      </c>
      <c r="M21" s="132">
        <f>IF(SER_hh_tesh!M21=0,0,SER_hh_tesh!M21/SER_summary!M$26)</f>
        <v>0</v>
      </c>
      <c r="N21" s="132">
        <f>IF(SER_hh_tesh!N21=0,0,SER_hh_tesh!N21/SER_summary!N$26)</f>
        <v>0</v>
      </c>
      <c r="O21" s="132">
        <f>IF(SER_hh_tesh!O21=0,0,SER_hh_tesh!O21/SER_summary!O$26)</f>
        <v>0</v>
      </c>
      <c r="P21" s="132">
        <f>IF(SER_hh_tesh!P21=0,0,SER_hh_tesh!P21/SER_summary!P$26)</f>
        <v>0</v>
      </c>
      <c r="Q21" s="132">
        <f>IF(SER_hh_tesh!Q21=0,0,SER_hh_tesh!Q21/SER_summary!Q$26)</f>
        <v>0</v>
      </c>
      <c r="R21" s="132">
        <f>IF(SER_hh_tesh!R21=0,0,SER_hh_tesh!R21/SER_summary!R$26)</f>
        <v>0</v>
      </c>
      <c r="S21" s="132">
        <f>IF(SER_hh_tesh!S21=0,0,SER_hh_tesh!S21/SER_summary!S$26)</f>
        <v>0</v>
      </c>
      <c r="T21" s="132">
        <f>IF(SER_hh_tesh!T21=0,0,SER_hh_tesh!T21/SER_summary!T$26)</f>
        <v>0</v>
      </c>
      <c r="U21" s="132">
        <f>IF(SER_hh_tesh!U21=0,0,SER_hh_tesh!U21/SER_summary!U$26)</f>
        <v>0</v>
      </c>
      <c r="V21" s="132">
        <f>IF(SER_hh_tesh!V21=0,0,SER_hh_tesh!V21/SER_summary!V$26)</f>
        <v>0</v>
      </c>
      <c r="W21" s="132">
        <f>IF(SER_hh_tesh!W21=0,0,SER_hh_tesh!W21/SER_summary!W$26)</f>
        <v>0</v>
      </c>
      <c r="X21" s="132">
        <f>IF(SER_hh_tesh!X21=0,0,SER_hh_tesh!X21/SER_summary!X$26)</f>
        <v>0</v>
      </c>
      <c r="Y21" s="132">
        <f>IF(SER_hh_tesh!Y21=0,0,SER_hh_tesh!Y21/SER_summary!Y$26)</f>
        <v>0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19.274775512859367</v>
      </c>
      <c r="C22" s="132">
        <f>IF(SER_hh_tesh!C22=0,0,SER_hh_tesh!C22/SER_summary!C$26)</f>
        <v>19.225022211574757</v>
      </c>
      <c r="D22" s="132">
        <f>IF(SER_hh_tesh!D22=0,0,SER_hh_tesh!D22/SER_summary!D$26)</f>
        <v>19.171805885724002</v>
      </c>
      <c r="E22" s="132">
        <f>IF(SER_hh_tesh!E22=0,0,SER_hh_tesh!E22/SER_summary!E$26)</f>
        <v>20.019780427844328</v>
      </c>
      <c r="F22" s="132">
        <f>IF(SER_hh_tesh!F22=0,0,SER_hh_tesh!F22/SER_summary!F$26)</f>
        <v>20.382114491689421</v>
      </c>
      <c r="G22" s="132">
        <f>IF(SER_hh_tesh!G22=0,0,SER_hh_tesh!G22/SER_summary!G$26)</f>
        <v>16.529067297542049</v>
      </c>
      <c r="H22" s="132">
        <f>IF(SER_hh_tesh!H22=0,0,SER_hh_tesh!H22/SER_summary!H$26)</f>
        <v>19.370646826506597</v>
      </c>
      <c r="I22" s="132">
        <f>IF(SER_hh_tesh!I22=0,0,SER_hh_tesh!I22/SER_summary!I$26)</f>
        <v>19.494624067331451</v>
      </c>
      <c r="J22" s="132">
        <f>IF(SER_hh_tesh!J22=0,0,SER_hh_tesh!J22/SER_summary!J$26)</f>
        <v>20.876654976228004</v>
      </c>
      <c r="K22" s="132">
        <f>IF(SER_hh_tesh!K22=0,0,SER_hh_tesh!K22/SER_summary!K$26)</f>
        <v>15.975050985023286</v>
      </c>
      <c r="L22" s="132">
        <f>IF(SER_hh_tesh!L22=0,0,SER_hh_tesh!L22/SER_summary!L$26)</f>
        <v>16.460524171300726</v>
      </c>
      <c r="M22" s="132">
        <f>IF(SER_hh_tesh!M22=0,0,SER_hh_tesh!M22/SER_summary!M$26)</f>
        <v>17.106029375833323</v>
      </c>
      <c r="N22" s="132">
        <f>IF(SER_hh_tesh!N22=0,0,SER_hh_tesh!N22/SER_summary!N$26)</f>
        <v>21.993972311278391</v>
      </c>
      <c r="O22" s="132">
        <f>IF(SER_hh_tesh!O22=0,0,SER_hh_tesh!O22/SER_summary!O$26)</f>
        <v>22.29499723505889</v>
      </c>
      <c r="P22" s="132">
        <f>IF(SER_hh_tesh!P22=0,0,SER_hh_tesh!P22/SER_summary!P$26)</f>
        <v>16.002429848429614</v>
      </c>
      <c r="Q22" s="132">
        <f>IF(SER_hh_tesh!Q22=0,0,SER_hh_tesh!Q22/SER_summary!Q$26)</f>
        <v>21.278426130568803</v>
      </c>
      <c r="R22" s="132">
        <f>IF(SER_hh_tesh!R22=0,0,SER_hh_tesh!R22/SER_summary!R$26)</f>
        <v>20.384772338961881</v>
      </c>
      <c r="S22" s="132">
        <f>IF(SER_hh_tesh!S22=0,0,SER_hh_tesh!S22/SER_summary!S$26)</f>
        <v>20.411416046554365</v>
      </c>
      <c r="T22" s="132">
        <f>IF(SER_hh_tesh!T22=0,0,SER_hh_tesh!T22/SER_summary!T$26)</f>
        <v>20.79123998357538</v>
      </c>
      <c r="U22" s="132">
        <f>IF(SER_hh_tesh!U22=0,0,SER_hh_tesh!U22/SER_summary!U$26)</f>
        <v>20.502132935548314</v>
      </c>
      <c r="V22" s="132">
        <f>IF(SER_hh_tesh!V22=0,0,SER_hh_tesh!V22/SER_summary!V$26)</f>
        <v>21.152086250709523</v>
      </c>
      <c r="W22" s="132">
        <f>IF(SER_hh_tesh!W22=0,0,SER_hh_tesh!W22/SER_summary!W$26)</f>
        <v>20.58541877926498</v>
      </c>
      <c r="X22" s="132">
        <f>IF(SER_hh_tesh!X22=0,0,SER_hh_tesh!X22/SER_summary!X$26)</f>
        <v>21.104898810662093</v>
      </c>
      <c r="Y22" s="132">
        <f>IF(SER_hh_tesh!Y22=0,0,SER_hh_tesh!Y22/SER_summary!Y$26)</f>
        <v>18.216808112636627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19.47749329548515</v>
      </c>
      <c r="C23" s="132">
        <f>IF(SER_hh_tesh!C23=0,0,SER_hh_tesh!C23/SER_summary!C$26)</f>
        <v>17.415606575512616</v>
      </c>
      <c r="D23" s="132">
        <f>IF(SER_hh_tesh!D23=0,0,SER_hh_tesh!D23/SER_summary!D$26)</f>
        <v>19.043605584080971</v>
      </c>
      <c r="E23" s="132">
        <f>IF(SER_hh_tesh!E23=0,0,SER_hh_tesh!E23/SER_summary!E$26)</f>
        <v>20.110697207280833</v>
      </c>
      <c r="F23" s="132">
        <f>IF(SER_hh_tesh!F23=0,0,SER_hh_tesh!F23/SER_summary!F$26)</f>
        <v>17.962382091169669</v>
      </c>
      <c r="G23" s="132">
        <f>IF(SER_hh_tesh!G23=0,0,SER_hh_tesh!G23/SER_summary!G$26)</f>
        <v>18.427331534200778</v>
      </c>
      <c r="H23" s="132">
        <f>IF(SER_hh_tesh!H23=0,0,SER_hh_tesh!H23/SER_summary!H$26)</f>
        <v>20.545055422420628</v>
      </c>
      <c r="I23" s="132">
        <f>IF(SER_hh_tesh!I23=0,0,SER_hh_tesh!I23/SER_summary!I$26)</f>
        <v>19.132453957071139</v>
      </c>
      <c r="J23" s="132">
        <f>IF(SER_hh_tesh!J23=0,0,SER_hh_tesh!J23/SER_summary!J$26)</f>
        <v>19.844357054878554</v>
      </c>
      <c r="K23" s="132">
        <f>IF(SER_hh_tesh!K23=0,0,SER_hh_tesh!K23/SER_summary!K$26)</f>
        <v>19.439240090805257</v>
      </c>
      <c r="L23" s="132">
        <f>IF(SER_hh_tesh!L23=0,0,SER_hh_tesh!L23/SER_summary!L$26)</f>
        <v>19.953742908195977</v>
      </c>
      <c r="M23" s="132">
        <f>IF(SER_hh_tesh!M23=0,0,SER_hh_tesh!M23/SER_summary!M$26)</f>
        <v>19.623279375308108</v>
      </c>
      <c r="N23" s="132">
        <f>IF(SER_hh_tesh!N23=0,0,SER_hh_tesh!N23/SER_summary!N$26)</f>
        <v>19.655207464508678</v>
      </c>
      <c r="O23" s="132">
        <f>IF(SER_hh_tesh!O23=0,0,SER_hh_tesh!O23/SER_summary!O$26)</f>
        <v>19.812658672252191</v>
      </c>
      <c r="P23" s="132">
        <f>IF(SER_hh_tesh!P23=0,0,SER_hh_tesh!P23/SER_summary!P$26)</f>
        <v>20.559406814276919</v>
      </c>
      <c r="Q23" s="132">
        <f>IF(SER_hh_tesh!Q23=0,0,SER_hh_tesh!Q23/SER_summary!Q$26)</f>
        <v>20.823194277932064</v>
      </c>
      <c r="R23" s="132">
        <f>IF(SER_hh_tesh!R23=0,0,SER_hh_tesh!R23/SER_summary!R$26)</f>
        <v>22.493017321952337</v>
      </c>
      <c r="S23" s="132">
        <f>IF(SER_hh_tesh!S23=0,0,SER_hh_tesh!S23/SER_summary!S$26)</f>
        <v>13.215617513589892</v>
      </c>
      <c r="T23" s="132">
        <f>IF(SER_hh_tesh!T23=0,0,SER_hh_tesh!T23/SER_summary!T$26)</f>
        <v>18.280192086775873</v>
      </c>
      <c r="U23" s="132">
        <f>IF(SER_hh_tesh!U23=0,0,SER_hh_tesh!U23/SER_summary!U$26)</f>
        <v>22.947667976821133</v>
      </c>
      <c r="V23" s="132">
        <f>IF(SER_hh_tesh!V23=0,0,SER_hh_tesh!V23/SER_summary!V$26)</f>
        <v>22.069714589040238</v>
      </c>
      <c r="W23" s="132">
        <f>IF(SER_hh_tesh!W23=0,0,SER_hh_tesh!W23/SER_summary!W$26)</f>
        <v>22.389089901190125</v>
      </c>
      <c r="X23" s="132">
        <f>IF(SER_hh_tesh!X23=0,0,SER_hh_tesh!X23/SER_summary!X$26)</f>
        <v>20.076447867760898</v>
      </c>
      <c r="Y23" s="132">
        <f>IF(SER_hh_tesh!Y23=0,0,SER_hh_tesh!Y23/SER_summary!Y$26)</f>
        <v>19.369231888728681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19.419839653680963</v>
      </c>
      <c r="C25" s="132">
        <f>IF(SER_hh_tesh!C25=0,0,SER_hh_tesh!C25/SER_summary!C$26)</f>
        <v>19.034976717271817</v>
      </c>
      <c r="D25" s="132">
        <f>IF(SER_hh_tesh!D25=0,0,SER_hh_tesh!D25/SER_summary!D$26)</f>
        <v>18.852734229577447</v>
      </c>
      <c r="E25" s="132">
        <f>IF(SER_hh_tesh!E25=0,0,SER_hh_tesh!E25/SER_summary!E$26)</f>
        <v>18.64596334032197</v>
      </c>
      <c r="F25" s="132">
        <f>IF(SER_hh_tesh!F25=0,0,SER_hh_tesh!F25/SER_summary!F$26)</f>
        <v>18.954852430024413</v>
      </c>
      <c r="G25" s="132">
        <f>IF(SER_hh_tesh!G25=0,0,SER_hh_tesh!G25/SER_summary!G$26)</f>
        <v>19.443467014036305</v>
      </c>
      <c r="H25" s="132">
        <f>IF(SER_hh_tesh!H25=0,0,SER_hh_tesh!H25/SER_summary!H$26)</f>
        <v>19.589857780625604</v>
      </c>
      <c r="I25" s="132">
        <f>IF(SER_hh_tesh!I25=0,0,SER_hh_tesh!I25/SER_summary!I$26)</f>
        <v>19.079353610686855</v>
      </c>
      <c r="J25" s="132">
        <f>IF(SER_hh_tesh!J25=0,0,SER_hh_tesh!J25/SER_summary!J$26)</f>
        <v>19.476961339133034</v>
      </c>
      <c r="K25" s="132">
        <f>IF(SER_hh_tesh!K25=0,0,SER_hh_tesh!K25/SER_summary!K$26)</f>
        <v>19.545943293103967</v>
      </c>
      <c r="L25" s="132">
        <f>IF(SER_hh_tesh!L25=0,0,SER_hh_tesh!L25/SER_summary!L$26)</f>
        <v>19.548438051392733</v>
      </c>
      <c r="M25" s="132">
        <f>IF(SER_hh_tesh!M25=0,0,SER_hh_tesh!M25/SER_summary!M$26)</f>
        <v>19.758236764196273</v>
      </c>
      <c r="N25" s="132">
        <f>IF(SER_hh_tesh!N25=0,0,SER_hh_tesh!N25/SER_summary!N$26)</f>
        <v>20.135093284783597</v>
      </c>
      <c r="O25" s="132">
        <f>IF(SER_hh_tesh!O25=0,0,SER_hh_tesh!O25/SER_summary!O$26)</f>
        <v>20.010156589036121</v>
      </c>
      <c r="P25" s="132">
        <f>IF(SER_hh_tesh!P25=0,0,SER_hh_tesh!P25/SER_summary!P$26)</f>
        <v>19.936086021361834</v>
      </c>
      <c r="Q25" s="132">
        <f>IF(SER_hh_tesh!Q25=0,0,SER_hh_tesh!Q25/SER_summary!Q$26)</f>
        <v>19.733991130065935</v>
      </c>
      <c r="R25" s="132">
        <f>IF(SER_hh_tesh!R25=0,0,SER_hh_tesh!R25/SER_summary!R$26)</f>
        <v>20.620154021736404</v>
      </c>
      <c r="S25" s="132">
        <f>IF(SER_hh_tesh!S25=0,0,SER_hh_tesh!S25/SER_summary!S$26)</f>
        <v>19.597038268829685</v>
      </c>
      <c r="T25" s="132">
        <f>IF(SER_hh_tesh!T25=0,0,SER_hh_tesh!T25/SER_summary!T$26)</f>
        <v>20.643130433979518</v>
      </c>
      <c r="U25" s="132">
        <f>IF(SER_hh_tesh!U25=0,0,SER_hh_tesh!U25/SER_summary!U$26)</f>
        <v>20.706820723913843</v>
      </c>
      <c r="V25" s="132">
        <f>IF(SER_hh_tesh!V25=0,0,SER_hh_tesh!V25/SER_summary!V$26)</f>
        <v>17.977761205763102</v>
      </c>
      <c r="W25" s="132">
        <f>IF(SER_hh_tesh!W25=0,0,SER_hh_tesh!W25/SER_summary!W$26)</f>
        <v>21.447481183879535</v>
      </c>
      <c r="X25" s="132">
        <f>IF(SER_hh_tesh!X25=0,0,SER_hh_tesh!X25/SER_summary!X$26)</f>
        <v>20.449049948077029</v>
      </c>
      <c r="Y25" s="132">
        <f>IF(SER_hh_tesh!Y25=0,0,SER_hh_tesh!Y25/SER_summary!Y$26)</f>
        <v>20.018792429390547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18.951778361007047</v>
      </c>
      <c r="C26" s="65">
        <f>IF(SER_hh_tesh!C26=0,0,SER_hh_tesh!C26/SER_summary!C$26)</f>
        <v>19.115707885200813</v>
      </c>
      <c r="D26" s="65">
        <f>IF(SER_hh_tesh!D26=0,0,SER_hh_tesh!D26/SER_summary!D$26)</f>
        <v>19.181662354449031</v>
      </c>
      <c r="E26" s="65">
        <f>IF(SER_hh_tesh!E26=0,0,SER_hh_tesh!E26/SER_summary!E$26)</f>
        <v>19.187176205686679</v>
      </c>
      <c r="F26" s="65">
        <f>IF(SER_hh_tesh!F26=0,0,SER_hh_tesh!F26/SER_summary!F$26)</f>
        <v>18.725184433067696</v>
      </c>
      <c r="G26" s="65">
        <f>IF(SER_hh_tesh!G26=0,0,SER_hh_tesh!G26/SER_summary!G$26)</f>
        <v>19.641772031471763</v>
      </c>
      <c r="H26" s="65">
        <f>IF(SER_hh_tesh!H26=0,0,SER_hh_tesh!H26/SER_summary!H$26)</f>
        <v>18.448770379507394</v>
      </c>
      <c r="I26" s="65">
        <f>IF(SER_hh_tesh!I26=0,0,SER_hh_tesh!I26/SER_summary!I$26)</f>
        <v>19.357412258490292</v>
      </c>
      <c r="J26" s="65">
        <f>IF(SER_hh_tesh!J26=0,0,SER_hh_tesh!J26/SER_summary!J$26)</f>
        <v>19.135240535076729</v>
      </c>
      <c r="K26" s="65">
        <f>IF(SER_hh_tesh!K26=0,0,SER_hh_tesh!K26/SER_summary!K$26)</f>
        <v>20.198399849655498</v>
      </c>
      <c r="L26" s="65">
        <f>IF(SER_hh_tesh!L26=0,0,SER_hh_tesh!L26/SER_summary!L$26)</f>
        <v>20.047871060689701</v>
      </c>
      <c r="M26" s="65">
        <f>IF(SER_hh_tesh!M26=0,0,SER_hh_tesh!M26/SER_summary!M$26)</f>
        <v>20.144195268844157</v>
      </c>
      <c r="N26" s="65">
        <f>IF(SER_hh_tesh!N26=0,0,SER_hh_tesh!N26/SER_summary!N$26)</f>
        <v>19.20870624824321</v>
      </c>
      <c r="O26" s="65">
        <f>IF(SER_hh_tesh!O26=0,0,SER_hh_tesh!O26/SER_summary!O$26)</f>
        <v>19.729375963772707</v>
      </c>
      <c r="P26" s="65">
        <f>IF(SER_hh_tesh!P26=0,0,SER_hh_tesh!P26/SER_summary!P$26)</f>
        <v>20.803591905906632</v>
      </c>
      <c r="Q26" s="65">
        <f>IF(SER_hh_tesh!Q26=0,0,SER_hh_tesh!Q26/SER_summary!Q$26)</f>
        <v>20.173705296604094</v>
      </c>
      <c r="R26" s="65">
        <f>IF(SER_hh_tesh!R26=0,0,SER_hh_tesh!R26/SER_summary!R$26)</f>
        <v>18.889816035846557</v>
      </c>
      <c r="S26" s="65">
        <f>IF(SER_hh_tesh!S26=0,0,SER_hh_tesh!S26/SER_summary!S$26)</f>
        <v>20.691205740583676</v>
      </c>
      <c r="T26" s="65">
        <f>IF(SER_hh_tesh!T26=0,0,SER_hh_tesh!T26/SER_summary!T$26)</f>
        <v>19.411684754340186</v>
      </c>
      <c r="U26" s="65">
        <f>IF(SER_hh_tesh!U26=0,0,SER_hh_tesh!U26/SER_summary!U$26)</f>
        <v>19.699496927119306</v>
      </c>
      <c r="V26" s="65">
        <f>IF(SER_hh_tesh!V26=0,0,SER_hh_tesh!V26/SER_summary!V$26)</f>
        <v>23.475096817945662</v>
      </c>
      <c r="W26" s="65">
        <f>IF(SER_hh_tesh!W26=0,0,SER_hh_tesh!W26/SER_summary!W$26)</f>
        <v>19.645266922849544</v>
      </c>
      <c r="X26" s="65">
        <f>IF(SER_hh_tesh!X26=0,0,SER_hh_tesh!X26/SER_summary!X$26)</f>
        <v>19.723557513870791</v>
      </c>
      <c r="Y26" s="65">
        <f>IF(SER_hh_tesh!Y26=0,0,SER_hh_tesh!Y26/SER_summary!Y$26)</f>
        <v>20.437134259002459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</v>
      </c>
      <c r="C27" s="145">
        <f>IF(SER_hh_tesh!C27=0,0,SER_hh_tesh!C27/SER_summary!C$26)</f>
        <v>0</v>
      </c>
      <c r="D27" s="145">
        <f>IF(SER_hh_tesh!D27=0,0,SER_hh_tesh!D27/SER_summary!D$26)</f>
        <v>0</v>
      </c>
      <c r="E27" s="145">
        <f>IF(SER_hh_tesh!E27=0,0,SER_hh_tesh!E27/SER_summary!E$26)</f>
        <v>0</v>
      </c>
      <c r="F27" s="145">
        <f>IF(SER_hh_tesh!F27=0,0,SER_hh_tesh!F27/SER_summary!F$26)</f>
        <v>0</v>
      </c>
      <c r="G27" s="145">
        <f>IF(SER_hh_tesh!G27=0,0,SER_hh_tesh!G27/SER_summary!G$26)</f>
        <v>0</v>
      </c>
      <c r="H27" s="145">
        <f>IF(SER_hh_tesh!H27=0,0,SER_hh_tesh!H27/SER_summary!H$26)</f>
        <v>0</v>
      </c>
      <c r="I27" s="145">
        <f>IF(SER_hh_tesh!I27=0,0,SER_hh_tesh!I27/SER_summary!I$26)</f>
        <v>0</v>
      </c>
      <c r="J27" s="145">
        <f>IF(SER_hh_tesh!J27=0,0,SER_hh_tesh!J27/SER_summary!J$26)</f>
        <v>0</v>
      </c>
      <c r="K27" s="145">
        <f>IF(SER_hh_tesh!K27=0,0,SER_hh_tesh!K27/SER_summary!K$26)</f>
        <v>0</v>
      </c>
      <c r="L27" s="145">
        <f>IF(SER_hh_tesh!L27=0,0,SER_hh_tesh!L27/SER_summary!L$26)</f>
        <v>0</v>
      </c>
      <c r="M27" s="145">
        <f>IF(SER_hh_tesh!M27=0,0,SER_hh_tesh!M27/SER_summary!M$26)</f>
        <v>0</v>
      </c>
      <c r="N27" s="145">
        <f>IF(SER_hh_tesh!N27=0,0,SER_hh_tesh!N27/SER_summary!N$26)</f>
        <v>0</v>
      </c>
      <c r="O27" s="145">
        <f>IF(SER_hh_tesh!O27=0,0,SER_hh_tesh!O27/SER_summary!O$26)</f>
        <v>0</v>
      </c>
      <c r="P27" s="145">
        <f>IF(SER_hh_tesh!P27=0,0,SER_hh_tesh!P27/SER_summary!P$26)</f>
        <v>0</v>
      </c>
      <c r="Q27" s="145">
        <f>IF(SER_hh_tesh!Q27=0,0,SER_hh_tesh!Q27/SER_summary!Q$26)</f>
        <v>0</v>
      </c>
      <c r="R27" s="145">
        <f>IF(SER_hh_tesh!R27=0,0,SER_hh_tesh!R27/SER_summary!R$26)</f>
        <v>0</v>
      </c>
      <c r="S27" s="145">
        <f>IF(SER_hh_tesh!S27=0,0,SER_hh_tesh!S27/SER_summary!S$26)</f>
        <v>0</v>
      </c>
      <c r="T27" s="145">
        <f>IF(SER_hh_tesh!T27=0,0,SER_hh_tesh!T27/SER_summary!T$26)</f>
        <v>0</v>
      </c>
      <c r="U27" s="145">
        <f>IF(SER_hh_tesh!U27=0,0,SER_hh_tesh!U27/SER_summary!U$26)</f>
        <v>0</v>
      </c>
      <c r="V27" s="145">
        <f>IF(SER_hh_tesh!V27=0,0,SER_hh_tesh!V27/SER_summary!V$26)</f>
        <v>0</v>
      </c>
      <c r="W27" s="145">
        <f>IF(SER_hh_tesh!W27=0,0,SER_hh_tesh!W27/SER_summary!W$26)</f>
        <v>0</v>
      </c>
      <c r="X27" s="145">
        <f>IF(SER_hh_tesh!X27=0,0,SER_hh_tesh!X27/SER_summary!X$26)</f>
        <v>0</v>
      </c>
      <c r="Y27" s="145">
        <f>IF(SER_hh_tesh!Y27=0,0,SER_hh_tesh!Y27/SER_summary!Y$26)</f>
        <v>0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0</v>
      </c>
      <c r="C28" s="146">
        <f>IF(SER_hh_tesh!C28=0,0,SER_hh_tesh!C28/SER_summary!C$26)</f>
        <v>0</v>
      </c>
      <c r="D28" s="146">
        <f>IF(SER_hh_tesh!D28=0,0,SER_hh_tesh!D28/SER_summary!D$26)</f>
        <v>0</v>
      </c>
      <c r="E28" s="146">
        <f>IF(SER_hh_tesh!E28=0,0,SER_hh_tesh!E28/SER_summary!E$26)</f>
        <v>0</v>
      </c>
      <c r="F28" s="146">
        <f>IF(SER_hh_tesh!F28=0,0,SER_hh_tesh!F28/SER_summary!F$26)</f>
        <v>0</v>
      </c>
      <c r="G28" s="146">
        <f>IF(SER_hh_tesh!G28=0,0,SER_hh_tesh!G28/SER_summary!G$26)</f>
        <v>0</v>
      </c>
      <c r="H28" s="146">
        <f>IF(SER_hh_tesh!H28=0,0,SER_hh_tesh!H28/SER_summary!H$26)</f>
        <v>0</v>
      </c>
      <c r="I28" s="146">
        <f>IF(SER_hh_tesh!I28=0,0,SER_hh_tesh!I28/SER_summary!I$26)</f>
        <v>0</v>
      </c>
      <c r="J28" s="146">
        <f>IF(SER_hh_tesh!J28=0,0,SER_hh_tesh!J28/SER_summary!J$26)</f>
        <v>0</v>
      </c>
      <c r="K28" s="146">
        <f>IF(SER_hh_tesh!K28=0,0,SER_hh_tesh!K28/SER_summary!K$26)</f>
        <v>0</v>
      </c>
      <c r="L28" s="146">
        <f>IF(SER_hh_tesh!L28=0,0,SER_hh_tesh!L28/SER_summary!L$26)</f>
        <v>0</v>
      </c>
      <c r="M28" s="146">
        <f>IF(SER_hh_tesh!M28=0,0,SER_hh_tesh!M28/SER_summary!M$26)</f>
        <v>0</v>
      </c>
      <c r="N28" s="146">
        <f>IF(SER_hh_tesh!N28=0,0,SER_hh_tesh!N28/SER_summary!N$26)</f>
        <v>0</v>
      </c>
      <c r="O28" s="146">
        <f>IF(SER_hh_tesh!O28=0,0,SER_hh_tesh!O28/SER_summary!O$26)</f>
        <v>0</v>
      </c>
      <c r="P28" s="146">
        <f>IF(SER_hh_tesh!P28=0,0,SER_hh_tesh!P28/SER_summary!P$26)</f>
        <v>0</v>
      </c>
      <c r="Q28" s="146">
        <f>IF(SER_hh_tesh!Q28=0,0,SER_hh_tesh!Q28/SER_summary!Q$26)</f>
        <v>0</v>
      </c>
      <c r="R28" s="146">
        <f>IF(SER_hh_tesh!R28=0,0,SER_hh_tesh!R28/SER_summary!R$26)</f>
        <v>0</v>
      </c>
      <c r="S28" s="146">
        <f>IF(SER_hh_tesh!S28=0,0,SER_hh_tesh!S28/SER_summary!S$26)</f>
        <v>0</v>
      </c>
      <c r="T28" s="146">
        <f>IF(SER_hh_tesh!T28=0,0,SER_hh_tesh!T28/SER_summary!T$26)</f>
        <v>0</v>
      </c>
      <c r="U28" s="146">
        <f>IF(SER_hh_tesh!U28=0,0,SER_hh_tesh!U28/SER_summary!U$26)</f>
        <v>0</v>
      </c>
      <c r="V28" s="146">
        <f>IF(SER_hh_tesh!V28=0,0,SER_hh_tesh!V28/SER_summary!V$26)</f>
        <v>0</v>
      </c>
      <c r="W28" s="146">
        <f>IF(SER_hh_tesh!W28=0,0,SER_hh_tesh!W28/SER_summary!W$26)</f>
        <v>0</v>
      </c>
      <c r="X28" s="146">
        <f>IF(SER_hh_tesh!X28=0,0,SER_hh_tesh!X28/SER_summary!X$26)</f>
        <v>0</v>
      </c>
      <c r="Y28" s="146">
        <f>IF(SER_hh_tesh!Y28=0,0,SER_hh_tesh!Y28/SER_summary!Y$26)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17.38423250288071</v>
      </c>
      <c r="C29" s="130">
        <f>IF(SER_hh_tesh!C29=0,0,SER_hh_tesh!C29/SER_summary!C$26)</f>
        <v>17.845015174222386</v>
      </c>
      <c r="D29" s="130">
        <f>IF(SER_hh_tesh!D29=0,0,SER_hh_tesh!D29/SER_summary!D$26)</f>
        <v>18.011575342825392</v>
      </c>
      <c r="E29" s="130">
        <f>IF(SER_hh_tesh!E29=0,0,SER_hh_tesh!E29/SER_summary!E$26)</f>
        <v>18.292011056113747</v>
      </c>
      <c r="F29" s="130">
        <f>IF(SER_hh_tesh!F29=0,0,SER_hh_tesh!F29/SER_summary!F$26)</f>
        <v>18.661542003648847</v>
      </c>
      <c r="G29" s="130">
        <f>IF(SER_hh_tesh!G29=0,0,SER_hh_tesh!G29/SER_summary!G$26)</f>
        <v>18.995058944450804</v>
      </c>
      <c r="H29" s="130">
        <f>IF(SER_hh_tesh!H29=0,0,SER_hh_tesh!H29/SER_summary!H$26)</f>
        <v>19.121395055288204</v>
      </c>
      <c r="I29" s="130">
        <f>IF(SER_hh_tesh!I29=0,0,SER_hh_tesh!I29/SER_summary!I$26)</f>
        <v>19.229556543194871</v>
      </c>
      <c r="J29" s="130">
        <f>IF(SER_hh_tesh!J29=0,0,SER_hh_tesh!J29/SER_summary!J$26)</f>
        <v>19.568520375224633</v>
      </c>
      <c r="K29" s="130">
        <f>IF(SER_hh_tesh!K29=0,0,SER_hh_tesh!K29/SER_summary!K$26)</f>
        <v>20.312865392339194</v>
      </c>
      <c r="L29" s="130">
        <f>IF(SER_hh_tesh!L29=0,0,SER_hh_tesh!L29/SER_summary!L$26)</f>
        <v>20.330709583834583</v>
      </c>
      <c r="M29" s="130">
        <f>IF(SER_hh_tesh!M29=0,0,SER_hh_tesh!M29/SER_summary!M$26)</f>
        <v>20.856754052266144</v>
      </c>
      <c r="N29" s="130">
        <f>IF(SER_hh_tesh!N29=0,0,SER_hh_tesh!N29/SER_summary!N$26)</f>
        <v>21.239474045190732</v>
      </c>
      <c r="O29" s="130">
        <f>IF(SER_hh_tesh!O29=0,0,SER_hh_tesh!O29/SER_summary!O$26)</f>
        <v>21.516372467903878</v>
      </c>
      <c r="P29" s="130">
        <f>IF(SER_hh_tesh!P29=0,0,SER_hh_tesh!P29/SER_summary!P$26)</f>
        <v>21.523353546264541</v>
      </c>
      <c r="Q29" s="130">
        <f>IF(SER_hh_tesh!Q29=0,0,SER_hh_tesh!Q29/SER_summary!Q$26)</f>
        <v>21.515791597369471</v>
      </c>
      <c r="R29" s="130">
        <f>IF(SER_hh_tesh!R29=0,0,SER_hh_tesh!R29/SER_summary!R$26)</f>
        <v>21.788637418684946</v>
      </c>
      <c r="S29" s="130">
        <f>IF(SER_hh_tesh!S29=0,0,SER_hh_tesh!S29/SER_summary!S$26)</f>
        <v>22.549947319867751</v>
      </c>
      <c r="T29" s="130">
        <f>IF(SER_hh_tesh!T29=0,0,SER_hh_tesh!T29/SER_summary!T$26)</f>
        <v>22.612891215754566</v>
      </c>
      <c r="U29" s="130">
        <f>IF(SER_hh_tesh!U29=0,0,SER_hh_tesh!U29/SER_summary!U$26)</f>
        <v>23.458770900050926</v>
      </c>
      <c r="V29" s="130">
        <f>IF(SER_hh_tesh!V29=0,0,SER_hh_tesh!V29/SER_summary!V$26)</f>
        <v>24.047547200388784</v>
      </c>
      <c r="W29" s="130">
        <f>IF(SER_hh_tesh!W29=0,0,SER_hh_tesh!W29/SER_summary!W$26)</f>
        <v>24.121947846089366</v>
      </c>
      <c r="X29" s="130">
        <f>IF(SER_hh_tesh!X29=0,0,SER_hh_tesh!X29/SER_summary!X$26)</f>
        <v>23.084729406132809</v>
      </c>
      <c r="Y29" s="130">
        <f>IF(SER_hh_tesh!Y29=0,0,SER_hh_tesh!Y29/SER_summary!Y$26)</f>
        <v>22.479475423935966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15.720430034321065</v>
      </c>
      <c r="C30" s="132">
        <f>IF(SER_hh_tesh!C30=0,0,SER_hh_tesh!C30/SER_summary!C$26)</f>
        <v>21.925291825673227</v>
      </c>
      <c r="D30" s="132">
        <f>IF(SER_hh_tesh!D30=0,0,SER_hh_tesh!D30/SER_summary!D$26)</f>
        <v>18.780704353210034</v>
      </c>
      <c r="E30" s="132">
        <f>IF(SER_hh_tesh!E30=0,0,SER_hh_tesh!E30/SER_summary!E$26)</f>
        <v>16.970652590119876</v>
      </c>
      <c r="F30" s="132">
        <f>IF(SER_hh_tesh!F30=0,0,SER_hh_tesh!F30/SER_summary!F$26)</f>
        <v>15.792436405341352</v>
      </c>
      <c r="G30" s="132">
        <f>IF(SER_hh_tesh!G30=0,0,SER_hh_tesh!G30/SER_summary!G$26)</f>
        <v>13.540234294679408</v>
      </c>
      <c r="H30" s="132">
        <f>IF(SER_hh_tesh!H30=0,0,SER_hh_tesh!H30/SER_summary!H$26)</f>
        <v>19.34832080745554</v>
      </c>
      <c r="I30" s="132">
        <f>IF(SER_hh_tesh!I30=0,0,SER_hh_tesh!I30/SER_summary!I$26)</f>
        <v>23.892031375563796</v>
      </c>
      <c r="J30" s="132">
        <f>IF(SER_hh_tesh!J30=0,0,SER_hh_tesh!J30/SER_summary!J$26)</f>
        <v>21.237500193446557</v>
      </c>
      <c r="K30" s="132">
        <f>IF(SER_hh_tesh!K30=0,0,SER_hh_tesh!K30/SER_summary!K$26)</f>
        <v>15.05570154945619</v>
      </c>
      <c r="L30" s="132">
        <f>IF(SER_hh_tesh!L30=0,0,SER_hh_tesh!L30/SER_summary!L$26)</f>
        <v>24.460163887670468</v>
      </c>
      <c r="M30" s="132">
        <f>IF(SER_hh_tesh!M30=0,0,SER_hh_tesh!M30/SER_summary!M$26)</f>
        <v>26.946288870158703</v>
      </c>
      <c r="N30" s="132">
        <f>IF(SER_hh_tesh!N30=0,0,SER_hh_tesh!N30/SER_summary!N$26)</f>
        <v>11.154620099618718</v>
      </c>
      <c r="O30" s="132">
        <f>IF(SER_hh_tesh!O30=0,0,SER_hh_tesh!O30/SER_summary!O$26)</f>
        <v>17.868844489099608</v>
      </c>
      <c r="P30" s="132">
        <f>IF(SER_hh_tesh!P30=0,0,SER_hh_tesh!P30/SER_summary!P$26)</f>
        <v>26.635254014456581</v>
      </c>
      <c r="Q30" s="132">
        <f>IF(SER_hh_tesh!Q30=0,0,SER_hh_tesh!Q30/SER_summary!Q$26)</f>
        <v>15.902089771969422</v>
      </c>
      <c r="R30" s="132">
        <f>IF(SER_hh_tesh!R30=0,0,SER_hh_tesh!R30/SER_summary!R$26)</f>
        <v>20.210220945302638</v>
      </c>
      <c r="S30" s="132">
        <f>IF(SER_hh_tesh!S30=0,0,SER_hh_tesh!S30/SER_summary!S$26)</f>
        <v>22.459772142765555</v>
      </c>
      <c r="T30" s="132">
        <f>IF(SER_hh_tesh!T30=0,0,SER_hh_tesh!T30/SER_summary!T$26)</f>
        <v>22.478412169549848</v>
      </c>
      <c r="U30" s="132">
        <f>IF(SER_hh_tesh!U30=0,0,SER_hh_tesh!U30/SER_summary!U$26)</f>
        <v>23.331533272313699</v>
      </c>
      <c r="V30" s="132">
        <f>IF(SER_hh_tesh!V30=0,0,SER_hh_tesh!V30/SER_summary!V$26)</f>
        <v>23.73892904695256</v>
      </c>
      <c r="W30" s="132">
        <f>IF(SER_hh_tesh!W30=0,0,SER_hh_tesh!W30/SER_summary!W$26)</f>
        <v>23.652443154593843</v>
      </c>
      <c r="X30" s="132">
        <f>IF(SER_hh_tesh!X30=0,0,SER_hh_tesh!X30/SER_summary!X$26)</f>
        <v>23.187118468139616</v>
      </c>
      <c r="Y30" s="132">
        <f>IF(SER_hh_tesh!Y30=0,0,SER_hh_tesh!Y30/SER_summary!Y$26)</f>
        <v>22.680695319967374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18.711980796484589</v>
      </c>
      <c r="C31" s="132">
        <f>IF(SER_hh_tesh!C31=0,0,SER_hh_tesh!C31/SER_summary!C$26)</f>
        <v>17.051054301118263</v>
      </c>
      <c r="D31" s="132">
        <f>IF(SER_hh_tesh!D31=0,0,SER_hh_tesh!D31/SER_summary!D$26)</f>
        <v>17.96961844182302</v>
      </c>
      <c r="E31" s="132">
        <f>IF(SER_hh_tesh!E31=0,0,SER_hh_tesh!E31/SER_summary!E$26)</f>
        <v>18.968613603038985</v>
      </c>
      <c r="F31" s="132">
        <f>IF(SER_hh_tesh!F31=0,0,SER_hh_tesh!F31/SER_summary!F$26)</f>
        <v>18.767341130147155</v>
      </c>
      <c r="G31" s="132">
        <f>IF(SER_hh_tesh!G31=0,0,SER_hh_tesh!G31/SER_summary!G$26)</f>
        <v>18.978186063024349</v>
      </c>
      <c r="H31" s="132">
        <f>IF(SER_hh_tesh!H31=0,0,SER_hh_tesh!H31/SER_summary!H$26)</f>
        <v>19.234536189340773</v>
      </c>
      <c r="I31" s="132">
        <f>IF(SER_hh_tesh!I31=0,0,SER_hh_tesh!I31/SER_summary!I$26)</f>
        <v>19.55329153951919</v>
      </c>
      <c r="J31" s="132">
        <f>IF(SER_hh_tesh!J31=0,0,SER_hh_tesh!J31/SER_summary!J$26)</f>
        <v>20.523264180034015</v>
      </c>
      <c r="K31" s="132">
        <f>IF(SER_hh_tesh!K31=0,0,SER_hh_tesh!K31/SER_summary!K$26)</f>
        <v>20.296372612382807</v>
      </c>
      <c r="L31" s="132">
        <f>IF(SER_hh_tesh!L31=0,0,SER_hh_tesh!L31/SER_summary!L$26)</f>
        <v>19.406381304771845</v>
      </c>
      <c r="M31" s="132">
        <f>IF(SER_hh_tesh!M31=0,0,SER_hh_tesh!M31/SER_summary!M$26)</f>
        <v>20.492264155228138</v>
      </c>
      <c r="N31" s="132">
        <f>IF(SER_hh_tesh!N31=0,0,SER_hh_tesh!N31/SER_summary!N$26)</f>
        <v>20.823852297857453</v>
      </c>
      <c r="O31" s="132">
        <f>IF(SER_hh_tesh!O31=0,0,SER_hh_tesh!O31/SER_summary!O$26)</f>
        <v>21.136015923570071</v>
      </c>
      <c r="P31" s="132">
        <f>IF(SER_hh_tesh!P31=0,0,SER_hh_tesh!P31/SER_summary!P$26)</f>
        <v>22.012737973737796</v>
      </c>
      <c r="Q31" s="132">
        <f>IF(SER_hh_tesh!Q31=0,0,SER_hh_tesh!Q31/SER_summary!Q$26)</f>
        <v>22.00448973626926</v>
      </c>
      <c r="R31" s="132">
        <f>IF(SER_hh_tesh!R31=0,0,SER_hh_tesh!R31/SER_summary!R$26)</f>
        <v>24.566975931195749</v>
      </c>
      <c r="S31" s="132">
        <f>IF(SER_hh_tesh!S31=0,0,SER_hh_tesh!S31/SER_summary!S$26)</f>
        <v>14.528761479719563</v>
      </c>
      <c r="T31" s="132">
        <f>IF(SER_hh_tesh!T31=0,0,SER_hh_tesh!T31/SER_summary!T$26)</f>
        <v>21.078347529182885</v>
      </c>
      <c r="U31" s="132">
        <f>IF(SER_hh_tesh!U31=0,0,SER_hh_tesh!U31/SER_summary!U$26)</f>
        <v>26.968671498097748</v>
      </c>
      <c r="V31" s="132">
        <f>IF(SER_hh_tesh!V31=0,0,SER_hh_tesh!V31/SER_summary!V$26)</f>
        <v>23.117643404147621</v>
      </c>
      <c r="W31" s="132">
        <f>IF(SER_hh_tesh!W31=0,0,SER_hh_tesh!W31/SER_summary!W$26)</f>
        <v>24.162098062056476</v>
      </c>
      <c r="X31" s="132">
        <f>IF(SER_hh_tesh!X31=0,0,SER_hh_tesh!X31/SER_summary!X$26)</f>
        <v>23.130900137625936</v>
      </c>
      <c r="Y31" s="132">
        <f>IF(SER_hh_tesh!Y31=0,0,SER_hh_tesh!Y31/SER_summary!Y$26)</f>
        <v>22.62626068291577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17.601993938088643</v>
      </c>
      <c r="C33" s="68">
        <f>IF(SER_hh_tesh!C33=0,0,SER_hh_tesh!C33/SER_summary!C$26)</f>
        <v>17.269082919055599</v>
      </c>
      <c r="D33" s="68">
        <f>IF(SER_hh_tesh!D33=0,0,SER_hh_tesh!D33/SER_summary!D$26)</f>
        <v>17.906425520216168</v>
      </c>
      <c r="E33" s="68">
        <f>IF(SER_hh_tesh!E33=0,0,SER_hh_tesh!E33/SER_summary!E$26)</f>
        <v>18.424164114892726</v>
      </c>
      <c r="F33" s="68">
        <f>IF(SER_hh_tesh!F33=0,0,SER_hh_tesh!F33/SER_summary!F$26)</f>
        <v>18.965751724530335</v>
      </c>
      <c r="G33" s="68">
        <f>IF(SER_hh_tesh!G33=0,0,SER_hh_tesh!G33/SER_summary!G$26)</f>
        <v>19.696888914494252</v>
      </c>
      <c r="H33" s="68">
        <f>IF(SER_hh_tesh!H33=0,0,SER_hh_tesh!H33/SER_summary!H$26)</f>
        <v>19.076030781799144</v>
      </c>
      <c r="I33" s="68">
        <f>IF(SER_hh_tesh!I33=0,0,SER_hh_tesh!I33/SER_summary!I$26)</f>
        <v>18.148827519285291</v>
      </c>
      <c r="J33" s="68">
        <f>IF(SER_hh_tesh!J33=0,0,SER_hh_tesh!J33/SER_summary!J$26)</f>
        <v>19.145090514269384</v>
      </c>
      <c r="K33" s="68">
        <f>IF(SER_hh_tesh!K33=0,0,SER_hh_tesh!K33/SER_summary!K$26)</f>
        <v>21.424968142023808</v>
      </c>
      <c r="L33" s="68">
        <f>IF(SER_hh_tesh!L33=0,0,SER_hh_tesh!L33/SER_summary!L$26)</f>
        <v>19.523868150600332</v>
      </c>
      <c r="M33" s="68">
        <f>IF(SER_hh_tesh!M33=0,0,SER_hh_tesh!M33/SER_summary!M$26)</f>
        <v>19.884563554716237</v>
      </c>
      <c r="N33" s="68">
        <f>IF(SER_hh_tesh!N33=0,0,SER_hh_tesh!N33/SER_summary!N$26)</f>
        <v>22.239510826957993</v>
      </c>
      <c r="O33" s="68">
        <f>IF(SER_hh_tesh!O33=0,0,SER_hh_tesh!O33/SER_summary!O$26)</f>
        <v>21.755084023585219</v>
      </c>
      <c r="P33" s="68">
        <f>IF(SER_hh_tesh!P33=0,0,SER_hh_tesh!P33/SER_summary!P$26)</f>
        <v>21.284819071554463</v>
      </c>
      <c r="Q33" s="68">
        <f>IF(SER_hh_tesh!Q33=0,0,SER_hh_tesh!Q33/SER_summary!Q$26)</f>
        <v>21.696344813102176</v>
      </c>
      <c r="R33" s="68">
        <f>IF(SER_hh_tesh!R33=0,0,SER_hh_tesh!R33/SER_summary!R$26)</f>
        <v>21.796395621686827</v>
      </c>
      <c r="S33" s="68">
        <f>IF(SER_hh_tesh!S33=0,0,SER_hh_tesh!S33/SER_summary!S$26)</f>
        <v>22.648053416238579</v>
      </c>
      <c r="T33" s="68">
        <f>IF(SER_hh_tesh!T33=0,0,SER_hh_tesh!T33/SER_summary!T$26)</f>
        <v>22.633289056214011</v>
      </c>
      <c r="U33" s="68">
        <f>IF(SER_hh_tesh!U33=0,0,SER_hh_tesh!U33/SER_summary!U$26)</f>
        <v>23.417693992892197</v>
      </c>
      <c r="V33" s="68">
        <f>IF(SER_hh_tesh!V33=0,0,SER_hh_tesh!V33/SER_summary!V$26)</f>
        <v>24.066179220490373</v>
      </c>
      <c r="W33" s="68">
        <f>IF(SER_hh_tesh!W33=0,0,SER_hh_tesh!W33/SER_summary!W$26)</f>
        <v>24.131297475150994</v>
      </c>
      <c r="X33" s="68">
        <f>IF(SER_hh_tesh!X33=0,0,SER_hh_tesh!X33/SER_summary!X$26)</f>
        <v>23.081910769949779</v>
      </c>
      <c r="Y33" s="68">
        <f>IF(SER_hh_tesh!Y33=0,0,SER_hh_tesh!Y33/SER_summary!Y$26)</f>
        <v>22.473097493128879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22.927263782818287</v>
      </c>
      <c r="C3" s="125">
        <f>IF(SER_hh_emih!C3=0,0,SER_hh_emih!C3/SER_summary!C$26)</f>
        <v>22.973221808827113</v>
      </c>
      <c r="D3" s="125">
        <f>IF(SER_hh_emih!D3=0,0,SER_hh_emih!D3/SER_summary!D$26)</f>
        <v>22.478064415888301</v>
      </c>
      <c r="E3" s="125">
        <f>IF(SER_hh_emih!E3=0,0,SER_hh_emih!E3/SER_summary!E$26)</f>
        <v>23.210327406864337</v>
      </c>
      <c r="F3" s="125">
        <f>IF(SER_hh_emih!F3=0,0,SER_hh_emih!F3/SER_summary!F$26)</f>
        <v>17.558542557738022</v>
      </c>
      <c r="G3" s="125">
        <f>IF(SER_hh_emih!G3=0,0,SER_hh_emih!G3/SER_summary!G$26)</f>
        <v>9.7823040392046394</v>
      </c>
      <c r="H3" s="125">
        <f>IF(SER_hh_emih!H3=0,0,SER_hh_emih!H3/SER_summary!H$26)</f>
        <v>9.2881618181953023</v>
      </c>
      <c r="I3" s="125">
        <f>IF(SER_hh_emih!I3=0,0,SER_hh_emih!I3/SER_summary!I$26)</f>
        <v>9.4190013431568165</v>
      </c>
      <c r="J3" s="125">
        <f>IF(SER_hh_emih!J3=0,0,SER_hh_emih!J3/SER_summary!J$26)</f>
        <v>8.3306647817970756</v>
      </c>
      <c r="K3" s="125">
        <f>IF(SER_hh_emih!K3=0,0,SER_hh_emih!K3/SER_summary!K$26)</f>
        <v>7.0421068560725484</v>
      </c>
      <c r="L3" s="125">
        <f>IF(SER_hh_emih!L3=0,0,SER_hh_emih!L3/SER_summary!L$26)</f>
        <v>8.4003951330757616</v>
      </c>
      <c r="M3" s="125">
        <f>IF(SER_hh_emih!M3=0,0,SER_hh_emih!M3/SER_summary!M$26)</f>
        <v>7.6941442844335253</v>
      </c>
      <c r="N3" s="125">
        <f>IF(SER_hh_emih!N3=0,0,SER_hh_emih!N3/SER_summary!N$26)</f>
        <v>7.0238527438114193</v>
      </c>
      <c r="O3" s="125">
        <f>IF(SER_hh_emih!O3=0,0,SER_hh_emih!O3/SER_summary!O$26)</f>
        <v>6.1977688595242642</v>
      </c>
      <c r="P3" s="125">
        <f>IF(SER_hh_emih!P3=0,0,SER_hh_emih!P3/SER_summary!P$26)</f>
        <v>5.8792375741621479</v>
      </c>
      <c r="Q3" s="125">
        <f>IF(SER_hh_emih!Q3=0,0,SER_hh_emih!Q3/SER_summary!Q$26)</f>
        <v>5.5071654763925322</v>
      </c>
      <c r="R3" s="125">
        <f>IF(SER_hh_emih!R3=0,0,SER_hh_emih!R3/SER_summary!R$26)</f>
        <v>5.2923340752612269</v>
      </c>
      <c r="S3" s="125">
        <f>IF(SER_hh_emih!S3=0,0,SER_hh_emih!S3/SER_summary!S$26)</f>
        <v>4.6578780305716121</v>
      </c>
      <c r="T3" s="125">
        <f>IF(SER_hh_emih!T3=0,0,SER_hh_emih!T3/SER_summary!T$26)</f>
        <v>4.8561127939229971</v>
      </c>
      <c r="U3" s="125">
        <f>IF(SER_hh_emih!U3=0,0,SER_hh_emih!U3/SER_summary!U$26)</f>
        <v>4.9825422718374934</v>
      </c>
      <c r="V3" s="125">
        <f>IF(SER_hh_emih!V3=0,0,SER_hh_emih!V3/SER_summary!V$26)</f>
        <v>4.7920146837908746</v>
      </c>
      <c r="W3" s="125">
        <f>IF(SER_hh_emih!W3=0,0,SER_hh_emih!W3/SER_summary!W$26)</f>
        <v>4.2131532704404249</v>
      </c>
      <c r="X3" s="125">
        <f>IF(SER_hh_emih!X3=0,0,SER_hh_emih!X3/SER_summary!X$26)</f>
        <v>3.6877613354120946</v>
      </c>
      <c r="Y3" s="125">
        <f>IF(SER_hh_emih!Y3=0,0,SER_hh_emih!Y3/SER_summary!Y$26)</f>
        <v>3.1285270832484162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20.039436479597544</v>
      </c>
      <c r="C4" s="130">
        <f>IF(SER_hh_emih!C4=0,0,SER_hh_emih!C4/SER_summary!C$26)</f>
        <v>19.910584703170922</v>
      </c>
      <c r="D4" s="130">
        <f>IF(SER_hh_emih!D4=0,0,SER_hh_emih!D4/SER_summary!D$26)</f>
        <v>19.678414677817827</v>
      </c>
      <c r="E4" s="130">
        <f>IF(SER_hh_emih!E4=0,0,SER_hh_emih!E4/SER_summary!E$26)</f>
        <v>20.644713454127071</v>
      </c>
      <c r="F4" s="130">
        <f>IF(SER_hh_emih!F4=0,0,SER_hh_emih!F4/SER_summary!F$26)</f>
        <v>15.273365827491066</v>
      </c>
      <c r="G4" s="130">
        <f>IF(SER_hh_emih!G4=0,0,SER_hh_emih!G4/SER_summary!G$26)</f>
        <v>8.0315808670714333</v>
      </c>
      <c r="H4" s="130">
        <f>IF(SER_hh_emih!H4=0,0,SER_hh_emih!H4/SER_summary!H$26)</f>
        <v>7.0204383622803626</v>
      </c>
      <c r="I4" s="130">
        <f>IF(SER_hh_emih!I4=0,0,SER_hh_emih!I4/SER_summary!I$26)</f>
        <v>6.8150759291834326</v>
      </c>
      <c r="J4" s="130">
        <f>IF(SER_hh_emih!J4=0,0,SER_hh_emih!J4/SER_summary!J$26)</f>
        <v>5.9659863552004051</v>
      </c>
      <c r="K4" s="130">
        <f>IF(SER_hh_emih!K4=0,0,SER_hh_emih!K4/SER_summary!K$26)</f>
        <v>5.5001376792280894</v>
      </c>
      <c r="L4" s="130">
        <f>IF(SER_hh_emih!L4=0,0,SER_hh_emih!L4/SER_summary!L$26)</f>
        <v>6.3917902841409804</v>
      </c>
      <c r="M4" s="130">
        <f>IF(SER_hh_emih!M4=0,0,SER_hh_emih!M4/SER_summary!M$26)</f>
        <v>5.7987644368285203</v>
      </c>
      <c r="N4" s="130">
        <f>IF(SER_hh_emih!N4=0,0,SER_hh_emih!N4/SER_summary!N$26)</f>
        <v>5.9553350836307484</v>
      </c>
      <c r="O4" s="130">
        <f>IF(SER_hh_emih!O4=0,0,SER_hh_emih!O4/SER_summary!O$26)</f>
        <v>5.0826961327022158</v>
      </c>
      <c r="P4" s="130">
        <f>IF(SER_hh_emih!P4=0,0,SER_hh_emih!P4/SER_summary!P$26)</f>
        <v>4.8867272068746708</v>
      </c>
      <c r="Q4" s="130">
        <f>IF(SER_hh_emih!Q4=0,0,SER_hh_emih!Q4/SER_summary!Q$26)</f>
        <v>4.5789049113622076</v>
      </c>
      <c r="R4" s="130">
        <f>IF(SER_hh_emih!R4=0,0,SER_hh_emih!R4/SER_summary!R$26)</f>
        <v>4.3667453263567477</v>
      </c>
      <c r="S4" s="130">
        <f>IF(SER_hh_emih!S4=0,0,SER_hh_emih!S4/SER_summary!S$26)</f>
        <v>3.822602898111489</v>
      </c>
      <c r="T4" s="130">
        <f>IF(SER_hh_emih!T4=0,0,SER_hh_emih!T4/SER_summary!T$26)</f>
        <v>4.0046428092288462</v>
      </c>
      <c r="U4" s="130">
        <f>IF(SER_hh_emih!U4=0,0,SER_hh_emih!U4/SER_summary!U$26)</f>
        <v>4.1065091117354502</v>
      </c>
      <c r="V4" s="130">
        <f>IF(SER_hh_emih!V4=0,0,SER_hh_emih!V4/SER_summary!V$26)</f>
        <v>3.9540351679263703</v>
      </c>
      <c r="W4" s="130">
        <f>IF(SER_hh_emih!W4=0,0,SER_hh_emih!W4/SER_summary!W$26)</f>
        <v>3.4538516730830291</v>
      </c>
      <c r="X4" s="130">
        <f>IF(SER_hh_emih!X4=0,0,SER_hh_emih!X4/SER_summary!X$26)</f>
        <v>3.0095216592946987</v>
      </c>
      <c r="Y4" s="130">
        <f>IF(SER_hh_emih!Y4=0,0,SER_hh_emih!Y4/SER_summary!Y$26)</f>
        <v>2.5414876286755299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0</v>
      </c>
      <c r="C5" s="132">
        <f>IF(SER_hh_emih!C5=0,0,SER_hh_emih!C5/SER_summary!C$26)</f>
        <v>0</v>
      </c>
      <c r="D5" s="132">
        <f>IF(SER_hh_emih!D5=0,0,SER_hh_emih!D5/SER_summary!D$26)</f>
        <v>0</v>
      </c>
      <c r="E5" s="132">
        <f>IF(SER_hh_emih!E5=0,0,SER_hh_emih!E5/SER_summary!E$26)</f>
        <v>0</v>
      </c>
      <c r="F5" s="132">
        <f>IF(SER_hh_emih!F5=0,0,SER_hh_emih!F5/SER_summary!F$26)</f>
        <v>0</v>
      </c>
      <c r="G5" s="132">
        <f>IF(SER_hh_emih!G5=0,0,SER_hh_emih!G5/SER_summary!G$26)</f>
        <v>0</v>
      </c>
      <c r="H5" s="132">
        <f>IF(SER_hh_emih!H5=0,0,SER_hh_emih!H5/SER_summary!H$26)</f>
        <v>0</v>
      </c>
      <c r="I5" s="132">
        <f>IF(SER_hh_emih!I5=0,0,SER_hh_emih!I5/SER_summary!I$26)</f>
        <v>0</v>
      </c>
      <c r="J5" s="132">
        <f>IF(SER_hh_emih!J5=0,0,SER_hh_emih!J5/SER_summary!J$26)</f>
        <v>0</v>
      </c>
      <c r="K5" s="132">
        <f>IF(SER_hh_emih!K5=0,0,SER_hh_emih!K5/SER_summary!K$26)</f>
        <v>0</v>
      </c>
      <c r="L5" s="132">
        <f>IF(SER_hh_emih!L5=0,0,SER_hh_emih!L5/SER_summary!L$26)</f>
        <v>0</v>
      </c>
      <c r="M5" s="132">
        <f>IF(SER_hh_emih!M5=0,0,SER_hh_emih!M5/SER_summary!M$26)</f>
        <v>0</v>
      </c>
      <c r="N5" s="132">
        <f>IF(SER_hh_emih!N5=0,0,SER_hh_emih!N5/SER_summary!N$26)</f>
        <v>0</v>
      </c>
      <c r="O5" s="132">
        <f>IF(SER_hh_emih!O5=0,0,SER_hh_emih!O5/SER_summary!O$26)</f>
        <v>0</v>
      </c>
      <c r="P5" s="132">
        <f>IF(SER_hh_emih!P5=0,0,SER_hh_emih!P5/SER_summary!P$26)</f>
        <v>0</v>
      </c>
      <c r="Q5" s="132">
        <f>IF(SER_hh_emih!Q5=0,0,SER_hh_emih!Q5/SER_summary!Q$26)</f>
        <v>0</v>
      </c>
      <c r="R5" s="132">
        <f>IF(SER_hh_emih!R5=0,0,SER_hh_emih!R5/SER_summary!R$26)</f>
        <v>0</v>
      </c>
      <c r="S5" s="132">
        <f>IF(SER_hh_emih!S5=0,0,SER_hh_emih!S5/SER_summary!S$26)</f>
        <v>0</v>
      </c>
      <c r="T5" s="132">
        <f>IF(SER_hh_emih!T5=0,0,SER_hh_emih!T5/SER_summary!T$26)</f>
        <v>0</v>
      </c>
      <c r="U5" s="132">
        <f>IF(SER_hh_emih!U5=0,0,SER_hh_emih!U5/SER_summary!U$26)</f>
        <v>0</v>
      </c>
      <c r="V5" s="132">
        <f>IF(SER_hh_emih!V5=0,0,SER_hh_emih!V5/SER_summary!V$26)</f>
        <v>0</v>
      </c>
      <c r="W5" s="132">
        <f>IF(SER_hh_emih!W5=0,0,SER_hh_emih!W5/SER_summary!W$26)</f>
        <v>0</v>
      </c>
      <c r="X5" s="132">
        <f>IF(SER_hh_emih!X5=0,0,SER_hh_emih!X5/SER_summary!X$26)</f>
        <v>0</v>
      </c>
      <c r="Y5" s="132">
        <f>IF(SER_hh_emih!Y5=0,0,SER_hh_emih!Y5/SER_summary!Y$26)</f>
        <v>0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89.455221899944164</v>
      </c>
      <c r="C7" s="132">
        <f>IF(SER_hh_emih!C7=0,0,SER_hh_emih!C7/SER_summary!C$26)</f>
        <v>94.159234200501942</v>
      </c>
      <c r="D7" s="132">
        <f>IF(SER_hh_emih!D7=0,0,SER_hh_emih!D7/SER_summary!D$26)</f>
        <v>93.921079749422447</v>
      </c>
      <c r="E7" s="132">
        <f>IF(SER_hh_emih!E7=0,0,SER_hh_emih!E7/SER_summary!E$26)</f>
        <v>105.18024175786454</v>
      </c>
      <c r="F7" s="132">
        <f>IF(SER_hh_emih!F7=0,0,SER_hh_emih!F7/SER_summary!F$26)</f>
        <v>92.742123532081123</v>
      </c>
      <c r="G7" s="132">
        <f>IF(SER_hh_emih!G7=0,0,SER_hh_emih!G7/SER_summary!G$26)</f>
        <v>60.661351410921434</v>
      </c>
      <c r="H7" s="132">
        <f>IF(SER_hh_emih!H7=0,0,SER_hh_emih!H7/SER_summary!H$26)</f>
        <v>67.200822971099257</v>
      </c>
      <c r="I7" s="132">
        <f>IF(SER_hh_emih!I7=0,0,SER_hh_emih!I7/SER_summary!I$26)</f>
        <v>75.236596688820839</v>
      </c>
      <c r="J7" s="132">
        <f>IF(SER_hh_emih!J7=0,0,SER_hh_emih!J7/SER_summary!J$26)</f>
        <v>67.166794181783942</v>
      </c>
      <c r="K7" s="132">
        <f>IF(SER_hh_emih!K7=0,0,SER_hh_emih!K7/SER_summary!K$26)</f>
        <v>68.035368407786592</v>
      </c>
      <c r="L7" s="132">
        <f>IF(SER_hh_emih!L7=0,0,SER_hh_emih!L7/SER_summary!L$26)</f>
        <v>68.275002464587843</v>
      </c>
      <c r="M7" s="132">
        <f>IF(SER_hh_emih!M7=0,0,SER_hh_emih!M7/SER_summary!M$26)</f>
        <v>58.932808364004252</v>
      </c>
      <c r="N7" s="132">
        <f>IF(SER_hh_emih!N7=0,0,SER_hh_emih!N7/SER_summary!N$26)</f>
        <v>55.936721637976866</v>
      </c>
      <c r="O7" s="132">
        <f>IF(SER_hh_emih!O7=0,0,SER_hh_emih!O7/SER_summary!O$26)</f>
        <v>48.604615958880011</v>
      </c>
      <c r="P7" s="132">
        <f>IF(SER_hh_emih!P7=0,0,SER_hh_emih!P7/SER_summary!P$26)</f>
        <v>48.445203871340304</v>
      </c>
      <c r="Q7" s="132">
        <f>IF(SER_hh_emih!Q7=0,0,SER_hh_emih!Q7/SER_summary!Q$26)</f>
        <v>46.635982920532285</v>
      </c>
      <c r="R7" s="132">
        <f>IF(SER_hh_emih!R7=0,0,SER_hh_emih!R7/SER_summary!R$26)</f>
        <v>44.640485304747536</v>
      </c>
      <c r="S7" s="132">
        <f>IF(SER_hh_emih!S7=0,0,SER_hh_emih!S7/SER_summary!S$26)</f>
        <v>42.604790749910642</v>
      </c>
      <c r="T7" s="132">
        <f>IF(SER_hh_emih!T7=0,0,SER_hh_emih!T7/SER_summary!T$26)</f>
        <v>40.869036944322687</v>
      </c>
      <c r="U7" s="132">
        <f>IF(SER_hh_emih!U7=0,0,SER_hh_emih!U7/SER_summary!U$26)</f>
        <v>39.216266854925756</v>
      </c>
      <c r="V7" s="132">
        <f>IF(SER_hh_emih!V7=0,0,SER_hh_emih!V7/SER_summary!V$26)</f>
        <v>39.956752175349202</v>
      </c>
      <c r="W7" s="132">
        <f>IF(SER_hh_emih!W7=0,0,SER_hh_emih!W7/SER_summary!W$26)</f>
        <v>38.589240466758724</v>
      </c>
      <c r="X7" s="132">
        <f>IF(SER_hh_emih!X7=0,0,SER_hh_emih!X7/SER_summary!X$26)</f>
        <v>38.063705710048822</v>
      </c>
      <c r="Y7" s="132">
        <f>IF(SER_hh_emih!Y7=0,0,SER_hh_emih!Y7/SER_summary!Y$26)</f>
        <v>35.474474574319608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0</v>
      </c>
      <c r="C8" s="132">
        <f>IF(SER_hh_emih!C8=0,0,SER_hh_emih!C8/SER_summary!C$26)</f>
        <v>0</v>
      </c>
      <c r="D8" s="132">
        <f>IF(SER_hh_emih!D8=0,0,SER_hh_emih!D8/SER_summary!D$26)</f>
        <v>0</v>
      </c>
      <c r="E8" s="132">
        <f>IF(SER_hh_emih!E8=0,0,SER_hh_emih!E8/SER_summary!E$26)</f>
        <v>0</v>
      </c>
      <c r="F8" s="132">
        <f>IF(SER_hh_emih!F8=0,0,SER_hh_emih!F8/SER_summary!F$26)</f>
        <v>0</v>
      </c>
      <c r="G8" s="132">
        <f>IF(SER_hh_emih!G8=0,0,SER_hh_emih!G8/SER_summary!G$26)</f>
        <v>0</v>
      </c>
      <c r="H8" s="132">
        <f>IF(SER_hh_emih!H8=0,0,SER_hh_emih!H8/SER_summary!H$26)</f>
        <v>0</v>
      </c>
      <c r="I8" s="132">
        <f>IF(SER_hh_emih!I8=0,0,SER_hh_emih!I8/SER_summary!I$26)</f>
        <v>0</v>
      </c>
      <c r="J8" s="132">
        <f>IF(SER_hh_emih!J8=0,0,SER_hh_emih!J8/SER_summary!J$26)</f>
        <v>0</v>
      </c>
      <c r="K8" s="132">
        <f>IF(SER_hh_emih!K8=0,0,SER_hh_emih!K8/SER_summary!K$26)</f>
        <v>0</v>
      </c>
      <c r="L8" s="132">
        <f>IF(SER_hh_emih!L8=0,0,SER_hh_emih!L8/SER_summary!L$26)</f>
        <v>0</v>
      </c>
      <c r="M8" s="132">
        <f>IF(SER_hh_emih!M8=0,0,SER_hh_emih!M8/SER_summary!M$26)</f>
        <v>0</v>
      </c>
      <c r="N8" s="132">
        <f>IF(SER_hh_emih!N8=0,0,SER_hh_emih!N8/SER_summary!N$26)</f>
        <v>0</v>
      </c>
      <c r="O8" s="132">
        <f>IF(SER_hh_emih!O8=0,0,SER_hh_emih!O8/SER_summary!O$26)</f>
        <v>0</v>
      </c>
      <c r="P8" s="132">
        <f>IF(SER_hh_emih!P8=0,0,SER_hh_emih!P8/SER_summary!P$26)</f>
        <v>0</v>
      </c>
      <c r="Q8" s="132">
        <f>IF(SER_hh_emih!Q8=0,0,SER_hh_emih!Q8/SER_summary!Q$26)</f>
        <v>0</v>
      </c>
      <c r="R8" s="132">
        <f>IF(SER_hh_emih!R8=0,0,SER_hh_emih!R8/SER_summary!R$26)</f>
        <v>0</v>
      </c>
      <c r="S8" s="132">
        <f>IF(SER_hh_emih!S8=0,0,SER_hh_emih!S8/SER_summary!S$26)</f>
        <v>0</v>
      </c>
      <c r="T8" s="132">
        <f>IF(SER_hh_emih!T8=0,0,SER_hh_emih!T8/SER_summary!T$26)</f>
        <v>0</v>
      </c>
      <c r="U8" s="132">
        <f>IF(SER_hh_emih!U8=0,0,SER_hh_emih!U8/SER_summary!U$26)</f>
        <v>0</v>
      </c>
      <c r="V8" s="132">
        <f>IF(SER_hh_emih!V8=0,0,SER_hh_emih!V8/SER_summary!V$26)</f>
        <v>0</v>
      </c>
      <c r="W8" s="132">
        <f>IF(SER_hh_emih!W8=0,0,SER_hh_emih!W8/SER_summary!W$26)</f>
        <v>0</v>
      </c>
      <c r="X8" s="132">
        <f>IF(SER_hh_emih!X8=0,0,SER_hh_emih!X8/SER_summary!X$26)</f>
        <v>0</v>
      </c>
      <c r="Y8" s="132">
        <f>IF(SER_hh_emih!Y8=0,0,SER_hh_emih!Y8/SER_summary!Y$26)</f>
        <v>0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62.41283957037956</v>
      </c>
      <c r="C9" s="132">
        <f>IF(SER_hh_emih!C9=0,0,SER_hh_emih!C9/SER_summary!C$26)</f>
        <v>46.220959756907575</v>
      </c>
      <c r="D9" s="132">
        <f>IF(SER_hh_emih!D9=0,0,SER_hh_emih!D9/SER_summary!D$26)</f>
        <v>63.412710189801373</v>
      </c>
      <c r="E9" s="132">
        <f>IF(SER_hh_emih!E9=0,0,SER_hh_emih!E9/SER_summary!E$26)</f>
        <v>66.279963253250614</v>
      </c>
      <c r="F9" s="132">
        <f>IF(SER_hh_emih!F9=0,0,SER_hh_emih!F9/SER_summary!F$26)</f>
        <v>55.184995469818844</v>
      </c>
      <c r="G9" s="132">
        <f>IF(SER_hh_emih!G9=0,0,SER_hh_emih!G9/SER_summary!G$26)</f>
        <v>51.230864208506041</v>
      </c>
      <c r="H9" s="132">
        <f>IF(SER_hh_emih!H9=0,0,SER_hh_emih!H9/SER_summary!H$26)</f>
        <v>48.864739455678709</v>
      </c>
      <c r="I9" s="132">
        <f>IF(SER_hh_emih!I9=0,0,SER_hh_emih!I9/SER_summary!I$26)</f>
        <v>51.142999227101349</v>
      </c>
      <c r="J9" s="132">
        <f>IF(SER_hh_emih!J9=0,0,SER_hh_emih!J9/SER_summary!J$26)</f>
        <v>54.256784952313133</v>
      </c>
      <c r="K9" s="132">
        <f>IF(SER_hh_emih!K9=0,0,SER_hh_emih!K9/SER_summary!K$26)</f>
        <v>24.669423719514377</v>
      </c>
      <c r="L9" s="132">
        <f>IF(SER_hh_emih!L9=0,0,SER_hh_emih!L9/SER_summary!L$26)</f>
        <v>52.732655385545144</v>
      </c>
      <c r="M9" s="132">
        <f>IF(SER_hh_emih!M9=0,0,SER_hh_emih!M9/SER_summary!M$26)</f>
        <v>40.660344887819555</v>
      </c>
      <c r="N9" s="132">
        <f>IF(SER_hh_emih!N9=0,0,SER_hh_emih!N9/SER_summary!N$26)</f>
        <v>48.114661785027657</v>
      </c>
      <c r="O9" s="132">
        <f>IF(SER_hh_emih!O9=0,0,SER_hh_emih!O9/SER_summary!O$26)</f>
        <v>41.427363646710596</v>
      </c>
      <c r="P9" s="132">
        <f>IF(SER_hh_emih!P9=0,0,SER_hh_emih!P9/SER_summary!P$26)</f>
        <v>40.167666342649341</v>
      </c>
      <c r="Q9" s="132">
        <f>IF(SER_hh_emih!Q9=0,0,SER_hh_emih!Q9/SER_summary!Q$26)</f>
        <v>41.553246712606153</v>
      </c>
      <c r="R9" s="132">
        <f>IF(SER_hh_emih!R9=0,0,SER_hh_emih!R9/SER_summary!R$26)</f>
        <v>45.71489653731058</v>
      </c>
      <c r="S9" s="132">
        <f>IF(SER_hh_emih!S9=0,0,SER_hh_emih!S9/SER_summary!S$26)</f>
        <v>24.886487923405618</v>
      </c>
      <c r="T9" s="132">
        <f>IF(SER_hh_emih!T9=0,0,SER_hh_emih!T9/SER_summary!T$26)</f>
        <v>35.978470891698535</v>
      </c>
      <c r="U9" s="132">
        <f>IF(SER_hh_emih!U9=0,0,SER_hh_emih!U9/SER_summary!U$26)</f>
        <v>41.549511099859586</v>
      </c>
      <c r="V9" s="132">
        <f>IF(SER_hh_emih!V9=0,0,SER_hh_emih!V9/SER_summary!V$26)</f>
        <v>39.056133187719027</v>
      </c>
      <c r="W9" s="132">
        <f>IF(SER_hh_emih!W9=0,0,SER_hh_emih!W9/SER_summary!W$26)</f>
        <v>35.928745820354244</v>
      </c>
      <c r="X9" s="132">
        <f>IF(SER_hh_emih!X9=0,0,SER_hh_emih!X9/SER_summary!X$26)</f>
        <v>34.863768817864752</v>
      </c>
      <c r="Y9" s="132">
        <f>IF(SER_hh_emih!Y9=0,0,SER_hh_emih!Y9/SER_summary!Y$26)</f>
        <v>32.360255895600396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0</v>
      </c>
      <c r="O10" s="132">
        <f>IF(SER_hh_emih!O10=0,0,SER_hh_emih!O10/SER_summary!O$26)</f>
        <v>0</v>
      </c>
      <c r="P10" s="132">
        <f>IF(SER_hh_emih!P10=0,0,SER_hh_emih!P10/SER_summary!P$26)</f>
        <v>0</v>
      </c>
      <c r="Q10" s="132">
        <f>IF(SER_hh_emih!Q10=0,0,SER_hh_emih!Q10/SER_summary!Q$26)</f>
        <v>0</v>
      </c>
      <c r="R10" s="132">
        <f>IF(SER_hh_emih!R10=0,0,SER_hh_emih!R10/SER_summary!R$26)</f>
        <v>0</v>
      </c>
      <c r="S10" s="132">
        <f>IF(SER_hh_emih!S10=0,0,SER_hh_emih!S10/SER_summary!S$26)</f>
        <v>0</v>
      </c>
      <c r="T10" s="132">
        <f>IF(SER_hh_emih!T10=0,0,SER_hh_emih!T10/SER_summary!T$26)</f>
        <v>0</v>
      </c>
      <c r="U10" s="132">
        <f>IF(SER_hh_emih!U10=0,0,SER_hh_emih!U10/SER_summary!U$26)</f>
        <v>0</v>
      </c>
      <c r="V10" s="132">
        <f>IF(SER_hh_emih!V10=0,0,SER_hh_emih!V10/SER_summary!V$26)</f>
        <v>0</v>
      </c>
      <c r="W10" s="132">
        <f>IF(SER_hh_emih!W10=0,0,SER_hh_emih!W10/SER_summary!W$26)</f>
        <v>0</v>
      </c>
      <c r="X10" s="132">
        <f>IF(SER_hh_emih!X10=0,0,SER_hh_emih!X10/SER_summary!X$26)</f>
        <v>0</v>
      </c>
      <c r="Y10" s="132">
        <f>IF(SER_hh_emih!Y10=0,0,SER_hh_emih!Y10/SER_summary!Y$26)</f>
        <v>0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0</v>
      </c>
      <c r="C16" s="130">
        <f>IF(SER_hh_emih!C16=0,0,SER_hh_emih!C16/SER_summary!C$26)</f>
        <v>0</v>
      </c>
      <c r="D16" s="130">
        <f>IF(SER_hh_emih!D16=0,0,SER_hh_emih!D16/SER_summary!D$26)</f>
        <v>0</v>
      </c>
      <c r="E16" s="130">
        <f>IF(SER_hh_emih!E16=0,0,SER_hh_emih!E16/SER_summary!E$26)</f>
        <v>0</v>
      </c>
      <c r="F16" s="130">
        <f>IF(SER_hh_emih!F16=0,0,SER_hh_emih!F16/SER_summary!F$26)</f>
        <v>0</v>
      </c>
      <c r="G16" s="130">
        <f>IF(SER_hh_emih!G16=0,0,SER_hh_emih!G16/SER_summary!G$26)</f>
        <v>0</v>
      </c>
      <c r="H16" s="130">
        <f>IF(SER_hh_emih!H16=0,0,SER_hh_emih!H16/SER_summary!H$26)</f>
        <v>0</v>
      </c>
      <c r="I16" s="130">
        <f>IF(SER_hh_emih!I16=0,0,SER_hh_emih!I16/SER_summary!I$26)</f>
        <v>0</v>
      </c>
      <c r="J16" s="130">
        <f>IF(SER_hh_emih!J16=0,0,SER_hh_emih!J16/SER_summary!J$26)</f>
        <v>0</v>
      </c>
      <c r="K16" s="130">
        <f>IF(SER_hh_emih!K16=0,0,SER_hh_emih!K16/SER_summary!K$26)</f>
        <v>0</v>
      </c>
      <c r="L16" s="130">
        <f>IF(SER_hh_emih!L16=0,0,SER_hh_emih!L16/SER_summary!L$26)</f>
        <v>0</v>
      </c>
      <c r="M16" s="130">
        <f>IF(SER_hh_emih!M16=0,0,SER_hh_emih!M16/SER_summary!M$26)</f>
        <v>0</v>
      </c>
      <c r="N16" s="130">
        <f>IF(SER_hh_emih!N16=0,0,SER_hh_emih!N16/SER_summary!N$26)</f>
        <v>0</v>
      </c>
      <c r="O16" s="130">
        <f>IF(SER_hh_emih!O16=0,0,SER_hh_emih!O16/SER_summary!O$26)</f>
        <v>0</v>
      </c>
      <c r="P16" s="130">
        <f>IF(SER_hh_emih!P16=0,0,SER_hh_emih!P16/SER_summary!P$26)</f>
        <v>0</v>
      </c>
      <c r="Q16" s="130">
        <f>IF(SER_hh_emih!Q16=0,0,SER_hh_emih!Q16/SER_summary!Q$26)</f>
        <v>0</v>
      </c>
      <c r="R16" s="130">
        <f>IF(SER_hh_emih!R16=0,0,SER_hh_emih!R16/SER_summary!R$26)</f>
        <v>0</v>
      </c>
      <c r="S16" s="130">
        <f>IF(SER_hh_emih!S16=0,0,SER_hh_emih!S16/SER_summary!S$26)</f>
        <v>0</v>
      </c>
      <c r="T16" s="130">
        <f>IF(SER_hh_emih!T16=0,0,SER_hh_emih!T16/SER_summary!T$26)</f>
        <v>0</v>
      </c>
      <c r="U16" s="130">
        <f>IF(SER_hh_emih!U16=0,0,SER_hh_emih!U16/SER_summary!U$26)</f>
        <v>0</v>
      </c>
      <c r="V16" s="130">
        <f>IF(SER_hh_emih!V16=0,0,SER_hh_emih!V16/SER_summary!V$26)</f>
        <v>0</v>
      </c>
      <c r="W16" s="130">
        <f>IF(SER_hh_emih!W16=0,0,SER_hh_emih!W16/SER_summary!W$26)</f>
        <v>0</v>
      </c>
      <c r="X16" s="130">
        <f>IF(SER_hh_emih!X16=0,0,SER_hh_emih!X16/SER_summary!X$26)</f>
        <v>0</v>
      </c>
      <c r="Y16" s="130">
        <f>IF(SER_hh_emih!Y16=0,0,SER_hh_emih!Y16/SER_summary!Y$26)</f>
        <v>0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0</v>
      </c>
      <c r="C17" s="132">
        <f>IF(SER_hh_emih!C17=0,0,SER_hh_emih!C17/SER_summary!C$26)</f>
        <v>0</v>
      </c>
      <c r="D17" s="132">
        <f>IF(SER_hh_emih!D17=0,0,SER_hh_emih!D17/SER_summary!D$26)</f>
        <v>0</v>
      </c>
      <c r="E17" s="132">
        <f>IF(SER_hh_emih!E17=0,0,SER_hh_emih!E17/SER_summary!E$26)</f>
        <v>0</v>
      </c>
      <c r="F17" s="132">
        <f>IF(SER_hh_emih!F17=0,0,SER_hh_emih!F17/SER_summary!F$26)</f>
        <v>0</v>
      </c>
      <c r="G17" s="132">
        <f>IF(SER_hh_emih!G17=0,0,SER_hh_emih!G17/SER_summary!G$26)</f>
        <v>0</v>
      </c>
      <c r="H17" s="132">
        <f>IF(SER_hh_emih!H17=0,0,SER_hh_emih!H17/SER_summary!H$26)</f>
        <v>0</v>
      </c>
      <c r="I17" s="132">
        <f>IF(SER_hh_emih!I17=0,0,SER_hh_emih!I17/SER_summary!I$26)</f>
        <v>0</v>
      </c>
      <c r="J17" s="132">
        <f>IF(SER_hh_emih!J17=0,0,SER_hh_emih!J17/SER_summary!J$26)</f>
        <v>0</v>
      </c>
      <c r="K17" s="132">
        <f>IF(SER_hh_emih!K17=0,0,SER_hh_emih!K17/SER_summary!K$26)</f>
        <v>0</v>
      </c>
      <c r="L17" s="132">
        <f>IF(SER_hh_emih!L17=0,0,SER_hh_emih!L17/SER_summary!L$26)</f>
        <v>0</v>
      </c>
      <c r="M17" s="132">
        <f>IF(SER_hh_emih!M17=0,0,SER_hh_emih!M17/SER_summary!M$26)</f>
        <v>0</v>
      </c>
      <c r="N17" s="132">
        <f>IF(SER_hh_emih!N17=0,0,SER_hh_emih!N17/SER_summary!N$26)</f>
        <v>0</v>
      </c>
      <c r="O17" s="132">
        <f>IF(SER_hh_emih!O17=0,0,SER_hh_emih!O17/SER_summary!O$26)</f>
        <v>0</v>
      </c>
      <c r="P17" s="132">
        <f>IF(SER_hh_emih!P17=0,0,SER_hh_emih!P17/SER_summary!P$26)</f>
        <v>0</v>
      </c>
      <c r="Q17" s="132">
        <f>IF(SER_hh_emih!Q17=0,0,SER_hh_emih!Q17/SER_summary!Q$26)</f>
        <v>0</v>
      </c>
      <c r="R17" s="132">
        <f>IF(SER_hh_emih!R17=0,0,SER_hh_emih!R17/SER_summary!R$26)</f>
        <v>0</v>
      </c>
      <c r="S17" s="132">
        <f>IF(SER_hh_emih!S17=0,0,SER_hh_emih!S17/SER_summary!S$26)</f>
        <v>0</v>
      </c>
      <c r="T17" s="132">
        <f>IF(SER_hh_emih!T17=0,0,SER_hh_emih!T17/SER_summary!T$26)</f>
        <v>0</v>
      </c>
      <c r="U17" s="132">
        <f>IF(SER_hh_emih!U17=0,0,SER_hh_emih!U17/SER_summary!U$26)</f>
        <v>0</v>
      </c>
      <c r="V17" s="132">
        <f>IF(SER_hh_emih!V17=0,0,SER_hh_emih!V17/SER_summary!V$26)</f>
        <v>0</v>
      </c>
      <c r="W17" s="132">
        <f>IF(SER_hh_emih!W17=0,0,SER_hh_emih!W17/SER_summary!W$26)</f>
        <v>0</v>
      </c>
      <c r="X17" s="132">
        <f>IF(SER_hh_emih!X17=0,0,SER_hh_emih!X17/SER_summary!X$26)</f>
        <v>0</v>
      </c>
      <c r="Y17" s="132">
        <f>IF(SER_hh_emih!Y17=0,0,SER_hh_emih!Y17/SER_summary!Y$26)</f>
        <v>0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1.9857906388318374</v>
      </c>
      <c r="C19" s="130">
        <f>IF(SER_hh_emih!C19=0,0,SER_hh_emih!C19/SER_summary!C$26)</f>
        <v>1.9182879296412925</v>
      </c>
      <c r="D19" s="130">
        <f>IF(SER_hh_emih!D19=0,0,SER_hh_emih!D19/SER_summary!D$26)</f>
        <v>1.8298287701425373</v>
      </c>
      <c r="E19" s="130">
        <f>IF(SER_hh_emih!E19=0,0,SER_hh_emih!E19/SER_summary!E$26)</f>
        <v>1.7671442237495536</v>
      </c>
      <c r="F19" s="130">
        <f>IF(SER_hh_emih!F19=0,0,SER_hh_emih!F19/SER_summary!F$26)</f>
        <v>1.5735227518467509</v>
      </c>
      <c r="G19" s="130">
        <f>IF(SER_hh_emih!G19=0,0,SER_hh_emih!G19/SER_summary!G$26)</f>
        <v>1.0368484786501249</v>
      </c>
      <c r="H19" s="130">
        <f>IF(SER_hh_emih!H19=0,0,SER_hh_emih!H19/SER_summary!H$26)</f>
        <v>1.0394525072489778</v>
      </c>
      <c r="I19" s="130">
        <f>IF(SER_hh_emih!I19=0,0,SER_hh_emih!I19/SER_summary!I$26)</f>
        <v>0.86182093717946129</v>
      </c>
      <c r="J19" s="130">
        <f>IF(SER_hh_emih!J19=0,0,SER_hh_emih!J19/SER_summary!J$26)</f>
        <v>0.76788820738495556</v>
      </c>
      <c r="K19" s="130">
        <f>IF(SER_hh_emih!K19=0,0,SER_hh_emih!K19/SER_summary!K$26)</f>
        <v>0.46996886798465581</v>
      </c>
      <c r="L19" s="130">
        <f>IF(SER_hh_emih!L19=0,0,SER_hh_emih!L19/SER_summary!L$26)</f>
        <v>0.43631516155573058</v>
      </c>
      <c r="M19" s="130">
        <f>IF(SER_hh_emih!M19=0,0,SER_hh_emih!M19/SER_summary!M$26)</f>
        <v>0.45117735789204572</v>
      </c>
      <c r="N19" s="130">
        <f>IF(SER_hh_emih!N19=0,0,SER_hh_emih!N19/SER_summary!N$26)</f>
        <v>0.60564075055815503</v>
      </c>
      <c r="O19" s="130">
        <f>IF(SER_hh_emih!O19=0,0,SER_hh_emih!O19/SER_summary!O$26)</f>
        <v>0.63034785385205316</v>
      </c>
      <c r="P19" s="130">
        <f>IF(SER_hh_emih!P19=0,0,SER_hh_emih!P19/SER_summary!P$26)</f>
        <v>0.47764469012913646</v>
      </c>
      <c r="Q19" s="130">
        <f>IF(SER_hh_emih!Q19=0,0,SER_hh_emih!Q19/SER_summary!Q$26)</f>
        <v>0.64942313300332455</v>
      </c>
      <c r="R19" s="130">
        <f>IF(SER_hh_emih!R19=0,0,SER_hh_emih!R19/SER_summary!R$26)</f>
        <v>0.63578831903486732</v>
      </c>
      <c r="S19" s="130">
        <f>IF(SER_hh_emih!S19=0,0,SER_hh_emih!S19/SER_summary!S$26)</f>
        <v>0.59719741712691632</v>
      </c>
      <c r="T19" s="130">
        <f>IF(SER_hh_emih!T19=0,0,SER_hh_emih!T19/SER_summary!T$26)</f>
        <v>0.60172452289562028</v>
      </c>
      <c r="U19" s="130">
        <f>IF(SER_hh_emih!U19=0,0,SER_hh_emih!U19/SER_summary!U$26)</f>
        <v>0.59820538831950698</v>
      </c>
      <c r="V19" s="130">
        <f>IF(SER_hh_emih!V19=0,0,SER_hh_emih!V19/SER_summary!V$26)</f>
        <v>0.5731753498762725</v>
      </c>
      <c r="W19" s="130">
        <f>IF(SER_hh_emih!W19=0,0,SER_hh_emih!W19/SER_summary!W$26)</f>
        <v>0.49336337796580465</v>
      </c>
      <c r="X19" s="130">
        <f>IF(SER_hh_emih!X19=0,0,SER_hh_emih!X19/SER_summary!X$26)</f>
        <v>0.41788848592885053</v>
      </c>
      <c r="Y19" s="130">
        <f>IF(SER_hh_emih!Y19=0,0,SER_hh_emih!Y19/SER_summary!Y$26)</f>
        <v>0.32953849087663678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0</v>
      </c>
      <c r="C21" s="132">
        <f>IF(SER_hh_emih!C21=0,0,SER_hh_emih!C21/SER_summary!C$26)</f>
        <v>0</v>
      </c>
      <c r="D21" s="132">
        <f>IF(SER_hh_emih!D21=0,0,SER_hh_emih!D21/SER_summary!D$26)</f>
        <v>0</v>
      </c>
      <c r="E21" s="132">
        <f>IF(SER_hh_emih!E21=0,0,SER_hh_emih!E21/SER_summary!E$26)</f>
        <v>0</v>
      </c>
      <c r="F21" s="132">
        <f>IF(SER_hh_emih!F21=0,0,SER_hh_emih!F21/SER_summary!F$26)</f>
        <v>0</v>
      </c>
      <c r="G21" s="132">
        <f>IF(SER_hh_emih!G21=0,0,SER_hh_emih!G21/SER_summary!G$26)</f>
        <v>0</v>
      </c>
      <c r="H21" s="132">
        <f>IF(SER_hh_emih!H21=0,0,SER_hh_emih!H21/SER_summary!H$26)</f>
        <v>0</v>
      </c>
      <c r="I21" s="132">
        <f>IF(SER_hh_emih!I21=0,0,SER_hh_emih!I21/SER_summary!I$26)</f>
        <v>0</v>
      </c>
      <c r="J21" s="132">
        <f>IF(SER_hh_emih!J21=0,0,SER_hh_emih!J21/SER_summary!J$26)</f>
        <v>0</v>
      </c>
      <c r="K21" s="132">
        <f>IF(SER_hh_emih!K21=0,0,SER_hh_emih!K21/SER_summary!K$26)</f>
        <v>0</v>
      </c>
      <c r="L21" s="132">
        <f>IF(SER_hh_emih!L21=0,0,SER_hh_emih!L21/SER_summary!L$26)</f>
        <v>0</v>
      </c>
      <c r="M21" s="132">
        <f>IF(SER_hh_emih!M21=0,0,SER_hh_emih!M21/SER_summary!M$26)</f>
        <v>0</v>
      </c>
      <c r="N21" s="132">
        <f>IF(SER_hh_emih!N21=0,0,SER_hh_emih!N21/SER_summary!N$26)</f>
        <v>0</v>
      </c>
      <c r="O21" s="132">
        <f>IF(SER_hh_emih!O21=0,0,SER_hh_emih!O21/SER_summary!O$26)</f>
        <v>0</v>
      </c>
      <c r="P21" s="132">
        <f>IF(SER_hh_emih!P21=0,0,SER_hh_emih!P21/SER_summary!P$26)</f>
        <v>0</v>
      </c>
      <c r="Q21" s="132">
        <f>IF(SER_hh_emih!Q21=0,0,SER_hh_emih!Q21/SER_summary!Q$26)</f>
        <v>0</v>
      </c>
      <c r="R21" s="132">
        <f>IF(SER_hh_emih!R21=0,0,SER_hh_emih!R21/SER_summary!R$26)</f>
        <v>0</v>
      </c>
      <c r="S21" s="132">
        <f>IF(SER_hh_emih!S21=0,0,SER_hh_emih!S21/SER_summary!S$26)</f>
        <v>0</v>
      </c>
      <c r="T21" s="132">
        <f>IF(SER_hh_emih!T21=0,0,SER_hh_emih!T21/SER_summary!T$26)</f>
        <v>0</v>
      </c>
      <c r="U21" s="132">
        <f>IF(SER_hh_emih!U21=0,0,SER_hh_emih!U21/SER_summary!U$26)</f>
        <v>0</v>
      </c>
      <c r="V21" s="132">
        <f>IF(SER_hh_emih!V21=0,0,SER_hh_emih!V21/SER_summary!V$26)</f>
        <v>0</v>
      </c>
      <c r="W21" s="132">
        <f>IF(SER_hh_emih!W21=0,0,SER_hh_emih!W21/SER_summary!W$26)</f>
        <v>0</v>
      </c>
      <c r="X21" s="132">
        <f>IF(SER_hh_emih!X21=0,0,SER_hh_emih!X21/SER_summary!X$26)</f>
        <v>0</v>
      </c>
      <c r="Y21" s="132">
        <f>IF(SER_hh_emih!Y21=0,0,SER_hh_emih!Y21/SER_summary!Y$26)</f>
        <v>0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10.275750145656492</v>
      </c>
      <c r="C22" s="132">
        <f>IF(SER_hh_emih!C22=0,0,SER_hh_emih!C22/SER_summary!C$26)</f>
        <v>10.203082077529729</v>
      </c>
      <c r="D22" s="132">
        <f>IF(SER_hh_emih!D22=0,0,SER_hh_emih!D22/SER_summary!D$26)</f>
        <v>10.166269873813405</v>
      </c>
      <c r="E22" s="132">
        <f>IF(SER_hh_emih!E22=0,0,SER_hh_emih!E22/SER_summary!E$26)</f>
        <v>10.617665068131084</v>
      </c>
      <c r="F22" s="132">
        <f>IF(SER_hh_emih!F22=0,0,SER_hh_emih!F22/SER_summary!F$26)</f>
        <v>10.796571080264641</v>
      </c>
      <c r="G22" s="132">
        <f>IF(SER_hh_emih!G22=0,0,SER_hh_emih!G22/SER_summary!G$26)</f>
        <v>8.6002326347382336</v>
      </c>
      <c r="H22" s="132">
        <f>IF(SER_hh_emih!H22=0,0,SER_hh_emih!H22/SER_summary!H$26)</f>
        <v>9.9893063607295254</v>
      </c>
      <c r="I22" s="132">
        <f>IF(SER_hh_emih!I22=0,0,SER_hh_emih!I22/SER_summary!I$26)</f>
        <v>9.9688372324790961</v>
      </c>
      <c r="J22" s="132">
        <f>IF(SER_hh_emih!J22=0,0,SER_hh_emih!J22/SER_summary!J$26)</f>
        <v>10.557827949771495</v>
      </c>
      <c r="K22" s="132">
        <f>IF(SER_hh_emih!K22=0,0,SER_hh_emih!K22/SER_summary!K$26)</f>
        <v>8.0397226764528824</v>
      </c>
      <c r="L22" s="132">
        <f>IF(SER_hh_emih!L22=0,0,SER_hh_emih!L22/SER_summary!L$26)</f>
        <v>8.2712785155939397</v>
      </c>
      <c r="M22" s="132">
        <f>IF(SER_hh_emih!M22=0,0,SER_hh_emih!M22/SER_summary!M$26)</f>
        <v>8.1899384558393269</v>
      </c>
      <c r="N22" s="132">
        <f>IF(SER_hh_emih!N22=0,0,SER_hh_emih!N22/SER_summary!N$26)</f>
        <v>9.8303469628458284</v>
      </c>
      <c r="O22" s="132">
        <f>IF(SER_hh_emih!O22=0,0,SER_hh_emih!O22/SER_summary!O$26)</f>
        <v>9.2666776303136249</v>
      </c>
      <c r="P22" s="132">
        <f>IF(SER_hh_emih!P22=0,0,SER_hh_emih!P22/SER_summary!P$26)</f>
        <v>6.4350722417793804</v>
      </c>
      <c r="Q22" s="132">
        <f>IF(SER_hh_emih!Q22=0,0,SER_hh_emih!Q22/SER_summary!Q$26)</f>
        <v>8.2045789564714049</v>
      </c>
      <c r="R22" s="132">
        <f>IF(SER_hh_emih!R22=0,0,SER_hh_emih!R22/SER_summary!R$26)</f>
        <v>7.4109761904192357</v>
      </c>
      <c r="S22" s="132">
        <f>IF(SER_hh_emih!S22=0,0,SER_hh_emih!S22/SER_summary!S$26)</f>
        <v>6.9607083582976745</v>
      </c>
      <c r="T22" s="132">
        <f>IF(SER_hh_emih!T22=0,0,SER_hh_emih!T22/SER_summary!T$26)</f>
        <v>6.7708570579492955</v>
      </c>
      <c r="U22" s="132">
        <f>IF(SER_hh_emih!U22=0,0,SER_hh_emih!U22/SER_summary!U$26)</f>
        <v>6.6537528517615376</v>
      </c>
      <c r="V22" s="132">
        <f>IF(SER_hh_emih!V22=0,0,SER_hh_emih!V22/SER_summary!V$26)</f>
        <v>6.7563961038128699</v>
      </c>
      <c r="W22" s="132">
        <f>IF(SER_hh_emih!W22=0,0,SER_hh_emih!W22/SER_summary!W$26)</f>
        <v>6.3443363180614707</v>
      </c>
      <c r="X22" s="132">
        <f>IF(SER_hh_emih!X22=0,0,SER_hh_emih!X22/SER_summary!X$26)</f>
        <v>6.0452108115316285</v>
      </c>
      <c r="Y22" s="132">
        <f>IF(SER_hh_emih!Y22=0,0,SER_hh_emih!Y22/SER_summary!Y$26)</f>
        <v>5.3472396812182321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7.5378752129421658</v>
      </c>
      <c r="C23" s="132">
        <f>IF(SER_hh_emih!C23=0,0,SER_hh_emih!C23/SER_summary!C$26)</f>
        <v>6.6285932429880514</v>
      </c>
      <c r="D23" s="132">
        <f>IF(SER_hh_emih!D23=0,0,SER_hh_emih!D23/SER_summary!D$26)</f>
        <v>7.1623402051713221</v>
      </c>
      <c r="E23" s="132">
        <f>IF(SER_hh_emih!E23=0,0,SER_hh_emih!E23/SER_summary!E$26)</f>
        <v>7.4410279905154404</v>
      </c>
      <c r="F23" s="132">
        <f>IF(SER_hh_emih!F23=0,0,SER_hh_emih!F23/SER_summary!F$26)</f>
        <v>6.5333293784767816</v>
      </c>
      <c r="G23" s="132">
        <f>IF(SER_hh_emih!G23=0,0,SER_hh_emih!G23/SER_summary!G$26)</f>
        <v>6.5519428779538318</v>
      </c>
      <c r="H23" s="132">
        <f>IF(SER_hh_emih!H23=0,0,SER_hh_emih!H23/SER_summary!H$26)</f>
        <v>7.201116522340163</v>
      </c>
      <c r="I23" s="132">
        <f>IF(SER_hh_emih!I23=0,0,SER_hh_emih!I23/SER_summary!I$26)</f>
        <v>6.6820230337550228</v>
      </c>
      <c r="J23" s="132">
        <f>IF(SER_hh_emih!J23=0,0,SER_hh_emih!J23/SER_summary!J$26)</f>
        <v>6.8472855965609369</v>
      </c>
      <c r="K23" s="132">
        <f>IF(SER_hh_emih!K23=0,0,SER_hh_emih!K23/SER_summary!K$26)</f>
        <v>6.5953898500257768</v>
      </c>
      <c r="L23" s="132">
        <f>IF(SER_hh_emih!L23=0,0,SER_hh_emih!L23/SER_summary!L$26)</f>
        <v>6.7769719008986673</v>
      </c>
      <c r="M23" s="132">
        <f>IF(SER_hh_emih!M23=0,0,SER_hh_emih!M23/SER_summary!M$26)</f>
        <v>6.6518197689859715</v>
      </c>
      <c r="N23" s="132">
        <f>IF(SER_hh_emih!N23=0,0,SER_hh_emih!N23/SER_summary!N$26)</f>
        <v>6.5662836290302948</v>
      </c>
      <c r="O23" s="132">
        <f>IF(SER_hh_emih!O23=0,0,SER_hh_emih!O23/SER_summary!O$26)</f>
        <v>6.5078063899558174</v>
      </c>
      <c r="P23" s="132">
        <f>IF(SER_hh_emih!P23=0,0,SER_hh_emih!P23/SER_summary!P$26)</f>
        <v>6.6465122058927086</v>
      </c>
      <c r="Q23" s="132">
        <f>IF(SER_hh_emih!Q23=0,0,SER_hh_emih!Q23/SER_summary!Q$26)</f>
        <v>6.6644083510993086</v>
      </c>
      <c r="R23" s="132">
        <f>IF(SER_hh_emih!R23=0,0,SER_hh_emih!R23/SER_summary!R$26)</f>
        <v>7.1240452634361837</v>
      </c>
      <c r="S23" s="132">
        <f>IF(SER_hh_emih!S23=0,0,SER_hh_emih!S23/SER_summary!S$26)</f>
        <v>4.088337101478988</v>
      </c>
      <c r="T23" s="132">
        <f>IF(SER_hh_emih!T23=0,0,SER_hh_emih!T23/SER_summary!T$26)</f>
        <v>5.5027788233889883</v>
      </c>
      <c r="U23" s="132">
        <f>IF(SER_hh_emih!U23=0,0,SER_hh_emih!U23/SER_summary!U$26)</f>
        <v>6.5806285306347352</v>
      </c>
      <c r="V23" s="132">
        <f>IF(SER_hh_emih!V23=0,0,SER_hh_emih!V23/SER_summary!V$26)</f>
        <v>6.1519862359702904</v>
      </c>
      <c r="W23" s="132">
        <f>IF(SER_hh_emih!W23=0,0,SER_hh_emih!W23/SER_summary!W$26)</f>
        <v>5.8148664875980645</v>
      </c>
      <c r="X23" s="132">
        <f>IF(SER_hh_emih!X23=0,0,SER_hh_emih!X23/SER_summary!X$26)</f>
        <v>5.0424905487414158</v>
      </c>
      <c r="Y23" s="132">
        <f>IF(SER_hh_emih!Y23=0,0,SER_hh_emih!Y23/SER_summary!Y$26)</f>
        <v>4.8295612606319605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0.90203666438890906</v>
      </c>
      <c r="C29" s="130">
        <f>IF(SER_hh_emih!C29=0,0,SER_hh_emih!C29/SER_summary!C$26)</f>
        <v>1.1443491760148956</v>
      </c>
      <c r="D29" s="130">
        <f>IF(SER_hh_emih!D29=0,0,SER_hh_emih!D29/SER_summary!D$26)</f>
        <v>0.96982096792793859</v>
      </c>
      <c r="E29" s="130">
        <f>IF(SER_hh_emih!E29=0,0,SER_hh_emih!E29/SER_summary!E$26)</f>
        <v>0.79846972898771484</v>
      </c>
      <c r="F29" s="130">
        <f>IF(SER_hh_emih!F29=0,0,SER_hh_emih!F29/SER_summary!F$26)</f>
        <v>0.71165397840020861</v>
      </c>
      <c r="G29" s="130">
        <f>IF(SER_hh_emih!G29=0,0,SER_hh_emih!G29/SER_summary!G$26)</f>
        <v>0.71387469348308186</v>
      </c>
      <c r="H29" s="130">
        <f>IF(SER_hh_emih!H29=0,0,SER_hh_emih!H29/SER_summary!H$26)</f>
        <v>1.2282709486659642</v>
      </c>
      <c r="I29" s="130">
        <f>IF(SER_hh_emih!I29=0,0,SER_hh_emih!I29/SER_summary!I$26)</f>
        <v>1.7421044767939238</v>
      </c>
      <c r="J29" s="130">
        <f>IF(SER_hh_emih!J29=0,0,SER_hh_emih!J29/SER_summary!J$26)</f>
        <v>1.5967902192117123</v>
      </c>
      <c r="K29" s="130">
        <f>IF(SER_hh_emih!K29=0,0,SER_hh_emih!K29/SER_summary!K$26)</f>
        <v>1.0720003088598034</v>
      </c>
      <c r="L29" s="130">
        <f>IF(SER_hh_emih!L29=0,0,SER_hh_emih!L29/SER_summary!L$26)</f>
        <v>1.5722896873790511</v>
      </c>
      <c r="M29" s="130">
        <f>IF(SER_hh_emih!M29=0,0,SER_hh_emih!M29/SER_summary!M$26)</f>
        <v>1.4442024897129586</v>
      </c>
      <c r="N29" s="130">
        <f>IF(SER_hh_emih!N29=0,0,SER_hh_emih!N29/SER_summary!N$26)</f>
        <v>0.46287690962251649</v>
      </c>
      <c r="O29" s="130">
        <f>IF(SER_hh_emih!O29=0,0,SER_hh_emih!O29/SER_summary!O$26)</f>
        <v>0.48472487296999628</v>
      </c>
      <c r="P29" s="130">
        <f>IF(SER_hh_emih!P29=0,0,SER_hh_emih!P29/SER_summary!P$26)</f>
        <v>0.51486567715834064</v>
      </c>
      <c r="Q29" s="130">
        <f>IF(SER_hh_emih!Q29=0,0,SER_hh_emih!Q29/SER_summary!Q$26)</f>
        <v>0.27883743202699945</v>
      </c>
      <c r="R29" s="130">
        <f>IF(SER_hh_emih!R29=0,0,SER_hh_emih!R29/SER_summary!R$26)</f>
        <v>0.28980042986961174</v>
      </c>
      <c r="S29" s="130">
        <f>IF(SER_hh_emih!S29=0,0,SER_hh_emih!S29/SER_summary!S$26)</f>
        <v>0.2380777153332069</v>
      </c>
      <c r="T29" s="130">
        <f>IF(SER_hh_emih!T29=0,0,SER_hh_emih!T29/SER_summary!T$26)</f>
        <v>0.24974546179853155</v>
      </c>
      <c r="U29" s="130">
        <f>IF(SER_hh_emih!U29=0,0,SER_hh_emih!U29/SER_summary!U$26)</f>
        <v>0.27782777178253515</v>
      </c>
      <c r="V29" s="130">
        <f>IF(SER_hh_emih!V29=0,0,SER_hh_emih!V29/SER_summary!V$26)</f>
        <v>0.26480416598823237</v>
      </c>
      <c r="W29" s="130">
        <f>IF(SER_hh_emih!W29=0,0,SER_hh_emih!W29/SER_summary!W$26)</f>
        <v>0.26593821939159096</v>
      </c>
      <c r="X29" s="130">
        <f>IF(SER_hh_emih!X29=0,0,SER_hh_emih!X29/SER_summary!X$26)</f>
        <v>0.26035119018854547</v>
      </c>
      <c r="Y29" s="130">
        <f>IF(SER_hh_emih!Y29=0,0,SER_hh_emih!Y29/SER_summary!Y$26)</f>
        <v>0.25750096369624953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5.7828733427129908</v>
      </c>
      <c r="C30" s="132">
        <f>IF(SER_hh_emih!C30=0,0,SER_hh_emih!C30/SER_summary!C$26)</f>
        <v>8.0589214322978133</v>
      </c>
      <c r="D30" s="132">
        <f>IF(SER_hh_emih!D30=0,0,SER_hh_emih!D30/SER_summary!D$26)</f>
        <v>6.8976454770575542</v>
      </c>
      <c r="E30" s="132">
        <f>IF(SER_hh_emih!E30=0,0,SER_hh_emih!E30/SER_summary!E$26)</f>
        <v>6.2316326326920013</v>
      </c>
      <c r="F30" s="132">
        <f>IF(SER_hh_emih!F30=0,0,SER_hh_emih!F30/SER_summary!F$26)</f>
        <v>5.7947789204800815</v>
      </c>
      <c r="G30" s="132">
        <f>IF(SER_hh_emih!G30=0,0,SER_hh_emih!G30/SER_summary!G$26)</f>
        <v>4.9531708679519193</v>
      </c>
      <c r="H30" s="132">
        <f>IF(SER_hh_emih!H30=0,0,SER_hh_emih!H30/SER_summary!H$26)</f>
        <v>7.0552841253849943</v>
      </c>
      <c r="I30" s="132">
        <f>IF(SER_hh_emih!I30=0,0,SER_hh_emih!I30/SER_summary!I$26)</f>
        <v>8.6961709509463976</v>
      </c>
      <c r="J30" s="132">
        <f>IF(SER_hh_emih!J30=0,0,SER_hh_emih!J30/SER_summary!J$26)</f>
        <v>7.721623793802725</v>
      </c>
      <c r="K30" s="132">
        <f>IF(SER_hh_emih!K30=0,0,SER_hh_emih!K30/SER_summary!K$26)</f>
        <v>5.4692839711719481</v>
      </c>
      <c r="L30" s="132">
        <f>IF(SER_hh_emih!L30=0,0,SER_hh_emih!L30/SER_summary!L$26)</f>
        <v>8.8795429144427462</v>
      </c>
      <c r="M30" s="132">
        <f>IF(SER_hh_emih!M30=0,0,SER_hh_emih!M30/SER_summary!M$26)</f>
        <v>9.7816491590542949</v>
      </c>
      <c r="N30" s="132">
        <f>IF(SER_hh_emih!N30=0,0,SER_hh_emih!N30/SER_summary!N$26)</f>
        <v>4.0490486822122858</v>
      </c>
      <c r="O30" s="132">
        <f>IF(SER_hh_emih!O30=0,0,SER_hh_emih!O30/SER_summary!O$26)</f>
        <v>6.4859408941669932</v>
      </c>
      <c r="P30" s="132">
        <f>IF(SER_hh_emih!P30=0,0,SER_hh_emih!P30/SER_summary!P$26)</f>
        <v>9.6674920154828374</v>
      </c>
      <c r="Q30" s="132">
        <f>IF(SER_hh_emih!Q30=0,0,SER_hh_emih!Q30/SER_summary!Q$26)</f>
        <v>5.7717917220574781</v>
      </c>
      <c r="R30" s="132">
        <f>IF(SER_hh_emih!R30=0,0,SER_hh_emih!R30/SER_summary!R$26)</f>
        <v>7.3352347279953873</v>
      </c>
      <c r="S30" s="132">
        <f>IF(SER_hh_emih!S30=0,0,SER_hh_emih!S30/SER_summary!S$26)</f>
        <v>8.1447625226900033</v>
      </c>
      <c r="T30" s="132">
        <f>IF(SER_hh_emih!T30=0,0,SER_hh_emih!T30/SER_summary!T$26)</f>
        <v>8.0926365498343085</v>
      </c>
      <c r="U30" s="132">
        <f>IF(SER_hh_emih!U30=0,0,SER_hh_emih!U30/SER_summary!U$26)</f>
        <v>8.3291602619456846</v>
      </c>
      <c r="V30" s="132">
        <f>IF(SER_hh_emih!V30=0,0,SER_hh_emih!V30/SER_summary!V$26)</f>
        <v>8.4368691545322019</v>
      </c>
      <c r="W30" s="132">
        <f>IF(SER_hh_emih!W30=0,0,SER_hh_emih!W30/SER_summary!W$26)</f>
        <v>8.4022675924074726</v>
      </c>
      <c r="X30" s="132">
        <f>IF(SER_hh_emih!X30=0,0,SER_hh_emih!X30/SER_summary!X$26)</f>
        <v>8.2196875761904149</v>
      </c>
      <c r="Y30" s="132">
        <f>IF(SER_hh_emih!Y30=0,0,SER_hh_emih!Y30/SER_summary!Y$26)</f>
        <v>8.0368877451967631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5.9409212508228224</v>
      </c>
      <c r="C31" s="132">
        <f>IF(SER_hh_emih!C31=0,0,SER_hh_emih!C31/SER_summary!C$26)</f>
        <v>5.3844778433369829</v>
      </c>
      <c r="D31" s="132">
        <f>IF(SER_hh_emih!D31=0,0,SER_hh_emih!D31/SER_summary!D$26)</f>
        <v>5.7318250111634388</v>
      </c>
      <c r="E31" s="132">
        <f>IF(SER_hh_emih!E31=0,0,SER_hh_emih!E31/SER_summary!E$26)</f>
        <v>6.0528419808690366</v>
      </c>
      <c r="F31" s="132">
        <f>IF(SER_hh_emih!F31=0,0,SER_hh_emih!F31/SER_summary!F$26)</f>
        <v>5.9738254272274736</v>
      </c>
      <c r="G31" s="132">
        <f>IF(SER_hh_emih!G31=0,0,SER_hh_emih!G31/SER_summary!G$26)</f>
        <v>5.9900351006862991</v>
      </c>
      <c r="H31" s="132">
        <f>IF(SER_hh_emih!H31=0,0,SER_hh_emih!H31/SER_summary!H$26)</f>
        <v>6.0671473814196979</v>
      </c>
      <c r="I31" s="132">
        <f>IF(SER_hh_emih!I31=0,0,SER_hh_emih!I31/SER_summary!I$26)</f>
        <v>6.2043361835408692</v>
      </c>
      <c r="J31" s="132">
        <f>IF(SER_hh_emih!J31=0,0,SER_hh_emih!J31/SER_summary!J$26)</f>
        <v>6.4924829269281137</v>
      </c>
      <c r="K31" s="132">
        <f>IF(SER_hh_emih!K31=0,0,SER_hh_emih!K31/SER_summary!K$26)</f>
        <v>6.3598477193473029</v>
      </c>
      <c r="L31" s="132">
        <f>IF(SER_hh_emih!L31=0,0,SER_hh_emih!L31/SER_summary!L$26)</f>
        <v>6.1434640473952067</v>
      </c>
      <c r="M31" s="132">
        <f>IF(SER_hh_emih!M31=0,0,SER_hh_emih!M31/SER_summary!M$26)</f>
        <v>6.5431990646187996</v>
      </c>
      <c r="N31" s="132">
        <f>IF(SER_hh_emih!N31=0,0,SER_hh_emih!N31/SER_summary!N$26)</f>
        <v>6.6473631802143194</v>
      </c>
      <c r="O31" s="132">
        <f>IF(SER_hh_emih!O31=0,0,SER_hh_emih!O31/SER_summary!O$26)</f>
        <v>6.7439209802857638</v>
      </c>
      <c r="P31" s="132">
        <f>IF(SER_hh_emih!P31=0,0,SER_hh_emih!P31/SER_summary!P$26)</f>
        <v>7.0203385298325118</v>
      </c>
      <c r="Q31" s="132">
        <f>IF(SER_hh_emih!Q31=0,0,SER_hh_emih!Q31/SER_summary!Q$26)</f>
        <v>7.0147695523215186</v>
      </c>
      <c r="R31" s="132">
        <f>IF(SER_hh_emih!R31=0,0,SER_hh_emih!R31/SER_summary!R$26)</f>
        <v>7.8276259523063283</v>
      </c>
      <c r="S31" s="132">
        <f>IF(SER_hh_emih!S31=0,0,SER_hh_emih!S31/SER_summary!S$26)</f>
        <v>4.6250540081359128</v>
      </c>
      <c r="T31" s="132">
        <f>IF(SER_hh_emih!T31=0,0,SER_hh_emih!T31/SER_summary!T$26)</f>
        <v>6.7022875390811789</v>
      </c>
      <c r="U31" s="132">
        <f>IF(SER_hh_emih!U31=0,0,SER_hh_emih!U31/SER_summary!U$26)</f>
        <v>8.5509285889038473</v>
      </c>
      <c r="V31" s="132">
        <f>IF(SER_hh_emih!V31=0,0,SER_hh_emih!V31/SER_summary!V$26)</f>
        <v>7.315351998282857</v>
      </c>
      <c r="W31" s="132">
        <f>IF(SER_hh_emih!W31=0,0,SER_hh_emih!W31/SER_summary!W$26)</f>
        <v>7.2790570492662292</v>
      </c>
      <c r="X31" s="132">
        <f>IF(SER_hh_emih!X31=0,0,SER_hh_emih!X31/SER_summary!X$26)</f>
        <v>6.8525373035317143</v>
      </c>
      <c r="Y31" s="132">
        <f>IF(SER_hh_emih!Y31=0,0,SER_hh_emih!Y31/SER_summary!Y$26)</f>
        <v>6.7231187159801067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2700.7684894765398</v>
      </c>
      <c r="D3" s="124">
        <f t="shared" si="0"/>
        <v>2493.9414653571848</v>
      </c>
      <c r="E3" s="124">
        <f t="shared" si="0"/>
        <v>2232.5302577312486</v>
      </c>
      <c r="F3" s="124">
        <f t="shared" si="0"/>
        <v>2766.6953438935893</v>
      </c>
      <c r="G3" s="124">
        <f t="shared" si="0"/>
        <v>2522.3381654724813</v>
      </c>
      <c r="H3" s="124">
        <f t="shared" si="0"/>
        <v>3256.5431796248686</v>
      </c>
      <c r="I3" s="124">
        <f t="shared" si="0"/>
        <v>3160.6493412840205</v>
      </c>
      <c r="J3" s="124">
        <f t="shared" si="0"/>
        <v>2206.5259434072832</v>
      </c>
      <c r="K3" s="124">
        <f t="shared" si="0"/>
        <v>2461.008259152833</v>
      </c>
      <c r="L3" s="124">
        <f t="shared" si="0"/>
        <v>2903.2597003182718</v>
      </c>
      <c r="M3" s="124">
        <f t="shared" si="0"/>
        <v>2412.1150184044964</v>
      </c>
      <c r="N3" s="124">
        <f t="shared" si="0"/>
        <v>2149.8077951829227</v>
      </c>
      <c r="O3" s="124">
        <f t="shared" si="0"/>
        <v>3386.6387619607985</v>
      </c>
      <c r="P3" s="124">
        <f t="shared" si="0"/>
        <v>2727.5601250400623</v>
      </c>
      <c r="Q3" s="124">
        <f t="shared" si="0"/>
        <v>3299.5996689067342</v>
      </c>
      <c r="R3" s="124">
        <f t="shared" si="0"/>
        <v>3297.9503231094313</v>
      </c>
      <c r="S3" s="124">
        <f t="shared" si="0"/>
        <v>3641.4921245982414</v>
      </c>
      <c r="T3" s="124">
        <f t="shared" si="0"/>
        <v>3235.6555414101545</v>
      </c>
      <c r="U3" s="124">
        <f t="shared" si="0"/>
        <v>3098.082856286997</v>
      </c>
      <c r="V3" s="124">
        <f t="shared" si="0"/>
        <v>3096.5349253130898</v>
      </c>
      <c r="W3" s="124">
        <f t="shared" si="0"/>
        <v>3081.5386927830523</v>
      </c>
      <c r="X3" s="124">
        <f t="shared" si="0"/>
        <v>3080.0877859022585</v>
      </c>
      <c r="Y3" s="124">
        <f t="shared" si="0"/>
        <v>3083.692186742077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2700.7684894765398</v>
      </c>
      <c r="D4" s="139">
        <f t="shared" si="1"/>
        <v>2493.9414653571848</v>
      </c>
      <c r="E4" s="139">
        <f t="shared" si="1"/>
        <v>2232.5302577312486</v>
      </c>
      <c r="F4" s="139">
        <f t="shared" si="1"/>
        <v>2766.6953438935893</v>
      </c>
      <c r="G4" s="139">
        <f t="shared" si="1"/>
        <v>2522.3381654724813</v>
      </c>
      <c r="H4" s="139">
        <f t="shared" si="1"/>
        <v>3256.5431796248686</v>
      </c>
      <c r="I4" s="139">
        <f t="shared" si="1"/>
        <v>3160.6493412840205</v>
      </c>
      <c r="J4" s="139">
        <f t="shared" si="1"/>
        <v>2206.5259434072832</v>
      </c>
      <c r="K4" s="139">
        <f t="shared" si="1"/>
        <v>2461.008259152833</v>
      </c>
      <c r="L4" s="139">
        <f t="shared" si="1"/>
        <v>2903.2597003182718</v>
      </c>
      <c r="M4" s="139">
        <f t="shared" si="1"/>
        <v>2412.1150184044964</v>
      </c>
      <c r="N4" s="139">
        <f t="shared" si="1"/>
        <v>2149.8077951829227</v>
      </c>
      <c r="O4" s="139">
        <f t="shared" si="1"/>
        <v>3386.6387619607985</v>
      </c>
      <c r="P4" s="139">
        <f t="shared" si="1"/>
        <v>2727.5601250400623</v>
      </c>
      <c r="Q4" s="139">
        <f t="shared" si="1"/>
        <v>3299.5996689067342</v>
      </c>
      <c r="R4" s="139">
        <f t="shared" ref="R4:W4" si="2">SUM(R5:R14)</f>
        <v>3297.9503231094313</v>
      </c>
      <c r="S4" s="139">
        <f t="shared" si="2"/>
        <v>3641.4921245982414</v>
      </c>
      <c r="T4" s="139">
        <f t="shared" si="2"/>
        <v>3235.6555414101545</v>
      </c>
      <c r="U4" s="139">
        <f t="shared" si="2"/>
        <v>3098.082856286997</v>
      </c>
      <c r="V4" s="139">
        <f t="shared" si="2"/>
        <v>3096.5349253130898</v>
      </c>
      <c r="W4" s="139">
        <f t="shared" si="2"/>
        <v>3081.5386927830523</v>
      </c>
      <c r="X4" s="139">
        <f t="shared" ref="X4:Y4" si="3">SUM(X5:X14)</f>
        <v>3080.0877859022585</v>
      </c>
      <c r="Y4" s="139">
        <f t="shared" si="3"/>
        <v>3083.692186742077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230.78756513452251</v>
      </c>
      <c r="D7" s="140">
        <v>346.04009049105974</v>
      </c>
      <c r="E7" s="140">
        <v>77.639909176270478</v>
      </c>
      <c r="F7" s="140">
        <v>0</v>
      </c>
      <c r="G7" s="140">
        <v>0</v>
      </c>
      <c r="H7" s="140">
        <v>0</v>
      </c>
      <c r="I7" s="140">
        <v>0</v>
      </c>
      <c r="J7" s="140">
        <v>0</v>
      </c>
      <c r="K7" s="140">
        <v>125.10460962963074</v>
      </c>
      <c r="L7" s="140">
        <v>553.13133741100967</v>
      </c>
      <c r="M7" s="140">
        <v>509.34079247997863</v>
      </c>
      <c r="N7" s="140">
        <v>336.7715149721173</v>
      </c>
      <c r="O7" s="140">
        <v>403.94259577831002</v>
      </c>
      <c r="P7" s="140">
        <v>0</v>
      </c>
      <c r="Q7" s="140">
        <v>2.5222778974306475</v>
      </c>
      <c r="R7" s="140">
        <v>115.09859281994662</v>
      </c>
      <c r="S7" s="140">
        <v>299.77000362983642</v>
      </c>
      <c r="T7" s="140">
        <v>215.02589798194558</v>
      </c>
      <c r="U7" s="140">
        <v>119.46982347365753</v>
      </c>
      <c r="V7" s="140">
        <v>30.944314456326307</v>
      </c>
      <c r="W7" s="140">
        <v>0</v>
      </c>
      <c r="X7" s="140">
        <v>0</v>
      </c>
      <c r="Y7" s="140">
        <v>0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62.346333853689288</v>
      </c>
      <c r="D9" s="140">
        <v>167.47933057929063</v>
      </c>
      <c r="E9" s="140">
        <v>135.42283086005853</v>
      </c>
      <c r="F9" s="140">
        <v>108.87442672883795</v>
      </c>
      <c r="G9" s="140">
        <v>76.375699625532846</v>
      </c>
      <c r="H9" s="140">
        <v>61.474284166973085</v>
      </c>
      <c r="I9" s="140">
        <v>9.8920995758352319</v>
      </c>
      <c r="J9" s="140">
        <v>10.444550548185745</v>
      </c>
      <c r="K9" s="140">
        <v>62.997973416693206</v>
      </c>
      <c r="L9" s="140">
        <v>76.790493188043328</v>
      </c>
      <c r="M9" s="140">
        <v>112.45897430583317</v>
      </c>
      <c r="N9" s="140">
        <v>110.25909495378528</v>
      </c>
      <c r="O9" s="140">
        <v>47.746640746113272</v>
      </c>
      <c r="P9" s="140">
        <v>30.634268690847353</v>
      </c>
      <c r="Q9" s="140">
        <v>0</v>
      </c>
      <c r="R9" s="140">
        <v>0</v>
      </c>
      <c r="S9" s="140">
        <v>128.92053086515446</v>
      </c>
      <c r="T9" s="140">
        <v>110.35072670884918</v>
      </c>
      <c r="U9" s="140">
        <v>180.67864751075248</v>
      </c>
      <c r="V9" s="140">
        <v>67.999889385716557</v>
      </c>
      <c r="W9" s="140">
        <v>63.127336020021588</v>
      </c>
      <c r="X9" s="140">
        <v>2.40755288932225</v>
      </c>
      <c r="Y9" s="140">
        <v>0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56.031475764430262</v>
      </c>
      <c r="D10" s="140">
        <v>31.794135578598155</v>
      </c>
      <c r="E10" s="140">
        <v>66.319983430820116</v>
      </c>
      <c r="F10" s="140">
        <v>103.75344753229986</v>
      </c>
      <c r="G10" s="140">
        <v>46.346507900579283</v>
      </c>
      <c r="H10" s="140">
        <v>21.193782624200203</v>
      </c>
      <c r="I10" s="140">
        <v>5.2355632324887207</v>
      </c>
      <c r="J10" s="140">
        <v>10.602350645781819</v>
      </c>
      <c r="K10" s="140">
        <v>30.322382670165197</v>
      </c>
      <c r="L10" s="140">
        <v>26.335311385960622</v>
      </c>
      <c r="M10" s="140">
        <v>22.462983009861688</v>
      </c>
      <c r="N10" s="140">
        <v>21.496663308354091</v>
      </c>
      <c r="O10" s="140">
        <v>24.269905568081455</v>
      </c>
      <c r="P10" s="140">
        <v>43.686882157970857</v>
      </c>
      <c r="Q10" s="140">
        <v>103.2002357045364</v>
      </c>
      <c r="R10" s="140">
        <v>57.54499381620942</v>
      </c>
      <c r="S10" s="140">
        <v>58.918144987264775</v>
      </c>
      <c r="T10" s="140">
        <v>52.907876794173404</v>
      </c>
      <c r="U10" s="140">
        <v>22.912253692393183</v>
      </c>
      <c r="V10" s="140">
        <v>3.9416995637281129</v>
      </c>
      <c r="W10" s="140">
        <v>0</v>
      </c>
      <c r="X10" s="140">
        <v>0</v>
      </c>
      <c r="Y10" s="140">
        <v>4.0537202210182119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1154.0111269587865</v>
      </c>
      <c r="D12" s="140">
        <v>1204.3916022085123</v>
      </c>
      <c r="E12" s="140">
        <v>1274.8080186635327</v>
      </c>
      <c r="F12" s="140">
        <v>1513.1766633941559</v>
      </c>
      <c r="G12" s="140">
        <v>1368.8654313152902</v>
      </c>
      <c r="H12" s="140">
        <v>1282.7560021516008</v>
      </c>
      <c r="I12" s="140">
        <v>1325.0834637926102</v>
      </c>
      <c r="J12" s="140">
        <v>1338.9177215352918</v>
      </c>
      <c r="K12" s="140">
        <v>1939.644465421313</v>
      </c>
      <c r="L12" s="140">
        <v>1928.4206863194656</v>
      </c>
      <c r="M12" s="140">
        <v>1339.1347573003134</v>
      </c>
      <c r="N12" s="140">
        <v>989.07248679818156</v>
      </c>
      <c r="O12" s="140">
        <v>1490.2055577114627</v>
      </c>
      <c r="P12" s="140">
        <v>603.29521361078775</v>
      </c>
      <c r="Q12" s="140">
        <v>871.29183522083508</v>
      </c>
      <c r="R12" s="140">
        <v>1325.7848256751781</v>
      </c>
      <c r="S12" s="140">
        <v>1776.6047959916336</v>
      </c>
      <c r="T12" s="140">
        <v>1504.1478709624432</v>
      </c>
      <c r="U12" s="140">
        <v>1339.7878462237902</v>
      </c>
      <c r="V12" s="140">
        <v>904.01840257436322</v>
      </c>
      <c r="W12" s="140">
        <v>1251.0803110297961</v>
      </c>
      <c r="X12" s="140">
        <v>943.76334210348296</v>
      </c>
      <c r="Y12" s="140">
        <v>1691.8117844643939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64.944065249585663</v>
      </c>
      <c r="D13" s="140">
        <v>99.449306124212413</v>
      </c>
      <c r="E13" s="140">
        <v>110.35395710990613</v>
      </c>
      <c r="F13" s="140">
        <v>168.93158345088617</v>
      </c>
      <c r="G13" s="140">
        <v>179.04428549745046</v>
      </c>
      <c r="H13" s="140">
        <v>302.59667978325302</v>
      </c>
      <c r="I13" s="140">
        <v>340.87236978393992</v>
      </c>
      <c r="J13" s="140">
        <v>216.00249769144028</v>
      </c>
      <c r="K13" s="140">
        <v>248.98027110220022</v>
      </c>
      <c r="L13" s="140">
        <v>194.2745683986372</v>
      </c>
      <c r="M13" s="140">
        <v>260.99398291250509</v>
      </c>
      <c r="N13" s="140">
        <v>167.58175317029557</v>
      </c>
      <c r="O13" s="140">
        <v>301.3463677137027</v>
      </c>
      <c r="P13" s="140">
        <v>381.5426444961476</v>
      </c>
      <c r="Q13" s="140">
        <v>449.16901267526612</v>
      </c>
      <c r="R13" s="140">
        <v>486.28337271302553</v>
      </c>
      <c r="S13" s="140">
        <v>526.55559866216629</v>
      </c>
      <c r="T13" s="140">
        <v>476.27032705849928</v>
      </c>
      <c r="U13" s="140">
        <v>460.52402443140681</v>
      </c>
      <c r="V13" s="140">
        <v>451.61761273422809</v>
      </c>
      <c r="W13" s="140">
        <v>254.32325487220021</v>
      </c>
      <c r="X13" s="140">
        <v>228.10815076496979</v>
      </c>
      <c r="Y13" s="140">
        <v>277.72277182265361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1132.6479225155258</v>
      </c>
      <c r="D14" s="141">
        <v>644.7870003755113</v>
      </c>
      <c r="E14" s="141">
        <v>567.98555849066054</v>
      </c>
      <c r="F14" s="141">
        <v>871.95922278740954</v>
      </c>
      <c r="G14" s="141">
        <v>851.70624113362885</v>
      </c>
      <c r="H14" s="141">
        <v>1588.5224308988413</v>
      </c>
      <c r="I14" s="141">
        <v>1479.5658448991462</v>
      </c>
      <c r="J14" s="141">
        <v>630.55882298658355</v>
      </c>
      <c r="K14" s="141">
        <v>53.958556912830744</v>
      </c>
      <c r="L14" s="141">
        <v>124.30730361515533</v>
      </c>
      <c r="M14" s="141">
        <v>167.72352839600438</v>
      </c>
      <c r="N14" s="141">
        <v>524.62628198018922</v>
      </c>
      <c r="O14" s="141">
        <v>1119.1276944431286</v>
      </c>
      <c r="P14" s="141">
        <v>1668.401116084309</v>
      </c>
      <c r="Q14" s="141">
        <v>1873.4163074086659</v>
      </c>
      <c r="R14" s="141">
        <v>1313.2385380850719</v>
      </c>
      <c r="S14" s="141">
        <v>850.72305046218628</v>
      </c>
      <c r="T14" s="141">
        <v>876.95284190424411</v>
      </c>
      <c r="U14" s="141">
        <v>974.71026095499701</v>
      </c>
      <c r="V14" s="141">
        <v>1638.0130065987273</v>
      </c>
      <c r="W14" s="141">
        <v>1513.007790861034</v>
      </c>
      <c r="X14" s="141">
        <v>1905.8087401444834</v>
      </c>
      <c r="Y14" s="141">
        <v>1110.1039102340114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1503.1765017114285</v>
      </c>
      <c r="D15" s="143">
        <f t="shared" si="4"/>
        <v>1749.7051588574609</v>
      </c>
      <c r="E15" s="143">
        <f t="shared" si="4"/>
        <v>1554.1907421306819</v>
      </c>
      <c r="F15" s="143">
        <f t="shared" si="4"/>
        <v>1725.8045376552936</v>
      </c>
      <c r="G15" s="143">
        <f t="shared" si="4"/>
        <v>1491.5876388414022</v>
      </c>
      <c r="H15" s="143">
        <f t="shared" si="4"/>
        <v>1365.4240689427741</v>
      </c>
      <c r="I15" s="143">
        <f t="shared" si="4"/>
        <v>1340.2111266009342</v>
      </c>
      <c r="J15" s="143">
        <f t="shared" si="4"/>
        <v>1359.9646227292594</v>
      </c>
      <c r="K15" s="143">
        <f t="shared" si="4"/>
        <v>2158.069431137802</v>
      </c>
      <c r="L15" s="143">
        <f t="shared" si="4"/>
        <v>2584.6778283044791</v>
      </c>
      <c r="M15" s="143">
        <f t="shared" si="4"/>
        <v>1983.3975070959868</v>
      </c>
      <c r="N15" s="143">
        <f t="shared" si="4"/>
        <v>1457.5997600324381</v>
      </c>
      <c r="O15" s="143">
        <f t="shared" si="4"/>
        <v>1966.1646998039673</v>
      </c>
      <c r="P15" s="143">
        <f t="shared" si="4"/>
        <v>677.61636445960596</v>
      </c>
      <c r="Q15" s="143">
        <f t="shared" si="4"/>
        <v>977.01434882280216</v>
      </c>
      <c r="R15" s="143">
        <f t="shared" ref="R15:W15" si="5">SUM(R5:R12)</f>
        <v>1498.4284123113341</v>
      </c>
      <c r="S15" s="143">
        <f t="shared" si="5"/>
        <v>2264.213475473889</v>
      </c>
      <c r="T15" s="143">
        <f t="shared" si="5"/>
        <v>1882.4323724474114</v>
      </c>
      <c r="U15" s="143">
        <f t="shared" si="5"/>
        <v>1662.8485709005934</v>
      </c>
      <c r="V15" s="143">
        <f t="shared" si="5"/>
        <v>1006.9043059801342</v>
      </c>
      <c r="W15" s="143">
        <f t="shared" si="5"/>
        <v>1314.2076470498178</v>
      </c>
      <c r="X15" s="143">
        <f t="shared" ref="X15:Y15" si="6">SUM(X5:X12)</f>
        <v>946.17089499280519</v>
      </c>
      <c r="Y15" s="143">
        <f t="shared" si="6"/>
        <v>1695.8655046854121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2700.7684894765398</v>
      </c>
      <c r="D16" s="139">
        <f t="shared" si="7"/>
        <v>2493.9414653571844</v>
      </c>
      <c r="E16" s="139">
        <f t="shared" si="7"/>
        <v>2232.5302577312486</v>
      </c>
      <c r="F16" s="139">
        <f t="shared" si="7"/>
        <v>2766.6953438935893</v>
      </c>
      <c r="G16" s="139">
        <f t="shared" si="7"/>
        <v>2522.3381654724813</v>
      </c>
      <c r="H16" s="139">
        <f t="shared" si="7"/>
        <v>3256.5431796248681</v>
      </c>
      <c r="I16" s="139">
        <f t="shared" si="7"/>
        <v>3160.6493412840205</v>
      </c>
      <c r="J16" s="139">
        <f t="shared" si="7"/>
        <v>2206.5259434072836</v>
      </c>
      <c r="K16" s="139">
        <f t="shared" si="7"/>
        <v>2461.008259152833</v>
      </c>
      <c r="L16" s="139">
        <f t="shared" si="7"/>
        <v>2903.2597003182723</v>
      </c>
      <c r="M16" s="139">
        <f t="shared" si="7"/>
        <v>2412.1150184044964</v>
      </c>
      <c r="N16" s="139">
        <f t="shared" si="7"/>
        <v>2149.8077951829232</v>
      </c>
      <c r="O16" s="139">
        <f t="shared" si="7"/>
        <v>3386.638761960799</v>
      </c>
      <c r="P16" s="139">
        <f t="shared" si="7"/>
        <v>2727.5601250400628</v>
      </c>
      <c r="Q16" s="139">
        <f t="shared" si="7"/>
        <v>3299.5996689067342</v>
      </c>
      <c r="R16" s="139">
        <f t="shared" ref="R16:W16" si="8">SUM(R17:R18)</f>
        <v>3297.9503231094313</v>
      </c>
      <c r="S16" s="139">
        <f t="shared" si="8"/>
        <v>3641.4921245982423</v>
      </c>
      <c r="T16" s="139">
        <f t="shared" si="8"/>
        <v>3235.6555414101549</v>
      </c>
      <c r="U16" s="139">
        <f t="shared" si="8"/>
        <v>3098.0828562869974</v>
      </c>
      <c r="V16" s="139">
        <f t="shared" si="8"/>
        <v>3096.5349253130898</v>
      </c>
      <c r="W16" s="139">
        <f t="shared" si="8"/>
        <v>3081.5386927830518</v>
      </c>
      <c r="X16" s="139">
        <f t="shared" ref="X16:Y16" si="9">SUM(X17:X18)</f>
        <v>3080.087785902258</v>
      </c>
      <c r="Y16" s="139">
        <f t="shared" si="9"/>
        <v>3083.692186742077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2700.7684894765398</v>
      </c>
      <c r="D18" s="140">
        <v>2493.9414653571844</v>
      </c>
      <c r="E18" s="140">
        <v>2232.5302577312486</v>
      </c>
      <c r="F18" s="140">
        <v>2766.6953438935893</v>
      </c>
      <c r="G18" s="140">
        <v>2522.3381654724813</v>
      </c>
      <c r="H18" s="140">
        <v>3256.5431796248681</v>
      </c>
      <c r="I18" s="140">
        <v>3160.6493412840205</v>
      </c>
      <c r="J18" s="140">
        <v>2206.5259434072836</v>
      </c>
      <c r="K18" s="140">
        <v>2461.008259152833</v>
      </c>
      <c r="L18" s="140">
        <v>2903.2597003182723</v>
      </c>
      <c r="M18" s="140">
        <v>2412.1150184044964</v>
      </c>
      <c r="N18" s="140">
        <v>2149.8077951829232</v>
      </c>
      <c r="O18" s="140">
        <v>3386.638761960799</v>
      </c>
      <c r="P18" s="140">
        <v>2727.5601250400628</v>
      </c>
      <c r="Q18" s="140">
        <v>3299.5996689067342</v>
      </c>
      <c r="R18" s="140">
        <v>3297.9503231094313</v>
      </c>
      <c r="S18" s="140">
        <v>3641.4921245982423</v>
      </c>
      <c r="T18" s="140">
        <v>3235.6555414101549</v>
      </c>
      <c r="U18" s="140">
        <v>3098.0828562869974</v>
      </c>
      <c r="V18" s="140">
        <v>3096.5349253130898</v>
      </c>
      <c r="W18" s="140">
        <v>3081.5386927830518</v>
      </c>
      <c r="X18" s="140">
        <v>3080.087785902258</v>
      </c>
      <c r="Y18" s="140">
        <v>3083.692186742077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2700.7684894765403</v>
      </c>
      <c r="D19" s="139">
        <f t="shared" si="10"/>
        <v>2493.9414653571848</v>
      </c>
      <c r="E19" s="139">
        <f t="shared" si="10"/>
        <v>2232.5302577312486</v>
      </c>
      <c r="F19" s="139">
        <f t="shared" si="10"/>
        <v>2766.6953438935893</v>
      </c>
      <c r="G19" s="139">
        <f t="shared" si="10"/>
        <v>2522.3381654724817</v>
      </c>
      <c r="H19" s="139">
        <f t="shared" si="10"/>
        <v>3256.5431796248686</v>
      </c>
      <c r="I19" s="139">
        <f t="shared" si="10"/>
        <v>3160.6493412840209</v>
      </c>
      <c r="J19" s="139">
        <f t="shared" si="10"/>
        <v>2206.5259434072832</v>
      </c>
      <c r="K19" s="139">
        <f t="shared" si="10"/>
        <v>2461.0082591528335</v>
      </c>
      <c r="L19" s="139">
        <f t="shared" si="10"/>
        <v>2903.2597003182723</v>
      </c>
      <c r="M19" s="139">
        <f t="shared" si="10"/>
        <v>2412.1150184044964</v>
      </c>
      <c r="N19" s="139">
        <f t="shared" si="10"/>
        <v>2149.8077951829232</v>
      </c>
      <c r="O19" s="139">
        <f t="shared" si="10"/>
        <v>3386.6387619607985</v>
      </c>
      <c r="P19" s="139">
        <f t="shared" si="10"/>
        <v>2727.5601250400628</v>
      </c>
      <c r="Q19" s="139">
        <f t="shared" si="10"/>
        <v>3299.5996689067342</v>
      </c>
      <c r="R19" s="139">
        <f t="shared" ref="R19:W19" si="11">SUM(R20:R26)</f>
        <v>3297.9503231094313</v>
      </c>
      <c r="S19" s="139">
        <f t="shared" si="11"/>
        <v>3641.4921245982414</v>
      </c>
      <c r="T19" s="139">
        <f t="shared" si="11"/>
        <v>3235.6555414101545</v>
      </c>
      <c r="U19" s="139">
        <f t="shared" si="11"/>
        <v>3098.0828562869979</v>
      </c>
      <c r="V19" s="139">
        <f t="shared" si="11"/>
        <v>3096.5349253130898</v>
      </c>
      <c r="W19" s="139">
        <f t="shared" si="11"/>
        <v>3081.5386927830523</v>
      </c>
      <c r="X19" s="139">
        <f t="shared" ref="X19:Y19" si="12">SUM(X20:X26)</f>
        <v>3080.0877859022585</v>
      </c>
      <c r="Y19" s="139">
        <f t="shared" si="12"/>
        <v>3083.692186742077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361.86228586031871</v>
      </c>
      <c r="D22" s="140">
        <v>215.43156566673693</v>
      </c>
      <c r="E22" s="140">
        <v>48.289962320121269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357.82874137283494</v>
      </c>
      <c r="N22" s="140">
        <v>453.45160802393127</v>
      </c>
      <c r="O22" s="140">
        <v>568.07794199455498</v>
      </c>
      <c r="P22" s="140">
        <v>127.430554318326</v>
      </c>
      <c r="Q22" s="140">
        <v>503.16582498932263</v>
      </c>
      <c r="R22" s="140">
        <v>379.89532271791848</v>
      </c>
      <c r="S22" s="140">
        <v>363.3581474052495</v>
      </c>
      <c r="T22" s="140">
        <v>145.70549230143391</v>
      </c>
      <c r="U22" s="140">
        <v>5.657638079066051</v>
      </c>
      <c r="V22" s="140">
        <v>0</v>
      </c>
      <c r="W22" s="140">
        <v>0</v>
      </c>
      <c r="X22" s="140">
        <v>0</v>
      </c>
      <c r="Y22" s="140">
        <v>0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19.307801003134021</v>
      </c>
      <c r="D23" s="140">
        <v>39.972564853032523</v>
      </c>
      <c r="E23" s="140">
        <v>34.50759919434676</v>
      </c>
      <c r="F23" s="140">
        <v>40.136118468343945</v>
      </c>
      <c r="G23" s="140">
        <v>39.089962811657813</v>
      </c>
      <c r="H23" s="140">
        <v>60.44151876149192</v>
      </c>
      <c r="I23" s="140">
        <v>39.911206540920794</v>
      </c>
      <c r="J23" s="140">
        <v>28.295774265888486</v>
      </c>
      <c r="K23" s="140">
        <v>20.260939653169096</v>
      </c>
      <c r="L23" s="140">
        <v>30.334521826426325</v>
      </c>
      <c r="M23" s="140">
        <v>20.912995867205812</v>
      </c>
      <c r="N23" s="140">
        <v>23.013960971046188</v>
      </c>
      <c r="O23" s="140">
        <v>38.12776800879903</v>
      </c>
      <c r="P23" s="140">
        <v>59.576431123947671</v>
      </c>
      <c r="Q23" s="140">
        <v>23.212259940746371</v>
      </c>
      <c r="R23" s="140">
        <v>14.236547481113606</v>
      </c>
      <c r="S23" s="140">
        <v>38.87535687128473</v>
      </c>
      <c r="T23" s="140">
        <v>38.820760117543863</v>
      </c>
      <c r="U23" s="140">
        <v>99.465547054653655</v>
      </c>
      <c r="V23" s="140">
        <v>50.714975419665841</v>
      </c>
      <c r="W23" s="140">
        <v>35.802393324978226</v>
      </c>
      <c r="X23" s="140">
        <v>20.997279449716917</v>
      </c>
      <c r="Y23" s="140">
        <v>0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1077.6399866271456</v>
      </c>
      <c r="D25" s="140">
        <v>1072.5598655724903</v>
      </c>
      <c r="E25" s="140">
        <v>1134.8040073529976</v>
      </c>
      <c r="F25" s="140">
        <v>1598.7908180932459</v>
      </c>
      <c r="G25" s="140">
        <v>1368.0779495388781</v>
      </c>
      <c r="H25" s="140">
        <v>1846.0934675389838</v>
      </c>
      <c r="I25" s="140">
        <v>1364.5220791464856</v>
      </c>
      <c r="J25" s="140">
        <v>895.77998390055768</v>
      </c>
      <c r="K25" s="140">
        <v>983.91989225758277</v>
      </c>
      <c r="L25" s="140">
        <v>1423.7498707267036</v>
      </c>
      <c r="M25" s="140">
        <v>1186.8307239445098</v>
      </c>
      <c r="N25" s="140">
        <v>1024.3326615790709</v>
      </c>
      <c r="O25" s="140">
        <v>1565.4553458425605</v>
      </c>
      <c r="P25" s="140">
        <v>1462.8086346252285</v>
      </c>
      <c r="Q25" s="140">
        <v>1736.8530901229035</v>
      </c>
      <c r="R25" s="140">
        <v>1944.1784489399452</v>
      </c>
      <c r="S25" s="140">
        <v>1615.2936574903219</v>
      </c>
      <c r="T25" s="140">
        <v>1392.3265407239544</v>
      </c>
      <c r="U25" s="140">
        <v>1236.1499333288903</v>
      </c>
      <c r="V25" s="140">
        <v>1552.7247597441017</v>
      </c>
      <c r="W25" s="140">
        <v>1928.042717654685</v>
      </c>
      <c r="X25" s="140">
        <v>2088.5113598864423</v>
      </c>
      <c r="Y25" s="140">
        <v>1647.0856846036645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1241.9584159859419</v>
      </c>
      <c r="D26" s="141">
        <v>1165.9774692649248</v>
      </c>
      <c r="E26" s="141">
        <v>1014.928688863783</v>
      </c>
      <c r="F26" s="141">
        <v>1127.7684073319995</v>
      </c>
      <c r="G26" s="141">
        <v>1115.1702531219455</v>
      </c>
      <c r="H26" s="141">
        <v>1350.0081933243926</v>
      </c>
      <c r="I26" s="141">
        <v>1756.2160555966143</v>
      </c>
      <c r="J26" s="141">
        <v>1282.4501852408373</v>
      </c>
      <c r="K26" s="141">
        <v>1456.8274272420815</v>
      </c>
      <c r="L26" s="141">
        <v>1449.1753077651424</v>
      </c>
      <c r="M26" s="141">
        <v>846.54255721994582</v>
      </c>
      <c r="N26" s="141">
        <v>649.00956460887471</v>
      </c>
      <c r="O26" s="141">
        <v>1214.9777061148839</v>
      </c>
      <c r="P26" s="141">
        <v>1077.7445049725607</v>
      </c>
      <c r="Q26" s="141">
        <v>1036.3684938537615</v>
      </c>
      <c r="R26" s="141">
        <v>959.64000397045402</v>
      </c>
      <c r="S26" s="141">
        <v>1623.9649628313855</v>
      </c>
      <c r="T26" s="141">
        <v>1658.8027482672223</v>
      </c>
      <c r="U26" s="141">
        <v>1756.8097378243879</v>
      </c>
      <c r="V26" s="141">
        <v>1493.0951901493224</v>
      </c>
      <c r="W26" s="141">
        <v>1117.693581803389</v>
      </c>
      <c r="X26" s="141">
        <v>970.57914656609898</v>
      </c>
      <c r="Y26" s="141">
        <v>1436.6065021384122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2700.7684894765398</v>
      </c>
      <c r="D29" s="139">
        <f t="shared" si="13"/>
        <v>2493.9414653571839</v>
      </c>
      <c r="E29" s="139">
        <f t="shared" si="13"/>
        <v>2232.5302577312486</v>
      </c>
      <c r="F29" s="139">
        <f t="shared" si="13"/>
        <v>2766.6953438935893</v>
      </c>
      <c r="G29" s="139">
        <f t="shared" si="13"/>
        <v>2522.3381654724817</v>
      </c>
      <c r="H29" s="139">
        <f t="shared" si="13"/>
        <v>3256.5431796248677</v>
      </c>
      <c r="I29" s="139">
        <f t="shared" si="13"/>
        <v>3160.6493412840205</v>
      </c>
      <c r="J29" s="139">
        <f t="shared" si="13"/>
        <v>2206.5259434072832</v>
      </c>
      <c r="K29" s="139">
        <f t="shared" si="13"/>
        <v>2461.0082591528335</v>
      </c>
      <c r="L29" s="139">
        <f t="shared" si="13"/>
        <v>2903.2597003182723</v>
      </c>
      <c r="M29" s="139">
        <f t="shared" si="13"/>
        <v>2412.1150184044964</v>
      </c>
      <c r="N29" s="139">
        <f t="shared" si="13"/>
        <v>2149.8077951829232</v>
      </c>
      <c r="O29" s="139">
        <f t="shared" si="13"/>
        <v>3386.6387619607985</v>
      </c>
      <c r="P29" s="139">
        <f t="shared" si="13"/>
        <v>2727.5601250400628</v>
      </c>
      <c r="Q29" s="139">
        <f t="shared" si="13"/>
        <v>3299.5996689067342</v>
      </c>
      <c r="R29" s="139">
        <f t="shared" ref="R29:W29" si="14">SUM(R30:R33)</f>
        <v>3297.9503231094309</v>
      </c>
      <c r="S29" s="139">
        <f t="shared" si="14"/>
        <v>3641.4921245982418</v>
      </c>
      <c r="T29" s="139">
        <f t="shared" si="14"/>
        <v>3235.6555414101554</v>
      </c>
      <c r="U29" s="139">
        <f t="shared" si="14"/>
        <v>3098.0828562869979</v>
      </c>
      <c r="V29" s="139">
        <f t="shared" si="14"/>
        <v>3096.5349253130898</v>
      </c>
      <c r="W29" s="139">
        <f t="shared" si="14"/>
        <v>3081.5386927830518</v>
      </c>
      <c r="X29" s="139">
        <f t="shared" ref="X29:Y29" si="15">SUM(X30:X33)</f>
        <v>3080.0877859022589</v>
      </c>
      <c r="Y29" s="139">
        <f t="shared" si="15"/>
        <v>3083.6921867420765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222.79843602185952</v>
      </c>
      <c r="D30" s="140">
        <v>178.89327049808782</v>
      </c>
      <c r="E30" s="140">
        <v>0</v>
      </c>
      <c r="F30" s="140">
        <v>119.40433685646813</v>
      </c>
      <c r="G30" s="140">
        <v>681.9112199194243</v>
      </c>
      <c r="H30" s="140">
        <v>1494.663034557512</v>
      </c>
      <c r="I30" s="140">
        <v>1193.5796636524822</v>
      </c>
      <c r="J30" s="140">
        <v>356.82324971598217</v>
      </c>
      <c r="K30" s="140">
        <v>26.117168562428244</v>
      </c>
      <c r="L30" s="140">
        <v>186.72085053871459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42.194256686312563</v>
      </c>
      <c r="T30" s="140">
        <v>245.9395647110363</v>
      </c>
      <c r="U30" s="140">
        <v>193.73187567176095</v>
      </c>
      <c r="V30" s="140">
        <v>84.824764305181716</v>
      </c>
      <c r="W30" s="140">
        <v>12.609792743608571</v>
      </c>
      <c r="X30" s="140">
        <v>55.14900904055375</v>
      </c>
      <c r="Y30" s="140">
        <v>27.300653075556227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84.012228243595899</v>
      </c>
      <c r="D31" s="140">
        <v>88.617486497864263</v>
      </c>
      <c r="E31" s="140">
        <v>71.381907684230811</v>
      </c>
      <c r="F31" s="140">
        <v>75.894427371210924</v>
      </c>
      <c r="G31" s="140">
        <v>58.743417075358572</v>
      </c>
      <c r="H31" s="140">
        <v>66.922752177485378</v>
      </c>
      <c r="I31" s="140">
        <v>55.153364439096961</v>
      </c>
      <c r="J31" s="140">
        <v>29.042789585476854</v>
      </c>
      <c r="K31" s="140">
        <v>16.925327900247719</v>
      </c>
      <c r="L31" s="140">
        <v>7.5297639520796054</v>
      </c>
      <c r="M31" s="140">
        <v>0.62215722091453218</v>
      </c>
      <c r="N31" s="140">
        <v>20.878333718774101</v>
      </c>
      <c r="O31" s="140">
        <v>57.922875850590493</v>
      </c>
      <c r="P31" s="140">
        <v>56.387335246257045</v>
      </c>
      <c r="Q31" s="140">
        <v>38.326123518255976</v>
      </c>
      <c r="R31" s="140">
        <v>28.476604144096871</v>
      </c>
      <c r="S31" s="140">
        <v>39.000216653857642</v>
      </c>
      <c r="T31" s="140">
        <v>28.82125237193387</v>
      </c>
      <c r="U31" s="140">
        <v>67.153277268248004</v>
      </c>
      <c r="V31" s="140">
        <v>43.33078512944909</v>
      </c>
      <c r="W31" s="140">
        <v>39.425391816280772</v>
      </c>
      <c r="X31" s="140">
        <v>36.102830114140275</v>
      </c>
      <c r="Y31" s="140">
        <v>37.44739530682903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2393.9578252110841</v>
      </c>
      <c r="D33" s="152">
        <v>2226.4307083612321</v>
      </c>
      <c r="E33" s="152">
        <v>2161.1483500470176</v>
      </c>
      <c r="F33" s="152">
        <v>2571.3965796659104</v>
      </c>
      <c r="G33" s="152">
        <v>1781.6835284776989</v>
      </c>
      <c r="H33" s="152">
        <v>1694.9573928898706</v>
      </c>
      <c r="I33" s="152">
        <v>1911.9163131924413</v>
      </c>
      <c r="J33" s="152">
        <v>1820.6599041058244</v>
      </c>
      <c r="K33" s="152">
        <v>2417.9657626901576</v>
      </c>
      <c r="L33" s="152">
        <v>2709.009085827478</v>
      </c>
      <c r="M33" s="152">
        <v>2411.4928611835817</v>
      </c>
      <c r="N33" s="152">
        <v>2128.929461464149</v>
      </c>
      <c r="O33" s="152">
        <v>3328.715886110208</v>
      </c>
      <c r="P33" s="152">
        <v>2671.1727897938058</v>
      </c>
      <c r="Q33" s="152">
        <v>3261.2735453884784</v>
      </c>
      <c r="R33" s="152">
        <v>3269.4737189653342</v>
      </c>
      <c r="S33" s="152">
        <v>3560.2976512580717</v>
      </c>
      <c r="T33" s="152">
        <v>2960.894724327185</v>
      </c>
      <c r="U33" s="152">
        <v>2837.1977033469889</v>
      </c>
      <c r="V33" s="152">
        <v>2968.3793758784591</v>
      </c>
      <c r="W33" s="152">
        <v>3029.5035082231625</v>
      </c>
      <c r="X33" s="152">
        <v>2988.8359467475648</v>
      </c>
      <c r="Y33" s="152">
        <v>3018.9441383596914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60.343873152617519</v>
      </c>
      <c r="D3" s="125">
        <f t="shared" si="0"/>
        <v>54.841163712375653</v>
      </c>
      <c r="E3" s="125">
        <f t="shared" si="0"/>
        <v>44.916678894844615</v>
      </c>
      <c r="F3" s="125">
        <f t="shared" si="0"/>
        <v>51.516124701563726</v>
      </c>
      <c r="G3" s="125">
        <f t="shared" si="0"/>
        <v>42.582699614092334</v>
      </c>
      <c r="H3" s="125">
        <f t="shared" si="0"/>
        <v>53.691077929734334</v>
      </c>
      <c r="I3" s="125">
        <f t="shared" si="0"/>
        <v>51.393929743989467</v>
      </c>
      <c r="J3" s="125">
        <f t="shared" si="0"/>
        <v>33.493081600947519</v>
      </c>
      <c r="K3" s="125">
        <f t="shared" si="0"/>
        <v>36.05825603949431</v>
      </c>
      <c r="L3" s="125">
        <f t="shared" si="0"/>
        <v>46.302285174266792</v>
      </c>
      <c r="M3" s="125">
        <f t="shared" si="0"/>
        <v>32.628043617135106</v>
      </c>
      <c r="N3" s="125">
        <f t="shared" si="0"/>
        <v>30.236850692069851</v>
      </c>
      <c r="O3" s="125">
        <f t="shared" si="0"/>
        <v>42.909610892176801</v>
      </c>
      <c r="P3" s="125">
        <f t="shared" si="0"/>
        <v>31.370666453996385</v>
      </c>
      <c r="Q3" s="125">
        <f t="shared" si="0"/>
        <v>37.577982711511979</v>
      </c>
      <c r="R3" s="125">
        <f t="shared" ref="R3:W3" si="1">SUM(R4,R16,R19,R29)</f>
        <v>36.596818130884188</v>
      </c>
      <c r="S3" s="125">
        <f t="shared" si="1"/>
        <v>35.8303892491559</v>
      </c>
      <c r="T3" s="125">
        <f t="shared" si="1"/>
        <v>30.901103121226793</v>
      </c>
      <c r="U3" s="125">
        <f t="shared" si="1"/>
        <v>27.021121040887934</v>
      </c>
      <c r="V3" s="125">
        <f t="shared" si="1"/>
        <v>24.455178862699547</v>
      </c>
      <c r="W3" s="125">
        <f t="shared" si="1"/>
        <v>22.657598197729026</v>
      </c>
      <c r="X3" s="125">
        <f t="shared" ref="X3:Y3" si="2">SUM(X4,X16,X19,X29)</f>
        <v>18.486801150720662</v>
      </c>
      <c r="Y3" s="125">
        <f t="shared" si="2"/>
        <v>18.130375178993486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47.753012813169242</v>
      </c>
      <c r="D4" s="130">
        <f t="shared" si="3"/>
        <v>43.400136968272939</v>
      </c>
      <c r="E4" s="130">
        <f t="shared" si="3"/>
        <v>34.951596979619644</v>
      </c>
      <c r="F4" s="130">
        <f t="shared" si="3"/>
        <v>39.298595808751422</v>
      </c>
      <c r="G4" s="130">
        <f t="shared" si="3"/>
        <v>31.311001912671387</v>
      </c>
      <c r="H4" s="130">
        <f t="shared" si="3"/>
        <v>38.576703758078764</v>
      </c>
      <c r="I4" s="130">
        <f t="shared" si="3"/>
        <v>36.33343643766937</v>
      </c>
      <c r="J4" s="130">
        <f t="shared" si="3"/>
        <v>23.610867352902691</v>
      </c>
      <c r="K4" s="130">
        <f t="shared" si="3"/>
        <v>24.825929768182561</v>
      </c>
      <c r="L4" s="130">
        <f t="shared" si="3"/>
        <v>33.587721459297335</v>
      </c>
      <c r="M4" s="130">
        <f t="shared" si="3"/>
        <v>22.288845481464101</v>
      </c>
      <c r="N4" s="130">
        <f t="shared" si="3"/>
        <v>20.460713033158378</v>
      </c>
      <c r="O4" s="130">
        <f t="shared" si="3"/>
        <v>28.031397403947008</v>
      </c>
      <c r="P4" s="130">
        <f t="shared" si="3"/>
        <v>19.992725082678803</v>
      </c>
      <c r="Q4" s="130">
        <f t="shared" si="3"/>
        <v>23.930896154120106</v>
      </c>
      <c r="R4" s="130">
        <f t="shared" ref="R4:W4" si="4">SUM(R5:R15)</f>
        <v>23.265020440640228</v>
      </c>
      <c r="S4" s="130">
        <f t="shared" si="4"/>
        <v>21.138530340747661</v>
      </c>
      <c r="T4" s="130">
        <f t="shared" si="4"/>
        <v>17.997489874369656</v>
      </c>
      <c r="U4" s="130">
        <f t="shared" si="4"/>
        <v>14.64560740955303</v>
      </c>
      <c r="V4" s="130">
        <f t="shared" si="4"/>
        <v>12.211537429175014</v>
      </c>
      <c r="W4" s="130">
        <f t="shared" si="4"/>
        <v>10.753099636788468</v>
      </c>
      <c r="X4" s="130">
        <f t="shared" ref="X4:Y4" si="5">SUM(X5:X15)</f>
        <v>7.2648159263564445</v>
      </c>
      <c r="Y4" s="130">
        <f t="shared" si="5"/>
        <v>7.1522829199778917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5.6112430128081954</v>
      </c>
      <c r="D7" s="132">
        <v>8.2529834906170354</v>
      </c>
      <c r="E7" s="132">
        <v>2.0261492872783617</v>
      </c>
      <c r="F7" s="132">
        <v>0</v>
      </c>
      <c r="G7" s="132">
        <v>0</v>
      </c>
      <c r="H7" s="132">
        <v>0</v>
      </c>
      <c r="I7" s="132">
        <v>0</v>
      </c>
      <c r="J7" s="132">
        <v>0</v>
      </c>
      <c r="K7" s="132">
        <v>1.8382089642471349</v>
      </c>
      <c r="L7" s="132">
        <v>8.2479389786204234</v>
      </c>
      <c r="M7" s="132">
        <v>6.6378929283969414</v>
      </c>
      <c r="N7" s="132">
        <v>4.1361400243801851</v>
      </c>
      <c r="O7" s="132">
        <v>4.2469435592672902</v>
      </c>
      <c r="P7" s="132">
        <v>0</v>
      </c>
      <c r="Q7" s="132">
        <v>2.1533274502330804E-2</v>
      </c>
      <c r="R7" s="132">
        <v>0.91047009583525484</v>
      </c>
      <c r="S7" s="132">
        <v>2.2355329382476872</v>
      </c>
      <c r="T7" s="132">
        <v>1.4903075274325959</v>
      </c>
      <c r="U7" s="132">
        <v>0.72567692361116165</v>
      </c>
      <c r="V7" s="132">
        <v>0.17188966316337406</v>
      </c>
      <c r="W7" s="132">
        <v>0</v>
      </c>
      <c r="X7" s="132">
        <v>0</v>
      </c>
      <c r="Y7" s="132">
        <v>0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1.0399673898637323</v>
      </c>
      <c r="D9" s="132">
        <v>3.856210653064271</v>
      </c>
      <c r="E9" s="132">
        <v>3.2394628668220378</v>
      </c>
      <c r="F9" s="132">
        <v>2.1435793973248156</v>
      </c>
      <c r="G9" s="132">
        <v>1.3813447766428808</v>
      </c>
      <c r="H9" s="132">
        <v>1.0361133177334849</v>
      </c>
      <c r="I9" s="132">
        <v>0.16833891289124542</v>
      </c>
      <c r="J9" s="132">
        <v>0.182966938515462</v>
      </c>
      <c r="K9" s="132">
        <v>0.49080703103124051</v>
      </c>
      <c r="L9" s="132">
        <v>1.2241964627712172</v>
      </c>
      <c r="M9" s="132">
        <v>1.3171366930996473</v>
      </c>
      <c r="N9" s="132">
        <v>1.4490130725172985</v>
      </c>
      <c r="O9" s="132">
        <v>0.49758408235310458</v>
      </c>
      <c r="P9" s="132">
        <v>0.28076052218849357</v>
      </c>
      <c r="Q9" s="132">
        <v>0</v>
      </c>
      <c r="R9" s="132">
        <v>0</v>
      </c>
      <c r="S9" s="132">
        <v>0.58627218417495797</v>
      </c>
      <c r="T9" s="132">
        <v>0.68787795064448487</v>
      </c>
      <c r="U9" s="132">
        <v>1.2325444918719104</v>
      </c>
      <c r="V9" s="132">
        <v>0.3925578342866714</v>
      </c>
      <c r="W9" s="132">
        <v>0.27068107907161798</v>
      </c>
      <c r="X9" s="132">
        <v>6.6934336833327744E-3</v>
      </c>
      <c r="Y9" s="132">
        <v>0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1.640248799750009</v>
      </c>
      <c r="D10" s="132">
        <v>0.62903378298822621</v>
      </c>
      <c r="E10" s="132">
        <v>0.94062238730249592</v>
      </c>
      <c r="F10" s="132">
        <v>2.4403608363679243</v>
      </c>
      <c r="G10" s="132">
        <v>1.0523641674571171</v>
      </c>
      <c r="H10" s="132">
        <v>0.33248849896611243</v>
      </c>
      <c r="I10" s="132">
        <v>8.5300858078127151E-2</v>
      </c>
      <c r="J10" s="132">
        <v>0.17522057029974328</v>
      </c>
      <c r="K10" s="132">
        <v>0.47725589516793521</v>
      </c>
      <c r="L10" s="132">
        <v>0.39789254555205494</v>
      </c>
      <c r="M10" s="132">
        <v>0.29376915442097001</v>
      </c>
      <c r="N10" s="132">
        <v>0.3449356060563642</v>
      </c>
      <c r="O10" s="132">
        <v>0.21184475117657942</v>
      </c>
      <c r="P10" s="132">
        <v>0.50232886840160595</v>
      </c>
      <c r="Q10" s="132">
        <v>1.0628052380382345</v>
      </c>
      <c r="R10" s="132">
        <v>0.90290207591108873</v>
      </c>
      <c r="S10" s="132">
        <v>0.85765747842810625</v>
      </c>
      <c r="T10" s="132">
        <v>0.72089888024528759</v>
      </c>
      <c r="U10" s="132">
        <v>0.16930501736183393</v>
      </c>
      <c r="V10" s="132">
        <v>2.6594035000957878E-2</v>
      </c>
      <c r="W10" s="132">
        <v>0</v>
      </c>
      <c r="X10" s="132">
        <v>0</v>
      </c>
      <c r="Y10" s="132">
        <v>1.6346333603534643E-2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18.284918881322049</v>
      </c>
      <c r="D12" s="132">
        <v>18.527241312167774</v>
      </c>
      <c r="E12" s="132">
        <v>18.948140196709588</v>
      </c>
      <c r="F12" s="132">
        <v>20.291734774260977</v>
      </c>
      <c r="G12" s="132">
        <v>17.411102355058492</v>
      </c>
      <c r="H12" s="132">
        <v>15.406049169476464</v>
      </c>
      <c r="I12" s="132">
        <v>14.624837355067884</v>
      </c>
      <c r="J12" s="132">
        <v>14.413246227664983</v>
      </c>
      <c r="K12" s="132">
        <v>20.458854284283596</v>
      </c>
      <c r="L12" s="132">
        <v>21.451340447485279</v>
      </c>
      <c r="M12" s="132">
        <v>11.68130630220419</v>
      </c>
      <c r="N12" s="132">
        <v>9.0015184762800171</v>
      </c>
      <c r="O12" s="132">
        <v>12.810254914304265</v>
      </c>
      <c r="P12" s="132">
        <v>4.6913299255211376</v>
      </c>
      <c r="Q12" s="132">
        <v>6.255960649035833</v>
      </c>
      <c r="R12" s="132">
        <v>9.604207066445877</v>
      </c>
      <c r="S12" s="132">
        <v>11.164565927852918</v>
      </c>
      <c r="T12" s="132">
        <v>9.0450968790522204</v>
      </c>
      <c r="U12" s="132">
        <v>7.1578561395281097</v>
      </c>
      <c r="V12" s="132">
        <v>3.8680680303119535</v>
      </c>
      <c r="W12" s="132">
        <v>4.9098269089951945</v>
      </c>
      <c r="X12" s="132">
        <v>2.2769271826065549</v>
      </c>
      <c r="Y12" s="132">
        <v>4.3457796566013354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0.52254826312086189</v>
      </c>
      <c r="D13" s="132">
        <v>0.71638569661328955</v>
      </c>
      <c r="E13" s="132">
        <v>0.66467570077077698</v>
      </c>
      <c r="F13" s="132">
        <v>0.97977676055488805</v>
      </c>
      <c r="G13" s="132">
        <v>0.81879367631065703</v>
      </c>
      <c r="H13" s="132">
        <v>1.3961874542833475</v>
      </c>
      <c r="I13" s="132">
        <v>1.5471460168309934</v>
      </c>
      <c r="J13" s="132">
        <v>0.86506960306293579</v>
      </c>
      <c r="K13" s="132">
        <v>0.8894731476266432</v>
      </c>
      <c r="L13" s="132">
        <v>0.63226118521596075</v>
      </c>
      <c r="M13" s="132">
        <v>0.74995952220473594</v>
      </c>
      <c r="N13" s="132">
        <v>0.43763739056640921</v>
      </c>
      <c r="O13" s="132">
        <v>0.69918111681638906</v>
      </c>
      <c r="P13" s="132">
        <v>0.76438263442891163</v>
      </c>
      <c r="Q13" s="132">
        <v>0.78919799549273262</v>
      </c>
      <c r="R13" s="132">
        <v>0.85329928856479875</v>
      </c>
      <c r="S13" s="132">
        <v>0.78998372437970577</v>
      </c>
      <c r="T13" s="132">
        <v>0.64983348410383213</v>
      </c>
      <c r="U13" s="132">
        <v>0.54325712898444611</v>
      </c>
      <c r="V13" s="132">
        <v>0.49343668380912276</v>
      </c>
      <c r="W13" s="132">
        <v>0.21645642328965128</v>
      </c>
      <c r="X13" s="132">
        <v>0.12981982301647924</v>
      </c>
      <c r="Y13" s="132">
        <v>0.15593790734041502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20.509319727677504</v>
      </c>
      <c r="D14" s="65">
        <v>11.225378681216146</v>
      </c>
      <c r="E14" s="65">
        <v>9.0046991920139412</v>
      </c>
      <c r="F14" s="65">
        <v>13.334850236267712</v>
      </c>
      <c r="G14" s="65">
        <v>10.565416962357022</v>
      </c>
      <c r="H14" s="65">
        <v>20.338974751249079</v>
      </c>
      <c r="I14" s="65">
        <v>19.854193202202293</v>
      </c>
      <c r="J14" s="65">
        <v>7.9215146965819754</v>
      </c>
      <c r="K14" s="65">
        <v>0.57641014917743116</v>
      </c>
      <c r="L14" s="65">
        <v>1.4688785985939214</v>
      </c>
      <c r="M14" s="65">
        <v>1.4907774757434007</v>
      </c>
      <c r="N14" s="65">
        <v>5.0035350418029667</v>
      </c>
      <c r="O14" s="65">
        <v>9.4718549390120454</v>
      </c>
      <c r="P14" s="65">
        <v>13.732753219504815</v>
      </c>
      <c r="Q14" s="65">
        <v>15.77539960685681</v>
      </c>
      <c r="R14" s="65">
        <v>10.947292533697857</v>
      </c>
      <c r="S14" s="65">
        <v>5.4301743282144628</v>
      </c>
      <c r="T14" s="65">
        <v>5.3442402599744137</v>
      </c>
      <c r="U14" s="65">
        <v>4.7686495216698148</v>
      </c>
      <c r="V14" s="65">
        <v>7.238963101732363</v>
      </c>
      <c r="W14" s="65">
        <v>5.3361547726617484</v>
      </c>
      <c r="X14" s="65">
        <v>4.8435357912461345</v>
      </c>
      <c r="Y14" s="65">
        <v>2.6192548431903706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0.14476673862689329</v>
      </c>
      <c r="D15" s="134">
        <v>0.19290335160619518</v>
      </c>
      <c r="E15" s="134">
        <v>0.12784734872244433</v>
      </c>
      <c r="F15" s="134">
        <v>0.10829380397511169</v>
      </c>
      <c r="G15" s="134">
        <v>8.1979974845219739E-2</v>
      </c>
      <c r="H15" s="134">
        <v>6.6890566370275031E-2</v>
      </c>
      <c r="I15" s="134">
        <v>5.3620092598829772E-2</v>
      </c>
      <c r="J15" s="134">
        <v>5.2849316777588848E-2</v>
      </c>
      <c r="K15" s="134">
        <v>9.4920296648580732E-2</v>
      </c>
      <c r="L15" s="134">
        <v>0.16521324105847288</v>
      </c>
      <c r="M15" s="134">
        <v>0.11800340539421633</v>
      </c>
      <c r="N15" s="134">
        <v>8.7933421555136157E-2</v>
      </c>
      <c r="O15" s="134">
        <v>9.3734041017331862E-2</v>
      </c>
      <c r="P15" s="134">
        <v>2.1169912633836045E-2</v>
      </c>
      <c r="Q15" s="134">
        <v>2.5999390194163939E-2</v>
      </c>
      <c r="R15" s="134">
        <v>4.6849380185350384E-2</v>
      </c>
      <c r="S15" s="134">
        <v>7.4343759449820634E-2</v>
      </c>
      <c r="T15" s="134">
        <v>5.9234892916818195E-2</v>
      </c>
      <c r="U15" s="134">
        <v>4.8318186525753232E-2</v>
      </c>
      <c r="V15" s="134">
        <v>2.0028080870570265E-2</v>
      </c>
      <c r="W15" s="134">
        <v>1.9980452770255772E-2</v>
      </c>
      <c r="X15" s="134">
        <v>7.8396958039432928E-3</v>
      </c>
      <c r="Y15" s="134">
        <v>1.4964179242236355E-2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2.0908361568730589</v>
      </c>
      <c r="D16" s="130">
        <f t="shared" si="6"/>
        <v>1.8340299037206171</v>
      </c>
      <c r="E16" s="130">
        <f t="shared" si="6"/>
        <v>1.5614196982164013</v>
      </c>
      <c r="F16" s="130">
        <f t="shared" si="6"/>
        <v>1.8423165022436998</v>
      </c>
      <c r="G16" s="130">
        <f t="shared" si="6"/>
        <v>1.5997822964897703</v>
      </c>
      <c r="H16" s="130">
        <f t="shared" si="6"/>
        <v>1.9688568421629369</v>
      </c>
      <c r="I16" s="130">
        <f t="shared" si="6"/>
        <v>1.8210412271694876</v>
      </c>
      <c r="J16" s="130">
        <f t="shared" si="6"/>
        <v>1.2196147519039309</v>
      </c>
      <c r="K16" s="130">
        <f t="shared" si="6"/>
        <v>1.2916895134415192</v>
      </c>
      <c r="L16" s="130">
        <f t="shared" si="6"/>
        <v>1.4687818776607422</v>
      </c>
      <c r="M16" s="130">
        <f t="shared" si="6"/>
        <v>1.1331363956903484</v>
      </c>
      <c r="N16" s="130">
        <f t="shared" si="6"/>
        <v>0.94541076387037726</v>
      </c>
      <c r="O16" s="130">
        <f t="shared" si="6"/>
        <v>1.3907746661044023</v>
      </c>
      <c r="P16" s="130">
        <f t="shared" si="6"/>
        <v>1.0565650247749236</v>
      </c>
      <c r="Q16" s="130">
        <f t="shared" si="6"/>
        <v>1.1879936671381528</v>
      </c>
      <c r="R16" s="130">
        <f t="shared" ref="R16:W16" si="7">SUM(R17:R18)</f>
        <v>1.1232571790829253</v>
      </c>
      <c r="S16" s="130">
        <f t="shared" si="7"/>
        <v>1.1847900675150687</v>
      </c>
      <c r="T16" s="130">
        <f t="shared" si="7"/>
        <v>1.0155269202422021</v>
      </c>
      <c r="U16" s="130">
        <f t="shared" si="7"/>
        <v>0.91690735513512223</v>
      </c>
      <c r="V16" s="130">
        <f t="shared" si="7"/>
        <v>0.84279658561152138</v>
      </c>
      <c r="W16" s="130">
        <f t="shared" si="7"/>
        <v>0.74199139345788245</v>
      </c>
      <c r="X16" s="130">
        <f t="shared" ref="X16:Y16" si="8">SUM(X17:X18)</f>
        <v>0.60798910627891933</v>
      </c>
      <c r="Y16" s="130">
        <f t="shared" si="8"/>
        <v>0.6323974291834078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2.0908361568730589</v>
      </c>
      <c r="D18" s="132">
        <v>1.8340299037206171</v>
      </c>
      <c r="E18" s="132">
        <v>1.5614196982164013</v>
      </c>
      <c r="F18" s="132">
        <v>1.8423165022436998</v>
      </c>
      <c r="G18" s="132">
        <v>1.5997822964897703</v>
      </c>
      <c r="H18" s="132">
        <v>1.9688568421629369</v>
      </c>
      <c r="I18" s="132">
        <v>1.8210412271694876</v>
      </c>
      <c r="J18" s="132">
        <v>1.2196147519039309</v>
      </c>
      <c r="K18" s="132">
        <v>1.2916895134415192</v>
      </c>
      <c r="L18" s="132">
        <v>1.4687818776607422</v>
      </c>
      <c r="M18" s="132">
        <v>1.1331363956903484</v>
      </c>
      <c r="N18" s="132">
        <v>0.94541076387037726</v>
      </c>
      <c r="O18" s="132">
        <v>1.3907746661044023</v>
      </c>
      <c r="P18" s="132">
        <v>1.0565650247749236</v>
      </c>
      <c r="Q18" s="132">
        <v>1.1879936671381528</v>
      </c>
      <c r="R18" s="132">
        <v>1.1232571790829253</v>
      </c>
      <c r="S18" s="132">
        <v>1.1847900675150687</v>
      </c>
      <c r="T18" s="132">
        <v>1.0155269202422021</v>
      </c>
      <c r="U18" s="132">
        <v>0.91690735513512223</v>
      </c>
      <c r="V18" s="132">
        <v>0.84279658561152138</v>
      </c>
      <c r="W18" s="132">
        <v>0.74199139345788245</v>
      </c>
      <c r="X18" s="132">
        <v>0.60798910627891933</v>
      </c>
      <c r="Y18" s="132">
        <v>0.6323974291834078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5.8675903614823959</v>
      </c>
      <c r="D19" s="130">
        <f t="shared" si="9"/>
        <v>5.2860547391836885</v>
      </c>
      <c r="E19" s="130">
        <f t="shared" si="9"/>
        <v>4.5375815503842674</v>
      </c>
      <c r="F19" s="130">
        <f t="shared" si="9"/>
        <v>5.4408668621445901</v>
      </c>
      <c r="G19" s="130">
        <f t="shared" si="9"/>
        <v>5.1398262082127593</v>
      </c>
      <c r="H19" s="130">
        <f t="shared" si="9"/>
        <v>6.4180283108544307</v>
      </c>
      <c r="I19" s="130">
        <f t="shared" si="9"/>
        <v>6.3745000257014581</v>
      </c>
      <c r="J19" s="130">
        <f t="shared" si="9"/>
        <v>4.4358039311694197</v>
      </c>
      <c r="K19" s="130">
        <f t="shared" si="9"/>
        <v>5.0757124340064017</v>
      </c>
      <c r="L19" s="130">
        <f t="shared" si="9"/>
        <v>5.7983297957581588</v>
      </c>
      <c r="M19" s="130">
        <f t="shared" si="9"/>
        <v>4.8040635375061269</v>
      </c>
      <c r="N19" s="130">
        <f t="shared" si="9"/>
        <v>4.4476021977079467</v>
      </c>
      <c r="O19" s="130">
        <f t="shared" si="9"/>
        <v>6.7464886705152729</v>
      </c>
      <c r="P19" s="130">
        <f t="shared" si="9"/>
        <v>5.0269639266155544</v>
      </c>
      <c r="Q19" s="130">
        <f t="shared" si="9"/>
        <v>6.0068772957473717</v>
      </c>
      <c r="R19" s="130">
        <f t="shared" ref="R19:W19" si="10">SUM(R20:R27)</f>
        <v>5.7974538468733838</v>
      </c>
      <c r="S19" s="130">
        <f t="shared" si="10"/>
        <v>6.259880682973594</v>
      </c>
      <c r="T19" s="130">
        <f t="shared" si="10"/>
        <v>5.3570130766053827</v>
      </c>
      <c r="U19" s="130">
        <f t="shared" si="10"/>
        <v>5.0339760756898482</v>
      </c>
      <c r="V19" s="130">
        <f t="shared" si="10"/>
        <v>5.0178714349476046</v>
      </c>
      <c r="W19" s="130">
        <f t="shared" si="10"/>
        <v>4.9011958287049993</v>
      </c>
      <c r="X19" s="130">
        <f t="shared" ref="X19:Y19" si="11">SUM(X20:X27)</f>
        <v>4.6240136825487621</v>
      </c>
      <c r="Y19" s="130">
        <f t="shared" si="11"/>
        <v>4.5546858760494278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1.0295099099912113</v>
      </c>
      <c r="D22" s="132">
        <v>0.6068042227049617</v>
      </c>
      <c r="E22" s="132">
        <v>0.14086914736659017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0.79670398037017942</v>
      </c>
      <c r="N22" s="132">
        <v>1.2447189645019592</v>
      </c>
      <c r="O22" s="132">
        <v>1.4930581659486621</v>
      </c>
      <c r="P22" s="132">
        <v>0.22474387708525598</v>
      </c>
      <c r="Q22" s="132">
        <v>1.1139473375252686</v>
      </c>
      <c r="R22" s="132">
        <v>0.77456262240210161</v>
      </c>
      <c r="S22" s="132">
        <v>0.71477111047575603</v>
      </c>
      <c r="T22" s="132">
        <v>0.28188454992365991</v>
      </c>
      <c r="U22" s="132">
        <v>1.0449721694602005E-2</v>
      </c>
      <c r="V22" s="132">
        <v>0</v>
      </c>
      <c r="W22" s="132">
        <v>0</v>
      </c>
      <c r="X22" s="132">
        <v>0</v>
      </c>
      <c r="Y22" s="132">
        <v>0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4.5881621320810459E-2</v>
      </c>
      <c r="D23" s="132">
        <v>0.10250279523320792</v>
      </c>
      <c r="E23" s="132">
        <v>9.2156854276197589E-2</v>
      </c>
      <c r="F23" s="132">
        <v>9.4395763356977525E-2</v>
      </c>
      <c r="G23" s="132">
        <v>9.2931549695411036E-2</v>
      </c>
      <c r="H23" s="132">
        <v>0.15779080653912014</v>
      </c>
      <c r="I23" s="132">
        <v>9.5487246949446797E-2</v>
      </c>
      <c r="J23" s="132">
        <v>6.9020851790175378E-2</v>
      </c>
      <c r="K23" s="132">
        <v>4.7524388800931926E-2</v>
      </c>
      <c r="L23" s="132">
        <v>7.1609447725168709E-2</v>
      </c>
      <c r="M23" s="132">
        <v>4.7213912232630856E-2</v>
      </c>
      <c r="N23" s="132">
        <v>5.0125410944895733E-2</v>
      </c>
      <c r="O23" s="132">
        <v>7.9839129697527905E-2</v>
      </c>
      <c r="P23" s="132">
        <v>0.1228956710550016</v>
      </c>
      <c r="Q23" s="132">
        <v>4.6319171751111596E-2</v>
      </c>
      <c r="R23" s="132">
        <v>2.9747024848087687E-2</v>
      </c>
      <c r="S23" s="132">
        <v>4.64412681072175E-2</v>
      </c>
      <c r="T23" s="132">
        <v>6.2585791498229848E-2</v>
      </c>
      <c r="U23" s="132">
        <v>0.19706321927785286</v>
      </c>
      <c r="V23" s="132">
        <v>9.4626503036074519E-2</v>
      </c>
      <c r="W23" s="132">
        <v>6.5870138342905213E-2</v>
      </c>
      <c r="X23" s="132">
        <v>3.3709241042708948E-2</v>
      </c>
      <c r="Y23" s="132">
        <v>0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2.003181766233384</v>
      </c>
      <c r="D25" s="132">
        <v>1.9650397073976058</v>
      </c>
      <c r="E25" s="132">
        <v>2.0455675654982941</v>
      </c>
      <c r="F25" s="132">
        <v>2.9137220577576244</v>
      </c>
      <c r="G25" s="132">
        <v>2.5425882571658773</v>
      </c>
      <c r="H25" s="132">
        <v>3.4356770351628567</v>
      </c>
      <c r="I25" s="132">
        <v>2.4569649263637698</v>
      </c>
      <c r="J25" s="132">
        <v>1.634739268885544</v>
      </c>
      <c r="K25" s="132">
        <v>1.7880777016498086</v>
      </c>
      <c r="L25" s="132">
        <v>2.5667108221301702</v>
      </c>
      <c r="M25" s="132">
        <v>2.1411385128329976</v>
      </c>
      <c r="N25" s="132">
        <v>1.8605987085944951</v>
      </c>
      <c r="O25" s="132">
        <v>2.7861747959647891</v>
      </c>
      <c r="P25" s="132">
        <v>2.5527904928165261</v>
      </c>
      <c r="Q25" s="132">
        <v>2.9534500809786977</v>
      </c>
      <c r="R25" s="132">
        <v>3.405871461820619</v>
      </c>
      <c r="S25" s="132">
        <v>2.6499055690761302</v>
      </c>
      <c r="T25" s="132">
        <v>2.3693362355056249</v>
      </c>
      <c r="U25" s="132">
        <v>2.0766368980497893</v>
      </c>
      <c r="V25" s="132">
        <v>2.2280508163169905</v>
      </c>
      <c r="W25" s="132">
        <v>3.2152492903242114</v>
      </c>
      <c r="X25" s="132">
        <v>3.2283206094712096</v>
      </c>
      <c r="Y25" s="132">
        <v>2.485056012676933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2.7890170639369898</v>
      </c>
      <c r="D26" s="65">
        <v>2.6117080138479127</v>
      </c>
      <c r="E26" s="65">
        <v>2.2589879832431858</v>
      </c>
      <c r="F26" s="65">
        <v>2.4327490410299886</v>
      </c>
      <c r="G26" s="65">
        <v>2.5043064013514709</v>
      </c>
      <c r="H26" s="65">
        <v>2.8245604691524537</v>
      </c>
      <c r="I26" s="65">
        <v>3.8220478523882417</v>
      </c>
      <c r="J26" s="65">
        <v>2.7320438104937006</v>
      </c>
      <c r="K26" s="65">
        <v>3.2401103435556613</v>
      </c>
      <c r="L26" s="65">
        <v>3.1600095259028196</v>
      </c>
      <c r="M26" s="65">
        <v>1.8190071320703194</v>
      </c>
      <c r="N26" s="65">
        <v>1.2921591136665971</v>
      </c>
      <c r="O26" s="65">
        <v>2.3874165789042934</v>
      </c>
      <c r="P26" s="65">
        <v>2.1265338856587706</v>
      </c>
      <c r="Q26" s="65">
        <v>1.8931607054922936</v>
      </c>
      <c r="R26" s="65">
        <v>1.5872727378025762</v>
      </c>
      <c r="S26" s="65">
        <v>2.8487627353144904</v>
      </c>
      <c r="T26" s="65">
        <v>2.6432064996778681</v>
      </c>
      <c r="U26" s="65">
        <v>2.7498262366676043</v>
      </c>
      <c r="V26" s="65">
        <v>2.69519411559454</v>
      </c>
      <c r="W26" s="65">
        <v>1.6200764000378824</v>
      </c>
      <c r="X26" s="65">
        <v>1.3619838320348439</v>
      </c>
      <c r="Y26" s="65">
        <v>2.0696298633724948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4.6324338210928175</v>
      </c>
      <c r="D29" s="130">
        <f t="shared" si="12"/>
        <v>4.3209421011984031</v>
      </c>
      <c r="E29" s="130">
        <f t="shared" si="12"/>
        <v>3.8660806666242964</v>
      </c>
      <c r="F29" s="130">
        <f t="shared" si="12"/>
        <v>4.9343455284240196</v>
      </c>
      <c r="G29" s="130">
        <f t="shared" si="12"/>
        <v>4.5320891967184149</v>
      </c>
      <c r="H29" s="130">
        <f t="shared" si="12"/>
        <v>6.727489018638205</v>
      </c>
      <c r="I29" s="130">
        <f t="shared" si="12"/>
        <v>6.8649520534491533</v>
      </c>
      <c r="J29" s="130">
        <f t="shared" si="12"/>
        <v>4.2267955649714821</v>
      </c>
      <c r="K29" s="130">
        <f t="shared" si="12"/>
        <v>4.8649243238638249</v>
      </c>
      <c r="L29" s="130">
        <f t="shared" si="12"/>
        <v>5.4474520415505623</v>
      </c>
      <c r="M29" s="130">
        <f t="shared" si="12"/>
        <v>4.4019982024745268</v>
      </c>
      <c r="N29" s="130">
        <f t="shared" si="12"/>
        <v>4.3831246973331499</v>
      </c>
      <c r="O29" s="130">
        <f t="shared" si="12"/>
        <v>6.7409501516101251</v>
      </c>
      <c r="P29" s="130">
        <f t="shared" si="12"/>
        <v>5.2944124199271068</v>
      </c>
      <c r="Q29" s="130">
        <f t="shared" si="12"/>
        <v>6.4522155945063497</v>
      </c>
      <c r="R29" s="130">
        <f t="shared" ref="R29:W29" si="13">SUM(R30:R33)</f>
        <v>6.4110866642876445</v>
      </c>
      <c r="S29" s="130">
        <f t="shared" si="13"/>
        <v>7.2471881579195765</v>
      </c>
      <c r="T29" s="130">
        <f t="shared" si="13"/>
        <v>6.5310732500095519</v>
      </c>
      <c r="U29" s="130">
        <f t="shared" si="13"/>
        <v>6.4246302005099354</v>
      </c>
      <c r="V29" s="130">
        <f t="shared" si="13"/>
        <v>6.3829734129654065</v>
      </c>
      <c r="W29" s="130">
        <f t="shared" si="13"/>
        <v>6.2613113387776762</v>
      </c>
      <c r="X29" s="130">
        <f t="shared" ref="X29:Y29" si="14">SUM(X30:X33)</f>
        <v>5.989982435536537</v>
      </c>
      <c r="Y29" s="130">
        <f t="shared" si="14"/>
        <v>5.7910089537827574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0.60573168508779551</v>
      </c>
      <c r="D30" s="132">
        <v>0.41639561631957733</v>
      </c>
      <c r="E30" s="132">
        <v>0</v>
      </c>
      <c r="F30" s="132">
        <v>0.23346662259059855</v>
      </c>
      <c r="G30" s="132">
        <v>1.1425819959080836</v>
      </c>
      <c r="H30" s="132">
        <v>3.5768261296892496</v>
      </c>
      <c r="I30" s="132">
        <v>3.5252809268462237</v>
      </c>
      <c r="J30" s="132">
        <v>0.93631902912090648</v>
      </c>
      <c r="K30" s="132">
        <v>4.8559312367953425E-2</v>
      </c>
      <c r="L30" s="132">
        <v>0.56373604986685033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0.11559843501993967</v>
      </c>
      <c r="T30" s="132">
        <v>0.67039017241058896</v>
      </c>
      <c r="U30" s="132">
        <v>0.54520141688895074</v>
      </c>
      <c r="V30" s="132">
        <v>0.24196748596401271</v>
      </c>
      <c r="W30" s="132">
        <v>3.5774327625851823E-2</v>
      </c>
      <c r="X30" s="132">
        <v>0.15329435459080804</v>
      </c>
      <c r="Y30" s="132">
        <v>7.4224364847597687E-2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0.17549090774705117</v>
      </c>
      <c r="D31" s="132">
        <v>0.1950170905231022</v>
      </c>
      <c r="E31" s="132">
        <v>0.16576455651723349</v>
      </c>
      <c r="F31" s="132">
        <v>0.17431476167099125</v>
      </c>
      <c r="G31" s="132">
        <v>0.13639205305006713</v>
      </c>
      <c r="H31" s="132">
        <v>0.15742885681384172</v>
      </c>
      <c r="I31" s="132">
        <v>0.13184826576142231</v>
      </c>
      <c r="J31" s="132">
        <v>7.2848569932715532E-2</v>
      </c>
      <c r="K31" s="132">
        <v>4.1970634296558229E-2</v>
      </c>
      <c r="L31" s="132">
        <v>1.7847183871991506E-2</v>
      </c>
      <c r="M31" s="132">
        <v>1.5567642168830081E-3</v>
      </c>
      <c r="N31" s="132">
        <v>5.3079596446064831E-2</v>
      </c>
      <c r="O31" s="132">
        <v>0.14945376738654506</v>
      </c>
      <c r="P31" s="132">
        <v>0.15149064395723824</v>
      </c>
      <c r="Q31" s="132">
        <v>0.10282899109754347</v>
      </c>
      <c r="R31" s="132">
        <v>8.5083604623154174E-2</v>
      </c>
      <c r="S31" s="132">
        <v>6.8667285824270952E-2</v>
      </c>
      <c r="T31" s="132">
        <v>7.3334358395724497E-2</v>
      </c>
      <c r="U31" s="132">
        <v>0.21784315197966919</v>
      </c>
      <c r="V31" s="132">
        <v>0.12018968282673347</v>
      </c>
      <c r="W31" s="132">
        <v>0.11416022187753019</v>
      </c>
      <c r="X31" s="132">
        <v>0.10001734268949129</v>
      </c>
      <c r="Y31" s="132">
        <v>0.10147280824113052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3.8512112282579705</v>
      </c>
      <c r="D33" s="68">
        <v>3.7095293943557239</v>
      </c>
      <c r="E33" s="68">
        <v>3.700316110107063</v>
      </c>
      <c r="F33" s="68">
        <v>4.52656414416243</v>
      </c>
      <c r="G33" s="68">
        <v>3.2531151477602647</v>
      </c>
      <c r="H33" s="68">
        <v>2.9932340321351139</v>
      </c>
      <c r="I33" s="68">
        <v>3.2078228608415067</v>
      </c>
      <c r="J33" s="68">
        <v>3.2176279659178602</v>
      </c>
      <c r="K33" s="68">
        <v>4.7743943771993136</v>
      </c>
      <c r="L33" s="68">
        <v>4.8658688078117205</v>
      </c>
      <c r="M33" s="68">
        <v>4.4004414382576433</v>
      </c>
      <c r="N33" s="68">
        <v>4.3300451008870855</v>
      </c>
      <c r="O33" s="68">
        <v>6.5914963842235803</v>
      </c>
      <c r="P33" s="68">
        <v>5.1429217759698682</v>
      </c>
      <c r="Q33" s="68">
        <v>6.3493866034088065</v>
      </c>
      <c r="R33" s="68">
        <v>6.3260030596644903</v>
      </c>
      <c r="S33" s="68">
        <v>7.0629224370753656</v>
      </c>
      <c r="T33" s="68">
        <v>5.787348719203238</v>
      </c>
      <c r="U33" s="68">
        <v>5.6615856316413158</v>
      </c>
      <c r="V33" s="68">
        <v>6.02081624417466</v>
      </c>
      <c r="W33" s="68">
        <v>6.1113767892742938</v>
      </c>
      <c r="X33" s="68">
        <v>5.7366707382562376</v>
      </c>
      <c r="Y33" s="68">
        <v>5.6153117806940296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47.289408476404795</v>
      </c>
      <c r="D3" s="125">
        <f t="shared" si="0"/>
        <v>42.676275768360355</v>
      </c>
      <c r="E3" s="125">
        <f t="shared" si="0"/>
        <v>36.894858276260308</v>
      </c>
      <c r="F3" s="125">
        <f t="shared" si="0"/>
        <v>43.604860233919887</v>
      </c>
      <c r="G3" s="125">
        <f t="shared" si="0"/>
        <v>36.716961360076439</v>
      </c>
      <c r="H3" s="125">
        <f t="shared" si="0"/>
        <v>46.747482728418213</v>
      </c>
      <c r="I3" s="125">
        <f t="shared" si="0"/>
        <v>45.487077291313675</v>
      </c>
      <c r="J3" s="125">
        <f t="shared" si="0"/>
        <v>30.350872780208149</v>
      </c>
      <c r="K3" s="125">
        <f t="shared" si="0"/>
        <v>32.925797904862108</v>
      </c>
      <c r="L3" s="125">
        <f t="shared" si="0"/>
        <v>39.776768358956403</v>
      </c>
      <c r="M3" s="125">
        <f t="shared" si="0"/>
        <v>28.933025700660551</v>
      </c>
      <c r="N3" s="125">
        <f t="shared" si="0"/>
        <v>26.666026399131361</v>
      </c>
      <c r="O3" s="125">
        <f t="shared" si="0"/>
        <v>39.579859490544642</v>
      </c>
      <c r="P3" s="125">
        <f t="shared" si="0"/>
        <v>30.442343053860306</v>
      </c>
      <c r="Q3" s="125">
        <f t="shared" si="0"/>
        <v>36.416950623619115</v>
      </c>
      <c r="R3" s="125">
        <f t="shared" ref="R3:W3" si="1">SUM(R4,R16,R19,R29)</f>
        <v>36.494121703268149</v>
      </c>
      <c r="S3" s="125">
        <f t="shared" si="1"/>
        <v>36.492770079689748</v>
      </c>
      <c r="T3" s="125">
        <f t="shared" si="1"/>
        <v>31.714153036296661</v>
      </c>
      <c r="U3" s="125">
        <f t="shared" si="1"/>
        <v>28.315773627505266</v>
      </c>
      <c r="V3" s="125">
        <f t="shared" si="1"/>
        <v>26.403730952855771</v>
      </c>
      <c r="W3" s="125">
        <f t="shared" si="1"/>
        <v>23.866608219489407</v>
      </c>
      <c r="X3" s="125">
        <f t="shared" ref="X3:Y3" si="2">SUM(X4,X16,X19,X29)</f>
        <v>19.574778964123411</v>
      </c>
      <c r="Y3" s="125">
        <f t="shared" si="2"/>
        <v>19.468824828582985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34.291393822603077</v>
      </c>
      <c r="D4" s="130">
        <f t="shared" si="3"/>
        <v>30.664701671337752</v>
      </c>
      <c r="E4" s="130">
        <f t="shared" si="3"/>
        <v>26.117602812216724</v>
      </c>
      <c r="F4" s="130">
        <f t="shared" si="3"/>
        <v>30.240643871255369</v>
      </c>
      <c r="G4" s="130">
        <f t="shared" si="3"/>
        <v>24.614171574362146</v>
      </c>
      <c r="H4" s="130">
        <f t="shared" si="3"/>
        <v>30.987124509894837</v>
      </c>
      <c r="I4" s="130">
        <f t="shared" si="3"/>
        <v>29.965002602673501</v>
      </c>
      <c r="J4" s="130">
        <f t="shared" si="3"/>
        <v>19.680126655796265</v>
      </c>
      <c r="K4" s="130">
        <f t="shared" si="3"/>
        <v>20.636311334097137</v>
      </c>
      <c r="L4" s="130">
        <f t="shared" si="3"/>
        <v>25.669024945711797</v>
      </c>
      <c r="M4" s="130">
        <f t="shared" si="3"/>
        <v>17.42638660654843</v>
      </c>
      <c r="N4" s="130">
        <f t="shared" si="3"/>
        <v>16.001711511311235</v>
      </c>
      <c r="O4" s="130">
        <f t="shared" si="3"/>
        <v>23.04151087417625</v>
      </c>
      <c r="P4" s="130">
        <f t="shared" si="3"/>
        <v>17.333556303701485</v>
      </c>
      <c r="Q4" s="130">
        <f t="shared" si="3"/>
        <v>20.698233760459782</v>
      </c>
      <c r="R4" s="130">
        <f t="shared" ref="R4:W4" si="4">SUM(R5:R15)</f>
        <v>20.927718181737141</v>
      </c>
      <c r="S4" s="130">
        <f t="shared" si="4"/>
        <v>19.315105291339801</v>
      </c>
      <c r="T4" s="130">
        <f t="shared" si="4"/>
        <v>16.635636706207151</v>
      </c>
      <c r="U4" s="130">
        <f t="shared" si="4"/>
        <v>13.897827918906872</v>
      </c>
      <c r="V4" s="130">
        <f t="shared" si="4"/>
        <v>12.128876062233417</v>
      </c>
      <c r="W4" s="130">
        <f t="shared" si="4"/>
        <v>10.153691775753906</v>
      </c>
      <c r="X4" s="130">
        <f t="shared" ref="X4:Y4" si="5">SUM(X5:X15)</f>
        <v>6.9722076377372142</v>
      </c>
      <c r="Y4" s="130">
        <f t="shared" si="5"/>
        <v>6.8594936966198521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2.7928120668539047</v>
      </c>
      <c r="D7" s="132">
        <v>4.1535221217645599</v>
      </c>
      <c r="E7" s="132">
        <v>1.0315716659240797</v>
      </c>
      <c r="F7" s="132">
        <v>0</v>
      </c>
      <c r="G7" s="132">
        <v>0</v>
      </c>
      <c r="H7" s="132">
        <v>0</v>
      </c>
      <c r="I7" s="132">
        <v>0</v>
      </c>
      <c r="J7" s="132">
        <v>0</v>
      </c>
      <c r="K7" s="132">
        <v>1.0093250496225596</v>
      </c>
      <c r="L7" s="132">
        <v>4.6018106577952524</v>
      </c>
      <c r="M7" s="132">
        <v>3.8098501701578318</v>
      </c>
      <c r="N7" s="132">
        <v>2.4776530240049874</v>
      </c>
      <c r="O7" s="132">
        <v>2.6930112517790068</v>
      </c>
      <c r="P7" s="132">
        <v>0</v>
      </c>
      <c r="Q7" s="132">
        <v>1.5220079608788574E-2</v>
      </c>
      <c r="R7" s="132">
        <v>0.65473332085892066</v>
      </c>
      <c r="S7" s="132">
        <v>1.6205482710057217</v>
      </c>
      <c r="T7" s="132">
        <v>1.0831947280364818</v>
      </c>
      <c r="U7" s="132">
        <v>0.52784979563057066</v>
      </c>
      <c r="V7" s="132">
        <v>0.12530875977368922</v>
      </c>
      <c r="W7" s="132">
        <v>0</v>
      </c>
      <c r="X7" s="132">
        <v>0</v>
      </c>
      <c r="Y7" s="132">
        <v>0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0.55226035620687697</v>
      </c>
      <c r="D9" s="132">
        <v>2.0648925894259555</v>
      </c>
      <c r="E9" s="132">
        <v>1.7499147899584315</v>
      </c>
      <c r="F9" s="132">
        <v>1.1680025253336359</v>
      </c>
      <c r="G9" s="132">
        <v>0.75950698009719564</v>
      </c>
      <c r="H9" s="132">
        <v>0.57503742874983055</v>
      </c>
      <c r="I9" s="132">
        <v>9.4343516216888954E-2</v>
      </c>
      <c r="J9" s="132">
        <v>0.10363761795700345</v>
      </c>
      <c r="K9" s="132">
        <v>0.2813256312355365</v>
      </c>
      <c r="L9" s="132">
        <v>0.71098808608348396</v>
      </c>
      <c r="M9" s="132">
        <v>0.7834560150001012</v>
      </c>
      <c r="N9" s="132">
        <v>0.89411690882495154</v>
      </c>
      <c r="O9" s="132">
        <v>0.32275612017430244</v>
      </c>
      <c r="P9" s="132">
        <v>0.19256021666999171</v>
      </c>
      <c r="Q9" s="132">
        <v>0</v>
      </c>
      <c r="R9" s="132">
        <v>0</v>
      </c>
      <c r="S9" s="132">
        <v>0.43692144371665143</v>
      </c>
      <c r="T9" s="132">
        <v>0.51941744639038445</v>
      </c>
      <c r="U9" s="132">
        <v>0.94123917225619169</v>
      </c>
      <c r="V9" s="132">
        <v>0.30282379497286449</v>
      </c>
      <c r="W9" s="132">
        <v>0.21036824176721547</v>
      </c>
      <c r="X9" s="132">
        <v>5.2263252886404219E-3</v>
      </c>
      <c r="Y9" s="132">
        <v>0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0.88330163040010667</v>
      </c>
      <c r="D10" s="132">
        <v>0.33891639460155543</v>
      </c>
      <c r="E10" s="132">
        <v>0.50705514963580611</v>
      </c>
      <c r="F10" s="132">
        <v>1.3161850970454825</v>
      </c>
      <c r="G10" s="132">
        <v>0.56787603785595797</v>
      </c>
      <c r="H10" s="132">
        <v>0.17951054276262979</v>
      </c>
      <c r="I10" s="132">
        <v>4.6077987535943603E-2</v>
      </c>
      <c r="J10" s="132">
        <v>9.4700474167844967E-2</v>
      </c>
      <c r="K10" s="132">
        <v>0.25807417242740405</v>
      </c>
      <c r="L10" s="132">
        <v>0.21527003253906465</v>
      </c>
      <c r="M10" s="132">
        <v>0.15901207895241312</v>
      </c>
      <c r="N10" s="132">
        <v>0.1867843928585039</v>
      </c>
      <c r="O10" s="132">
        <v>0.11475355183433983</v>
      </c>
      <c r="P10" s="132">
        <v>0.27218383882688779</v>
      </c>
      <c r="Q10" s="132">
        <v>0.5760735058229115</v>
      </c>
      <c r="R10" s="132">
        <v>0.48965419385939385</v>
      </c>
      <c r="S10" s="132">
        <v>0.46538819643346763</v>
      </c>
      <c r="T10" s="132">
        <v>0.39140875788660789</v>
      </c>
      <c r="U10" s="132">
        <v>9.1973172087307306E-2</v>
      </c>
      <c r="V10" s="132">
        <v>1.4453489870276431E-2</v>
      </c>
      <c r="W10" s="132">
        <v>0</v>
      </c>
      <c r="X10" s="132">
        <v>0</v>
      </c>
      <c r="Y10" s="132">
        <v>9.0532492121591212E-3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14.421212805552921</v>
      </c>
      <c r="D12" s="132">
        <v>14.644678555859583</v>
      </c>
      <c r="E12" s="132">
        <v>15.011349413634322</v>
      </c>
      <c r="F12" s="132">
        <v>16.112304905465137</v>
      </c>
      <c r="G12" s="132">
        <v>13.857075108168493</v>
      </c>
      <c r="H12" s="132">
        <v>12.290292793924884</v>
      </c>
      <c r="I12" s="132">
        <v>11.695297983639433</v>
      </c>
      <c r="J12" s="132">
        <v>11.555135566558647</v>
      </c>
      <c r="K12" s="132">
        <v>16.445536628054104</v>
      </c>
      <c r="L12" s="132">
        <v>17.291762911730007</v>
      </c>
      <c r="M12" s="132">
        <v>9.4527296039249045</v>
      </c>
      <c r="N12" s="132">
        <v>7.3222663062719411</v>
      </c>
      <c r="O12" s="132">
        <v>10.49142446718024</v>
      </c>
      <c r="P12" s="132">
        <v>3.8724221784424091</v>
      </c>
      <c r="Q12" s="132">
        <v>5.2020396412774916</v>
      </c>
      <c r="R12" s="132">
        <v>8.0310440800368159</v>
      </c>
      <c r="S12" s="132">
        <v>9.3865102481183929</v>
      </c>
      <c r="T12" s="132">
        <v>7.6442336144052208</v>
      </c>
      <c r="U12" s="132">
        <v>6.0793139152736151</v>
      </c>
      <c r="V12" s="132">
        <v>3.3006170599753117</v>
      </c>
      <c r="W12" s="132">
        <v>4.20754105026261</v>
      </c>
      <c r="X12" s="132">
        <v>1.9616288233663546</v>
      </c>
      <c r="Y12" s="132">
        <v>3.7630448493487552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0.8119885610201617</v>
      </c>
      <c r="D13" s="132">
        <v>1.1830946270384175</v>
      </c>
      <c r="E13" s="132">
        <v>1.1636448288406367</v>
      </c>
      <c r="F13" s="132">
        <v>1.8131751781111767</v>
      </c>
      <c r="G13" s="132">
        <v>1.5983366936477712</v>
      </c>
      <c r="H13" s="132">
        <v>2.8691349094611525</v>
      </c>
      <c r="I13" s="132">
        <v>3.3411598719425828</v>
      </c>
      <c r="J13" s="132">
        <v>1.9608544688315133</v>
      </c>
      <c r="K13" s="132">
        <v>2.1144076371672211</v>
      </c>
      <c r="L13" s="132">
        <v>1.5750284940713688</v>
      </c>
      <c r="M13" s="132">
        <v>1.9727320391415244</v>
      </c>
      <c r="N13" s="132">
        <v>1.226579957964697</v>
      </c>
      <c r="O13" s="132">
        <v>2.104909435822079</v>
      </c>
      <c r="P13" s="132">
        <v>2.471180663590284</v>
      </c>
      <c r="Q13" s="132">
        <v>2.6878857493832586</v>
      </c>
      <c r="R13" s="132">
        <v>3.0430425461601005</v>
      </c>
      <c r="S13" s="132">
        <v>2.8992912900428451</v>
      </c>
      <c r="T13" s="132">
        <v>2.4270023948886505</v>
      </c>
      <c r="U13" s="132">
        <v>2.0526207923498894</v>
      </c>
      <c r="V13" s="132">
        <v>1.8841508976446115</v>
      </c>
      <c r="W13" s="132">
        <v>0.83519998924963712</v>
      </c>
      <c r="X13" s="132">
        <v>0.50527292065413665</v>
      </c>
      <c r="Y13" s="132">
        <v>0.61142078749019568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14.685051663942215</v>
      </c>
      <c r="D14" s="65">
        <v>8.0866940310414854</v>
      </c>
      <c r="E14" s="65">
        <v>6.5262196155010033</v>
      </c>
      <c r="F14" s="65">
        <v>9.7226823613248268</v>
      </c>
      <c r="G14" s="65">
        <v>7.7493967797475092</v>
      </c>
      <c r="H14" s="65">
        <v>15.006258268626064</v>
      </c>
      <c r="I14" s="65">
        <v>14.734503150739821</v>
      </c>
      <c r="J14" s="65">
        <v>5.9129492115036681</v>
      </c>
      <c r="K14" s="65">
        <v>0.4327219189417324</v>
      </c>
      <c r="L14" s="65">
        <v>1.1089515224341453</v>
      </c>
      <c r="M14" s="65">
        <v>1.1306032939774364</v>
      </c>
      <c r="N14" s="65">
        <v>3.8063774998310174</v>
      </c>
      <c r="O14" s="65">
        <v>7.2209220063689523</v>
      </c>
      <c r="P14" s="65">
        <v>10.504039493538073</v>
      </c>
      <c r="Q14" s="65">
        <v>12.191015394173167</v>
      </c>
      <c r="R14" s="65">
        <v>8.6623946606365632</v>
      </c>
      <c r="S14" s="65">
        <v>4.4321020825729027</v>
      </c>
      <c r="T14" s="65">
        <v>4.5111448716829861</v>
      </c>
      <c r="U14" s="65">
        <v>4.1565128847835444</v>
      </c>
      <c r="V14" s="65">
        <v>6.4814939791260926</v>
      </c>
      <c r="W14" s="65">
        <v>4.8806020417041882</v>
      </c>
      <c r="X14" s="65">
        <v>4.4922398726241397</v>
      </c>
      <c r="Y14" s="65">
        <v>2.4610106313265052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0.14476673862689329</v>
      </c>
      <c r="D15" s="134">
        <v>0.19290335160619518</v>
      </c>
      <c r="E15" s="134">
        <v>0.12784734872244433</v>
      </c>
      <c r="F15" s="134">
        <v>0.10829380397511169</v>
      </c>
      <c r="G15" s="134">
        <v>8.1979974845219739E-2</v>
      </c>
      <c r="H15" s="134">
        <v>6.6890566370275031E-2</v>
      </c>
      <c r="I15" s="134">
        <v>5.3620092598829772E-2</v>
      </c>
      <c r="J15" s="134">
        <v>5.2849316777588848E-2</v>
      </c>
      <c r="K15" s="134">
        <v>9.4920296648580732E-2</v>
      </c>
      <c r="L15" s="134">
        <v>0.16521324105847288</v>
      </c>
      <c r="M15" s="134">
        <v>0.11800340539421633</v>
      </c>
      <c r="N15" s="134">
        <v>8.7933421555136157E-2</v>
      </c>
      <c r="O15" s="134">
        <v>9.3734041017331862E-2</v>
      </c>
      <c r="P15" s="134">
        <v>2.1169912633836045E-2</v>
      </c>
      <c r="Q15" s="134">
        <v>2.5999390194163939E-2</v>
      </c>
      <c r="R15" s="134">
        <v>4.6849380185350384E-2</v>
      </c>
      <c r="S15" s="134">
        <v>7.4343759449820634E-2</v>
      </c>
      <c r="T15" s="134">
        <v>5.9234892916818195E-2</v>
      </c>
      <c r="U15" s="134">
        <v>4.8318186525753232E-2</v>
      </c>
      <c r="V15" s="134">
        <v>2.0028080870570265E-2</v>
      </c>
      <c r="W15" s="134">
        <v>1.9980452770255772E-2</v>
      </c>
      <c r="X15" s="134">
        <v>7.8396958039432928E-3</v>
      </c>
      <c r="Y15" s="134">
        <v>1.4964179242236355E-2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5.3287194846366903</v>
      </c>
      <c r="D16" s="130">
        <f t="shared" si="6"/>
        <v>4.8844993547825188</v>
      </c>
      <c r="E16" s="130">
        <f t="shared" si="6"/>
        <v>4.3401735891598436</v>
      </c>
      <c r="F16" s="130">
        <f t="shared" si="6"/>
        <v>5.3370803832633911</v>
      </c>
      <c r="G16" s="130">
        <f t="shared" si="6"/>
        <v>4.8247215972541859</v>
      </c>
      <c r="H16" s="130">
        <f t="shared" si="6"/>
        <v>6.1749062937334047</v>
      </c>
      <c r="I16" s="130">
        <f t="shared" si="6"/>
        <v>5.9336239582753141</v>
      </c>
      <c r="J16" s="130">
        <f t="shared" si="6"/>
        <v>4.1256345908903436</v>
      </c>
      <c r="K16" s="130">
        <f t="shared" si="6"/>
        <v>4.5336972305455747</v>
      </c>
      <c r="L16" s="130">
        <f t="shared" si="6"/>
        <v>5.3462476719297376</v>
      </c>
      <c r="M16" s="130">
        <f t="shared" si="6"/>
        <v>4.293357989965517</v>
      </c>
      <c r="N16" s="130">
        <f t="shared" si="6"/>
        <v>3.745403774340156</v>
      </c>
      <c r="O16" s="130">
        <f t="shared" si="6"/>
        <v>5.7826596436982678</v>
      </c>
      <c r="P16" s="130">
        <f t="shared" si="6"/>
        <v>4.6049595760439308</v>
      </c>
      <c r="Q16" s="130">
        <f t="shared" si="6"/>
        <v>5.3606414328777534</v>
      </c>
      <c r="R16" s="130">
        <f t="shared" ref="R16:W16" si="7">SUM(R17:R18)</f>
        <v>5.2241925231881101</v>
      </c>
      <c r="S16" s="130">
        <f t="shared" si="7"/>
        <v>5.594522990939244</v>
      </c>
      <c r="T16" s="130">
        <f t="shared" si="7"/>
        <v>4.8416880662353448</v>
      </c>
      <c r="U16" s="130">
        <f t="shared" si="7"/>
        <v>4.4012641716694194</v>
      </c>
      <c r="V16" s="130">
        <f t="shared" si="7"/>
        <v>4.072596916762552</v>
      </c>
      <c r="W16" s="130">
        <f t="shared" si="7"/>
        <v>3.6100063190815881</v>
      </c>
      <c r="X16" s="130">
        <f t="shared" ref="X16:Y16" si="8">SUM(X17:X18)</f>
        <v>2.9727291941317517</v>
      </c>
      <c r="Y16" s="130">
        <f t="shared" si="8"/>
        <v>3.1053595902206799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5.3287194846366903</v>
      </c>
      <c r="D18" s="132">
        <v>4.8844993547825188</v>
      </c>
      <c r="E18" s="132">
        <v>4.3401735891598436</v>
      </c>
      <c r="F18" s="132">
        <v>5.3370803832633911</v>
      </c>
      <c r="G18" s="132">
        <v>4.8247215972541859</v>
      </c>
      <c r="H18" s="132">
        <v>6.1749062937334047</v>
      </c>
      <c r="I18" s="132">
        <v>5.9336239582753141</v>
      </c>
      <c r="J18" s="132">
        <v>4.1256345908903436</v>
      </c>
      <c r="K18" s="132">
        <v>4.5336972305455747</v>
      </c>
      <c r="L18" s="132">
        <v>5.3462476719297376</v>
      </c>
      <c r="M18" s="132">
        <v>4.293357989965517</v>
      </c>
      <c r="N18" s="132">
        <v>3.745403774340156</v>
      </c>
      <c r="O18" s="132">
        <v>5.7826596436982678</v>
      </c>
      <c r="P18" s="132">
        <v>4.6049595760439308</v>
      </c>
      <c r="Q18" s="132">
        <v>5.3606414328777534</v>
      </c>
      <c r="R18" s="132">
        <v>5.2241925231881101</v>
      </c>
      <c r="S18" s="132">
        <v>5.594522990939244</v>
      </c>
      <c r="T18" s="132">
        <v>4.8416880662353448</v>
      </c>
      <c r="U18" s="132">
        <v>4.4012641716694194</v>
      </c>
      <c r="V18" s="132">
        <v>4.072596916762552</v>
      </c>
      <c r="W18" s="132">
        <v>3.6100063190815881</v>
      </c>
      <c r="X18" s="132">
        <v>2.9727291941317517</v>
      </c>
      <c r="Y18" s="132">
        <v>3.1053595902206799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3.9811621868861646</v>
      </c>
      <c r="D19" s="130">
        <f t="shared" si="9"/>
        <v>3.6586635875580229</v>
      </c>
      <c r="E19" s="130">
        <f t="shared" si="9"/>
        <v>3.2509915109365979</v>
      </c>
      <c r="F19" s="130">
        <f t="shared" si="9"/>
        <v>3.9969861936799376</v>
      </c>
      <c r="G19" s="130">
        <f t="shared" si="9"/>
        <v>3.7615132999226377</v>
      </c>
      <c r="H19" s="130">
        <f t="shared" si="9"/>
        <v>4.7457651963441085</v>
      </c>
      <c r="I19" s="130">
        <f t="shared" si="9"/>
        <v>4.6129510925120343</v>
      </c>
      <c r="J19" s="130">
        <f t="shared" si="9"/>
        <v>3.2151281453807052</v>
      </c>
      <c r="K19" s="130">
        <f t="shared" si="9"/>
        <v>3.6898033520951108</v>
      </c>
      <c r="L19" s="130">
        <f t="shared" si="9"/>
        <v>4.303772967655652</v>
      </c>
      <c r="M19" s="130">
        <f t="shared" si="9"/>
        <v>3.5015176283890921</v>
      </c>
      <c r="N19" s="130">
        <f t="shared" si="9"/>
        <v>3.2213182131289648</v>
      </c>
      <c r="O19" s="130">
        <f t="shared" si="9"/>
        <v>5.0569204982626577</v>
      </c>
      <c r="P19" s="130">
        <f t="shared" si="9"/>
        <v>4.0079542370649861</v>
      </c>
      <c r="Q19" s="130">
        <f t="shared" si="9"/>
        <v>4.8171505854005323</v>
      </c>
      <c r="R19" s="130">
        <f t="shared" ref="R19:W19" si="10">SUM(R20:R27)</f>
        <v>4.7733293103207419</v>
      </c>
      <c r="S19" s="130">
        <f t="shared" si="10"/>
        <v>5.2260223943360842</v>
      </c>
      <c r="T19" s="130">
        <f t="shared" si="10"/>
        <v>4.5759891155367782</v>
      </c>
      <c r="U19" s="130">
        <f t="shared" si="10"/>
        <v>4.3851637731357656</v>
      </c>
      <c r="V19" s="130">
        <f t="shared" si="10"/>
        <v>4.4406402370457752</v>
      </c>
      <c r="W19" s="130">
        <f t="shared" si="10"/>
        <v>4.3487370676130244</v>
      </c>
      <c r="X19" s="130">
        <f t="shared" ref="X19:Y19" si="11">SUM(X20:X27)</f>
        <v>4.1275468636703705</v>
      </c>
      <c r="Y19" s="130">
        <f t="shared" si="11"/>
        <v>4.1402255019146939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0.53729627042133565</v>
      </c>
      <c r="D22" s="132">
        <v>0.31826355008241458</v>
      </c>
      <c r="E22" s="132">
        <v>7.430119672614699E-2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0.45526690718433493</v>
      </c>
      <c r="N22" s="132">
        <v>0.73852775230125911</v>
      </c>
      <c r="O22" s="132">
        <v>0.93365731740919122</v>
      </c>
      <c r="P22" s="132">
        <v>0.14926130662213344</v>
      </c>
      <c r="Q22" s="132">
        <v>0.77873863142902744</v>
      </c>
      <c r="R22" s="132">
        <v>0.55903983677753077</v>
      </c>
      <c r="S22" s="132">
        <v>0.53097188129795758</v>
      </c>
      <c r="T22" s="132">
        <v>0.21473352260331161</v>
      </c>
      <c r="U22" s="132">
        <v>8.1287760085505742E-3</v>
      </c>
      <c r="V22" s="132">
        <v>0</v>
      </c>
      <c r="W22" s="132">
        <v>0</v>
      </c>
      <c r="X22" s="132">
        <v>0</v>
      </c>
      <c r="Y22" s="132">
        <v>0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2.5970848232455743E-2</v>
      </c>
      <c r="D23" s="132">
        <v>5.866736179132382E-2</v>
      </c>
      <c r="E23" s="132">
        <v>5.3353584239126305E-2</v>
      </c>
      <c r="F23" s="132">
        <v>5.527705548493294E-2</v>
      </c>
      <c r="G23" s="132">
        <v>5.506143441352445E-2</v>
      </c>
      <c r="H23" s="132">
        <v>9.4616721057195846E-2</v>
      </c>
      <c r="I23" s="132">
        <v>5.7966115810030243E-2</v>
      </c>
      <c r="J23" s="132">
        <v>4.2445700156270971E-2</v>
      </c>
      <c r="K23" s="132">
        <v>2.9633709073956883E-2</v>
      </c>
      <c r="L23" s="132">
        <v>4.5316747783040214E-2</v>
      </c>
      <c r="M23" s="132">
        <v>3.0554786114853971E-2</v>
      </c>
      <c r="N23" s="132">
        <v>3.3476694768663356E-2</v>
      </c>
      <c r="O23" s="132">
        <v>5.5559571895265128E-2</v>
      </c>
      <c r="P23" s="132">
        <v>8.952845806380183E-2</v>
      </c>
      <c r="Q23" s="132">
        <v>3.506507221853454E-2</v>
      </c>
      <c r="R23" s="132">
        <v>2.3038392828166304E-2</v>
      </c>
      <c r="S23" s="132">
        <v>3.6657681337917615E-2</v>
      </c>
      <c r="T23" s="132">
        <v>5.01835207021653E-2</v>
      </c>
      <c r="U23" s="132">
        <v>0.16005547855568153</v>
      </c>
      <c r="V23" s="132">
        <v>7.765363807492924E-2</v>
      </c>
      <c r="W23" s="132">
        <v>5.4422677244387672E-2</v>
      </c>
      <c r="X23" s="132">
        <v>2.794161888330254E-2</v>
      </c>
      <c r="Y23" s="132">
        <v>0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1.5842858548193115</v>
      </c>
      <c r="D25" s="132">
        <v>1.5582232849144697</v>
      </c>
      <c r="E25" s="132">
        <v>1.6264665773087925</v>
      </c>
      <c r="F25" s="132">
        <v>2.3230225171524648</v>
      </c>
      <c r="G25" s="132">
        <v>2.0327330935097976</v>
      </c>
      <c r="H25" s="132">
        <v>2.7544669606318175</v>
      </c>
      <c r="I25" s="132">
        <v>1.9754802497973587</v>
      </c>
      <c r="J25" s="132">
        <v>1.3183238617190614</v>
      </c>
      <c r="K25" s="132">
        <v>1.4465424383901897</v>
      </c>
      <c r="L25" s="132">
        <v>2.0833821968461845</v>
      </c>
      <c r="M25" s="132">
        <v>1.7459535735470468</v>
      </c>
      <c r="N25" s="132">
        <v>1.526604122943509</v>
      </c>
      <c r="O25" s="132">
        <v>2.3044870550509744</v>
      </c>
      <c r="P25" s="132">
        <v>2.1311627495403886</v>
      </c>
      <c r="Q25" s="132">
        <v>2.4871640510147039</v>
      </c>
      <c r="R25" s="132">
        <v>2.8871704334797483</v>
      </c>
      <c r="S25" s="132">
        <v>2.2607258962373264</v>
      </c>
      <c r="T25" s="132">
        <v>2.033784229077769</v>
      </c>
      <c r="U25" s="132">
        <v>1.7929593335163361</v>
      </c>
      <c r="V25" s="132">
        <v>1.9342904377611734</v>
      </c>
      <c r="W25" s="132">
        <v>2.8054228289492769</v>
      </c>
      <c r="X25" s="132">
        <v>2.8318213170263364</v>
      </c>
      <c r="Y25" s="132">
        <v>2.1909343762601132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1.8336092134130617</v>
      </c>
      <c r="D26" s="65">
        <v>1.7235093907698147</v>
      </c>
      <c r="E26" s="65">
        <v>1.4968701526625321</v>
      </c>
      <c r="F26" s="65">
        <v>1.6186866210425399</v>
      </c>
      <c r="G26" s="65">
        <v>1.6737187719993156</v>
      </c>
      <c r="H26" s="65">
        <v>1.896681514655095</v>
      </c>
      <c r="I26" s="65">
        <v>2.5795047269046449</v>
      </c>
      <c r="J26" s="65">
        <v>1.8543585835053729</v>
      </c>
      <c r="K26" s="65">
        <v>2.2136272046309644</v>
      </c>
      <c r="L26" s="65">
        <v>2.1750740230264269</v>
      </c>
      <c r="M26" s="65">
        <v>1.2697423615428565</v>
      </c>
      <c r="N26" s="65">
        <v>0.92270964311553338</v>
      </c>
      <c r="O26" s="65">
        <v>1.7632165539072262</v>
      </c>
      <c r="P26" s="65">
        <v>1.6380017228386623</v>
      </c>
      <c r="Q26" s="65">
        <v>1.5161828307382663</v>
      </c>
      <c r="R26" s="65">
        <v>1.3040806472352968</v>
      </c>
      <c r="S26" s="65">
        <v>2.3976669354628823</v>
      </c>
      <c r="T26" s="65">
        <v>2.2772878431535326</v>
      </c>
      <c r="U26" s="65">
        <v>2.4240201850551975</v>
      </c>
      <c r="V26" s="65">
        <v>2.4286961612096731</v>
      </c>
      <c r="W26" s="65">
        <v>1.4888915614193594</v>
      </c>
      <c r="X26" s="65">
        <v>1.2677839277607315</v>
      </c>
      <c r="Y26" s="65">
        <v>1.9492911256545811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3.6881329822788573</v>
      </c>
      <c r="D29" s="130">
        <f t="shared" si="12"/>
        <v>3.4684111546820615</v>
      </c>
      <c r="E29" s="130">
        <f t="shared" si="12"/>
        <v>3.1860903639471432</v>
      </c>
      <c r="F29" s="130">
        <f t="shared" si="12"/>
        <v>4.0301497857211936</v>
      </c>
      <c r="G29" s="130">
        <f t="shared" si="12"/>
        <v>3.5165548885374687</v>
      </c>
      <c r="H29" s="130">
        <f t="shared" si="12"/>
        <v>4.8396867284458605</v>
      </c>
      <c r="I29" s="130">
        <f t="shared" si="12"/>
        <v>4.9754996378528302</v>
      </c>
      <c r="J29" s="130">
        <f t="shared" si="12"/>
        <v>3.3299833881408336</v>
      </c>
      <c r="K29" s="130">
        <f t="shared" si="12"/>
        <v>4.0659859881242868</v>
      </c>
      <c r="L29" s="130">
        <f t="shared" si="12"/>
        <v>4.4577227736592162</v>
      </c>
      <c r="M29" s="130">
        <f t="shared" si="12"/>
        <v>3.7117634757575115</v>
      </c>
      <c r="N29" s="130">
        <f t="shared" si="12"/>
        <v>3.6975929003510073</v>
      </c>
      <c r="O29" s="130">
        <f t="shared" si="12"/>
        <v>5.6987684744074638</v>
      </c>
      <c r="P29" s="130">
        <f t="shared" si="12"/>
        <v>4.4958729370499029</v>
      </c>
      <c r="Q29" s="130">
        <f t="shared" si="12"/>
        <v>5.5409248448810482</v>
      </c>
      <c r="R29" s="130">
        <f t="shared" ref="R29:W29" si="13">SUM(R30:R33)</f>
        <v>5.5688816880221621</v>
      </c>
      <c r="S29" s="130">
        <f t="shared" si="13"/>
        <v>6.3571194030746163</v>
      </c>
      <c r="T29" s="130">
        <f t="shared" si="13"/>
        <v>5.660839148317387</v>
      </c>
      <c r="U29" s="130">
        <f t="shared" si="13"/>
        <v>5.631517763793207</v>
      </c>
      <c r="V29" s="130">
        <f t="shared" si="13"/>
        <v>5.7616177368140278</v>
      </c>
      <c r="W29" s="130">
        <f t="shared" si="13"/>
        <v>5.7541730570408864</v>
      </c>
      <c r="X29" s="130">
        <f t="shared" ref="X29:Y29" si="14">SUM(X30:X33)</f>
        <v>5.5022952685840743</v>
      </c>
      <c r="Y29" s="130">
        <f t="shared" si="14"/>
        <v>5.3637460398277605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0.37802481988603331</v>
      </c>
      <c r="D30" s="132">
        <v>0.25999720220146827</v>
      </c>
      <c r="E30" s="132">
        <v>0</v>
      </c>
      <c r="F30" s="132">
        <v>0.14592578303482001</v>
      </c>
      <c r="G30" s="132">
        <v>0.71452398257022298</v>
      </c>
      <c r="H30" s="132">
        <v>2.2379447895526545</v>
      </c>
      <c r="I30" s="132">
        <v>2.2068218827083408</v>
      </c>
      <c r="J30" s="132">
        <v>0.58643426065197435</v>
      </c>
      <c r="K30" s="132">
        <v>3.0429154400127549E-2</v>
      </c>
      <c r="L30" s="132">
        <v>0.35343941056577494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7.33367198467023E-2</v>
      </c>
      <c r="T30" s="132">
        <v>0.42781580515364703</v>
      </c>
      <c r="U30" s="132">
        <v>0.34978981365684347</v>
      </c>
      <c r="V30" s="132">
        <v>0.15582838823204354</v>
      </c>
      <c r="W30" s="132">
        <v>2.3080581724288094E-2</v>
      </c>
      <c r="X30" s="132">
        <v>9.8957175014741286E-2</v>
      </c>
      <c r="Y30" s="132">
        <v>4.7917284178722201E-2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0.11085531893082938</v>
      </c>
      <c r="D31" s="132">
        <v>0.12323131364368201</v>
      </c>
      <c r="E31" s="132">
        <v>0.10478196410997216</v>
      </c>
      <c r="F31" s="132">
        <v>0.11022381320012242</v>
      </c>
      <c r="G31" s="132">
        <v>8.6273357636336812E-2</v>
      </c>
      <c r="H31" s="132">
        <v>9.9613524400972792E-2</v>
      </c>
      <c r="I31" s="132">
        <v>8.3455445643741369E-2</v>
      </c>
      <c r="J31" s="132">
        <v>4.6126187349019236E-2</v>
      </c>
      <c r="K31" s="132">
        <v>2.6583876653926707E-2</v>
      </c>
      <c r="L31" s="132">
        <v>1.1308075954435453E-2</v>
      </c>
      <c r="M31" s="132">
        <v>9.8662675024564902E-4</v>
      </c>
      <c r="N31" s="132">
        <v>3.3644935840637616E-2</v>
      </c>
      <c r="O31" s="132">
        <v>9.4740579852566412E-2</v>
      </c>
      <c r="P31" s="132">
        <v>9.6054657973503849E-2</v>
      </c>
      <c r="Q31" s="132">
        <v>6.5263294275976408E-2</v>
      </c>
      <c r="R31" s="132">
        <v>5.4138060511538716E-2</v>
      </c>
      <c r="S31" s="132">
        <v>4.3848870238964395E-2</v>
      </c>
      <c r="T31" s="132">
        <v>4.7012376298342019E-2</v>
      </c>
      <c r="U31" s="132">
        <v>0.14014885702504298</v>
      </c>
      <c r="V31" s="132">
        <v>7.7518063210654423E-2</v>
      </c>
      <c r="W31" s="132">
        <v>7.3717984942388445E-2</v>
      </c>
      <c r="X31" s="132">
        <v>6.4624407760126248E-2</v>
      </c>
      <c r="Y31" s="132">
        <v>6.5568794092661919E-2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3.1992528434619945</v>
      </c>
      <c r="D33" s="68">
        <v>3.085182638836911</v>
      </c>
      <c r="E33" s="68">
        <v>3.0813083998371709</v>
      </c>
      <c r="F33" s="68">
        <v>3.7740001894862512</v>
      </c>
      <c r="G33" s="68">
        <v>2.7157575483309091</v>
      </c>
      <c r="H33" s="68">
        <v>2.5021284144922338</v>
      </c>
      <c r="I33" s="68">
        <v>2.6852223095007481</v>
      </c>
      <c r="J33" s="68">
        <v>2.6974229401398402</v>
      </c>
      <c r="K33" s="68">
        <v>4.0089729570702328</v>
      </c>
      <c r="L33" s="68">
        <v>4.0929752871390059</v>
      </c>
      <c r="M33" s="68">
        <v>3.7107768490072659</v>
      </c>
      <c r="N33" s="68">
        <v>3.6639479645103696</v>
      </c>
      <c r="O33" s="68">
        <v>5.6040278945548971</v>
      </c>
      <c r="P33" s="68">
        <v>4.3998182790763991</v>
      </c>
      <c r="Q33" s="68">
        <v>5.4756615506050714</v>
      </c>
      <c r="R33" s="68">
        <v>5.5147436275106232</v>
      </c>
      <c r="S33" s="68">
        <v>6.2399338129889497</v>
      </c>
      <c r="T33" s="68">
        <v>5.186010966865398</v>
      </c>
      <c r="U33" s="68">
        <v>5.1415790931113206</v>
      </c>
      <c r="V33" s="68">
        <v>5.5282712853713303</v>
      </c>
      <c r="W33" s="68">
        <v>5.6573744903742096</v>
      </c>
      <c r="X33" s="68">
        <v>5.338713685809207</v>
      </c>
      <c r="Y33" s="68">
        <v>5.2502599615563765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0.78366544946168304</v>
      </c>
      <c r="D3" s="126">
        <f>IF(SER_hh_tes_in!D3=0,"",SER_hh_tes_in!D3/SER_hh_fec_in!D3)</f>
        <v>0.77817961690571991</v>
      </c>
      <c r="E3" s="126">
        <f>IF(SER_hh_tes_in!E3=0,"",SER_hh_tes_in!E3/SER_hh_fec_in!E3)</f>
        <v>0.82140663967243965</v>
      </c>
      <c r="F3" s="126">
        <f>IF(SER_hh_tes_in!F3=0,"",SER_hh_tes_in!F3/SER_hh_fec_in!F3)</f>
        <v>0.84643129673525885</v>
      </c>
      <c r="G3" s="126">
        <f>IF(SER_hh_tes_in!G3=0,"",SER_hh_tes_in!G3/SER_hh_fec_in!G3)</f>
        <v>0.86225067205286621</v>
      </c>
      <c r="H3" s="126">
        <f>IF(SER_hh_tes_in!H3=0,"",SER_hh_tes_in!H3/SER_hh_fec_in!H3)</f>
        <v>0.87067506429274477</v>
      </c>
      <c r="I3" s="126">
        <f>IF(SER_hh_tes_in!I3=0,"",SER_hh_tes_in!I3/SER_hh_fec_in!I3)</f>
        <v>0.88506711819664652</v>
      </c>
      <c r="J3" s="126">
        <f>IF(SER_hh_tes_in!J3=0,"",SER_hh_tes_in!J3/SER_hh_fec_in!J3)</f>
        <v>0.90618334681242119</v>
      </c>
      <c r="K3" s="126">
        <f>IF(SER_hh_tes_in!K3=0,"",SER_hh_tes_in!K3/SER_hh_fec_in!K3)</f>
        <v>0.91312785257275764</v>
      </c>
      <c r="L3" s="126">
        <f>IF(SER_hh_tes_in!L3=0,"",SER_hh_tes_in!L3/SER_hh_fec_in!L3)</f>
        <v>0.85906706784016251</v>
      </c>
      <c r="M3" s="126">
        <f>IF(SER_hh_tes_in!M3=0,"",SER_hh_tes_in!M3/SER_hh_fec_in!M3)</f>
        <v>0.88675331074603381</v>
      </c>
      <c r="N3" s="126">
        <f>IF(SER_hh_tes_in!N3=0,"",SER_hh_tes_in!N3/SER_hh_fec_in!N3)</f>
        <v>0.8819048872085411</v>
      </c>
      <c r="O3" s="126">
        <f>IF(SER_hh_tes_in!O3=0,"",SER_hh_tes_in!O3/SER_hh_fec_in!O3)</f>
        <v>0.92240080176911521</v>
      </c>
      <c r="P3" s="126">
        <f>IF(SER_hh_tes_in!P3=0,"",SER_hh_tes_in!P3/SER_hh_fec_in!P3)</f>
        <v>0.9704079158950154</v>
      </c>
      <c r="Q3" s="126">
        <f>IF(SER_hh_tes_in!Q3=0,"",SER_hh_tes_in!Q3/SER_hh_fec_in!Q3)</f>
        <v>0.96910339501707254</v>
      </c>
      <c r="R3" s="126">
        <f>IF(SER_hh_tes_in!R3=0,"",SER_hh_tes_in!R3/SER_hh_fec_in!R3)</f>
        <v>0.99719384272018519</v>
      </c>
      <c r="S3" s="126">
        <f>IF(SER_hh_tes_in!S3=0,"",SER_hh_tes_in!S3/SER_hh_fec_in!S3)</f>
        <v>1.0184865652987416</v>
      </c>
      <c r="T3" s="126">
        <f>IF(SER_hh_tes_in!T3=0,"",SER_hh_tes_in!T3/SER_hh_fec_in!T3)</f>
        <v>1.0263113556781525</v>
      </c>
      <c r="U3" s="126">
        <f>IF(SER_hh_tes_in!U3=0,"",SER_hh_tes_in!U3/SER_hh_fec_in!U3)</f>
        <v>1.0479126156408642</v>
      </c>
      <c r="V3" s="126">
        <f>IF(SER_hh_tes_in!V3=0,"",SER_hh_tes_in!V3/SER_hh_fec_in!V3)</f>
        <v>1.0796785049537407</v>
      </c>
      <c r="W3" s="126">
        <f>IF(SER_hh_tes_in!W3=0,"",SER_hh_tes_in!W3/SER_hh_fec_in!W3)</f>
        <v>1.0533600256836384</v>
      </c>
      <c r="X3" s="126">
        <f>IF(SER_hh_tes_in!X3=0,"",SER_hh_tes_in!X3/SER_hh_fec_in!X3)</f>
        <v>1.058851599286031</v>
      </c>
      <c r="Y3" s="126">
        <f>IF(SER_hh_tes_in!Y3=0,"",SER_hh_tes_in!Y3/SER_hh_fec_in!Y3)</f>
        <v>1.0738236046620964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0.71809906438293369</v>
      </c>
      <c r="D4" s="135">
        <f>IF(SER_hh_tes_in!D4=0,"",SER_hh_tes_in!D4/SER_hh_fec_in!D4)</f>
        <v>0.70655771648266341</v>
      </c>
      <c r="E4" s="135">
        <f>IF(SER_hh_tes_in!E4=0,"",SER_hh_tes_in!E4/SER_hh_fec_in!E4)</f>
        <v>0.74725062856057645</v>
      </c>
      <c r="F4" s="135">
        <f>IF(SER_hh_tes_in!F4=0,"",SER_hh_tes_in!F4/SER_hh_fec_in!F4)</f>
        <v>0.76950952696689146</v>
      </c>
      <c r="G4" s="135">
        <f>IF(SER_hh_tes_in!G4=0,"",SER_hh_tes_in!G4/SER_hh_fec_in!G4)</f>
        <v>0.78611893809763167</v>
      </c>
      <c r="H4" s="135">
        <f>IF(SER_hh_tes_in!H4=0,"",SER_hh_tes_in!H4/SER_hh_fec_in!H4)</f>
        <v>0.80326003756620834</v>
      </c>
      <c r="I4" s="135">
        <f>IF(SER_hh_tes_in!I4=0,"",SER_hh_tes_in!I4/SER_hh_fec_in!I4)</f>
        <v>0.82472250193231722</v>
      </c>
      <c r="J4" s="135">
        <f>IF(SER_hh_tes_in!J4=0,"",SER_hh_tes_in!J4/SER_hh_fec_in!J4)</f>
        <v>0.83351985175490872</v>
      </c>
      <c r="K4" s="135">
        <f>IF(SER_hh_tes_in!K4=0,"",SER_hh_tes_in!K4/SER_hh_fec_in!K4)</f>
        <v>0.83124022047887491</v>
      </c>
      <c r="L4" s="135">
        <f>IF(SER_hh_tes_in!L4=0,"",SER_hh_tes_in!L4/SER_hh_fec_in!L4)</f>
        <v>0.76423835349528946</v>
      </c>
      <c r="M4" s="135">
        <f>IF(SER_hh_tes_in!M4=0,"",SER_hh_tes_in!M4/SER_hh_fec_in!M4)</f>
        <v>0.78184339431311511</v>
      </c>
      <c r="N4" s="135">
        <f>IF(SER_hh_tes_in!N4=0,"",SER_hh_tes_in!N4/SER_hh_fec_in!N4)</f>
        <v>0.7820700815938848</v>
      </c>
      <c r="O4" s="135">
        <f>IF(SER_hh_tes_in!O4=0,"",SER_hh_tes_in!O4/SER_hh_fec_in!O4)</f>
        <v>0.82198937648866022</v>
      </c>
      <c r="P4" s="135">
        <f>IF(SER_hh_tes_in!P4=0,"",SER_hh_tes_in!P4/SER_hh_fec_in!P4)</f>
        <v>0.86699318037033601</v>
      </c>
      <c r="Q4" s="135">
        <f>IF(SER_hh_tes_in!Q4=0,"",SER_hh_tes_in!Q4/SER_hh_fec_in!Q4)</f>
        <v>0.86491678486082246</v>
      </c>
      <c r="R4" s="135">
        <f>IF(SER_hh_tes_in!R4=0,"",SER_hh_tes_in!R4/SER_hh_fec_in!R4)</f>
        <v>0.89953577453900713</v>
      </c>
      <c r="S4" s="135">
        <f>IF(SER_hh_tes_in!S4=0,"",SER_hh_tes_in!S4/SER_hh_fec_in!S4)</f>
        <v>0.91373927042160841</v>
      </c>
      <c r="T4" s="135">
        <f>IF(SER_hh_tes_in!T4=0,"",SER_hh_tes_in!T4/SER_hh_fec_in!T4)</f>
        <v>0.92433093849926662</v>
      </c>
      <c r="U4" s="135">
        <f>IF(SER_hh_tes_in!U4=0,"",SER_hh_tes_in!U4/SER_hh_fec_in!U4)</f>
        <v>0.94894172226968221</v>
      </c>
      <c r="V4" s="135">
        <f>IF(SER_hh_tes_in!V4=0,"",SER_hh_tes_in!V4/SER_hh_fec_in!V4)</f>
        <v>0.99323087961519829</v>
      </c>
      <c r="W4" s="135">
        <f>IF(SER_hh_tes_in!W4=0,"",SER_hh_tes_in!W4/SER_hh_fec_in!W4)</f>
        <v>0.94425720199003182</v>
      </c>
      <c r="X4" s="135">
        <f>IF(SER_hh_tes_in!X4=0,"",SER_hh_tes_in!X4/SER_hh_fec_in!X4)</f>
        <v>0.9597225460926464</v>
      </c>
      <c r="Y4" s="135">
        <f>IF(SER_hh_tes_in!Y4=0,"",SER_hh_tes_in!Y4/SER_hh_fec_in!Y4)</f>
        <v>0.95906352885730861</v>
      </c>
      <c r="DA4" s="162" t="s">
        <v>663</v>
      </c>
    </row>
    <row r="5" spans="1:105" ht="12" customHeight="1" x14ac:dyDescent="0.25">
      <c r="A5" s="131" t="s">
        <v>29</v>
      </c>
      <c r="B5" s="136"/>
      <c r="C5" s="136" t="str">
        <f>IF(SER_hh_tes_in!C5=0,"",SER_hh_tes_in!C5/SER_hh_fec_in!C5)</f>
        <v/>
      </c>
      <c r="D5" s="136" t="str">
        <f>IF(SER_hh_tes_in!D5=0,"",SER_hh_tes_in!D5/SER_hh_fec_in!D5)</f>
        <v/>
      </c>
      <c r="E5" s="136" t="str">
        <f>IF(SER_hh_tes_in!E5=0,"",SER_hh_tes_in!E5/SER_hh_fec_in!E5)</f>
        <v/>
      </c>
      <c r="F5" s="136" t="str">
        <f>IF(SER_hh_tes_in!F5=0,"",SER_hh_tes_in!F5/SER_hh_fec_in!F5)</f>
        <v/>
      </c>
      <c r="G5" s="136" t="str">
        <f>IF(SER_hh_tes_in!G5=0,"",SER_hh_tes_in!G5/SER_hh_fec_in!G5)</f>
        <v/>
      </c>
      <c r="H5" s="136" t="str">
        <f>IF(SER_hh_tes_in!H5=0,"",SER_hh_tes_in!H5/SER_hh_fec_in!H5)</f>
        <v/>
      </c>
      <c r="I5" s="136" t="str">
        <f>IF(SER_hh_tes_in!I5=0,"",SER_hh_tes_in!I5/SER_hh_fec_in!I5)</f>
        <v/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 t="str">
        <f>IF(SER_hh_tes_in!M5=0,"",SER_hh_tes_in!M5/SER_hh_fec_in!M5)</f>
        <v/>
      </c>
      <c r="N5" s="136" t="str">
        <f>IF(SER_hh_tes_in!N5=0,"",SER_hh_tes_in!N5/SER_hh_fec_in!N5)</f>
        <v/>
      </c>
      <c r="O5" s="136" t="str">
        <f>IF(SER_hh_tes_in!O5=0,"",SER_hh_tes_in!O5/SER_hh_fec_in!O5)</f>
        <v/>
      </c>
      <c r="P5" s="136" t="str">
        <f>IF(SER_hh_tes_in!P5=0,"",SER_hh_tes_in!P5/SER_hh_fec_in!P5)</f>
        <v/>
      </c>
      <c r="Q5" s="136" t="str">
        <f>IF(SER_hh_tes_in!Q5=0,"",SER_hh_tes_in!Q5/SER_hh_fec_in!Q5)</f>
        <v/>
      </c>
      <c r="R5" s="136" t="str">
        <f>IF(SER_hh_tes_in!R5=0,"",SER_hh_tes_in!R5/SER_hh_fec_in!R5)</f>
        <v/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 t="str">
        <f>IF(SER_hh_tes_in!U5=0,"",SER_hh_tes_in!U5/SER_hh_fec_in!U5)</f>
        <v/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0.49771718324781972</v>
      </c>
      <c r="D7" s="136">
        <f>IF(SER_hh_tes_in!D7=0,"",SER_hh_tes_in!D7/SER_hh_fec_in!D7)</f>
        <v>0.50327522483072618</v>
      </c>
      <c r="E7" s="136">
        <f>IF(SER_hh_tes_in!E7=0,"",SER_hh_tes_in!E7/SER_hh_fec_in!E7)</f>
        <v>0.50912915074966913</v>
      </c>
      <c r="F7" s="136" t="str">
        <f>IF(SER_hh_tes_in!F7=0,"",SER_hh_tes_in!F7/SER_hh_fec_in!F7)</f>
        <v/>
      </c>
      <c r="G7" s="136" t="str">
        <f>IF(SER_hh_tes_in!G7=0,"",SER_hh_tes_in!G7/SER_hh_fec_in!G7)</f>
        <v/>
      </c>
      <c r="H7" s="136" t="str">
        <f>IF(SER_hh_tes_in!H7=0,"",SER_hh_tes_in!H7/SER_hh_fec_in!H7)</f>
        <v/>
      </c>
      <c r="I7" s="136" t="str">
        <f>IF(SER_hh_tes_in!I7=0,"",SER_hh_tes_in!I7/SER_hh_fec_in!I7)</f>
        <v/>
      </c>
      <c r="J7" s="136" t="str">
        <f>IF(SER_hh_tes_in!J7=0,"",SER_hh_tes_in!J7/SER_hh_fec_in!J7)</f>
        <v/>
      </c>
      <c r="K7" s="136">
        <f>IF(SER_hh_tes_in!K7=0,"",SER_hh_tes_in!K7/SER_hh_fec_in!K7)</f>
        <v>0.54908069172426399</v>
      </c>
      <c r="L7" s="136">
        <f>IF(SER_hh_tes_in!L7=0,"",SER_hh_tes_in!L7/SER_hh_fec_in!L7)</f>
        <v>0.55793461490484575</v>
      </c>
      <c r="M7" s="136">
        <f>IF(SER_hh_tes_in!M7=0,"",SER_hh_tes_in!M7/SER_hh_fec_in!M7)</f>
        <v>0.57395474908299171</v>
      </c>
      <c r="N7" s="136">
        <f>IF(SER_hh_tes_in!N7=0,"",SER_hh_tes_in!N7/SER_hh_fec_in!N7)</f>
        <v>0.59902542210868992</v>
      </c>
      <c r="O7" s="136">
        <f>IF(SER_hh_tes_in!O7=0,"",SER_hh_tes_in!O7/SER_hh_fec_in!O7)</f>
        <v>0.63410573138005688</v>
      </c>
      <c r="P7" s="136" t="str">
        <f>IF(SER_hh_tes_in!P7=0,"",SER_hh_tes_in!P7/SER_hh_fec_in!P7)</f>
        <v/>
      </c>
      <c r="Q7" s="136">
        <f>IF(SER_hh_tes_in!Q7=0,"",SER_hh_tes_in!Q7/SER_hh_fec_in!Q7)</f>
        <v>0.7068167736003701</v>
      </c>
      <c r="R7" s="136">
        <f>IF(SER_hh_tes_in!R7=0,"",SER_hh_tes_in!R7/SER_hh_fec_in!R7)</f>
        <v>0.71911567865199988</v>
      </c>
      <c r="S7" s="136">
        <f>IF(SER_hh_tes_in!S7=0,"",SER_hh_tes_in!S7/SER_hh_fec_in!S7)</f>
        <v>0.72490467184794938</v>
      </c>
      <c r="T7" s="136">
        <f>IF(SER_hh_tes_in!T7=0,"",SER_hh_tes_in!T7/SER_hh_fec_in!T7)</f>
        <v>0.72682631476909909</v>
      </c>
      <c r="U7" s="136">
        <f>IF(SER_hh_tes_in!U7=0,"",SER_hh_tes_in!U7/SER_hh_fec_in!U7)</f>
        <v>0.72738952894333397</v>
      </c>
      <c r="V7" s="136">
        <f>IF(SER_hh_tes_in!V7=0,"",SER_hh_tes_in!V7/SER_hh_fec_in!V7)</f>
        <v>0.72900695403997851</v>
      </c>
      <c r="W7" s="136" t="str">
        <f>IF(SER_hh_tes_in!W7=0,"",SER_hh_tes_in!W7/SER_hh_fec_in!W7)</f>
        <v/>
      </c>
      <c r="X7" s="136" t="str">
        <f>IF(SER_hh_tes_in!X7=0,"",SER_hh_tes_in!X7/SER_hh_fec_in!X7)</f>
        <v/>
      </c>
      <c r="Y7" s="136" t="str">
        <f>IF(SER_hh_tes_in!Y7=0,"",SER_hh_tes_in!Y7/SER_hh_fec_in!Y7)</f>
        <v/>
      </c>
      <c r="DA7" s="163" t="s">
        <v>666</v>
      </c>
    </row>
    <row r="8" spans="1:105" ht="12" customHeight="1" x14ac:dyDescent="0.25">
      <c r="A8" s="131" t="s">
        <v>73</v>
      </c>
      <c r="B8" s="136"/>
      <c r="C8" s="136" t="str">
        <f>IF(SER_hh_tes_in!C8=0,"",SER_hh_tes_in!C8/SER_hh_fec_in!C8)</f>
        <v/>
      </c>
      <c r="D8" s="136" t="str">
        <f>IF(SER_hh_tes_in!D8=0,"",SER_hh_tes_in!D8/SER_hh_fec_in!D8)</f>
        <v/>
      </c>
      <c r="E8" s="136" t="str">
        <f>IF(SER_hh_tes_in!E8=0,"",SER_hh_tes_in!E8/SER_hh_fec_in!E8)</f>
        <v/>
      </c>
      <c r="F8" s="136" t="str">
        <f>IF(SER_hh_tes_in!F8=0,"",SER_hh_tes_in!F8/SER_hh_fec_in!F8)</f>
        <v/>
      </c>
      <c r="G8" s="136" t="str">
        <f>IF(SER_hh_tes_in!G8=0,"",SER_hh_tes_in!G8/SER_hh_fec_in!G8)</f>
        <v/>
      </c>
      <c r="H8" s="136" t="str">
        <f>IF(SER_hh_tes_in!H8=0,"",SER_hh_tes_in!H8/SER_hh_fec_in!H8)</f>
        <v/>
      </c>
      <c r="I8" s="136" t="str">
        <f>IF(SER_hh_tes_in!I8=0,"",SER_hh_tes_in!I8/SER_hh_fec_in!I8)</f>
        <v/>
      </c>
      <c r="J8" s="136" t="str">
        <f>IF(SER_hh_tes_in!J8=0,"",SER_hh_tes_in!J8/SER_hh_fec_in!J8)</f>
        <v/>
      </c>
      <c r="K8" s="136" t="str">
        <f>IF(SER_hh_tes_in!K8=0,"",SER_hh_tes_in!K8/SER_hh_fec_in!K8)</f>
        <v/>
      </c>
      <c r="L8" s="136" t="str">
        <f>IF(SER_hh_tes_in!L8=0,"",SER_hh_tes_in!L8/SER_hh_fec_in!L8)</f>
        <v/>
      </c>
      <c r="M8" s="136" t="str">
        <f>IF(SER_hh_tes_in!M8=0,"",SER_hh_tes_in!M8/SER_hh_fec_in!M8)</f>
        <v/>
      </c>
      <c r="N8" s="136" t="str">
        <f>IF(SER_hh_tes_in!N8=0,"",SER_hh_tes_in!N8/SER_hh_fec_in!N8)</f>
        <v/>
      </c>
      <c r="O8" s="136" t="str">
        <f>IF(SER_hh_tes_in!O8=0,"",SER_hh_tes_in!O8/SER_hh_fec_in!O8)</f>
        <v/>
      </c>
      <c r="P8" s="136" t="str">
        <f>IF(SER_hh_tes_in!P8=0,"",SER_hh_tes_in!P8/SER_hh_fec_in!P8)</f>
        <v/>
      </c>
      <c r="Q8" s="136" t="str">
        <f>IF(SER_hh_tes_in!Q8=0,"",SER_hh_tes_in!Q8/SER_hh_fec_in!Q8)</f>
        <v/>
      </c>
      <c r="R8" s="136" t="str">
        <f>IF(SER_hh_tes_in!R8=0,"",SER_hh_tes_in!R8/SER_hh_fec_in!R8)</f>
        <v/>
      </c>
      <c r="S8" s="136" t="str">
        <f>IF(SER_hh_tes_in!S8=0,"",SER_hh_tes_in!S8/SER_hh_fec_in!S8)</f>
        <v/>
      </c>
      <c r="T8" s="136" t="str">
        <f>IF(SER_hh_tes_in!T8=0,"",SER_hh_tes_in!T8/SER_hh_fec_in!T8)</f>
        <v/>
      </c>
      <c r="U8" s="136" t="str">
        <f>IF(SER_hh_tes_in!U8=0,"",SER_hh_tes_in!U8/SER_hh_fec_in!U8)</f>
        <v/>
      </c>
      <c r="V8" s="136" t="str">
        <f>IF(SER_hh_tes_in!V8=0,"",SER_hh_tes_in!V8/SER_hh_fec_in!V8)</f>
        <v/>
      </c>
      <c r="W8" s="136" t="str">
        <f>IF(SER_hh_tes_in!W8=0,"",SER_hh_tes_in!W8/SER_hh_fec_in!W8)</f>
        <v/>
      </c>
      <c r="X8" s="136" t="str">
        <f>IF(SER_hh_tes_in!X8=0,"",SER_hh_tes_in!X8/SER_hh_fec_in!X8)</f>
        <v/>
      </c>
      <c r="Y8" s="136" t="str">
        <f>IF(SER_hh_tes_in!Y8=0,"",SER_hh_tes_in!Y8/SER_hh_fec_in!Y8)</f>
        <v/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0.53103622439472842</v>
      </c>
      <c r="D9" s="136">
        <f>IF(SER_hh_tes_in!D9=0,"",SER_hh_tes_in!D9/SER_hh_fec_in!D9)</f>
        <v>0.53547193740184407</v>
      </c>
      <c r="E9" s="136">
        <f>IF(SER_hh_tes_in!E9=0,"",SER_hh_tes_in!E9/SER_hh_fec_in!E9)</f>
        <v>0.54018671054412315</v>
      </c>
      <c r="F9" s="136">
        <f>IF(SER_hh_tes_in!F9=0,"",SER_hh_tes_in!F9/SER_hh_fec_in!F9)</f>
        <v>0.54488419080314987</v>
      </c>
      <c r="G9" s="136">
        <f>IF(SER_hh_tes_in!G9=0,"",SER_hh_tes_in!G9/SER_hh_fec_in!G9)</f>
        <v>0.54983157929843252</v>
      </c>
      <c r="H9" s="136">
        <f>IF(SER_hh_tes_in!H9=0,"",SER_hh_tes_in!H9/SER_hh_fec_in!H9)</f>
        <v>0.55499472780422754</v>
      </c>
      <c r="I9" s="136">
        <f>IF(SER_hh_tes_in!I9=0,"",SER_hh_tes_in!I9/SER_hh_fec_in!I9)</f>
        <v>0.5604379557674769</v>
      </c>
      <c r="J9" s="136">
        <f>IF(SER_hh_tes_in!J9=0,"",SER_hh_tes_in!J9/SER_hh_fec_in!J9)</f>
        <v>0.56642811426964623</v>
      </c>
      <c r="K9" s="136">
        <f>IF(SER_hh_tes_in!K9=0,"",SER_hh_tes_in!K9/SER_hh_fec_in!K9)</f>
        <v>0.57318989633143569</v>
      </c>
      <c r="L9" s="136">
        <f>IF(SER_hh_tes_in!L9=0,"",SER_hh_tes_in!L9/SER_hh_fec_in!L9)</f>
        <v>0.58077939914482202</v>
      </c>
      <c r="M9" s="136">
        <f>IF(SER_hh_tes_in!M9=0,"",SER_hh_tes_in!M9/SER_hh_fec_in!M9)</f>
        <v>0.59481754559306721</v>
      </c>
      <c r="N9" s="136">
        <f>IF(SER_hh_tes_in!N9=0,"",SER_hh_tes_in!N9/SER_hh_fec_in!N9)</f>
        <v>0.61705234119913532</v>
      </c>
      <c r="O9" s="136">
        <f>IF(SER_hh_tes_in!O9=0,"",SER_hh_tes_in!O9/SER_hh_fec_in!O9)</f>
        <v>0.64864639288292669</v>
      </c>
      <c r="P9" s="136">
        <f>IF(SER_hh_tes_in!P9=0,"",SER_hh_tes_in!P9/SER_hh_fec_in!P9)</f>
        <v>0.68585218167073003</v>
      </c>
      <c r="Q9" s="136" t="str">
        <f>IF(SER_hh_tes_in!Q9=0,"",SER_hh_tes_in!Q9/SER_hh_fec_in!Q9)</f>
        <v/>
      </c>
      <c r="R9" s="136" t="str">
        <f>IF(SER_hh_tes_in!R9=0,"",SER_hh_tes_in!R9/SER_hh_fec_in!R9)</f>
        <v/>
      </c>
      <c r="S9" s="136">
        <f>IF(SER_hh_tes_in!S9=0,"",SER_hh_tes_in!S9/SER_hh_fec_in!S9)</f>
        <v>0.74525357932769221</v>
      </c>
      <c r="T9" s="136">
        <f>IF(SER_hh_tes_in!T9=0,"",SER_hh_tes_in!T9/SER_hh_fec_in!T9)</f>
        <v>0.75510117151412282</v>
      </c>
      <c r="U9" s="136">
        <f>IF(SER_hh_tes_in!U9=0,"",SER_hh_tes_in!U9/SER_hh_fec_in!U9)</f>
        <v>0.76365533127870888</v>
      </c>
      <c r="V9" s="136">
        <f>IF(SER_hh_tes_in!V9=0,"",SER_hh_tes_in!V9/SER_hh_fec_in!V9)</f>
        <v>0.7714119258965616</v>
      </c>
      <c r="W9" s="136">
        <f>IF(SER_hh_tes_in!W9=0,"",SER_hh_tes_in!W9/SER_hh_fec_in!W9)</f>
        <v>0.77718118491597754</v>
      </c>
      <c r="X9" s="136">
        <f>IF(SER_hh_tes_in!X9=0,"",SER_hh_tes_in!X9/SER_hh_fec_in!X9)</f>
        <v>0.78081378495680342</v>
      </c>
      <c r="Y9" s="136" t="str">
        <f>IF(SER_hh_tes_in!Y9=0,"",SER_hh_tes_in!Y9/SER_hh_fec_in!Y9)</f>
        <v/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0.53851685825633955</v>
      </c>
      <c r="D10" s="136">
        <f>IF(SER_hh_tes_in!D10=0,"",SER_hh_tes_in!D10/SER_hh_fec_in!D10)</f>
        <v>0.53878885962456968</v>
      </c>
      <c r="E10" s="136">
        <f>IF(SER_hh_tes_in!E10=0,"",SER_hh_tes_in!E10/SER_hh_fec_in!E10)</f>
        <v>0.5390634504138605</v>
      </c>
      <c r="F10" s="136">
        <f>IF(SER_hh_tes_in!F10=0,"",SER_hh_tes_in!F10/SER_hh_fec_in!F10)</f>
        <v>0.53934036206072189</v>
      </c>
      <c r="G10" s="136">
        <f>IF(SER_hh_tes_in!G10=0,"",SER_hh_tes_in!G10/SER_hh_fec_in!G10)</f>
        <v>0.53961932134970603</v>
      </c>
      <c r="H10" s="136">
        <f>IF(SER_hh_tes_in!H10=0,"",SER_hh_tes_in!H10/SER_hh_fec_in!H10)</f>
        <v>0.53990000652902492</v>
      </c>
      <c r="I10" s="136">
        <f>IF(SER_hh_tes_in!I10=0,"",SER_hh_tes_in!I10/SER_hh_fec_in!I10)</f>
        <v>0.54018199317222249</v>
      </c>
      <c r="J10" s="136">
        <f>IF(SER_hh_tes_in!J10=0,"",SER_hh_tes_in!J10/SER_hh_fec_in!J10)</f>
        <v>0.54046436446271351</v>
      </c>
      <c r="K10" s="136">
        <f>IF(SER_hh_tes_in!K10=0,"",SER_hh_tes_in!K10/SER_hh_fec_in!K10)</f>
        <v>0.54074590809736101</v>
      </c>
      <c r="L10" s="136">
        <f>IF(SER_hh_tes_in!L10=0,"",SER_hh_tes_in!L10/SER_hh_fec_in!L10)</f>
        <v>0.54102554809210823</v>
      </c>
      <c r="M10" s="136">
        <f>IF(SER_hh_tes_in!M10=0,"",SER_hh_tes_in!M10/SER_hh_fec_in!M10)</f>
        <v>0.54128242042916952</v>
      </c>
      <c r="N10" s="136">
        <f>IF(SER_hh_tes_in!N10=0,"",SER_hh_tes_in!N10/SER_hh_fec_in!N10)</f>
        <v>0.54150510871870505</v>
      </c>
      <c r="O10" s="136">
        <f>IF(SER_hh_tes_in!O10=0,"",SER_hh_tes_in!O10/SER_hh_fec_in!O10)</f>
        <v>0.54168701937150687</v>
      </c>
      <c r="P10" s="136">
        <f>IF(SER_hh_tes_in!P10=0,"",SER_hh_tes_in!P10/SER_hh_fec_in!P10)</f>
        <v>0.54184391132639431</v>
      </c>
      <c r="Q10" s="136">
        <f>IF(SER_hh_tes_in!Q10=0,"",SER_hh_tes_in!Q10/SER_hh_fec_in!Q10)</f>
        <v>0.54203111276177884</v>
      </c>
      <c r="R10" s="136">
        <f>IF(SER_hh_tes_in!R10=0,"",SER_hh_tes_in!R10/SER_hh_fec_in!R10)</f>
        <v>0.54231151630180929</v>
      </c>
      <c r="S10" s="136">
        <f>IF(SER_hh_tes_in!S10=0,"",SER_hh_tes_in!S10/SER_hh_fec_in!S10)</f>
        <v>0.54262710713654572</v>
      </c>
      <c r="T10" s="136">
        <f>IF(SER_hh_tes_in!T10=0,"",SER_hh_tes_in!T10/SER_hh_fec_in!T10)</f>
        <v>0.54294543744253021</v>
      </c>
      <c r="U10" s="136">
        <f>IF(SER_hh_tes_in!U10=0,"",SER_hh_tes_in!U10/SER_hh_fec_in!U10)</f>
        <v>0.54323949473242616</v>
      </c>
      <c r="V10" s="136">
        <f>IF(SER_hh_tes_in!V10=0,"",SER_hh_tes_in!V10/SER_hh_fec_in!V10)</f>
        <v>0.54348615656690824</v>
      </c>
      <c r="W10" s="136" t="str">
        <f>IF(SER_hh_tes_in!W10=0,"",SER_hh_tes_in!W10/SER_hh_fec_in!W10)</f>
        <v/>
      </c>
      <c r="X10" s="136" t="str">
        <f>IF(SER_hh_tes_in!X10=0,"",SER_hh_tes_in!X10/SER_hh_fec_in!X10)</f>
        <v/>
      </c>
      <c r="Y10" s="136">
        <f>IF(SER_hh_tes_in!Y10=0,"",SER_hh_tes_in!Y10/SER_hh_fec_in!Y10)</f>
        <v>0.55383974362308963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 t="str">
        <f>IF(SER_hh_tes_in!I11=0,"",SER_hh_tes_in!I11/SER_hh_fec_in!I11)</f>
        <v/>
      </c>
      <c r="J11" s="136" t="str">
        <f>IF(SER_hh_tes_in!J11=0,"",SER_hh_tes_in!J11/SER_hh_fec_in!J11)</f>
        <v/>
      </c>
      <c r="K11" s="136" t="str">
        <f>IF(SER_hh_tes_in!K11=0,"",SER_hh_tes_in!K11/SER_hh_fec_in!K11)</f>
        <v/>
      </c>
      <c r="L11" s="136" t="str">
        <f>IF(SER_hh_tes_in!L11=0,"",SER_hh_tes_in!L11/SER_hh_fec_in!L11)</f>
        <v/>
      </c>
      <c r="M11" s="136" t="str">
        <f>IF(SER_hh_tes_in!M11=0,"",SER_hh_tes_in!M11/SER_hh_fec_in!M11)</f>
        <v/>
      </c>
      <c r="N11" s="136" t="str">
        <f>IF(SER_hh_tes_in!N11=0,"",SER_hh_tes_in!N11/SER_hh_fec_in!N11)</f>
        <v/>
      </c>
      <c r="O11" s="136" t="str">
        <f>IF(SER_hh_tes_in!O11=0,"",SER_hh_tes_in!O11/SER_hh_fec_in!O11)</f>
        <v/>
      </c>
      <c r="P11" s="136" t="str">
        <f>IF(SER_hh_tes_in!P11=0,"",SER_hh_tes_in!P11/SER_hh_fec_in!P11)</f>
        <v/>
      </c>
      <c r="Q11" s="136" t="str">
        <f>IF(SER_hh_tes_in!Q11=0,"",SER_hh_tes_in!Q11/SER_hh_fec_in!Q11)</f>
        <v/>
      </c>
      <c r="R11" s="136" t="str">
        <f>IF(SER_hh_tes_in!R11=0,"",SER_hh_tes_in!R11/SER_hh_fec_in!R11)</f>
        <v/>
      </c>
      <c r="S11" s="136" t="str">
        <f>IF(SER_hh_tes_in!S11=0,"",SER_hh_tes_in!S11/SER_hh_fec_in!S11)</f>
        <v/>
      </c>
      <c r="T11" s="136" t="str">
        <f>IF(SER_hh_tes_in!T11=0,"",SER_hh_tes_in!T11/SER_hh_fec_in!T11)</f>
        <v/>
      </c>
      <c r="U11" s="136" t="str">
        <f>IF(SER_hh_tes_in!U11=0,"",SER_hh_tes_in!U11/SER_hh_fec_in!U11)</f>
        <v/>
      </c>
      <c r="V11" s="136" t="str">
        <f>IF(SER_hh_tes_in!V11=0,"",SER_hh_tes_in!V11/SER_hh_fec_in!V11)</f>
        <v/>
      </c>
      <c r="W11" s="136" t="str">
        <f>IF(SER_hh_tes_in!W11=0,"",SER_hh_tes_in!W11/SER_hh_fec_in!W11)</f>
        <v/>
      </c>
      <c r="X11" s="136" t="str">
        <f>IF(SER_hh_tes_in!X11=0,"",SER_hh_tes_in!X11/SER_hh_fec_in!X11)</f>
        <v/>
      </c>
      <c r="Y11" s="136" t="str">
        <f>IF(SER_hh_tes_in!Y11=0,"",SER_hh_tes_in!Y11/SER_hh_fec_in!Y11)</f>
        <v/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0.78869438246642243</v>
      </c>
      <c r="D12" s="136">
        <f>IF(SER_hh_tes_in!D12=0,"",SER_hh_tes_in!D12/SER_hh_fec_in!D12)</f>
        <v>0.79044032023492261</v>
      </c>
      <c r="E12" s="136">
        <f>IF(SER_hh_tes_in!E12=0,"",SER_hh_tes_in!E12/SER_hh_fec_in!E12)</f>
        <v>0.79223339376817026</v>
      </c>
      <c r="F12" s="136">
        <f>IF(SER_hh_tes_in!F12=0,"",SER_hh_tes_in!F12/SER_hh_fec_in!F12)</f>
        <v>0.79403289490570161</v>
      </c>
      <c r="G12" s="136">
        <f>IF(SER_hh_tes_in!G12=0,"",SER_hh_tes_in!G12/SER_hh_fec_in!G12)</f>
        <v>0.79587580531008484</v>
      </c>
      <c r="H12" s="136">
        <f>IF(SER_hh_tes_in!H12=0,"",SER_hh_tes_in!H12/SER_hh_fec_in!H12)</f>
        <v>0.79775759889662479</v>
      </c>
      <c r="I12" s="136">
        <f>IF(SER_hh_tes_in!I12=0,"",SER_hh_tes_in!I12/SER_hh_fec_in!I12)</f>
        <v>0.79968738794805883</v>
      </c>
      <c r="J12" s="136">
        <f>IF(SER_hh_tes_in!J12=0,"",SER_hh_tes_in!J12/SER_hh_fec_in!J12)</f>
        <v>0.80170250227041573</v>
      </c>
      <c r="K12" s="136">
        <f>IF(SER_hh_tes_in!K12=0,"",SER_hh_tes_in!K12/SER_hh_fec_in!K12)</f>
        <v>0.80383468201772634</v>
      </c>
      <c r="L12" s="136">
        <f>IF(SER_hh_tes_in!L12=0,"",SER_hh_tes_in!L12/SER_hh_fec_in!L12)</f>
        <v>0.80609241898247463</v>
      </c>
      <c r="M12" s="136">
        <f>IF(SER_hh_tes_in!M12=0,"",SER_hh_tes_in!M12/SER_hh_fec_in!M12)</f>
        <v>0.80921853766827712</v>
      </c>
      <c r="N12" s="136">
        <f>IF(SER_hh_tes_in!N12=0,"",SER_hh_tes_in!N12/SER_hh_fec_in!N12)</f>
        <v>0.81344790054776994</v>
      </c>
      <c r="O12" s="136">
        <f>IF(SER_hh_tes_in!O12=0,"",SER_hh_tes_in!O12/SER_hh_fec_in!O12)</f>
        <v>0.81898639311737986</v>
      </c>
      <c r="P12" s="136">
        <f>IF(SER_hh_tes_in!P12=0,"",SER_hh_tes_in!P12/SER_hh_fec_in!P12)</f>
        <v>0.8254423031252146</v>
      </c>
      <c r="Q12" s="136">
        <f>IF(SER_hh_tes_in!Q12=0,"",SER_hh_tes_in!Q12/SER_hh_fec_in!Q12)</f>
        <v>0.83153330609252296</v>
      </c>
      <c r="R12" s="136">
        <f>IF(SER_hh_tes_in!R12=0,"",SER_hh_tes_in!R12/SER_hh_fec_in!R12)</f>
        <v>0.83620063837386382</v>
      </c>
      <c r="S12" s="136">
        <f>IF(SER_hh_tes_in!S12=0,"",SER_hh_tes_in!S12/SER_hh_fec_in!S12)</f>
        <v>0.8407411724535836</v>
      </c>
      <c r="T12" s="136">
        <f>IF(SER_hh_tes_in!T12=0,"",SER_hh_tes_in!T12/SER_hh_fec_in!T12)</f>
        <v>0.84512457042983191</v>
      </c>
      <c r="U12" s="136">
        <f>IF(SER_hh_tes_in!U12=0,"",SER_hh_tes_in!U12/SER_hh_fec_in!U12)</f>
        <v>0.84932049440077195</v>
      </c>
      <c r="V12" s="136">
        <f>IF(SER_hh_tes_in!V12=0,"",SER_hh_tes_in!V12/SER_hh_fec_in!V12)</f>
        <v>0.85329860646456168</v>
      </c>
      <c r="W12" s="136">
        <f>IF(SER_hh_tes_in!W12=0,"",SER_hh_tes_in!W12/SER_hh_fec_in!W12)</f>
        <v>0.85696321443716461</v>
      </c>
      <c r="X12" s="136">
        <f>IF(SER_hh_tes_in!X12=0,"",SER_hh_tes_in!X12/SER_hh_fec_in!X12)</f>
        <v>0.86152461894751653</v>
      </c>
      <c r="Y12" s="136">
        <f>IF(SER_hh_tes_in!Y12=0,"",SER_hh_tes_in!Y12/SER_hh_fec_in!Y12)</f>
        <v>0.86590787998940688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1.5539015595815964</v>
      </c>
      <c r="D13" s="136">
        <f>IF(SER_hh_tes_in!D13=0,"",SER_hh_tes_in!D13/SER_hh_fec_in!D13)</f>
        <v>1.6514771758167319</v>
      </c>
      <c r="E13" s="136">
        <f>IF(SER_hh_tes_in!E13=0,"",SER_hh_tes_in!E13/SER_hh_fec_in!E13)</f>
        <v>1.7506956061297876</v>
      </c>
      <c r="F13" s="136">
        <f>IF(SER_hh_tes_in!F13=0,"",SER_hh_tes_in!F13/SER_hh_fec_in!F13)</f>
        <v>1.8506003113242864</v>
      </c>
      <c r="G13" s="136">
        <f>IF(SER_hh_tes_in!G13=0,"",SER_hh_tes_in!G13/SER_hh_fec_in!G13)</f>
        <v>1.9520628210632995</v>
      </c>
      <c r="H13" s="136">
        <f>IF(SER_hh_tes_in!H13=0,"",SER_hh_tes_in!H13/SER_hh_fec_in!H13)</f>
        <v>2.0549782915316754</v>
      </c>
      <c r="I13" s="136">
        <f>IF(SER_hh_tes_in!I13=0,"",SER_hh_tes_in!I13/SER_hh_fec_in!I13)</f>
        <v>2.1595633738477078</v>
      </c>
      <c r="J13" s="136">
        <f>IF(SER_hh_tes_in!J13=0,"",SER_hh_tes_in!J13/SER_hh_fec_in!J13)</f>
        <v>2.2667013866731098</v>
      </c>
      <c r="K13" s="136">
        <f>IF(SER_hh_tes_in!K13=0,"",SER_hh_tes_in!K13/SER_hh_fec_in!K13)</f>
        <v>2.3771461148760218</v>
      </c>
      <c r="L13" s="136">
        <f>IF(SER_hh_tes_in!L13=0,"",SER_hh_tes_in!L13/SER_hh_fec_in!L13)</f>
        <v>2.4911042001311343</v>
      </c>
      <c r="M13" s="136">
        <f>IF(SER_hh_tes_in!M13=0,"",SER_hh_tes_in!M13/SER_hh_fec_in!M13)</f>
        <v>2.6304513520170714</v>
      </c>
      <c r="N13" s="136">
        <f>IF(SER_hh_tes_in!N13=0,"",SER_hh_tes_in!N13/SER_hh_fec_in!N13)</f>
        <v>2.8027311751795345</v>
      </c>
      <c r="O13" s="136">
        <f>IF(SER_hh_tes_in!O13=0,"",SER_hh_tes_in!O13/SER_hh_fec_in!O13)</f>
        <v>3.0105353036512943</v>
      </c>
      <c r="P13" s="136">
        <f>IF(SER_hh_tes_in!P13=0,"",SER_hh_tes_in!P13/SER_hh_fec_in!P13)</f>
        <v>3.2329105245000256</v>
      </c>
      <c r="Q13" s="136">
        <f>IF(SER_hh_tes_in!Q13=0,"",SER_hh_tes_in!Q13/SER_hh_fec_in!Q13)</f>
        <v>3.4058446229391244</v>
      </c>
      <c r="R13" s="136">
        <f>IF(SER_hh_tes_in!R13=0,"",SER_hh_tes_in!R13/SER_hh_fec_in!R13)</f>
        <v>3.5662077619662926</v>
      </c>
      <c r="S13" s="136">
        <f>IF(SER_hh_tes_in!S13=0,"",SER_hh_tes_in!S13/SER_hh_fec_in!S13)</f>
        <v>3.670064585595564</v>
      </c>
      <c r="T13" s="136">
        <f>IF(SER_hh_tes_in!T13=0,"",SER_hh_tes_in!T13/SER_hh_fec_in!T13)</f>
        <v>3.7348066147063261</v>
      </c>
      <c r="U13" s="136">
        <f>IF(SER_hh_tes_in!U13=0,"",SER_hh_tes_in!U13/SER_hh_fec_in!U13)</f>
        <v>3.7783596069636807</v>
      </c>
      <c r="V13" s="136">
        <f>IF(SER_hh_tes_in!V13=0,"",SER_hh_tes_in!V13/SER_hh_fec_in!V13)</f>
        <v>3.8184248546333492</v>
      </c>
      <c r="W13" s="136">
        <f>IF(SER_hh_tes_in!W13=0,"",SER_hh_tes_in!W13/SER_hh_fec_in!W13)</f>
        <v>3.8585133051561784</v>
      </c>
      <c r="X13" s="136">
        <f>IF(SER_hh_tes_in!X13=0,"",SER_hh_tes_in!X13/SER_hh_fec_in!X13)</f>
        <v>3.8921091472293692</v>
      </c>
      <c r="Y13" s="136">
        <f>IF(SER_hh_tes_in!Y13=0,"",SER_hh_tes_in!Y13/SER_hh_fec_in!Y13)</f>
        <v>3.9209246675053429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0.71601846667418279</v>
      </c>
      <c r="D14" s="137">
        <f>IF(SER_hh_tes_in!D14=0,"",SER_hh_tes_in!D14/SER_hh_fec_in!D14)</f>
        <v>0.72039387362256735</v>
      </c>
      <c r="E14" s="137">
        <f>IF(SER_hh_tes_in!E14=0,"",SER_hh_tes_in!E14/SER_hh_fec_in!E14)</f>
        <v>0.72475709363939178</v>
      </c>
      <c r="F14" s="137">
        <f>IF(SER_hh_tes_in!F14=0,"",SER_hh_tes_in!F14/SER_hh_fec_in!F14)</f>
        <v>0.7291182269810107</v>
      </c>
      <c r="G14" s="137">
        <f>IF(SER_hh_tes_in!G14=0,"",SER_hh_tes_in!G14/SER_hh_fec_in!G14)</f>
        <v>0.73346814492579282</v>
      </c>
      <c r="H14" s="137">
        <f>IF(SER_hh_tes_in!H14=0,"",SER_hh_tes_in!H14/SER_hh_fec_in!H14)</f>
        <v>0.73780799928002683</v>
      </c>
      <c r="I14" s="137">
        <f>IF(SER_hh_tes_in!I14=0,"",SER_hh_tes_in!I14/SER_hh_fec_in!I14)</f>
        <v>0.74213557814605235</v>
      </c>
      <c r="J14" s="137">
        <f>IF(SER_hh_tes_in!J14=0,"",SER_hh_tes_in!J14/SER_hh_fec_in!J14)</f>
        <v>0.74644173974139372</v>
      </c>
      <c r="K14" s="137">
        <f>IF(SER_hh_tes_in!K14=0,"",SER_hh_tes_in!K14/SER_hh_fec_in!K14)</f>
        <v>0.7507187712764084</v>
      </c>
      <c r="L14" s="137">
        <f>IF(SER_hh_tes_in!L14=0,"",SER_hh_tes_in!L14/SER_hh_fec_in!L14)</f>
        <v>0.75496472172423579</v>
      </c>
      <c r="M14" s="137">
        <f>IF(SER_hh_tes_in!M14=0,"",SER_hh_tes_in!M14/SER_hh_fec_in!M14)</f>
        <v>0.75839842791671008</v>
      </c>
      <c r="N14" s="137">
        <f>IF(SER_hh_tes_in!N14=0,"",SER_hh_tes_in!N14/SER_hh_fec_in!N14)</f>
        <v>0.76073765208596056</v>
      </c>
      <c r="O14" s="137">
        <f>IF(SER_hh_tes_in!O14=0,"",SER_hh_tes_in!O14/SER_hh_fec_in!O14)</f>
        <v>0.76235563708095866</v>
      </c>
      <c r="P14" s="137">
        <f>IF(SER_hh_tes_in!P14=0,"",SER_hh_tes_in!P14/SER_hh_fec_in!P14)</f>
        <v>0.76488955460286312</v>
      </c>
      <c r="Q14" s="137">
        <f>IF(SER_hh_tes_in!Q14=0,"",SER_hh_tes_in!Q14/SER_hh_fec_in!Q14)</f>
        <v>0.7727864712139727</v>
      </c>
      <c r="R14" s="137">
        <f>IF(SER_hh_tes_in!R14=0,"",SER_hh_tes_in!R14/SER_hh_fec_in!R14)</f>
        <v>0.79128192052711288</v>
      </c>
      <c r="S14" s="137">
        <f>IF(SER_hh_tes_in!S14=0,"",SER_hh_tes_in!S14/SER_hh_fec_in!S14)</f>
        <v>0.81619885747392873</v>
      </c>
      <c r="T14" s="137">
        <f>IF(SER_hh_tes_in!T14=0,"",SER_hh_tes_in!T14/SER_hh_fec_in!T14)</f>
        <v>0.84411341036987431</v>
      </c>
      <c r="U14" s="137">
        <f>IF(SER_hh_tes_in!U14=0,"",SER_hh_tes_in!U14/SER_hh_fec_in!U14)</f>
        <v>0.87163312503789936</v>
      </c>
      <c r="V14" s="137">
        <f>IF(SER_hh_tes_in!V14=0,"",SER_hh_tes_in!V14/SER_hh_fec_in!V14)</f>
        <v>0.89536220699550195</v>
      </c>
      <c r="W14" s="137">
        <f>IF(SER_hh_tes_in!W14=0,"",SER_hh_tes_in!W14/SER_hh_fec_in!W14)</f>
        <v>0.91462902588743245</v>
      </c>
      <c r="X14" s="137">
        <f>IF(SER_hh_tes_in!X14=0,"",SER_hh_tes_in!X14/SER_hh_fec_in!X14)</f>
        <v>0.92747118349844704</v>
      </c>
      <c r="Y14" s="137">
        <f>IF(SER_hh_tes_in!Y14=0,"",SER_hh_tes_in!Y14/SER_hh_fec_in!Y14)</f>
        <v>0.93958426295353648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2.5486069136120326</v>
      </c>
      <c r="D16" s="135">
        <f>IF(SER_hh_tes_in!D16=0,"",SER_hh_tes_in!D16/SER_hh_fec_in!D16)</f>
        <v>2.6632604762188152</v>
      </c>
      <c r="E16" s="135">
        <f>IF(SER_hh_tes_in!E16=0,"",SER_hh_tes_in!E16/SER_hh_fec_in!E16)</f>
        <v>2.7796329161964546</v>
      </c>
      <c r="F16" s="135">
        <f>IF(SER_hh_tes_in!F16=0,"",SER_hh_tes_in!F16/SER_hh_fec_in!F16)</f>
        <v>2.8969400082795369</v>
      </c>
      <c r="G16" s="135">
        <f>IF(SER_hh_tes_in!G16=0,"",SER_hh_tes_in!G16/SER_hh_fec_in!G16)</f>
        <v>3.015861350535352</v>
      </c>
      <c r="H16" s="135">
        <f>IF(SER_hh_tes_in!H16=0,"",SER_hh_tes_in!H16/SER_hh_fec_in!H16)</f>
        <v>3.1362901362344897</v>
      </c>
      <c r="I16" s="135">
        <f>IF(SER_hh_tes_in!I16=0,"",SER_hh_tes_in!I16/SER_hh_fec_in!I16)</f>
        <v>3.2583688220492228</v>
      </c>
      <c r="J16" s="135">
        <f>IF(SER_hh_tes_in!J16=0,"",SER_hh_tes_in!J16/SER_hh_fec_in!J16)</f>
        <v>3.3827358880743681</v>
      </c>
      <c r="K16" s="135">
        <f>IF(SER_hh_tes_in!K16=0,"",SER_hh_tes_in!K16/SER_hh_fec_in!K16)</f>
        <v>3.50989706378137</v>
      </c>
      <c r="L16" s="135">
        <f>IF(SER_hh_tes_in!L16=0,"",SER_hh_tes_in!L16/SER_hh_fec_in!L16)</f>
        <v>3.6399194143411187</v>
      </c>
      <c r="M16" s="135">
        <f>IF(SER_hh_tes_in!M16=0,"",SER_hh_tes_in!M16/SER_hh_fec_in!M16)</f>
        <v>3.7889154441551982</v>
      </c>
      <c r="N16" s="135">
        <f>IF(SER_hh_tes_in!N16=0,"",SER_hh_tes_in!N16/SER_hh_fec_in!N16)</f>
        <v>3.961668216053523</v>
      </c>
      <c r="O16" s="135">
        <f>IF(SER_hh_tes_in!O16=0,"",SER_hh_tes_in!O16/SER_hh_fec_in!O16)</f>
        <v>4.1578695561773893</v>
      </c>
      <c r="P16" s="135">
        <f>IF(SER_hh_tes_in!P16=0,"",SER_hh_tes_in!P16/SER_hh_fec_in!P16)</f>
        <v>4.3584251494837334</v>
      </c>
      <c r="Q16" s="135">
        <f>IF(SER_hh_tes_in!Q16=0,"",SER_hh_tes_in!Q16/SER_hh_fec_in!Q16)</f>
        <v>4.5123484923883517</v>
      </c>
      <c r="R16" s="135">
        <f>IF(SER_hh_tes_in!R16=0,"",SER_hh_tes_in!R16/SER_hh_fec_in!R16)</f>
        <v>4.6509317905747656</v>
      </c>
      <c r="S16" s="135">
        <f>IF(SER_hh_tes_in!S16=0,"",SER_hh_tes_in!S16/SER_hh_fec_in!S16)</f>
        <v>4.7219529808120129</v>
      </c>
      <c r="T16" s="135">
        <f>IF(SER_hh_tes_in!T16=0,"",SER_hh_tes_in!T16/SER_hh_fec_in!T16)</f>
        <v>4.7676609745417746</v>
      </c>
      <c r="U16" s="135">
        <f>IF(SER_hh_tes_in!U16=0,"",SER_hh_tes_in!U16/SER_hh_fec_in!U16)</f>
        <v>4.8001187328471335</v>
      </c>
      <c r="V16" s="135">
        <f>IF(SER_hh_tes_in!V16=0,"",SER_hh_tes_in!V16/SER_hh_fec_in!V16)</f>
        <v>4.8322418318858436</v>
      </c>
      <c r="W16" s="135">
        <f>IF(SER_hh_tes_in!W16=0,"",SER_hh_tes_in!W16/SER_hh_fec_in!W16)</f>
        <v>4.8652940598919523</v>
      </c>
      <c r="X16" s="135">
        <f>IF(SER_hh_tes_in!X16=0,"",SER_hh_tes_in!X16/SER_hh_fec_in!X16)</f>
        <v>4.8894448328618427</v>
      </c>
      <c r="Y16" s="135">
        <f>IF(SER_hh_tes_in!Y16=0,"",SER_hh_tes_in!Y16/SER_hh_fec_in!Y16)</f>
        <v>4.9104557465240166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 t="str">
        <f>IF(SER_hh_tes_in!C17=0,"",SER_hh_tes_in!C17/SER_hh_fec_in!C17)</f>
        <v/>
      </c>
      <c r="D17" s="136" t="str">
        <f>IF(SER_hh_tes_in!D17=0,"",SER_hh_tes_in!D17/SER_hh_fec_in!D17)</f>
        <v/>
      </c>
      <c r="E17" s="136" t="str">
        <f>IF(SER_hh_tes_in!E17=0,"",SER_hh_tes_in!E17/SER_hh_fec_in!E17)</f>
        <v/>
      </c>
      <c r="F17" s="136" t="str">
        <f>IF(SER_hh_tes_in!F17=0,"",SER_hh_tes_in!F17/SER_hh_fec_in!F17)</f>
        <v/>
      </c>
      <c r="G17" s="136" t="str">
        <f>IF(SER_hh_tes_in!G17=0,"",SER_hh_tes_in!G17/SER_hh_fec_in!G17)</f>
        <v/>
      </c>
      <c r="H17" s="136" t="str">
        <f>IF(SER_hh_tes_in!H17=0,"",SER_hh_tes_in!H17/SER_hh_fec_in!H17)</f>
        <v/>
      </c>
      <c r="I17" s="136" t="str">
        <f>IF(SER_hh_tes_in!I17=0,"",SER_hh_tes_in!I17/SER_hh_fec_in!I17)</f>
        <v/>
      </c>
      <c r="J17" s="136" t="str">
        <f>IF(SER_hh_tes_in!J17=0,"",SER_hh_tes_in!J17/SER_hh_fec_in!J17)</f>
        <v/>
      </c>
      <c r="K17" s="136" t="str">
        <f>IF(SER_hh_tes_in!K17=0,"",SER_hh_tes_in!K17/SER_hh_fec_in!K17)</f>
        <v/>
      </c>
      <c r="L17" s="136" t="str">
        <f>IF(SER_hh_tes_in!L17=0,"",SER_hh_tes_in!L17/SER_hh_fec_in!L17)</f>
        <v/>
      </c>
      <c r="M17" s="136" t="str">
        <f>IF(SER_hh_tes_in!M17=0,"",SER_hh_tes_in!M17/SER_hh_fec_in!M17)</f>
        <v/>
      </c>
      <c r="N17" s="136" t="str">
        <f>IF(SER_hh_tes_in!N17=0,"",SER_hh_tes_in!N17/SER_hh_fec_in!N17)</f>
        <v/>
      </c>
      <c r="O17" s="136" t="str">
        <f>IF(SER_hh_tes_in!O17=0,"",SER_hh_tes_in!O17/SER_hh_fec_in!O17)</f>
        <v/>
      </c>
      <c r="P17" s="136" t="str">
        <f>IF(SER_hh_tes_in!P17=0,"",SER_hh_tes_in!P17/SER_hh_fec_in!P17)</f>
        <v/>
      </c>
      <c r="Q17" s="136" t="str">
        <f>IF(SER_hh_tes_in!Q17=0,"",SER_hh_tes_in!Q17/SER_hh_fec_in!Q17)</f>
        <v/>
      </c>
      <c r="R17" s="136" t="str">
        <f>IF(SER_hh_tes_in!R17=0,"",SER_hh_tes_in!R17/SER_hh_fec_in!R17)</f>
        <v/>
      </c>
      <c r="S17" s="136" t="str">
        <f>IF(SER_hh_tes_in!S17=0,"",SER_hh_tes_in!S17/SER_hh_fec_in!S17)</f>
        <v/>
      </c>
      <c r="T17" s="136" t="str">
        <f>IF(SER_hh_tes_in!T17=0,"",SER_hh_tes_in!T17/SER_hh_fec_in!T17)</f>
        <v/>
      </c>
      <c r="U17" s="136" t="str">
        <f>IF(SER_hh_tes_in!U17=0,"",SER_hh_tes_in!U17/SER_hh_fec_in!U17)</f>
        <v/>
      </c>
      <c r="V17" s="136" t="str">
        <f>IF(SER_hh_tes_in!V17=0,"",SER_hh_tes_in!V17/SER_hh_fec_in!V17)</f>
        <v/>
      </c>
      <c r="W17" s="136" t="str">
        <f>IF(SER_hh_tes_in!W17=0,"",SER_hh_tes_in!W17/SER_hh_fec_in!W17)</f>
        <v/>
      </c>
      <c r="X17" s="136" t="str">
        <f>IF(SER_hh_tes_in!X17=0,"",SER_hh_tes_in!X17/SER_hh_fec_in!X17)</f>
        <v/>
      </c>
      <c r="Y17" s="136" t="str">
        <f>IF(SER_hh_tes_in!Y17=0,"",SER_hh_tes_in!Y17/SER_hh_fec_in!Y17)</f>
        <v/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2.5486069136120326</v>
      </c>
      <c r="D18" s="136">
        <f>IF(SER_hh_tes_in!D18=0,"",SER_hh_tes_in!D18/SER_hh_fec_in!D18)</f>
        <v>2.6632604762188152</v>
      </c>
      <c r="E18" s="136">
        <f>IF(SER_hh_tes_in!E18=0,"",SER_hh_tes_in!E18/SER_hh_fec_in!E18)</f>
        <v>2.7796329161964546</v>
      </c>
      <c r="F18" s="136">
        <f>IF(SER_hh_tes_in!F18=0,"",SER_hh_tes_in!F18/SER_hh_fec_in!F18)</f>
        <v>2.8969400082795369</v>
      </c>
      <c r="G18" s="136">
        <f>IF(SER_hh_tes_in!G18=0,"",SER_hh_tes_in!G18/SER_hh_fec_in!G18)</f>
        <v>3.015861350535352</v>
      </c>
      <c r="H18" s="136">
        <f>IF(SER_hh_tes_in!H18=0,"",SER_hh_tes_in!H18/SER_hh_fec_in!H18)</f>
        <v>3.1362901362344897</v>
      </c>
      <c r="I18" s="136">
        <f>IF(SER_hh_tes_in!I18=0,"",SER_hh_tes_in!I18/SER_hh_fec_in!I18)</f>
        <v>3.2583688220492228</v>
      </c>
      <c r="J18" s="136">
        <f>IF(SER_hh_tes_in!J18=0,"",SER_hh_tes_in!J18/SER_hh_fec_in!J18)</f>
        <v>3.3827358880743681</v>
      </c>
      <c r="K18" s="136">
        <f>IF(SER_hh_tes_in!K18=0,"",SER_hh_tes_in!K18/SER_hh_fec_in!K18)</f>
        <v>3.50989706378137</v>
      </c>
      <c r="L18" s="136">
        <f>IF(SER_hh_tes_in!L18=0,"",SER_hh_tes_in!L18/SER_hh_fec_in!L18)</f>
        <v>3.6399194143411187</v>
      </c>
      <c r="M18" s="136">
        <f>IF(SER_hh_tes_in!M18=0,"",SER_hh_tes_in!M18/SER_hh_fec_in!M18)</f>
        <v>3.7889154441551982</v>
      </c>
      <c r="N18" s="136">
        <f>IF(SER_hh_tes_in!N18=0,"",SER_hh_tes_in!N18/SER_hh_fec_in!N18)</f>
        <v>3.961668216053523</v>
      </c>
      <c r="O18" s="136">
        <f>IF(SER_hh_tes_in!O18=0,"",SER_hh_tes_in!O18/SER_hh_fec_in!O18)</f>
        <v>4.1578695561773893</v>
      </c>
      <c r="P18" s="136">
        <f>IF(SER_hh_tes_in!P18=0,"",SER_hh_tes_in!P18/SER_hh_fec_in!P18)</f>
        <v>4.3584251494837334</v>
      </c>
      <c r="Q18" s="136">
        <f>IF(SER_hh_tes_in!Q18=0,"",SER_hh_tes_in!Q18/SER_hh_fec_in!Q18)</f>
        <v>4.5123484923883517</v>
      </c>
      <c r="R18" s="136">
        <f>IF(SER_hh_tes_in!R18=0,"",SER_hh_tes_in!R18/SER_hh_fec_in!R18)</f>
        <v>4.6509317905747656</v>
      </c>
      <c r="S18" s="136">
        <f>IF(SER_hh_tes_in!S18=0,"",SER_hh_tes_in!S18/SER_hh_fec_in!S18)</f>
        <v>4.7219529808120129</v>
      </c>
      <c r="T18" s="136">
        <f>IF(SER_hh_tes_in!T18=0,"",SER_hh_tes_in!T18/SER_hh_fec_in!T18)</f>
        <v>4.7676609745417746</v>
      </c>
      <c r="U18" s="136">
        <f>IF(SER_hh_tes_in!U18=0,"",SER_hh_tes_in!U18/SER_hh_fec_in!U18)</f>
        <v>4.8001187328471335</v>
      </c>
      <c r="V18" s="136">
        <f>IF(SER_hh_tes_in!V18=0,"",SER_hh_tes_in!V18/SER_hh_fec_in!V18)</f>
        <v>4.8322418318858436</v>
      </c>
      <c r="W18" s="136">
        <f>IF(SER_hh_tes_in!W18=0,"",SER_hh_tes_in!W18/SER_hh_fec_in!W18)</f>
        <v>4.8652940598919523</v>
      </c>
      <c r="X18" s="136">
        <f>IF(SER_hh_tes_in!X18=0,"",SER_hh_tes_in!X18/SER_hh_fec_in!X18)</f>
        <v>4.8894448328618427</v>
      </c>
      <c r="Y18" s="136">
        <f>IF(SER_hh_tes_in!Y18=0,"",SER_hh_tes_in!Y18/SER_hh_fec_in!Y18)</f>
        <v>4.9104557465240166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0.67850036243504197</v>
      </c>
      <c r="D19" s="135">
        <f>IF(SER_hh_tes_in!D19=0,"",SER_hh_tes_in!D19/SER_hh_fec_in!D19)</f>
        <v>0.69213501714948578</v>
      </c>
      <c r="E19" s="135">
        <f>IF(SER_hh_tes_in!E19=0,"",SER_hh_tes_in!E19/SER_hh_fec_in!E19)</f>
        <v>0.71645908174615314</v>
      </c>
      <c r="F19" s="135">
        <f>IF(SER_hh_tes_in!F19=0,"",SER_hh_tes_in!F19/SER_hh_fec_in!F19)</f>
        <v>0.73462304720032645</v>
      </c>
      <c r="G19" s="135">
        <f>IF(SER_hh_tes_in!G19=0,"",SER_hh_tes_in!G19/SER_hh_fec_in!G19)</f>
        <v>0.73183667064700342</v>
      </c>
      <c r="H19" s="135">
        <f>IF(SER_hh_tes_in!H19=0,"",SER_hh_tes_in!H19/SER_hh_fec_in!H19)</f>
        <v>0.73944285791290099</v>
      </c>
      <c r="I19" s="135">
        <f>IF(SER_hh_tes_in!I19=0,"",SER_hh_tes_in!I19/SER_hh_fec_in!I19)</f>
        <v>0.72365692586289054</v>
      </c>
      <c r="J19" s="135">
        <f>IF(SER_hh_tes_in!J19=0,"",SER_hh_tes_in!J19/SER_hh_fec_in!J19)</f>
        <v>0.72481295279728353</v>
      </c>
      <c r="K19" s="135">
        <f>IF(SER_hh_tes_in!K19=0,"",SER_hh_tes_in!K19/SER_hh_fec_in!K19)</f>
        <v>0.72695279728104023</v>
      </c>
      <c r="L19" s="135">
        <f>IF(SER_hh_tes_in!L19=0,"",SER_hh_tes_in!L19/SER_hh_fec_in!L19)</f>
        <v>0.74224356310400474</v>
      </c>
      <c r="M19" s="135">
        <f>IF(SER_hh_tes_in!M19=0,"",SER_hh_tes_in!M19/SER_hh_fec_in!M19)</f>
        <v>0.7288658030960995</v>
      </c>
      <c r="N19" s="135">
        <f>IF(SER_hh_tes_in!N19=0,"",SER_hh_tes_in!N19/SER_hh_fec_in!N19)</f>
        <v>0.72428199958824058</v>
      </c>
      <c r="O19" s="135">
        <f>IF(SER_hh_tes_in!O19=0,"",SER_hh_tes_in!O19/SER_hh_fec_in!O19)</f>
        <v>0.74956332771495304</v>
      </c>
      <c r="P19" s="135">
        <f>IF(SER_hh_tes_in!P19=0,"",SER_hh_tes_in!P19/SER_hh_fec_in!P19)</f>
        <v>0.79729122698586286</v>
      </c>
      <c r="Q19" s="135">
        <f>IF(SER_hh_tes_in!Q19=0,"",SER_hh_tes_in!Q19/SER_hh_fec_in!Q19)</f>
        <v>0.80193923535126677</v>
      </c>
      <c r="R19" s="135">
        <f>IF(SER_hh_tes_in!R19=0,"",SER_hh_tes_in!R19/SER_hh_fec_in!R19)</f>
        <v>0.8233492557935651</v>
      </c>
      <c r="S19" s="135">
        <f>IF(SER_hh_tes_in!S19=0,"",SER_hh_tes_in!S19/SER_hh_fec_in!S19)</f>
        <v>0.83484377083264116</v>
      </c>
      <c r="T19" s="135">
        <f>IF(SER_hh_tes_in!T19=0,"",SER_hh_tes_in!T19/SER_hh_fec_in!T19)</f>
        <v>0.85420532862250886</v>
      </c>
      <c r="U19" s="135">
        <f>IF(SER_hh_tes_in!U19=0,"",SER_hh_tes_in!U19/SER_hh_fec_in!U19)</f>
        <v>0.87111335199081763</v>
      </c>
      <c r="V19" s="135">
        <f>IF(SER_hh_tes_in!V19=0,"",SER_hh_tes_in!V19/SER_hh_fec_in!V19)</f>
        <v>0.88496492877804134</v>
      </c>
      <c r="W19" s="135">
        <f>IF(SER_hh_tes_in!W19=0,"",SER_hh_tes_in!W19/SER_hh_fec_in!W19)</f>
        <v>0.8872808228032083</v>
      </c>
      <c r="X19" s="135">
        <f>IF(SER_hh_tes_in!X19=0,"",SER_hh_tes_in!X19/SER_hh_fec_in!X19)</f>
        <v>0.89263292607630462</v>
      </c>
      <c r="Y19" s="135">
        <f>IF(SER_hh_tes_in!Y19=0,"",SER_hh_tes_in!Y19/SER_hh_fec_in!Y19)</f>
        <v>0.90900352177651778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 t="str">
        <f>IF(SER_hh_tes_in!C21=0,"",SER_hh_tes_in!C21/SER_hh_fec_in!C21)</f>
        <v/>
      </c>
      <c r="D21" s="136" t="str">
        <f>IF(SER_hh_tes_in!D21=0,"",SER_hh_tes_in!D21/SER_hh_fec_in!D21)</f>
        <v/>
      </c>
      <c r="E21" s="136" t="str">
        <f>IF(SER_hh_tes_in!E21=0,"",SER_hh_tes_in!E21/SER_hh_fec_in!E21)</f>
        <v/>
      </c>
      <c r="F21" s="136" t="str">
        <f>IF(SER_hh_tes_in!F21=0,"",SER_hh_tes_in!F21/SER_hh_fec_in!F21)</f>
        <v/>
      </c>
      <c r="G21" s="136" t="str">
        <f>IF(SER_hh_tes_in!G21=0,"",SER_hh_tes_in!G21/SER_hh_fec_in!G21)</f>
        <v/>
      </c>
      <c r="H21" s="136" t="str">
        <f>IF(SER_hh_tes_in!H21=0,"",SER_hh_tes_in!H21/SER_hh_fec_in!H21)</f>
        <v/>
      </c>
      <c r="I21" s="136" t="str">
        <f>IF(SER_hh_tes_in!I21=0,"",SER_hh_tes_in!I21/SER_hh_fec_in!I21)</f>
        <v/>
      </c>
      <c r="J21" s="136" t="str">
        <f>IF(SER_hh_tes_in!J21=0,"",SER_hh_tes_in!J21/SER_hh_fec_in!J21)</f>
        <v/>
      </c>
      <c r="K21" s="136" t="str">
        <f>IF(SER_hh_tes_in!K21=0,"",SER_hh_tes_in!K21/SER_hh_fec_in!K21)</f>
        <v/>
      </c>
      <c r="L21" s="136" t="str">
        <f>IF(SER_hh_tes_in!L21=0,"",SER_hh_tes_in!L21/SER_hh_fec_in!L21)</f>
        <v/>
      </c>
      <c r="M21" s="136" t="str">
        <f>IF(SER_hh_tes_in!M21=0,"",SER_hh_tes_in!M21/SER_hh_fec_in!M21)</f>
        <v/>
      </c>
      <c r="N21" s="136" t="str">
        <f>IF(SER_hh_tes_in!N21=0,"",SER_hh_tes_in!N21/SER_hh_fec_in!N21)</f>
        <v/>
      </c>
      <c r="O21" s="136" t="str">
        <f>IF(SER_hh_tes_in!O21=0,"",SER_hh_tes_in!O21/SER_hh_fec_in!O21)</f>
        <v/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 t="str">
        <f>IF(SER_hh_tes_in!R21=0,"",SER_hh_tes_in!R21/SER_hh_fec_in!R21)</f>
        <v/>
      </c>
      <c r="S21" s="136" t="str">
        <f>IF(SER_hh_tes_in!S21=0,"",SER_hh_tes_in!S21/SER_hh_fec_in!S21)</f>
        <v/>
      </c>
      <c r="T21" s="136" t="str">
        <f>IF(SER_hh_tes_in!T21=0,"",SER_hh_tes_in!T21/SER_hh_fec_in!T21)</f>
        <v/>
      </c>
      <c r="U21" s="136" t="str">
        <f>IF(SER_hh_tes_in!U21=0,"",SER_hh_tes_in!U21/SER_hh_fec_in!U21)</f>
        <v/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 t="str">
        <f>IF(SER_hh_tes_in!X21=0,"",SER_hh_tes_in!X21/SER_hh_fec_in!X21)</f>
        <v/>
      </c>
      <c r="Y21" s="136" t="str">
        <f>IF(SER_hh_tes_in!Y21=0,"",SER_hh_tes_in!Y21/SER_hh_fec_in!Y21)</f>
        <v/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0.52189519032985554</v>
      </c>
      <c r="D22" s="136">
        <f>IF(SER_hh_tes_in!D22=0,"",SER_hh_tes_in!D22/SER_hh_fec_in!D22)</f>
        <v>0.52449132384690011</v>
      </c>
      <c r="E22" s="136">
        <f>IF(SER_hh_tes_in!E22=0,"",SER_hh_tes_in!E22/SER_hh_fec_in!E22)</f>
        <v>0.52744833141347558</v>
      </c>
      <c r="F22" s="136" t="str">
        <f>IF(SER_hh_tes_in!F22=0,"",SER_hh_tes_in!F22/SER_hh_fec_in!F22)</f>
        <v/>
      </c>
      <c r="G22" s="136" t="str">
        <f>IF(SER_hh_tes_in!G22=0,"",SER_hh_tes_in!G22/SER_hh_fec_in!G22)</f>
        <v/>
      </c>
      <c r="H22" s="136" t="str">
        <f>IF(SER_hh_tes_in!H22=0,"",SER_hh_tes_in!H22/SER_hh_fec_in!H22)</f>
        <v/>
      </c>
      <c r="I22" s="136" t="str">
        <f>IF(SER_hh_tes_in!I22=0,"",SER_hh_tes_in!I22/SER_hh_fec_in!I22)</f>
        <v/>
      </c>
      <c r="J22" s="136" t="str">
        <f>IF(SER_hh_tes_in!J22=0,"",SER_hh_tes_in!J22/SER_hh_fec_in!J22)</f>
        <v/>
      </c>
      <c r="K22" s="136" t="str">
        <f>IF(SER_hh_tes_in!K22=0,"",SER_hh_tes_in!K22/SER_hh_fec_in!K22)</f>
        <v/>
      </c>
      <c r="L22" s="136" t="str">
        <f>IF(SER_hh_tes_in!L22=0,"",SER_hh_tes_in!L22/SER_hh_fec_in!L22)</f>
        <v/>
      </c>
      <c r="M22" s="136">
        <f>IF(SER_hh_tes_in!M22=0,"",SER_hh_tes_in!M22/SER_hh_fec_in!M22)</f>
        <v>0.5714379724484373</v>
      </c>
      <c r="N22" s="136">
        <f>IF(SER_hh_tes_in!N22=0,"",SER_hh_tes_in!N22/SER_hh_fec_in!N22)</f>
        <v>0.5933289146893983</v>
      </c>
      <c r="O22" s="136">
        <f>IF(SER_hh_tes_in!O22=0,"",SER_hh_tes_in!O22/SER_hh_fec_in!O22)</f>
        <v>0.62533217975199396</v>
      </c>
      <c r="P22" s="136">
        <f>IF(SER_hh_tes_in!P22=0,"",SER_hh_tes_in!P22/SER_hh_fec_in!P22)</f>
        <v>0.66413959106664144</v>
      </c>
      <c r="Q22" s="136">
        <f>IF(SER_hh_tes_in!Q22=0,"",SER_hh_tes_in!Q22/SER_hh_fec_in!Q22)</f>
        <v>0.69908029329201804</v>
      </c>
      <c r="R22" s="136">
        <f>IF(SER_hh_tes_in!R22=0,"",SER_hh_tes_in!R22/SER_hh_fec_in!R22)</f>
        <v>0.72174904986225152</v>
      </c>
      <c r="S22" s="136">
        <f>IF(SER_hh_tes_in!S22=0,"",SER_hh_tes_in!S22/SER_hh_fec_in!S22)</f>
        <v>0.74285582267663197</v>
      </c>
      <c r="T22" s="136">
        <f>IF(SER_hh_tes_in!T22=0,"",SER_hh_tes_in!T22/SER_hh_fec_in!T22)</f>
        <v>0.76177826227604817</v>
      </c>
      <c r="U22" s="136">
        <f>IF(SER_hh_tes_in!U22=0,"",SER_hh_tes_in!U22/SER_hh_fec_in!U22)</f>
        <v>0.77789401920145318</v>
      </c>
      <c r="V22" s="136" t="str">
        <f>IF(SER_hh_tes_in!V22=0,"",SER_hh_tes_in!V22/SER_hh_fec_in!V22)</f>
        <v/>
      </c>
      <c r="W22" s="136" t="str">
        <f>IF(SER_hh_tes_in!W22=0,"",SER_hh_tes_in!W22/SER_hh_fec_in!W22)</f>
        <v/>
      </c>
      <c r="X22" s="136" t="str">
        <f>IF(SER_hh_tes_in!X22=0,"",SER_hh_tes_in!X22/SER_hh_fec_in!X22)</f>
        <v/>
      </c>
      <c r="Y22" s="136" t="str">
        <f>IF(SER_hh_tes_in!Y22=0,"",SER_hh_tes_in!Y22/SER_hh_fec_in!Y22)</f>
        <v/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0.56604033346738303</v>
      </c>
      <c r="D23" s="136">
        <f>IF(SER_hh_tes_in!D23=0,"",SER_hh_tes_in!D23/SER_hh_fec_in!D23)</f>
        <v>0.57234889700176006</v>
      </c>
      <c r="E23" s="136">
        <f>IF(SER_hh_tes_in!E23=0,"",SER_hh_tes_in!E23/SER_hh_fec_in!E23)</f>
        <v>0.57894320132958954</v>
      </c>
      <c r="F23" s="136">
        <f>IF(SER_hh_tes_in!F23=0,"",SER_hh_tes_in!F23/SER_hh_fec_in!F23)</f>
        <v>0.58558830946565976</v>
      </c>
      <c r="G23" s="136">
        <f>IF(SER_hh_tes_in!G23=0,"",SER_hh_tes_in!G23/SER_hh_fec_in!G23)</f>
        <v>0.59249452520690493</v>
      </c>
      <c r="H23" s="136">
        <f>IF(SER_hh_tes_in!H23=0,"",SER_hh_tes_in!H23/SER_hh_fec_in!H23)</f>
        <v>0.59963392755545664</v>
      </c>
      <c r="I23" s="136">
        <f>IF(SER_hh_tes_in!I23=0,"",SER_hh_tes_in!I23/SER_hh_fec_in!I23)</f>
        <v>0.60705610080808881</v>
      </c>
      <c r="J23" s="136">
        <f>IF(SER_hh_tes_in!J23=0,"",SER_hh_tes_in!J23/SER_hh_fec_in!J23)</f>
        <v>0.61496923111448487</v>
      </c>
      <c r="K23" s="136">
        <f>IF(SER_hh_tes_in!K23=0,"",SER_hh_tes_in!K23/SER_hh_fec_in!K23)</f>
        <v>0.62354740001150277</v>
      </c>
      <c r="L23" s="136">
        <f>IF(SER_hh_tes_in!L23=0,"",SER_hh_tes_in!L23/SER_hh_fec_in!L23)</f>
        <v>0.6328319687223708</v>
      </c>
      <c r="M23" s="136">
        <f>IF(SER_hh_tes_in!M23=0,"",SER_hh_tes_in!M23/SER_hh_fec_in!M23)</f>
        <v>0.64715641364997289</v>
      </c>
      <c r="N23" s="136">
        <f>IF(SER_hh_tes_in!N23=0,"",SER_hh_tes_in!N23/SER_hh_fec_in!N23)</f>
        <v>0.66785875941177264</v>
      </c>
      <c r="O23" s="136">
        <f>IF(SER_hh_tes_in!O23=0,"",SER_hh_tes_in!O23/SER_hh_fec_in!O23)</f>
        <v>0.69589400718361594</v>
      </c>
      <c r="P23" s="136">
        <f>IF(SER_hh_tes_in!P23=0,"",SER_hh_tes_in!P23/SER_hh_fec_in!P23)</f>
        <v>0.72849155137233135</v>
      </c>
      <c r="Q23" s="136">
        <f>IF(SER_hh_tes_in!Q23=0,"",SER_hh_tes_in!Q23/SER_hh_fec_in!Q23)</f>
        <v>0.75703150321752088</v>
      </c>
      <c r="R23" s="136">
        <f>IF(SER_hh_tes_in!R23=0,"",SER_hh_tes_in!R23/SER_hh_fec_in!R23)</f>
        <v>0.77447721060573038</v>
      </c>
      <c r="S23" s="136">
        <f>IF(SER_hh_tes_in!S23=0,"",SER_hh_tes_in!S23/SER_hh_fec_in!S23)</f>
        <v>0.78933420278893285</v>
      </c>
      <c r="T23" s="136">
        <f>IF(SER_hh_tes_in!T23=0,"",SER_hh_tes_in!T23/SER_hh_fec_in!T23)</f>
        <v>0.80183568028511187</v>
      </c>
      <c r="U23" s="136">
        <f>IF(SER_hh_tes_in!U23=0,"",SER_hh_tes_in!U23/SER_hh_fec_in!U23)</f>
        <v>0.81220371382448797</v>
      </c>
      <c r="V23" s="136">
        <f>IF(SER_hh_tes_in!V23=0,"",SER_hh_tes_in!V23/SER_hh_fec_in!V23)</f>
        <v>0.8206330740693788</v>
      </c>
      <c r="W23" s="136">
        <f>IF(SER_hh_tes_in!W23=0,"",SER_hh_tes_in!W23/SER_hh_fec_in!W23)</f>
        <v>0.82621167365818149</v>
      </c>
      <c r="X23" s="136">
        <f>IF(SER_hh_tes_in!X23=0,"",SER_hh_tes_in!X23/SER_hh_fec_in!X23)</f>
        <v>0.82890085979393768</v>
      </c>
      <c r="Y23" s="136" t="str">
        <f>IF(SER_hh_tes_in!Y23=0,"",SER_hh_tes_in!Y23/SER_hh_fec_in!Y23)</f>
        <v/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0.79088472225776629</v>
      </c>
      <c r="D25" s="136">
        <f>IF(SER_hh_tes_in!D25=0,"",SER_hh_tes_in!D25/SER_hh_fec_in!D25)</f>
        <v>0.79297292520266571</v>
      </c>
      <c r="E25" s="136">
        <f>IF(SER_hh_tes_in!E25=0,"",SER_hh_tes_in!E25/SER_hh_fec_in!E25)</f>
        <v>0.79511750417913485</v>
      </c>
      <c r="F25" s="136">
        <f>IF(SER_hh_tes_in!F25=0,"",SER_hh_tes_in!F25/SER_hh_fec_in!F25)</f>
        <v>0.79726977079627259</v>
      </c>
      <c r="G25" s="136">
        <f>IF(SER_hh_tes_in!G25=0,"",SER_hh_tes_in!G25/SER_hh_fec_in!G25)</f>
        <v>0.79947395642250185</v>
      </c>
      <c r="H25" s="136">
        <f>IF(SER_hh_tes_in!H25=0,"",SER_hh_tes_in!H25/SER_hh_fec_in!H25)</f>
        <v>0.80172464770142493</v>
      </c>
      <c r="I25" s="136">
        <f>IF(SER_hh_tes_in!I25=0,"",SER_hh_tes_in!I25/SER_hh_fec_in!I25)</f>
        <v>0.80403274324351337</v>
      </c>
      <c r="J25" s="136">
        <f>IF(SER_hh_tes_in!J25=0,"",SER_hh_tes_in!J25/SER_hh_fec_in!J25)</f>
        <v>0.80644289080900744</v>
      </c>
      <c r="K25" s="136">
        <f>IF(SER_hh_tes_in!K25=0,"",SER_hh_tes_in!K25/SER_hh_fec_in!K25)</f>
        <v>0.80899305273786815</v>
      </c>
      <c r="L25" s="136">
        <f>IF(SER_hh_tes_in!L25=0,"",SER_hh_tes_in!L25/SER_hh_fec_in!L25)</f>
        <v>0.8116933855124121</v>
      </c>
      <c r="M25" s="136">
        <f>IF(SER_hh_tes_in!M25=0,"",SER_hh_tes_in!M25/SER_hh_fec_in!M25)</f>
        <v>0.81543233335097454</v>
      </c>
      <c r="N25" s="136">
        <f>IF(SER_hh_tes_in!N25=0,"",SER_hh_tes_in!N25/SER_hh_fec_in!N25)</f>
        <v>0.82049080002678965</v>
      </c>
      <c r="O25" s="136">
        <f>IF(SER_hh_tes_in!O25=0,"",SER_hh_tes_in!O25/SER_hh_fec_in!O25)</f>
        <v>0.82711503183093826</v>
      </c>
      <c r="P25" s="136">
        <f>IF(SER_hh_tes_in!P25=0,"",SER_hh_tes_in!P25/SER_hh_fec_in!P25)</f>
        <v>0.83483652714056045</v>
      </c>
      <c r="Q25" s="136">
        <f>IF(SER_hh_tes_in!Q25=0,"",SER_hh_tes_in!Q25/SER_hh_fec_in!Q25)</f>
        <v>0.84212158080238197</v>
      </c>
      <c r="R25" s="136">
        <f>IF(SER_hh_tes_in!R25=0,"",SER_hh_tes_in!R25/SER_hh_fec_in!R25)</f>
        <v>0.84770387427845051</v>
      </c>
      <c r="S25" s="136">
        <f>IF(SER_hh_tes_in!S25=0,"",SER_hh_tes_in!S25/SER_hh_fec_in!S25)</f>
        <v>0.85313451264812867</v>
      </c>
      <c r="T25" s="136">
        <f>IF(SER_hh_tes_in!T25=0,"",SER_hh_tes_in!T25/SER_hh_fec_in!T25)</f>
        <v>0.85837721071435524</v>
      </c>
      <c r="U25" s="136">
        <f>IF(SER_hh_tes_in!U25=0,"",SER_hh_tes_in!U25/SER_hh_fec_in!U25)</f>
        <v>0.86339568328008598</v>
      </c>
      <c r="V25" s="136">
        <f>IF(SER_hh_tes_in!V25=0,"",SER_hh_tes_in!V25/SER_hh_fec_in!V25)</f>
        <v>0.86815364514826976</v>
      </c>
      <c r="W25" s="136">
        <f>IF(SER_hh_tes_in!W25=0,"",SER_hh_tes_in!W25/SER_hh_fec_in!W25)</f>
        <v>0.87253664510299622</v>
      </c>
      <c r="X25" s="136">
        <f>IF(SER_hh_tes_in!X25=0,"",SER_hh_tes_in!X25/SER_hh_fec_in!X25)</f>
        <v>0.8771809431561326</v>
      </c>
      <c r="Y25" s="136">
        <f>IF(SER_hh_tes_in!Y25=0,"",SER_hh_tes_in!Y25/SER_hh_fec_in!Y25)</f>
        <v>0.88164386037319609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0.65743922370440078</v>
      </c>
      <c r="D26" s="137">
        <f>IF(SER_hh_tes_in!D26=0,"",SER_hh_tes_in!D26/SER_hh_fec_in!D26)</f>
        <v>0.65991656863299708</v>
      </c>
      <c r="E26" s="137">
        <f>IF(SER_hh_tes_in!E26=0,"",SER_hh_tes_in!E26/SER_hh_fec_in!E26)</f>
        <v>0.6626286477688581</v>
      </c>
      <c r="F26" s="137">
        <f>IF(SER_hh_tes_in!F26=0,"",SER_hh_tes_in!F26/SER_hh_fec_in!F26)</f>
        <v>0.66537344943612142</v>
      </c>
      <c r="G26" s="137">
        <f>IF(SER_hh_tes_in!G26=0,"",SER_hh_tes_in!G26/SER_hh_fec_in!G26)</f>
        <v>0.6683362591319012</v>
      </c>
      <c r="H26" s="137">
        <f>IF(SER_hh_tes_in!H26=0,"",SER_hh_tes_in!H26/SER_hh_fec_in!H26)</f>
        <v>0.67149616209994578</v>
      </c>
      <c r="I26" s="137">
        <f>IF(SER_hh_tes_in!I26=0,"",SER_hh_tes_in!I26/SER_hh_fec_in!I26)</f>
        <v>0.67490121173988382</v>
      </c>
      <c r="J26" s="137">
        <f>IF(SER_hh_tes_in!J26=0,"",SER_hh_tes_in!J26/SER_hh_fec_in!J26)</f>
        <v>0.67874408762510896</v>
      </c>
      <c r="K26" s="137">
        <f>IF(SER_hh_tes_in!K26=0,"",SER_hh_tes_in!K26/SER_hh_fec_in!K26)</f>
        <v>0.68319500569902025</v>
      </c>
      <c r="L26" s="137">
        <f>IF(SER_hh_tes_in!L26=0,"",SER_hh_tes_in!L26/SER_hh_fec_in!L26)</f>
        <v>0.68831248931283051</v>
      </c>
      <c r="M26" s="137">
        <f>IF(SER_hh_tes_in!M26=0,"",SER_hh_tes_in!M26/SER_hh_fec_in!M26)</f>
        <v>0.69804144203529739</v>
      </c>
      <c r="N26" s="137">
        <f>IF(SER_hh_tes_in!N26=0,"",SER_hh_tes_in!N26/SER_hh_fec_in!N26)</f>
        <v>0.71408360886553401</v>
      </c>
      <c r="O26" s="137">
        <f>IF(SER_hh_tes_in!O26=0,"",SER_hh_tes_in!O26/SER_hh_fec_in!O26)</f>
        <v>0.73854582794111945</v>
      </c>
      <c r="P26" s="137">
        <f>IF(SER_hh_tes_in!P26=0,"",SER_hh_tes_in!P26/SER_hh_fec_in!P26)</f>
        <v>0.77026833848510823</v>
      </c>
      <c r="Q26" s="137">
        <f>IF(SER_hh_tes_in!Q26=0,"",SER_hh_tes_in!Q26/SER_hh_fec_in!Q26)</f>
        <v>0.80087381189543616</v>
      </c>
      <c r="R26" s="137">
        <f>IF(SER_hh_tes_in!R26=0,"",SER_hh_tes_in!R26/SER_hh_fec_in!R26)</f>
        <v>0.8215857402305472</v>
      </c>
      <c r="S26" s="137">
        <f>IF(SER_hh_tes_in!S26=0,"",SER_hh_tes_in!S26/SER_hh_fec_in!S26)</f>
        <v>0.84165202870016864</v>
      </c>
      <c r="T26" s="137">
        <f>IF(SER_hh_tes_in!T26=0,"",SER_hh_tes_in!T26/SER_hh_fec_in!T26)</f>
        <v>0.86156259203776531</v>
      </c>
      <c r="U26" s="137">
        <f>IF(SER_hh_tes_in!U26=0,"",SER_hh_tes_in!U26/SER_hh_fec_in!U26)</f>
        <v>0.88151758563216087</v>
      </c>
      <c r="V26" s="137">
        <f>IF(SER_hh_tes_in!V26=0,"",SER_hh_tes_in!V26/SER_hh_fec_in!V26)</f>
        <v>0.90112105364029438</v>
      </c>
      <c r="W26" s="137">
        <f>IF(SER_hh_tes_in!W26=0,"",SER_hh_tes_in!W26/SER_hh_fec_in!W26)</f>
        <v>0.91902552335466681</v>
      </c>
      <c r="X26" s="137">
        <f>IF(SER_hh_tes_in!X26=0,"",SER_hh_tes_in!X26/SER_hh_fec_in!X26)</f>
        <v>0.93083625366288303</v>
      </c>
      <c r="Y26" s="137">
        <f>IF(SER_hh_tes_in!Y26=0,"",SER_hh_tes_in!Y26/SER_hh_fec_in!Y26)</f>
        <v>0.9418549471827683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 t="str">
        <f>IF(SER_hh_tes_in!C27=0,"",SER_hh_tes_in!C27/SER_hh_fec_in!C27)</f>
        <v/>
      </c>
      <c r="D27" s="148" t="str">
        <f>IF(SER_hh_tes_in!D27=0,"",SER_hh_tes_in!D27/SER_hh_fec_in!D27)</f>
        <v/>
      </c>
      <c r="E27" s="148" t="str">
        <f>IF(SER_hh_tes_in!E27=0,"",SER_hh_tes_in!E27/SER_hh_fec_in!E27)</f>
        <v/>
      </c>
      <c r="F27" s="148" t="str">
        <f>IF(SER_hh_tes_in!F27=0,"",SER_hh_tes_in!F27/SER_hh_fec_in!F27)</f>
        <v/>
      </c>
      <c r="G27" s="148" t="str">
        <f>IF(SER_hh_tes_in!G27=0,"",SER_hh_tes_in!G27/SER_hh_fec_in!G27)</f>
        <v/>
      </c>
      <c r="H27" s="148" t="str">
        <f>IF(SER_hh_tes_in!H27=0,"",SER_hh_tes_in!H27/SER_hh_fec_in!H27)</f>
        <v/>
      </c>
      <c r="I27" s="148" t="str">
        <f>IF(SER_hh_tes_in!I27=0,"",SER_hh_tes_in!I27/SER_hh_fec_in!I27)</f>
        <v/>
      </c>
      <c r="J27" s="148" t="str">
        <f>IF(SER_hh_tes_in!J27=0,"",SER_hh_tes_in!J27/SER_hh_fec_in!J27)</f>
        <v/>
      </c>
      <c r="K27" s="148" t="str">
        <f>IF(SER_hh_tes_in!K27=0,"",SER_hh_tes_in!K27/SER_hh_fec_in!K27)</f>
        <v/>
      </c>
      <c r="L27" s="148" t="str">
        <f>IF(SER_hh_tes_in!L27=0,"",SER_hh_tes_in!L27/SER_hh_fec_in!L27)</f>
        <v/>
      </c>
      <c r="M27" s="148" t="str">
        <f>IF(SER_hh_tes_in!M27=0,"",SER_hh_tes_in!M27/SER_hh_fec_in!M27)</f>
        <v/>
      </c>
      <c r="N27" s="148" t="str">
        <f>IF(SER_hh_tes_in!N27=0,"",SER_hh_tes_in!N27/SER_hh_fec_in!N27)</f>
        <v/>
      </c>
      <c r="O27" s="148" t="str">
        <f>IF(SER_hh_tes_in!O27=0,"",SER_hh_tes_in!O27/SER_hh_fec_in!O27)</f>
        <v/>
      </c>
      <c r="P27" s="148" t="str">
        <f>IF(SER_hh_tes_in!P27=0,"",SER_hh_tes_in!P27/SER_hh_fec_in!P27)</f>
        <v/>
      </c>
      <c r="Q27" s="148" t="str">
        <f>IF(SER_hh_tes_in!Q27=0,"",SER_hh_tes_in!Q27/SER_hh_fec_in!Q27)</f>
        <v/>
      </c>
      <c r="R27" s="148" t="str">
        <f>IF(SER_hh_tes_in!R27=0,"",SER_hh_tes_in!R27/SER_hh_fec_in!R27)</f>
        <v/>
      </c>
      <c r="S27" s="148" t="str">
        <f>IF(SER_hh_tes_in!S27=0,"",SER_hh_tes_in!S27/SER_hh_fec_in!S27)</f>
        <v/>
      </c>
      <c r="T27" s="148" t="str">
        <f>IF(SER_hh_tes_in!T27=0,"",SER_hh_tes_in!T27/SER_hh_fec_in!T27)</f>
        <v/>
      </c>
      <c r="U27" s="148" t="str">
        <f>IF(SER_hh_tes_in!U27=0,"",SER_hh_tes_in!U27/SER_hh_fec_in!U27)</f>
        <v/>
      </c>
      <c r="V27" s="148" t="str">
        <f>IF(SER_hh_tes_in!V27=0,"",SER_hh_tes_in!V27/SER_hh_fec_in!V27)</f>
        <v/>
      </c>
      <c r="W27" s="148" t="str">
        <f>IF(SER_hh_tes_in!W27=0,"",SER_hh_tes_in!W27/SER_hh_fec_in!W27)</f>
        <v/>
      </c>
      <c r="X27" s="148" t="str">
        <f>IF(SER_hh_tes_in!X27=0,"",SER_hh_tes_in!X27/SER_hh_fec_in!X27)</f>
        <v/>
      </c>
      <c r="Y27" s="148" t="str">
        <f>IF(SER_hh_tes_in!Y27=0,"",SER_hh_tes_in!Y27/SER_hh_fec_in!Y27)</f>
        <v/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0.79615448913392262</v>
      </c>
      <c r="D29" s="135">
        <f>IF(SER_hh_tes_in!D29=0,"",SER_hh_tes_in!D29/SER_hh_fec_in!D29)</f>
        <v>0.80269790093232352</v>
      </c>
      <c r="E29" s="135">
        <f>IF(SER_hh_tes_in!E29=0,"",SER_hh_tes_in!E29/SER_hh_fec_in!E29)</f>
        <v>0.82411378310145478</v>
      </c>
      <c r="F29" s="135">
        <f>IF(SER_hh_tes_in!F29=0,"",SER_hh_tes_in!F29/SER_hh_fec_in!F29)</f>
        <v>0.8167546764825736</v>
      </c>
      <c r="G29" s="135">
        <f>IF(SER_hh_tes_in!G29=0,"",SER_hh_tes_in!G29/SER_hh_fec_in!G29)</f>
        <v>0.77592358312006038</v>
      </c>
      <c r="H29" s="135">
        <f>IF(SER_hh_tes_in!H29=0,"",SER_hh_tes_in!H29/SER_hh_fec_in!H29)</f>
        <v>0.7193897626644542</v>
      </c>
      <c r="I29" s="135">
        <f>IF(SER_hh_tes_in!I29=0,"",SER_hh_tes_in!I29/SER_hh_fec_in!I29)</f>
        <v>0.72476830123715041</v>
      </c>
      <c r="J29" s="135">
        <f>IF(SER_hh_tes_in!J29=0,"",SER_hh_tes_in!J29/SER_hh_fec_in!J29)</f>
        <v>0.78782693341907606</v>
      </c>
      <c r="K29" s="135">
        <f>IF(SER_hh_tes_in!K29=0,"",SER_hh_tes_in!K29/SER_hh_fec_in!K29)</f>
        <v>0.83577579371162658</v>
      </c>
      <c r="L29" s="135">
        <f>IF(SER_hh_tes_in!L29=0,"",SER_hh_tes_in!L29/SER_hh_fec_in!L29)</f>
        <v>0.8183133581824743</v>
      </c>
      <c r="M29" s="135">
        <f>IF(SER_hh_tes_in!M29=0,"",SER_hh_tes_in!M29/SER_hh_fec_in!M29)</f>
        <v>0.84319968001599621</v>
      </c>
      <c r="N29" s="135">
        <f>IF(SER_hh_tes_in!N29=0,"",SER_hh_tes_in!N29/SER_hh_fec_in!N29)</f>
        <v>0.84359746885612341</v>
      </c>
      <c r="O29" s="135">
        <f>IF(SER_hh_tes_in!O29=0,"",SER_hh_tes_in!O29/SER_hh_fec_in!O29)</f>
        <v>0.84539543331977784</v>
      </c>
      <c r="P29" s="135">
        <f>IF(SER_hh_tes_in!P29=0,"",SER_hh_tes_in!P29/SER_hh_fec_in!P29)</f>
        <v>0.84917316228111328</v>
      </c>
      <c r="Q29" s="135">
        <f>IF(SER_hh_tes_in!Q29=0,"",SER_hh_tes_in!Q29/SER_hh_fec_in!Q29)</f>
        <v>0.85876312775394437</v>
      </c>
      <c r="R29" s="135">
        <f>IF(SER_hh_tes_in!R29=0,"",SER_hh_tes_in!R29/SER_hh_fec_in!R29)</f>
        <v>0.86863303830270988</v>
      </c>
      <c r="S29" s="135">
        <f>IF(SER_hh_tes_in!S29=0,"",SER_hh_tes_in!S29/SER_hh_fec_in!S29)</f>
        <v>0.8771842629927703</v>
      </c>
      <c r="T29" s="135">
        <f>IF(SER_hh_tes_in!T29=0,"",SER_hh_tes_in!T29/SER_hh_fec_in!T29)</f>
        <v>0.86675480914398073</v>
      </c>
      <c r="U29" s="135">
        <f>IF(SER_hh_tes_in!U29=0,"",SER_hh_tes_in!U29/SER_hh_fec_in!U29)</f>
        <v>0.87655127035112812</v>
      </c>
      <c r="V29" s="135">
        <f>IF(SER_hh_tes_in!V29=0,"",SER_hh_tes_in!V29/SER_hh_fec_in!V29)</f>
        <v>0.90265419641428379</v>
      </c>
      <c r="W29" s="135">
        <f>IF(SER_hh_tes_in!W29=0,"",SER_hh_tes_in!W29/SER_hh_fec_in!W29)</f>
        <v>0.91900446179764761</v>
      </c>
      <c r="X29" s="135">
        <f>IF(SER_hh_tes_in!X29=0,"",SER_hh_tes_in!X29/SER_hh_fec_in!X29)</f>
        <v>0.91858287195314969</v>
      </c>
      <c r="Y29" s="135">
        <f>IF(SER_hh_tes_in!Y29=0,"",SER_hh_tes_in!Y29/SER_hh_fec_in!Y29)</f>
        <v>0.92621960743543597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0.62407965307484603</v>
      </c>
      <c r="D30" s="136">
        <f>IF(SER_hh_tes_in!D30=0,"",SER_hh_tes_in!D30/SER_hh_fec_in!D30)</f>
        <v>0.62439947014697761</v>
      </c>
      <c r="E30" s="136" t="str">
        <f>IF(SER_hh_tes_in!E30=0,"",SER_hh_tes_in!E30/SER_hh_fec_in!E30)</f>
        <v/>
      </c>
      <c r="F30" s="136">
        <f>IF(SER_hh_tes_in!F30=0,"",SER_hh_tes_in!F30/SER_hh_fec_in!F30)</f>
        <v>0.62503916583704533</v>
      </c>
      <c r="G30" s="136">
        <f>IF(SER_hh_tes_in!G30=0,"",SER_hh_tes_in!G30/SER_hh_fec_in!G30)</f>
        <v>0.62535904217740157</v>
      </c>
      <c r="H30" s="136">
        <f>IF(SER_hh_tes_in!H30=0,"",SER_hh_tes_in!H30/SER_hh_fec_in!H30)</f>
        <v>0.62567894228257737</v>
      </c>
      <c r="I30" s="136">
        <f>IF(SER_hh_tes_in!I30=0,"",SER_hh_tes_in!I30/SER_hh_fec_in!I30)</f>
        <v>0.62599887172186341</v>
      </c>
      <c r="J30" s="136">
        <f>IF(SER_hh_tes_in!J30=0,"",SER_hh_tes_in!J30/SER_hh_fec_in!J30)</f>
        <v>0.62631885331067894</v>
      </c>
      <c r="K30" s="136">
        <f>IF(SER_hh_tes_in!K30=0,"",SER_hh_tes_in!K30/SER_hh_fec_in!K30)</f>
        <v>0.62663890644813125</v>
      </c>
      <c r="L30" s="136">
        <f>IF(SER_hh_tes_in!L30=0,"",SER_hh_tes_in!L30/SER_hh_fec_in!L30)</f>
        <v>0.62695903632427685</v>
      </c>
      <c r="M30" s="136" t="str">
        <f>IF(SER_hh_tes_in!M30=0,"",SER_hh_tes_in!M30/SER_hh_fec_in!M30)</f>
        <v/>
      </c>
      <c r="N30" s="136" t="str">
        <f>IF(SER_hh_tes_in!N30=0,"",SER_hh_tes_in!N30/SER_hh_fec_in!N30)</f>
        <v/>
      </c>
      <c r="O30" s="136" t="str">
        <f>IF(SER_hh_tes_in!O30=0,"",SER_hh_tes_in!O30/SER_hh_fec_in!O30)</f>
        <v/>
      </c>
      <c r="P30" s="136" t="str">
        <f>IF(SER_hh_tes_in!P30=0,"",SER_hh_tes_in!P30/SER_hh_fec_in!P30)</f>
        <v/>
      </c>
      <c r="Q30" s="136" t="str">
        <f>IF(SER_hh_tes_in!Q30=0,"",SER_hh_tes_in!Q30/SER_hh_fec_in!Q30)</f>
        <v/>
      </c>
      <c r="R30" s="136" t="str">
        <f>IF(SER_hh_tes_in!R30=0,"",SER_hh_tes_in!R30/SER_hh_fec_in!R30)</f>
        <v/>
      </c>
      <c r="S30" s="136">
        <f>IF(SER_hh_tes_in!S30=0,"",SER_hh_tes_in!S30/SER_hh_fec_in!S30)</f>
        <v>0.6344092792783258</v>
      </c>
      <c r="T30" s="136">
        <f>IF(SER_hh_tes_in!T30=0,"",SER_hh_tes_in!T30/SER_hh_fec_in!T30)</f>
        <v>0.63815942231865808</v>
      </c>
      <c r="U30" s="136">
        <f>IF(SER_hh_tes_in!U30=0,"",SER_hh_tes_in!U30/SER_hh_fec_in!U30)</f>
        <v>0.64157906201496606</v>
      </c>
      <c r="V30" s="136">
        <f>IF(SER_hh_tes_in!V30=0,"",SER_hh_tes_in!V30/SER_hh_fec_in!V30)</f>
        <v>0.64400548532879964</v>
      </c>
      <c r="W30" s="136">
        <f>IF(SER_hh_tes_in!W30=0,"",SER_hh_tes_in!W30/SER_hh_fec_in!W30)</f>
        <v>0.6451716427958587</v>
      </c>
      <c r="X30" s="136">
        <f>IF(SER_hh_tes_in!X30=0,"",SER_hh_tes_in!X30/SER_hh_fec_in!X30)</f>
        <v>0.64553698196446851</v>
      </c>
      <c r="Y30" s="136">
        <f>IF(SER_hh_tes_in!Y30=0,"",SER_hh_tes_in!Y30/SER_hh_fec_in!Y30)</f>
        <v>0.6455735158813295</v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0.63168696517664524</v>
      </c>
      <c r="D31" s="136">
        <f>IF(SER_hh_tes_in!D31=0,"",SER_hh_tes_in!D31/SER_hh_fec_in!D31)</f>
        <v>0.63190007251740699</v>
      </c>
      <c r="E31" s="136">
        <f>IF(SER_hh_tes_in!E31=0,"",SER_hh_tes_in!E31/SER_hh_fec_in!E31)</f>
        <v>0.63211319905457986</v>
      </c>
      <c r="F31" s="136">
        <f>IF(SER_hh_tes_in!F31=0,"",SER_hh_tes_in!F31/SER_hh_fec_in!F31)</f>
        <v>0.63232632820944512</v>
      </c>
      <c r="G31" s="136">
        <f>IF(SER_hh_tes_in!G31=0,"",SER_hh_tes_in!G31/SER_hh_fec_in!G31)</f>
        <v>0.63253947504307584</v>
      </c>
      <c r="H31" s="136">
        <f>IF(SER_hh_tes_in!H31=0,"",SER_hh_tes_in!H31/SER_hh_fec_in!H31)</f>
        <v>0.63275263771218848</v>
      </c>
      <c r="I31" s="136">
        <f>IF(SER_hh_tes_in!I31=0,"",SER_hh_tes_in!I31/SER_hh_fec_in!I31)</f>
        <v>0.63296581992783196</v>
      </c>
      <c r="J31" s="136">
        <f>IF(SER_hh_tes_in!J31=0,"",SER_hh_tes_in!J31/SER_hh_fec_in!J31)</f>
        <v>0.63317903689286348</v>
      </c>
      <c r="K31" s="136">
        <f>IF(SER_hh_tes_in!K31=0,"",SER_hh_tes_in!K31/SER_hh_fec_in!K31)</f>
        <v>0.63339230153371062</v>
      </c>
      <c r="L31" s="136">
        <f>IF(SER_hh_tes_in!L31=0,"",SER_hh_tes_in!L31/SER_hh_fec_in!L31)</f>
        <v>0.63360561730872245</v>
      </c>
      <c r="M31" s="136">
        <f>IF(SER_hh_tes_in!M31=0,"",SER_hh_tes_in!M31/SER_hh_fec_in!M31)</f>
        <v>0.63376761846511198</v>
      </c>
      <c r="N31" s="136">
        <f>IF(SER_hh_tes_in!N31=0,"",SER_hh_tes_in!N31/SER_hh_fec_in!N31)</f>
        <v>0.63385816949126328</v>
      </c>
      <c r="O31" s="136">
        <f>IF(SER_hh_tes_in!O31=0,"",SER_hh_tes_in!O31/SER_hh_fec_in!O31)</f>
        <v>0.63391228946093237</v>
      </c>
      <c r="P31" s="136">
        <f>IF(SER_hh_tes_in!P31=0,"",SER_hh_tes_in!P31/SER_hh_fec_in!P31)</f>
        <v>0.63406330228959562</v>
      </c>
      <c r="Q31" s="136">
        <f>IF(SER_hh_tes_in!Q31=0,"",SER_hh_tes_in!Q31/SER_hh_fec_in!Q31)</f>
        <v>0.63467795977953068</v>
      </c>
      <c r="R31" s="136">
        <f>IF(SER_hh_tes_in!R31=0,"",SER_hh_tes_in!R31/SER_hh_fec_in!R31)</f>
        <v>0.63629251195130831</v>
      </c>
      <c r="S31" s="136">
        <f>IF(SER_hh_tes_in!S31=0,"",SER_hh_tes_in!S31/SER_hh_fec_in!S31)</f>
        <v>0.6385700222836781</v>
      </c>
      <c r="T31" s="136">
        <f>IF(SER_hh_tes_in!T31=0,"",SER_hh_tes_in!T31/SER_hh_fec_in!T31)</f>
        <v>0.64106889767352093</v>
      </c>
      <c r="U31" s="136">
        <f>IF(SER_hh_tes_in!U31=0,"",SER_hh_tes_in!U31/SER_hh_fec_in!U31)</f>
        <v>0.6433475450177234</v>
      </c>
      <c r="V31" s="136">
        <f>IF(SER_hh_tes_in!V31=0,"",SER_hh_tes_in!V31/SER_hh_fec_in!V31)</f>
        <v>0.64496437121316952</v>
      </c>
      <c r="W31" s="136">
        <f>IF(SER_hh_tes_in!W31=0,"",SER_hh_tes_in!W31/SER_hh_fec_in!W31)</f>
        <v>0.64574143015832852</v>
      </c>
      <c r="X31" s="136">
        <f>IF(SER_hh_tes_in!X31=0,"",SER_hh_tes_in!X31/SER_hh_fec_in!X31)</f>
        <v>0.64613202093116862</v>
      </c>
      <c r="Y31" s="136">
        <f>IF(SER_hh_tes_in!Y31=0,"",SER_hh_tes_in!Y31/SER_hh_fec_in!Y31)</f>
        <v>0.64617108000845269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0.83071341815471433</v>
      </c>
      <c r="D33" s="149">
        <f>IF(SER_hh_tes_in!D33=0,"",SER_hh_tes_in!D33/SER_hh_fec_in!D33)</f>
        <v>0.83169111519407424</v>
      </c>
      <c r="E33" s="149">
        <f>IF(SER_hh_tes_in!E33=0,"",SER_hh_tes_in!E33/SER_hh_fec_in!E33)</f>
        <v>0.83271491087501115</v>
      </c>
      <c r="F33" s="149">
        <f>IF(SER_hh_tes_in!F33=0,"",SER_hh_tes_in!F33/SER_hh_fec_in!F33)</f>
        <v>0.83374499273434488</v>
      </c>
      <c r="G33" s="149">
        <f>IF(SER_hh_tes_in!G33=0,"",SER_hh_tes_in!G33/SER_hh_fec_in!G33)</f>
        <v>0.83481752873109316</v>
      </c>
      <c r="H33" s="149">
        <f>IF(SER_hh_tes_in!H33=0,"",SER_hh_tes_in!H33/SER_hh_fec_in!H33)</f>
        <v>0.83592809236751597</v>
      </c>
      <c r="I33" s="149">
        <f>IF(SER_hh_tes_in!I33=0,"",SER_hh_tes_in!I33/SER_hh_fec_in!I33)</f>
        <v>0.83708559542977223</v>
      </c>
      <c r="J33" s="149">
        <f>IF(SER_hh_tes_in!J33=0,"",SER_hh_tes_in!J33/SER_hh_fec_in!J33)</f>
        <v>0.83832654636017678</v>
      </c>
      <c r="K33" s="149">
        <f>IF(SER_hh_tes_in!K33=0,"",SER_hh_tes_in!K33/SER_hh_fec_in!K33)</f>
        <v>0.8396819869375598</v>
      </c>
      <c r="L33" s="149">
        <f>IF(SER_hh_tes_in!L33=0,"",SER_hh_tes_in!L33/SER_hh_fec_in!L33)</f>
        <v>0.84116022211040653</v>
      </c>
      <c r="M33" s="149">
        <f>IF(SER_hh_tes_in!M33=0,"",SER_hh_tes_in!M33/SER_hh_fec_in!M33)</f>
        <v>0.84327377175062457</v>
      </c>
      <c r="N33" s="149">
        <f>IF(SER_hh_tes_in!N33=0,"",SER_hh_tes_in!N33/SER_hh_fec_in!N33)</f>
        <v>0.84616854539453779</v>
      </c>
      <c r="O33" s="149">
        <f>IF(SER_hh_tes_in!O33=0,"",SER_hh_tes_in!O33/SER_hh_fec_in!O33)</f>
        <v>0.85019054367804248</v>
      </c>
      <c r="P33" s="149">
        <f>IF(SER_hh_tes_in!P33=0,"",SER_hh_tes_in!P33/SER_hh_fec_in!P33)</f>
        <v>0.85550946927375104</v>
      </c>
      <c r="Q33" s="149">
        <f>IF(SER_hh_tes_in!Q33=0,"",SER_hh_tes_in!Q33/SER_hh_fec_in!Q33)</f>
        <v>0.86239221087362095</v>
      </c>
      <c r="R33" s="149">
        <f>IF(SER_hh_tes_in!R33=0,"",SER_hh_tes_in!R33/SER_hh_fec_in!R33)</f>
        <v>0.87175797663985111</v>
      </c>
      <c r="S33" s="149">
        <f>IF(SER_hh_tes_in!S33=0,"",SER_hh_tes_in!S33/SER_hh_fec_in!S33)</f>
        <v>0.88347760697946986</v>
      </c>
      <c r="T33" s="149">
        <f>IF(SER_hh_tes_in!T33=0,"",SER_hh_tes_in!T33/SER_hh_fec_in!T33)</f>
        <v>0.89609443261255073</v>
      </c>
      <c r="U33" s="149">
        <f>IF(SER_hh_tes_in!U33=0,"",SER_hh_tes_in!U33/SER_hh_fec_in!U33)</f>
        <v>0.90815178425920173</v>
      </c>
      <c r="V33" s="149">
        <f>IF(SER_hh_tes_in!V33=0,"",SER_hh_tes_in!V33/SER_hh_fec_in!V33)</f>
        <v>0.91819299263951404</v>
      </c>
      <c r="W33" s="149">
        <f>IF(SER_hh_tes_in!W33=0,"",SER_hh_tes_in!W33/SER_hh_fec_in!W33)</f>
        <v>0.92571194436957704</v>
      </c>
      <c r="X33" s="149">
        <f>IF(SER_hh_tes_in!X33=0,"",SER_hh_tes_in!X33/SER_hh_fec_in!X33)</f>
        <v>0.93062926728683115</v>
      </c>
      <c r="Y33" s="149">
        <f>IF(SER_hh_tes_in!Y33=0,"",SER_hh_tes_in!Y33/SER_hh_fec_in!Y33)</f>
        <v>0.93498992871727349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25.112342728249672</v>
      </c>
      <c r="D3" s="125">
        <f t="shared" si="0"/>
        <v>38.292368719751167</v>
      </c>
      <c r="E3" s="125">
        <f t="shared" si="0"/>
        <v>14.889862669552061</v>
      </c>
      <c r="F3" s="125">
        <f t="shared" si="0"/>
        <v>6.2299993102770426</v>
      </c>
      <c r="G3" s="125">
        <f t="shared" si="0"/>
        <v>6.7388132753649312</v>
      </c>
      <c r="H3" s="125">
        <f t="shared" si="0"/>
        <v>12.572099319419056</v>
      </c>
      <c r="I3" s="125">
        <f t="shared" si="0"/>
        <v>10.234034404528689</v>
      </c>
      <c r="J3" s="125">
        <f t="shared" si="0"/>
        <v>3.2280174167040534</v>
      </c>
      <c r="K3" s="125">
        <f t="shared" si="0"/>
        <v>6.8998098014225562</v>
      </c>
      <c r="L3" s="125">
        <f t="shared" si="0"/>
        <v>28.910173887474361</v>
      </c>
      <c r="M3" s="125">
        <f t="shared" si="0"/>
        <v>24.949586126727823</v>
      </c>
      <c r="N3" s="125">
        <f t="shared" si="0"/>
        <v>19.22618174223371</v>
      </c>
      <c r="O3" s="125">
        <f t="shared" si="0"/>
        <v>17.978067508833146</v>
      </c>
      <c r="P3" s="125">
        <f t="shared" si="0"/>
        <v>1.9231195260483376</v>
      </c>
      <c r="Q3" s="125">
        <f t="shared" si="0"/>
        <v>3.4230322409851559</v>
      </c>
      <c r="R3" s="125">
        <f t="shared" ref="R3:W3" si="1">SUM(R4,R16,R19,R29)</f>
        <v>4.6731010286122645</v>
      </c>
      <c r="S3" s="125">
        <f t="shared" si="1"/>
        <v>9.3798766461335124</v>
      </c>
      <c r="T3" s="125">
        <f t="shared" si="1"/>
        <v>8.0216723183533993</v>
      </c>
      <c r="U3" s="125">
        <f t="shared" si="1"/>
        <v>7.1010113456178452</v>
      </c>
      <c r="V3" s="125">
        <f t="shared" si="1"/>
        <v>2.4782949036593607</v>
      </c>
      <c r="W3" s="125">
        <f t="shared" si="1"/>
        <v>1.1040882391844531</v>
      </c>
      <c r="X3" s="125">
        <f t="shared" ref="X3:Y3" si="2">SUM(X4,X16,X19,X29)</f>
        <v>0.71476027942669873</v>
      </c>
      <c r="Y3" s="125">
        <f t="shared" si="2"/>
        <v>0.42097520819677059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19.807635611568909</v>
      </c>
      <c r="D4" s="130">
        <f t="shared" si="3"/>
        <v>34.614702438580743</v>
      </c>
      <c r="E4" s="130">
        <f t="shared" si="3"/>
        <v>13.850703020303762</v>
      </c>
      <c r="F4" s="130">
        <f t="shared" si="3"/>
        <v>4.987942206405533</v>
      </c>
      <c r="G4" s="130">
        <f t="shared" si="3"/>
        <v>3.1905765131596961</v>
      </c>
      <c r="H4" s="130">
        <f t="shared" si="3"/>
        <v>2.3941943441361326</v>
      </c>
      <c r="I4" s="130">
        <f t="shared" si="3"/>
        <v>0.39170902517396289</v>
      </c>
      <c r="J4" s="130">
        <f t="shared" si="3"/>
        <v>0.42491315305872407</v>
      </c>
      <c r="K4" s="130">
        <f t="shared" si="3"/>
        <v>6.5654190766211578</v>
      </c>
      <c r="L4" s="130">
        <f t="shared" si="3"/>
        <v>27.212552748567546</v>
      </c>
      <c r="M4" s="130">
        <f t="shared" si="3"/>
        <v>22.505193973995755</v>
      </c>
      <c r="N4" s="130">
        <f t="shared" si="3"/>
        <v>15.379676072094661</v>
      </c>
      <c r="O4" s="130">
        <f t="shared" si="3"/>
        <v>13.207237672639547</v>
      </c>
      <c r="P4" s="130">
        <f t="shared" si="3"/>
        <v>0.65944885456161839</v>
      </c>
      <c r="Q4" s="130">
        <f t="shared" si="3"/>
        <v>5.8270999321913798E-2</v>
      </c>
      <c r="R4" s="130">
        <f t="shared" ref="R4:W4" si="4">SUM(R5:R15)</f>
        <v>2.3792728438120281</v>
      </c>
      <c r="S4" s="130">
        <f t="shared" si="4"/>
        <v>7.0047528206201477</v>
      </c>
      <c r="T4" s="130">
        <f t="shared" si="4"/>
        <v>5.2448921915482289</v>
      </c>
      <c r="U4" s="130">
        <f t="shared" si="4"/>
        <v>4.6607035618523458</v>
      </c>
      <c r="V4" s="130">
        <f t="shared" si="4"/>
        <v>1.3344889276312286</v>
      </c>
      <c r="W4" s="130">
        <f t="shared" si="4"/>
        <v>0.60631568596891594</v>
      </c>
      <c r="X4" s="130">
        <f t="shared" ref="X4:Y4" si="5">SUM(X5:X15)</f>
        <v>1.4766183837269365E-2</v>
      </c>
      <c r="Y4" s="130">
        <f t="shared" si="5"/>
        <v>0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17.416459563298464</v>
      </c>
      <c r="D7" s="132">
        <v>25.645085971962057</v>
      </c>
      <c r="E7" s="132">
        <v>6.3027273564523307</v>
      </c>
      <c r="F7" s="132">
        <v>0</v>
      </c>
      <c r="G7" s="132">
        <v>0</v>
      </c>
      <c r="H7" s="132">
        <v>0</v>
      </c>
      <c r="I7" s="132">
        <v>0</v>
      </c>
      <c r="J7" s="132">
        <v>0</v>
      </c>
      <c r="K7" s="132">
        <v>5.435111010382065</v>
      </c>
      <c r="L7" s="132">
        <v>24.361962523554329</v>
      </c>
      <c r="M7" s="132">
        <v>19.411510158354108</v>
      </c>
      <c r="N7" s="132">
        <v>11.976241702234006</v>
      </c>
      <c r="O7" s="132">
        <v>12.038514767445802</v>
      </c>
      <c r="P7" s="132">
        <v>0</v>
      </c>
      <c r="Q7" s="132">
        <v>5.8270999321913798E-2</v>
      </c>
      <c r="R7" s="132">
        <v>2.3792728438120281</v>
      </c>
      <c r="S7" s="132">
        <v>5.6277197630453637</v>
      </c>
      <c r="T7" s="132">
        <v>3.6292080380398057</v>
      </c>
      <c r="U7" s="132">
        <v>1.7657094685749604</v>
      </c>
      <c r="V7" s="132">
        <v>0.4124511277594331</v>
      </c>
      <c r="W7" s="132">
        <v>0</v>
      </c>
      <c r="X7" s="132">
        <v>0</v>
      </c>
      <c r="Y7" s="132">
        <v>0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2.3911760482704461</v>
      </c>
      <c r="D9" s="132">
        <v>8.9696164666186853</v>
      </c>
      <c r="E9" s="132">
        <v>7.5479756638514308</v>
      </c>
      <c r="F9" s="132">
        <v>4.987942206405533</v>
      </c>
      <c r="G9" s="132">
        <v>3.1905765131596961</v>
      </c>
      <c r="H9" s="132">
        <v>2.3941943441361326</v>
      </c>
      <c r="I9" s="132">
        <v>0.39170902517396289</v>
      </c>
      <c r="J9" s="132">
        <v>0.42491315305872407</v>
      </c>
      <c r="K9" s="132">
        <v>1.130308066239093</v>
      </c>
      <c r="L9" s="132">
        <v>2.8505902250132156</v>
      </c>
      <c r="M9" s="132">
        <v>3.093683815641648</v>
      </c>
      <c r="N9" s="132">
        <v>3.403434369860654</v>
      </c>
      <c r="O9" s="132">
        <v>1.168722905193744</v>
      </c>
      <c r="P9" s="132">
        <v>0.65944885456161839</v>
      </c>
      <c r="Q9" s="132">
        <v>0</v>
      </c>
      <c r="R9" s="132">
        <v>0</v>
      </c>
      <c r="S9" s="132">
        <v>1.3770330575747838</v>
      </c>
      <c r="T9" s="132">
        <v>1.615684153508423</v>
      </c>
      <c r="U9" s="132">
        <v>2.8949940932773859</v>
      </c>
      <c r="V9" s="132">
        <v>0.92203779987179557</v>
      </c>
      <c r="W9" s="132">
        <v>0.60631568596891594</v>
      </c>
      <c r="X9" s="132">
        <v>1.4766183837269365E-2</v>
      </c>
      <c r="Y9" s="132">
        <v>0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3.3009395598546427</v>
      </c>
      <c r="D19" s="130">
        <f t="shared" si="9"/>
        <v>2.1239895438978165</v>
      </c>
      <c r="E19" s="130">
        <f t="shared" si="9"/>
        <v>0.65292684153945901</v>
      </c>
      <c r="F19" s="130">
        <f t="shared" si="9"/>
        <v>0.21965158498059156</v>
      </c>
      <c r="G19" s="130">
        <f t="shared" si="9"/>
        <v>0.21464968399150583</v>
      </c>
      <c r="H19" s="130">
        <f t="shared" si="9"/>
        <v>0.36461442016694101</v>
      </c>
      <c r="I19" s="130">
        <f t="shared" si="9"/>
        <v>0.22218996057838061</v>
      </c>
      <c r="J19" s="130">
        <f t="shared" si="9"/>
        <v>0.16029053116874384</v>
      </c>
      <c r="K19" s="130">
        <f t="shared" si="9"/>
        <v>0.1094466798731679</v>
      </c>
      <c r="L19" s="130">
        <f t="shared" si="9"/>
        <v>0.16674545133211127</v>
      </c>
      <c r="M19" s="130">
        <f t="shared" si="9"/>
        <v>2.4407356330346266</v>
      </c>
      <c r="N19" s="130">
        <f t="shared" si="9"/>
        <v>3.7218325900204348</v>
      </c>
      <c r="O19" s="130">
        <f t="shared" si="9"/>
        <v>4.4197936045156707</v>
      </c>
      <c r="P19" s="130">
        <f t="shared" si="9"/>
        <v>0.90785023471130655</v>
      </c>
      <c r="Q19" s="130">
        <f t="shared" si="9"/>
        <v>3.1232370420840856</v>
      </c>
      <c r="R19" s="130">
        <f t="shared" ref="R19:W19" si="10">SUM(R20:R27)</f>
        <v>2.0939842566961158</v>
      </c>
      <c r="S19" s="130">
        <f t="shared" si="10"/>
        <v>1.908442331634328</v>
      </c>
      <c r="T19" s="130">
        <f t="shared" si="10"/>
        <v>0.83344854604545471</v>
      </c>
      <c r="U19" s="130">
        <f t="shared" si="10"/>
        <v>0.48828721778249701</v>
      </c>
      <c r="V19" s="130">
        <f t="shared" si="10"/>
        <v>0.22225823827331606</v>
      </c>
      <c r="W19" s="130">
        <f t="shared" si="10"/>
        <v>0.14754669314613958</v>
      </c>
      <c r="X19" s="130">
        <f t="shared" ref="X19:Y19" si="11">SUM(X20:X27)</f>
        <v>7.4364948365877356E-2</v>
      </c>
      <c r="Y19" s="130">
        <f t="shared" si="11"/>
        <v>0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3.1954448731678688</v>
      </c>
      <c r="D22" s="132">
        <v>1.8855661685389962</v>
      </c>
      <c r="E22" s="132">
        <v>0.43820059773588854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2.3298398414949668</v>
      </c>
      <c r="N22" s="132">
        <v>3.6040982854452004</v>
      </c>
      <c r="O22" s="132">
        <v>4.2322678718455915</v>
      </c>
      <c r="P22" s="132">
        <v>0.61919352159480823</v>
      </c>
      <c r="Q22" s="132">
        <v>3.0144428123347677</v>
      </c>
      <c r="R22" s="132">
        <v>2.0241145994174565</v>
      </c>
      <c r="S22" s="132">
        <v>1.7993613225986897</v>
      </c>
      <c r="T22" s="132">
        <v>0.68644736442052823</v>
      </c>
      <c r="U22" s="132">
        <v>2.5426153071416397E-2</v>
      </c>
      <c r="V22" s="132">
        <v>0</v>
      </c>
      <c r="W22" s="132">
        <v>0</v>
      </c>
      <c r="X22" s="132">
        <v>0</v>
      </c>
      <c r="Y22" s="132">
        <v>0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0.10549468668677402</v>
      </c>
      <c r="D23" s="132">
        <v>0.23842337535882052</v>
      </c>
      <c r="E23" s="132">
        <v>0.21472624380357044</v>
      </c>
      <c r="F23" s="132">
        <v>0.21965158498059156</v>
      </c>
      <c r="G23" s="132">
        <v>0.21464968399150583</v>
      </c>
      <c r="H23" s="132">
        <v>0.36461442016694101</v>
      </c>
      <c r="I23" s="132">
        <v>0.22218996057838061</v>
      </c>
      <c r="J23" s="132">
        <v>0.16029053116874384</v>
      </c>
      <c r="K23" s="132">
        <v>0.1094466798731679</v>
      </c>
      <c r="L23" s="132">
        <v>0.16674545133211127</v>
      </c>
      <c r="M23" s="132">
        <v>0.11089579153965975</v>
      </c>
      <c r="N23" s="132">
        <v>0.11773430457523421</v>
      </c>
      <c r="O23" s="132">
        <v>0.18752573267007913</v>
      </c>
      <c r="P23" s="132">
        <v>0.28865671311649832</v>
      </c>
      <c r="Q23" s="132">
        <v>0.10879422974931782</v>
      </c>
      <c r="R23" s="132">
        <v>6.9869657278659153E-2</v>
      </c>
      <c r="S23" s="132">
        <v>0.10908100903563832</v>
      </c>
      <c r="T23" s="132">
        <v>0.14700118162492651</v>
      </c>
      <c r="U23" s="132">
        <v>0.46286106471108063</v>
      </c>
      <c r="V23" s="132">
        <v>0.22225823827331606</v>
      </c>
      <c r="W23" s="132">
        <v>0.14754669314613958</v>
      </c>
      <c r="X23" s="132">
        <v>7.4364948365877356E-2</v>
      </c>
      <c r="Y23" s="132">
        <v>0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2.0037675568261211</v>
      </c>
      <c r="D29" s="130">
        <f t="shared" si="12"/>
        <v>1.5536767372726139</v>
      </c>
      <c r="E29" s="130">
        <f t="shared" si="12"/>
        <v>0.38623280770883994</v>
      </c>
      <c r="F29" s="130">
        <f t="shared" si="12"/>
        <v>1.0224055188909176</v>
      </c>
      <c r="G29" s="130">
        <f t="shared" si="12"/>
        <v>3.3335870782137293</v>
      </c>
      <c r="H29" s="130">
        <f t="shared" si="12"/>
        <v>9.8132905551159819</v>
      </c>
      <c r="I29" s="130">
        <f t="shared" si="12"/>
        <v>9.6201354187763464</v>
      </c>
      <c r="J29" s="130">
        <f t="shared" si="12"/>
        <v>2.6428137324765855</v>
      </c>
      <c r="K29" s="130">
        <f t="shared" si="12"/>
        <v>0.22494404492823092</v>
      </c>
      <c r="L29" s="130">
        <f t="shared" si="12"/>
        <v>1.5308756875747034</v>
      </c>
      <c r="M29" s="130">
        <f t="shared" si="12"/>
        <v>3.656519697440882E-3</v>
      </c>
      <c r="N29" s="130">
        <f t="shared" si="12"/>
        <v>0.12467308011861557</v>
      </c>
      <c r="O29" s="130">
        <f t="shared" si="12"/>
        <v>0.35103623167792669</v>
      </c>
      <c r="P29" s="130">
        <f t="shared" si="12"/>
        <v>0.35582043677541264</v>
      </c>
      <c r="Q29" s="130">
        <f t="shared" si="12"/>
        <v>0.24152419957915641</v>
      </c>
      <c r="R29" s="130">
        <f t="shared" ref="R29:W29" si="13">SUM(R30:R33)</f>
        <v>0.19984392810412052</v>
      </c>
      <c r="S29" s="130">
        <f t="shared" si="13"/>
        <v>0.46668149387903746</v>
      </c>
      <c r="T29" s="130">
        <f t="shared" si="13"/>
        <v>1.9433315807597151</v>
      </c>
      <c r="U29" s="130">
        <f t="shared" si="13"/>
        <v>1.9520205659830028</v>
      </c>
      <c r="V29" s="130">
        <f t="shared" si="13"/>
        <v>0.92154773775481602</v>
      </c>
      <c r="W29" s="130">
        <f t="shared" si="13"/>
        <v>0.35022586006939749</v>
      </c>
      <c r="X29" s="130">
        <f t="shared" ref="X29:Y29" si="14">SUM(X30:X33)</f>
        <v>0.62562914722355201</v>
      </c>
      <c r="Y29" s="130">
        <f t="shared" si="14"/>
        <v>0.42097520819677059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1.6002648514682427</v>
      </c>
      <c r="D30" s="132">
        <v>1.1000634200026951</v>
      </c>
      <c r="E30" s="132">
        <v>0</v>
      </c>
      <c r="F30" s="132">
        <v>0.61678865299672281</v>
      </c>
      <c r="G30" s="132">
        <v>3.018554011595286</v>
      </c>
      <c r="H30" s="132">
        <v>9.4495125087030427</v>
      </c>
      <c r="I30" s="132">
        <v>9.3133367424319768</v>
      </c>
      <c r="J30" s="132">
        <v>2.4736339025188729</v>
      </c>
      <c r="K30" s="132">
        <v>0.12828742941297502</v>
      </c>
      <c r="L30" s="132">
        <v>1.4893178090505761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0.30539613000487609</v>
      </c>
      <c r="T30" s="132">
        <v>1.7710842210985009</v>
      </c>
      <c r="U30" s="132">
        <v>1.4403517033975459</v>
      </c>
      <c r="V30" s="132">
        <v>0.63924683571773511</v>
      </c>
      <c r="W30" s="132">
        <v>9.4511151544371272E-2</v>
      </c>
      <c r="X30" s="132">
        <v>0.40498387919830175</v>
      </c>
      <c r="Y30" s="132">
        <v>0.19609118213941482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0.40350270535787824</v>
      </c>
      <c r="D31" s="132">
        <v>0.45361331726991894</v>
      </c>
      <c r="E31" s="132">
        <v>0.38623280770883994</v>
      </c>
      <c r="F31" s="132">
        <v>0.40561686589419482</v>
      </c>
      <c r="G31" s="132">
        <v>0.31503306661844338</v>
      </c>
      <c r="H31" s="132">
        <v>0.36377804641293998</v>
      </c>
      <c r="I31" s="132">
        <v>0.30679867634437014</v>
      </c>
      <c r="J31" s="132">
        <v>0.16917982995771261</v>
      </c>
      <c r="K31" s="132">
        <v>9.6656615515255895E-2</v>
      </c>
      <c r="L31" s="132">
        <v>4.1557878524127241E-2</v>
      </c>
      <c r="M31" s="132">
        <v>3.656519697440882E-3</v>
      </c>
      <c r="N31" s="132">
        <v>0.12467308011861557</v>
      </c>
      <c r="O31" s="132">
        <v>0.35103623167792669</v>
      </c>
      <c r="P31" s="132">
        <v>0.35582043677541264</v>
      </c>
      <c r="Q31" s="132">
        <v>0.24152419957915641</v>
      </c>
      <c r="R31" s="132">
        <v>0.19984392810412052</v>
      </c>
      <c r="S31" s="132">
        <v>0.16128536387416134</v>
      </c>
      <c r="T31" s="132">
        <v>0.17224735966121407</v>
      </c>
      <c r="U31" s="132">
        <v>0.51166886258545674</v>
      </c>
      <c r="V31" s="132">
        <v>0.28230090203708091</v>
      </c>
      <c r="W31" s="132">
        <v>0.2557147085250262</v>
      </c>
      <c r="X31" s="132">
        <v>0.2206452680252502</v>
      </c>
      <c r="Y31" s="132">
        <v>0.2248840260573558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259851.68573296102</v>
      </c>
      <c r="D3" s="125">
        <f>IF(SER_hh_fec_in!D3=0,0,11630*1000*SER_hh_fec_in!D3/SER_hh_num_in!D3)</f>
        <v>255740.85953279666</v>
      </c>
      <c r="E3" s="125">
        <f>IF(SER_hh_fec_in!E3=0,0,11630*1000*SER_hh_fec_in!E3/SER_hh_num_in!E3)</f>
        <v>233986.06748465713</v>
      </c>
      <c r="F3" s="125">
        <f>IF(SER_hh_fec_in!F3=0,0,11630*1000*SER_hh_fec_in!F3/SER_hh_num_in!F3)</f>
        <v>216551.68199185343</v>
      </c>
      <c r="G3" s="125">
        <f>IF(SER_hh_fec_in!G3=0,0,11630*1000*SER_hh_fec_in!G3/SER_hh_num_in!G3)</f>
        <v>196340.36517824593</v>
      </c>
      <c r="H3" s="125">
        <f>IF(SER_hh_fec_in!H3=0,0,11630*1000*SER_hh_fec_in!H3/SER_hh_num_in!H3)</f>
        <v>191745.41895518181</v>
      </c>
      <c r="I3" s="125">
        <f>IF(SER_hh_fec_in!I3=0,0,11630*1000*SER_hh_fec_in!I3/SER_hh_num_in!I3)</f>
        <v>189110.31828661385</v>
      </c>
      <c r="J3" s="125">
        <f>IF(SER_hh_fec_in!J3=0,0,11630*1000*SER_hh_fec_in!J3/SER_hh_num_in!J3)</f>
        <v>176532.95225594396</v>
      </c>
      <c r="K3" s="125">
        <f>IF(SER_hh_fec_in!K3=0,0,11630*1000*SER_hh_fec_in!K3/SER_hh_num_in!K3)</f>
        <v>170400.69499144089</v>
      </c>
      <c r="L3" s="125">
        <f>IF(SER_hh_fec_in!L3=0,0,11630*1000*SER_hh_fec_in!L3/SER_hh_num_in!L3)</f>
        <v>185479.64431762332</v>
      </c>
      <c r="M3" s="125">
        <f>IF(SER_hh_fec_in!M3=0,0,11630*1000*SER_hh_fec_in!M3/SER_hh_num_in!M3)</f>
        <v>157315.94238747348</v>
      </c>
      <c r="N3" s="125">
        <f>IF(SER_hh_fec_in!N3=0,0,11630*1000*SER_hh_fec_in!N3/SER_hh_num_in!N3)</f>
        <v>163574.88996771025</v>
      </c>
      <c r="O3" s="125">
        <f>IF(SER_hh_fec_in!O3=0,0,11630*1000*SER_hh_fec_in!O3/SER_hh_num_in!O3)</f>
        <v>147355.18304499722</v>
      </c>
      <c r="P3" s="125">
        <f>IF(SER_hh_fec_in!P3=0,0,11630*1000*SER_hh_fec_in!P3/SER_hh_num_in!P3)</f>
        <v>133760.88303630674</v>
      </c>
      <c r="Q3" s="125">
        <f>IF(SER_hh_fec_in!Q3=0,0,11630*1000*SER_hh_fec_in!Q3/SER_hh_num_in!Q3)</f>
        <v>132449.98872232501</v>
      </c>
      <c r="R3" s="125">
        <f>IF(SER_hh_fec_in!R3=0,0,11630*1000*SER_hh_fec_in!R3/SER_hh_num_in!R3)</f>
        <v>129056.21769975348</v>
      </c>
      <c r="S3" s="125">
        <f>IF(SER_hh_fec_in!S3=0,0,11630*1000*SER_hh_fec_in!S3/SER_hh_num_in!S3)</f>
        <v>114433.1534188496</v>
      </c>
      <c r="T3" s="125">
        <f>IF(SER_hh_fec_in!T3=0,0,11630*1000*SER_hh_fec_in!T3/SER_hh_num_in!T3)</f>
        <v>111068.63035959746</v>
      </c>
      <c r="U3" s="125">
        <f>IF(SER_hh_fec_in!U3=0,0,11630*1000*SER_hh_fec_in!U3/SER_hh_num_in!U3)</f>
        <v>101435.5174742347</v>
      </c>
      <c r="V3" s="125">
        <f>IF(SER_hh_fec_in!V3=0,0,11630*1000*SER_hh_fec_in!V3/SER_hh_num_in!V3)</f>
        <v>91849.030297773483</v>
      </c>
      <c r="W3" s="125">
        <f>IF(SER_hh_fec_in!W3=0,0,11630*1000*SER_hh_fec_in!W3/SER_hh_num_in!W3)</f>
        <v>85511.782687240833</v>
      </c>
      <c r="X3" s="125">
        <f>IF(SER_hh_fec_in!X3=0,0,11630*1000*SER_hh_fec_in!X3/SER_hh_num_in!X3)</f>
        <v>69803.691429496175</v>
      </c>
      <c r="Y3" s="125">
        <f>IF(SER_hh_fec_in!Y3=0,0,11630*1000*SER_hh_fec_in!Y3/SER_hh_num_in!Y3)</f>
        <v>68377.856985286213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205633.15263086435</v>
      </c>
      <c r="D4" s="130">
        <f>IF(SER_hh_fec_in!D4=0,0,11630*1000*SER_hh_fec_in!D4/SER_hh_num_in!D4)</f>
        <v>202387.90683434281</v>
      </c>
      <c r="E4" s="130">
        <f>IF(SER_hh_fec_in!E4=0,0,11630*1000*SER_hh_fec_in!E4/SER_hh_num_in!E4)</f>
        <v>182074.60860398752</v>
      </c>
      <c r="F4" s="130">
        <f>IF(SER_hh_fec_in!F4=0,0,11630*1000*SER_hh_fec_in!F4/SER_hh_num_in!F4)</f>
        <v>165194.43323043286</v>
      </c>
      <c r="G4" s="130">
        <f>IF(SER_hh_fec_in!G4=0,0,11630*1000*SER_hh_fec_in!G4/SER_hh_num_in!G4)</f>
        <v>144368.80717624025</v>
      </c>
      <c r="H4" s="130">
        <f>IF(SER_hh_fec_in!H4=0,0,11630*1000*SER_hh_fec_in!H4/SER_hh_num_in!H4)</f>
        <v>137767.8845204617</v>
      </c>
      <c r="I4" s="130">
        <f>IF(SER_hh_fec_in!I4=0,0,11630*1000*SER_hh_fec_in!I4/SER_hh_num_in!I4)</f>
        <v>133693.37124833651</v>
      </c>
      <c r="J4" s="130">
        <f>IF(SER_hh_fec_in!J4=0,0,11630*1000*SER_hh_fec_in!J4/SER_hh_num_in!J4)</f>
        <v>124446.48028485624</v>
      </c>
      <c r="K4" s="130">
        <f>IF(SER_hh_fec_in!K4=0,0,11630*1000*SER_hh_fec_in!K4/SER_hh_num_in!K4)</f>
        <v>117320.03016655979</v>
      </c>
      <c r="L4" s="130">
        <f>IF(SER_hh_fec_in!L4=0,0,11630*1000*SER_hh_fec_in!L4/SER_hh_num_in!L4)</f>
        <v>134547.10941939001</v>
      </c>
      <c r="M4" s="130">
        <f>IF(SER_hh_fec_in!M4=0,0,11630*1000*SER_hh_fec_in!M4/SER_hh_num_in!M4)</f>
        <v>107465.55241834577</v>
      </c>
      <c r="N4" s="130">
        <f>IF(SER_hh_fec_in!N4=0,0,11630*1000*SER_hh_fec_in!N4/SER_hh_num_in!N4)</f>
        <v>110688.0778406446</v>
      </c>
      <c r="O4" s="130">
        <f>IF(SER_hh_fec_in!O4=0,0,11630*1000*SER_hh_fec_in!O4/SER_hh_num_in!O4)</f>
        <v>96262.156882404845</v>
      </c>
      <c r="P4" s="130">
        <f>IF(SER_hh_fec_in!P4=0,0,11630*1000*SER_hh_fec_in!P4/SER_hh_num_in!P4)</f>
        <v>85246.660770911258</v>
      </c>
      <c r="Q4" s="130">
        <f>IF(SER_hh_fec_in!Q4=0,0,11630*1000*SER_hh_fec_in!Q4/SER_hh_num_in!Q4)</f>
        <v>84348.512001345967</v>
      </c>
      <c r="R4" s="130">
        <f>IF(SER_hh_fec_in!R4=0,0,11630*1000*SER_hh_fec_in!R4/SER_hh_num_in!R4)</f>
        <v>82042.529818805837</v>
      </c>
      <c r="S4" s="130">
        <f>IF(SER_hh_fec_in!S4=0,0,11630*1000*SER_hh_fec_in!S4/SER_hh_num_in!S4)</f>
        <v>67511.091456779803</v>
      </c>
      <c r="T4" s="130">
        <f>IF(SER_hh_fec_in!T4=0,0,11630*1000*SER_hh_fec_in!T4/SER_hh_num_in!T4)</f>
        <v>64688.841120491415</v>
      </c>
      <c r="U4" s="130">
        <f>IF(SER_hh_fec_in!U4=0,0,11630*1000*SER_hh_fec_in!U4/SER_hh_num_in!U4)</f>
        <v>54978.650370002571</v>
      </c>
      <c r="V4" s="130">
        <f>IF(SER_hh_fec_in!V4=0,0,11630*1000*SER_hh_fec_in!V4/SER_hh_num_in!V4)</f>
        <v>45864.226862206568</v>
      </c>
      <c r="W4" s="130">
        <f>IF(SER_hh_fec_in!W4=0,0,11630*1000*SER_hh_fec_in!W4/SER_hh_num_in!W4)</f>
        <v>40583.150576280721</v>
      </c>
      <c r="X4" s="130">
        <f>IF(SER_hh_fec_in!X4=0,0,11630*1000*SER_hh_fec_in!X4/SER_hh_num_in!X4)</f>
        <v>27430.974406067333</v>
      </c>
      <c r="Y4" s="130">
        <f>IF(SER_hh_fec_in!Y4=0,0,11630*1000*SER_hh_fec_in!Y4/SER_hh_num_in!Y4)</f>
        <v>26974.498530355493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0</v>
      </c>
      <c r="D5" s="132">
        <f>IF(SER_hh_fec_in!D5=0,0,11630*1000*SER_hh_fec_in!D5/SER_hh_num_in!D5)</f>
        <v>0</v>
      </c>
      <c r="E5" s="132">
        <f>IF(SER_hh_fec_in!E5=0,0,11630*1000*SER_hh_fec_in!E5/SER_hh_num_in!E5)</f>
        <v>0</v>
      </c>
      <c r="F5" s="132">
        <f>IF(SER_hh_fec_in!F5=0,0,11630*1000*SER_hh_fec_in!F5/SER_hh_num_in!F5)</f>
        <v>0</v>
      </c>
      <c r="G5" s="132">
        <f>IF(SER_hh_fec_in!G5=0,0,11630*1000*SER_hh_fec_in!G5/SER_hh_num_in!G5)</f>
        <v>0</v>
      </c>
      <c r="H5" s="132">
        <f>IF(SER_hh_fec_in!H5=0,0,11630*1000*SER_hh_fec_in!H5/SER_hh_num_in!H5)</f>
        <v>0</v>
      </c>
      <c r="I5" s="132">
        <f>IF(SER_hh_fec_in!I5=0,0,11630*1000*SER_hh_fec_in!I5/SER_hh_num_in!I5)</f>
        <v>0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0</v>
      </c>
      <c r="N5" s="132">
        <f>IF(SER_hh_fec_in!N5=0,0,11630*1000*SER_hh_fec_in!N5/SER_hh_num_in!N5)</f>
        <v>0</v>
      </c>
      <c r="O5" s="132">
        <f>IF(SER_hh_fec_in!O5=0,0,11630*1000*SER_hh_fec_in!O5/SER_hh_num_in!O5)</f>
        <v>0</v>
      </c>
      <c r="P5" s="132">
        <f>IF(SER_hh_fec_in!P5=0,0,11630*1000*SER_hh_fec_in!P5/SER_hh_num_in!P5)</f>
        <v>0</v>
      </c>
      <c r="Q5" s="132">
        <f>IF(SER_hh_fec_in!Q5=0,0,11630*1000*SER_hh_fec_in!Q5/SER_hh_num_in!Q5)</f>
        <v>0</v>
      </c>
      <c r="R5" s="132">
        <f>IF(SER_hh_fec_in!R5=0,0,11630*1000*SER_hh_fec_in!R5/SER_hh_num_in!R5)</f>
        <v>0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0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282765.47829134983</v>
      </c>
      <c r="D7" s="132">
        <f>IF(SER_hh_fec_in!D7=0,0,11630*1000*SER_hh_fec_in!D7/SER_hh_num_in!D7)</f>
        <v>277373.05772770254</v>
      </c>
      <c r="E7" s="132">
        <f>IF(SER_hh_fec_in!E7=0,0,11630*1000*SER_hh_fec_in!E7/SER_hh_num_in!E7)</f>
        <v>303505.20062495617</v>
      </c>
      <c r="F7" s="132">
        <f>IF(SER_hh_fec_in!F7=0,0,11630*1000*SER_hh_fec_in!F7/SER_hh_num_in!F7)</f>
        <v>0</v>
      </c>
      <c r="G7" s="132">
        <f>IF(SER_hh_fec_in!G7=0,0,11630*1000*SER_hh_fec_in!G7/SER_hh_num_in!G7)</f>
        <v>0</v>
      </c>
      <c r="H7" s="132">
        <f>IF(SER_hh_fec_in!H7=0,0,11630*1000*SER_hh_fec_in!H7/SER_hh_num_in!H7)</f>
        <v>0</v>
      </c>
      <c r="I7" s="132">
        <f>IF(SER_hh_fec_in!I7=0,0,11630*1000*SER_hh_fec_in!I7/SER_hh_num_in!I7)</f>
        <v>0</v>
      </c>
      <c r="J7" s="132">
        <f>IF(SER_hh_fec_in!J7=0,0,11630*1000*SER_hh_fec_in!J7/SER_hh_num_in!J7)</f>
        <v>0</v>
      </c>
      <c r="K7" s="132">
        <f>IF(SER_hh_fec_in!K7=0,0,11630*1000*SER_hh_fec_in!K7/SER_hh_num_in!K7)</f>
        <v>170883.95317713983</v>
      </c>
      <c r="L7" s="132">
        <f>IF(SER_hh_fec_in!L7=0,0,11630*1000*SER_hh_fec_in!L7/SER_hh_num_in!L7)</f>
        <v>173419.08482411402</v>
      </c>
      <c r="M7" s="132">
        <f>IF(SER_hh_fec_in!M7=0,0,11630*1000*SER_hh_fec_in!M7/SER_hh_num_in!M7)</f>
        <v>151565.89830823534</v>
      </c>
      <c r="N7" s="132">
        <f>IF(SER_hh_fec_in!N7=0,0,11630*1000*SER_hh_fec_in!N7/SER_hh_num_in!N7)</f>
        <v>142836.63060851279</v>
      </c>
      <c r="O7" s="132">
        <f>IF(SER_hh_fec_in!O7=0,0,11630*1000*SER_hh_fec_in!O7/SER_hh_num_in!O7)</f>
        <v>122274.68484503588</v>
      </c>
      <c r="P7" s="132">
        <f>IF(SER_hh_fec_in!P7=0,0,11630*1000*SER_hh_fec_in!P7/SER_hh_num_in!P7)</f>
        <v>0</v>
      </c>
      <c r="Q7" s="132">
        <f>IF(SER_hh_fec_in!Q7=0,0,11630*1000*SER_hh_fec_in!Q7/SER_hh_num_in!Q7)</f>
        <v>99288.02163996805</v>
      </c>
      <c r="R7" s="132">
        <f>IF(SER_hh_fec_in!R7=0,0,11630*1000*SER_hh_fec_in!R7/SER_hh_num_in!R7)</f>
        <v>91997.364651785538</v>
      </c>
      <c r="S7" s="132">
        <f>IF(SER_hh_fec_in!S7=0,0,11630*1000*SER_hh_fec_in!S7/SER_hh_num_in!S7)</f>
        <v>86730.652690404371</v>
      </c>
      <c r="T7" s="132">
        <f>IF(SER_hh_fec_in!T7=0,0,11630*1000*SER_hh_fec_in!T7/SER_hh_num_in!T7)</f>
        <v>80605.530341728314</v>
      </c>
      <c r="U7" s="132">
        <f>IF(SER_hh_fec_in!U7=0,0,11630*1000*SER_hh_fec_in!U7/SER_hh_num_in!U7)</f>
        <v>70642.295905448482</v>
      </c>
      <c r="V7" s="132">
        <f>IF(SER_hh_fec_in!V7=0,0,11630*1000*SER_hh_fec_in!V7/SER_hh_num_in!V7)</f>
        <v>64602.393612935433</v>
      </c>
      <c r="W7" s="132">
        <f>IF(SER_hh_fec_in!W7=0,0,11630*1000*SER_hh_fec_in!W7/SER_hh_num_in!W7)</f>
        <v>0</v>
      </c>
      <c r="X7" s="132">
        <f>IF(SER_hh_fec_in!X7=0,0,11630*1000*SER_hh_fec_in!X7/SER_hh_num_in!X7)</f>
        <v>0</v>
      </c>
      <c r="Y7" s="132">
        <f>IF(SER_hh_fec_in!Y7=0,0,11630*1000*SER_hh_fec_in!Y7/SER_hh_num_in!Y7)</f>
        <v>0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0</v>
      </c>
      <c r="D8" s="132">
        <f>IF(SER_hh_fec_in!D8=0,0,11630*1000*SER_hh_fec_in!D8/SER_hh_num_in!D8)</f>
        <v>0</v>
      </c>
      <c r="E8" s="132">
        <f>IF(SER_hh_fec_in!E8=0,0,11630*1000*SER_hh_fec_in!E8/SER_hh_num_in!E8)</f>
        <v>0</v>
      </c>
      <c r="F8" s="132">
        <f>IF(SER_hh_fec_in!F8=0,0,11630*1000*SER_hh_fec_in!F8/SER_hh_num_in!F8)</f>
        <v>0</v>
      </c>
      <c r="G8" s="132">
        <f>IF(SER_hh_fec_in!G8=0,0,11630*1000*SER_hh_fec_in!G8/SER_hh_num_in!G8)</f>
        <v>0</v>
      </c>
      <c r="H8" s="132">
        <f>IF(SER_hh_fec_in!H8=0,0,11630*1000*SER_hh_fec_in!H8/SER_hh_num_in!H8)</f>
        <v>0</v>
      </c>
      <c r="I8" s="132">
        <f>IF(SER_hh_fec_in!I8=0,0,11630*1000*SER_hh_fec_in!I8/SER_hh_num_in!I8)</f>
        <v>0</v>
      </c>
      <c r="J8" s="132">
        <f>IF(SER_hh_fec_in!J8=0,0,11630*1000*SER_hh_fec_in!J8/SER_hh_num_in!J8)</f>
        <v>0</v>
      </c>
      <c r="K8" s="132">
        <f>IF(SER_hh_fec_in!K8=0,0,11630*1000*SER_hh_fec_in!K8/SER_hh_num_in!K8)</f>
        <v>0</v>
      </c>
      <c r="L8" s="132">
        <f>IF(SER_hh_fec_in!L8=0,0,11630*1000*SER_hh_fec_in!L8/SER_hh_num_in!L8)</f>
        <v>0</v>
      </c>
      <c r="M8" s="132">
        <f>IF(SER_hh_fec_in!M8=0,0,11630*1000*SER_hh_fec_in!M8/SER_hh_num_in!M8)</f>
        <v>0</v>
      </c>
      <c r="N8" s="132">
        <f>IF(SER_hh_fec_in!N8=0,0,11630*1000*SER_hh_fec_in!N8/SER_hh_num_in!N8)</f>
        <v>0</v>
      </c>
      <c r="O8" s="132">
        <f>IF(SER_hh_fec_in!O8=0,0,11630*1000*SER_hh_fec_in!O8/SER_hh_num_in!O8)</f>
        <v>0</v>
      </c>
      <c r="P8" s="132">
        <f>IF(SER_hh_fec_in!P8=0,0,11630*1000*SER_hh_fec_in!P8/SER_hh_num_in!P8)</f>
        <v>0</v>
      </c>
      <c r="Q8" s="132">
        <f>IF(SER_hh_fec_in!Q8=0,0,11630*1000*SER_hh_fec_in!Q8/SER_hh_num_in!Q8)</f>
        <v>0</v>
      </c>
      <c r="R8" s="132">
        <f>IF(SER_hh_fec_in!R8=0,0,11630*1000*SER_hh_fec_in!R8/SER_hh_num_in!R8)</f>
        <v>0</v>
      </c>
      <c r="S8" s="132">
        <f>IF(SER_hh_fec_in!S8=0,0,11630*1000*SER_hh_fec_in!S8/SER_hh_num_in!S8)</f>
        <v>0</v>
      </c>
      <c r="T8" s="132">
        <f>IF(SER_hh_fec_in!T8=0,0,11630*1000*SER_hh_fec_in!T8/SER_hh_num_in!T8)</f>
        <v>0</v>
      </c>
      <c r="U8" s="132">
        <f>IF(SER_hh_fec_in!U8=0,0,11630*1000*SER_hh_fec_in!U8/SER_hh_num_in!U8)</f>
        <v>0</v>
      </c>
      <c r="V8" s="132">
        <f>IF(SER_hh_fec_in!V8=0,0,11630*1000*SER_hh_fec_in!V8/SER_hh_num_in!V8)</f>
        <v>0</v>
      </c>
      <c r="W8" s="132">
        <f>IF(SER_hh_fec_in!W8=0,0,11630*1000*SER_hh_fec_in!W8/SER_hh_num_in!W8)</f>
        <v>0</v>
      </c>
      <c r="X8" s="132">
        <f>IF(SER_hh_fec_in!X8=0,0,11630*1000*SER_hh_fec_in!X8/SER_hh_num_in!X8)</f>
        <v>0</v>
      </c>
      <c r="Y8" s="132">
        <f>IF(SER_hh_fec_in!Y8=0,0,11630*1000*SER_hh_fec_in!Y8/SER_hh_num_in!Y8)</f>
        <v>0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193994.09711080397</v>
      </c>
      <c r="D9" s="132">
        <f>IF(SER_hh_fec_in!D9=0,0,11630*1000*SER_hh_fec_in!D9/SER_hh_num_in!D9)</f>
        <v>267780.68517478922</v>
      </c>
      <c r="E9" s="132">
        <f>IF(SER_hh_fec_in!E9=0,0,11630*1000*SER_hh_fec_in!E9/SER_hh_num_in!E9)</f>
        <v>278202.37475372484</v>
      </c>
      <c r="F9" s="132">
        <f>IF(SER_hh_fec_in!F9=0,0,11630*1000*SER_hh_fec_in!F9/SER_hh_num_in!F9)</f>
        <v>228977.81545135207</v>
      </c>
      <c r="G9" s="132">
        <f>IF(SER_hh_fec_in!G9=0,0,11630*1000*SER_hh_fec_in!G9/SER_hh_num_in!G9)</f>
        <v>210342.2925239701</v>
      </c>
      <c r="H9" s="132">
        <f>IF(SER_hh_fec_in!H9=0,0,11630*1000*SER_hh_fec_in!H9/SER_hh_num_in!H9)</f>
        <v>196016.88817572704</v>
      </c>
      <c r="I9" s="132">
        <f>IF(SER_hh_fec_in!I9=0,0,11630*1000*SER_hh_fec_in!I9/SER_hh_num_in!I9)</f>
        <v>197913.65239667843</v>
      </c>
      <c r="J9" s="132">
        <f>IF(SER_hh_fec_in!J9=0,0,11630*1000*SER_hh_fec_in!J9/SER_hh_num_in!J9)</f>
        <v>203733.56279121531</v>
      </c>
      <c r="K9" s="132">
        <f>IF(SER_hh_fec_in!K9=0,0,11630*1000*SER_hh_fec_in!K9/SER_hh_num_in!K9)</f>
        <v>90607.450705403142</v>
      </c>
      <c r="L9" s="132">
        <f>IF(SER_hh_fec_in!L9=0,0,11630*1000*SER_hh_fec_in!L9/SER_hh_num_in!L9)</f>
        <v>185405.82656716279</v>
      </c>
      <c r="M9" s="132">
        <f>IF(SER_hh_fec_in!M9=0,0,11630*1000*SER_hh_fec_in!M9/SER_hh_num_in!M9)</f>
        <v>136212.33730169589</v>
      </c>
      <c r="N9" s="132">
        <f>IF(SER_hh_fec_in!N9=0,0,11630*1000*SER_hh_fec_in!N9/SER_hh_num_in!N9)</f>
        <v>152840.19917304462</v>
      </c>
      <c r="O9" s="132">
        <f>IF(SER_hh_fec_in!O9=0,0,11630*1000*SER_hh_fec_in!O9/SER_hh_num_in!O9)</f>
        <v>121200.20984382401</v>
      </c>
      <c r="P9" s="132">
        <f>IF(SER_hh_fec_in!P9=0,0,11630*1000*SER_hh_fec_in!P9/SER_hh_num_in!P9)</f>
        <v>106587.9817796252</v>
      </c>
      <c r="Q9" s="132">
        <f>IF(SER_hh_fec_in!Q9=0,0,11630*1000*SER_hh_fec_in!Q9/SER_hh_num_in!Q9)</f>
        <v>0</v>
      </c>
      <c r="R9" s="132">
        <f>IF(SER_hh_fec_in!R9=0,0,11630*1000*SER_hh_fec_in!R9/SER_hh_num_in!R9)</f>
        <v>0</v>
      </c>
      <c r="S9" s="132">
        <f>IF(SER_hh_fec_in!S9=0,0,11630*1000*SER_hh_fec_in!S9/SER_hh_num_in!S9)</f>
        <v>52887.972584339332</v>
      </c>
      <c r="T9" s="132">
        <f>IF(SER_hh_fec_in!T9=0,0,11630*1000*SER_hh_fec_in!T9/SER_hh_num_in!T9)</f>
        <v>72496.310668643971</v>
      </c>
      <c r="U9" s="132">
        <f>IF(SER_hh_fec_in!U9=0,0,11630*1000*SER_hh_fec_in!U9/SER_hh_num_in!U9)</f>
        <v>79336.947879340572</v>
      </c>
      <c r="V9" s="132">
        <f>IF(SER_hh_fec_in!V9=0,0,11630*1000*SER_hh_fec_in!V9/SER_hh_num_in!V9)</f>
        <v>67139.044695460412</v>
      </c>
      <c r="W9" s="132">
        <f>IF(SER_hh_fec_in!W9=0,0,11630*1000*SER_hh_fec_in!W9/SER_hh_num_in!W9)</f>
        <v>49867.793385174453</v>
      </c>
      <c r="X9" s="132">
        <f>IF(SER_hh_fec_in!X9=0,0,11630*1000*SER_hh_fec_in!X9/SER_hh_num_in!X9)</f>
        <v>32333.509300007197</v>
      </c>
      <c r="Y9" s="132">
        <f>IF(SER_hh_fec_in!Y9=0,0,11630*1000*SER_hh_fec_in!Y9/SER_hh_num_in!Y9)</f>
        <v>0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340453.16995206533</v>
      </c>
      <c r="D10" s="132">
        <f>IF(SER_hh_fec_in!D10=0,0,11630*1000*SER_hh_fec_in!D10/SER_hh_num_in!D10)</f>
        <v>230094.72542721126</v>
      </c>
      <c r="E10" s="132">
        <f>IF(SER_hh_fec_in!E10=0,0,11630*1000*SER_hh_fec_in!E10/SER_hh_num_in!E10)</f>
        <v>164949.35309715816</v>
      </c>
      <c r="F10" s="132">
        <f>IF(SER_hh_fec_in!F10=0,0,11630*1000*SER_hh_fec_in!F10/SER_hh_num_in!F10)</f>
        <v>273546.53943545779</v>
      </c>
      <c r="G10" s="132">
        <f>IF(SER_hh_fec_in!G10=0,0,11630*1000*SER_hh_fec_in!G10/SER_hh_num_in!G10)</f>
        <v>264075.88881951768</v>
      </c>
      <c r="H10" s="132">
        <f>IF(SER_hh_fec_in!H10=0,0,11630*1000*SER_hh_fec_in!H10/SER_hh_num_in!H10)</f>
        <v>182451.67988844615</v>
      </c>
      <c r="I10" s="132">
        <f>IF(SER_hh_fec_in!I10=0,0,11630*1000*SER_hh_fec_in!I10/SER_hh_num_in!I10)</f>
        <v>189482.76152841898</v>
      </c>
      <c r="J10" s="132">
        <f>IF(SER_hh_fec_in!J10=0,0,11630*1000*SER_hh_fec_in!J10/SER_hh_num_in!J10)</f>
        <v>192204.09706000114</v>
      </c>
      <c r="K10" s="132">
        <f>IF(SER_hh_fec_in!K10=0,0,11630*1000*SER_hh_fec_in!K10/SER_hh_num_in!K10)</f>
        <v>183049.13967939338</v>
      </c>
      <c r="L10" s="132">
        <f>IF(SER_hh_fec_in!L10=0,0,11630*1000*SER_hh_fec_in!L10/SER_hh_num_in!L10)</f>
        <v>175714.2809876673</v>
      </c>
      <c r="M10" s="132">
        <f>IF(SER_hh_fec_in!M10=0,0,11630*1000*SER_hh_fec_in!M10/SER_hh_num_in!M10)</f>
        <v>152096.24048666892</v>
      </c>
      <c r="N10" s="132">
        <f>IF(SER_hh_fec_in!N10=0,0,11630*1000*SER_hh_fec_in!N10/SER_hh_num_in!N10)</f>
        <v>186615.05931836949</v>
      </c>
      <c r="O10" s="132">
        <f>IF(SER_hh_fec_in!O10=0,0,11630*1000*SER_hh_fec_in!O10/SER_hh_num_in!O10)</f>
        <v>101514.79367203731</v>
      </c>
      <c r="P10" s="132">
        <f>IF(SER_hh_fec_in!P10=0,0,11630*1000*SER_hh_fec_in!P10/SER_hh_num_in!P10)</f>
        <v>133726.29153039167</v>
      </c>
      <c r="Q10" s="132">
        <f>IF(SER_hh_fec_in!Q10=0,0,11630*1000*SER_hh_fec_in!Q10/SER_hh_num_in!Q10)</f>
        <v>119771.28573400475</v>
      </c>
      <c r="R10" s="132">
        <f>IF(SER_hh_fec_in!R10=0,0,11630*1000*SER_hh_fec_in!R10/SER_hh_num_in!R10)</f>
        <v>182478.96900265344</v>
      </c>
      <c r="S10" s="132">
        <f>IF(SER_hh_fec_in!S10=0,0,11630*1000*SER_hh_fec_in!S10/SER_hh_num_in!S10)</f>
        <v>169295.15476556309</v>
      </c>
      <c r="T10" s="132">
        <f>IF(SER_hh_fec_in!T10=0,0,11630*1000*SER_hh_fec_in!T10/SER_hh_num_in!T10)</f>
        <v>158465.13761776974</v>
      </c>
      <c r="U10" s="132">
        <f>IF(SER_hh_fec_in!U10=0,0,11630*1000*SER_hh_fec_in!U10/SER_hh_num_in!U10)</f>
        <v>85937.305790736675</v>
      </c>
      <c r="V10" s="132">
        <f>IF(SER_hh_fec_in!V10=0,0,11630*1000*SER_hh_fec_in!V10/SER_hh_num_in!V10)</f>
        <v>78465.804422854271</v>
      </c>
      <c r="W10" s="132">
        <f>IF(SER_hh_fec_in!W10=0,0,11630*1000*SER_hh_fec_in!W10/SER_hh_num_in!W10)</f>
        <v>0</v>
      </c>
      <c r="X10" s="132">
        <f>IF(SER_hh_fec_in!X10=0,0,11630*1000*SER_hh_fec_in!X10/SER_hh_num_in!X10)</f>
        <v>0</v>
      </c>
      <c r="Y10" s="132">
        <f>IF(SER_hh_fec_in!Y10=0,0,11630*1000*SER_hh_fec_in!Y10/SER_hh_num_in!Y10)</f>
        <v>46897.133853346364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0</v>
      </c>
      <c r="J11" s="132">
        <f>IF(SER_hh_fec_in!J11=0,0,11630*1000*SER_hh_fec_in!J11/SER_hh_num_in!J11)</f>
        <v>0</v>
      </c>
      <c r="K11" s="132">
        <f>IF(SER_hh_fec_in!K11=0,0,11630*1000*SER_hh_fec_in!K11/SER_hh_num_in!K11)</f>
        <v>0</v>
      </c>
      <c r="L11" s="132">
        <f>IF(SER_hh_fec_in!L11=0,0,11630*1000*SER_hh_fec_in!L11/SER_hh_num_in!L11)</f>
        <v>0</v>
      </c>
      <c r="M11" s="132">
        <f>IF(SER_hh_fec_in!M11=0,0,11630*1000*SER_hh_fec_in!M11/SER_hh_num_in!M11)</f>
        <v>0</v>
      </c>
      <c r="N11" s="132">
        <f>IF(SER_hh_fec_in!N11=0,0,11630*1000*SER_hh_fec_in!N11/SER_hh_num_in!N11)</f>
        <v>0</v>
      </c>
      <c r="O11" s="132">
        <f>IF(SER_hh_fec_in!O11=0,0,11630*1000*SER_hh_fec_in!O11/SER_hh_num_in!O11)</f>
        <v>0</v>
      </c>
      <c r="P11" s="132">
        <f>IF(SER_hh_fec_in!P11=0,0,11630*1000*SER_hh_fec_in!P11/SER_hh_num_in!P11)</f>
        <v>0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0</v>
      </c>
      <c r="T11" s="132">
        <f>IF(SER_hh_fec_in!T11=0,0,11630*1000*SER_hh_fec_in!T11/SER_hh_num_in!T11)</f>
        <v>0</v>
      </c>
      <c r="U11" s="132">
        <f>IF(SER_hh_fec_in!U11=0,0,11630*1000*SER_hh_fec_in!U11/SER_hh_num_in!U11)</f>
        <v>0</v>
      </c>
      <c r="V11" s="132">
        <f>IF(SER_hh_fec_in!V11=0,0,11630*1000*SER_hh_fec_in!V11/SER_hh_num_in!V11)</f>
        <v>0</v>
      </c>
      <c r="W11" s="132">
        <f>IF(SER_hh_fec_in!W11=0,0,11630*1000*SER_hh_fec_in!W11/SER_hh_num_in!W11)</f>
        <v>0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0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184273.4455690998</v>
      </c>
      <c r="D12" s="132">
        <f>IF(SER_hh_fec_in!D12=0,0,11630*1000*SER_hh_fec_in!D12/SER_hh_num_in!D12)</f>
        <v>178905.11364027869</v>
      </c>
      <c r="E12" s="132">
        <f>IF(SER_hh_fec_in!E12=0,0,11630*1000*SER_hh_fec_in!E12/SER_hh_num_in!E12)</f>
        <v>172862.78973892709</v>
      </c>
      <c r="F12" s="132">
        <f>IF(SER_hh_fec_in!F12=0,0,11630*1000*SER_hh_fec_in!F12/SER_hh_num_in!F12)</f>
        <v>155958.57452315412</v>
      </c>
      <c r="G12" s="132">
        <f>IF(SER_hh_fec_in!G12=0,0,11630*1000*SER_hh_fec_in!G12/SER_hh_num_in!G12)</f>
        <v>147926.24297244789</v>
      </c>
      <c r="H12" s="132">
        <f>IF(SER_hh_fec_in!H12=0,0,11630*1000*SER_hh_fec_in!H12/SER_hh_num_in!H12)</f>
        <v>139677.65618752182</v>
      </c>
      <c r="I12" s="132">
        <f>IF(SER_hh_fec_in!I12=0,0,11630*1000*SER_hh_fec_in!I12/SER_hh_num_in!I12)</f>
        <v>128359.35477801714</v>
      </c>
      <c r="J12" s="132">
        <f>IF(SER_hh_fec_in!J12=0,0,11630*1000*SER_hh_fec_in!J12/SER_hh_num_in!J12)</f>
        <v>125195.18632969665</v>
      </c>
      <c r="K12" s="132">
        <f>IF(SER_hh_fec_in!K12=0,0,11630*1000*SER_hh_fec_in!K12/SER_hh_num_in!K12)</f>
        <v>122670.14886902775</v>
      </c>
      <c r="L12" s="132">
        <f>IF(SER_hh_fec_in!L12=0,0,11630*1000*SER_hh_fec_in!L12/SER_hh_num_in!L12)</f>
        <v>129369.63971300433</v>
      </c>
      <c r="M12" s="132">
        <f>IF(SER_hh_fec_in!M12=0,0,11630*1000*SER_hh_fec_in!M12/SER_hh_num_in!M12)</f>
        <v>101448.78366723499</v>
      </c>
      <c r="N12" s="132">
        <f>IF(SER_hh_fec_in!N12=0,0,11630*1000*SER_hh_fec_in!N12/SER_hh_num_in!N12)</f>
        <v>105844.27458702319</v>
      </c>
      <c r="O12" s="132">
        <f>IF(SER_hh_fec_in!O12=0,0,11630*1000*SER_hh_fec_in!O12/SER_hh_num_in!O12)</f>
        <v>99974.975856455043</v>
      </c>
      <c r="P12" s="132">
        <f>IF(SER_hh_fec_in!P12=0,0,11630*1000*SER_hh_fec_in!P12/SER_hh_num_in!P12)</f>
        <v>90436.930051644653</v>
      </c>
      <c r="Q12" s="132">
        <f>IF(SER_hh_fec_in!Q12=0,0,11630*1000*SER_hh_fec_in!Q12/SER_hh_num_in!Q12)</f>
        <v>83504.538212326996</v>
      </c>
      <c r="R12" s="132">
        <f>IF(SER_hh_fec_in!R12=0,0,11630*1000*SER_hh_fec_in!R12/SER_hh_num_in!R12)</f>
        <v>84249.665571396181</v>
      </c>
      <c r="S12" s="132">
        <f>IF(SER_hh_fec_in!S12=0,0,11630*1000*SER_hh_fec_in!S12/SER_hh_num_in!S12)</f>
        <v>73085.416651965905</v>
      </c>
      <c r="T12" s="132">
        <f>IF(SER_hh_fec_in!T12=0,0,11630*1000*SER_hh_fec_in!T12/SER_hh_num_in!T12)</f>
        <v>69936.260080644628</v>
      </c>
      <c r="U12" s="132">
        <f>IF(SER_hh_fec_in!U12=0,0,11630*1000*SER_hh_fec_in!U12/SER_hh_num_in!U12)</f>
        <v>62133.618495899551</v>
      </c>
      <c r="V12" s="132">
        <f>IF(SER_hh_fec_in!V12=0,0,11630*1000*SER_hh_fec_in!V12/SER_hh_num_in!V12)</f>
        <v>49761.853369824035</v>
      </c>
      <c r="W12" s="132">
        <f>IF(SER_hh_fec_in!W12=0,0,11630*1000*SER_hh_fec_in!W12/SER_hh_num_in!W12)</f>
        <v>45641.583876108307</v>
      </c>
      <c r="X12" s="132">
        <f>IF(SER_hh_fec_in!X12=0,0,11630*1000*SER_hh_fec_in!X12/SER_hh_num_in!X12)</f>
        <v>28058.584130523104</v>
      </c>
      <c r="Y12" s="132">
        <f>IF(SER_hh_fec_in!Y12=0,0,11630*1000*SER_hh_fec_in!Y12/SER_hh_num_in!Y12)</f>
        <v>29874.137224002312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93576.468869638484</v>
      </c>
      <c r="D13" s="132">
        <f>IF(SER_hh_fec_in!D13=0,0,11630*1000*SER_hh_fec_in!D13/SER_hh_num_in!D13)</f>
        <v>83777.011387152495</v>
      </c>
      <c r="E13" s="132">
        <f>IF(SER_hh_fec_in!E13=0,0,11630*1000*SER_hh_fec_in!E13/SER_hh_num_in!E13)</f>
        <v>70048.946158453808</v>
      </c>
      <c r="F13" s="132">
        <f>IF(SER_hh_fec_in!F13=0,0,11630*1000*SER_hh_fec_in!F13/SER_hh_num_in!F13)</f>
        <v>67452.180891716926</v>
      </c>
      <c r="G13" s="132">
        <f>IF(SER_hh_fec_in!G13=0,0,11630*1000*SER_hh_fec_in!G13/SER_hh_num_in!G13)</f>
        <v>53185.559254436746</v>
      </c>
      <c r="H13" s="132">
        <f>IF(SER_hh_fec_in!H13=0,0,11630*1000*SER_hh_fec_in!H13/SER_hh_num_in!H13)</f>
        <v>53661.064969206549</v>
      </c>
      <c r="I13" s="132">
        <f>IF(SER_hh_fec_in!I13=0,0,11630*1000*SER_hh_fec_in!I13/SER_hh_num_in!I13)</f>
        <v>52786.05651478708</v>
      </c>
      <c r="J13" s="132">
        <f>IF(SER_hh_fec_in!J13=0,0,11630*1000*SER_hh_fec_in!J13/SER_hh_num_in!J13)</f>
        <v>46577.051613513031</v>
      </c>
      <c r="K13" s="132">
        <f>IF(SER_hh_fec_in!K13=0,0,11630*1000*SER_hh_fec_in!K13/SER_hh_num_in!K13)</f>
        <v>41547.76063622997</v>
      </c>
      <c r="L13" s="132">
        <f>IF(SER_hh_fec_in!L13=0,0,11630*1000*SER_hh_fec_in!L13/SER_hh_num_in!L13)</f>
        <v>37849.511877300378</v>
      </c>
      <c r="M13" s="132">
        <f>IF(SER_hh_fec_in!M13=0,0,11630*1000*SER_hh_fec_in!M13/SER_hh_num_in!M13)</f>
        <v>33418.506993569383</v>
      </c>
      <c r="N13" s="132">
        <f>IF(SER_hh_fec_in!N13=0,0,11630*1000*SER_hh_fec_in!N13/SER_hh_num_in!N13)</f>
        <v>30371.581368498952</v>
      </c>
      <c r="O13" s="132">
        <f>IF(SER_hh_fec_in!O13=0,0,11630*1000*SER_hh_fec_in!O13/SER_hh_num_in!O13)</f>
        <v>26983.820811472331</v>
      </c>
      <c r="P13" s="132">
        <f>IF(SER_hh_fec_in!P13=0,0,11630*1000*SER_hh_fec_in!P13/SER_hh_num_in!P13)</f>
        <v>23299.545061726385</v>
      </c>
      <c r="Q13" s="132">
        <f>IF(SER_hh_fec_in!Q13=0,0,11630*1000*SER_hh_fec_in!Q13/SER_hh_num_in!Q13)</f>
        <v>20434.118179510599</v>
      </c>
      <c r="R13" s="132">
        <f>IF(SER_hh_fec_in!R13=0,0,11630*1000*SER_hh_fec_in!R13/SER_hh_num_in!R13)</f>
        <v>20407.588009111441</v>
      </c>
      <c r="S13" s="132">
        <f>IF(SER_hh_fec_in!S13=0,0,11630*1000*SER_hh_fec_in!S13/SER_hh_num_in!S13)</f>
        <v>17448.320249331558</v>
      </c>
      <c r="T13" s="132">
        <f>IF(SER_hh_fec_in!T13=0,0,11630*1000*SER_hh_fec_in!T13/SER_hh_num_in!T13)</f>
        <v>15868.222290487747</v>
      </c>
      <c r="U13" s="132">
        <f>IF(SER_hh_fec_in!U13=0,0,11630*1000*SER_hh_fec_in!U13/SER_hh_num_in!U13)</f>
        <v>13719.328579849498</v>
      </c>
      <c r="V13" s="132">
        <f>IF(SER_hh_fec_in!V13=0,0,11630*1000*SER_hh_fec_in!V13/SER_hh_num_in!V13)</f>
        <v>12706.919462145157</v>
      </c>
      <c r="W13" s="132">
        <f>IF(SER_hh_fec_in!W13=0,0,11630*1000*SER_hh_fec_in!W13/SER_hh_num_in!W13)</f>
        <v>9898.3799343227784</v>
      </c>
      <c r="X13" s="132">
        <f>IF(SER_hh_fec_in!X13=0,0,11630*1000*SER_hh_fec_in!X13/SER_hh_num_in!X13)</f>
        <v>6618.8101416738673</v>
      </c>
      <c r="Y13" s="132">
        <f>IF(SER_hh_fec_in!Y13=0,0,11630*1000*SER_hh_fec_in!Y13/SER_hh_num_in!Y13)</f>
        <v>6530.1014046018399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210589.17223204442</v>
      </c>
      <c r="D14" s="65">
        <f>IF(SER_hh_fec_in!D14=0,0,11630*1000*SER_hh_fec_in!D14/SER_hh_num_in!D14)</f>
        <v>202471.75266640511</v>
      </c>
      <c r="E14" s="65">
        <f>IF(SER_hh_fec_in!E14=0,0,11630*1000*SER_hh_fec_in!E14/SER_hh_num_in!E14)</f>
        <v>184379.07449867696</v>
      </c>
      <c r="F14" s="65">
        <f>IF(SER_hh_fec_in!F14=0,0,11630*1000*SER_hh_fec_in!F14/SER_hh_num_in!F14)</f>
        <v>177857.29446387684</v>
      </c>
      <c r="G14" s="65">
        <f>IF(SER_hh_fec_in!G14=0,0,11630*1000*SER_hh_fec_in!G14/SER_hh_num_in!G14)</f>
        <v>144270.16421608388</v>
      </c>
      <c r="H14" s="65">
        <f>IF(SER_hh_fec_in!H14=0,0,11630*1000*SER_hh_fec_in!H14/SER_hh_num_in!H14)</f>
        <v>148907.10496494715</v>
      </c>
      <c r="I14" s="65">
        <f>IF(SER_hh_fec_in!I14=0,0,11630*1000*SER_hh_fec_in!I14/SER_hh_num_in!I14)</f>
        <v>156062.17711612026</v>
      </c>
      <c r="J14" s="65">
        <f>IF(SER_hh_fec_in!J14=0,0,11630*1000*SER_hh_fec_in!J14/SER_hh_num_in!J14)</f>
        <v>146104.07873590023</v>
      </c>
      <c r="K14" s="65">
        <f>IF(SER_hh_fec_in!K14=0,0,11630*1000*SER_hh_fec_in!K14/SER_hh_num_in!K14)</f>
        <v>124237.01482163751</v>
      </c>
      <c r="L14" s="65">
        <f>IF(SER_hh_fec_in!L14=0,0,11630*1000*SER_hh_fec_in!L14/SER_hh_num_in!L14)</f>
        <v>137426.02087593323</v>
      </c>
      <c r="M14" s="65">
        <f>IF(SER_hh_fec_in!M14=0,0,11630*1000*SER_hh_fec_in!M14/SER_hh_num_in!M14)</f>
        <v>103370.95939193692</v>
      </c>
      <c r="N14" s="65">
        <f>IF(SER_hh_fec_in!N14=0,0,11630*1000*SER_hh_fec_in!N14/SER_hh_num_in!N14)</f>
        <v>110919.17148437085</v>
      </c>
      <c r="O14" s="65">
        <f>IF(SER_hh_fec_in!O14=0,0,11630*1000*SER_hh_fec_in!O14/SER_hh_num_in!O14)</f>
        <v>98431.728110815719</v>
      </c>
      <c r="P14" s="65">
        <f>IF(SER_hh_fec_in!P14=0,0,11630*1000*SER_hh_fec_in!P14/SER_hh_num_in!P14)</f>
        <v>95727.531229228873</v>
      </c>
      <c r="Q14" s="65">
        <f>IF(SER_hh_fec_in!Q14=0,0,11630*1000*SER_hh_fec_in!Q14/SER_hh_num_in!Q14)</f>
        <v>97932.262413963894</v>
      </c>
      <c r="R14" s="65">
        <f>IF(SER_hh_fec_in!R14=0,0,11630*1000*SER_hh_fec_in!R14/SER_hh_num_in!R14)</f>
        <v>96948.885122238498</v>
      </c>
      <c r="S14" s="65">
        <f>IF(SER_hh_fec_in!S14=0,0,11630*1000*SER_hh_fec_in!S14/SER_hh_num_in!S14)</f>
        <v>74234.414364138924</v>
      </c>
      <c r="T14" s="65">
        <f>IF(SER_hh_fec_in!T14=0,0,11630*1000*SER_hh_fec_in!T14/SER_hh_num_in!T14)</f>
        <v>70874.408809190078</v>
      </c>
      <c r="U14" s="65">
        <f>IF(SER_hh_fec_in!U14=0,0,11630*1000*SER_hh_fec_in!U14/SER_hh_num_in!U14)</f>
        <v>56898.338058616726</v>
      </c>
      <c r="V14" s="65">
        <f>IF(SER_hh_fec_in!V14=0,0,11630*1000*SER_hh_fec_in!V14/SER_hh_num_in!V14)</f>
        <v>51397.113779922285</v>
      </c>
      <c r="W14" s="65">
        <f>IF(SER_hh_fec_in!W14=0,0,11630*1000*SER_hh_fec_in!W14/SER_hh_num_in!W14)</f>
        <v>41017.290446825034</v>
      </c>
      <c r="X14" s="65">
        <f>IF(SER_hh_fec_in!X14=0,0,11630*1000*SER_hh_fec_in!X14/SER_hh_num_in!X14)</f>
        <v>29557.174372031699</v>
      </c>
      <c r="Y14" s="65">
        <f>IF(SER_hh_fec_in!Y14=0,0,11630*1000*SER_hh_fec_in!Y14/SER_hh_num_in!Y14)</f>
        <v>27440.614833869557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1120.0528802265594</v>
      </c>
      <c r="D15" s="134">
        <f>IF(SER_hh_fec_in!D15=0,0,11630*1000*SER_hh_fec_in!D15/SER_hh_num_in!D15)</f>
        <v>1282.1965848491925</v>
      </c>
      <c r="E15" s="134">
        <f>IF(SER_hh_fec_in!E15=0,0,11630*1000*SER_hh_fec_in!E15/SER_hh_num_in!E15)</f>
        <v>956.68094355242704</v>
      </c>
      <c r="F15" s="134">
        <f>IF(SER_hh_fec_in!F15=0,0,11630*1000*SER_hh_fec_in!F15/SER_hh_num_in!F15)</f>
        <v>729.77959713889038</v>
      </c>
      <c r="G15" s="134">
        <f>IF(SER_hh_fec_in!G15=0,0,11630*1000*SER_hh_fec_in!G15/SER_hh_num_in!G15)</f>
        <v>639.20287526013874</v>
      </c>
      <c r="H15" s="134">
        <f>IF(SER_hh_fec_in!H15=0,0,11630*1000*SER_hh_fec_in!H15/SER_hh_num_in!H15)</f>
        <v>569.74042319954333</v>
      </c>
      <c r="I15" s="134">
        <f>IF(SER_hh_fec_in!I15=0,0,11630*1000*SER_hh_fec_in!I15/SER_hh_num_in!I15)</f>
        <v>465.30107424639817</v>
      </c>
      <c r="J15" s="134">
        <f>IF(SER_hh_fec_in!J15=0,0,11630*1000*SER_hh_fec_in!J15/SER_hh_num_in!J15)</f>
        <v>451.95113450073904</v>
      </c>
      <c r="K15" s="134">
        <f>IF(SER_hh_fec_in!K15=0,0,11630*1000*SER_hh_fec_in!K15/SER_hh_num_in!K15)</f>
        <v>511.53268476675981</v>
      </c>
      <c r="L15" s="134">
        <f>IF(SER_hh_fec_in!L15=0,0,11630*1000*SER_hh_fec_in!L15/SER_hh_num_in!L15)</f>
        <v>743.3924539719045</v>
      </c>
      <c r="M15" s="134">
        <f>IF(SER_hh_fec_in!M15=0,0,11630*1000*SER_hh_fec_in!M15/SER_hh_num_in!M15)</f>
        <v>691.93371466122323</v>
      </c>
      <c r="N15" s="134">
        <f>IF(SER_hh_fec_in!N15=0,0,11630*1000*SER_hh_fec_in!N15/SER_hh_num_in!N15)</f>
        <v>701.60939973225209</v>
      </c>
      <c r="O15" s="134">
        <f>IF(SER_hh_fec_in!O15=0,0,11630*1000*SER_hh_fec_in!O15/SER_hh_num_in!O15)</f>
        <v>554.4433267163522</v>
      </c>
      <c r="P15" s="134">
        <f>IF(SER_hh_fec_in!P15=0,0,11630*1000*SER_hh_fec_in!P15/SER_hh_num_in!P15)</f>
        <v>363.34140797774381</v>
      </c>
      <c r="Q15" s="134">
        <f>IF(SER_hh_fec_in!Q15=0,0,11630*1000*SER_hh_fec_in!Q15/SER_hh_num_in!Q15)</f>
        <v>309.48666037756112</v>
      </c>
      <c r="R15" s="134">
        <f>IF(SER_hh_fec_in!R15=0,0,11630*1000*SER_hh_fec_in!R15/SER_hh_num_in!R15)</f>
        <v>363.61983467410232</v>
      </c>
      <c r="S15" s="134">
        <f>IF(SER_hh_fec_in!S15=0,0,11630*1000*SER_hh_fec_in!S15/SER_hh_num_in!S15)</f>
        <v>381.8623693247182</v>
      </c>
      <c r="T15" s="134">
        <f>IF(SER_hh_fec_in!T15=0,0,11630*1000*SER_hh_fec_in!T15/SER_hh_num_in!T15)</f>
        <v>365.96364082229002</v>
      </c>
      <c r="U15" s="134">
        <f>IF(SER_hh_fec_in!U15=0,0,11630*1000*SER_hh_fec_in!U15/SER_hh_num_in!U15)</f>
        <v>337.93847445180472</v>
      </c>
      <c r="V15" s="134">
        <f>IF(SER_hh_fec_in!V15=0,0,11630*1000*SER_hh_fec_in!V15/SER_hh_num_in!V15)</f>
        <v>231.32941148563103</v>
      </c>
      <c r="W15" s="134">
        <f>IF(SER_hh_fec_in!W15=0,0,11630*1000*SER_hh_fec_in!W15/SER_hh_num_in!W15)</f>
        <v>176.81579181167712</v>
      </c>
      <c r="X15" s="134">
        <f>IF(SER_hh_fec_in!X15=0,0,11630*1000*SER_hh_fec_in!X15/SER_hh_num_in!X15)</f>
        <v>96.362784653774213</v>
      </c>
      <c r="Y15" s="134">
        <f>IF(SER_hh_fec_in!Y15=0,0,11630*1000*SER_hh_fec_in!Y15/SER_hh_num_in!Y15)</f>
        <v>102.62217381412715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9003.5205161722915</v>
      </c>
      <c r="D16" s="130">
        <f>IF(SER_hh_fec_in!D16=0,0,11630*1000*SER_hh_fec_in!D16/SER_hh_num_in!D16)</f>
        <v>8552.6336830908385</v>
      </c>
      <c r="E16" s="130">
        <f>IF(SER_hh_fec_in!E16=0,0,11630*1000*SER_hh_fec_in!E16/SER_hh_num_in!E16)</f>
        <v>8133.9596752926782</v>
      </c>
      <c r="F16" s="130">
        <f>IF(SER_hh_fec_in!F16=0,0,11630*1000*SER_hh_fec_in!F16/SER_hh_num_in!F16)</f>
        <v>7744.3080129455357</v>
      </c>
      <c r="G16" s="130">
        <f>IF(SER_hh_fec_in!G16=0,0,11630*1000*SER_hh_fec_in!G16/SER_hh_num_in!G16)</f>
        <v>7376.2782337676272</v>
      </c>
      <c r="H16" s="130">
        <f>IF(SER_hh_fec_in!H16=0,0,11630*1000*SER_hh_fec_in!H16/SER_hh_num_in!H16)</f>
        <v>7031.3224211547631</v>
      </c>
      <c r="I16" s="130">
        <f>IF(SER_hh_fec_in!I16=0,0,11630*1000*SER_hh_fec_in!I16/SER_hh_num_in!I16)</f>
        <v>6700.7463293530836</v>
      </c>
      <c r="J16" s="130">
        <f>IF(SER_hh_fec_in!J16=0,0,11630*1000*SER_hh_fec_in!J16/SER_hh_num_in!J16)</f>
        <v>6428.2586873824903</v>
      </c>
      <c r="K16" s="130">
        <f>IF(SER_hh_fec_in!K16=0,0,11630*1000*SER_hh_fec_in!K16/SER_hh_num_in!K16)</f>
        <v>6104.1440984420333</v>
      </c>
      <c r="L16" s="130">
        <f>IF(SER_hh_fec_in!L16=0,0,11630*1000*SER_hh_fec_in!L16/SER_hh_num_in!L16)</f>
        <v>5883.7083142516694</v>
      </c>
      <c r="M16" s="130">
        <f>IF(SER_hh_fec_in!M16=0,0,11630*1000*SER_hh_fec_in!M16/SER_hh_num_in!M16)</f>
        <v>5463.4112309435577</v>
      </c>
      <c r="N16" s="130">
        <f>IF(SER_hh_fec_in!N16=0,0,11630*1000*SER_hh_fec_in!N16/SER_hh_num_in!N16)</f>
        <v>5114.4698649103802</v>
      </c>
      <c r="O16" s="130">
        <f>IF(SER_hh_fec_in!O16=0,0,11630*1000*SER_hh_fec_in!O16/SER_hh_num_in!O16)</f>
        <v>4776.0362127991921</v>
      </c>
      <c r="P16" s="130">
        <f>IF(SER_hh_fec_in!P16=0,0,11630*1000*SER_hh_fec_in!P16/SER_hh_num_in!P16)</f>
        <v>4505.070713318144</v>
      </c>
      <c r="Q16" s="130">
        <f>IF(SER_hh_fec_in!Q16=0,0,11630*1000*SER_hh_fec_in!Q16/SER_hh_num_in!Q16)</f>
        <v>4187.2856513513143</v>
      </c>
      <c r="R16" s="130">
        <f>IF(SER_hh_fec_in!R16=0,0,11630*1000*SER_hh_fec_in!R16/SER_hh_num_in!R16)</f>
        <v>3961.0908936971741</v>
      </c>
      <c r="S16" s="130">
        <f>IF(SER_hh_fec_in!S16=0,0,11630*1000*SER_hh_fec_in!S16/SER_hh_num_in!S16)</f>
        <v>3783.9182438765997</v>
      </c>
      <c r="T16" s="130">
        <f>IF(SER_hh_fec_in!T16=0,0,11630*1000*SER_hh_fec_in!T16/SER_hh_num_in!T16)</f>
        <v>3650.1345496342774</v>
      </c>
      <c r="U16" s="130">
        <f>IF(SER_hh_fec_in!U16=0,0,11630*1000*SER_hh_fec_in!U16/SER_hh_num_in!U16)</f>
        <v>3442.0101188002645</v>
      </c>
      <c r="V16" s="130">
        <f>IF(SER_hh_fec_in!V16=0,0,11630*1000*SER_hh_fec_in!V16/SER_hh_num_in!V16)</f>
        <v>3165.3847048635967</v>
      </c>
      <c r="W16" s="130">
        <f>IF(SER_hh_fec_in!W16=0,0,11630*1000*SER_hh_fec_in!W16/SER_hh_num_in!W16)</f>
        <v>2800.3412470935673</v>
      </c>
      <c r="X16" s="130">
        <f>IF(SER_hh_fec_in!X16=0,0,11630*1000*SER_hh_fec_in!X16/SER_hh_num_in!X16)</f>
        <v>2295.6856419443029</v>
      </c>
      <c r="Y16" s="130">
        <f>IF(SER_hh_fec_in!Y16=0,0,11630*1000*SER_hh_fec_in!Y16/SER_hh_num_in!Y16)</f>
        <v>2385.0571509776287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0</v>
      </c>
      <c r="D17" s="132">
        <f>IF(SER_hh_fec_in!D17=0,0,11630*1000*SER_hh_fec_in!D17/SER_hh_num_in!D17)</f>
        <v>0</v>
      </c>
      <c r="E17" s="132">
        <f>IF(SER_hh_fec_in!E17=0,0,11630*1000*SER_hh_fec_in!E17/SER_hh_num_in!E17)</f>
        <v>0</v>
      </c>
      <c r="F17" s="132">
        <f>IF(SER_hh_fec_in!F17=0,0,11630*1000*SER_hh_fec_in!F17/SER_hh_num_in!F17)</f>
        <v>0</v>
      </c>
      <c r="G17" s="132">
        <f>IF(SER_hh_fec_in!G17=0,0,11630*1000*SER_hh_fec_in!G17/SER_hh_num_in!G17)</f>
        <v>0</v>
      </c>
      <c r="H17" s="132">
        <f>IF(SER_hh_fec_in!H17=0,0,11630*1000*SER_hh_fec_in!H17/SER_hh_num_in!H17)</f>
        <v>0</v>
      </c>
      <c r="I17" s="132">
        <f>IF(SER_hh_fec_in!I17=0,0,11630*1000*SER_hh_fec_in!I17/SER_hh_num_in!I17)</f>
        <v>0</v>
      </c>
      <c r="J17" s="132">
        <f>IF(SER_hh_fec_in!J17=0,0,11630*1000*SER_hh_fec_in!J17/SER_hh_num_in!J17)</f>
        <v>0</v>
      </c>
      <c r="K17" s="132">
        <f>IF(SER_hh_fec_in!K17=0,0,11630*1000*SER_hh_fec_in!K17/SER_hh_num_in!K17)</f>
        <v>0</v>
      </c>
      <c r="L17" s="132">
        <f>IF(SER_hh_fec_in!L17=0,0,11630*1000*SER_hh_fec_in!L17/SER_hh_num_in!L17)</f>
        <v>0</v>
      </c>
      <c r="M17" s="132">
        <f>IF(SER_hh_fec_in!M17=0,0,11630*1000*SER_hh_fec_in!M17/SER_hh_num_in!M17)</f>
        <v>0</v>
      </c>
      <c r="N17" s="132">
        <f>IF(SER_hh_fec_in!N17=0,0,11630*1000*SER_hh_fec_in!N17/SER_hh_num_in!N17)</f>
        <v>0</v>
      </c>
      <c r="O17" s="132">
        <f>IF(SER_hh_fec_in!O17=0,0,11630*1000*SER_hh_fec_in!O17/SER_hh_num_in!O17)</f>
        <v>0</v>
      </c>
      <c r="P17" s="132">
        <f>IF(SER_hh_fec_in!P17=0,0,11630*1000*SER_hh_fec_in!P17/SER_hh_num_in!P17)</f>
        <v>0</v>
      </c>
      <c r="Q17" s="132">
        <f>IF(SER_hh_fec_in!Q17=0,0,11630*1000*SER_hh_fec_in!Q17/SER_hh_num_in!Q17)</f>
        <v>0</v>
      </c>
      <c r="R17" s="132">
        <f>IF(SER_hh_fec_in!R17=0,0,11630*1000*SER_hh_fec_in!R17/SER_hh_num_in!R17)</f>
        <v>0</v>
      </c>
      <c r="S17" s="132">
        <f>IF(SER_hh_fec_in!S17=0,0,11630*1000*SER_hh_fec_in!S17/SER_hh_num_in!S17)</f>
        <v>0</v>
      </c>
      <c r="T17" s="132">
        <f>IF(SER_hh_fec_in!T17=0,0,11630*1000*SER_hh_fec_in!T17/SER_hh_num_in!T17)</f>
        <v>0</v>
      </c>
      <c r="U17" s="132">
        <f>IF(SER_hh_fec_in!U17=0,0,11630*1000*SER_hh_fec_in!U17/SER_hh_num_in!U17)</f>
        <v>0</v>
      </c>
      <c r="V17" s="132">
        <f>IF(SER_hh_fec_in!V17=0,0,11630*1000*SER_hh_fec_in!V17/SER_hh_num_in!V17)</f>
        <v>0</v>
      </c>
      <c r="W17" s="132">
        <f>IF(SER_hh_fec_in!W17=0,0,11630*1000*SER_hh_fec_in!W17/SER_hh_num_in!W17)</f>
        <v>0</v>
      </c>
      <c r="X17" s="132">
        <f>IF(SER_hh_fec_in!X17=0,0,11630*1000*SER_hh_fec_in!X17/SER_hh_num_in!X17)</f>
        <v>0</v>
      </c>
      <c r="Y17" s="132">
        <f>IF(SER_hh_fec_in!Y17=0,0,11630*1000*SER_hh_fec_in!Y17/SER_hh_num_in!Y17)</f>
        <v>0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9003.5205161722915</v>
      </c>
      <c r="D18" s="132">
        <f>IF(SER_hh_fec_in!D18=0,0,11630*1000*SER_hh_fec_in!D18/SER_hh_num_in!D18)</f>
        <v>8552.6336830908385</v>
      </c>
      <c r="E18" s="132">
        <f>IF(SER_hh_fec_in!E18=0,0,11630*1000*SER_hh_fec_in!E18/SER_hh_num_in!E18)</f>
        <v>8133.9596752926782</v>
      </c>
      <c r="F18" s="132">
        <f>IF(SER_hh_fec_in!F18=0,0,11630*1000*SER_hh_fec_in!F18/SER_hh_num_in!F18)</f>
        <v>7744.3080129455357</v>
      </c>
      <c r="G18" s="132">
        <f>IF(SER_hh_fec_in!G18=0,0,11630*1000*SER_hh_fec_in!G18/SER_hh_num_in!G18)</f>
        <v>7376.2782337676272</v>
      </c>
      <c r="H18" s="132">
        <f>IF(SER_hh_fec_in!H18=0,0,11630*1000*SER_hh_fec_in!H18/SER_hh_num_in!H18)</f>
        <v>7031.3224211547631</v>
      </c>
      <c r="I18" s="132">
        <f>IF(SER_hh_fec_in!I18=0,0,11630*1000*SER_hh_fec_in!I18/SER_hh_num_in!I18)</f>
        <v>6700.7463293530836</v>
      </c>
      <c r="J18" s="132">
        <f>IF(SER_hh_fec_in!J18=0,0,11630*1000*SER_hh_fec_in!J18/SER_hh_num_in!J18)</f>
        <v>6428.2586873824903</v>
      </c>
      <c r="K18" s="132">
        <f>IF(SER_hh_fec_in!K18=0,0,11630*1000*SER_hh_fec_in!K18/SER_hh_num_in!K18)</f>
        <v>6104.1440984420333</v>
      </c>
      <c r="L18" s="132">
        <f>IF(SER_hh_fec_in!L18=0,0,11630*1000*SER_hh_fec_in!L18/SER_hh_num_in!L18)</f>
        <v>5883.7083142516694</v>
      </c>
      <c r="M18" s="132">
        <f>IF(SER_hh_fec_in!M18=0,0,11630*1000*SER_hh_fec_in!M18/SER_hh_num_in!M18)</f>
        <v>5463.4112309435577</v>
      </c>
      <c r="N18" s="132">
        <f>IF(SER_hh_fec_in!N18=0,0,11630*1000*SER_hh_fec_in!N18/SER_hh_num_in!N18)</f>
        <v>5114.4698649103802</v>
      </c>
      <c r="O18" s="132">
        <f>IF(SER_hh_fec_in!O18=0,0,11630*1000*SER_hh_fec_in!O18/SER_hh_num_in!O18)</f>
        <v>4776.0362127991921</v>
      </c>
      <c r="P18" s="132">
        <f>IF(SER_hh_fec_in!P18=0,0,11630*1000*SER_hh_fec_in!P18/SER_hh_num_in!P18)</f>
        <v>4505.070713318144</v>
      </c>
      <c r="Q18" s="132">
        <f>IF(SER_hh_fec_in!Q18=0,0,11630*1000*SER_hh_fec_in!Q18/SER_hh_num_in!Q18)</f>
        <v>4187.2856513513143</v>
      </c>
      <c r="R18" s="132">
        <f>IF(SER_hh_fec_in!R18=0,0,11630*1000*SER_hh_fec_in!R18/SER_hh_num_in!R18)</f>
        <v>3961.0908936971741</v>
      </c>
      <c r="S18" s="132">
        <f>IF(SER_hh_fec_in!S18=0,0,11630*1000*SER_hh_fec_in!S18/SER_hh_num_in!S18)</f>
        <v>3783.9182438765997</v>
      </c>
      <c r="T18" s="132">
        <f>IF(SER_hh_fec_in!T18=0,0,11630*1000*SER_hh_fec_in!T18/SER_hh_num_in!T18)</f>
        <v>3650.1345496342774</v>
      </c>
      <c r="U18" s="132">
        <f>IF(SER_hh_fec_in!U18=0,0,11630*1000*SER_hh_fec_in!U18/SER_hh_num_in!U18)</f>
        <v>3442.0101188002645</v>
      </c>
      <c r="V18" s="132">
        <f>IF(SER_hh_fec_in!V18=0,0,11630*1000*SER_hh_fec_in!V18/SER_hh_num_in!V18)</f>
        <v>3165.3847048635967</v>
      </c>
      <c r="W18" s="132">
        <f>IF(SER_hh_fec_in!W18=0,0,11630*1000*SER_hh_fec_in!W18/SER_hh_num_in!W18)</f>
        <v>2800.3412470935673</v>
      </c>
      <c r="X18" s="132">
        <f>IF(SER_hh_fec_in!X18=0,0,11630*1000*SER_hh_fec_in!X18/SER_hh_num_in!X18)</f>
        <v>2295.6856419443029</v>
      </c>
      <c r="Y18" s="132">
        <f>IF(SER_hh_fec_in!Y18=0,0,11630*1000*SER_hh_fec_in!Y18/SER_hh_num_in!Y18)</f>
        <v>2385.0571509776287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25266.910573762831</v>
      </c>
      <c r="D19" s="130">
        <f>IF(SER_hh_fec_in!D19=0,0,11630*1000*SER_hh_fec_in!D19/SER_hh_num_in!D19)</f>
        <v>24650.464924966283</v>
      </c>
      <c r="E19" s="130">
        <f>IF(SER_hh_fec_in!E19=0,0,11630*1000*SER_hh_fec_in!E19/SER_hh_num_in!E19)</f>
        <v>23637.786430091786</v>
      </c>
      <c r="F19" s="130">
        <f>IF(SER_hh_fec_in!F19=0,0,11630*1000*SER_hh_fec_in!F19/SER_hh_num_in!F19)</f>
        <v>22871.069540201355</v>
      </c>
      <c r="G19" s="130">
        <f>IF(SER_hh_fec_in!G19=0,0,11630*1000*SER_hh_fec_in!G19/SER_hh_num_in!G19)</f>
        <v>23698.717174315592</v>
      </c>
      <c r="H19" s="130">
        <f>IF(SER_hh_fec_in!H19=0,0,11630*1000*SER_hh_fec_in!H19/SER_hh_num_in!H19)</f>
        <v>22920.521896422462</v>
      </c>
      <c r="I19" s="130">
        <f>IF(SER_hh_fec_in!I19=0,0,11630*1000*SER_hh_fec_in!I19/SER_hh_num_in!I19)</f>
        <v>23455.760919302196</v>
      </c>
      <c r="J19" s="130">
        <f>IF(SER_hh_fec_in!J19=0,0,11630*1000*SER_hh_fec_in!J19/SER_hh_num_in!J19)</f>
        <v>23379.919857111829</v>
      </c>
      <c r="K19" s="130">
        <f>IF(SER_hh_fec_in!K19=0,0,11630*1000*SER_hh_fec_in!K19/SER_hh_num_in!K19)</f>
        <v>23986.321617553149</v>
      </c>
      <c r="L19" s="130">
        <f>IF(SER_hh_fec_in!L19=0,0,11630*1000*SER_hh_fec_in!L19/SER_hh_num_in!L19)</f>
        <v>23227.193735811787</v>
      </c>
      <c r="M19" s="130">
        <f>IF(SER_hh_fec_in!M19=0,0,11630*1000*SER_hh_fec_in!M19/SER_hh_num_in!M19)</f>
        <v>23162.767328629518</v>
      </c>
      <c r="N19" s="130">
        <f>IF(SER_hh_fec_in!N19=0,0,11630*1000*SER_hh_fec_in!N19/SER_hh_num_in!N19)</f>
        <v>24060.575868803277</v>
      </c>
      <c r="O19" s="130">
        <f>IF(SER_hh_fec_in!O19=0,0,11630*1000*SER_hh_fec_in!O19/SER_hh_num_in!O19)</f>
        <v>23168.004842850391</v>
      </c>
      <c r="P19" s="130">
        <f>IF(SER_hh_fec_in!P19=0,0,11630*1000*SER_hh_fec_in!P19/SER_hh_num_in!P19)</f>
        <v>21434.391099144032</v>
      </c>
      <c r="Q19" s="130">
        <f>IF(SER_hh_fec_in!Q19=0,0,11630*1000*SER_hh_fec_in!Q19/SER_hh_num_in!Q19)</f>
        <v>21172.260261708911</v>
      </c>
      <c r="R19" s="130">
        <f>IF(SER_hh_fec_in!R19=0,0,11630*1000*SER_hh_fec_in!R19/SER_hh_num_in!R19)</f>
        <v>20444.331064261518</v>
      </c>
      <c r="S19" s="130">
        <f>IF(SER_hh_fec_in!S19=0,0,11630*1000*SER_hh_fec_in!S19/SER_hh_num_in!S19)</f>
        <v>19992.467332608896</v>
      </c>
      <c r="T19" s="130">
        <f>IF(SER_hh_fec_in!T19=0,0,11630*1000*SER_hh_fec_in!T19/SER_hh_num_in!T19)</f>
        <v>19254.849993633219</v>
      </c>
      <c r="U19" s="130">
        <f>IF(SER_hh_fec_in!U19=0,0,11630*1000*SER_hh_fec_in!U19/SER_hh_num_in!U19)</f>
        <v>18897.216270851561</v>
      </c>
      <c r="V19" s="130">
        <f>IF(SER_hh_fec_in!V19=0,0,11630*1000*SER_hh_fec_in!V19/SER_hh_num_in!V19)</f>
        <v>18846.176838305837</v>
      </c>
      <c r="W19" s="130">
        <f>IF(SER_hh_fec_in!W19=0,0,11630*1000*SER_hh_fec_in!W19/SER_hh_num_in!W19)</f>
        <v>18497.547222540146</v>
      </c>
      <c r="X19" s="130">
        <f>IF(SER_hh_fec_in!X19=0,0,11630*1000*SER_hh_fec_in!X19/SER_hh_num_in!X19)</f>
        <v>17459.657927343451</v>
      </c>
      <c r="Y19" s="130">
        <f>IF(SER_hh_fec_in!Y19=0,0,11630*1000*SER_hh_fec_in!Y19/SER_hh_num_in!Y19)</f>
        <v>17177.783491554888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0</v>
      </c>
      <c r="D21" s="132">
        <f>IF(SER_hh_fec_in!D21=0,0,11630*1000*SER_hh_fec_in!D21/SER_hh_num_in!D21)</f>
        <v>0</v>
      </c>
      <c r="E21" s="132">
        <f>IF(SER_hh_fec_in!E21=0,0,11630*1000*SER_hh_fec_in!E21/SER_hh_num_in!E21)</f>
        <v>0</v>
      </c>
      <c r="F21" s="132">
        <f>IF(SER_hh_fec_in!F21=0,0,11630*1000*SER_hh_fec_in!F21/SER_hh_num_in!F21)</f>
        <v>0</v>
      </c>
      <c r="G21" s="132">
        <f>IF(SER_hh_fec_in!G21=0,0,11630*1000*SER_hh_fec_in!G21/SER_hh_num_in!G21)</f>
        <v>0</v>
      </c>
      <c r="H21" s="132">
        <f>IF(SER_hh_fec_in!H21=0,0,11630*1000*SER_hh_fec_in!H21/SER_hh_num_in!H21)</f>
        <v>0</v>
      </c>
      <c r="I21" s="132">
        <f>IF(SER_hh_fec_in!I21=0,0,11630*1000*SER_hh_fec_in!I21/SER_hh_num_in!I21)</f>
        <v>0</v>
      </c>
      <c r="J21" s="132">
        <f>IF(SER_hh_fec_in!J21=0,0,11630*1000*SER_hh_fec_in!J21/SER_hh_num_in!J21)</f>
        <v>0</v>
      </c>
      <c r="K21" s="132">
        <f>IF(SER_hh_fec_in!K21=0,0,11630*1000*SER_hh_fec_in!K21/SER_hh_num_in!K21)</f>
        <v>0</v>
      </c>
      <c r="L21" s="132">
        <f>IF(SER_hh_fec_in!L21=0,0,11630*1000*SER_hh_fec_in!L21/SER_hh_num_in!L21)</f>
        <v>0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0</v>
      </c>
      <c r="O21" s="132">
        <f>IF(SER_hh_fec_in!O21=0,0,11630*1000*SER_hh_fec_in!O21/SER_hh_num_in!O21)</f>
        <v>0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0</v>
      </c>
      <c r="S21" s="132">
        <f>IF(SER_hh_fec_in!S21=0,0,11630*1000*SER_hh_fec_in!S21/SER_hh_num_in!S21)</f>
        <v>0</v>
      </c>
      <c r="T21" s="132">
        <f>IF(SER_hh_fec_in!T21=0,0,11630*1000*SER_hh_fec_in!T21/SER_hh_num_in!T21)</f>
        <v>0</v>
      </c>
      <c r="U21" s="132">
        <f>IF(SER_hh_fec_in!U21=0,0,11630*1000*SER_hh_fec_in!U21/SER_hh_num_in!U21)</f>
        <v>0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0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33087.726245723003</v>
      </c>
      <c r="D22" s="132">
        <f>IF(SER_hh_fec_in!D22=0,0,11630*1000*SER_hh_fec_in!D22/SER_hh_num_in!D22)</f>
        <v>32758.120139997387</v>
      </c>
      <c r="E22" s="132">
        <f>IF(SER_hh_fec_in!E22=0,0,11630*1000*SER_hh_fec_in!E22/SER_hh_num_in!E22)</f>
        <v>33926.47467837845</v>
      </c>
      <c r="F22" s="132">
        <f>IF(SER_hh_fec_in!F22=0,0,11630*1000*SER_hh_fec_in!F22/SER_hh_num_in!F22)</f>
        <v>0</v>
      </c>
      <c r="G22" s="132">
        <f>IF(SER_hh_fec_in!G22=0,0,11630*1000*SER_hh_fec_in!G22/SER_hh_num_in!G22)</f>
        <v>0</v>
      </c>
      <c r="H22" s="132">
        <f>IF(SER_hh_fec_in!H22=0,0,11630*1000*SER_hh_fec_in!H22/SER_hh_num_in!H22)</f>
        <v>0</v>
      </c>
      <c r="I22" s="132">
        <f>IF(SER_hh_fec_in!I22=0,0,11630*1000*SER_hh_fec_in!I22/SER_hh_num_in!I22)</f>
        <v>0</v>
      </c>
      <c r="J22" s="132">
        <f>IF(SER_hh_fec_in!J22=0,0,11630*1000*SER_hh_fec_in!J22/SER_hh_num_in!J22)</f>
        <v>0</v>
      </c>
      <c r="K22" s="132">
        <f>IF(SER_hh_fec_in!K22=0,0,11630*1000*SER_hh_fec_in!K22/SER_hh_num_in!K22)</f>
        <v>0</v>
      </c>
      <c r="L22" s="132">
        <f>IF(SER_hh_fec_in!L22=0,0,11630*1000*SER_hh_fec_in!L22/SER_hh_num_in!L22)</f>
        <v>0</v>
      </c>
      <c r="M22" s="132">
        <f>IF(SER_hh_fec_in!M22=0,0,11630*1000*SER_hh_fec_in!M22/SER_hh_num_in!M22)</f>
        <v>25894.139347657787</v>
      </c>
      <c r="N22" s="132">
        <f>IF(SER_hh_fec_in!N22=0,0,11630*1000*SER_hh_fec_in!N22/SER_hh_num_in!N22)</f>
        <v>31924.203820209626</v>
      </c>
      <c r="O22" s="132">
        <f>IF(SER_hh_fec_in!O22=0,0,11630*1000*SER_hh_fec_in!O22/SER_hh_num_in!O22)</f>
        <v>30566.697254633727</v>
      </c>
      <c r="P22" s="132">
        <f>IF(SER_hh_fec_in!P22=0,0,11630*1000*SER_hh_fec_in!P22/SER_hh_num_in!P22)</f>
        <v>20511.338936596276</v>
      </c>
      <c r="Q22" s="132">
        <f>IF(SER_hh_fec_in!Q22=0,0,11630*1000*SER_hh_fec_in!Q22/SER_hh_num_in!Q22)</f>
        <v>25747.391599367442</v>
      </c>
      <c r="R22" s="132">
        <f>IF(SER_hh_fec_in!R22=0,0,11630*1000*SER_hh_fec_in!R22/SER_hh_num_in!R22)</f>
        <v>23712.22481521633</v>
      </c>
      <c r="S22" s="132">
        <f>IF(SER_hh_fec_in!S22=0,0,11630*1000*SER_hh_fec_in!S22/SER_hh_num_in!S22)</f>
        <v>22877.67062385938</v>
      </c>
      <c r="T22" s="132">
        <f>IF(SER_hh_fec_in!T22=0,0,11630*1000*SER_hh_fec_in!T22/SER_hh_num_in!T22)</f>
        <v>22499.613870628968</v>
      </c>
      <c r="U22" s="132">
        <f>IF(SER_hh_fec_in!U22=0,0,11630*1000*SER_hh_fec_in!U22/SER_hh_num_in!U22)</f>
        <v>21480.74189437781</v>
      </c>
      <c r="V22" s="132">
        <f>IF(SER_hh_fec_in!V22=0,0,11630*1000*SER_hh_fec_in!V22/SER_hh_num_in!V22)</f>
        <v>0</v>
      </c>
      <c r="W22" s="132">
        <f>IF(SER_hh_fec_in!W22=0,0,11630*1000*SER_hh_fec_in!W22/SER_hh_num_in!W22)</f>
        <v>0</v>
      </c>
      <c r="X22" s="132">
        <f>IF(SER_hh_fec_in!X22=0,0,11630*1000*SER_hh_fec_in!X22/SER_hh_num_in!X22)</f>
        <v>0</v>
      </c>
      <c r="Y22" s="132">
        <f>IF(SER_hh_fec_in!Y22=0,0,11630*1000*SER_hh_fec_in!Y22/SER_hh_num_in!Y22)</f>
        <v>0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27636.666437281579</v>
      </c>
      <c r="D23" s="132">
        <f>IF(SER_hh_fec_in!D23=0,0,11630*1000*SER_hh_fec_in!D23/SER_hh_num_in!D23)</f>
        <v>29823.14277167953</v>
      </c>
      <c r="E23" s="132">
        <f>IF(SER_hh_fec_in!E23=0,0,11630*1000*SER_hh_fec_in!E23/SER_hh_num_in!E23)</f>
        <v>31059.367798840201</v>
      </c>
      <c r="F23" s="132">
        <f>IF(SER_hh_fec_in!F23=0,0,11630*1000*SER_hh_fec_in!F23/SER_hh_num_in!F23)</f>
        <v>27352.48872427762</v>
      </c>
      <c r="G23" s="132">
        <f>IF(SER_hh_fec_in!G23=0,0,11630*1000*SER_hh_fec_in!G23/SER_hh_num_in!G23)</f>
        <v>27648.885934353071</v>
      </c>
      <c r="H23" s="132">
        <f>IF(SER_hh_fec_in!H23=0,0,11630*1000*SER_hh_fec_in!H23/SER_hh_num_in!H23)</f>
        <v>30361.697019750234</v>
      </c>
      <c r="I23" s="132">
        <f>IF(SER_hh_fec_in!I23=0,0,11630*1000*SER_hh_fec_in!I23/SER_hh_num_in!I23)</f>
        <v>27824.68329749586</v>
      </c>
      <c r="J23" s="132">
        <f>IF(SER_hh_fec_in!J23=0,0,11630*1000*SER_hh_fec_in!J23/SER_hh_num_in!J23)</f>
        <v>28368.635499309759</v>
      </c>
      <c r="K23" s="132">
        <f>IF(SER_hh_fec_in!K23=0,0,11630*1000*SER_hh_fec_in!K23/SER_hh_num_in!K23)</f>
        <v>27279.516706343227</v>
      </c>
      <c r="L23" s="132">
        <f>IF(SER_hh_fec_in!L23=0,0,11630*1000*SER_hh_fec_in!L23/SER_hh_num_in!L23)</f>
        <v>27454.458712389907</v>
      </c>
      <c r="M23" s="132">
        <f>IF(SER_hh_fec_in!M23=0,0,11630*1000*SER_hh_fec_in!M23/SER_hh_num_in!M23)</f>
        <v>26256.295499323976</v>
      </c>
      <c r="N23" s="132">
        <f>IF(SER_hh_fec_in!N23=0,0,11630*1000*SER_hh_fec_in!N23/SER_hh_num_in!N23)</f>
        <v>25330.647341522657</v>
      </c>
      <c r="O23" s="132">
        <f>IF(SER_hh_fec_in!O23=0,0,11630*1000*SER_hh_fec_in!O23/SER_hh_num_in!O23)</f>
        <v>24353.092952306204</v>
      </c>
      <c r="P23" s="132">
        <f>IF(SER_hh_fec_in!P23=0,0,11630*1000*SER_hh_fec_in!P23/SER_hh_num_in!P23)</f>
        <v>23990.639039725032</v>
      </c>
      <c r="Q23" s="132">
        <f>IF(SER_hh_fec_in!Q23=0,0,11630*1000*SER_hh_fec_in!Q23/SER_hh_num_in!Q23)</f>
        <v>23207.217601411481</v>
      </c>
      <c r="R23" s="132">
        <f>IF(SER_hh_fec_in!R23=0,0,11630*1000*SER_hh_fec_in!R23/SER_hh_num_in!R23)</f>
        <v>24300.688031435442</v>
      </c>
      <c r="S23" s="132">
        <f>IF(SER_hh_fec_in!S23=0,0,11630*1000*SER_hh_fec_in!S23/SER_hh_num_in!S23)</f>
        <v>13893.42739348312</v>
      </c>
      <c r="T23" s="132">
        <f>IF(SER_hh_fec_in!T23=0,0,11630*1000*SER_hh_fec_in!T23/SER_hh_num_in!T23)</f>
        <v>18749.57504491194</v>
      </c>
      <c r="U23" s="132">
        <f>IF(SER_hh_fec_in!U23=0,0,11630*1000*SER_hh_fec_in!U23/SER_hh_num_in!U23)</f>
        <v>23041.598906022416</v>
      </c>
      <c r="V23" s="132">
        <f>IF(SER_hh_fec_in!V23=0,0,11630*1000*SER_hh_fec_in!V23/SER_hh_num_in!V23)</f>
        <v>21699.82773732749</v>
      </c>
      <c r="W23" s="132">
        <f>IF(SER_hh_fec_in!W23=0,0,11630*1000*SER_hh_fec_in!W23/SER_hh_num_in!W23)</f>
        <v>21397.164764220506</v>
      </c>
      <c r="X23" s="132">
        <f>IF(SER_hh_fec_in!X23=0,0,11630*1000*SER_hh_fec_in!X23/SER_hh_num_in!X23)</f>
        <v>18670.917547463057</v>
      </c>
      <c r="Y23" s="132">
        <f>IF(SER_hh_fec_in!Y23=0,0,11630*1000*SER_hh_fec_in!Y23/SER_hh_num_in!Y23)</f>
        <v>0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21618.540728254196</v>
      </c>
      <c r="D25" s="132">
        <f>IF(SER_hh_fec_in!D25=0,0,11630*1000*SER_hh_fec_in!D25/SER_hh_num_in!D25)</f>
        <v>21307.353119012991</v>
      </c>
      <c r="E25" s="132">
        <f>IF(SER_hh_fec_in!E25=0,0,11630*1000*SER_hh_fec_in!E25/SER_hh_num_in!E25)</f>
        <v>20963.92913013828</v>
      </c>
      <c r="F25" s="132">
        <f>IF(SER_hh_fec_in!F25=0,0,11630*1000*SER_hh_fec_in!F25/SER_hh_num_in!F25)</f>
        <v>21195.135191065885</v>
      </c>
      <c r="G25" s="132">
        <f>IF(SER_hh_fec_in!G25=0,0,11630*1000*SER_hh_fec_in!G25/SER_hh_num_in!G25)</f>
        <v>21614.485812600127</v>
      </c>
      <c r="H25" s="132">
        <f>IF(SER_hh_fec_in!H25=0,0,11630*1000*SER_hh_fec_in!H25/SER_hh_num_in!H25)</f>
        <v>21644.041659608039</v>
      </c>
      <c r="I25" s="132">
        <f>IF(SER_hh_fec_in!I25=0,0,11630*1000*SER_hh_fec_in!I25/SER_hh_num_in!I25)</f>
        <v>20941.03315021778</v>
      </c>
      <c r="J25" s="132">
        <f>IF(SER_hh_fec_in!J25=0,0,11630*1000*SER_hh_fec_in!J25/SER_hh_num_in!J25)</f>
        <v>21223.981378053919</v>
      </c>
      <c r="K25" s="132">
        <f>IF(SER_hh_fec_in!K25=0,0,11630*1000*SER_hh_fec_in!K25/SER_hh_num_in!K25)</f>
        <v>21135.199962745759</v>
      </c>
      <c r="L25" s="132">
        <f>IF(SER_hh_fec_in!L25=0,0,11630*1000*SER_hh_fec_in!L25/SER_hh_num_in!L25)</f>
        <v>20966.356152248536</v>
      </c>
      <c r="M25" s="132">
        <f>IF(SER_hh_fec_in!M25=0,0,11630*1000*SER_hh_fec_in!M25/SER_hh_num_in!M25)</f>
        <v>20981.459614970354</v>
      </c>
      <c r="N25" s="132">
        <f>IF(SER_hh_fec_in!N25=0,0,11630*1000*SER_hh_fec_in!N25/SER_hh_num_in!N25)</f>
        <v>21124.741788079384</v>
      </c>
      <c r="O25" s="132">
        <f>IF(SER_hh_fec_in!O25=0,0,11630*1000*SER_hh_fec_in!O25/SER_hh_num_in!O25)</f>
        <v>20698.905889027716</v>
      </c>
      <c r="P25" s="132">
        <f>IF(SER_hh_fec_in!P25=0,0,11630*1000*SER_hh_fec_in!P25/SER_hh_num_in!P25)</f>
        <v>20295.856018830862</v>
      </c>
      <c r="Q25" s="132">
        <f>IF(SER_hh_fec_in!Q25=0,0,11630*1000*SER_hh_fec_in!Q25/SER_hh_num_in!Q25)</f>
        <v>19776.355661348229</v>
      </c>
      <c r="R25" s="132">
        <f>IF(SER_hh_fec_in!R25=0,0,11630*1000*SER_hh_fec_in!R25/SER_hh_num_in!R25)</f>
        <v>20373.790853700255</v>
      </c>
      <c r="S25" s="132">
        <f>IF(SER_hh_fec_in!S25=0,0,11630*1000*SER_hh_fec_in!S25/SER_hh_num_in!S25)</f>
        <v>19079.132531380008</v>
      </c>
      <c r="T25" s="132">
        <f>IF(SER_hh_fec_in!T25=0,0,11630*1000*SER_hh_fec_in!T25/SER_hh_num_in!T25)</f>
        <v>19790.889287079681</v>
      </c>
      <c r="U25" s="132">
        <f>IF(SER_hh_fec_in!U25=0,0,11630*1000*SER_hh_fec_in!U25/SER_hh_num_in!U25)</f>
        <v>19537.506311455953</v>
      </c>
      <c r="V25" s="132">
        <f>IF(SER_hh_fec_in!V25=0,0,11630*1000*SER_hh_fec_in!V25/SER_hh_num_in!V25)</f>
        <v>16688.231981331377</v>
      </c>
      <c r="W25" s="132">
        <f>IF(SER_hh_fec_in!W25=0,0,11630*1000*SER_hh_fec_in!W25/SER_hh_num_in!W25)</f>
        <v>19394.46097540655</v>
      </c>
      <c r="X25" s="132">
        <f>IF(SER_hh_fec_in!X25=0,0,11630*1000*SER_hh_fec_in!X25/SER_hh_num_in!X25)</f>
        <v>17977.095748328418</v>
      </c>
      <c r="Y25" s="132">
        <f>IF(SER_hh_fec_in!Y25=0,0,11630*1000*SER_hh_fec_in!Y25/SER_hh_num_in!Y25)</f>
        <v>17546.871846188853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26117.032612430354</v>
      </c>
      <c r="D26" s="65">
        <f>IF(SER_hh_fec_in!D26=0,0,11630*1000*SER_hh_fec_in!D26/SER_hh_num_in!D26)</f>
        <v>26050.386908591139</v>
      </c>
      <c r="E26" s="65">
        <f>IF(SER_hh_fec_in!E26=0,0,11630*1000*SER_hh_fec_in!E26/SER_hh_num_in!E26)</f>
        <v>25885.592291740126</v>
      </c>
      <c r="F26" s="65">
        <f>IF(SER_hh_fec_in!F26=0,0,11630*1000*SER_hh_fec_in!F26/SER_hh_num_in!F26)</f>
        <v>25087.483532290276</v>
      </c>
      <c r="G26" s="65">
        <f>IF(SER_hh_fec_in!G26=0,0,11630*1000*SER_hh_fec_in!G26/SER_hh_num_in!G26)</f>
        <v>26117.163156191844</v>
      </c>
      <c r="H26" s="65">
        <f>IF(SER_hh_fec_in!H26=0,0,11630*1000*SER_hh_fec_in!H26/SER_hh_num_in!H26)</f>
        <v>24332.917695374028</v>
      </c>
      <c r="I26" s="65">
        <f>IF(SER_hh_fec_in!I26=0,0,11630*1000*SER_hh_fec_in!I26/SER_hh_num_in!I26)</f>
        <v>25310.334899640089</v>
      </c>
      <c r="J26" s="65">
        <f>IF(SER_hh_fec_in!J26=0,0,11630*1000*SER_hh_fec_in!J26/SER_hh_num_in!J26)</f>
        <v>24775.753383414896</v>
      </c>
      <c r="K26" s="65">
        <f>IF(SER_hh_fec_in!K26=0,0,11630*1000*SER_hh_fec_in!K26/SER_hh_num_in!K26)</f>
        <v>25866.127031181048</v>
      </c>
      <c r="L26" s="65">
        <f>IF(SER_hh_fec_in!L26=0,0,11630*1000*SER_hh_fec_in!L26/SER_hh_num_in!L26)</f>
        <v>25359.87922877703</v>
      </c>
      <c r="M26" s="65">
        <f>IF(SER_hh_fec_in!M26=0,0,11630*1000*SER_hh_fec_in!M26/SER_hh_num_in!M26)</f>
        <v>24989.946182329237</v>
      </c>
      <c r="N26" s="65">
        <f>IF(SER_hh_fec_in!N26=0,0,11630*1000*SER_hh_fec_in!N26/SER_hh_num_in!N26)</f>
        <v>23154.990791235916</v>
      </c>
      <c r="O26" s="65">
        <f>IF(SER_hh_fec_in!O26=0,0,11630*1000*SER_hh_fec_in!O26/SER_hh_num_in!O26)</f>
        <v>22852.810115703895</v>
      </c>
      <c r="P26" s="65">
        <f>IF(SER_hh_fec_in!P26=0,0,11630*1000*SER_hh_fec_in!P26/SER_hh_num_in!P26)</f>
        <v>22947.543667449427</v>
      </c>
      <c r="Q26" s="65">
        <f>IF(SER_hh_fec_in!Q26=0,0,11630*1000*SER_hh_fec_in!Q26/SER_hh_num_in!Q26)</f>
        <v>21244.817008092286</v>
      </c>
      <c r="R26" s="65">
        <f>IF(SER_hh_fec_in!R26=0,0,11630*1000*SER_hh_fec_in!R26/SER_hh_num_in!R26)</f>
        <v>19236.361410807047</v>
      </c>
      <c r="S26" s="65">
        <f>IF(SER_hh_fec_in!S26=0,0,11630*1000*SER_hh_fec_in!S26/SER_hh_num_in!S26)</f>
        <v>20401.370331256025</v>
      </c>
      <c r="T26" s="65">
        <f>IF(SER_hh_fec_in!T26=0,0,11630*1000*SER_hh_fec_in!T26/SER_hh_num_in!T26)</f>
        <v>18531.734181996613</v>
      </c>
      <c r="U26" s="65">
        <f>IF(SER_hh_fec_in!U26=0,0,11630*1000*SER_hh_fec_in!U26/SER_hh_num_in!U26)</f>
        <v>18203.723740766873</v>
      </c>
      <c r="V26" s="65">
        <f>IF(SER_hh_fec_in!V26=0,0,11630*1000*SER_hh_fec_in!V26/SER_hh_num_in!V26)</f>
        <v>20993.375218916699</v>
      </c>
      <c r="W26" s="65">
        <f>IF(SER_hh_fec_in!W26=0,0,11630*1000*SER_hh_fec_in!W26/SER_hh_num_in!W26)</f>
        <v>16857.472243904267</v>
      </c>
      <c r="X26" s="65">
        <f>IF(SER_hh_fec_in!X26=0,0,11630*1000*SER_hh_fec_in!X26/SER_hh_num_in!X26)</f>
        <v>16320.020909790377</v>
      </c>
      <c r="Y26" s="65">
        <f>IF(SER_hh_fec_in!Y26=0,0,11630*1000*SER_hh_fec_in!Y26/SER_hh_num_in!Y26)</f>
        <v>16754.619497540789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0</v>
      </c>
      <c r="D27" s="145">
        <f>IF(SER_hh_fec_in!D27=0,0,11630*1000*SER_hh_fec_in!D27/SER_hh_num_in!D19)</f>
        <v>0</v>
      </c>
      <c r="E27" s="145">
        <f>IF(SER_hh_fec_in!E27=0,0,11630*1000*SER_hh_fec_in!E27/SER_hh_num_in!E19)</f>
        <v>0</v>
      </c>
      <c r="F27" s="145">
        <f>IF(SER_hh_fec_in!F27=0,0,11630*1000*SER_hh_fec_in!F27/SER_hh_num_in!F19)</f>
        <v>0</v>
      </c>
      <c r="G27" s="145">
        <f>IF(SER_hh_fec_in!G27=0,0,11630*1000*SER_hh_fec_in!G27/SER_hh_num_in!G19)</f>
        <v>0</v>
      </c>
      <c r="H27" s="145">
        <f>IF(SER_hh_fec_in!H27=0,0,11630*1000*SER_hh_fec_in!H27/SER_hh_num_in!H19)</f>
        <v>0</v>
      </c>
      <c r="I27" s="145">
        <f>IF(SER_hh_fec_in!I27=0,0,11630*1000*SER_hh_fec_in!I27/SER_hh_num_in!I19)</f>
        <v>0</v>
      </c>
      <c r="J27" s="145">
        <f>IF(SER_hh_fec_in!J27=0,0,11630*1000*SER_hh_fec_in!J27/SER_hh_num_in!J19)</f>
        <v>0</v>
      </c>
      <c r="K27" s="145">
        <f>IF(SER_hh_fec_in!K27=0,0,11630*1000*SER_hh_fec_in!K27/SER_hh_num_in!K19)</f>
        <v>0</v>
      </c>
      <c r="L27" s="145">
        <f>IF(SER_hh_fec_in!L27=0,0,11630*1000*SER_hh_fec_in!L27/SER_hh_num_in!L19)</f>
        <v>0</v>
      </c>
      <c r="M27" s="145">
        <f>IF(SER_hh_fec_in!M27=0,0,11630*1000*SER_hh_fec_in!M27/SER_hh_num_in!M19)</f>
        <v>0</v>
      </c>
      <c r="N27" s="145">
        <f>IF(SER_hh_fec_in!N27=0,0,11630*1000*SER_hh_fec_in!N27/SER_hh_num_in!N19)</f>
        <v>0</v>
      </c>
      <c r="O27" s="145">
        <f>IF(SER_hh_fec_in!O27=0,0,11630*1000*SER_hh_fec_in!O27/SER_hh_num_in!O19)</f>
        <v>0</v>
      </c>
      <c r="P27" s="145">
        <f>IF(SER_hh_fec_in!P27=0,0,11630*1000*SER_hh_fec_in!P27/SER_hh_num_in!P19)</f>
        <v>0</v>
      </c>
      <c r="Q27" s="145">
        <f>IF(SER_hh_fec_in!Q27=0,0,11630*1000*SER_hh_fec_in!Q27/SER_hh_num_in!Q19)</f>
        <v>0</v>
      </c>
      <c r="R27" s="145">
        <f>IF(SER_hh_fec_in!R27=0,0,11630*1000*SER_hh_fec_in!R27/SER_hh_num_in!R19)</f>
        <v>0</v>
      </c>
      <c r="S27" s="145">
        <f>IF(SER_hh_fec_in!S27=0,0,11630*1000*SER_hh_fec_in!S27/SER_hh_num_in!S19)</f>
        <v>0</v>
      </c>
      <c r="T27" s="145">
        <f>IF(SER_hh_fec_in!T27=0,0,11630*1000*SER_hh_fec_in!T27/SER_hh_num_in!T19)</f>
        <v>0</v>
      </c>
      <c r="U27" s="145">
        <f>IF(SER_hh_fec_in!U27=0,0,11630*1000*SER_hh_fec_in!U27/SER_hh_num_in!U19)</f>
        <v>0</v>
      </c>
      <c r="V27" s="145">
        <f>IF(SER_hh_fec_in!V27=0,0,11630*1000*SER_hh_fec_in!V27/SER_hh_num_in!V19)</f>
        <v>0</v>
      </c>
      <c r="W27" s="145">
        <f>IF(SER_hh_fec_in!W27=0,0,11630*1000*SER_hh_fec_in!W27/SER_hh_num_in!W19)</f>
        <v>0</v>
      </c>
      <c r="X27" s="145">
        <f>IF(SER_hh_fec_in!X27=0,0,11630*1000*SER_hh_fec_in!X27/SER_hh_num_in!X19)</f>
        <v>0</v>
      </c>
      <c r="Y27" s="145">
        <f>IF(SER_hh_fec_in!Y27=0,0,11630*1000*SER_hh_fec_in!Y27/SER_hh_num_in!Y19)</f>
        <v>0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0</v>
      </c>
      <c r="D28" s="146">
        <f>IF(SER_hh_fec_in!D27=0,0,11630*1000*SER_hh_fec_in!D27/SER_hh_num_in!D27)</f>
        <v>0</v>
      </c>
      <c r="E28" s="146">
        <f>IF(SER_hh_fec_in!E27=0,0,11630*1000*SER_hh_fec_in!E27/SER_hh_num_in!E27)</f>
        <v>0</v>
      </c>
      <c r="F28" s="146">
        <f>IF(SER_hh_fec_in!F27=0,0,11630*1000*SER_hh_fec_in!F27/SER_hh_num_in!F27)</f>
        <v>0</v>
      </c>
      <c r="G28" s="146">
        <f>IF(SER_hh_fec_in!G27=0,0,11630*1000*SER_hh_fec_in!G27/SER_hh_num_in!G27)</f>
        <v>0</v>
      </c>
      <c r="H28" s="146">
        <f>IF(SER_hh_fec_in!H27=0,0,11630*1000*SER_hh_fec_in!H27/SER_hh_num_in!H27)</f>
        <v>0</v>
      </c>
      <c r="I28" s="146">
        <f>IF(SER_hh_fec_in!I27=0,0,11630*1000*SER_hh_fec_in!I27/SER_hh_num_in!I27)</f>
        <v>0</v>
      </c>
      <c r="J28" s="146">
        <f>IF(SER_hh_fec_in!J27=0,0,11630*1000*SER_hh_fec_in!J27/SER_hh_num_in!J27)</f>
        <v>0</v>
      </c>
      <c r="K28" s="146">
        <f>IF(SER_hh_fec_in!K27=0,0,11630*1000*SER_hh_fec_in!K27/SER_hh_num_in!K27)</f>
        <v>0</v>
      </c>
      <c r="L28" s="146">
        <f>IF(SER_hh_fec_in!L27=0,0,11630*1000*SER_hh_fec_in!L27/SER_hh_num_in!L27)</f>
        <v>0</v>
      </c>
      <c r="M28" s="146">
        <f>IF(SER_hh_fec_in!M27=0,0,11630*1000*SER_hh_fec_in!M27/SER_hh_num_in!M27)</f>
        <v>0</v>
      </c>
      <c r="N28" s="146">
        <f>IF(SER_hh_fec_in!N27=0,0,11630*1000*SER_hh_fec_in!N27/SER_hh_num_in!N27)</f>
        <v>0</v>
      </c>
      <c r="O28" s="146">
        <f>IF(SER_hh_fec_in!O27=0,0,11630*1000*SER_hh_fec_in!O27/SER_hh_num_in!O27)</f>
        <v>0</v>
      </c>
      <c r="P28" s="146">
        <f>IF(SER_hh_fec_in!P27=0,0,11630*1000*SER_hh_fec_in!P27/SER_hh_num_in!P27)</f>
        <v>0</v>
      </c>
      <c r="Q28" s="146">
        <f>IF(SER_hh_fec_in!Q27=0,0,11630*1000*SER_hh_fec_in!Q27/SER_hh_num_in!Q27)</f>
        <v>0</v>
      </c>
      <c r="R28" s="146">
        <f>IF(SER_hh_fec_in!R27=0,0,11630*1000*SER_hh_fec_in!R27/SER_hh_num_in!R27)</f>
        <v>0</v>
      </c>
      <c r="S28" s="146">
        <f>IF(SER_hh_fec_in!S27=0,0,11630*1000*SER_hh_fec_in!S27/SER_hh_num_in!S27)</f>
        <v>0</v>
      </c>
      <c r="T28" s="146">
        <f>IF(SER_hh_fec_in!T27=0,0,11630*1000*SER_hh_fec_in!T27/SER_hh_num_in!T27)</f>
        <v>0</v>
      </c>
      <c r="U28" s="146">
        <f>IF(SER_hh_fec_in!U27=0,0,11630*1000*SER_hh_fec_in!U27/SER_hh_num_in!U27)</f>
        <v>0</v>
      </c>
      <c r="V28" s="146">
        <f>IF(SER_hh_fec_in!V27=0,0,11630*1000*SER_hh_fec_in!V27/SER_hh_num_in!V27)</f>
        <v>0</v>
      </c>
      <c r="W28" s="146">
        <f>IF(SER_hh_fec_in!W27=0,0,11630*1000*SER_hh_fec_in!W27/SER_hh_num_in!W27)</f>
        <v>0</v>
      </c>
      <c r="X28" s="146">
        <f>IF(SER_hh_fec_in!X27=0,0,11630*1000*SER_hh_fec_in!X27/SER_hh_num_in!X27)</f>
        <v>0</v>
      </c>
      <c r="Y28" s="146">
        <f>IF(SER_hh_fec_in!Y27=0,0,11630*1000*SER_hh_fec_in!Y27/SER_hh_num_in!Y27)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19948.102012161547</v>
      </c>
      <c r="D29" s="130">
        <f>IF(SER_hh_fec_in!D29=0,0,11630*1000*SER_hh_fec_in!D29/SER_hh_num_in!D29)</f>
        <v>20149.854090396711</v>
      </c>
      <c r="E29" s="130">
        <f>IF(SER_hh_fec_in!E29=0,0,11630*1000*SER_hh_fec_in!E29/SER_hh_num_in!E29)</f>
        <v>20139.712775285101</v>
      </c>
      <c r="F29" s="130">
        <f>IF(SER_hh_fec_in!F29=0,0,11630*1000*SER_hh_fec_in!F29/SER_hh_num_in!F29)</f>
        <v>20741.8712082737</v>
      </c>
      <c r="G29" s="130">
        <f>IF(SER_hh_fec_in!G29=0,0,11630*1000*SER_hh_fec_in!G29/SER_hh_num_in!G29)</f>
        <v>20896.562593922423</v>
      </c>
      <c r="H29" s="130">
        <f>IF(SER_hh_fec_in!H29=0,0,11630*1000*SER_hh_fec_in!H29/SER_hh_num_in!H29)</f>
        <v>24025.690117142909</v>
      </c>
      <c r="I29" s="130">
        <f>IF(SER_hh_fec_in!I29=0,0,11630*1000*SER_hh_fec_in!I29/SER_hh_num_in!I29)</f>
        <v>25260.439789622069</v>
      </c>
      <c r="J29" s="130">
        <f>IF(SER_hh_fec_in!J29=0,0,11630*1000*SER_hh_fec_in!J29/SER_hh_num_in!J29)</f>
        <v>22278.293426593427</v>
      </c>
      <c r="K29" s="130">
        <f>IF(SER_hh_fec_in!K29=0,0,11630*1000*SER_hh_fec_in!K29/SER_hh_num_in!K29)</f>
        <v>22990.199108885889</v>
      </c>
      <c r="L29" s="130">
        <f>IF(SER_hh_fec_in!L29=0,0,11630*1000*SER_hh_fec_in!L29/SER_hh_num_in!L29)</f>
        <v>21821.632848169877</v>
      </c>
      <c r="M29" s="130">
        <f>IF(SER_hh_fec_in!M29=0,0,11630*1000*SER_hh_fec_in!M29/SER_hh_num_in!M29)</f>
        <v>21224.211409554613</v>
      </c>
      <c r="N29" s="130">
        <f>IF(SER_hh_fec_in!N29=0,0,11630*1000*SER_hh_fec_in!N29/SER_hh_num_in!N29)</f>
        <v>23711.766393351973</v>
      </c>
      <c r="O29" s="130">
        <f>IF(SER_hh_fec_in!O29=0,0,11630*1000*SER_hh_fec_in!O29/SER_hh_num_in!O29)</f>
        <v>23148.985106942808</v>
      </c>
      <c r="P29" s="130">
        <f>IF(SER_hh_fec_in!P29=0,0,11630*1000*SER_hh_fec_in!P29/SER_hh_num_in!P29)</f>
        <v>22574.760452933315</v>
      </c>
      <c r="Q29" s="130">
        <f>IF(SER_hh_fec_in!Q29=0,0,11630*1000*SER_hh_fec_in!Q29/SER_hh_num_in!Q29)</f>
        <v>22741.930807918834</v>
      </c>
      <c r="R29" s="130">
        <f>IF(SER_hh_fec_in!R29=0,0,11630*1000*SER_hh_fec_in!R29/SER_hh_num_in!R29)</f>
        <v>22608.26592298894</v>
      </c>
      <c r="S29" s="130">
        <f>IF(SER_hh_fec_in!S29=0,0,11630*1000*SER_hh_fec_in!S29/SER_hh_num_in!S29)</f>
        <v>23145.676385584284</v>
      </c>
      <c r="T29" s="130">
        <f>IF(SER_hh_fec_in!T29=0,0,11630*1000*SER_hh_fec_in!T29/SER_hh_num_in!T29)</f>
        <v>23474.804695838531</v>
      </c>
      <c r="U29" s="130">
        <f>IF(SER_hh_fec_in!U29=0,0,11630*1000*SER_hh_fec_in!U29/SER_hh_num_in!U29)</f>
        <v>24117.64071458031</v>
      </c>
      <c r="V29" s="130">
        <f>IF(SER_hh_fec_in!V29=0,0,11630*1000*SER_hh_fec_in!V29/SER_hh_num_in!V29)</f>
        <v>23973.24189239748</v>
      </c>
      <c r="W29" s="130">
        <f>IF(SER_hh_fec_in!W29=0,0,11630*1000*SER_hh_fec_in!W29/SER_hh_num_in!W29)</f>
        <v>23630.7436413264</v>
      </c>
      <c r="X29" s="130">
        <f>IF(SER_hh_fec_in!X29=0,0,11630*1000*SER_hh_fec_in!X29/SER_hh_num_in!X29)</f>
        <v>22617.373454141081</v>
      </c>
      <c r="Y29" s="130">
        <f>IF(SER_hh_fec_in!Y29=0,0,11630*1000*SER_hh_fec_in!Y29/SER_hh_num_in!Y29)</f>
        <v>21840.517812398197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31618.980919955316</v>
      </c>
      <c r="D30" s="132">
        <f>IF(SER_hh_fec_in!D30=0,0,11630*1000*SER_hh_fec_in!D30/SER_hh_num_in!D30)</f>
        <v>27070.224633455106</v>
      </c>
      <c r="E30" s="132">
        <f>IF(SER_hh_fec_in!E30=0,0,11630*1000*SER_hh_fec_in!E30/SER_hh_num_in!E30)</f>
        <v>0</v>
      </c>
      <c r="F30" s="132">
        <f>IF(SER_hh_fec_in!F30=0,0,11630*1000*SER_hh_fec_in!F30/SER_hh_num_in!F30)</f>
        <v>22739.683433714225</v>
      </c>
      <c r="G30" s="132">
        <f>IF(SER_hh_fec_in!G30=0,0,11630*1000*SER_hh_fec_in!G30/SER_hh_num_in!G30)</f>
        <v>19486.74288418538</v>
      </c>
      <c r="H30" s="132">
        <f>IF(SER_hh_fec_in!H30=0,0,11630*1000*SER_hh_fec_in!H30/SER_hh_num_in!H30)</f>
        <v>27831.348555830853</v>
      </c>
      <c r="I30" s="132">
        <f>IF(SER_hh_fec_in!I30=0,0,11630*1000*SER_hh_fec_in!I30/SER_hh_num_in!I30)</f>
        <v>34349.627785848985</v>
      </c>
      <c r="J30" s="132">
        <f>IF(SER_hh_fec_in!J30=0,0,11630*1000*SER_hh_fec_in!J30/SER_hh_num_in!J30)</f>
        <v>30517.603091568966</v>
      </c>
      <c r="K30" s="132">
        <f>IF(SER_hh_fec_in!K30=0,0,11630*1000*SER_hh_fec_in!K30/SER_hh_num_in!K30)</f>
        <v>21623.507980560018</v>
      </c>
      <c r="L30" s="132">
        <f>IF(SER_hh_fec_in!L30=0,0,11630*1000*SER_hh_fec_in!L30/SER_hh_num_in!L30)</f>
        <v>35112.57709589375</v>
      </c>
      <c r="M30" s="132">
        <f>IF(SER_hh_fec_in!M30=0,0,11630*1000*SER_hh_fec_in!M30/SER_hh_num_in!M30)</f>
        <v>0</v>
      </c>
      <c r="N30" s="132">
        <f>IF(SER_hh_fec_in!N30=0,0,11630*1000*SER_hh_fec_in!N30/SER_hh_num_in!N30)</f>
        <v>0</v>
      </c>
      <c r="O30" s="132">
        <f>IF(SER_hh_fec_in!O30=0,0,11630*1000*SER_hh_fec_in!O30/SER_hh_num_in!O30)</f>
        <v>0</v>
      </c>
      <c r="P30" s="132">
        <f>IF(SER_hh_fec_in!P30=0,0,11630*1000*SER_hh_fec_in!P30/SER_hh_num_in!P30)</f>
        <v>0</v>
      </c>
      <c r="Q30" s="132">
        <f>IF(SER_hh_fec_in!Q30=0,0,11630*1000*SER_hh_fec_in!Q30/SER_hh_num_in!Q30)</f>
        <v>0</v>
      </c>
      <c r="R30" s="132">
        <f>IF(SER_hh_fec_in!R30=0,0,11630*1000*SER_hh_fec_in!R30/SER_hh_num_in!R30)</f>
        <v>0</v>
      </c>
      <c r="S30" s="132">
        <f>IF(SER_hh_fec_in!S30=0,0,11630*1000*SER_hh_fec_in!S30/SER_hh_num_in!S30)</f>
        <v>31862.388506491046</v>
      </c>
      <c r="T30" s="132">
        <f>IF(SER_hh_fec_in!T30=0,0,11630*1000*SER_hh_fec_in!T30/SER_hh_num_in!T30)</f>
        <v>31701.43736041704</v>
      </c>
      <c r="U30" s="132">
        <f>IF(SER_hh_fec_in!U30=0,0,11630*1000*SER_hh_fec_in!U30/SER_hh_num_in!U30)</f>
        <v>32729.216379247286</v>
      </c>
      <c r="V30" s="132">
        <f>IF(SER_hh_fec_in!V30=0,0,11630*1000*SER_hh_fec_in!V30/SER_hh_num_in!V30)</f>
        <v>33175.239386896399</v>
      </c>
      <c r="W30" s="132">
        <f>IF(SER_hh_fec_in!W30=0,0,11630*1000*SER_hh_fec_in!W30/SER_hh_num_in!W30)</f>
        <v>32994.628757838989</v>
      </c>
      <c r="X30" s="132">
        <f>IF(SER_hh_fec_in!X30=0,0,11630*1000*SER_hh_fec_in!X30/SER_hh_num_in!X30)</f>
        <v>32327.205418688631</v>
      </c>
      <c r="Y30" s="132">
        <f>IF(SER_hh_fec_in!Y30=0,0,11630*1000*SER_hh_fec_in!Y30/SER_hh_num_in!Y30)</f>
        <v>31619.366789084535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24293.59748893202</v>
      </c>
      <c r="D31" s="132">
        <f>IF(SER_hh_fec_in!D31=0,0,11630*1000*SER_hh_fec_in!D31/SER_hh_num_in!D31)</f>
        <v>25593.693213566152</v>
      </c>
      <c r="E31" s="132">
        <f>IF(SER_hh_fec_in!E31=0,0,11630*1000*SER_hh_fec_in!E31/SER_hh_num_in!E31)</f>
        <v>27007.428840702036</v>
      </c>
      <c r="F31" s="132">
        <f>IF(SER_hh_fec_in!F31=0,0,11630*1000*SER_hh_fec_in!F31/SER_hh_num_in!F31)</f>
        <v>26711.851560825369</v>
      </c>
      <c r="G31" s="132">
        <f>IF(SER_hh_fec_in!G31=0,0,11630*1000*SER_hh_fec_in!G31/SER_hh_num_in!G31)</f>
        <v>27002.84824999854</v>
      </c>
      <c r="H31" s="132">
        <f>IF(SER_hh_fec_in!H31=0,0,11630*1000*SER_hh_fec_in!H31/SER_hh_num_in!H31)</f>
        <v>27358.372827962427</v>
      </c>
      <c r="I31" s="132">
        <f>IF(SER_hh_fec_in!I31=0,0,11630*1000*SER_hh_fec_in!I31/SER_hh_num_in!I31)</f>
        <v>27802.389689183721</v>
      </c>
      <c r="J31" s="132">
        <f>IF(SER_hh_fec_in!J31=0,0,11630*1000*SER_hh_fec_in!J31/SER_hh_num_in!J31)</f>
        <v>29171.745566105921</v>
      </c>
      <c r="K31" s="132">
        <f>IF(SER_hh_fec_in!K31=0,0,11630*1000*SER_hh_fec_in!K31/SER_hh_num_in!K31)</f>
        <v>28839.528530601056</v>
      </c>
      <c r="L31" s="132">
        <f>IF(SER_hh_fec_in!L31=0,0,11630*1000*SER_hh_fec_in!L31/SER_hh_num_in!L31)</f>
        <v>27565.638146456844</v>
      </c>
      <c r="M31" s="132">
        <f>IF(SER_hh_fec_in!M31=0,0,11630*1000*SER_hh_fec_in!M31/SER_hh_num_in!M31)</f>
        <v>29100.631213017055</v>
      </c>
      <c r="N31" s="132">
        <f>IF(SER_hh_fec_in!N31=0,0,11630*1000*SER_hh_fec_in!N31/SER_hh_num_in!N31)</f>
        <v>29567.288030875505</v>
      </c>
      <c r="O31" s="132">
        <f>IF(SER_hh_fec_in!O31=0,0,11630*1000*SER_hh_fec_in!O31/SER_hh_num_in!O31)</f>
        <v>30007.959535520877</v>
      </c>
      <c r="P31" s="132">
        <f>IF(SER_hh_fec_in!P31=0,0,11630*1000*SER_hh_fec_in!P31/SER_hh_num_in!P31)</f>
        <v>31245.246499560912</v>
      </c>
      <c r="Q31" s="132">
        <f>IF(SER_hh_fec_in!Q31=0,0,11630*1000*SER_hh_fec_in!Q31/SER_hh_num_in!Q31)</f>
        <v>31203.290515274366</v>
      </c>
      <c r="R31" s="132">
        <f>IF(SER_hh_fec_in!R31=0,0,11630*1000*SER_hh_fec_in!R31/SER_hh_num_in!R31)</f>
        <v>34748.606847927425</v>
      </c>
      <c r="S31" s="132">
        <f>IF(SER_hh_fec_in!S31=0,0,11630*1000*SER_hh_fec_in!S31/SER_hh_num_in!S31)</f>
        <v>20476.823019322354</v>
      </c>
      <c r="T31" s="132">
        <f>IF(SER_hh_fec_in!T31=0,0,11630*1000*SER_hh_fec_in!T31/SER_hh_num_in!T31)</f>
        <v>29592.003051637304</v>
      </c>
      <c r="U31" s="132">
        <f>IF(SER_hh_fec_in!U31=0,0,11630*1000*SER_hh_fec_in!U31/SER_hh_num_in!U31)</f>
        <v>37727.359863663296</v>
      </c>
      <c r="V31" s="132">
        <f>IF(SER_hh_fec_in!V31=0,0,11630*1000*SER_hh_fec_in!V31/SER_hh_num_in!V31)</f>
        <v>32258.958777206954</v>
      </c>
      <c r="W31" s="132">
        <f>IF(SER_hh_fec_in!W31=0,0,11630*1000*SER_hh_fec_in!W31/SER_hh_num_in!W31)</f>
        <v>33675.844912907305</v>
      </c>
      <c r="X31" s="132">
        <f>IF(SER_hh_fec_in!X31=0,0,11630*1000*SER_hh_fec_in!X31/SER_hh_num_in!X31)</f>
        <v>32219.127747084745</v>
      </c>
      <c r="Y31" s="132">
        <f>IF(SER_hh_fec_in!Y31=0,0,11630*1000*SER_hh_fec_in!Y31/SER_hh_num_in!Y31)</f>
        <v>31514.308276312495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18709.430096451651</v>
      </c>
      <c r="D33" s="68">
        <f>IF(SER_hh_fec_in!D33=0,0,11630*1000*SER_hh_fec_in!D33/SER_hh_num_in!D33)</f>
        <v>19377.125321861771</v>
      </c>
      <c r="E33" s="68">
        <f>IF(SER_hh_fec_in!E33=0,0,11630*1000*SER_hh_fec_in!E33/SER_hh_num_in!E33)</f>
        <v>19912.874726813126</v>
      </c>
      <c r="F33" s="68">
        <f>IF(SER_hh_fec_in!F33=0,0,11630*1000*SER_hh_fec_in!F33/SER_hh_num_in!F33)</f>
        <v>20472.898429167562</v>
      </c>
      <c r="G33" s="68">
        <f>IF(SER_hh_fec_in!G33=0,0,11630*1000*SER_hh_fec_in!G33/SER_hh_num_in!G33)</f>
        <v>21234.820080970083</v>
      </c>
      <c r="H33" s="68">
        <f>IF(SER_hh_fec_in!H33=0,0,11630*1000*SER_hh_fec_in!H33/SER_hh_num_in!H33)</f>
        <v>20538.163342488948</v>
      </c>
      <c r="I33" s="68">
        <f>IF(SER_hh_fec_in!I33=0,0,11630*1000*SER_hh_fec_in!I33/SER_hh_num_in!I33)</f>
        <v>19512.872825114937</v>
      </c>
      <c r="J33" s="68">
        <f>IF(SER_hh_fec_in!J33=0,0,11630*1000*SER_hh_fec_in!J33/SER_hh_num_in!J33)</f>
        <v>20553.543887705484</v>
      </c>
      <c r="K33" s="68">
        <f>IF(SER_hh_fec_in!K33=0,0,11630*1000*SER_hh_fec_in!K33/SER_hh_num_in!K33)</f>
        <v>22964.016887092395</v>
      </c>
      <c r="L33" s="68">
        <f>IF(SER_hh_fec_in!L33=0,0,11630*1000*SER_hh_fec_in!L33/SER_hh_num_in!L33)</f>
        <v>20889.577126525084</v>
      </c>
      <c r="M33" s="68">
        <f>IF(SER_hh_fec_in!M33=0,0,11630*1000*SER_hh_fec_in!M33/SER_hh_num_in!M33)</f>
        <v>21222.179319170042</v>
      </c>
      <c r="N33" s="68">
        <f>IF(SER_hh_fec_in!N33=0,0,11630*1000*SER_hh_fec_in!N33/SER_hh_num_in!N33)</f>
        <v>23654.3415058399</v>
      </c>
      <c r="O33" s="68">
        <f>IF(SER_hh_fec_in!O33=0,0,11630*1000*SER_hh_fec_in!O33/SER_hh_num_in!O33)</f>
        <v>23029.632318095108</v>
      </c>
      <c r="P33" s="68">
        <f>IF(SER_hh_fec_in!P33=0,0,11630*1000*SER_hh_fec_in!P33/SER_hh_num_in!P33)</f>
        <v>22391.730135565889</v>
      </c>
      <c r="Q33" s="68">
        <f>IF(SER_hh_fec_in!Q33=0,0,11630*1000*SER_hh_fec_in!Q33/SER_hh_num_in!Q33)</f>
        <v>22642.493850925435</v>
      </c>
      <c r="R33" s="68">
        <f>IF(SER_hh_fec_in!R33=0,0,11630*1000*SER_hh_fec_in!R33/SER_hh_num_in!R33)</f>
        <v>22502.525454518905</v>
      </c>
      <c r="S33" s="68">
        <f>IF(SER_hh_fec_in!S33=0,0,11630*1000*SER_hh_fec_in!S33/SER_hh_num_in!S33)</f>
        <v>23071.606924258362</v>
      </c>
      <c r="T33" s="68">
        <f>IF(SER_hh_fec_in!T33=0,0,11630*1000*SER_hh_fec_in!T33/SER_hh_num_in!T33)</f>
        <v>22731.93472612507</v>
      </c>
      <c r="U33" s="68">
        <f>IF(SER_hh_fec_in!U33=0,0,11630*1000*SER_hh_fec_in!U33/SER_hh_num_in!U33)</f>
        <v>23207.491257416881</v>
      </c>
      <c r="V33" s="68">
        <f>IF(SER_hh_fec_in!V33=0,0,11630*1000*SER_hh_fec_in!V33/SER_hh_num_in!V33)</f>
        <v>23589.334129175801</v>
      </c>
      <c r="W33" s="68">
        <f>IF(SER_hh_fec_in!W33=0,0,11630*1000*SER_hh_fec_in!W33/SER_hh_num_in!W33)</f>
        <v>23461.042994779862</v>
      </c>
      <c r="X33" s="68">
        <f>IF(SER_hh_fec_in!X33=0,0,11630*1000*SER_hh_fec_in!X33/SER_hh_num_in!X33)</f>
        <v>22322.229080027511</v>
      </c>
      <c r="Y33" s="68">
        <f>IF(SER_hh_fec_in!Y33=0,0,11630*1000*SER_hh_fec_in!Y33/SER_hh_num_in!Y33)</f>
        <v>21632.091557995795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203636.78809329693</v>
      </c>
      <c r="D3" s="125">
        <f>IF(SER_hh_tes_in!D3=0,0,11630*1000*SER_hh_tes_in!D3/SER_hh_num_in!D3)</f>
        <v>199012.32409837123</v>
      </c>
      <c r="E3" s="125">
        <f>IF(SER_hh_tes_in!E3=0,0,11630*1000*SER_hh_tes_in!E3/SER_hh_num_in!E3)</f>
        <v>192197.70942274091</v>
      </c>
      <c r="F3" s="125">
        <f>IF(SER_hh_tes_in!F3=0,0,11630*1000*SER_hh_tes_in!F3/SER_hh_num_in!F3)</f>
        <v>183296.12099856589</v>
      </c>
      <c r="G3" s="125">
        <f>IF(SER_hh_tes_in!G3=0,0,11630*1000*SER_hh_tes_in!G3/SER_hh_num_in!G3)</f>
        <v>169294.61182604771</v>
      </c>
      <c r="H3" s="125">
        <f>IF(SER_hh_tes_in!H3=0,0,11630*1000*SER_hh_tes_in!H3/SER_hh_num_in!H3)</f>
        <v>166947.95497664221</v>
      </c>
      <c r="I3" s="125">
        <f>IF(SER_hh_tes_in!I3=0,0,11630*1000*SER_hh_tes_in!I3/SER_hh_num_in!I3)</f>
        <v>167375.32442718389</v>
      </c>
      <c r="J3" s="125">
        <f>IF(SER_hh_tes_in!J3=0,0,11630*1000*SER_hh_tes_in!J3/SER_hh_num_in!J3)</f>
        <v>159971.22149796868</v>
      </c>
      <c r="K3" s="125">
        <f>IF(SER_hh_tes_in!K3=0,0,11630*1000*SER_hh_tes_in!K3/SER_hh_num_in!K3)</f>
        <v>155597.62069443986</v>
      </c>
      <c r="L3" s="125">
        <f>IF(SER_hh_tes_in!L3=0,0,11630*1000*SER_hh_tes_in!L3/SER_hh_num_in!L3)</f>
        <v>159339.45418797695</v>
      </c>
      <c r="M3" s="125">
        <f>IF(SER_hh_tes_in!M3=0,0,11630*1000*SER_hh_tes_in!M3/SER_hh_num_in!M3)</f>
        <v>139500.43274522442</v>
      </c>
      <c r="N3" s="125">
        <f>IF(SER_hh_tes_in!N3=0,0,11630*1000*SER_hh_tes_in!N3/SER_hh_num_in!N3)</f>
        <v>144257.49488712303</v>
      </c>
      <c r="O3" s="125">
        <f>IF(SER_hh_tes_in!O3=0,0,11630*1000*SER_hh_tes_in!O3/SER_hh_num_in!O3)</f>
        <v>135920.53898554016</v>
      </c>
      <c r="P3" s="125">
        <f>IF(SER_hh_tes_in!P3=0,0,11630*1000*SER_hh_tes_in!P3/SER_hh_num_in!P3)</f>
        <v>129802.61973553935</v>
      </c>
      <c r="Q3" s="125">
        <f>IF(SER_hh_tes_in!Q3=0,0,11630*1000*SER_hh_tes_in!Q3/SER_hh_num_in!Q3)</f>
        <v>128357.73374077815</v>
      </c>
      <c r="R3" s="125">
        <f>IF(SER_hh_tes_in!R3=0,0,11630*1000*SER_hh_tes_in!R3/SER_hh_num_in!R3)</f>
        <v>128694.06565494995</v>
      </c>
      <c r="S3" s="125">
        <f>IF(SER_hh_tes_in!S3=0,0,11630*1000*SER_hh_tes_in!S3/SER_hh_num_in!S3)</f>
        <v>116548.62938186806</v>
      </c>
      <c r="T3" s="125">
        <f>IF(SER_hh_tes_in!T3=0,0,11630*1000*SER_hh_tes_in!T3/SER_hh_num_in!T3)</f>
        <v>113990.99659767406</v>
      </c>
      <c r="U3" s="125">
        <f>IF(SER_hh_tes_in!U3=0,0,11630*1000*SER_hh_tes_in!U3/SER_hh_num_in!U3)</f>
        <v>106295.5584353099</v>
      </c>
      <c r="V3" s="125">
        <f>IF(SER_hh_tes_in!V3=0,0,11630*1000*SER_hh_tes_in!V3/SER_hh_num_in!V3)</f>
        <v>99167.42371335093</v>
      </c>
      <c r="W3" s="125">
        <f>IF(SER_hh_tes_in!W3=0,0,11630*1000*SER_hh_tes_in!W3/SER_hh_num_in!W3)</f>
        <v>90074.693607685709</v>
      </c>
      <c r="X3" s="125">
        <f>IF(SER_hh_tes_in!X3=0,0,11630*1000*SER_hh_tes_in!X3/SER_hh_num_in!X3)</f>
        <v>73911.750306190632</v>
      </c>
      <c r="Y3" s="125">
        <f>IF(SER_hh_tes_in!Y3=0,0,11630*1000*SER_hh_tes_in!Y3/SER_hh_num_in!Y3)</f>
        <v>73425.756867009346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147664.97451033667</v>
      </c>
      <c r="D4" s="130">
        <f>IF(SER_hh_tes_in!D4=0,0,11630*1000*SER_hh_tes_in!D4/SER_hh_num_in!D4)</f>
        <v>142998.73729657929</v>
      </c>
      <c r="E4" s="130">
        <f>IF(SER_hh_tes_in!E4=0,0,11630*1000*SER_hh_tes_in!E4/SER_hh_num_in!E4)</f>
        <v>136055.36572425062</v>
      </c>
      <c r="F4" s="130">
        <f>IF(SER_hh_tes_in!F4=0,0,11630*1000*SER_hh_tes_in!F4/SER_hh_num_in!F4)</f>
        <v>127118.69017271412</v>
      </c>
      <c r="G4" s="130">
        <f>IF(SER_hh_tes_in!G4=0,0,11630*1000*SER_hh_tes_in!G4/SER_hh_num_in!G4)</f>
        <v>113491.05339180774</v>
      </c>
      <c r="H4" s="130">
        <f>IF(SER_hh_tes_in!H4=0,0,11630*1000*SER_hh_tes_in!H4/SER_hh_num_in!H4)</f>
        <v>110663.43609532311</v>
      </c>
      <c r="I4" s="130">
        <f>IF(SER_hh_tes_in!I4=0,0,11630*1000*SER_hh_tes_in!I4/SER_hh_num_in!I4)</f>
        <v>110259.9316276942</v>
      </c>
      <c r="J4" s="130">
        <f>IF(SER_hh_tes_in!J4=0,0,11630*1000*SER_hh_tes_in!J4/SER_hh_num_in!J4)</f>
        <v>103728.61179845355</v>
      </c>
      <c r="K4" s="130">
        <f>IF(SER_hh_tes_in!K4=0,0,11630*1000*SER_hh_tes_in!K4/SER_hh_num_in!K4)</f>
        <v>97521.12774223942</v>
      </c>
      <c r="L4" s="130">
        <f>IF(SER_hh_tes_in!L4=0,0,11630*1000*SER_hh_tes_in!L4/SER_hh_num_in!L4)</f>
        <v>102826.06137022519</v>
      </c>
      <c r="M4" s="130">
        <f>IF(SER_hh_tes_in!M4=0,0,11630*1000*SER_hh_tes_in!M4/SER_hh_num_in!M4)</f>
        <v>84021.23227449345</v>
      </c>
      <c r="N4" s="130">
        <f>IF(SER_hh_tes_in!N4=0,0,11630*1000*SER_hh_tes_in!N4/SER_hh_num_in!N4)</f>
        <v>86565.834068303215</v>
      </c>
      <c r="O4" s="130">
        <f>IF(SER_hh_tes_in!O4=0,0,11630*1000*SER_hh_tes_in!O4/SER_hh_num_in!O4)</f>
        <v>79126.470315221552</v>
      </c>
      <c r="P4" s="130">
        <f>IF(SER_hh_tes_in!P4=0,0,11630*1000*SER_hh_tes_in!P4/SER_hh_num_in!P4)</f>
        <v>73908.273537723508</v>
      </c>
      <c r="Q4" s="130">
        <f>IF(SER_hh_tes_in!Q4=0,0,11630*1000*SER_hh_tes_in!Q4/SER_hh_num_in!Q4)</f>
        <v>72954.443807998643</v>
      </c>
      <c r="R4" s="130">
        <f>IF(SER_hh_tes_in!R4=0,0,11630*1000*SER_hh_tes_in!R4/SER_hh_num_in!R4)</f>
        <v>73800.190605699099</v>
      </c>
      <c r="S4" s="130">
        <f>IF(SER_hh_tes_in!S4=0,0,11630*1000*SER_hh_tes_in!S4/SER_hh_num_in!S4)</f>
        <v>61687.535453084463</v>
      </c>
      <c r="T4" s="130">
        <f>IF(SER_hh_tes_in!T4=0,0,11630*1000*SER_hh_tes_in!T4/SER_hh_num_in!T4)</f>
        <v>59793.89722333377</v>
      </c>
      <c r="U4" s="130">
        <f>IF(SER_hh_tes_in!U4=0,0,11630*1000*SER_hh_tes_in!U4/SER_hh_num_in!U4)</f>
        <v>52171.535170172952</v>
      </c>
      <c r="V4" s="130">
        <f>IF(SER_hh_tes_in!V4=0,0,11630*1000*SER_hh_tes_in!V4/SER_hh_num_in!V4)</f>
        <v>45553.766389220436</v>
      </c>
      <c r="W4" s="130">
        <f>IF(SER_hh_tes_in!W4=0,0,11630*1000*SER_hh_tes_in!W4/SER_hh_num_in!W4)</f>
        <v>38320.932211098981</v>
      </c>
      <c r="X4" s="130">
        <f>IF(SER_hh_tes_in!X4=0,0,11630*1000*SER_hh_tes_in!X4/SER_hh_num_in!X4)</f>
        <v>26326.124598793162</v>
      </c>
      <c r="Y4" s="130">
        <f>IF(SER_hh_tes_in!Y4=0,0,11630*1000*SER_hh_tes_in!Y4/SER_hh_num_in!Y4)</f>
        <v>25870.257749679025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0</v>
      </c>
      <c r="D5" s="132">
        <f>IF(SER_hh_tes_in!D5=0,0,11630*1000*SER_hh_tes_in!D5/SER_hh_num_in!D5)</f>
        <v>0</v>
      </c>
      <c r="E5" s="132">
        <f>IF(SER_hh_tes_in!E5=0,0,11630*1000*SER_hh_tes_in!E5/SER_hh_num_in!E5)</f>
        <v>0</v>
      </c>
      <c r="F5" s="132">
        <f>IF(SER_hh_tes_in!F5=0,0,11630*1000*SER_hh_tes_in!F5/SER_hh_num_in!F5)</f>
        <v>0</v>
      </c>
      <c r="G5" s="132">
        <f>IF(SER_hh_tes_in!G5=0,0,11630*1000*SER_hh_tes_in!G5/SER_hh_num_in!G5)</f>
        <v>0</v>
      </c>
      <c r="H5" s="132">
        <f>IF(SER_hh_tes_in!H5=0,0,11630*1000*SER_hh_tes_in!H5/SER_hh_num_in!H5)</f>
        <v>0</v>
      </c>
      <c r="I5" s="132">
        <f>IF(SER_hh_tes_in!I5=0,0,11630*1000*SER_hh_tes_in!I5/SER_hh_num_in!I5)</f>
        <v>0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0</v>
      </c>
      <c r="N5" s="132">
        <f>IF(SER_hh_tes_in!N5=0,0,11630*1000*SER_hh_tes_in!N5/SER_hh_num_in!N5)</f>
        <v>0</v>
      </c>
      <c r="O5" s="132">
        <f>IF(SER_hh_tes_in!O5=0,0,11630*1000*SER_hh_tes_in!O5/SER_hh_num_in!O5)</f>
        <v>0</v>
      </c>
      <c r="P5" s="132">
        <f>IF(SER_hh_tes_in!P5=0,0,11630*1000*SER_hh_tes_in!P5/SER_hh_num_in!P5)</f>
        <v>0</v>
      </c>
      <c r="Q5" s="132">
        <f>IF(SER_hh_tes_in!Q5=0,0,11630*1000*SER_hh_tes_in!Q5/SER_hh_num_in!Q5)</f>
        <v>0</v>
      </c>
      <c r="R5" s="132">
        <f>IF(SER_hh_tes_in!R5=0,0,11630*1000*SER_hh_tes_in!R5/SER_hh_num_in!R5)</f>
        <v>0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0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140737.23737489316</v>
      </c>
      <c r="D7" s="132">
        <f>IF(SER_hh_tes_in!D7=0,0,11630*1000*SER_hh_tes_in!D7/SER_hh_num_in!D7)</f>
        <v>139594.98798989548</v>
      </c>
      <c r="E7" s="132">
        <f>IF(SER_hh_tes_in!E7=0,0,11630*1000*SER_hh_tes_in!E7/SER_hh_num_in!E7)</f>
        <v>154523.34504229188</v>
      </c>
      <c r="F7" s="132">
        <f>IF(SER_hh_tes_in!F7=0,0,11630*1000*SER_hh_tes_in!F7/SER_hh_num_in!F7)</f>
        <v>0</v>
      </c>
      <c r="G7" s="132">
        <f>IF(SER_hh_tes_in!G7=0,0,11630*1000*SER_hh_tes_in!G7/SER_hh_num_in!G7)</f>
        <v>0</v>
      </c>
      <c r="H7" s="132">
        <f>IF(SER_hh_tes_in!H7=0,0,11630*1000*SER_hh_tes_in!H7/SER_hh_num_in!H7)</f>
        <v>0</v>
      </c>
      <c r="I7" s="132">
        <f>IF(SER_hh_tes_in!I7=0,0,11630*1000*SER_hh_tes_in!I7/SER_hh_num_in!I7)</f>
        <v>0</v>
      </c>
      <c r="J7" s="132">
        <f>IF(SER_hh_tes_in!J7=0,0,11630*1000*SER_hh_tes_in!J7/SER_hh_num_in!J7)</f>
        <v>0</v>
      </c>
      <c r="K7" s="132">
        <f>IF(SER_hh_tes_in!K7=0,0,11630*1000*SER_hh_tes_in!K7/SER_hh_num_in!K7)</f>
        <v>93829.079215080681</v>
      </c>
      <c r="L7" s="132">
        <f>IF(SER_hh_tes_in!L7=0,0,11630*1000*SER_hh_tes_in!L7/SER_hh_num_in!L7)</f>
        <v>96756.510308492827</v>
      </c>
      <c r="M7" s="132">
        <f>IF(SER_hh_tes_in!M7=0,0,11630*1000*SER_hh_tes_in!M7/SER_hh_num_in!M7)</f>
        <v>86991.967133041442</v>
      </c>
      <c r="N7" s="132">
        <f>IF(SER_hh_tes_in!N7=0,0,11630*1000*SER_hh_tes_in!N7/SER_hh_num_in!N7)</f>
        <v>85562.772942847398</v>
      </c>
      <c r="O7" s="132">
        <f>IF(SER_hh_tes_in!O7=0,0,11630*1000*SER_hh_tes_in!O7/SER_hh_num_in!O7)</f>
        <v>77535.078462927428</v>
      </c>
      <c r="P7" s="132">
        <f>IF(SER_hh_tes_in!P7=0,0,11630*1000*SER_hh_tes_in!P7/SER_hh_num_in!P7)</f>
        <v>0</v>
      </c>
      <c r="Q7" s="132">
        <f>IF(SER_hh_tes_in!Q7=0,0,11630*1000*SER_hh_tes_in!Q7/SER_hh_num_in!Q7)</f>
        <v>70178.439112725944</v>
      </c>
      <c r="R7" s="132">
        <f>IF(SER_hh_tes_in!R7=0,0,11630*1000*SER_hh_tes_in!R7/SER_hh_num_in!R7)</f>
        <v>66156.747315764267</v>
      </c>
      <c r="S7" s="132">
        <f>IF(SER_hh_tes_in!S7=0,0,11630*1000*SER_hh_tes_in!S7/SER_hh_num_in!S7)</f>
        <v>62871.455327696051</v>
      </c>
      <c r="T7" s="132">
        <f>IF(SER_hh_tes_in!T7=0,0,11630*1000*SER_hh_tes_in!T7/SER_hh_num_in!T7)</f>
        <v>58586.220568287186</v>
      </c>
      <c r="U7" s="132">
        <f>IF(SER_hh_tes_in!U7=0,0,11630*1000*SER_hh_tes_in!U7/SER_hh_num_in!U7)</f>
        <v>51384.466342139778</v>
      </c>
      <c r="V7" s="132">
        <f>IF(SER_hh_tes_in!V7=0,0,11630*1000*SER_hh_tes_in!V7/SER_hh_num_in!V7)</f>
        <v>47095.594191457829</v>
      </c>
      <c r="W7" s="132">
        <f>IF(SER_hh_tes_in!W7=0,0,11630*1000*SER_hh_tes_in!W7/SER_hh_num_in!W7)</f>
        <v>0</v>
      </c>
      <c r="X7" s="132">
        <f>IF(SER_hh_tes_in!X7=0,0,11630*1000*SER_hh_tes_in!X7/SER_hh_num_in!X7)</f>
        <v>0</v>
      </c>
      <c r="Y7" s="132">
        <f>IF(SER_hh_tes_in!Y7=0,0,11630*1000*SER_hh_tes_in!Y7/SER_hh_num_in!Y7)</f>
        <v>0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0</v>
      </c>
      <c r="D8" s="132">
        <f>IF(SER_hh_tes_in!D8=0,0,11630*1000*SER_hh_tes_in!D8/SER_hh_num_in!D8)</f>
        <v>0</v>
      </c>
      <c r="E8" s="132">
        <f>IF(SER_hh_tes_in!E8=0,0,11630*1000*SER_hh_tes_in!E8/SER_hh_num_in!E8)</f>
        <v>0</v>
      </c>
      <c r="F8" s="132">
        <f>IF(SER_hh_tes_in!F8=0,0,11630*1000*SER_hh_tes_in!F8/SER_hh_num_in!F8)</f>
        <v>0</v>
      </c>
      <c r="G8" s="132">
        <f>IF(SER_hh_tes_in!G8=0,0,11630*1000*SER_hh_tes_in!G8/SER_hh_num_in!G8)</f>
        <v>0</v>
      </c>
      <c r="H8" s="132">
        <f>IF(SER_hh_tes_in!H8=0,0,11630*1000*SER_hh_tes_in!H8/SER_hh_num_in!H8)</f>
        <v>0</v>
      </c>
      <c r="I8" s="132">
        <f>IF(SER_hh_tes_in!I8=0,0,11630*1000*SER_hh_tes_in!I8/SER_hh_num_in!I8)</f>
        <v>0</v>
      </c>
      <c r="J8" s="132">
        <f>IF(SER_hh_tes_in!J8=0,0,11630*1000*SER_hh_tes_in!J8/SER_hh_num_in!J8)</f>
        <v>0</v>
      </c>
      <c r="K8" s="132">
        <f>IF(SER_hh_tes_in!K8=0,0,11630*1000*SER_hh_tes_in!K8/SER_hh_num_in!K8)</f>
        <v>0</v>
      </c>
      <c r="L8" s="132">
        <f>IF(SER_hh_tes_in!L8=0,0,11630*1000*SER_hh_tes_in!L8/SER_hh_num_in!L8)</f>
        <v>0</v>
      </c>
      <c r="M8" s="132">
        <f>IF(SER_hh_tes_in!M8=0,0,11630*1000*SER_hh_tes_in!M8/SER_hh_num_in!M8)</f>
        <v>0</v>
      </c>
      <c r="N8" s="132">
        <f>IF(SER_hh_tes_in!N8=0,0,11630*1000*SER_hh_tes_in!N8/SER_hh_num_in!N8)</f>
        <v>0</v>
      </c>
      <c r="O8" s="132">
        <f>IF(SER_hh_tes_in!O8=0,0,11630*1000*SER_hh_tes_in!O8/SER_hh_num_in!O8)</f>
        <v>0</v>
      </c>
      <c r="P8" s="132">
        <f>IF(SER_hh_tes_in!P8=0,0,11630*1000*SER_hh_tes_in!P8/SER_hh_num_in!P8)</f>
        <v>0</v>
      </c>
      <c r="Q8" s="132">
        <f>IF(SER_hh_tes_in!Q8=0,0,11630*1000*SER_hh_tes_in!Q8/SER_hh_num_in!Q8)</f>
        <v>0</v>
      </c>
      <c r="R8" s="132">
        <f>IF(SER_hh_tes_in!R8=0,0,11630*1000*SER_hh_tes_in!R8/SER_hh_num_in!R8)</f>
        <v>0</v>
      </c>
      <c r="S8" s="132">
        <f>IF(SER_hh_tes_in!S8=0,0,11630*1000*SER_hh_tes_in!S8/SER_hh_num_in!S8)</f>
        <v>0</v>
      </c>
      <c r="T8" s="132">
        <f>IF(SER_hh_tes_in!T8=0,0,11630*1000*SER_hh_tes_in!T8/SER_hh_num_in!T8)</f>
        <v>0</v>
      </c>
      <c r="U8" s="132">
        <f>IF(SER_hh_tes_in!U8=0,0,11630*1000*SER_hh_tes_in!U8/SER_hh_num_in!U8)</f>
        <v>0</v>
      </c>
      <c r="V8" s="132">
        <f>IF(SER_hh_tes_in!V8=0,0,11630*1000*SER_hh_tes_in!V8/SER_hh_num_in!V8)</f>
        <v>0</v>
      </c>
      <c r="W8" s="132">
        <f>IF(SER_hh_tes_in!W8=0,0,11630*1000*SER_hh_tes_in!W8/SER_hh_num_in!W8)</f>
        <v>0</v>
      </c>
      <c r="X8" s="132">
        <f>IF(SER_hh_tes_in!X8=0,0,11630*1000*SER_hh_tes_in!X8/SER_hh_num_in!X8)</f>
        <v>0</v>
      </c>
      <c r="Y8" s="132">
        <f>IF(SER_hh_tes_in!Y8=0,0,11630*1000*SER_hh_tes_in!Y8/SER_hh_num_in!Y8)</f>
        <v>0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103017.89288458566</v>
      </c>
      <c r="D9" s="132">
        <f>IF(SER_hh_tes_in!D9=0,0,11630*1000*SER_hh_tes_in!D9/SER_hh_num_in!D9)</f>
        <v>143389.04228933764</v>
      </c>
      <c r="E9" s="132">
        <f>IF(SER_hh_tes_in!E9=0,0,11630*1000*SER_hh_tes_in!E9/SER_hh_num_in!E9)</f>
        <v>150281.22568377806</v>
      </c>
      <c r="F9" s="132">
        <f>IF(SER_hh_tes_in!F9=0,0,11630*1000*SER_hh_tes_in!F9/SER_hh_num_in!F9)</f>
        <v>124766.39168408296</v>
      </c>
      <c r="G9" s="132">
        <f>IF(SER_hh_tes_in!G9=0,0,11630*1000*SER_hh_tes_in!G9/SER_hh_num_in!G9)</f>
        <v>115652.83489170736</v>
      </c>
      <c r="H9" s="132">
        <f>IF(SER_hh_tes_in!H9=0,0,11630*1000*SER_hh_tes_in!H9/SER_hh_num_in!H9)</f>
        <v>108788.33949811931</v>
      </c>
      <c r="I9" s="132">
        <f>IF(SER_hh_tes_in!I9=0,0,11630*1000*SER_hh_tes_in!I9/SER_hh_num_in!I9)</f>
        <v>110918.32276766947</v>
      </c>
      <c r="J9" s="132">
        <f>IF(SER_hh_tes_in!J9=0,0,11630*1000*SER_hh_tes_in!J9/SER_hh_num_in!J9)</f>
        <v>115400.41778526467</v>
      </c>
      <c r="K9" s="132">
        <f>IF(SER_hh_tes_in!K9=0,0,11630*1000*SER_hh_tes_in!K9/SER_hh_num_in!K9)</f>
        <v>51935.275276685701</v>
      </c>
      <c r="L9" s="132">
        <f>IF(SER_hh_tes_in!L9=0,0,11630*1000*SER_hh_tes_in!L9/SER_hh_num_in!L9)</f>
        <v>107679.88455162587</v>
      </c>
      <c r="M9" s="132">
        <f>IF(SER_hh_tes_in!M9=0,0,11630*1000*SER_hh_tes_in!M9/SER_hh_num_in!M9)</f>
        <v>81021.488153289742</v>
      </c>
      <c r="N9" s="132">
        <f>IF(SER_hh_tes_in!N9=0,0,11630*1000*SER_hh_tes_in!N9/SER_hh_num_in!N9)</f>
        <v>94310.402729069334</v>
      </c>
      <c r="O9" s="132">
        <f>IF(SER_hh_tes_in!O9=0,0,11630*1000*SER_hh_tes_in!O9/SER_hh_num_in!O9)</f>
        <v>78616.078931850236</v>
      </c>
      <c r="P9" s="132">
        <f>IF(SER_hh_tes_in!P9=0,0,11630*1000*SER_hh_tes_in!P9/SER_hh_num_in!P9)</f>
        <v>73103.59984343595</v>
      </c>
      <c r="Q9" s="132">
        <f>IF(SER_hh_tes_in!Q9=0,0,11630*1000*SER_hh_tes_in!Q9/SER_hh_num_in!Q9)</f>
        <v>0</v>
      </c>
      <c r="R9" s="132">
        <f>IF(SER_hh_tes_in!R9=0,0,11630*1000*SER_hh_tes_in!R9/SER_hh_num_in!R9)</f>
        <v>0</v>
      </c>
      <c r="S9" s="132">
        <f>IF(SER_hh_tes_in!S9=0,0,11630*1000*SER_hh_tes_in!S9/SER_hh_num_in!S9)</f>
        <v>39414.950871863737</v>
      </c>
      <c r="T9" s="132">
        <f>IF(SER_hh_tes_in!T9=0,0,11630*1000*SER_hh_tes_in!T9/SER_hh_num_in!T9)</f>
        <v>54742.049116344868</v>
      </c>
      <c r="U9" s="132">
        <f>IF(SER_hh_tes_in!U9=0,0,11630*1000*SER_hh_tes_in!U9/SER_hh_num_in!U9)</f>
        <v>60586.083215439488</v>
      </c>
      <c r="V9" s="132">
        <f>IF(SER_hh_tes_in!V9=0,0,11630*1000*SER_hh_tes_in!V9/SER_hh_num_in!V9)</f>
        <v>51791.859771380456</v>
      </c>
      <c r="W9" s="132">
        <f>IF(SER_hh_tes_in!W9=0,0,11630*1000*SER_hh_tes_in!W9/SER_hh_num_in!W9)</f>
        <v>38756.310752235026</v>
      </c>
      <c r="X9" s="132">
        <f>IF(SER_hh_tes_in!X9=0,0,11630*1000*SER_hh_tes_in!X9/SER_hh_num_in!X9)</f>
        <v>25246.449777474623</v>
      </c>
      <c r="Y9" s="132">
        <f>IF(SER_hh_tes_in!Y9=0,0,11630*1000*SER_hh_tes_in!Y9/SER_hh_num_in!Y9)</f>
        <v>0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183339.77146599782</v>
      </c>
      <c r="D10" s="132">
        <f>IF(SER_hh_tes_in!D10=0,0,11630*1000*SER_hh_tes_in!D10/SER_hh_num_in!D10)</f>
        <v>123972.47471855562</v>
      </c>
      <c r="E10" s="132">
        <f>IF(SER_hh_tes_in!E10=0,0,11630*1000*SER_hh_tes_in!E10/SER_hh_num_in!E10)</f>
        <v>88918.1674240883</v>
      </c>
      <c r="F10" s="132">
        <f>IF(SER_hh_tes_in!F10=0,0,11630*1000*SER_hh_tes_in!F10/SER_hh_num_in!F10)</f>
        <v>147534.68961957734</v>
      </c>
      <c r="G10" s="132">
        <f>IF(SER_hh_tes_in!G10=0,0,11630*1000*SER_hh_tes_in!G10/SER_hh_num_in!G10)</f>
        <v>142500.45190960856</v>
      </c>
      <c r="H10" s="132">
        <f>IF(SER_hh_tes_in!H10=0,0,11630*1000*SER_hh_tes_in!H10/SER_hh_num_in!H10)</f>
        <v>98505.663163003643</v>
      </c>
      <c r="I10" s="132">
        <f>IF(SER_hh_tes_in!I10=0,0,11630*1000*SER_hh_tes_in!I10/SER_hh_num_in!I10)</f>
        <v>102355.17579419829</v>
      </c>
      <c r="J10" s="132">
        <f>IF(SER_hh_tes_in!J10=0,0,11630*1000*SER_hh_tes_in!J10/SER_hh_num_in!J10)</f>
        <v>103879.46516466321</v>
      </c>
      <c r="K10" s="132">
        <f>IF(SER_hh_tes_in!K10=0,0,11630*1000*SER_hh_tes_in!K10/SER_hh_num_in!K10)</f>
        <v>98983.073262374251</v>
      </c>
      <c r="L10" s="132">
        <f>IF(SER_hh_tes_in!L10=0,0,11630*1000*SER_hh_tes_in!L10/SER_hh_num_in!L10)</f>
        <v>95065.91517896342</v>
      </c>
      <c r="M10" s="132">
        <f>IF(SER_hh_tes_in!M10=0,0,11630*1000*SER_hh_tes_in!M10/SER_hh_num_in!M10)</f>
        <v>82327.021188801198</v>
      </c>
      <c r="N10" s="132">
        <f>IF(SER_hh_tes_in!N10=0,0,11630*1000*SER_hh_tes_in!N10/SER_hh_num_in!N10)</f>
        <v>101053.00798474127</v>
      </c>
      <c r="O10" s="132">
        <f>IF(SER_hh_tes_in!O10=0,0,11630*1000*SER_hh_tes_in!O10/SER_hh_num_in!O10)</f>
        <v>54989.246006319401</v>
      </c>
      <c r="P10" s="132">
        <f>IF(SER_hh_tes_in!P10=0,0,11630*1000*SER_hh_tes_in!P10/SER_hh_num_in!P10)</f>
        <v>72458.776850001101</v>
      </c>
      <c r="Q10" s="132">
        <f>IF(SER_hh_tes_in!Q10=0,0,11630*1000*SER_hh_tes_in!Q10/SER_hh_num_in!Q10)</f>
        <v>64919.763283311557</v>
      </c>
      <c r="R10" s="132">
        <f>IF(SER_hh_tes_in!R10=0,0,11630*1000*SER_hh_tes_in!R10/SER_hh_num_in!R10)</f>
        <v>98960.446373019848</v>
      </c>
      <c r="S10" s="132">
        <f>IF(SER_hh_tes_in!S10=0,0,11630*1000*SER_hh_tes_in!S10/SER_hh_num_in!S10)</f>
        <v>91864.140082671278</v>
      </c>
      <c r="T10" s="132">
        <f>IF(SER_hh_tes_in!T10=0,0,11630*1000*SER_hh_tes_in!T10/SER_hh_num_in!T10)</f>
        <v>86037.923463270752</v>
      </c>
      <c r="U10" s="132">
        <f>IF(SER_hh_tes_in!U10=0,0,11630*1000*SER_hh_tes_in!U10/SER_hh_num_in!U10)</f>
        <v>46684.538576425795</v>
      </c>
      <c r="V10" s="132">
        <f>IF(SER_hh_tes_in!V10=0,0,11630*1000*SER_hh_tes_in!V10/SER_hh_num_in!V10)</f>
        <v>42645.078467707783</v>
      </c>
      <c r="W10" s="132">
        <f>IF(SER_hh_tes_in!W10=0,0,11630*1000*SER_hh_tes_in!W10/SER_hh_num_in!W10)</f>
        <v>0</v>
      </c>
      <c r="X10" s="132">
        <f>IF(SER_hh_tes_in!X10=0,0,11630*1000*SER_hh_tes_in!X10/SER_hh_num_in!X10)</f>
        <v>0</v>
      </c>
      <c r="Y10" s="132">
        <f>IF(SER_hh_tes_in!Y10=0,0,11630*1000*SER_hh_tes_in!Y10/SER_hh_num_in!Y10)</f>
        <v>25973.496589995066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0</v>
      </c>
      <c r="J11" s="132">
        <f>IF(SER_hh_tes_in!J11=0,0,11630*1000*SER_hh_tes_in!J11/SER_hh_num_in!J11)</f>
        <v>0</v>
      </c>
      <c r="K11" s="132">
        <f>IF(SER_hh_tes_in!K11=0,0,11630*1000*SER_hh_tes_in!K11/SER_hh_num_in!K11)</f>
        <v>0</v>
      </c>
      <c r="L11" s="132">
        <f>IF(SER_hh_tes_in!L11=0,0,11630*1000*SER_hh_tes_in!L11/SER_hh_num_in!L11)</f>
        <v>0</v>
      </c>
      <c r="M11" s="132">
        <f>IF(SER_hh_tes_in!M11=0,0,11630*1000*SER_hh_tes_in!M11/SER_hh_num_in!M11)</f>
        <v>0</v>
      </c>
      <c r="N11" s="132">
        <f>IF(SER_hh_tes_in!N11=0,0,11630*1000*SER_hh_tes_in!N11/SER_hh_num_in!N11)</f>
        <v>0</v>
      </c>
      <c r="O11" s="132">
        <f>IF(SER_hh_tes_in!O11=0,0,11630*1000*SER_hh_tes_in!O11/SER_hh_num_in!O11)</f>
        <v>0</v>
      </c>
      <c r="P11" s="132">
        <f>IF(SER_hh_tes_in!P11=0,0,11630*1000*SER_hh_tes_in!P11/SER_hh_num_in!P11)</f>
        <v>0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0</v>
      </c>
      <c r="T11" s="132">
        <f>IF(SER_hh_tes_in!T11=0,0,11630*1000*SER_hh_tes_in!T11/SER_hh_num_in!T11)</f>
        <v>0</v>
      </c>
      <c r="U11" s="132">
        <f>IF(SER_hh_tes_in!U11=0,0,11630*1000*SER_hh_tes_in!U11/SER_hh_num_in!U11)</f>
        <v>0</v>
      </c>
      <c r="V11" s="132">
        <f>IF(SER_hh_tes_in!V11=0,0,11630*1000*SER_hh_tes_in!V11/SER_hh_num_in!V11)</f>
        <v>0</v>
      </c>
      <c r="W11" s="132">
        <f>IF(SER_hh_tes_in!W11=0,0,11630*1000*SER_hh_tes_in!W11/SER_hh_num_in!W11)</f>
        <v>0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0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145335.43135808106</v>
      </c>
      <c r="D12" s="132">
        <f>IF(SER_hh_tes_in!D12=0,0,11630*1000*SER_hh_tes_in!D12/SER_hh_num_in!D12)</f>
        <v>141413.81531748711</v>
      </c>
      <c r="E12" s="132">
        <f>IF(SER_hh_tes_in!E12=0,0,11630*1000*SER_hh_tes_in!E12/SER_hh_num_in!E12)</f>
        <v>136947.67457110385</v>
      </c>
      <c r="F12" s="132">
        <f>IF(SER_hh_tes_in!F12=0,0,11630*1000*SER_hh_tes_in!F12/SER_hh_num_in!F12)</f>
        <v>123836.23841398668</v>
      </c>
      <c r="G12" s="132">
        <f>IF(SER_hh_tes_in!G12=0,0,11630*1000*SER_hh_tes_in!G12/SER_hh_num_in!G12)</f>
        <v>117730.91775219222</v>
      </c>
      <c r="H12" s="132">
        <f>IF(SER_hh_tes_in!H12=0,0,11630*1000*SER_hh_tes_in!H12/SER_hh_num_in!H12)</f>
        <v>111428.91161966568</v>
      </c>
      <c r="I12" s="132">
        <f>IF(SER_hh_tes_in!I12=0,0,11630*1000*SER_hh_tes_in!I12/SER_hh_num_in!I12)</f>
        <v>102647.35714113071</v>
      </c>
      <c r="J12" s="132">
        <f>IF(SER_hh_tes_in!J12=0,0,11630*1000*SER_hh_tes_in!J12/SER_hh_num_in!J12)</f>
        <v>100369.29415272875</v>
      </c>
      <c r="K12" s="132">
        <f>IF(SER_hh_tes_in!K12=0,0,11630*1000*SER_hh_tes_in!K12/SER_hh_num_in!K12)</f>
        <v>98606.520109202087</v>
      </c>
      <c r="L12" s="132">
        <f>IF(SER_hh_tes_in!L12=0,0,11630*1000*SER_hh_tes_in!L12/SER_hh_num_in!L12)</f>
        <v>104283.88581914686</v>
      </c>
      <c r="M12" s="132">
        <f>IF(SER_hh_tes_in!M12=0,0,11630*1000*SER_hh_tes_in!M12/SER_hh_num_in!M12)</f>
        <v>82094.236367425299</v>
      </c>
      <c r="N12" s="132">
        <f>IF(SER_hh_tes_in!N12=0,0,11630*1000*SER_hh_tes_in!N12/SER_hh_num_in!N12)</f>
        <v>86098.802947815697</v>
      </c>
      <c r="O12" s="132">
        <f>IF(SER_hh_tes_in!O12=0,0,11630*1000*SER_hh_tes_in!O12/SER_hh_num_in!O12)</f>
        <v>81878.144878675244</v>
      </c>
      <c r="P12" s="132">
        <f>IF(SER_hh_tes_in!P12=0,0,11630*1000*SER_hh_tes_in!P12/SER_hh_num_in!P12)</f>
        <v>74650.467829403497</v>
      </c>
      <c r="Q12" s="132">
        <f>IF(SER_hh_tes_in!Q12=0,0,11630*1000*SER_hh_tes_in!Q12/SER_hh_num_in!Q12)</f>
        <v>69436.80473342567</v>
      </c>
      <c r="R12" s="132">
        <f>IF(SER_hh_tes_in!R12=0,0,11630*1000*SER_hh_tes_in!R12/SER_hh_num_in!R12)</f>
        <v>70449.624133586025</v>
      </c>
      <c r="S12" s="132">
        <f>IF(SER_hh_tes_in!S12=0,0,11630*1000*SER_hh_tes_in!S12/SER_hh_num_in!S12)</f>
        <v>61445.918885232473</v>
      </c>
      <c r="T12" s="132">
        <f>IF(SER_hh_tes_in!T12=0,0,11630*1000*SER_hh_tes_in!T12/SER_hh_num_in!T12)</f>
        <v>59104.85175812379</v>
      </c>
      <c r="U12" s="132">
        <f>IF(SER_hh_tes_in!U12=0,0,11630*1000*SER_hh_tes_in!U12/SER_hh_num_in!U12)</f>
        <v>52771.355579846357</v>
      </c>
      <c r="V12" s="132">
        <f>IF(SER_hh_tes_in!V12=0,0,11630*1000*SER_hh_tes_in!V12/SER_hh_num_in!V12)</f>
        <v>42461.720135564698</v>
      </c>
      <c r="W12" s="132">
        <f>IF(SER_hh_tes_in!W12=0,0,11630*1000*SER_hh_tes_in!W12/SER_hh_num_in!W12)</f>
        <v>39113.158430473246</v>
      </c>
      <c r="X12" s="132">
        <f>IF(SER_hh_tes_in!X12=0,0,11630*1000*SER_hh_tes_in!X12/SER_hh_num_in!X12)</f>
        <v>24173.161001255754</v>
      </c>
      <c r="Y12" s="132">
        <f>IF(SER_hh_tes_in!Y12=0,0,11630*1000*SER_hh_tes_in!Y12/SER_hh_num_in!Y12)</f>
        <v>25868.25083014847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145408.62091666996</v>
      </c>
      <c r="D13" s="132">
        <f>IF(SER_hh_tes_in!D13=0,0,11630*1000*SER_hh_tes_in!D13/SER_hh_num_in!D13)</f>
        <v>138355.82216402079</v>
      </c>
      <c r="E13" s="132">
        <f>IF(SER_hh_tes_in!E13=0,0,11630*1000*SER_hh_tes_in!E13/SER_hh_num_in!E13)</f>
        <v>122634.38225362715</v>
      </c>
      <c r="F13" s="132">
        <f>IF(SER_hh_tes_in!F13=0,0,11630*1000*SER_hh_tes_in!F13/SER_hh_num_in!F13)</f>
        <v>124827.02695771345</v>
      </c>
      <c r="G13" s="132">
        <f>IF(SER_hh_tes_in!G13=0,0,11630*1000*SER_hh_tes_in!G13/SER_hh_num_in!G13)</f>
        <v>103821.55283804507</v>
      </c>
      <c r="H13" s="132">
        <f>IF(SER_hh_tes_in!H13=0,0,11630*1000*SER_hh_tes_in!H13/SER_hh_num_in!H13)</f>
        <v>110272.32361219032</v>
      </c>
      <c r="I13" s="132">
        <f>IF(SER_hh_tes_in!I13=0,0,11630*1000*SER_hh_tes_in!I13/SER_hh_num_in!I13)</f>
        <v>113994.83429918937</v>
      </c>
      <c r="J13" s="132">
        <f>IF(SER_hh_tes_in!J13=0,0,11630*1000*SER_hh_tes_in!J13/SER_hh_num_in!J13)</f>
        <v>105576.26747949499</v>
      </c>
      <c r="K13" s="132">
        <f>IF(SER_hh_tes_in!K13=0,0,11630*1000*SER_hh_tes_in!K13/SER_hh_num_in!K13)</f>
        <v>98765.097778212978</v>
      </c>
      <c r="L13" s="132">
        <f>IF(SER_hh_tes_in!L13=0,0,11630*1000*SER_hh_tes_in!L13/SER_hh_num_in!L13)</f>
        <v>94287.078010456229</v>
      </c>
      <c r="M13" s="132">
        <f>IF(SER_hh_tes_in!M13=0,0,11630*1000*SER_hh_tes_in!M13/SER_hh_num_in!M13)</f>
        <v>87905.756903626519</v>
      </c>
      <c r="N13" s="132">
        <f>IF(SER_hh_tes_in!N13=0,0,11630*1000*SER_hh_tes_in!N13/SER_hh_num_in!N13)</f>
        <v>85123.377940993916</v>
      </c>
      <c r="O13" s="132">
        <f>IF(SER_hh_tes_in!O13=0,0,11630*1000*SER_hh_tes_in!O13/SER_hh_num_in!O13)</f>
        <v>81235.745180337966</v>
      </c>
      <c r="P13" s="132">
        <f>IF(SER_hh_tes_in!P13=0,0,11630*1000*SER_hh_tes_in!P13/SER_hh_num_in!P13)</f>
        <v>75325.34444611783</v>
      </c>
      <c r="Q13" s="132">
        <f>IF(SER_hh_tes_in!Q13=0,0,11630*1000*SER_hh_tes_in!Q13/SER_hh_num_in!Q13)</f>
        <v>69595.431526188768</v>
      </c>
      <c r="R13" s="132">
        <f>IF(SER_hh_tes_in!R13=0,0,11630*1000*SER_hh_tes_in!R13/SER_hh_num_in!R13)</f>
        <v>72777.698761103471</v>
      </c>
      <c r="S13" s="132">
        <f>IF(SER_hh_tes_in!S13=0,0,11630*1000*SER_hh_tes_in!S13/SER_hh_num_in!S13)</f>
        <v>64036.462225201722</v>
      </c>
      <c r="T13" s="132">
        <f>IF(SER_hh_tes_in!T13=0,0,11630*1000*SER_hh_tes_in!T13/SER_hh_num_in!T13)</f>
        <v>59264.741574144013</v>
      </c>
      <c r="U13" s="132">
        <f>IF(SER_hh_tes_in!U13=0,0,11630*1000*SER_hh_tes_in!U13/SER_hh_num_in!U13)</f>
        <v>51836.556940765746</v>
      </c>
      <c r="V13" s="132">
        <f>IF(SER_hh_tes_in!V13=0,0,11630*1000*SER_hh_tes_in!V13/SER_hh_num_in!V13)</f>
        <v>48520.417100079299</v>
      </c>
      <c r="W13" s="132">
        <f>IF(SER_hh_tes_in!W13=0,0,11630*1000*SER_hh_tes_in!W13/SER_hh_num_in!W13)</f>
        <v>38193.030676075381</v>
      </c>
      <c r="X13" s="132">
        <f>IF(SER_hh_tes_in!X13=0,0,11630*1000*SER_hh_tes_in!X13/SER_hh_num_in!X13)</f>
        <v>25761.131496183374</v>
      </c>
      <c r="Y13" s="132">
        <f>IF(SER_hh_tes_in!Y13=0,0,11630*1000*SER_hh_tes_in!Y13/SER_hh_num_in!Y13)</f>
        <v>25604.03567861464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150785.73619977382</v>
      </c>
      <c r="D14" s="65">
        <f>IF(SER_hh_tes_in!D14=0,0,11630*1000*SER_hh_tes_in!D14/SER_hh_num_in!D14)</f>
        <v>145859.41020250192</v>
      </c>
      <c r="E14" s="65">
        <f>IF(SER_hh_tes_in!E14=0,0,11630*1000*SER_hh_tes_in!E14/SER_hh_num_in!E14)</f>
        <v>133630.04216158198</v>
      </c>
      <c r="F14" s="65">
        <f>IF(SER_hh_tes_in!F14=0,0,11630*1000*SER_hh_tes_in!F14/SER_hh_num_in!F14)</f>
        <v>129678.99519514143</v>
      </c>
      <c r="G14" s="65">
        <f>IF(SER_hh_tes_in!G14=0,0,11630*1000*SER_hh_tes_in!G14/SER_hh_num_in!G14)</f>
        <v>105817.56971571053</v>
      </c>
      <c r="H14" s="65">
        <f>IF(SER_hh_tes_in!H14=0,0,11630*1000*SER_hh_tes_in!H14/SER_hh_num_in!H14)</f>
        <v>109864.85319276861</v>
      </c>
      <c r="I14" s="65">
        <f>IF(SER_hh_tes_in!I14=0,0,11630*1000*SER_hh_tes_in!I14/SER_hh_num_in!I14)</f>
        <v>115819.29404080352</v>
      </c>
      <c r="J14" s="65">
        <f>IF(SER_hh_tes_in!J14=0,0,11630*1000*SER_hh_tes_in!J14/SER_hh_num_in!J14)</f>
        <v>109058.18271493891</v>
      </c>
      <c r="K14" s="65">
        <f>IF(SER_hh_tes_in!K14=0,0,11630*1000*SER_hh_tes_in!K14/SER_hh_num_in!K14)</f>
        <v>93267.059113948664</v>
      </c>
      <c r="L14" s="65">
        <f>IF(SER_hh_tes_in!L14=0,0,11630*1000*SER_hh_tes_in!L14/SER_hh_num_in!L14)</f>
        <v>103751.79760826795</v>
      </c>
      <c r="M14" s="65">
        <f>IF(SER_hh_tes_in!M14=0,0,11630*1000*SER_hh_tes_in!M14/SER_hh_num_in!M14)</f>
        <v>78396.373095087052</v>
      </c>
      <c r="N14" s="65">
        <f>IF(SER_hh_tes_in!N14=0,0,11630*1000*SER_hh_tes_in!N14/SER_hh_num_in!N14)</f>
        <v>84380.390086340311</v>
      </c>
      <c r="O14" s="65">
        <f>IF(SER_hh_tes_in!O14=0,0,11630*1000*SER_hh_tes_in!O14/SER_hh_num_in!O14)</f>
        <v>75039.982792900628</v>
      </c>
      <c r="P14" s="65">
        <f>IF(SER_hh_tes_in!P14=0,0,11630*1000*SER_hh_tes_in!P14/SER_hh_num_in!P14)</f>
        <v>73220.988725156538</v>
      </c>
      <c r="Q14" s="65">
        <f>IF(SER_hh_tes_in!Q14=0,0,11630*1000*SER_hh_tes_in!Q14/SER_hh_num_in!Q14)</f>
        <v>75680.727488887918</v>
      </c>
      <c r="R14" s="65">
        <f>IF(SER_hh_tes_in!R14=0,0,11630*1000*SER_hh_tes_in!R14/SER_hh_num_in!R14)</f>
        <v>76713.900012487327</v>
      </c>
      <c r="S14" s="65">
        <f>IF(SER_hh_tes_in!S14=0,0,11630*1000*SER_hh_tes_in!S14/SER_hh_num_in!S14)</f>
        <v>60590.04418925639</v>
      </c>
      <c r="T14" s="65">
        <f>IF(SER_hh_tes_in!T14=0,0,11630*1000*SER_hh_tes_in!T14/SER_hh_num_in!T14)</f>
        <v>59826.038927874099</v>
      </c>
      <c r="U14" s="65">
        <f>IF(SER_hh_tes_in!U14=0,0,11630*1000*SER_hh_tes_in!U14/SER_hh_num_in!U14)</f>
        <v>49594.476211494934</v>
      </c>
      <c r="V14" s="65">
        <f>IF(SER_hh_tes_in!V14=0,0,11630*1000*SER_hh_tes_in!V14/SER_hh_num_in!V14)</f>
        <v>46019.033227190135</v>
      </c>
      <c r="W14" s="65">
        <f>IF(SER_hh_tes_in!W14=0,0,11630*1000*SER_hh_tes_in!W14/SER_hh_num_in!W14)</f>
        <v>37515.604405921469</v>
      </c>
      <c r="X14" s="65">
        <f>IF(SER_hh_tes_in!X14=0,0,11630*1000*SER_hh_tes_in!X14/SER_hh_num_in!X14)</f>
        <v>27413.427495698208</v>
      </c>
      <c r="Y14" s="65">
        <f>IF(SER_hh_tes_in!Y14=0,0,11630*1000*SER_hh_tes_in!Y14/SER_hh_num_in!Y14)</f>
        <v>25782.769863673206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1120.0528802265594</v>
      </c>
      <c r="D15" s="134">
        <f>IF(SER_hh_tes_in!D15=0,0,11630*1000*SER_hh_tes_in!D15/SER_hh_num_in!D15)</f>
        <v>1282.1965848491925</v>
      </c>
      <c r="E15" s="134">
        <f>IF(SER_hh_tes_in!E15=0,0,11630*1000*SER_hh_tes_in!E15/SER_hh_num_in!E15)</f>
        <v>956.68094355242704</v>
      </c>
      <c r="F15" s="134">
        <f>IF(SER_hh_tes_in!F15=0,0,11630*1000*SER_hh_tes_in!F15/SER_hh_num_in!F15)</f>
        <v>729.77959713889038</v>
      </c>
      <c r="G15" s="134">
        <f>IF(SER_hh_tes_in!G15=0,0,11630*1000*SER_hh_tes_in!G15/SER_hh_num_in!G15)</f>
        <v>639.20287526013874</v>
      </c>
      <c r="H15" s="134">
        <f>IF(SER_hh_tes_in!H15=0,0,11630*1000*SER_hh_tes_in!H15/SER_hh_num_in!H15)</f>
        <v>569.74042319954333</v>
      </c>
      <c r="I15" s="134">
        <f>IF(SER_hh_tes_in!I15=0,0,11630*1000*SER_hh_tes_in!I15/SER_hh_num_in!I15)</f>
        <v>465.30107424639817</v>
      </c>
      <c r="J15" s="134">
        <f>IF(SER_hh_tes_in!J15=0,0,11630*1000*SER_hh_tes_in!J15/SER_hh_num_in!J15)</f>
        <v>451.95113450073904</v>
      </c>
      <c r="K15" s="134">
        <f>IF(SER_hh_tes_in!K15=0,0,11630*1000*SER_hh_tes_in!K15/SER_hh_num_in!K15)</f>
        <v>511.53268476675981</v>
      </c>
      <c r="L15" s="134">
        <f>IF(SER_hh_tes_in!L15=0,0,11630*1000*SER_hh_tes_in!L15/SER_hh_num_in!L15)</f>
        <v>743.3924539719045</v>
      </c>
      <c r="M15" s="134">
        <f>IF(SER_hh_tes_in!M15=0,0,11630*1000*SER_hh_tes_in!M15/SER_hh_num_in!M15)</f>
        <v>691.93371466122323</v>
      </c>
      <c r="N15" s="134">
        <f>IF(SER_hh_tes_in!N15=0,0,11630*1000*SER_hh_tes_in!N15/SER_hh_num_in!N15)</f>
        <v>701.60939973225209</v>
      </c>
      <c r="O15" s="134">
        <f>IF(SER_hh_tes_in!O15=0,0,11630*1000*SER_hh_tes_in!O15/SER_hh_num_in!O15)</f>
        <v>554.4433267163522</v>
      </c>
      <c r="P15" s="134">
        <f>IF(SER_hh_tes_in!P15=0,0,11630*1000*SER_hh_tes_in!P15/SER_hh_num_in!P15)</f>
        <v>363.34140797774381</v>
      </c>
      <c r="Q15" s="134">
        <f>IF(SER_hh_tes_in!Q15=0,0,11630*1000*SER_hh_tes_in!Q15/SER_hh_num_in!Q15)</f>
        <v>309.48666037756112</v>
      </c>
      <c r="R15" s="134">
        <f>IF(SER_hh_tes_in!R15=0,0,11630*1000*SER_hh_tes_in!R15/SER_hh_num_in!R15)</f>
        <v>363.61983467410232</v>
      </c>
      <c r="S15" s="134">
        <f>IF(SER_hh_tes_in!S15=0,0,11630*1000*SER_hh_tes_in!S15/SER_hh_num_in!S15)</f>
        <v>381.8623693247182</v>
      </c>
      <c r="T15" s="134">
        <f>IF(SER_hh_tes_in!T15=0,0,11630*1000*SER_hh_tes_in!T15/SER_hh_num_in!T15)</f>
        <v>365.96364082229002</v>
      </c>
      <c r="U15" s="134">
        <f>IF(SER_hh_tes_in!U15=0,0,11630*1000*SER_hh_tes_in!U15/SER_hh_num_in!U15)</f>
        <v>337.93847445180472</v>
      </c>
      <c r="V15" s="134">
        <f>IF(SER_hh_tes_in!V15=0,0,11630*1000*SER_hh_tes_in!V15/SER_hh_num_in!V15)</f>
        <v>231.32941148563103</v>
      </c>
      <c r="W15" s="134">
        <f>IF(SER_hh_tes_in!W15=0,0,11630*1000*SER_hh_tes_in!W15/SER_hh_num_in!W15)</f>
        <v>176.81579181167712</v>
      </c>
      <c r="X15" s="134">
        <f>IF(SER_hh_tes_in!X15=0,0,11630*1000*SER_hh_tes_in!X15/SER_hh_num_in!X15)</f>
        <v>96.362784653774213</v>
      </c>
      <c r="Y15" s="134">
        <f>IF(SER_hh_tes_in!Y15=0,0,11630*1000*SER_hh_tes_in!Y15/SER_hh_num_in!Y15)</f>
        <v>102.62217381412715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22946.434634364479</v>
      </c>
      <c r="D16" s="130">
        <f>IF(SER_hh_tes_in!D16=0,0,11630*1000*SER_hh_tes_in!D16/SER_hh_num_in!D16)</f>
        <v>22777.891255753584</v>
      </c>
      <c r="E16" s="130">
        <f>IF(SER_hh_tes_in!E16=0,0,11630*1000*SER_hh_tes_in!E16/SER_hh_num_in!E16)</f>
        <v>22609.422052458154</v>
      </c>
      <c r="F16" s="130">
        <f>IF(SER_hh_tes_in!F16=0,0,11630*1000*SER_hh_tes_in!F16/SER_hh_num_in!F16)</f>
        <v>22434.795719141726</v>
      </c>
      <c r="G16" s="130">
        <f>IF(SER_hh_tes_in!G16=0,0,11630*1000*SER_hh_tes_in!G16/SER_hh_num_in!G16)</f>
        <v>22245.832436014956</v>
      </c>
      <c r="H16" s="130">
        <f>IF(SER_hh_tes_in!H16=0,0,11630*1000*SER_hh_tes_in!H16/SER_hh_num_in!H16)</f>
        <v>22052.267154152094</v>
      </c>
      <c r="I16" s="130">
        <f>IF(SER_hh_tes_in!I16=0,0,11630*1000*SER_hh_tes_in!I16/SER_hh_num_in!I16)</f>
        <v>21833.502924024859</v>
      </c>
      <c r="J16" s="130">
        <f>IF(SER_hh_tes_in!J16=0,0,11630*1000*SER_hh_tes_in!J16/SER_hh_num_in!J16)</f>
        <v>21745.10135963458</v>
      </c>
      <c r="K16" s="130">
        <f>IF(SER_hh_tes_in!K16=0,0,11630*1000*SER_hh_tes_in!K16/SER_hh_num_in!K16)</f>
        <v>21424.917448020071</v>
      </c>
      <c r="L16" s="130">
        <f>IF(SER_hh_tes_in!L16=0,0,11630*1000*SER_hh_tes_in!L16/SER_hh_num_in!L16)</f>
        <v>21416.224121364914</v>
      </c>
      <c r="M16" s="130">
        <f>IF(SER_hh_tes_in!M16=0,0,11630*1000*SER_hh_tes_in!M16/SER_hh_num_in!M16)</f>
        <v>20700.40319069301</v>
      </c>
      <c r="N16" s="130">
        <f>IF(SER_hh_tes_in!N16=0,0,11630*1000*SER_hh_tes_in!N16/SER_hh_num_in!N16)</f>
        <v>20261.832705779008</v>
      </c>
      <c r="O16" s="130">
        <f>IF(SER_hh_tes_in!O16=0,0,11630*1000*SER_hh_tes_in!O16/SER_hh_num_in!O16)</f>
        <v>19858.135568398517</v>
      </c>
      <c r="P16" s="130">
        <f>IF(SER_hh_tes_in!P16=0,0,11630*1000*SER_hh_tes_in!P16/SER_hh_num_in!P16)</f>
        <v>19635.013497128421</v>
      </c>
      <c r="Q16" s="130">
        <f>IF(SER_hh_tes_in!Q16=0,0,11630*1000*SER_hh_tes_in!Q16/SER_hh_num_in!Q16)</f>
        <v>18894.492096074486</v>
      </c>
      <c r="R16" s="130">
        <f>IF(SER_hh_tes_in!R16=0,0,11630*1000*SER_hh_tes_in!R16/SER_hh_num_in!R16)</f>
        <v>18422.763562852397</v>
      </c>
      <c r="S16" s="130">
        <f>IF(SER_hh_tes_in!S16=0,0,11630*1000*SER_hh_tes_in!S16/SER_hh_num_in!S16)</f>
        <v>17867.484030822066</v>
      </c>
      <c r="T16" s="130">
        <f>IF(SER_hh_tes_in!T16=0,0,11630*1000*SER_hh_tes_in!T16/SER_hh_num_in!T16)</f>
        <v>17402.604044117965</v>
      </c>
      <c r="U16" s="130">
        <f>IF(SER_hh_tes_in!U16=0,0,11630*1000*SER_hh_tes_in!U16/SER_hh_num_in!U16)</f>
        <v>16522.057249902537</v>
      </c>
      <c r="V16" s="130">
        <f>IF(SER_hh_tes_in!V16=0,0,11630*1000*SER_hh_tes_in!V16/SER_hh_num_in!V16)</f>
        <v>15295.904384853493</v>
      </c>
      <c r="W16" s="130">
        <f>IF(SER_hh_tes_in!W16=0,0,11630*1000*SER_hh_tes_in!W16/SER_hh_num_in!W16)</f>
        <v>13624.483635154755</v>
      </c>
      <c r="X16" s="130">
        <f>IF(SER_hh_tes_in!X16=0,0,11630*1000*SER_hh_tes_in!X16/SER_hh_num_in!X16)</f>
        <v>11224.628299879694</v>
      </c>
      <c r="Y16" s="130">
        <f>IF(SER_hh_tes_in!Y16=0,0,11630*1000*SER_hh_tes_in!Y16/SER_hh_num_in!Y16)</f>
        <v>11711.717592806299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0</v>
      </c>
      <c r="D17" s="132">
        <f>IF(SER_hh_tes_in!D17=0,0,11630*1000*SER_hh_tes_in!D17/SER_hh_num_in!D17)</f>
        <v>0</v>
      </c>
      <c r="E17" s="132">
        <f>IF(SER_hh_tes_in!E17=0,0,11630*1000*SER_hh_tes_in!E17/SER_hh_num_in!E17)</f>
        <v>0</v>
      </c>
      <c r="F17" s="132">
        <f>IF(SER_hh_tes_in!F17=0,0,11630*1000*SER_hh_tes_in!F17/SER_hh_num_in!F17)</f>
        <v>0</v>
      </c>
      <c r="G17" s="132">
        <f>IF(SER_hh_tes_in!G17=0,0,11630*1000*SER_hh_tes_in!G17/SER_hh_num_in!G17)</f>
        <v>0</v>
      </c>
      <c r="H17" s="132">
        <f>IF(SER_hh_tes_in!H17=0,0,11630*1000*SER_hh_tes_in!H17/SER_hh_num_in!H17)</f>
        <v>0</v>
      </c>
      <c r="I17" s="132">
        <f>IF(SER_hh_tes_in!I17=0,0,11630*1000*SER_hh_tes_in!I17/SER_hh_num_in!I17)</f>
        <v>0</v>
      </c>
      <c r="J17" s="132">
        <f>IF(SER_hh_tes_in!J17=0,0,11630*1000*SER_hh_tes_in!J17/SER_hh_num_in!J17)</f>
        <v>0</v>
      </c>
      <c r="K17" s="132">
        <f>IF(SER_hh_tes_in!K17=0,0,11630*1000*SER_hh_tes_in!K17/SER_hh_num_in!K17)</f>
        <v>0</v>
      </c>
      <c r="L17" s="132">
        <f>IF(SER_hh_tes_in!L17=0,0,11630*1000*SER_hh_tes_in!L17/SER_hh_num_in!L17)</f>
        <v>0</v>
      </c>
      <c r="M17" s="132">
        <f>IF(SER_hh_tes_in!M17=0,0,11630*1000*SER_hh_tes_in!M17/SER_hh_num_in!M17)</f>
        <v>0</v>
      </c>
      <c r="N17" s="132">
        <f>IF(SER_hh_tes_in!N17=0,0,11630*1000*SER_hh_tes_in!N17/SER_hh_num_in!N17)</f>
        <v>0</v>
      </c>
      <c r="O17" s="132">
        <f>IF(SER_hh_tes_in!O17=0,0,11630*1000*SER_hh_tes_in!O17/SER_hh_num_in!O17)</f>
        <v>0</v>
      </c>
      <c r="P17" s="132">
        <f>IF(SER_hh_tes_in!P17=0,0,11630*1000*SER_hh_tes_in!P17/SER_hh_num_in!P17)</f>
        <v>0</v>
      </c>
      <c r="Q17" s="132">
        <f>IF(SER_hh_tes_in!Q17=0,0,11630*1000*SER_hh_tes_in!Q17/SER_hh_num_in!Q17)</f>
        <v>0</v>
      </c>
      <c r="R17" s="132">
        <f>IF(SER_hh_tes_in!R17=0,0,11630*1000*SER_hh_tes_in!R17/SER_hh_num_in!R17)</f>
        <v>0</v>
      </c>
      <c r="S17" s="132">
        <f>IF(SER_hh_tes_in!S17=0,0,11630*1000*SER_hh_tes_in!S17/SER_hh_num_in!S17)</f>
        <v>0</v>
      </c>
      <c r="T17" s="132">
        <f>IF(SER_hh_tes_in!T17=0,0,11630*1000*SER_hh_tes_in!T17/SER_hh_num_in!T17)</f>
        <v>0</v>
      </c>
      <c r="U17" s="132">
        <f>IF(SER_hh_tes_in!U17=0,0,11630*1000*SER_hh_tes_in!U17/SER_hh_num_in!U17)</f>
        <v>0</v>
      </c>
      <c r="V17" s="132">
        <f>IF(SER_hh_tes_in!V17=0,0,11630*1000*SER_hh_tes_in!V17/SER_hh_num_in!V17)</f>
        <v>0</v>
      </c>
      <c r="W17" s="132">
        <f>IF(SER_hh_tes_in!W17=0,0,11630*1000*SER_hh_tes_in!W17/SER_hh_num_in!W17)</f>
        <v>0</v>
      </c>
      <c r="X17" s="132">
        <f>IF(SER_hh_tes_in!X17=0,0,11630*1000*SER_hh_tes_in!X17/SER_hh_num_in!X17)</f>
        <v>0</v>
      </c>
      <c r="Y17" s="132">
        <f>IF(SER_hh_tes_in!Y17=0,0,11630*1000*SER_hh_tes_in!Y17/SER_hh_num_in!Y17)</f>
        <v>0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22946.434634364479</v>
      </c>
      <c r="D18" s="132">
        <f>IF(SER_hh_tes_in!D18=0,0,11630*1000*SER_hh_tes_in!D18/SER_hh_num_in!D18)</f>
        <v>22777.891255753584</v>
      </c>
      <c r="E18" s="132">
        <f>IF(SER_hh_tes_in!E18=0,0,11630*1000*SER_hh_tes_in!E18/SER_hh_num_in!E18)</f>
        <v>22609.422052458154</v>
      </c>
      <c r="F18" s="132">
        <f>IF(SER_hh_tes_in!F18=0,0,11630*1000*SER_hh_tes_in!F18/SER_hh_num_in!F18)</f>
        <v>22434.795719141726</v>
      </c>
      <c r="G18" s="132">
        <f>IF(SER_hh_tes_in!G18=0,0,11630*1000*SER_hh_tes_in!G18/SER_hh_num_in!G18)</f>
        <v>22245.832436014956</v>
      </c>
      <c r="H18" s="132">
        <f>IF(SER_hh_tes_in!H18=0,0,11630*1000*SER_hh_tes_in!H18/SER_hh_num_in!H18)</f>
        <v>22052.267154152094</v>
      </c>
      <c r="I18" s="132">
        <f>IF(SER_hh_tes_in!I18=0,0,11630*1000*SER_hh_tes_in!I18/SER_hh_num_in!I18)</f>
        <v>21833.502924024859</v>
      </c>
      <c r="J18" s="132">
        <f>IF(SER_hh_tes_in!J18=0,0,11630*1000*SER_hh_tes_in!J18/SER_hh_num_in!J18)</f>
        <v>21745.10135963458</v>
      </c>
      <c r="K18" s="132">
        <f>IF(SER_hh_tes_in!K18=0,0,11630*1000*SER_hh_tes_in!K18/SER_hh_num_in!K18)</f>
        <v>21424.917448020071</v>
      </c>
      <c r="L18" s="132">
        <f>IF(SER_hh_tes_in!L18=0,0,11630*1000*SER_hh_tes_in!L18/SER_hh_num_in!L18)</f>
        <v>21416.224121364914</v>
      </c>
      <c r="M18" s="132">
        <f>IF(SER_hh_tes_in!M18=0,0,11630*1000*SER_hh_tes_in!M18/SER_hh_num_in!M18)</f>
        <v>20700.40319069301</v>
      </c>
      <c r="N18" s="132">
        <f>IF(SER_hh_tes_in!N18=0,0,11630*1000*SER_hh_tes_in!N18/SER_hh_num_in!N18)</f>
        <v>20261.832705779008</v>
      </c>
      <c r="O18" s="132">
        <f>IF(SER_hh_tes_in!O18=0,0,11630*1000*SER_hh_tes_in!O18/SER_hh_num_in!O18)</f>
        <v>19858.135568398517</v>
      </c>
      <c r="P18" s="132">
        <f>IF(SER_hh_tes_in!P18=0,0,11630*1000*SER_hh_tes_in!P18/SER_hh_num_in!P18)</f>
        <v>19635.013497128421</v>
      </c>
      <c r="Q18" s="132">
        <f>IF(SER_hh_tes_in!Q18=0,0,11630*1000*SER_hh_tes_in!Q18/SER_hh_num_in!Q18)</f>
        <v>18894.492096074486</v>
      </c>
      <c r="R18" s="132">
        <f>IF(SER_hh_tes_in!R18=0,0,11630*1000*SER_hh_tes_in!R18/SER_hh_num_in!R18)</f>
        <v>18422.763562852397</v>
      </c>
      <c r="S18" s="132">
        <f>IF(SER_hh_tes_in!S18=0,0,11630*1000*SER_hh_tes_in!S18/SER_hh_num_in!S18)</f>
        <v>17867.484030822066</v>
      </c>
      <c r="T18" s="132">
        <f>IF(SER_hh_tes_in!T18=0,0,11630*1000*SER_hh_tes_in!T18/SER_hh_num_in!T18)</f>
        <v>17402.604044117965</v>
      </c>
      <c r="U18" s="132">
        <f>IF(SER_hh_tes_in!U18=0,0,11630*1000*SER_hh_tes_in!U18/SER_hh_num_in!U18)</f>
        <v>16522.057249902537</v>
      </c>
      <c r="V18" s="132">
        <f>IF(SER_hh_tes_in!V18=0,0,11630*1000*SER_hh_tes_in!V18/SER_hh_num_in!V18)</f>
        <v>15295.904384853493</v>
      </c>
      <c r="W18" s="132">
        <f>IF(SER_hh_tes_in!W18=0,0,11630*1000*SER_hh_tes_in!W18/SER_hh_num_in!W18)</f>
        <v>13624.483635154755</v>
      </c>
      <c r="X18" s="132">
        <f>IF(SER_hh_tes_in!X18=0,0,11630*1000*SER_hh_tes_in!X18/SER_hh_num_in!X18)</f>
        <v>11224.628299879694</v>
      </c>
      <c r="Y18" s="132">
        <f>IF(SER_hh_tes_in!Y18=0,0,11630*1000*SER_hh_tes_in!Y18/SER_hh_num_in!Y18)</f>
        <v>11711.717592806299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17143.607981911875</v>
      </c>
      <c r="D19" s="130">
        <f>IF(SER_hh_tes_in!D19=0,0,11630*1000*SER_hh_tes_in!D19/SER_hh_num_in!D19)</f>
        <v>17061.449963584335</v>
      </c>
      <c r="E19" s="130">
        <f>IF(SER_hh_tes_in!E19=0,0,11630*1000*SER_hh_tes_in!E19/SER_hh_num_in!E19)</f>
        <v>16935.506760215241</v>
      </c>
      <c r="F19" s="130">
        <f>IF(SER_hh_tes_in!F19=0,0,11630*1000*SER_hh_tes_in!F19/SER_hh_num_in!F19)</f>
        <v>16801.61479835329</v>
      </c>
      <c r="G19" s="130">
        <f>IF(SER_hh_tes_in!G19=0,0,11630*1000*SER_hh_tes_in!G19/SER_hh_num_in!G19)</f>
        <v>17343.590275456085</v>
      </c>
      <c r="H19" s="130">
        <f>IF(SER_hh_tes_in!H19=0,0,11630*1000*SER_hh_tes_in!H19/SER_hh_num_in!H19)</f>
        <v>16948.41621594585</v>
      </c>
      <c r="I19" s="130">
        <f>IF(SER_hh_tes_in!I19=0,0,11630*1000*SER_hh_tes_in!I19/SER_hh_num_in!I19)</f>
        <v>16973.923840637155</v>
      </c>
      <c r="J19" s="130">
        <f>IF(SER_hh_tes_in!J19=0,0,11630*1000*SER_hh_tes_in!J19/SER_hh_num_in!J19)</f>
        <v>16946.068747797068</v>
      </c>
      <c r="K19" s="130">
        <f>IF(SER_hh_tes_in!K19=0,0,11630*1000*SER_hh_tes_in!K19/SER_hh_num_in!K19)</f>
        <v>17436.923596362943</v>
      </c>
      <c r="L19" s="130">
        <f>IF(SER_hh_tes_in!L19=0,0,11630*1000*SER_hh_tes_in!L19/SER_hh_num_in!L19)</f>
        <v>17240.235039375963</v>
      </c>
      <c r="M19" s="130">
        <f>IF(SER_hh_tes_in!M19=0,0,11630*1000*SER_hh_tes_in!M19/SER_hh_num_in!M19)</f>
        <v>16882.54901090965</v>
      </c>
      <c r="N19" s="130">
        <f>IF(SER_hh_tes_in!N19=0,0,11630*1000*SER_hh_tes_in!N19/SER_hh_num_in!N19)</f>
        <v>17426.642001501405</v>
      </c>
      <c r="O19" s="130">
        <f>IF(SER_hh_tes_in!O19=0,0,11630*1000*SER_hh_tes_in!O19/SER_hh_num_in!O19)</f>
        <v>17365.886806523085</v>
      </c>
      <c r="P19" s="130">
        <f>IF(SER_hh_tes_in!P19=0,0,11630*1000*SER_hh_tes_in!P19/SER_hh_num_in!P19)</f>
        <v>17089.451979131401</v>
      </c>
      <c r="Q19" s="130">
        <f>IF(SER_hh_tes_in!Q19=0,0,11630*1000*SER_hh_tes_in!Q19/SER_hh_num_in!Q19)</f>
        <v>16978.866204932856</v>
      </c>
      <c r="R19" s="130">
        <f>IF(SER_hh_tes_in!R19=0,0,11630*1000*SER_hh_tes_in!R19/SER_hh_num_in!R19)</f>
        <v>16832.824766956986</v>
      </c>
      <c r="S19" s="130">
        <f>IF(SER_hh_tes_in!S19=0,0,11630*1000*SER_hh_tes_in!S19/SER_hh_num_in!S19)</f>
        <v>16690.586816203602</v>
      </c>
      <c r="T19" s="130">
        <f>IF(SER_hh_tes_in!T19=0,0,11630*1000*SER_hh_tes_in!T19/SER_hh_num_in!T19)</f>
        <v>16447.595466388575</v>
      </c>
      <c r="U19" s="130">
        <f>IF(SER_hh_tes_in!U19=0,0,11630*1000*SER_hh_tes_in!U19/SER_hh_num_in!U19)</f>
        <v>16461.617408996921</v>
      </c>
      <c r="V19" s="130">
        <f>IF(SER_hh_tes_in!V19=0,0,11630*1000*SER_hh_tes_in!V19/SER_hh_num_in!V19)</f>
        <v>16678.205543449694</v>
      </c>
      <c r="W19" s="130">
        <f>IF(SER_hh_tes_in!W19=0,0,11630*1000*SER_hh_tes_in!W19/SER_hh_num_in!W19)</f>
        <v>16412.518919456623</v>
      </c>
      <c r="X19" s="130">
        <f>IF(SER_hh_tes_in!X19=0,0,11630*1000*SER_hh_tes_in!X19/SER_hh_num_in!X19)</f>
        <v>15585.065543975932</v>
      </c>
      <c r="Y19" s="130">
        <f>IF(SER_hh_tes_in!Y19=0,0,11630*1000*SER_hh_tes_in!Y19/SER_hh_num_in!Y19)</f>
        <v>15614.665690137921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0</v>
      </c>
      <c r="D21" s="132">
        <f>IF(SER_hh_tes_in!D21=0,0,11630*1000*SER_hh_tes_in!D21/SER_hh_num_in!D21)</f>
        <v>0</v>
      </c>
      <c r="E21" s="132">
        <f>IF(SER_hh_tes_in!E21=0,0,11630*1000*SER_hh_tes_in!E21/SER_hh_num_in!E21)</f>
        <v>0</v>
      </c>
      <c r="F21" s="132">
        <f>IF(SER_hh_tes_in!F21=0,0,11630*1000*SER_hh_tes_in!F21/SER_hh_num_in!F21)</f>
        <v>0</v>
      </c>
      <c r="G21" s="132">
        <f>IF(SER_hh_tes_in!G21=0,0,11630*1000*SER_hh_tes_in!G21/SER_hh_num_in!G21)</f>
        <v>0</v>
      </c>
      <c r="H21" s="132">
        <f>IF(SER_hh_tes_in!H21=0,0,11630*1000*SER_hh_tes_in!H21/SER_hh_num_in!H21)</f>
        <v>0</v>
      </c>
      <c r="I21" s="132">
        <f>IF(SER_hh_tes_in!I21=0,0,11630*1000*SER_hh_tes_in!I21/SER_hh_num_in!I21)</f>
        <v>0</v>
      </c>
      <c r="J21" s="132">
        <f>IF(SER_hh_tes_in!J21=0,0,11630*1000*SER_hh_tes_in!J21/SER_hh_num_in!J21)</f>
        <v>0</v>
      </c>
      <c r="K21" s="132">
        <f>IF(SER_hh_tes_in!K21=0,0,11630*1000*SER_hh_tes_in!K21/SER_hh_num_in!K21)</f>
        <v>0</v>
      </c>
      <c r="L21" s="132">
        <f>IF(SER_hh_tes_in!L21=0,0,11630*1000*SER_hh_tes_in!L21/SER_hh_num_in!L21)</f>
        <v>0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0</v>
      </c>
      <c r="O21" s="132">
        <f>IF(SER_hh_tes_in!O21=0,0,11630*1000*SER_hh_tes_in!O21/SER_hh_num_in!O21)</f>
        <v>0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0</v>
      </c>
      <c r="S21" s="132">
        <f>IF(SER_hh_tes_in!S21=0,0,11630*1000*SER_hh_tes_in!S21/SER_hh_num_in!S21)</f>
        <v>0</v>
      </c>
      <c r="T21" s="132">
        <f>IF(SER_hh_tes_in!T21=0,0,11630*1000*SER_hh_tes_in!T21/SER_hh_num_in!T21)</f>
        <v>0</v>
      </c>
      <c r="U21" s="132">
        <f>IF(SER_hh_tes_in!U21=0,0,11630*1000*SER_hh_tes_in!U21/SER_hh_num_in!U21)</f>
        <v>0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0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17268.325186593764</v>
      </c>
      <c r="D22" s="132">
        <f>IF(SER_hh_tes_in!D22=0,0,11630*1000*SER_hh_tes_in!D22/SER_hh_num_in!D22)</f>
        <v>17181.34979896303</v>
      </c>
      <c r="E22" s="132">
        <f>IF(SER_hh_tes_in!E22=0,0,11630*1000*SER_hh_tes_in!E22/SER_hh_num_in!E22)</f>
        <v>17894.462459852246</v>
      </c>
      <c r="F22" s="132">
        <f>IF(SER_hh_tes_in!F22=0,0,11630*1000*SER_hh_tes_in!F22/SER_hh_num_in!F22)</f>
        <v>0</v>
      </c>
      <c r="G22" s="132">
        <f>IF(SER_hh_tes_in!G22=0,0,11630*1000*SER_hh_tes_in!G22/SER_hh_num_in!G22)</f>
        <v>0</v>
      </c>
      <c r="H22" s="132">
        <f>IF(SER_hh_tes_in!H22=0,0,11630*1000*SER_hh_tes_in!H22/SER_hh_num_in!H22)</f>
        <v>0</v>
      </c>
      <c r="I22" s="132">
        <f>IF(SER_hh_tes_in!I22=0,0,11630*1000*SER_hh_tes_in!I22/SER_hh_num_in!I22)</f>
        <v>0</v>
      </c>
      <c r="J22" s="132">
        <f>IF(SER_hh_tes_in!J22=0,0,11630*1000*SER_hh_tes_in!J22/SER_hh_num_in!J22)</f>
        <v>0</v>
      </c>
      <c r="K22" s="132">
        <f>IF(SER_hh_tes_in!K22=0,0,11630*1000*SER_hh_tes_in!K22/SER_hh_num_in!K22)</f>
        <v>0</v>
      </c>
      <c r="L22" s="132">
        <f>IF(SER_hh_tes_in!L22=0,0,11630*1000*SER_hh_tes_in!L22/SER_hh_num_in!L22)</f>
        <v>0</v>
      </c>
      <c r="M22" s="132">
        <f>IF(SER_hh_tes_in!M22=0,0,11630*1000*SER_hh_tes_in!M22/SER_hh_num_in!M22)</f>
        <v>14796.894487122867</v>
      </c>
      <c r="N22" s="132">
        <f>IF(SER_hh_tes_in!N22=0,0,11630*1000*SER_hh_tes_in!N22/SER_hh_num_in!N22)</f>
        <v>18941.553204968121</v>
      </c>
      <c r="O22" s="132">
        <f>IF(SER_hh_tes_in!O22=0,0,11630*1000*SER_hh_tes_in!O22/SER_hh_num_in!O22)</f>
        <v>19114.339422059398</v>
      </c>
      <c r="P22" s="132">
        <f>IF(SER_hh_tes_in!P22=0,0,11630*1000*SER_hh_tes_in!P22/SER_hh_num_in!P22)</f>
        <v>13622.392253580332</v>
      </c>
      <c r="Q22" s="132">
        <f>IF(SER_hh_tes_in!Q22=0,0,11630*1000*SER_hh_tes_in!Q22/SER_hh_num_in!Q22)</f>
        <v>17999.494070790231</v>
      </c>
      <c r="R22" s="132">
        <f>IF(SER_hh_tes_in!R22=0,0,11630*1000*SER_hh_tes_in!R22/SER_hh_num_in!R22)</f>
        <v>17114.27573050249</v>
      </c>
      <c r="S22" s="132">
        <f>IF(SER_hh_tes_in!S22=0,0,11630*1000*SER_hh_tes_in!S22/SER_hh_num_in!S22)</f>
        <v>16994.810832212079</v>
      </c>
      <c r="T22" s="132">
        <f>IF(SER_hh_tes_in!T22=0,0,11630*1000*SER_hh_tes_in!T22/SER_hh_num_in!T22)</f>
        <v>17139.716756249807</v>
      </c>
      <c r="U22" s="132">
        <f>IF(SER_hh_tes_in!U22=0,0,11630*1000*SER_hh_tes_in!U22/SER_hh_num_in!U22)</f>
        <v>16709.740647646591</v>
      </c>
      <c r="V22" s="132">
        <f>IF(SER_hh_tes_in!V22=0,0,11630*1000*SER_hh_tes_in!V22/SER_hh_num_in!V22)</f>
        <v>0</v>
      </c>
      <c r="W22" s="132">
        <f>IF(SER_hh_tes_in!W22=0,0,11630*1000*SER_hh_tes_in!W22/SER_hh_num_in!W22)</f>
        <v>0</v>
      </c>
      <c r="X22" s="132">
        <f>IF(SER_hh_tes_in!X22=0,0,11630*1000*SER_hh_tes_in!X22/SER_hh_num_in!X22)</f>
        <v>0</v>
      </c>
      <c r="Y22" s="132">
        <f>IF(SER_hh_tes_in!Y22=0,0,11630*1000*SER_hh_tes_in!Y22/SER_hh_num_in!Y22)</f>
        <v>0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15643.4678860857</v>
      </c>
      <c r="D23" s="132">
        <f>IF(SER_hh_tes_in!D23=0,0,11630*1000*SER_hh_tes_in!D23/SER_hh_num_in!D23)</f>
        <v>17069.24287049679</v>
      </c>
      <c r="E23" s="132">
        <f>IF(SER_hh_tes_in!E23=0,0,11630*1000*SER_hh_tes_in!E23/SER_hh_num_in!E23)</f>
        <v>17981.609824733714</v>
      </c>
      <c r="F23" s="132">
        <f>IF(SER_hh_tes_in!F23=0,0,11630*1000*SER_hh_tes_in!F23/SER_hh_num_in!F23)</f>
        <v>16017.297631728254</v>
      </c>
      <c r="G23" s="132">
        <f>IF(SER_hh_tes_in!G23=0,0,11630*1000*SER_hh_tes_in!G23/SER_hh_num_in!G23)</f>
        <v>16381.813544174394</v>
      </c>
      <c r="H23" s="132">
        <f>IF(SER_hh_tes_in!H23=0,0,11630*1000*SER_hh_tes_in!H23/SER_hh_num_in!H23)</f>
        <v>18205.903631201636</v>
      </c>
      <c r="I23" s="132">
        <f>IF(SER_hh_tes_in!I23=0,0,11630*1000*SER_hh_tes_in!I23/SER_hh_num_in!I23)</f>
        <v>16891.143748797789</v>
      </c>
      <c r="J23" s="132">
        <f>IF(SER_hh_tes_in!J23=0,0,11630*1000*SER_hh_tes_in!J23/SER_hh_num_in!J23)</f>
        <v>17445.837960777604</v>
      </c>
      <c r="K23" s="132">
        <f>IF(SER_hh_tes_in!K23=0,0,11630*1000*SER_hh_tes_in!K23/SER_hh_num_in!K23)</f>
        <v>17010.071715810675</v>
      </c>
      <c r="L23" s="132">
        <f>IF(SER_hh_tes_in!L23=0,0,11630*1000*SER_hh_tes_in!L23/SER_hh_num_in!L23)</f>
        <v>17374.059157168751</v>
      </c>
      <c r="M23" s="132">
        <f>IF(SER_hh_tes_in!M23=0,0,11630*1000*SER_hh_tes_in!M23/SER_hh_num_in!M23)</f>
        <v>16991.93003107643</v>
      </c>
      <c r="N23" s="132">
        <f>IF(SER_hh_tes_in!N23=0,0,11630*1000*SER_hh_tes_in!N23/SER_hh_num_in!N23)</f>
        <v>16917.294708606441</v>
      </c>
      <c r="O23" s="132">
        <f>IF(SER_hh_tes_in!O23=0,0,11630*1000*SER_hh_tes_in!O23/SER_hh_num_in!O23)</f>
        <v>16947.17144189544</v>
      </c>
      <c r="P23" s="132">
        <f>IF(SER_hh_tes_in!P23=0,0,11630*1000*SER_hh_tes_in!P23/SER_hh_num_in!P23)</f>
        <v>17476.977852462907</v>
      </c>
      <c r="Q23" s="132">
        <f>IF(SER_hh_tes_in!Q23=0,0,11630*1000*SER_hh_tes_in!Q23/SER_hh_num_in!Q23)</f>
        <v>17568.594826292643</v>
      </c>
      <c r="R23" s="132">
        <f>IF(SER_hh_tes_in!R23=0,0,11630*1000*SER_hh_tes_in!R23/SER_hh_num_in!R23)</f>
        <v>18820.329082386179</v>
      </c>
      <c r="S23" s="132">
        <f>IF(SER_hh_tes_in!S23=0,0,11630*1000*SER_hh_tes_in!S23/SER_hh_num_in!S23)</f>
        <v>10966.55743564092</v>
      </c>
      <c r="T23" s="132">
        <f>IF(SER_hh_tes_in!T23=0,0,11630*1000*SER_hh_tes_in!T23/SER_hh_num_in!T23)</f>
        <v>15034.078261193721</v>
      </c>
      <c r="U23" s="132">
        <f>IF(SER_hh_tes_in!U23=0,0,11630*1000*SER_hh_tes_in!U23/SER_hh_num_in!U23)</f>
        <v>18714.472203925667</v>
      </c>
      <c r="V23" s="132">
        <f>IF(SER_hh_tes_in!V23=0,0,11630*1000*SER_hh_tes_in!V23/SER_hh_num_in!V23)</f>
        <v>17807.596342859029</v>
      </c>
      <c r="W23" s="132">
        <f>IF(SER_hh_tes_in!W23=0,0,11630*1000*SER_hh_tes_in!W23/SER_hh_num_in!W23)</f>
        <v>17678.587311386498</v>
      </c>
      <c r="X23" s="132">
        <f>IF(SER_hh_tes_in!X23=0,0,11630*1000*SER_hh_tes_in!X23/SER_hh_num_in!X23)</f>
        <v>15476.33960823385</v>
      </c>
      <c r="Y23" s="132">
        <f>IF(SER_hh_tes_in!Y23=0,0,11630*1000*SER_hh_tes_in!Y23/SER_hh_num_in!Y23)</f>
        <v>0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17097.773579483528</v>
      </c>
      <c r="D25" s="132">
        <f>IF(SER_hh_tes_in!D25=0,0,11630*1000*SER_hh_tes_in!D25/SER_hh_num_in!D25)</f>
        <v>16896.154131109874</v>
      </c>
      <c r="E25" s="132">
        <f>IF(SER_hh_tes_in!E25=0,0,11630*1000*SER_hh_tes_in!E25/SER_hh_num_in!E25)</f>
        <v>16668.787007743809</v>
      </c>
      <c r="F25" s="132">
        <f>IF(SER_hh_tes_in!F25=0,0,11630*1000*SER_hh_tes_in!F25/SER_hh_num_in!F25)</f>
        <v>16898.240575777108</v>
      </c>
      <c r="G25" s="132">
        <f>IF(SER_hh_tes_in!G25=0,0,11630*1000*SER_hh_tes_in!G25/SER_hh_num_in!G25)</f>
        <v>17280.218488637456</v>
      </c>
      <c r="H25" s="132">
        <f>IF(SER_hh_tes_in!H25=0,0,11630*1000*SER_hh_tes_in!H25/SER_hh_num_in!H25)</f>
        <v>17352.561674384218</v>
      </c>
      <c r="I25" s="132">
        <f>IF(SER_hh_tes_in!I25=0,0,11630*1000*SER_hh_tes_in!I25/SER_hh_num_in!I25)</f>
        <v>16837.276330122953</v>
      </c>
      <c r="J25" s="132">
        <f>IF(SER_hh_tes_in!J25=0,0,11630*1000*SER_hh_tes_in!J25/SER_hh_num_in!J25)</f>
        <v>17115.928896994345</v>
      </c>
      <c r="K25" s="132">
        <f>IF(SER_hh_tes_in!K25=0,0,11630*1000*SER_hh_tes_in!K25/SER_hh_num_in!K25)</f>
        <v>17098.229938086966</v>
      </c>
      <c r="L25" s="132">
        <f>IF(SER_hh_tes_in!L25=0,0,11630*1000*SER_hh_tes_in!L25/SER_hh_num_in!L25)</f>
        <v>17018.252607077604</v>
      </c>
      <c r="M25" s="132">
        <f>IF(SER_hh_tes_in!M25=0,0,11630*1000*SER_hh_tes_in!M25/SER_hh_num_in!M25)</f>
        <v>17108.960570944517</v>
      </c>
      <c r="N25" s="132">
        <f>IF(SER_hh_tes_in!N25=0,0,11630*1000*SER_hh_tes_in!N25/SER_hh_num_in!N25)</f>
        <v>17332.656290060611</v>
      </c>
      <c r="O25" s="132">
        <f>IF(SER_hh_tes_in!O25=0,0,11630*1000*SER_hh_tes_in!O25/SER_hh_num_in!O25)</f>
        <v>17120.376203268755</v>
      </c>
      <c r="P25" s="132">
        <f>IF(SER_hh_tes_in!P25=0,0,11630*1000*SER_hh_tes_in!P25/SER_hh_num_in!P25)</f>
        <v>16943.7219541056</v>
      </c>
      <c r="Q25" s="132">
        <f>IF(SER_hh_tes_in!Q25=0,0,11630*1000*SER_hh_tes_in!Q25/SER_hh_num_in!Q25)</f>
        <v>16654.095892044708</v>
      </c>
      <c r="R25" s="132">
        <f>IF(SER_hh_tes_in!R25=0,0,11630*1000*SER_hh_tes_in!R25/SER_hh_num_in!R25)</f>
        <v>17270.94144042056</v>
      </c>
      <c r="S25" s="132">
        <f>IF(SER_hh_tes_in!S25=0,0,11630*1000*SER_hh_tes_in!S25/SER_hh_num_in!S25)</f>
        <v>16277.066433907939</v>
      </c>
      <c r="T25" s="132">
        <f>IF(SER_hh_tes_in!T25=0,0,11630*1000*SER_hh_tes_in!T25/SER_hh_num_in!T25)</f>
        <v>16988.04834380007</v>
      </c>
      <c r="U25" s="132">
        <f>IF(SER_hh_tes_in!U25=0,0,11630*1000*SER_hh_tes_in!U25/SER_hh_num_in!U25)</f>
        <v>16868.598611368507</v>
      </c>
      <c r="V25" s="132">
        <f>IF(SER_hh_tes_in!V25=0,0,11630*1000*SER_hh_tes_in!V25/SER_hh_num_in!V25)</f>
        <v>14487.949425672768</v>
      </c>
      <c r="W25" s="132">
        <f>IF(SER_hh_tes_in!W25=0,0,11630*1000*SER_hh_tes_in!W25/SER_hh_num_in!W25)</f>
        <v>16922.377913062213</v>
      </c>
      <c r="X25" s="132">
        <f>IF(SER_hh_tes_in!X25=0,0,11630*1000*SER_hh_tes_in!X25/SER_hh_num_in!X25)</f>
        <v>15769.165803726824</v>
      </c>
      <c r="Y25" s="132">
        <f>IF(SER_hh_tes_in!Y25=0,0,11630*1000*SER_hh_tes_in!Y25/SER_hh_num_in!Y25)</f>
        <v>15470.091831947688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17170.361646178731</v>
      </c>
      <c r="D26" s="65">
        <f>IF(SER_hh_tes_in!D26=0,0,11630*1000*SER_hh_tes_in!D26/SER_hh_num_in!D26)</f>
        <v>17191.081940279415</v>
      </c>
      <c r="E26" s="65">
        <f>IF(SER_hh_tes_in!E26=0,0,11630*1000*SER_hh_tes_in!E26/SER_hh_num_in!E26)</f>
        <v>17152.535016971735</v>
      </c>
      <c r="F26" s="65">
        <f>IF(SER_hh_tes_in!F26=0,0,11630*1000*SER_hh_tes_in!F26/SER_hh_num_in!F26)</f>
        <v>16692.54545555187</v>
      </c>
      <c r="G26" s="65">
        <f>IF(SER_hh_tes_in!G26=0,0,11630*1000*SER_hh_tes_in!G26/SER_hh_num_in!G26)</f>
        <v>17455.047122946773</v>
      </c>
      <c r="H26" s="65">
        <f>IF(SER_hh_tes_in!H26=0,0,11630*1000*SER_hh_tes_in!H26/SER_hh_num_in!H26)</f>
        <v>16339.460845137519</v>
      </c>
      <c r="I26" s="65">
        <f>IF(SER_hh_tes_in!I26=0,0,11630*1000*SER_hh_tes_in!I26/SER_hh_num_in!I26)</f>
        <v>17081.97569330937</v>
      </c>
      <c r="J26" s="65">
        <f>IF(SER_hh_tes_in!J26=0,0,11630*1000*SER_hh_tes_in!J26/SER_hh_num_in!J26)</f>
        <v>16816.39612545065</v>
      </c>
      <c r="K26" s="65">
        <f>IF(SER_hh_tes_in!K26=0,0,11630*1000*SER_hh_tes_in!K26/SER_hh_num_in!K26)</f>
        <v>17671.608804479314</v>
      </c>
      <c r="L26" s="65">
        <f>IF(SER_hh_tes_in!L26=0,0,11630*1000*SER_hh_tes_in!L26/SER_hh_num_in!L26)</f>
        <v>17455.521600632259</v>
      </c>
      <c r="M26" s="65">
        <f>IF(SER_hh_tes_in!M26=0,0,11630*1000*SER_hh_tes_in!M26/SER_hh_num_in!M26)</f>
        <v>17444.018069497579</v>
      </c>
      <c r="N26" s="65">
        <f>IF(SER_hh_tes_in!N26=0,0,11630*1000*SER_hh_tes_in!N26/SER_hh_num_in!N26)</f>
        <v>16534.599387453949</v>
      </c>
      <c r="O26" s="65">
        <f>IF(SER_hh_tes_in!O26=0,0,11630*1000*SER_hh_tes_in!O26/SER_hh_num_in!O26)</f>
        <v>16877.847567683722</v>
      </c>
      <c r="P26" s="65">
        <f>IF(SER_hh_tes_in!P26=0,0,11630*1000*SER_hh_tes_in!P26/SER_hh_num_in!P26)</f>
        <v>17675.766333040738</v>
      </c>
      <c r="Q26" s="65">
        <f>IF(SER_hh_tes_in!Q26=0,0,11630*1000*SER_hh_tes_in!Q26/SER_hh_num_in!Q26)</f>
        <v>17014.417580291862</v>
      </c>
      <c r="R26" s="65">
        <f>IF(SER_hh_tes_in!R26=0,0,11630*1000*SER_hh_tes_in!R26/SER_hh_num_in!R26)</f>
        <v>15804.320229040239</v>
      </c>
      <c r="S26" s="65">
        <f>IF(SER_hh_tes_in!S26=0,0,11630*1000*SER_hh_tes_in!S26/SER_hh_num_in!S26)</f>
        <v>17170.854727565064</v>
      </c>
      <c r="T26" s="65">
        <f>IF(SER_hh_tes_in!T26=0,0,11630*1000*SER_hh_tes_in!T26/SER_hh_num_in!T26)</f>
        <v>15966.248936795857</v>
      </c>
      <c r="U26" s="65">
        <f>IF(SER_hh_tes_in!U26=0,0,11630*1000*SER_hh_tes_in!U26/SER_hh_num_in!U26)</f>
        <v>16046.902601475662</v>
      </c>
      <c r="V26" s="65">
        <f>IF(SER_hh_tes_in!V26=0,0,11630*1000*SER_hh_tes_in!V26/SER_hh_num_in!V26)</f>
        <v>18917.572396736257</v>
      </c>
      <c r="W26" s="65">
        <f>IF(SER_hh_tes_in!W26=0,0,11630*1000*SER_hh_tes_in!W26/SER_hh_num_in!W26)</f>
        <v>15492.44725139089</v>
      </c>
      <c r="X26" s="65">
        <f>IF(SER_hh_tes_in!X26=0,0,11630*1000*SER_hh_tes_in!X26/SER_hh_num_in!X26)</f>
        <v>15191.267123369191</v>
      </c>
      <c r="Y26" s="65">
        <f>IF(SER_hh_tes_in!Y26=0,0,11630*1000*SER_hh_tes_in!Y26/SER_hh_num_in!Y26)</f>
        <v>15780.421261923659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0</v>
      </c>
      <c r="D27" s="145">
        <f>IF(SER_hh_tes_in!D27=0,0,11630*1000*SER_hh_tes_in!D27/SER_hh_num_in!D19)</f>
        <v>0</v>
      </c>
      <c r="E27" s="145">
        <f>IF(SER_hh_tes_in!E27=0,0,11630*1000*SER_hh_tes_in!E27/SER_hh_num_in!E19)</f>
        <v>0</v>
      </c>
      <c r="F27" s="145">
        <f>IF(SER_hh_tes_in!F27=0,0,11630*1000*SER_hh_tes_in!F27/SER_hh_num_in!F19)</f>
        <v>0</v>
      </c>
      <c r="G27" s="145">
        <f>IF(SER_hh_tes_in!G27=0,0,11630*1000*SER_hh_tes_in!G27/SER_hh_num_in!G19)</f>
        <v>0</v>
      </c>
      <c r="H27" s="145">
        <f>IF(SER_hh_tes_in!H27=0,0,11630*1000*SER_hh_tes_in!H27/SER_hh_num_in!H19)</f>
        <v>0</v>
      </c>
      <c r="I27" s="145">
        <f>IF(SER_hh_tes_in!I27=0,0,11630*1000*SER_hh_tes_in!I27/SER_hh_num_in!I19)</f>
        <v>0</v>
      </c>
      <c r="J27" s="145">
        <f>IF(SER_hh_tes_in!J27=0,0,11630*1000*SER_hh_tes_in!J27/SER_hh_num_in!J19)</f>
        <v>0</v>
      </c>
      <c r="K27" s="145">
        <f>IF(SER_hh_tes_in!K27=0,0,11630*1000*SER_hh_tes_in!K27/SER_hh_num_in!K19)</f>
        <v>0</v>
      </c>
      <c r="L27" s="145">
        <f>IF(SER_hh_tes_in!L27=0,0,11630*1000*SER_hh_tes_in!L27/SER_hh_num_in!L19)</f>
        <v>0</v>
      </c>
      <c r="M27" s="145">
        <f>IF(SER_hh_tes_in!M27=0,0,11630*1000*SER_hh_tes_in!M27/SER_hh_num_in!M19)</f>
        <v>0</v>
      </c>
      <c r="N27" s="145">
        <f>IF(SER_hh_tes_in!N27=0,0,11630*1000*SER_hh_tes_in!N27/SER_hh_num_in!N19)</f>
        <v>0</v>
      </c>
      <c r="O27" s="145">
        <f>IF(SER_hh_tes_in!O27=0,0,11630*1000*SER_hh_tes_in!O27/SER_hh_num_in!O19)</f>
        <v>0</v>
      </c>
      <c r="P27" s="145">
        <f>IF(SER_hh_tes_in!P27=0,0,11630*1000*SER_hh_tes_in!P27/SER_hh_num_in!P19)</f>
        <v>0</v>
      </c>
      <c r="Q27" s="145">
        <f>IF(SER_hh_tes_in!Q27=0,0,11630*1000*SER_hh_tes_in!Q27/SER_hh_num_in!Q19)</f>
        <v>0</v>
      </c>
      <c r="R27" s="145">
        <f>IF(SER_hh_tes_in!R27=0,0,11630*1000*SER_hh_tes_in!R27/SER_hh_num_in!R19)</f>
        <v>0</v>
      </c>
      <c r="S27" s="145">
        <f>IF(SER_hh_tes_in!S27=0,0,11630*1000*SER_hh_tes_in!S27/SER_hh_num_in!S19)</f>
        <v>0</v>
      </c>
      <c r="T27" s="145">
        <f>IF(SER_hh_tes_in!T27=0,0,11630*1000*SER_hh_tes_in!T27/SER_hh_num_in!T19)</f>
        <v>0</v>
      </c>
      <c r="U27" s="145">
        <f>IF(SER_hh_tes_in!U27=0,0,11630*1000*SER_hh_tes_in!U27/SER_hh_num_in!U19)</f>
        <v>0</v>
      </c>
      <c r="V27" s="145">
        <f>IF(SER_hh_tes_in!V27=0,0,11630*1000*SER_hh_tes_in!V27/SER_hh_num_in!V19)</f>
        <v>0</v>
      </c>
      <c r="W27" s="145">
        <f>IF(SER_hh_tes_in!W27=0,0,11630*1000*SER_hh_tes_in!W27/SER_hh_num_in!W19)</f>
        <v>0</v>
      </c>
      <c r="X27" s="145">
        <f>IF(SER_hh_tes_in!X27=0,0,11630*1000*SER_hh_tes_in!X27/SER_hh_num_in!X19)</f>
        <v>0</v>
      </c>
      <c r="Y27" s="145">
        <f>IF(SER_hh_tes_in!Y27=0,0,11630*1000*SER_hh_tes_in!Y27/SER_hh_num_in!Y19)</f>
        <v>0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0</v>
      </c>
      <c r="D28" s="146">
        <f>IF(SER_hh_tes_in!D27=0,0,11630*1000*SER_hh_tes_in!D27/SER_hh_num_in!D27)</f>
        <v>0</v>
      </c>
      <c r="E28" s="146">
        <f>IF(SER_hh_tes_in!E27=0,0,11630*1000*SER_hh_tes_in!E27/SER_hh_num_in!E27)</f>
        <v>0</v>
      </c>
      <c r="F28" s="146">
        <f>IF(SER_hh_tes_in!F27=0,0,11630*1000*SER_hh_tes_in!F27/SER_hh_num_in!F27)</f>
        <v>0</v>
      </c>
      <c r="G28" s="146">
        <f>IF(SER_hh_tes_in!G27=0,0,11630*1000*SER_hh_tes_in!G27/SER_hh_num_in!G27)</f>
        <v>0</v>
      </c>
      <c r="H28" s="146">
        <f>IF(SER_hh_tes_in!H27=0,0,11630*1000*SER_hh_tes_in!H27/SER_hh_num_in!H27)</f>
        <v>0</v>
      </c>
      <c r="I28" s="146">
        <f>IF(SER_hh_tes_in!I27=0,0,11630*1000*SER_hh_tes_in!I27/SER_hh_num_in!I27)</f>
        <v>0</v>
      </c>
      <c r="J28" s="146">
        <f>IF(SER_hh_tes_in!J27=0,0,11630*1000*SER_hh_tes_in!J27/SER_hh_num_in!J27)</f>
        <v>0</v>
      </c>
      <c r="K28" s="146">
        <f>IF(SER_hh_tes_in!K27=0,0,11630*1000*SER_hh_tes_in!K27/SER_hh_num_in!K27)</f>
        <v>0</v>
      </c>
      <c r="L28" s="146">
        <f>IF(SER_hh_tes_in!L27=0,0,11630*1000*SER_hh_tes_in!L27/SER_hh_num_in!L27)</f>
        <v>0</v>
      </c>
      <c r="M28" s="146">
        <f>IF(SER_hh_tes_in!M27=0,0,11630*1000*SER_hh_tes_in!M27/SER_hh_num_in!M27)</f>
        <v>0</v>
      </c>
      <c r="N28" s="146">
        <f>IF(SER_hh_tes_in!N27=0,0,11630*1000*SER_hh_tes_in!N27/SER_hh_num_in!N27)</f>
        <v>0</v>
      </c>
      <c r="O28" s="146">
        <f>IF(SER_hh_tes_in!O27=0,0,11630*1000*SER_hh_tes_in!O27/SER_hh_num_in!O27)</f>
        <v>0</v>
      </c>
      <c r="P28" s="146">
        <f>IF(SER_hh_tes_in!P27=0,0,11630*1000*SER_hh_tes_in!P27/SER_hh_num_in!P27)</f>
        <v>0</v>
      </c>
      <c r="Q28" s="146">
        <f>IF(SER_hh_tes_in!Q27=0,0,11630*1000*SER_hh_tes_in!Q27/SER_hh_num_in!Q27)</f>
        <v>0</v>
      </c>
      <c r="R28" s="146">
        <f>IF(SER_hh_tes_in!R27=0,0,11630*1000*SER_hh_tes_in!R27/SER_hh_num_in!R27)</f>
        <v>0</v>
      </c>
      <c r="S28" s="146">
        <f>IF(SER_hh_tes_in!S27=0,0,11630*1000*SER_hh_tes_in!S27/SER_hh_num_in!S27)</f>
        <v>0</v>
      </c>
      <c r="T28" s="146">
        <f>IF(SER_hh_tes_in!T27=0,0,11630*1000*SER_hh_tes_in!T27/SER_hh_num_in!T27)</f>
        <v>0</v>
      </c>
      <c r="U28" s="146">
        <f>IF(SER_hh_tes_in!U27=0,0,11630*1000*SER_hh_tes_in!U27/SER_hh_num_in!U27)</f>
        <v>0</v>
      </c>
      <c r="V28" s="146">
        <f>IF(SER_hh_tes_in!V27=0,0,11630*1000*SER_hh_tes_in!V27/SER_hh_num_in!V27)</f>
        <v>0</v>
      </c>
      <c r="W28" s="146">
        <f>IF(SER_hh_tes_in!W27=0,0,11630*1000*SER_hh_tes_in!W27/SER_hh_num_in!W27)</f>
        <v>0</v>
      </c>
      <c r="X28" s="146">
        <f>IF(SER_hh_tes_in!X27=0,0,11630*1000*SER_hh_tes_in!X27/SER_hh_num_in!X27)</f>
        <v>0</v>
      </c>
      <c r="Y28" s="146">
        <f>IF(SER_hh_tes_in!Y27=0,0,11630*1000*SER_hh_tes_in!Y27/SER_hh_num_in!Y27)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15881.770966683851</v>
      </c>
      <c r="D29" s="130">
        <f>IF(SER_hh_tes_in!D29=0,0,11630*1000*SER_hh_tes_in!D29/SER_hh_num_in!D29)</f>
        <v>16174.245582454036</v>
      </c>
      <c r="E29" s="130">
        <f>IF(SER_hh_tes_in!E29=0,0,11630*1000*SER_hh_tes_in!E29/SER_hh_num_in!E29)</f>
        <v>16597.414885816903</v>
      </c>
      <c r="F29" s="130">
        <f>IF(SER_hh_tes_in!F29=0,0,11630*1000*SER_hh_tes_in!F29/SER_hh_num_in!F29)</f>
        <v>16941.020308356794</v>
      </c>
      <c r="G29" s="130">
        <f>IF(SER_hh_tes_in!G29=0,0,11630*1000*SER_hh_tes_in!G29/SER_hh_num_in!G29)</f>
        <v>16214.135722768908</v>
      </c>
      <c r="H29" s="130">
        <f>IF(SER_hh_tes_in!H29=0,0,11630*1000*SER_hh_tes_in!H29/SER_hh_num_in!H29)</f>
        <v>17283.835511221158</v>
      </c>
      <c r="I29" s="130">
        <f>IF(SER_hh_tes_in!I29=0,0,11630*1000*SER_hh_tes_in!I29/SER_hh_num_in!I29)</f>
        <v>18307.966034827707</v>
      </c>
      <c r="J29" s="130">
        <f>IF(SER_hh_tes_in!J29=0,0,11630*1000*SER_hh_tes_in!J29/SER_hh_num_in!J29)</f>
        <v>17551.439592083458</v>
      </c>
      <c r="K29" s="130">
        <f>IF(SER_hh_tes_in!K29=0,0,11630*1000*SER_hh_tes_in!K29/SER_hh_num_in!K29)</f>
        <v>19214.651907817435</v>
      </c>
      <c r="L29" s="130">
        <f>IF(SER_hh_tes_in!L29=0,0,11630*1000*SER_hh_tes_in!L29/SER_hh_num_in!L29)</f>
        <v>17856.933657010883</v>
      </c>
      <c r="M29" s="130">
        <f>IF(SER_hh_tes_in!M29=0,0,11630*1000*SER_hh_tes_in!M29/SER_hh_num_in!M29)</f>
        <v>17896.248269128304</v>
      </c>
      <c r="N29" s="130">
        <f>IF(SER_hh_tes_in!N29=0,0,11630*1000*SER_hh_tes_in!N29/SER_hh_num_in!N29)</f>
        <v>20003.186111539409</v>
      </c>
      <c r="O29" s="130">
        <f>IF(SER_hh_tes_in!O29=0,0,11630*1000*SER_hh_tes_in!O29/SER_hh_num_in!O29)</f>
        <v>19570.046295396998</v>
      </c>
      <c r="P29" s="130">
        <f>IF(SER_hh_tes_in!P29=0,0,11630*1000*SER_hh_tes_in!P29/SER_hh_num_in!P29)</f>
        <v>19169.880721556001</v>
      </c>
      <c r="Q29" s="130">
        <f>IF(SER_hh_tes_in!Q29=0,0,11630*1000*SER_hh_tes_in!Q29/SER_hh_num_in!Q29)</f>
        <v>19529.931631772164</v>
      </c>
      <c r="R29" s="130">
        <f>IF(SER_hh_tes_in!R29=0,0,11630*1000*SER_hh_tes_in!R29/SER_hh_num_in!R29)</f>
        <v>19638.286719441501</v>
      </c>
      <c r="S29" s="130">
        <f>IF(SER_hh_tes_in!S29=0,0,11630*1000*SER_hh_tes_in!S29/SER_hh_num_in!S29)</f>
        <v>20303.023081757918</v>
      </c>
      <c r="T29" s="130">
        <f>IF(SER_hh_tes_in!T29=0,0,11630*1000*SER_hh_tes_in!T29/SER_hh_num_in!T29)</f>
        <v>20346.899863833751</v>
      </c>
      <c r="U29" s="130">
        <f>IF(SER_hh_tes_in!U29=0,0,11630*1000*SER_hh_tes_in!U29/SER_hh_num_in!U29)</f>
        <v>21140.348606237458</v>
      </c>
      <c r="V29" s="130">
        <f>IF(SER_hh_tes_in!V29=0,0,11630*1000*SER_hh_tes_in!V29/SER_hh_num_in!V29)</f>
        <v>21639.547395827296</v>
      </c>
      <c r="W29" s="130">
        <f>IF(SER_hh_tes_in!W29=0,0,11630*1000*SER_hh_tes_in!W29/SER_hh_num_in!W29)</f>
        <v>21716.758841975352</v>
      </c>
      <c r="X29" s="130">
        <f>IF(SER_hh_tes_in!X29=0,0,11630*1000*SER_hh_tes_in!X29/SER_hh_num_in!X29)</f>
        <v>20775.931863541842</v>
      </c>
      <c r="Y29" s="130">
        <f>IF(SER_hh_tes_in!Y29=0,0,11630*1000*SER_hh_tes_in!Y29/SER_hh_num_in!Y29)</f>
        <v>20229.115834386106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19732.762643105889</v>
      </c>
      <c r="D30" s="132">
        <f>IF(SER_hh_tes_in!D30=0,0,11630*1000*SER_hh_tes_in!D30/SER_hh_num_in!D30)</f>
        <v>16902.63391788903</v>
      </c>
      <c r="E30" s="132">
        <f>IF(SER_hh_tes_in!E30=0,0,11630*1000*SER_hh_tes_in!E30/SER_hh_num_in!E30)</f>
        <v>0</v>
      </c>
      <c r="F30" s="132">
        <f>IF(SER_hh_tes_in!F30=0,0,11630*1000*SER_hh_tes_in!F30/SER_hh_num_in!F30)</f>
        <v>14213.192764807218</v>
      </c>
      <c r="G30" s="132">
        <f>IF(SER_hh_tes_in!G30=0,0,11630*1000*SER_hh_tes_in!G30/SER_hh_num_in!G30)</f>
        <v>12186.210865211466</v>
      </c>
      <c r="H30" s="132">
        <f>IF(SER_hh_tes_in!H30=0,0,11630*1000*SER_hh_tes_in!H30/SER_hh_num_in!H30)</f>
        <v>17413.488726709988</v>
      </c>
      <c r="I30" s="132">
        <f>IF(SER_hh_tes_in!I30=0,0,11630*1000*SER_hh_tes_in!I30/SER_hh_num_in!I30)</f>
        <v>21502.828238007431</v>
      </c>
      <c r="J30" s="132">
        <f>IF(SER_hh_tes_in!J30=0,0,11630*1000*SER_hh_tes_in!J30/SER_hh_num_in!J30)</f>
        <v>19113.750174101904</v>
      </c>
      <c r="K30" s="132">
        <f>IF(SER_hh_tes_in!K30=0,0,11630*1000*SER_hh_tes_in!K30/SER_hh_num_in!K30)</f>
        <v>13550.131394510568</v>
      </c>
      <c r="L30" s="132">
        <f>IF(SER_hh_tes_in!L30=0,0,11630*1000*SER_hh_tes_in!L30/SER_hh_num_in!L30)</f>
        <v>22014.147498903418</v>
      </c>
      <c r="M30" s="132">
        <f>IF(SER_hh_tes_in!M30=0,0,11630*1000*SER_hh_tes_in!M30/SER_hh_num_in!M30)</f>
        <v>0</v>
      </c>
      <c r="N30" s="132">
        <f>IF(SER_hh_tes_in!N30=0,0,11630*1000*SER_hh_tes_in!N30/SER_hh_num_in!N30)</f>
        <v>0</v>
      </c>
      <c r="O30" s="132">
        <f>IF(SER_hh_tes_in!O30=0,0,11630*1000*SER_hh_tes_in!O30/SER_hh_num_in!O30)</f>
        <v>0</v>
      </c>
      <c r="P30" s="132">
        <f>IF(SER_hh_tes_in!P30=0,0,11630*1000*SER_hh_tes_in!P30/SER_hh_num_in!P30)</f>
        <v>0</v>
      </c>
      <c r="Q30" s="132">
        <f>IF(SER_hh_tes_in!Q30=0,0,11630*1000*SER_hh_tes_in!Q30/SER_hh_num_in!Q30)</f>
        <v>0</v>
      </c>
      <c r="R30" s="132">
        <f>IF(SER_hh_tes_in!R30=0,0,11630*1000*SER_hh_tes_in!R30/SER_hh_num_in!R30)</f>
        <v>0</v>
      </c>
      <c r="S30" s="132">
        <f>IF(SER_hh_tes_in!S30=0,0,11630*1000*SER_hh_tes_in!S30/SER_hh_num_in!S30)</f>
        <v>20213.794928488995</v>
      </c>
      <c r="T30" s="132">
        <f>IF(SER_hh_tes_in!T30=0,0,11630*1000*SER_hh_tes_in!T30/SER_hh_num_in!T30)</f>
        <v>20230.570952594862</v>
      </c>
      <c r="U30" s="132">
        <f>IF(SER_hh_tes_in!U30=0,0,11630*1000*SER_hh_tes_in!U30/SER_hh_num_in!U30)</f>
        <v>20998.379945082335</v>
      </c>
      <c r="V30" s="132">
        <f>IF(SER_hh_tes_in!V30=0,0,11630*1000*SER_hh_tes_in!V30/SER_hh_num_in!V30)</f>
        <v>21365.036142257322</v>
      </c>
      <c r="W30" s="132">
        <f>IF(SER_hh_tes_in!W30=0,0,11630*1000*SER_hh_tes_in!W30/SER_hh_num_in!W30)</f>
        <v>21287.198839134464</v>
      </c>
      <c r="X30" s="132">
        <f>IF(SER_hh_tes_in!X30=0,0,11630*1000*SER_hh_tes_in!X30/SER_hh_num_in!X30)</f>
        <v>20868.406621325674</v>
      </c>
      <c r="Y30" s="132">
        <f>IF(SER_hh_tes_in!Y30=0,0,11630*1000*SER_hh_tes_in!Y30/SER_hh_num_in!Y30)</f>
        <v>20412.62578797065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15345.94887100644</v>
      </c>
      <c r="D31" s="132">
        <f>IF(SER_hh_tes_in!D31=0,0,11630*1000*SER_hh_tes_in!D31/SER_hh_num_in!D31)</f>
        <v>16172.656597640718</v>
      </c>
      <c r="E31" s="132">
        <f>IF(SER_hh_tes_in!E31=0,0,11630*1000*SER_hh_tes_in!E31/SER_hh_num_in!E31)</f>
        <v>17071.752242735085</v>
      </c>
      <c r="F31" s="132">
        <f>IF(SER_hh_tes_in!F31=0,0,11630*1000*SER_hh_tes_in!F31/SER_hh_num_in!F31)</f>
        <v>16890.607017132443</v>
      </c>
      <c r="G31" s="132">
        <f>IF(SER_hh_tes_in!G31=0,0,11630*1000*SER_hh_tes_in!G31/SER_hh_num_in!G31)</f>
        <v>17080.367456721917</v>
      </c>
      <c r="H31" s="132">
        <f>IF(SER_hh_tes_in!H31=0,0,11630*1000*SER_hh_tes_in!H31/SER_hh_num_in!H31)</f>
        <v>17311.082570406688</v>
      </c>
      <c r="I31" s="132">
        <f>IF(SER_hh_tes_in!I31=0,0,11630*1000*SER_hh_tes_in!I31/SER_hh_num_in!I31)</f>
        <v>17597.962385567276</v>
      </c>
      <c r="J31" s="132">
        <f>IF(SER_hh_tes_in!J31=0,0,11630*1000*SER_hh_tes_in!J31/SER_hh_num_in!J31)</f>
        <v>18470.937762030611</v>
      </c>
      <c r="K31" s="132">
        <f>IF(SER_hh_tes_in!K31=0,0,11630*1000*SER_hh_tes_in!K31/SER_hh_num_in!K31)</f>
        <v>18266.735351144514</v>
      </c>
      <c r="L31" s="132">
        <f>IF(SER_hh_tes_in!L31=0,0,11630*1000*SER_hh_tes_in!L31/SER_hh_num_in!L31)</f>
        <v>17465.743174294654</v>
      </c>
      <c r="M31" s="132">
        <f>IF(SER_hh_tes_in!M31=0,0,11630*1000*SER_hh_tes_in!M31/SER_hh_num_in!M31)</f>
        <v>18443.037739705323</v>
      </c>
      <c r="N31" s="132">
        <f>IF(SER_hh_tes_in!N31=0,0,11630*1000*SER_hh_tes_in!N31/SER_hh_num_in!N31)</f>
        <v>18741.467068071688</v>
      </c>
      <c r="O31" s="132">
        <f>IF(SER_hh_tes_in!O31=0,0,11630*1000*SER_hh_tes_in!O31/SER_hh_num_in!O31)</f>
        <v>19022.414331213058</v>
      </c>
      <c r="P31" s="132">
        <f>IF(SER_hh_tes_in!P31=0,0,11630*1000*SER_hh_tes_in!P31/SER_hh_num_in!P31)</f>
        <v>19811.464176364021</v>
      </c>
      <c r="Q31" s="132">
        <f>IF(SER_hh_tes_in!Q31=0,0,11630*1000*SER_hh_tes_in!Q31/SER_hh_num_in!Q31)</f>
        <v>19804.040762642315</v>
      </c>
      <c r="R31" s="132">
        <f>IF(SER_hh_tes_in!R31=0,0,11630*1000*SER_hh_tes_in!R31/SER_hh_num_in!R31)</f>
        <v>22110.278338076176</v>
      </c>
      <c r="S31" s="132">
        <f>IF(SER_hh_tes_in!S31=0,0,11630*1000*SER_hh_tes_in!S31/SER_hh_num_in!S31)</f>
        <v>13075.885331747608</v>
      </c>
      <c r="T31" s="132">
        <f>IF(SER_hh_tes_in!T31=0,0,11630*1000*SER_hh_tes_in!T31/SER_hh_num_in!T31)</f>
        <v>18970.512776264593</v>
      </c>
      <c r="U31" s="132">
        <f>IF(SER_hh_tes_in!U31=0,0,11630*1000*SER_hh_tes_in!U31/SER_hh_num_in!U31)</f>
        <v>24271.804348287973</v>
      </c>
      <c r="V31" s="132">
        <f>IF(SER_hh_tes_in!V31=0,0,11630*1000*SER_hh_tes_in!V31/SER_hh_num_in!V31)</f>
        <v>20805.879063732835</v>
      </c>
      <c r="W31" s="132">
        <f>IF(SER_hh_tes_in!W31=0,0,11630*1000*SER_hh_tes_in!W31/SER_hh_num_in!W31)</f>
        <v>21745.888255850834</v>
      </c>
      <c r="X31" s="132">
        <f>IF(SER_hh_tes_in!X31=0,0,11630*1000*SER_hh_tes_in!X31/SER_hh_num_in!X31)</f>
        <v>20817.810123863354</v>
      </c>
      <c r="Y31" s="132">
        <f>IF(SER_hh_tes_in!Y31=0,0,11630*1000*SER_hh_tes_in!Y31/SER_hh_num_in!Y31)</f>
        <v>20363.634614624163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15542.174627150036</v>
      </c>
      <c r="D33" s="68">
        <f>IF(SER_hh_tes_in!D33=0,0,11630*1000*SER_hh_tes_in!D33/SER_hh_num_in!D33)</f>
        <v>16115.782968194551</v>
      </c>
      <c r="E33" s="68">
        <f>IF(SER_hh_tes_in!E33=0,0,11630*1000*SER_hh_tes_in!E33/SER_hh_num_in!E33)</f>
        <v>16581.747703403453</v>
      </c>
      <c r="F33" s="68">
        <f>IF(SER_hh_tes_in!F33=0,0,11630*1000*SER_hh_tes_in!F33/SER_hh_num_in!F33)</f>
        <v>17069.17655207729</v>
      </c>
      <c r="G33" s="68">
        <f>IF(SER_hh_tes_in!G33=0,0,11630*1000*SER_hh_tes_in!G33/SER_hh_num_in!G33)</f>
        <v>17727.200023044839</v>
      </c>
      <c r="H33" s="68">
        <f>IF(SER_hh_tes_in!H33=0,0,11630*1000*SER_hh_tes_in!H33/SER_hh_num_in!H33)</f>
        <v>17168.427703619232</v>
      </c>
      <c r="I33" s="68">
        <f>IF(SER_hh_tes_in!I33=0,0,11630*1000*SER_hh_tes_in!I33/SER_hh_num_in!I33)</f>
        <v>16333.944767356757</v>
      </c>
      <c r="J33" s="68">
        <f>IF(SER_hh_tes_in!J33=0,0,11630*1000*SER_hh_tes_in!J33/SER_hh_num_in!J33)</f>
        <v>17230.581462842456</v>
      </c>
      <c r="K33" s="68">
        <f>IF(SER_hh_tes_in!K33=0,0,11630*1000*SER_hh_tes_in!K33/SER_hh_num_in!K33)</f>
        <v>19282.471327821415</v>
      </c>
      <c r="L33" s="68">
        <f>IF(SER_hh_tes_in!L33=0,0,11630*1000*SER_hh_tes_in!L33/SER_hh_num_in!L33)</f>
        <v>17571.481335540306</v>
      </c>
      <c r="M33" s="68">
        <f>IF(SER_hh_tes_in!M33=0,0,11630*1000*SER_hh_tes_in!M33/SER_hh_num_in!M33)</f>
        <v>17896.10719924462</v>
      </c>
      <c r="N33" s="68">
        <f>IF(SER_hh_tes_in!N33=0,0,11630*1000*SER_hh_tes_in!N33/SER_hh_num_in!N33)</f>
        <v>20015.559744262187</v>
      </c>
      <c r="O33" s="68">
        <f>IF(SER_hh_tes_in!O33=0,0,11630*1000*SER_hh_tes_in!O33/SER_hh_num_in!O33)</f>
        <v>19579.575621226697</v>
      </c>
      <c r="P33" s="68">
        <f>IF(SER_hh_tes_in!P33=0,0,11630*1000*SER_hh_tes_in!P33/SER_hh_num_in!P33)</f>
        <v>19156.337164399029</v>
      </c>
      <c r="Q33" s="68">
        <f>IF(SER_hh_tes_in!Q33=0,0,11630*1000*SER_hh_tes_in!Q33/SER_hh_num_in!Q33)</f>
        <v>19526.710331791957</v>
      </c>
      <c r="R33" s="68">
        <f>IF(SER_hh_tes_in!R33=0,0,11630*1000*SER_hh_tes_in!R33/SER_hh_num_in!R33)</f>
        <v>19616.756059518146</v>
      </c>
      <c r="S33" s="68">
        <f>IF(SER_hh_tes_in!S33=0,0,11630*1000*SER_hh_tes_in!S33/SER_hh_num_in!S33)</f>
        <v>20383.248074614745</v>
      </c>
      <c r="T33" s="68">
        <f>IF(SER_hh_tes_in!T33=0,0,11630*1000*SER_hh_tes_in!T33/SER_hh_num_in!T33)</f>
        <v>20369.960150592586</v>
      </c>
      <c r="U33" s="68">
        <f>IF(SER_hh_tes_in!U33=0,0,11630*1000*SER_hh_tes_in!U33/SER_hh_num_in!U33)</f>
        <v>21075.924593602966</v>
      </c>
      <c r="V33" s="68">
        <f>IF(SER_hh_tes_in!V33=0,0,11630*1000*SER_hh_tes_in!V33/SER_hh_num_in!V33)</f>
        <v>21659.561298441353</v>
      </c>
      <c r="W33" s="68">
        <f>IF(SER_hh_tes_in!W33=0,0,11630*1000*SER_hh_tes_in!W33/SER_hh_num_in!W33)</f>
        <v>21718.167727635908</v>
      </c>
      <c r="X33" s="68">
        <f>IF(SER_hh_tes_in!X33=0,0,11630*1000*SER_hh_tes_in!X33/SER_hh_num_in!X33)</f>
        <v>20773.719692954797</v>
      </c>
      <c r="Y33" s="68">
        <f>IF(SER_hh_tes_in!Y33=0,0,11630*1000*SER_hh_tes_in!Y33/SER_hh_num_in!Y33)</f>
        <v>20225.787743816021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9298.22116412389</v>
      </c>
      <c r="D3" s="125">
        <f>IF(SER_hh_emi_in!D3=0,0,1000000*SER_hh_emi_in!D3/SER_hh_num_in!D3)</f>
        <v>15354.156964653095</v>
      </c>
      <c r="E3" s="125">
        <f>IF(SER_hh_emi_in!E3=0,0,1000000*SER_hh_emi_in!E3/SER_hh_num_in!E3)</f>
        <v>6669.5009476303812</v>
      </c>
      <c r="F3" s="125">
        <f>IF(SER_hh_emi_in!F3=0,0,1000000*SER_hh_emi_in!F3/SER_hh_num_in!F3)</f>
        <v>2251.7836392891463</v>
      </c>
      <c r="G3" s="125">
        <f>IF(SER_hh_emi_in!G3=0,0,1000000*SER_hh_emi_in!G3/SER_hh_num_in!G3)</f>
        <v>2671.6533760661014</v>
      </c>
      <c r="H3" s="125">
        <f>IF(SER_hh_emi_in!H3=0,0,1000000*SER_hh_emi_in!H3/SER_hh_num_in!H3)</f>
        <v>3860.5658288453205</v>
      </c>
      <c r="I3" s="125">
        <f>IF(SER_hh_emi_in!I3=0,0,1000000*SER_hh_emi_in!I3/SER_hh_num_in!I3)</f>
        <v>3237.9531227501152</v>
      </c>
      <c r="J3" s="125">
        <f>IF(SER_hh_emi_in!J3=0,0,1000000*SER_hh_emi_in!J3/SER_hh_num_in!J3)</f>
        <v>1462.9410664074944</v>
      </c>
      <c r="K3" s="125">
        <f>IF(SER_hh_emi_in!K3=0,0,1000000*SER_hh_emi_in!K3/SER_hh_num_in!K3)</f>
        <v>2803.6516235820018</v>
      </c>
      <c r="L3" s="125">
        <f>IF(SER_hh_emi_in!L3=0,0,1000000*SER_hh_emi_in!L3/SER_hh_num_in!L3)</f>
        <v>9957.8325302090834</v>
      </c>
      <c r="M3" s="125">
        <f>IF(SER_hh_emi_in!M3=0,0,1000000*SER_hh_emi_in!M3/SER_hh_num_in!M3)</f>
        <v>10343.44794355239</v>
      </c>
      <c r="N3" s="125">
        <f>IF(SER_hh_emi_in!N3=0,0,1000000*SER_hh_emi_in!N3/SER_hh_num_in!N3)</f>
        <v>8943.209614047284</v>
      </c>
      <c r="O3" s="125">
        <f>IF(SER_hh_emi_in!O3=0,0,1000000*SER_hh_emi_in!O3/SER_hh_num_in!O3)</f>
        <v>5308.5282406748893</v>
      </c>
      <c r="P3" s="125">
        <f>IF(SER_hh_emi_in!P3=0,0,1000000*SER_hh_emi_in!P3/SER_hh_num_in!P3)</f>
        <v>705.06952656821488</v>
      </c>
      <c r="Q3" s="125">
        <f>IF(SER_hh_emi_in!Q3=0,0,1000000*SER_hh_emi_in!Q3/SER_hh_num_in!Q3)</f>
        <v>1037.4083478191519</v>
      </c>
      <c r="R3" s="125">
        <f>IF(SER_hh_emi_in!R3=0,0,1000000*SER_hh_emi_in!R3/SER_hh_num_in!R3)</f>
        <v>1416.9713218136922</v>
      </c>
      <c r="S3" s="125">
        <f>IF(SER_hh_emi_in!S3=0,0,1000000*SER_hh_emi_in!S3/SER_hh_num_in!S3)</f>
        <v>2575.8332917356988</v>
      </c>
      <c r="T3" s="125">
        <f>IF(SER_hh_emi_in!T3=0,0,1000000*SER_hh_emi_in!T3/SER_hh_num_in!T3)</f>
        <v>2479.1490366299672</v>
      </c>
      <c r="U3" s="125">
        <f>IF(SER_hh_emi_in!U3=0,0,1000000*SER_hh_emi_in!U3/SER_hh_num_in!U3)</f>
        <v>2292.066311657105</v>
      </c>
      <c r="V3" s="125">
        <f>IF(SER_hh_emi_in!V3=0,0,1000000*SER_hh_emi_in!V3/SER_hh_num_in!V3)</f>
        <v>800.34456688996681</v>
      </c>
      <c r="W3" s="125">
        <f>IF(SER_hh_emi_in!W3=0,0,1000000*SER_hh_emi_in!W3/SER_hh_num_in!W3)</f>
        <v>358.29121398677296</v>
      </c>
      <c r="X3" s="125">
        <f>IF(SER_hh_emi_in!X3=0,0,1000000*SER_hh_emi_in!X3/SER_hh_num_in!X3)</f>
        <v>232.0584116784587</v>
      </c>
      <c r="Y3" s="125">
        <f>IF(SER_hh_emi_in!Y3=0,0,1000000*SER_hh_emi_in!Y3/SER_hh_num_in!Y3)</f>
        <v>136.51661148499105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7334.0738714735244</v>
      </c>
      <c r="D4" s="130">
        <f>IF(SER_hh_emi_in!D4=0,0,1000000*SER_hh_emi_in!D4/SER_hh_num_in!D4)</f>
        <v>13879.516788748364</v>
      </c>
      <c r="E4" s="130">
        <f>IF(SER_hh_emi_in!E4=0,0,1000000*SER_hh_emi_in!E4/SER_hh_num_in!E4)</f>
        <v>6204.0382083686436</v>
      </c>
      <c r="F4" s="130">
        <f>IF(SER_hh_emi_in!F4=0,0,1000000*SER_hh_emi_in!F4/SER_hh_num_in!F4)</f>
        <v>1802.8519899794849</v>
      </c>
      <c r="G4" s="130">
        <f>IF(SER_hh_emi_in!G4=0,0,1000000*SER_hh_emi_in!G4/SER_hh_num_in!G4)</f>
        <v>1264.9281356617942</v>
      </c>
      <c r="H4" s="130">
        <f>IF(SER_hh_emi_in!H4=0,0,1000000*SER_hh_emi_in!H4/SER_hh_num_in!H4)</f>
        <v>735.19502493190578</v>
      </c>
      <c r="I4" s="130">
        <f>IF(SER_hh_emi_in!I4=0,0,1000000*SER_hh_emi_in!I4/SER_hh_num_in!I4)</f>
        <v>123.93308553957785</v>
      </c>
      <c r="J4" s="130">
        <f>IF(SER_hh_emi_in!J4=0,0,1000000*SER_hh_emi_in!J4/SER_hh_num_in!J4)</f>
        <v>192.57111131110463</v>
      </c>
      <c r="K4" s="130">
        <f>IF(SER_hh_emi_in!K4=0,0,1000000*SER_hh_emi_in!K4/SER_hh_num_in!K4)</f>
        <v>2667.7761247665253</v>
      </c>
      <c r="L4" s="130">
        <f>IF(SER_hh_emi_in!L4=0,0,1000000*SER_hh_emi_in!L4/SER_hh_num_in!L4)</f>
        <v>9373.1031865955192</v>
      </c>
      <c r="M4" s="130">
        <f>IF(SER_hh_emi_in!M4=0,0,1000000*SER_hh_emi_in!M4/SER_hh_num_in!M4)</f>
        <v>9330.0666851624319</v>
      </c>
      <c r="N4" s="130">
        <f>IF(SER_hh_emi_in!N4=0,0,1000000*SER_hh_emi_in!N4/SER_hh_num_in!N4)</f>
        <v>7153.9772562718963</v>
      </c>
      <c r="O4" s="130">
        <f>IF(SER_hh_emi_in!O4=0,0,1000000*SER_hh_emi_in!O4/SER_hh_num_in!O4)</f>
        <v>3899.8070361046748</v>
      </c>
      <c r="P4" s="130">
        <f>IF(SER_hh_emi_in!P4=0,0,1000000*SER_hh_emi_in!P4/SER_hh_num_in!P4)</f>
        <v>241.77243555792651</v>
      </c>
      <c r="Q4" s="130">
        <f>IF(SER_hh_emi_in!Q4=0,0,1000000*SER_hh_emi_in!Q4/SER_hh_num_in!Q4)</f>
        <v>17.660020962852411</v>
      </c>
      <c r="R4" s="130">
        <f>IF(SER_hh_emi_in!R4=0,0,1000000*SER_hh_emi_in!R4/SER_hh_num_in!R4)</f>
        <v>721.43986740490379</v>
      </c>
      <c r="S4" s="130">
        <f>IF(SER_hh_emi_in!S4=0,0,1000000*SER_hh_emi_in!S4/SER_hh_num_in!S4)</f>
        <v>1923.5941149791634</v>
      </c>
      <c r="T4" s="130">
        <f>IF(SER_hh_emi_in!T4=0,0,1000000*SER_hh_emi_in!T4/SER_hh_num_in!T4)</f>
        <v>1620.9674127618709</v>
      </c>
      <c r="U4" s="130">
        <f>IF(SER_hh_emi_in!U4=0,0,1000000*SER_hh_emi_in!U4/SER_hh_num_in!U4)</f>
        <v>1504.3831227413089</v>
      </c>
      <c r="V4" s="130">
        <f>IF(SER_hh_emi_in!V4=0,0,1000000*SER_hh_emi_in!V4/SER_hh_num_in!V4)</f>
        <v>430.96201393442993</v>
      </c>
      <c r="W4" s="130">
        <f>IF(SER_hh_emi_in!W4=0,0,1000000*SER_hh_emi_in!W4/SER_hh_num_in!W4)</f>
        <v>196.75744698221837</v>
      </c>
      <c r="X4" s="130">
        <f>IF(SER_hh_emi_in!X4=0,0,1000000*SER_hh_emi_in!X4/SER_hh_num_in!X4)</f>
        <v>4.7940788911455874</v>
      </c>
      <c r="Y4" s="130">
        <f>IF(SER_hh_emi_in!Y4=0,0,1000000*SER_hh_emi_in!Y4/SER_hh_num_in!Y4)</f>
        <v>0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0</v>
      </c>
      <c r="D5" s="132">
        <f>IF(SER_hh_emi_in!D5=0,0,1000000*SER_hh_emi_in!D5/SER_hh_num_in!D5)</f>
        <v>0</v>
      </c>
      <c r="E5" s="132">
        <f>IF(SER_hh_emi_in!E5=0,0,1000000*SER_hh_emi_in!E5/SER_hh_num_in!E5)</f>
        <v>0</v>
      </c>
      <c r="F5" s="132">
        <f>IF(SER_hh_emi_in!F5=0,0,1000000*SER_hh_emi_in!F5/SER_hh_num_in!F5)</f>
        <v>0</v>
      </c>
      <c r="G5" s="132">
        <f>IF(SER_hh_emi_in!G5=0,0,1000000*SER_hh_emi_in!G5/SER_hh_num_in!G5)</f>
        <v>0</v>
      </c>
      <c r="H5" s="132">
        <f>IF(SER_hh_emi_in!H5=0,0,1000000*SER_hh_emi_in!H5/SER_hh_num_in!H5)</f>
        <v>0</v>
      </c>
      <c r="I5" s="132">
        <f>IF(SER_hh_emi_in!I5=0,0,1000000*SER_hh_emi_in!I5/SER_hh_num_in!I5)</f>
        <v>0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0</v>
      </c>
      <c r="N5" s="132">
        <f>IF(SER_hh_emi_in!N5=0,0,1000000*SER_hh_emi_in!N5/SER_hh_num_in!N5)</f>
        <v>0</v>
      </c>
      <c r="O5" s="132">
        <f>IF(SER_hh_emi_in!O5=0,0,1000000*SER_hh_emi_in!O5/SER_hh_num_in!O5)</f>
        <v>0</v>
      </c>
      <c r="P5" s="132">
        <f>IF(SER_hh_emi_in!P5=0,0,1000000*SER_hh_emi_in!P5/SER_hh_num_in!P5)</f>
        <v>0</v>
      </c>
      <c r="Q5" s="132">
        <f>IF(SER_hh_emi_in!Q5=0,0,1000000*SER_hh_emi_in!Q5/SER_hh_num_in!Q5)</f>
        <v>0</v>
      </c>
      <c r="R5" s="132">
        <f>IF(SER_hh_emi_in!R5=0,0,1000000*SER_hh_emi_in!R5/SER_hh_num_in!R5)</f>
        <v>0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0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75465.329135677996</v>
      </c>
      <c r="D7" s="132">
        <f>IF(SER_hh_emi_in!D7=0,0,1000000*SER_hh_emi_in!D7/SER_hh_num_in!D7)</f>
        <v>74110.158552928187</v>
      </c>
      <c r="E7" s="132">
        <f>IF(SER_hh_emi_in!E7=0,0,1000000*SER_hh_emi_in!E7/SER_hh_num_in!E7)</f>
        <v>81178.963542356505</v>
      </c>
      <c r="F7" s="132">
        <f>IF(SER_hh_emi_in!F7=0,0,1000000*SER_hh_emi_in!F7/SER_hh_num_in!F7)</f>
        <v>0</v>
      </c>
      <c r="G7" s="132">
        <f>IF(SER_hh_emi_in!G7=0,0,1000000*SER_hh_emi_in!G7/SER_hh_num_in!G7)</f>
        <v>0</v>
      </c>
      <c r="H7" s="132">
        <f>IF(SER_hh_emi_in!H7=0,0,1000000*SER_hh_emi_in!H7/SER_hh_num_in!H7)</f>
        <v>0</v>
      </c>
      <c r="I7" s="132">
        <f>IF(SER_hh_emi_in!I7=0,0,1000000*SER_hh_emi_in!I7/SER_hh_num_in!I7)</f>
        <v>0</v>
      </c>
      <c r="J7" s="132">
        <f>IF(SER_hh_emi_in!J7=0,0,1000000*SER_hh_emi_in!J7/SER_hh_num_in!J7)</f>
        <v>0</v>
      </c>
      <c r="K7" s="132">
        <f>IF(SER_hh_emi_in!K7=0,0,1000000*SER_hh_emi_in!K7/SER_hh_num_in!K7)</f>
        <v>43444.530353218659</v>
      </c>
      <c r="L7" s="132">
        <f>IF(SER_hh_emi_in!L7=0,0,1000000*SER_hh_emi_in!L7/SER_hh_num_in!L7)</f>
        <v>44043.721401833958</v>
      </c>
      <c r="M7" s="132">
        <f>IF(SER_hh_emi_in!M7=0,0,1000000*SER_hh_emi_in!M7/SER_hh_num_in!M7)</f>
        <v>38111.045580778104</v>
      </c>
      <c r="N7" s="132">
        <f>IF(SER_hh_emi_in!N7=0,0,1000000*SER_hh_emi_in!N7/SER_hh_num_in!N7)</f>
        <v>35561.920084676902</v>
      </c>
      <c r="O7" s="132">
        <f>IF(SER_hh_emi_in!O7=0,0,1000000*SER_hh_emi_in!O7/SER_hh_num_in!O7)</f>
        <v>29802.538512310613</v>
      </c>
      <c r="P7" s="132">
        <f>IF(SER_hh_emi_in!P7=0,0,1000000*SER_hh_emi_in!P7/SER_hh_num_in!P7)</f>
        <v>0</v>
      </c>
      <c r="Q7" s="132">
        <f>IF(SER_hh_emi_in!Q7=0,0,1000000*SER_hh_emi_in!Q7/SER_hh_num_in!Q7)</f>
        <v>23102.52941647403</v>
      </c>
      <c r="R7" s="132">
        <f>IF(SER_hh_emi_in!R7=0,0,1000000*SER_hh_emi_in!R7/SER_hh_num_in!R7)</f>
        <v>20671.606711421926</v>
      </c>
      <c r="S7" s="132">
        <f>IF(SER_hh_emi_in!S7=0,0,1000000*SER_hh_emi_in!S7/SER_hh_num_in!S7)</f>
        <v>18773.458634622479</v>
      </c>
      <c r="T7" s="132">
        <f>IF(SER_hh_emi_in!T7=0,0,1000000*SER_hh_emi_in!T7/SER_hh_num_in!T7)</f>
        <v>16878.004333899018</v>
      </c>
      <c r="U7" s="132">
        <f>IF(SER_hh_emi_in!U7=0,0,1000000*SER_hh_emi_in!U7/SER_hh_num_in!U7)</f>
        <v>14779.543630649876</v>
      </c>
      <c r="V7" s="132">
        <f>IF(SER_hh_emi_in!V7=0,0,1000000*SER_hh_emi_in!V7/SER_hh_num_in!V7)</f>
        <v>13328.817749107087</v>
      </c>
      <c r="W7" s="132">
        <f>IF(SER_hh_emi_in!W7=0,0,1000000*SER_hh_emi_in!W7/SER_hh_num_in!W7)</f>
        <v>0</v>
      </c>
      <c r="X7" s="132">
        <f>IF(SER_hh_emi_in!X7=0,0,1000000*SER_hh_emi_in!X7/SER_hh_num_in!X7)</f>
        <v>0</v>
      </c>
      <c r="Y7" s="132">
        <f>IF(SER_hh_emi_in!Y7=0,0,1000000*SER_hh_emi_in!Y7/SER_hh_num_in!Y7)</f>
        <v>0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0</v>
      </c>
      <c r="D8" s="132">
        <f>IF(SER_hh_emi_in!D8=0,0,1000000*SER_hh_emi_in!D8/SER_hh_num_in!D8)</f>
        <v>0</v>
      </c>
      <c r="E8" s="132">
        <f>IF(SER_hh_emi_in!E8=0,0,1000000*SER_hh_emi_in!E8/SER_hh_num_in!E8)</f>
        <v>0</v>
      </c>
      <c r="F8" s="132">
        <f>IF(SER_hh_emi_in!F8=0,0,1000000*SER_hh_emi_in!F8/SER_hh_num_in!F8)</f>
        <v>0</v>
      </c>
      <c r="G8" s="132">
        <f>IF(SER_hh_emi_in!G8=0,0,1000000*SER_hh_emi_in!G8/SER_hh_num_in!G8)</f>
        <v>0</v>
      </c>
      <c r="H8" s="132">
        <f>IF(SER_hh_emi_in!H8=0,0,1000000*SER_hh_emi_in!H8/SER_hh_num_in!H8)</f>
        <v>0</v>
      </c>
      <c r="I8" s="132">
        <f>IF(SER_hh_emi_in!I8=0,0,1000000*SER_hh_emi_in!I8/SER_hh_num_in!I8)</f>
        <v>0</v>
      </c>
      <c r="J8" s="132">
        <f>IF(SER_hh_emi_in!J8=0,0,1000000*SER_hh_emi_in!J8/SER_hh_num_in!J8)</f>
        <v>0</v>
      </c>
      <c r="K8" s="132">
        <f>IF(SER_hh_emi_in!K8=0,0,1000000*SER_hh_emi_in!K8/SER_hh_num_in!K8)</f>
        <v>0</v>
      </c>
      <c r="L8" s="132">
        <f>IF(SER_hh_emi_in!L8=0,0,1000000*SER_hh_emi_in!L8/SER_hh_num_in!L8)</f>
        <v>0</v>
      </c>
      <c r="M8" s="132">
        <f>IF(SER_hh_emi_in!M8=0,0,1000000*SER_hh_emi_in!M8/SER_hh_num_in!M8)</f>
        <v>0</v>
      </c>
      <c r="N8" s="132">
        <f>IF(SER_hh_emi_in!N8=0,0,1000000*SER_hh_emi_in!N8/SER_hh_num_in!N8)</f>
        <v>0</v>
      </c>
      <c r="O8" s="132">
        <f>IF(SER_hh_emi_in!O8=0,0,1000000*SER_hh_emi_in!O8/SER_hh_num_in!O8)</f>
        <v>0</v>
      </c>
      <c r="P8" s="132">
        <f>IF(SER_hh_emi_in!P8=0,0,1000000*SER_hh_emi_in!P8/SER_hh_num_in!P8)</f>
        <v>0</v>
      </c>
      <c r="Q8" s="132">
        <f>IF(SER_hh_emi_in!Q8=0,0,1000000*SER_hh_emi_in!Q8/SER_hh_num_in!Q8)</f>
        <v>0</v>
      </c>
      <c r="R8" s="132">
        <f>IF(SER_hh_emi_in!R8=0,0,1000000*SER_hh_emi_in!R8/SER_hh_num_in!R8)</f>
        <v>0</v>
      </c>
      <c r="S8" s="132">
        <f>IF(SER_hh_emi_in!S8=0,0,1000000*SER_hh_emi_in!S8/SER_hh_num_in!S8)</f>
        <v>0</v>
      </c>
      <c r="T8" s="132">
        <f>IF(SER_hh_emi_in!T8=0,0,1000000*SER_hh_emi_in!T8/SER_hh_num_in!T8)</f>
        <v>0</v>
      </c>
      <c r="U8" s="132">
        <f>IF(SER_hh_emi_in!U8=0,0,1000000*SER_hh_emi_in!U8/SER_hh_num_in!U8)</f>
        <v>0</v>
      </c>
      <c r="V8" s="132">
        <f>IF(SER_hh_emi_in!V8=0,0,1000000*SER_hh_emi_in!V8/SER_hh_num_in!V8)</f>
        <v>0</v>
      </c>
      <c r="W8" s="132">
        <f>IF(SER_hh_emi_in!W8=0,0,1000000*SER_hh_emi_in!W8/SER_hh_num_in!W8)</f>
        <v>0</v>
      </c>
      <c r="X8" s="132">
        <f>IF(SER_hh_emi_in!X8=0,0,1000000*SER_hh_emi_in!X8/SER_hh_num_in!X8)</f>
        <v>0</v>
      </c>
      <c r="Y8" s="132">
        <f>IF(SER_hh_emi_in!Y8=0,0,1000000*SER_hh_emi_in!Y8/SER_hh_num_in!Y8)</f>
        <v>0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38353.113975906228</v>
      </c>
      <c r="D9" s="132">
        <f>IF(SER_hh_emi_in!D9=0,0,1000000*SER_hh_emi_in!D9/SER_hh_num_in!D9)</f>
        <v>53556.557908333358</v>
      </c>
      <c r="E9" s="132">
        <f>IF(SER_hh_emi_in!E9=0,0,1000000*SER_hh_emi_in!E9/SER_hh_num_in!E9)</f>
        <v>55736.360079869097</v>
      </c>
      <c r="F9" s="132">
        <f>IF(SER_hh_emi_in!F9=0,0,1000000*SER_hh_emi_in!F9/SER_hh_num_in!F9)</f>
        <v>45813.717291283421</v>
      </c>
      <c r="G9" s="132">
        <f>IF(SER_hh_emi_in!G9=0,0,1000000*SER_hh_emi_in!G9/SER_hh_num_in!G9)</f>
        <v>41774.759888327979</v>
      </c>
      <c r="H9" s="132">
        <f>IF(SER_hh_emi_in!H9=0,0,1000000*SER_hh_emi_in!H9/SER_hh_num_in!H9)</f>
        <v>38946.274471991463</v>
      </c>
      <c r="I9" s="132">
        <f>IF(SER_hh_emi_in!I9=0,0,1000000*SER_hh_emi_in!I9/SER_hh_num_in!I9)</f>
        <v>39598.168434418454</v>
      </c>
      <c r="J9" s="132">
        <f>IF(SER_hh_emi_in!J9=0,0,1000000*SER_hh_emi_in!J9/SER_hh_num_in!J9)</f>
        <v>40682.760938194027</v>
      </c>
      <c r="K9" s="132">
        <f>IF(SER_hh_emi_in!K9=0,0,1000000*SER_hh_emi_in!K9/SER_hh_num_in!K9)</f>
        <v>17941.975034066476</v>
      </c>
      <c r="L9" s="132">
        <f>IF(SER_hh_emi_in!L9=0,0,1000000*SER_hh_emi_in!L9/SER_hh_num_in!L9)</f>
        <v>37121.655385553211</v>
      </c>
      <c r="M9" s="132">
        <f>IF(SER_hh_emi_in!M9=0,0,1000000*SER_hh_emi_in!M9/SER_hh_num_in!M9)</f>
        <v>27509.443641450507</v>
      </c>
      <c r="N9" s="132">
        <f>IF(SER_hh_emi_in!N9=0,0,1000000*SER_hh_emi_in!N9/SER_hh_num_in!N9)</f>
        <v>30867.606624988093</v>
      </c>
      <c r="O9" s="132">
        <f>IF(SER_hh_emi_in!O9=0,0,1000000*SER_hh_emi_in!O9/SER_hh_num_in!O9)</f>
        <v>24477.594380058701</v>
      </c>
      <c r="P9" s="132">
        <f>IF(SER_hh_emi_in!P9=0,0,1000000*SER_hh_emi_in!P9/SER_hh_num_in!P9)</f>
        <v>21526.508800213109</v>
      </c>
      <c r="Q9" s="132">
        <f>IF(SER_hh_emi_in!Q9=0,0,1000000*SER_hh_emi_in!Q9/SER_hh_num_in!Q9)</f>
        <v>0</v>
      </c>
      <c r="R9" s="132">
        <f>IF(SER_hh_emi_in!R9=0,0,1000000*SER_hh_emi_in!R9/SER_hh_num_in!R9)</f>
        <v>0</v>
      </c>
      <c r="S9" s="132">
        <f>IF(SER_hh_emi_in!S9=0,0,1000000*SER_hh_emi_in!S9/SER_hh_num_in!S9)</f>
        <v>10681.254943133172</v>
      </c>
      <c r="T9" s="132">
        <f>IF(SER_hh_emi_in!T9=0,0,1000000*SER_hh_emi_in!T9/SER_hh_num_in!T9)</f>
        <v>14641.354902639339</v>
      </c>
      <c r="U9" s="132">
        <f>IF(SER_hh_emi_in!U9=0,0,1000000*SER_hh_emi_in!U9/SER_hh_num_in!U9)</f>
        <v>16022.889993711626</v>
      </c>
      <c r="V9" s="132">
        <f>IF(SER_hh_emi_in!V9=0,0,1000000*SER_hh_emi_in!V9/SER_hh_num_in!V9)</f>
        <v>13559.401466695188</v>
      </c>
      <c r="W9" s="132">
        <f>IF(SER_hh_emi_in!W9=0,0,1000000*SER_hh_emi_in!W9/SER_hh_num_in!W9)</f>
        <v>9604.6455338558189</v>
      </c>
      <c r="X9" s="132">
        <f>IF(SER_hh_emi_in!X9=0,0,1000000*SER_hh_emi_in!X9/SER_hh_num_in!X9)</f>
        <v>6133.2749543152058</v>
      </c>
      <c r="Y9" s="132">
        <f>IF(SER_hh_emi_in!Y9=0,0,1000000*SER_hh_emi_in!Y9/SER_hh_num_in!Y9)</f>
        <v>0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0</v>
      </c>
      <c r="O10" s="132">
        <f>IF(SER_hh_emi_in!O10=0,0,1000000*SER_hh_emi_in!O10/SER_hh_num_in!O10)</f>
        <v>0</v>
      </c>
      <c r="P10" s="132">
        <f>IF(SER_hh_emi_in!P10=0,0,1000000*SER_hh_emi_in!P10/SER_hh_num_in!P10)</f>
        <v>0</v>
      </c>
      <c r="Q10" s="132">
        <f>IF(SER_hh_emi_in!Q10=0,0,1000000*SER_hh_emi_in!Q10/SER_hh_num_in!Q10)</f>
        <v>0</v>
      </c>
      <c r="R10" s="132">
        <f>IF(SER_hh_emi_in!R10=0,0,1000000*SER_hh_emi_in!R10/SER_hh_num_in!R10)</f>
        <v>0</v>
      </c>
      <c r="S10" s="132">
        <f>IF(SER_hh_emi_in!S10=0,0,1000000*SER_hh_emi_in!S10/SER_hh_num_in!S10)</f>
        <v>0</v>
      </c>
      <c r="T10" s="132">
        <f>IF(SER_hh_emi_in!T10=0,0,1000000*SER_hh_emi_in!T10/SER_hh_num_in!T10)</f>
        <v>0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0</v>
      </c>
      <c r="X10" s="132">
        <f>IF(SER_hh_emi_in!X10=0,0,1000000*SER_hh_emi_in!X10/SER_hh_num_in!X10)</f>
        <v>0</v>
      </c>
      <c r="Y10" s="132">
        <f>IF(SER_hh_emi_in!Y10=0,0,1000000*SER_hh_emi_in!Y10/SER_hh_num_in!Y10)</f>
        <v>0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0</v>
      </c>
      <c r="D16" s="130">
        <f>IF(SER_hh_emi_in!D16=0,0,1000000*SER_hh_emi_in!D16/SER_hh_num_in!D16)</f>
        <v>0</v>
      </c>
      <c r="E16" s="130">
        <f>IF(SER_hh_emi_in!E16=0,0,1000000*SER_hh_emi_in!E16/SER_hh_num_in!E16)</f>
        <v>0</v>
      </c>
      <c r="F16" s="130">
        <f>IF(SER_hh_emi_in!F16=0,0,1000000*SER_hh_emi_in!F16/SER_hh_num_in!F16)</f>
        <v>0</v>
      </c>
      <c r="G16" s="130">
        <f>IF(SER_hh_emi_in!G16=0,0,1000000*SER_hh_emi_in!G16/SER_hh_num_in!G16)</f>
        <v>0</v>
      </c>
      <c r="H16" s="130">
        <f>IF(SER_hh_emi_in!H16=0,0,1000000*SER_hh_emi_in!H16/SER_hh_num_in!H16)</f>
        <v>0</v>
      </c>
      <c r="I16" s="130">
        <f>IF(SER_hh_emi_in!I16=0,0,1000000*SER_hh_emi_in!I16/SER_hh_num_in!I16)</f>
        <v>0</v>
      </c>
      <c r="J16" s="130">
        <f>IF(SER_hh_emi_in!J16=0,0,1000000*SER_hh_emi_in!J16/SER_hh_num_in!J16)</f>
        <v>0</v>
      </c>
      <c r="K16" s="130">
        <f>IF(SER_hh_emi_in!K16=0,0,1000000*SER_hh_emi_in!K16/SER_hh_num_in!K16)</f>
        <v>0</v>
      </c>
      <c r="L16" s="130">
        <f>IF(SER_hh_emi_in!L16=0,0,1000000*SER_hh_emi_in!L16/SER_hh_num_in!L16)</f>
        <v>0</v>
      </c>
      <c r="M16" s="130">
        <f>IF(SER_hh_emi_in!M16=0,0,1000000*SER_hh_emi_in!M16/SER_hh_num_in!M16)</f>
        <v>0</v>
      </c>
      <c r="N16" s="130">
        <f>IF(SER_hh_emi_in!N16=0,0,1000000*SER_hh_emi_in!N16/SER_hh_num_in!N16)</f>
        <v>0</v>
      </c>
      <c r="O16" s="130">
        <f>IF(SER_hh_emi_in!O16=0,0,1000000*SER_hh_emi_in!O16/SER_hh_num_in!O16)</f>
        <v>0</v>
      </c>
      <c r="P16" s="130">
        <f>IF(SER_hh_emi_in!P16=0,0,1000000*SER_hh_emi_in!P16/SER_hh_num_in!P16)</f>
        <v>0</v>
      </c>
      <c r="Q16" s="130">
        <f>IF(SER_hh_emi_in!Q16=0,0,1000000*SER_hh_emi_in!Q16/SER_hh_num_in!Q16)</f>
        <v>0</v>
      </c>
      <c r="R16" s="130">
        <f>IF(SER_hh_emi_in!R16=0,0,1000000*SER_hh_emi_in!R16/SER_hh_num_in!R16)</f>
        <v>0</v>
      </c>
      <c r="S16" s="130">
        <f>IF(SER_hh_emi_in!S16=0,0,1000000*SER_hh_emi_in!S16/SER_hh_num_in!S16)</f>
        <v>0</v>
      </c>
      <c r="T16" s="130">
        <f>IF(SER_hh_emi_in!T16=0,0,1000000*SER_hh_emi_in!T16/SER_hh_num_in!T16)</f>
        <v>0</v>
      </c>
      <c r="U16" s="130">
        <f>IF(SER_hh_emi_in!U16=0,0,1000000*SER_hh_emi_in!U16/SER_hh_num_in!U16)</f>
        <v>0</v>
      </c>
      <c r="V16" s="130">
        <f>IF(SER_hh_emi_in!V16=0,0,1000000*SER_hh_emi_in!V16/SER_hh_num_in!V16)</f>
        <v>0</v>
      </c>
      <c r="W16" s="130">
        <f>IF(SER_hh_emi_in!W16=0,0,1000000*SER_hh_emi_in!W16/SER_hh_num_in!W16)</f>
        <v>0</v>
      </c>
      <c r="X16" s="130">
        <f>IF(SER_hh_emi_in!X16=0,0,1000000*SER_hh_emi_in!X16/SER_hh_num_in!X16)</f>
        <v>0</v>
      </c>
      <c r="Y16" s="130">
        <f>IF(SER_hh_emi_in!Y16=0,0,1000000*SER_hh_emi_in!Y16/SER_hh_num_in!Y16)</f>
        <v>0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0</v>
      </c>
      <c r="D17" s="132">
        <f>IF(SER_hh_emi_in!D17=0,0,1000000*SER_hh_emi_in!D17/SER_hh_num_in!D17)</f>
        <v>0</v>
      </c>
      <c r="E17" s="132">
        <f>IF(SER_hh_emi_in!E17=0,0,1000000*SER_hh_emi_in!E17/SER_hh_num_in!E17)</f>
        <v>0</v>
      </c>
      <c r="F17" s="132">
        <f>IF(SER_hh_emi_in!F17=0,0,1000000*SER_hh_emi_in!F17/SER_hh_num_in!F17)</f>
        <v>0</v>
      </c>
      <c r="G17" s="132">
        <f>IF(SER_hh_emi_in!G17=0,0,1000000*SER_hh_emi_in!G17/SER_hh_num_in!G17)</f>
        <v>0</v>
      </c>
      <c r="H17" s="132">
        <f>IF(SER_hh_emi_in!H17=0,0,1000000*SER_hh_emi_in!H17/SER_hh_num_in!H17)</f>
        <v>0</v>
      </c>
      <c r="I17" s="132">
        <f>IF(SER_hh_emi_in!I17=0,0,1000000*SER_hh_emi_in!I17/SER_hh_num_in!I17)</f>
        <v>0</v>
      </c>
      <c r="J17" s="132">
        <f>IF(SER_hh_emi_in!J17=0,0,1000000*SER_hh_emi_in!J17/SER_hh_num_in!J17)</f>
        <v>0</v>
      </c>
      <c r="K17" s="132">
        <f>IF(SER_hh_emi_in!K17=0,0,1000000*SER_hh_emi_in!K17/SER_hh_num_in!K17)</f>
        <v>0</v>
      </c>
      <c r="L17" s="132">
        <f>IF(SER_hh_emi_in!L17=0,0,1000000*SER_hh_emi_in!L17/SER_hh_num_in!L17)</f>
        <v>0</v>
      </c>
      <c r="M17" s="132">
        <f>IF(SER_hh_emi_in!M17=0,0,1000000*SER_hh_emi_in!M17/SER_hh_num_in!M17)</f>
        <v>0</v>
      </c>
      <c r="N17" s="132">
        <f>IF(SER_hh_emi_in!N17=0,0,1000000*SER_hh_emi_in!N17/SER_hh_num_in!N17)</f>
        <v>0</v>
      </c>
      <c r="O17" s="132">
        <f>IF(SER_hh_emi_in!O17=0,0,1000000*SER_hh_emi_in!O17/SER_hh_num_in!O17)</f>
        <v>0</v>
      </c>
      <c r="P17" s="132">
        <f>IF(SER_hh_emi_in!P17=0,0,1000000*SER_hh_emi_in!P17/SER_hh_num_in!P17)</f>
        <v>0</v>
      </c>
      <c r="Q17" s="132">
        <f>IF(SER_hh_emi_in!Q17=0,0,1000000*SER_hh_emi_in!Q17/SER_hh_num_in!Q17)</f>
        <v>0</v>
      </c>
      <c r="R17" s="132">
        <f>IF(SER_hh_emi_in!R17=0,0,1000000*SER_hh_emi_in!R17/SER_hh_num_in!R17)</f>
        <v>0</v>
      </c>
      <c r="S17" s="132">
        <f>IF(SER_hh_emi_in!S17=0,0,1000000*SER_hh_emi_in!S17/SER_hh_num_in!S17)</f>
        <v>0</v>
      </c>
      <c r="T17" s="132">
        <f>IF(SER_hh_emi_in!T17=0,0,1000000*SER_hh_emi_in!T17/SER_hh_num_in!T17)</f>
        <v>0</v>
      </c>
      <c r="U17" s="132">
        <f>IF(SER_hh_emi_in!U17=0,0,1000000*SER_hh_emi_in!U17/SER_hh_num_in!U17)</f>
        <v>0</v>
      </c>
      <c r="V17" s="132">
        <f>IF(SER_hh_emi_in!V17=0,0,1000000*SER_hh_emi_in!V17/SER_hh_num_in!V17)</f>
        <v>0</v>
      </c>
      <c r="W17" s="132">
        <f>IF(SER_hh_emi_in!W17=0,0,1000000*SER_hh_emi_in!W17/SER_hh_num_in!W17)</f>
        <v>0</v>
      </c>
      <c r="X17" s="132">
        <f>IF(SER_hh_emi_in!X17=0,0,1000000*SER_hh_emi_in!X17/SER_hh_num_in!X17)</f>
        <v>0</v>
      </c>
      <c r="Y17" s="132">
        <f>IF(SER_hh_emi_in!Y17=0,0,1000000*SER_hh_emi_in!Y17/SER_hh_num_in!Y17)</f>
        <v>0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1222.2223314277585</v>
      </c>
      <c r="D19" s="130">
        <f>IF(SER_hh_emi_in!D19=0,0,1000000*SER_hh_emi_in!D19/SER_hh_num_in!D19)</f>
        <v>851.65974157842413</v>
      </c>
      <c r="E19" s="130">
        <f>IF(SER_hh_emi_in!E19=0,0,1000000*SER_hh_emi_in!E19/SER_hh_num_in!E19)</f>
        <v>292.46046689776074</v>
      </c>
      <c r="F19" s="130">
        <f>IF(SER_hh_emi_in!F19=0,0,1000000*SER_hh_emi_in!F19/SER_hh_num_in!F19)</f>
        <v>79.391316237759071</v>
      </c>
      <c r="G19" s="130">
        <f>IF(SER_hh_emi_in!G19=0,0,1000000*SER_hh_emi_in!G19/SER_hh_num_in!G19)</f>
        <v>85.099487027465202</v>
      </c>
      <c r="H19" s="130">
        <f>IF(SER_hh_emi_in!H19=0,0,1000000*SER_hh_emi_in!H19/SER_hh_num_in!H19)</f>
        <v>111.96363753080716</v>
      </c>
      <c r="I19" s="130">
        <f>IF(SER_hh_emi_in!I19=0,0,1000000*SER_hh_emi_in!I19/SER_hh_num_in!I19)</f>
        <v>70.298833115133064</v>
      </c>
      <c r="J19" s="130">
        <f>IF(SER_hh_emi_in!J19=0,0,1000000*SER_hh_emi_in!J19/SER_hh_num_in!J19)</f>
        <v>72.643846154478339</v>
      </c>
      <c r="K19" s="130">
        <f>IF(SER_hh_emi_in!K19=0,0,1000000*SER_hh_emi_in!K19/SER_hh_num_in!K19)</f>
        <v>44.472292795491605</v>
      </c>
      <c r="L19" s="130">
        <f>IF(SER_hh_emi_in!L19=0,0,1000000*SER_hh_emi_in!L19/SER_hh_num_in!L19)</f>
        <v>57.433873832861615</v>
      </c>
      <c r="M19" s="130">
        <f>IF(SER_hh_emi_in!M19=0,0,1000000*SER_hh_emi_in!M19/SER_hh_num_in!M19)</f>
        <v>1011.8653606531008</v>
      </c>
      <c r="N19" s="130">
        <f>IF(SER_hh_emi_in!N19=0,0,1000000*SER_hh_emi_in!N19/SER_hh_num_in!N19)</f>
        <v>1731.2396942461319</v>
      </c>
      <c r="O19" s="130">
        <f>IF(SER_hh_emi_in!O19=0,0,1000000*SER_hh_emi_in!O19/SER_hh_num_in!O19)</f>
        <v>1305.0679198972775</v>
      </c>
      <c r="P19" s="130">
        <f>IF(SER_hh_emi_in!P19=0,0,1000000*SER_hh_emi_in!P19/SER_hh_num_in!P19)</f>
        <v>332.84334463496816</v>
      </c>
      <c r="Q19" s="130">
        <f>IF(SER_hh_emi_in!Q19=0,0,1000000*SER_hh_emi_in!Q19/SER_hh_num_in!Q19)</f>
        <v>946.55029563599055</v>
      </c>
      <c r="R19" s="130">
        <f>IF(SER_hh_emi_in!R19=0,0,1000000*SER_hh_emi_in!R19/SER_hh_num_in!R19)</f>
        <v>634.93505102946142</v>
      </c>
      <c r="S19" s="130">
        <f>IF(SER_hh_emi_in!S19=0,0,1000000*SER_hh_emi_in!S19/SER_hh_num_in!S19)</f>
        <v>524.0825096786067</v>
      </c>
      <c r="T19" s="130">
        <f>IF(SER_hh_emi_in!T19=0,0,1000000*SER_hh_emi_in!T19/SER_hh_num_in!T19)</f>
        <v>257.5825935050625</v>
      </c>
      <c r="U19" s="130">
        <f>IF(SER_hh_emi_in!U19=0,0,1000000*SER_hh_emi_in!U19/SER_hh_num_in!U19)</f>
        <v>157.60947670963884</v>
      </c>
      <c r="V19" s="130">
        <f>IF(SER_hh_emi_in!V19=0,0,1000000*SER_hh_emi_in!V19/SER_hh_num_in!V19)</f>
        <v>71.77643515544834</v>
      </c>
      <c r="W19" s="130">
        <f>IF(SER_hh_emi_in!W19=0,0,1000000*SER_hh_emi_in!W19/SER_hh_num_in!W19)</f>
        <v>47.880850398436721</v>
      </c>
      <c r="X19" s="130">
        <f>IF(SER_hh_emi_in!X19=0,0,1000000*SER_hh_emi_in!X19/SER_hh_num_in!X19)</f>
        <v>24.143775611282919</v>
      </c>
      <c r="Y19" s="130">
        <f>IF(SER_hh_emi_in!Y19=0,0,1000000*SER_hh_emi_in!Y19/SER_hh_num_in!Y19)</f>
        <v>0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0</v>
      </c>
      <c r="D21" s="132">
        <f>IF(SER_hh_emi_in!D21=0,0,1000000*SER_hh_emi_in!D21/SER_hh_num_in!D21)</f>
        <v>0</v>
      </c>
      <c r="E21" s="132">
        <f>IF(SER_hh_emi_in!E21=0,0,1000000*SER_hh_emi_in!E21/SER_hh_num_in!E21)</f>
        <v>0</v>
      </c>
      <c r="F21" s="132">
        <f>IF(SER_hh_emi_in!F21=0,0,1000000*SER_hh_emi_in!F21/SER_hh_num_in!F21)</f>
        <v>0</v>
      </c>
      <c r="G21" s="132">
        <f>IF(SER_hh_emi_in!G21=0,0,1000000*SER_hh_emi_in!G21/SER_hh_num_in!G21)</f>
        <v>0</v>
      </c>
      <c r="H21" s="132">
        <f>IF(SER_hh_emi_in!H21=0,0,1000000*SER_hh_emi_in!H21/SER_hh_num_in!H21)</f>
        <v>0</v>
      </c>
      <c r="I21" s="132">
        <f>IF(SER_hh_emi_in!I21=0,0,1000000*SER_hh_emi_in!I21/SER_hh_num_in!I21)</f>
        <v>0</v>
      </c>
      <c r="J21" s="132">
        <f>IF(SER_hh_emi_in!J21=0,0,1000000*SER_hh_emi_in!J21/SER_hh_num_in!J21)</f>
        <v>0</v>
      </c>
      <c r="K21" s="132">
        <f>IF(SER_hh_emi_in!K21=0,0,1000000*SER_hh_emi_in!K21/SER_hh_num_in!K21)</f>
        <v>0</v>
      </c>
      <c r="L21" s="132">
        <f>IF(SER_hh_emi_in!L21=0,0,1000000*SER_hh_emi_in!L21/SER_hh_num_in!L21)</f>
        <v>0</v>
      </c>
      <c r="M21" s="132">
        <f>IF(SER_hh_emi_in!M21=0,0,1000000*SER_hh_emi_in!M21/SER_hh_num_in!M21)</f>
        <v>0</v>
      </c>
      <c r="N21" s="132">
        <f>IF(SER_hh_emi_in!N21=0,0,1000000*SER_hh_emi_in!N21/SER_hh_num_in!N21)</f>
        <v>0</v>
      </c>
      <c r="O21" s="132">
        <f>IF(SER_hh_emi_in!O21=0,0,1000000*SER_hh_emi_in!O21/SER_hh_num_in!O21)</f>
        <v>0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0</v>
      </c>
      <c r="S21" s="132">
        <f>IF(SER_hh_emi_in!S21=0,0,1000000*SER_hh_emi_in!S21/SER_hh_num_in!S21)</f>
        <v>0</v>
      </c>
      <c r="T21" s="132">
        <f>IF(SER_hh_emi_in!T21=0,0,1000000*SER_hh_emi_in!T21/SER_hh_num_in!T21)</f>
        <v>0</v>
      </c>
      <c r="U21" s="132">
        <f>IF(SER_hh_emi_in!U21=0,0,1000000*SER_hh_emi_in!U21/SER_hh_num_in!U21)</f>
        <v>0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0</v>
      </c>
      <c r="Y21" s="132">
        <f>IF(SER_hh_emi_in!Y21=0,0,1000000*SER_hh_emi_in!Y21/SER_hh_num_in!Y21)</f>
        <v>0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8830.5551532422814</v>
      </c>
      <c r="D22" s="132">
        <f>IF(SER_hh_emi_in!D22=0,0,1000000*SER_hh_emi_in!D22/SER_hh_num_in!D22)</f>
        <v>8752.506452354728</v>
      </c>
      <c r="E22" s="132">
        <f>IF(SER_hh_emi_in!E22=0,0,1000000*SER_hh_emi_in!E22/SER_hh_num_in!E22)</f>
        <v>9074.3619725977896</v>
      </c>
      <c r="F22" s="132">
        <f>IF(SER_hh_emi_in!F22=0,0,1000000*SER_hh_emi_in!F22/SER_hh_num_in!F22)</f>
        <v>0</v>
      </c>
      <c r="G22" s="132">
        <f>IF(SER_hh_emi_in!G22=0,0,1000000*SER_hh_emi_in!G22/SER_hh_num_in!G22)</f>
        <v>0</v>
      </c>
      <c r="H22" s="132">
        <f>IF(SER_hh_emi_in!H22=0,0,1000000*SER_hh_emi_in!H22/SER_hh_num_in!H22)</f>
        <v>0</v>
      </c>
      <c r="I22" s="132">
        <f>IF(SER_hh_emi_in!I22=0,0,1000000*SER_hh_emi_in!I22/SER_hh_num_in!I22)</f>
        <v>0</v>
      </c>
      <c r="J22" s="132">
        <f>IF(SER_hh_emi_in!J22=0,0,1000000*SER_hh_emi_in!J22/SER_hh_num_in!J22)</f>
        <v>0</v>
      </c>
      <c r="K22" s="132">
        <f>IF(SER_hh_emi_in!K22=0,0,1000000*SER_hh_emi_in!K22/SER_hh_num_in!K22)</f>
        <v>0</v>
      </c>
      <c r="L22" s="132">
        <f>IF(SER_hh_emi_in!L22=0,0,1000000*SER_hh_emi_in!L22/SER_hh_num_in!L22)</f>
        <v>0</v>
      </c>
      <c r="M22" s="132">
        <f>IF(SER_hh_emi_in!M22=0,0,1000000*SER_hh_emi_in!M22/SER_hh_num_in!M22)</f>
        <v>6511.0472472288657</v>
      </c>
      <c r="N22" s="132">
        <f>IF(SER_hh_emi_in!N22=0,0,1000000*SER_hh_emi_in!N22/SER_hh_num_in!N22)</f>
        <v>7948.1431351655747</v>
      </c>
      <c r="O22" s="132">
        <f>IF(SER_hh_emi_in!O22=0,0,1000000*SER_hh_emi_in!O22/SER_hh_num_in!O22)</f>
        <v>7450.1535070801219</v>
      </c>
      <c r="P22" s="132">
        <f>IF(SER_hh_emi_in!P22=0,0,1000000*SER_hh_emi_in!P22/SER_hh_num_in!P22)</f>
        <v>4859.0663746784076</v>
      </c>
      <c r="Q22" s="132">
        <f>IF(SER_hh_emi_in!Q22=0,0,1000000*SER_hh_emi_in!Q22/SER_hh_num_in!Q22)</f>
        <v>5990.9530071894987</v>
      </c>
      <c r="R22" s="132">
        <f>IF(SER_hh_emi_in!R22=0,0,1000000*SER_hh_emi_in!R22/SER_hh_num_in!R22)</f>
        <v>5328.0850760050307</v>
      </c>
      <c r="S22" s="132">
        <f>IF(SER_hh_emi_in!S22=0,0,1000000*SER_hh_emi_in!S22/SER_hh_num_in!S22)</f>
        <v>4952.0324105788686</v>
      </c>
      <c r="T22" s="132">
        <f>IF(SER_hh_emi_in!T22=0,0,1000000*SER_hh_emi_in!T22/SER_hh_num_in!T22)</f>
        <v>4711.1975916488682</v>
      </c>
      <c r="U22" s="132">
        <f>IF(SER_hh_emi_in!U22=0,0,1000000*SER_hh_emi_in!U22/SER_hh_num_in!U22)</f>
        <v>4494.1285950220563</v>
      </c>
      <c r="V22" s="132">
        <f>IF(SER_hh_emi_in!V22=0,0,1000000*SER_hh_emi_in!V22/SER_hh_num_in!V22)</f>
        <v>0</v>
      </c>
      <c r="W22" s="132">
        <f>IF(SER_hh_emi_in!W22=0,0,1000000*SER_hh_emi_in!W22/SER_hh_num_in!W22)</f>
        <v>0</v>
      </c>
      <c r="X22" s="132">
        <f>IF(SER_hh_emi_in!X22=0,0,1000000*SER_hh_emi_in!X22/SER_hh_num_in!X22)</f>
        <v>0</v>
      </c>
      <c r="Y22" s="132">
        <f>IF(SER_hh_emi_in!Y22=0,0,1000000*SER_hh_emi_in!Y22/SER_hh_num_in!Y22)</f>
        <v>0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5463.8374753111575</v>
      </c>
      <c r="D23" s="132">
        <f>IF(SER_hh_emi_in!D23=0,0,1000000*SER_hh_emi_in!D23/SER_hh_num_in!D23)</f>
        <v>5964.6754276447809</v>
      </c>
      <c r="E23" s="132">
        <f>IF(SER_hh_emi_in!E23=0,0,1000000*SER_hh_emi_in!E23/SER_hh_num_in!E23)</f>
        <v>6222.5784701576167</v>
      </c>
      <c r="F23" s="132">
        <f>IF(SER_hh_emi_in!F23=0,0,1000000*SER_hh_emi_in!F23/SER_hh_num_in!F23)</f>
        <v>5472.6663504801681</v>
      </c>
      <c r="G23" s="132">
        <f>IF(SER_hh_emi_in!G23=0,0,1000000*SER_hh_emi_in!G23/SER_hh_num_in!G23)</f>
        <v>5491.1713532633694</v>
      </c>
      <c r="H23" s="132">
        <f>IF(SER_hh_emi_in!H23=0,0,1000000*SER_hh_emi_in!H23/SER_hh_num_in!H23)</f>
        <v>6032.5158539735703</v>
      </c>
      <c r="I23" s="132">
        <f>IF(SER_hh_emi_in!I23=0,0,1000000*SER_hh_emi_in!I23/SER_hh_num_in!I23)</f>
        <v>5567.1070818310181</v>
      </c>
      <c r="J23" s="132">
        <f>IF(SER_hh_emi_in!J23=0,0,1000000*SER_hh_emi_in!J23/SER_hh_num_in!J23)</f>
        <v>5664.8222332611522</v>
      </c>
      <c r="K23" s="132">
        <f>IF(SER_hh_emi_in!K23=0,0,1000000*SER_hh_emi_in!K23/SER_hh_num_in!K23)</f>
        <v>5401.8560711743148</v>
      </c>
      <c r="L23" s="132">
        <f>IF(SER_hh_emi_in!L23=0,0,1000000*SER_hh_emi_in!L23/SER_hh_num_in!L23)</f>
        <v>5496.8874171225179</v>
      </c>
      <c r="M23" s="132">
        <f>IF(SER_hh_emi_in!M23=0,0,1000000*SER_hh_emi_in!M23/SER_hh_num_in!M23)</f>
        <v>5302.7214390434701</v>
      </c>
      <c r="N23" s="132">
        <f>IF(SER_hh_emi_in!N23=0,0,1000000*SER_hh_emi_in!N23/SER_hh_num_in!N23)</f>
        <v>5115.7775370939171</v>
      </c>
      <c r="O23" s="132">
        <f>IF(SER_hh_emi_in!O23=0,0,1000000*SER_hh_emi_in!O23/SER_hh_num_in!O23)</f>
        <v>4918.3506526477613</v>
      </c>
      <c r="P23" s="132">
        <f>IF(SER_hh_emi_in!P23=0,0,1000000*SER_hh_emi_in!P23/SER_hh_num_in!P23)</f>
        <v>4845.1494604628688</v>
      </c>
      <c r="Q23" s="132">
        <f>IF(SER_hh_emi_in!Q23=0,0,1000000*SER_hh_emi_in!Q23/SER_hh_num_in!Q23)</f>
        <v>4686.9296667810631</v>
      </c>
      <c r="R23" s="132">
        <f>IF(SER_hh_emi_in!R23=0,0,1000000*SER_hh_emi_in!R23/SER_hh_num_in!R23)</f>
        <v>4907.7669548287022</v>
      </c>
      <c r="S23" s="132">
        <f>IF(SER_hh_emi_in!S23=0,0,1000000*SER_hh_emi_in!S23/SER_hh_num_in!S23)</f>
        <v>2805.9165963878513</v>
      </c>
      <c r="T23" s="132">
        <f>IF(SER_hh_emi_in!T23=0,0,1000000*SER_hh_emi_in!T23/SER_hh_num_in!T23)</f>
        <v>3786.6641760704165</v>
      </c>
      <c r="U23" s="132">
        <f>IF(SER_hh_emi_in!U23=0,0,1000000*SER_hh_emi_in!U23/SER_hh_num_in!U23)</f>
        <v>4653.4813150602877</v>
      </c>
      <c r="V23" s="132">
        <f>IF(SER_hh_emi_in!V23=0,0,1000000*SER_hh_emi_in!V23/SER_hh_num_in!V23)</f>
        <v>4382.4972098306598</v>
      </c>
      <c r="W23" s="132">
        <f>IF(SER_hh_emi_in!W23=0,0,1000000*SER_hh_emi_in!W23/SER_hh_num_in!W23)</f>
        <v>4121.1405004927647</v>
      </c>
      <c r="X23" s="132">
        <f>IF(SER_hh_emi_in!X23=0,0,1000000*SER_hh_emi_in!X23/SER_hh_num_in!X23)</f>
        <v>3541.6468378183126</v>
      </c>
      <c r="Y23" s="132">
        <f>IF(SER_hh_emi_in!Y23=0,0,1000000*SER_hh_emi_in!Y23/SER_hh_num_in!Y23)</f>
        <v>0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741.92496122260718</v>
      </c>
      <c r="D29" s="130">
        <f>IF(SER_hh_emi_in!D29=0,0,1000000*SER_hh_emi_in!D29/SER_hh_num_in!D29)</f>
        <v>622.98043432631061</v>
      </c>
      <c r="E29" s="130">
        <f>IF(SER_hh_emi_in!E29=0,0,1000000*SER_hh_emi_in!E29/SER_hh_num_in!E29)</f>
        <v>173.00227236397643</v>
      </c>
      <c r="F29" s="130">
        <f>IF(SER_hh_emi_in!F29=0,0,1000000*SER_hh_emi_in!F29/SER_hh_num_in!F29)</f>
        <v>369.54033307190201</v>
      </c>
      <c r="G29" s="130">
        <f>IF(SER_hh_emi_in!G29=0,0,1000000*SER_hh_emi_in!G29/SER_hh_num_in!G29)</f>
        <v>1321.6257533768417</v>
      </c>
      <c r="H29" s="130">
        <f>IF(SER_hh_emi_in!H29=0,0,1000000*SER_hh_emi_in!H29/SER_hh_num_in!H29)</f>
        <v>3013.407166382608</v>
      </c>
      <c r="I29" s="130">
        <f>IF(SER_hh_emi_in!I29=0,0,1000000*SER_hh_emi_in!I29/SER_hh_num_in!I29)</f>
        <v>3043.7212040954046</v>
      </c>
      <c r="J29" s="130">
        <f>IF(SER_hh_emi_in!J29=0,0,1000000*SER_hh_emi_in!J29/SER_hh_num_in!J29)</f>
        <v>1197.7261089419114</v>
      </c>
      <c r="K29" s="130">
        <f>IF(SER_hh_emi_in!K29=0,0,1000000*SER_hh_emi_in!K29/SER_hh_num_in!K29)</f>
        <v>91.403206019984935</v>
      </c>
      <c r="L29" s="130">
        <f>IF(SER_hh_emi_in!L29=0,0,1000000*SER_hh_emi_in!L29/SER_hh_num_in!L29)</f>
        <v>527.29546978070198</v>
      </c>
      <c r="M29" s="130">
        <f>IF(SER_hh_emi_in!M29=0,0,1000000*SER_hh_emi_in!M29/SER_hh_num_in!M29)</f>
        <v>1.5158977368581297</v>
      </c>
      <c r="N29" s="130">
        <f>IF(SER_hh_emi_in!N29=0,0,1000000*SER_hh_emi_in!N29/SER_hh_num_in!N29)</f>
        <v>57.992663529256284</v>
      </c>
      <c r="O29" s="130">
        <f>IF(SER_hh_emi_in!O29=0,0,1000000*SER_hh_emi_in!O29/SER_hh_num_in!O29)</f>
        <v>103.65328467293732</v>
      </c>
      <c r="P29" s="130">
        <f>IF(SER_hh_emi_in!P29=0,0,1000000*SER_hh_emi_in!P29/SER_hh_num_in!P29)</f>
        <v>130.45374637532007</v>
      </c>
      <c r="Q29" s="130">
        <f>IF(SER_hh_emi_in!Q29=0,0,1000000*SER_hh_emi_in!Q29/SER_hh_num_in!Q29)</f>
        <v>73.198031220309005</v>
      </c>
      <c r="R29" s="130">
        <f>IF(SER_hh_emi_in!R29=0,0,1000000*SER_hh_emi_in!R29/SER_hh_num_in!R29)</f>
        <v>60.596403379326887</v>
      </c>
      <c r="S29" s="130">
        <f>IF(SER_hh_emi_in!S29=0,0,1000000*SER_hh_emi_in!S29/SER_hh_num_in!S29)</f>
        <v>128.15666707792906</v>
      </c>
      <c r="T29" s="130">
        <f>IF(SER_hh_emi_in!T29=0,0,1000000*SER_hh_emi_in!T29/SER_hh_num_in!T29)</f>
        <v>600.59903036303331</v>
      </c>
      <c r="U29" s="130">
        <f>IF(SER_hh_emi_in!U29=0,0,1000000*SER_hh_emi_in!U29/SER_hh_num_in!U29)</f>
        <v>630.07371220615698</v>
      </c>
      <c r="V29" s="130">
        <f>IF(SER_hh_emi_in!V29=0,0,1000000*SER_hh_emi_in!V29/SER_hh_num_in!V29)</f>
        <v>297.60611780008861</v>
      </c>
      <c r="W29" s="130">
        <f>IF(SER_hh_emi_in!W29=0,0,1000000*SER_hh_emi_in!W29/SER_hh_num_in!W29)</f>
        <v>113.65291660611781</v>
      </c>
      <c r="X29" s="130">
        <f>IF(SER_hh_emi_in!X29=0,0,1000000*SER_hh_emi_in!X29/SER_hh_num_in!X29)</f>
        <v>203.12055717603019</v>
      </c>
      <c r="Y29" s="130">
        <f>IF(SER_hh_emi_in!Y29=0,0,1000000*SER_hh_emi_in!Y29/SER_hh_num_in!Y29)</f>
        <v>136.51661148499107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7182.5677057770517</v>
      </c>
      <c r="D30" s="132">
        <f>IF(SER_hh_emi_in!D30=0,0,1000000*SER_hh_emi_in!D30/SER_hh_num_in!D30)</f>
        <v>6149.2722277356643</v>
      </c>
      <c r="E30" s="132">
        <f>IF(SER_hh_emi_in!E30=0,0,1000000*SER_hh_emi_in!E30/SER_hh_num_in!E30)</f>
        <v>0</v>
      </c>
      <c r="F30" s="132">
        <f>IF(SER_hh_emi_in!F30=0,0,1000000*SER_hh_emi_in!F30/SER_hh_num_in!F30)</f>
        <v>5165.5464888025244</v>
      </c>
      <c r="G30" s="132">
        <f>IF(SER_hh_emi_in!G30=0,0,1000000*SER_hh_emi_in!G30/SER_hh_num_in!G30)</f>
        <v>4426.6085135715512</v>
      </c>
      <c r="H30" s="132">
        <f>IF(SER_hh_emi_in!H30=0,0,1000000*SER_hh_emi_in!H30/SER_hh_num_in!H30)</f>
        <v>6322.1691379425365</v>
      </c>
      <c r="I30" s="132">
        <f>IF(SER_hh_emi_in!I30=0,0,1000000*SER_hh_emi_in!I30/SER_hh_num_in!I30)</f>
        <v>7802.8614478334575</v>
      </c>
      <c r="J30" s="132">
        <f>IF(SER_hh_emi_in!J30=0,0,1000000*SER_hh_emi_in!J30/SER_hh_num_in!J30)</f>
        <v>6932.3787182808082</v>
      </c>
      <c r="K30" s="132">
        <f>IF(SER_hh_emi_in!K30=0,0,1000000*SER_hh_emi_in!K30/SER_hh_num_in!K30)</f>
        <v>4911.9960728640144</v>
      </c>
      <c r="L30" s="132">
        <f>IF(SER_hh_emi_in!L30=0,0,1000000*SER_hh_emi_in!L30/SER_hh_num_in!L30)</f>
        <v>7976.1730131032255</v>
      </c>
      <c r="M30" s="132">
        <f>IF(SER_hh_emi_in!M30=0,0,1000000*SER_hh_emi_in!M30/SER_hh_num_in!M30)</f>
        <v>0</v>
      </c>
      <c r="N30" s="132">
        <f>IF(SER_hh_emi_in!N30=0,0,1000000*SER_hh_emi_in!N30/SER_hh_num_in!N30)</f>
        <v>0</v>
      </c>
      <c r="O30" s="132">
        <f>IF(SER_hh_emi_in!O30=0,0,1000000*SER_hh_emi_in!O30/SER_hh_num_in!O30)</f>
        <v>0</v>
      </c>
      <c r="P30" s="132">
        <f>IF(SER_hh_emi_in!P30=0,0,1000000*SER_hh_emi_in!P30/SER_hh_num_in!P30)</f>
        <v>0</v>
      </c>
      <c r="Q30" s="132">
        <f>IF(SER_hh_emi_in!Q30=0,0,1000000*SER_hh_emi_in!Q30/SER_hh_num_in!Q30)</f>
        <v>0</v>
      </c>
      <c r="R30" s="132">
        <f>IF(SER_hh_emi_in!R30=0,0,1000000*SER_hh_emi_in!R30/SER_hh_num_in!R30)</f>
        <v>0</v>
      </c>
      <c r="S30" s="132">
        <f>IF(SER_hh_emi_in!S30=0,0,1000000*SER_hh_emi_in!S30/SER_hh_num_in!S30)</f>
        <v>7237.8601731345061</v>
      </c>
      <c r="T30" s="132">
        <f>IF(SER_hh_emi_in!T30=0,0,1000000*SER_hh_emi_in!T30/SER_hh_num_in!T30)</f>
        <v>7201.2985107923359</v>
      </c>
      <c r="U30" s="132">
        <f>IF(SER_hh_emi_in!U30=0,0,1000000*SER_hh_emi_in!U30/SER_hh_num_in!U30)</f>
        <v>7434.7687927098141</v>
      </c>
      <c r="V30" s="132">
        <f>IF(SER_hh_emi_in!V30=0,0,1000000*SER_hh_emi_in!V30/SER_hh_num_in!V30)</f>
        <v>7536.0873791273862</v>
      </c>
      <c r="W30" s="132">
        <f>IF(SER_hh_emi_in!W30=0,0,1000000*SER_hh_emi_in!W30/SER_hh_num_in!W30)</f>
        <v>7495.0598686307048</v>
      </c>
      <c r="X30" s="132">
        <f>IF(SER_hh_emi_in!X30=0,0,1000000*SER_hh_emi_in!X30/SER_hh_num_in!X30)</f>
        <v>7343.4479829093107</v>
      </c>
      <c r="Y30" s="132">
        <f>IF(SER_hh_emi_in!Y30=0,0,1000000*SER_hh_emi_in!Y30/SER_hh_num_in!Y30)</f>
        <v>7182.6553598084447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4802.9044556217505</v>
      </c>
      <c r="D31" s="132">
        <f>IF(SER_hh_emi_in!D31=0,0,1000000*SER_hh_emi_in!D31/SER_hh_num_in!D31)</f>
        <v>5118.7788685571813</v>
      </c>
      <c r="E31" s="132">
        <f>IF(SER_hh_emi_in!E31=0,0,1000000*SER_hh_emi_in!E31/SER_hh_num_in!E31)</f>
        <v>5410.7941387249275</v>
      </c>
      <c r="F31" s="132">
        <f>IF(SER_hh_emi_in!F31=0,0,1000000*SER_hh_emi_in!F31/SER_hh_num_in!F31)</f>
        <v>5344.4881257257857</v>
      </c>
      <c r="G31" s="132">
        <f>IF(SER_hh_emi_in!G31=0,0,1000000*SER_hh_emi_in!G31/SER_hh_num_in!G31)</f>
        <v>5362.865871665339</v>
      </c>
      <c r="H31" s="132">
        <f>IF(SER_hh_emi_in!H31=0,0,1000000*SER_hh_emi_in!H31/SER_hh_num_in!H31)</f>
        <v>5435.7902892004004</v>
      </c>
      <c r="I31" s="132">
        <f>IF(SER_hh_emi_in!I31=0,0,1000000*SER_hh_emi_in!I31/SER_hh_num_in!I31)</f>
        <v>5562.6466211893967</v>
      </c>
      <c r="J31" s="132">
        <f>IF(SER_hh_emi_in!J31=0,0,1000000*SER_hh_emi_in!J31/SER_hh_num_in!J31)</f>
        <v>5825.1921517316205</v>
      </c>
      <c r="K31" s="132">
        <f>IF(SER_hh_emi_in!K31=0,0,1000000*SER_hh_emi_in!K31/SER_hh_num_in!K31)</f>
        <v>5710.7676781754535</v>
      </c>
      <c r="L31" s="132">
        <f>IF(SER_hh_emi_in!L31=0,0,1000000*SER_hh_emi_in!L31/SER_hh_num_in!L31)</f>
        <v>5519.1475839889499</v>
      </c>
      <c r="M31" s="132">
        <f>IF(SER_hh_emi_in!M31=0,0,1000000*SER_hh_emi_in!M31/SER_hh_num_in!M31)</f>
        <v>5877.1634797809256</v>
      </c>
      <c r="N31" s="132">
        <f>IF(SER_hh_emi_in!N31=0,0,1000000*SER_hh_emi_in!N31/SER_hh_num_in!N31)</f>
        <v>5971.4094907156177</v>
      </c>
      <c r="O31" s="132">
        <f>IF(SER_hh_emi_in!O31=0,0,1000000*SER_hh_emi_in!O31/SER_hh_num_in!O31)</f>
        <v>6060.4075077937978</v>
      </c>
      <c r="P31" s="132">
        <f>IF(SER_hh_emi_in!P31=0,0,1000000*SER_hh_emi_in!P31/SER_hh_num_in!P31)</f>
        <v>6310.2899830513234</v>
      </c>
      <c r="Q31" s="132">
        <f>IF(SER_hh_emi_in!Q31=0,0,1000000*SER_hh_emi_in!Q31/SER_hh_num_in!Q31)</f>
        <v>6301.816552464812</v>
      </c>
      <c r="R31" s="132">
        <f>IF(SER_hh_emi_in!R31=0,0,1000000*SER_hh_emi_in!R31/SER_hh_num_in!R31)</f>
        <v>7017.8286390074236</v>
      </c>
      <c r="S31" s="132">
        <f>IF(SER_hh_emi_in!S31=0,0,1000000*SER_hh_emi_in!S31/SER_hh_num_in!S31)</f>
        <v>4135.4991769823437</v>
      </c>
      <c r="T31" s="132">
        <f>IF(SER_hh_emi_in!T31=0,0,1000000*SER_hh_emi_in!T31/SER_hh_num_in!T31)</f>
        <v>5976.4009363086707</v>
      </c>
      <c r="U31" s="132">
        <f>IF(SER_hh_emi_in!U31=0,0,1000000*SER_hh_emi_in!U31/SER_hh_num_in!U31)</f>
        <v>7619.4175980654409</v>
      </c>
      <c r="V31" s="132">
        <f>IF(SER_hh_emi_in!V31=0,0,1000000*SER_hh_emi_in!V31/SER_hh_num_in!V31)</f>
        <v>6515.0193146447173</v>
      </c>
      <c r="W31" s="132">
        <f>IF(SER_hh_emi_in!W31=0,0,1000000*SER_hh_emi_in!W31/SER_hh_num_in!W31)</f>
        <v>6486.0410193673315</v>
      </c>
      <c r="X31" s="132">
        <f>IF(SER_hh_emi_in!X31=0,0,1000000*SER_hh_emi_in!X31/SER_hh_num_in!X31)</f>
        <v>6111.5781595978206</v>
      </c>
      <c r="Y31" s="132">
        <f>IF(SER_hh_emi_in!Y31=0,0,1000000*SER_hh_emi_in!Y31/SER_hh_num_in!Y31)</f>
        <v>6005.3315915498461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288.72409525884564</v>
      </c>
      <c r="D3" s="125">
        <f>IF(SER_hh_fech_in!D3=0,0,SER_hh_fech_in!D3/SER_summary!D$27)</f>
        <v>284.15651059199627</v>
      </c>
      <c r="E3" s="125">
        <f>IF(SER_hh_fech_in!E3=0,0,SER_hh_fech_in!E3/SER_summary!E$27)</f>
        <v>259.98451942739683</v>
      </c>
      <c r="F3" s="125">
        <f>IF(SER_hh_fech_in!F3=0,0,SER_hh_fech_in!F3/SER_summary!F$27)</f>
        <v>240.61297999094825</v>
      </c>
      <c r="G3" s="125">
        <f>IF(SER_hh_fech_in!G3=0,0,SER_hh_fech_in!G3/SER_summary!G$27)</f>
        <v>218.15596130916211</v>
      </c>
      <c r="H3" s="125">
        <f>IF(SER_hh_fech_in!H3=0,0,SER_hh_fech_in!H3/SER_summary!H$27)</f>
        <v>213.05046550575756</v>
      </c>
      <c r="I3" s="125">
        <f>IF(SER_hh_fech_in!I3=0,0,SER_hh_fech_in!I3/SER_summary!I$27)</f>
        <v>210.12257587401533</v>
      </c>
      <c r="J3" s="125">
        <f>IF(SER_hh_fech_in!J3=0,0,SER_hh_fech_in!J3/SER_summary!J$27)</f>
        <v>196.1477247288266</v>
      </c>
      <c r="K3" s="125">
        <f>IF(SER_hh_fech_in!K3=0,0,SER_hh_fech_in!K3/SER_summary!K$27)</f>
        <v>189.33410554604546</v>
      </c>
      <c r="L3" s="125">
        <f>IF(SER_hh_fech_in!L3=0,0,SER_hh_fech_in!L3/SER_summary!L$27)</f>
        <v>206.08849368624817</v>
      </c>
      <c r="M3" s="125">
        <f>IF(SER_hh_fech_in!M3=0,0,SER_hh_fech_in!M3/SER_summary!M$27)</f>
        <v>174.79549154163723</v>
      </c>
      <c r="N3" s="125">
        <f>IF(SER_hh_fech_in!N3=0,0,SER_hh_fech_in!N3/SER_summary!N$27)</f>
        <v>181.74987774190026</v>
      </c>
      <c r="O3" s="125">
        <f>IF(SER_hh_fech_in!O3=0,0,SER_hh_fech_in!O3/SER_summary!O$27)</f>
        <v>163.72798116110803</v>
      </c>
      <c r="P3" s="125">
        <f>IF(SER_hh_fech_in!P3=0,0,SER_hh_fech_in!P3/SER_summary!P$27)</f>
        <v>148.62320337367416</v>
      </c>
      <c r="Q3" s="125">
        <f>IF(SER_hh_fech_in!Q3=0,0,SER_hh_fech_in!Q3/SER_summary!Q$27)</f>
        <v>147.16665413591667</v>
      </c>
      <c r="R3" s="125">
        <f>IF(SER_hh_fech_in!R3=0,0,SER_hh_fech_in!R3/SER_summary!R$27)</f>
        <v>143.39579744417054</v>
      </c>
      <c r="S3" s="125">
        <f>IF(SER_hh_fech_in!S3=0,0,SER_hh_fech_in!S3/SER_summary!S$27)</f>
        <v>127.14794824316624</v>
      </c>
      <c r="T3" s="125">
        <f>IF(SER_hh_fech_in!T3=0,0,SER_hh_fech_in!T3/SER_summary!T$27)</f>
        <v>123.40958928844162</v>
      </c>
      <c r="U3" s="125">
        <f>IF(SER_hh_fech_in!U3=0,0,SER_hh_fech_in!U3/SER_summary!U$27)</f>
        <v>112.70613052692744</v>
      </c>
      <c r="V3" s="125">
        <f>IF(SER_hh_fech_in!V3=0,0,SER_hh_fech_in!V3/SER_summary!V$27)</f>
        <v>102.05447810863718</v>
      </c>
      <c r="W3" s="125">
        <f>IF(SER_hh_fech_in!W3=0,0,SER_hh_fech_in!W3/SER_summary!W$27)</f>
        <v>95.013091874712032</v>
      </c>
      <c r="X3" s="125">
        <f>IF(SER_hh_fech_in!X3=0,0,SER_hh_fech_in!X3/SER_summary!X$27)</f>
        <v>77.559657143884635</v>
      </c>
      <c r="Y3" s="125">
        <f>IF(SER_hh_fech_in!Y3=0,0,SER_hh_fech_in!Y3/SER_summary!Y$27)</f>
        <v>75.975396650318018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228.48128070096041</v>
      </c>
      <c r="D4" s="130">
        <f>IF(SER_hh_fech_in!D4=0,0,SER_hh_fech_in!D4/SER_summary!D$27)</f>
        <v>224.87545203815867</v>
      </c>
      <c r="E4" s="130">
        <f>IF(SER_hh_fech_in!E4=0,0,SER_hh_fech_in!E4/SER_summary!E$27)</f>
        <v>202.30512067109726</v>
      </c>
      <c r="F4" s="130">
        <f>IF(SER_hh_fech_in!F4=0,0,SER_hh_fech_in!F4/SER_summary!F$27)</f>
        <v>183.5493702560365</v>
      </c>
      <c r="G4" s="130">
        <f>IF(SER_hh_fech_in!G4=0,0,SER_hh_fech_in!G4/SER_summary!G$27)</f>
        <v>160.40978575137805</v>
      </c>
      <c r="H4" s="130">
        <f>IF(SER_hh_fech_in!H4=0,0,SER_hh_fech_in!H4/SER_summary!H$27)</f>
        <v>153.07542724495744</v>
      </c>
      <c r="I4" s="130">
        <f>IF(SER_hh_fech_in!I4=0,0,SER_hh_fech_in!I4/SER_summary!I$27)</f>
        <v>148.54819027592941</v>
      </c>
      <c r="J4" s="130">
        <f>IF(SER_hh_fech_in!J4=0,0,SER_hh_fech_in!J4/SER_summary!J$27)</f>
        <v>138.27386698317358</v>
      </c>
      <c r="K4" s="130">
        <f>IF(SER_hh_fech_in!K4=0,0,SER_hh_fech_in!K4/SER_summary!K$27)</f>
        <v>130.35558907395534</v>
      </c>
      <c r="L4" s="130">
        <f>IF(SER_hh_fech_in!L4=0,0,SER_hh_fech_in!L4/SER_summary!L$27)</f>
        <v>149.4967882437667</v>
      </c>
      <c r="M4" s="130">
        <f>IF(SER_hh_fech_in!M4=0,0,SER_hh_fech_in!M4/SER_summary!M$27)</f>
        <v>119.40616935371754</v>
      </c>
      <c r="N4" s="130">
        <f>IF(SER_hh_fech_in!N4=0,0,SER_hh_fech_in!N4/SER_summary!N$27)</f>
        <v>122.98675315627179</v>
      </c>
      <c r="O4" s="130">
        <f>IF(SER_hh_fech_in!O4=0,0,SER_hh_fech_in!O4/SER_summary!O$27)</f>
        <v>106.95795209156094</v>
      </c>
      <c r="P4" s="130">
        <f>IF(SER_hh_fech_in!P4=0,0,SER_hh_fech_in!P4/SER_summary!P$27)</f>
        <v>94.718511967679177</v>
      </c>
      <c r="Q4" s="130">
        <f>IF(SER_hh_fech_in!Q4=0,0,SER_hh_fech_in!Q4/SER_summary!Q$27)</f>
        <v>93.720568890384413</v>
      </c>
      <c r="R4" s="130">
        <f>IF(SER_hh_fech_in!R4=0,0,SER_hh_fech_in!R4/SER_summary!R$27)</f>
        <v>91.158366465339824</v>
      </c>
      <c r="S4" s="130">
        <f>IF(SER_hh_fech_in!S4=0,0,SER_hh_fech_in!S4/SER_summary!S$27)</f>
        <v>75.012323840866458</v>
      </c>
      <c r="T4" s="130">
        <f>IF(SER_hh_fech_in!T4=0,0,SER_hh_fech_in!T4/SER_summary!T$27)</f>
        <v>71.876490133879344</v>
      </c>
      <c r="U4" s="130">
        <f>IF(SER_hh_fech_in!U4=0,0,SER_hh_fech_in!U4/SER_summary!U$27)</f>
        <v>61.087389300002854</v>
      </c>
      <c r="V4" s="130">
        <f>IF(SER_hh_fech_in!V4=0,0,SER_hh_fech_in!V4/SER_summary!V$27)</f>
        <v>50.960252069118404</v>
      </c>
      <c r="W4" s="130">
        <f>IF(SER_hh_fech_in!W4=0,0,SER_hh_fech_in!W4/SER_summary!W$27)</f>
        <v>45.092389529200794</v>
      </c>
      <c r="X4" s="130">
        <f>IF(SER_hh_fech_in!X4=0,0,SER_hh_fech_in!X4/SER_summary!X$27)</f>
        <v>30.478860451185923</v>
      </c>
      <c r="Y4" s="130">
        <f>IF(SER_hh_fech_in!Y4=0,0,SER_hh_fech_in!Y4/SER_summary!Y$27)</f>
        <v>29.971665033728328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0</v>
      </c>
      <c r="D5" s="132">
        <f>IF(SER_hh_fech_in!D5=0,0,SER_hh_fech_in!D5/SER_summary!D$27)</f>
        <v>0</v>
      </c>
      <c r="E5" s="132">
        <f>IF(SER_hh_fech_in!E5=0,0,SER_hh_fech_in!E5/SER_summary!E$27)</f>
        <v>0</v>
      </c>
      <c r="F5" s="132">
        <f>IF(SER_hh_fech_in!F5=0,0,SER_hh_fech_in!F5/SER_summary!F$27)</f>
        <v>0</v>
      </c>
      <c r="G5" s="132">
        <f>IF(SER_hh_fech_in!G5=0,0,SER_hh_fech_in!G5/SER_summary!G$27)</f>
        <v>0</v>
      </c>
      <c r="H5" s="132">
        <f>IF(SER_hh_fech_in!H5=0,0,SER_hh_fech_in!H5/SER_summary!H$27)</f>
        <v>0</v>
      </c>
      <c r="I5" s="132">
        <f>IF(SER_hh_fech_in!I5=0,0,SER_hh_fech_in!I5/SER_summary!I$27)</f>
        <v>0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0</v>
      </c>
      <c r="N5" s="132">
        <f>IF(SER_hh_fech_in!N5=0,0,SER_hh_fech_in!N5/SER_summary!N$27)</f>
        <v>0</v>
      </c>
      <c r="O5" s="132">
        <f>IF(SER_hh_fech_in!O5=0,0,SER_hh_fech_in!O5/SER_summary!O$27)</f>
        <v>0</v>
      </c>
      <c r="P5" s="132">
        <f>IF(SER_hh_fech_in!P5=0,0,SER_hh_fech_in!P5/SER_summary!P$27)</f>
        <v>0</v>
      </c>
      <c r="Q5" s="132">
        <f>IF(SER_hh_fech_in!Q5=0,0,SER_hh_fech_in!Q5/SER_summary!Q$27)</f>
        <v>0</v>
      </c>
      <c r="R5" s="132">
        <f>IF(SER_hh_fech_in!R5=0,0,SER_hh_fech_in!R5/SER_summary!R$27)</f>
        <v>0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0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314.18386476816653</v>
      </c>
      <c r="D7" s="132">
        <f>IF(SER_hh_fech_in!D7=0,0,SER_hh_fech_in!D7/SER_summary!D$27)</f>
        <v>308.19228636411395</v>
      </c>
      <c r="E7" s="132">
        <f>IF(SER_hh_fech_in!E7=0,0,SER_hh_fech_in!E7/SER_summary!E$27)</f>
        <v>337.22800069439575</v>
      </c>
      <c r="F7" s="132">
        <f>IF(SER_hh_fech_in!F7=0,0,SER_hh_fech_in!F7/SER_summary!F$27)</f>
        <v>0</v>
      </c>
      <c r="G7" s="132">
        <f>IF(SER_hh_fech_in!G7=0,0,SER_hh_fech_in!G7/SER_summary!G$27)</f>
        <v>0</v>
      </c>
      <c r="H7" s="132">
        <f>IF(SER_hh_fech_in!H7=0,0,SER_hh_fech_in!H7/SER_summary!H$27)</f>
        <v>0</v>
      </c>
      <c r="I7" s="132">
        <f>IF(SER_hh_fech_in!I7=0,0,SER_hh_fech_in!I7/SER_summary!I$27)</f>
        <v>0</v>
      </c>
      <c r="J7" s="132">
        <f>IF(SER_hh_fech_in!J7=0,0,SER_hh_fech_in!J7/SER_summary!J$27)</f>
        <v>0</v>
      </c>
      <c r="K7" s="132">
        <f>IF(SER_hh_fech_in!K7=0,0,SER_hh_fech_in!K7/SER_summary!K$27)</f>
        <v>189.87105908571095</v>
      </c>
      <c r="L7" s="132">
        <f>IF(SER_hh_fech_in!L7=0,0,SER_hh_fech_in!L7/SER_summary!L$27)</f>
        <v>192.6878720267934</v>
      </c>
      <c r="M7" s="132">
        <f>IF(SER_hh_fech_in!M7=0,0,SER_hh_fech_in!M7/SER_summary!M$27)</f>
        <v>168.40655367581707</v>
      </c>
      <c r="N7" s="132">
        <f>IF(SER_hh_fech_in!N7=0,0,SER_hh_fech_in!N7/SER_summary!N$27)</f>
        <v>158.707367342792</v>
      </c>
      <c r="O7" s="132">
        <f>IF(SER_hh_fech_in!O7=0,0,SER_hh_fech_in!O7/SER_summary!O$27)</f>
        <v>135.86076093892876</v>
      </c>
      <c r="P7" s="132">
        <f>IF(SER_hh_fech_in!P7=0,0,SER_hh_fech_in!P7/SER_summary!P$27)</f>
        <v>0</v>
      </c>
      <c r="Q7" s="132">
        <f>IF(SER_hh_fech_in!Q7=0,0,SER_hh_fech_in!Q7/SER_summary!Q$27)</f>
        <v>110.32002404440894</v>
      </c>
      <c r="R7" s="132">
        <f>IF(SER_hh_fech_in!R7=0,0,SER_hh_fech_in!R7/SER_summary!R$27)</f>
        <v>102.21929405753949</v>
      </c>
      <c r="S7" s="132">
        <f>IF(SER_hh_fech_in!S7=0,0,SER_hh_fech_in!S7/SER_summary!S$27)</f>
        <v>96.367391878227096</v>
      </c>
      <c r="T7" s="132">
        <f>IF(SER_hh_fech_in!T7=0,0,SER_hh_fech_in!T7/SER_summary!T$27)</f>
        <v>89.561700379698124</v>
      </c>
      <c r="U7" s="132">
        <f>IF(SER_hh_fech_in!U7=0,0,SER_hh_fech_in!U7/SER_summary!U$27)</f>
        <v>78.491439894942758</v>
      </c>
      <c r="V7" s="132">
        <f>IF(SER_hh_fech_in!V7=0,0,SER_hh_fech_in!V7/SER_summary!V$27)</f>
        <v>71.780437347706027</v>
      </c>
      <c r="W7" s="132">
        <f>IF(SER_hh_fech_in!W7=0,0,SER_hh_fech_in!W7/SER_summary!W$27)</f>
        <v>0</v>
      </c>
      <c r="X7" s="132">
        <f>IF(SER_hh_fech_in!X7=0,0,SER_hh_fech_in!X7/SER_summary!X$27)</f>
        <v>0</v>
      </c>
      <c r="Y7" s="132">
        <f>IF(SER_hh_fech_in!Y7=0,0,SER_hh_fech_in!Y7/SER_summary!Y$27)</f>
        <v>0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0</v>
      </c>
      <c r="D8" s="132">
        <f>IF(SER_hh_fech_in!D8=0,0,SER_hh_fech_in!D8/SER_summary!D$27)</f>
        <v>0</v>
      </c>
      <c r="E8" s="132">
        <f>IF(SER_hh_fech_in!E8=0,0,SER_hh_fech_in!E8/SER_summary!E$27)</f>
        <v>0</v>
      </c>
      <c r="F8" s="132">
        <f>IF(SER_hh_fech_in!F8=0,0,SER_hh_fech_in!F8/SER_summary!F$27)</f>
        <v>0</v>
      </c>
      <c r="G8" s="132">
        <f>IF(SER_hh_fech_in!G8=0,0,SER_hh_fech_in!G8/SER_summary!G$27)</f>
        <v>0</v>
      </c>
      <c r="H8" s="132">
        <f>IF(SER_hh_fech_in!H8=0,0,SER_hh_fech_in!H8/SER_summary!H$27)</f>
        <v>0</v>
      </c>
      <c r="I8" s="132">
        <f>IF(SER_hh_fech_in!I8=0,0,SER_hh_fech_in!I8/SER_summary!I$27)</f>
        <v>0</v>
      </c>
      <c r="J8" s="132">
        <f>IF(SER_hh_fech_in!J8=0,0,SER_hh_fech_in!J8/SER_summary!J$27)</f>
        <v>0</v>
      </c>
      <c r="K8" s="132">
        <f>IF(SER_hh_fech_in!K8=0,0,SER_hh_fech_in!K8/SER_summary!K$27)</f>
        <v>0</v>
      </c>
      <c r="L8" s="132">
        <f>IF(SER_hh_fech_in!L8=0,0,SER_hh_fech_in!L8/SER_summary!L$27)</f>
        <v>0</v>
      </c>
      <c r="M8" s="132">
        <f>IF(SER_hh_fech_in!M8=0,0,SER_hh_fech_in!M8/SER_summary!M$27)</f>
        <v>0</v>
      </c>
      <c r="N8" s="132">
        <f>IF(SER_hh_fech_in!N8=0,0,SER_hh_fech_in!N8/SER_summary!N$27)</f>
        <v>0</v>
      </c>
      <c r="O8" s="132">
        <f>IF(SER_hh_fech_in!O8=0,0,SER_hh_fech_in!O8/SER_summary!O$27)</f>
        <v>0</v>
      </c>
      <c r="P8" s="132">
        <f>IF(SER_hh_fech_in!P8=0,0,SER_hh_fech_in!P8/SER_summary!P$27)</f>
        <v>0</v>
      </c>
      <c r="Q8" s="132">
        <f>IF(SER_hh_fech_in!Q8=0,0,SER_hh_fech_in!Q8/SER_summary!Q$27)</f>
        <v>0</v>
      </c>
      <c r="R8" s="132">
        <f>IF(SER_hh_fech_in!R8=0,0,SER_hh_fech_in!R8/SER_summary!R$27)</f>
        <v>0</v>
      </c>
      <c r="S8" s="132">
        <f>IF(SER_hh_fech_in!S8=0,0,SER_hh_fech_in!S8/SER_summary!S$27)</f>
        <v>0</v>
      </c>
      <c r="T8" s="132">
        <f>IF(SER_hh_fech_in!T8=0,0,SER_hh_fech_in!T8/SER_summary!T$27)</f>
        <v>0</v>
      </c>
      <c r="U8" s="132">
        <f>IF(SER_hh_fech_in!U8=0,0,SER_hh_fech_in!U8/SER_summary!U$27)</f>
        <v>0</v>
      </c>
      <c r="V8" s="132">
        <f>IF(SER_hh_fech_in!V8=0,0,SER_hh_fech_in!V8/SER_summary!V$27)</f>
        <v>0</v>
      </c>
      <c r="W8" s="132">
        <f>IF(SER_hh_fech_in!W8=0,0,SER_hh_fech_in!W8/SER_summary!W$27)</f>
        <v>0</v>
      </c>
      <c r="X8" s="132">
        <f>IF(SER_hh_fech_in!X8=0,0,SER_hh_fech_in!X8/SER_summary!X$27)</f>
        <v>0</v>
      </c>
      <c r="Y8" s="132">
        <f>IF(SER_hh_fech_in!Y8=0,0,SER_hh_fech_in!Y8/SER_summary!Y$27)</f>
        <v>0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215.54899678978222</v>
      </c>
      <c r="D9" s="132">
        <f>IF(SER_hh_fech_in!D9=0,0,SER_hh_fech_in!D9/SER_summary!D$27)</f>
        <v>297.53409463865466</v>
      </c>
      <c r="E9" s="132">
        <f>IF(SER_hh_fech_in!E9=0,0,SER_hh_fech_in!E9/SER_summary!E$27)</f>
        <v>309.11374972636094</v>
      </c>
      <c r="F9" s="132">
        <f>IF(SER_hh_fech_in!F9=0,0,SER_hh_fech_in!F9/SER_summary!F$27)</f>
        <v>254.41979494594673</v>
      </c>
      <c r="G9" s="132">
        <f>IF(SER_hh_fech_in!G9=0,0,SER_hh_fech_in!G9/SER_summary!G$27)</f>
        <v>233.71365835996676</v>
      </c>
      <c r="H9" s="132">
        <f>IF(SER_hh_fech_in!H9=0,0,SER_hh_fech_in!H9/SER_summary!H$27)</f>
        <v>217.79654241747448</v>
      </c>
      <c r="I9" s="132">
        <f>IF(SER_hh_fech_in!I9=0,0,SER_hh_fech_in!I9/SER_summary!I$27)</f>
        <v>219.90405821853153</v>
      </c>
      <c r="J9" s="132">
        <f>IF(SER_hh_fech_in!J9=0,0,SER_hh_fech_in!J9/SER_summary!J$27)</f>
        <v>226.37062532357254</v>
      </c>
      <c r="K9" s="132">
        <f>IF(SER_hh_fech_in!K9=0,0,SER_hh_fech_in!K9/SER_summary!K$27)</f>
        <v>100.67494522822572</v>
      </c>
      <c r="L9" s="132">
        <f>IF(SER_hh_fech_in!L9=0,0,SER_hh_fech_in!L9/SER_summary!L$27)</f>
        <v>206.00647396351425</v>
      </c>
      <c r="M9" s="132">
        <f>IF(SER_hh_fech_in!M9=0,0,SER_hh_fech_in!M9/SER_summary!M$27)</f>
        <v>151.3470414463288</v>
      </c>
      <c r="N9" s="132">
        <f>IF(SER_hh_fech_in!N9=0,0,SER_hh_fech_in!N9/SER_summary!N$27)</f>
        <v>169.82244352560514</v>
      </c>
      <c r="O9" s="132">
        <f>IF(SER_hh_fech_in!O9=0,0,SER_hh_fech_in!O9/SER_summary!O$27)</f>
        <v>134.66689982647111</v>
      </c>
      <c r="P9" s="132">
        <f>IF(SER_hh_fech_in!P9=0,0,SER_hh_fech_in!P9/SER_summary!P$27)</f>
        <v>118.43109086625023</v>
      </c>
      <c r="Q9" s="132">
        <f>IF(SER_hh_fech_in!Q9=0,0,SER_hh_fech_in!Q9/SER_summary!Q$27)</f>
        <v>0</v>
      </c>
      <c r="R9" s="132">
        <f>IF(SER_hh_fech_in!R9=0,0,SER_hh_fech_in!R9/SER_summary!R$27)</f>
        <v>0</v>
      </c>
      <c r="S9" s="132">
        <f>IF(SER_hh_fech_in!S9=0,0,SER_hh_fech_in!S9/SER_summary!S$27)</f>
        <v>58.764413982599265</v>
      </c>
      <c r="T9" s="132">
        <f>IF(SER_hh_fech_in!T9=0,0,SER_hh_fech_in!T9/SER_summary!T$27)</f>
        <v>80.551456298493306</v>
      </c>
      <c r="U9" s="132">
        <f>IF(SER_hh_fech_in!U9=0,0,SER_hh_fech_in!U9/SER_summary!U$27)</f>
        <v>88.15216431037841</v>
      </c>
      <c r="V9" s="132">
        <f>IF(SER_hh_fech_in!V9=0,0,SER_hh_fech_in!V9/SER_summary!V$27)</f>
        <v>74.598938550511562</v>
      </c>
      <c r="W9" s="132">
        <f>IF(SER_hh_fech_in!W9=0,0,SER_hh_fech_in!W9/SER_summary!W$27)</f>
        <v>55.408659316860494</v>
      </c>
      <c r="X9" s="132">
        <f>IF(SER_hh_fech_in!X9=0,0,SER_hh_fech_in!X9/SER_summary!X$27)</f>
        <v>35.926121444452434</v>
      </c>
      <c r="Y9" s="132">
        <f>IF(SER_hh_fech_in!Y9=0,0,SER_hh_fech_in!Y9/SER_summary!Y$27)</f>
        <v>0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378.2812999467393</v>
      </c>
      <c r="D10" s="132">
        <f>IF(SER_hh_fech_in!D10=0,0,SER_hh_fech_in!D10/SER_summary!D$27)</f>
        <v>255.66080603023474</v>
      </c>
      <c r="E10" s="132">
        <f>IF(SER_hh_fech_in!E10=0,0,SER_hh_fech_in!E10/SER_summary!E$27)</f>
        <v>183.27705899684241</v>
      </c>
      <c r="F10" s="132">
        <f>IF(SER_hh_fech_in!F10=0,0,SER_hh_fech_in!F10/SER_summary!F$27)</f>
        <v>303.9405993727309</v>
      </c>
      <c r="G10" s="132">
        <f>IF(SER_hh_fech_in!G10=0,0,SER_hh_fech_in!G10/SER_summary!G$27)</f>
        <v>293.41765424390849</v>
      </c>
      <c r="H10" s="132">
        <f>IF(SER_hh_fech_in!H10=0,0,SER_hh_fech_in!H10/SER_summary!H$27)</f>
        <v>202.72408876494015</v>
      </c>
      <c r="I10" s="132">
        <f>IF(SER_hh_fech_in!I10=0,0,SER_hh_fech_in!I10/SER_summary!I$27)</f>
        <v>210.53640169824325</v>
      </c>
      <c r="J10" s="132">
        <f>IF(SER_hh_fech_in!J10=0,0,SER_hh_fech_in!J10/SER_summary!J$27)</f>
        <v>213.56010784444567</v>
      </c>
      <c r="K10" s="132">
        <f>IF(SER_hh_fech_in!K10=0,0,SER_hh_fech_in!K10/SER_summary!K$27)</f>
        <v>203.38793297710379</v>
      </c>
      <c r="L10" s="132">
        <f>IF(SER_hh_fech_in!L10=0,0,SER_hh_fech_in!L10/SER_summary!L$27)</f>
        <v>195.23808998629704</v>
      </c>
      <c r="M10" s="132">
        <f>IF(SER_hh_fech_in!M10=0,0,SER_hh_fech_in!M10/SER_summary!M$27)</f>
        <v>168.99582276296547</v>
      </c>
      <c r="N10" s="132">
        <f>IF(SER_hh_fech_in!N10=0,0,SER_hh_fech_in!N10/SER_summary!N$27)</f>
        <v>207.35006590929942</v>
      </c>
      <c r="O10" s="132">
        <f>IF(SER_hh_fech_in!O10=0,0,SER_hh_fech_in!O10/SER_summary!O$27)</f>
        <v>112.79421519115257</v>
      </c>
      <c r="P10" s="132">
        <f>IF(SER_hh_fech_in!P10=0,0,SER_hh_fech_in!P10/SER_summary!P$27)</f>
        <v>148.58476836710184</v>
      </c>
      <c r="Q10" s="132">
        <f>IF(SER_hh_fech_in!Q10=0,0,SER_hh_fech_in!Q10/SER_summary!Q$27)</f>
        <v>133.07920637111638</v>
      </c>
      <c r="R10" s="132">
        <f>IF(SER_hh_fech_in!R10=0,0,SER_hh_fech_in!R10/SER_summary!R$27)</f>
        <v>202.75441000294828</v>
      </c>
      <c r="S10" s="132">
        <f>IF(SER_hh_fech_in!S10=0,0,SER_hh_fech_in!S10/SER_summary!S$27)</f>
        <v>188.10572751729234</v>
      </c>
      <c r="T10" s="132">
        <f>IF(SER_hh_fech_in!T10=0,0,SER_hh_fech_in!T10/SER_summary!T$27)</f>
        <v>176.07237513085528</v>
      </c>
      <c r="U10" s="132">
        <f>IF(SER_hh_fech_in!U10=0,0,SER_hh_fech_in!U10/SER_summary!U$27)</f>
        <v>95.485895323040751</v>
      </c>
      <c r="V10" s="132">
        <f>IF(SER_hh_fech_in!V10=0,0,SER_hh_fech_in!V10/SER_summary!V$27)</f>
        <v>87.184227136504731</v>
      </c>
      <c r="W10" s="132">
        <f>IF(SER_hh_fech_in!W10=0,0,SER_hh_fech_in!W10/SER_summary!W$27)</f>
        <v>0</v>
      </c>
      <c r="X10" s="132">
        <f>IF(SER_hh_fech_in!X10=0,0,SER_hh_fech_in!X10/SER_summary!X$27)</f>
        <v>0</v>
      </c>
      <c r="Y10" s="132">
        <f>IF(SER_hh_fech_in!Y10=0,0,SER_hh_fech_in!Y10/SER_summary!Y$27)</f>
        <v>52.10792650371819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0</v>
      </c>
      <c r="J11" s="132">
        <f>IF(SER_hh_fech_in!J11=0,0,SER_hh_fech_in!J11/SER_summary!J$27)</f>
        <v>0</v>
      </c>
      <c r="K11" s="132">
        <f>IF(SER_hh_fech_in!K11=0,0,SER_hh_fech_in!K11/SER_summary!K$27)</f>
        <v>0</v>
      </c>
      <c r="L11" s="132">
        <f>IF(SER_hh_fech_in!L11=0,0,SER_hh_fech_in!L11/SER_summary!L$27)</f>
        <v>0</v>
      </c>
      <c r="M11" s="132">
        <f>IF(SER_hh_fech_in!M11=0,0,SER_hh_fech_in!M11/SER_summary!M$27)</f>
        <v>0</v>
      </c>
      <c r="N11" s="132">
        <f>IF(SER_hh_fech_in!N11=0,0,SER_hh_fech_in!N11/SER_summary!N$27)</f>
        <v>0</v>
      </c>
      <c r="O11" s="132">
        <f>IF(SER_hh_fech_in!O11=0,0,SER_hh_fech_in!O11/SER_summary!O$27)</f>
        <v>0</v>
      </c>
      <c r="P11" s="132">
        <f>IF(SER_hh_fech_in!P11=0,0,SER_hh_fech_in!P11/SER_summary!P$27)</f>
        <v>0</v>
      </c>
      <c r="Q11" s="132">
        <f>IF(SER_hh_fech_in!Q11=0,0,SER_hh_fech_in!Q11/SER_summary!Q$27)</f>
        <v>0</v>
      </c>
      <c r="R11" s="132">
        <f>IF(SER_hh_fech_in!R11=0,0,SER_hh_fech_in!R11/SER_summary!R$27)</f>
        <v>0</v>
      </c>
      <c r="S11" s="132">
        <f>IF(SER_hh_fech_in!S11=0,0,SER_hh_fech_in!S11/SER_summary!S$27)</f>
        <v>0</v>
      </c>
      <c r="T11" s="132">
        <f>IF(SER_hh_fech_in!T11=0,0,SER_hh_fech_in!T11/SER_summary!T$27)</f>
        <v>0</v>
      </c>
      <c r="U11" s="132">
        <f>IF(SER_hh_fech_in!U11=0,0,SER_hh_fech_in!U11/SER_summary!U$27)</f>
        <v>0</v>
      </c>
      <c r="V11" s="132">
        <f>IF(SER_hh_fech_in!V11=0,0,SER_hh_fech_in!V11/SER_summary!V$27)</f>
        <v>0</v>
      </c>
      <c r="W11" s="132">
        <f>IF(SER_hh_fech_in!W11=0,0,SER_hh_fech_in!W11/SER_summary!W$27)</f>
        <v>0</v>
      </c>
      <c r="X11" s="132">
        <f>IF(SER_hh_fech_in!X11=0,0,SER_hh_fech_in!X11/SER_summary!X$27)</f>
        <v>0</v>
      </c>
      <c r="Y11" s="132">
        <f>IF(SER_hh_fech_in!Y11=0,0,SER_hh_fech_in!Y11/SER_summary!Y$27)</f>
        <v>0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204.74827285455535</v>
      </c>
      <c r="D12" s="132">
        <f>IF(SER_hh_fech_in!D12=0,0,SER_hh_fech_in!D12/SER_summary!D$27)</f>
        <v>198.78345960030967</v>
      </c>
      <c r="E12" s="132">
        <f>IF(SER_hh_fech_in!E12=0,0,SER_hh_fech_in!E12/SER_summary!E$27)</f>
        <v>192.06976637658565</v>
      </c>
      <c r="F12" s="132">
        <f>IF(SER_hh_fech_in!F12=0,0,SER_hh_fech_in!F12/SER_summary!F$27)</f>
        <v>173.28730502572679</v>
      </c>
      <c r="G12" s="132">
        <f>IF(SER_hh_fech_in!G12=0,0,SER_hh_fech_in!G12/SER_summary!G$27)</f>
        <v>164.36249219160874</v>
      </c>
      <c r="H12" s="132">
        <f>IF(SER_hh_fech_in!H12=0,0,SER_hh_fech_in!H12/SER_summary!H$27)</f>
        <v>155.19739576391314</v>
      </c>
      <c r="I12" s="132">
        <f>IF(SER_hh_fech_in!I12=0,0,SER_hh_fech_in!I12/SER_summary!I$27)</f>
        <v>142.6215053089079</v>
      </c>
      <c r="J12" s="132">
        <f>IF(SER_hh_fech_in!J12=0,0,SER_hh_fech_in!J12/SER_summary!J$27)</f>
        <v>139.10576258855181</v>
      </c>
      <c r="K12" s="132">
        <f>IF(SER_hh_fech_in!K12=0,0,SER_hh_fech_in!K12/SER_summary!K$27)</f>
        <v>136.30016541003084</v>
      </c>
      <c r="L12" s="132">
        <f>IF(SER_hh_fech_in!L12=0,0,SER_hh_fech_in!L12/SER_summary!L$27)</f>
        <v>143.74404412556041</v>
      </c>
      <c r="M12" s="132">
        <f>IF(SER_hh_fech_in!M12=0,0,SER_hh_fech_in!M12/SER_summary!M$27)</f>
        <v>112.72087074137222</v>
      </c>
      <c r="N12" s="132">
        <f>IF(SER_hh_fech_in!N12=0,0,SER_hh_fech_in!N12/SER_summary!N$27)</f>
        <v>117.60474954113688</v>
      </c>
      <c r="O12" s="132">
        <f>IF(SER_hh_fech_in!O12=0,0,SER_hh_fech_in!O12/SER_summary!O$27)</f>
        <v>111.08330650717227</v>
      </c>
      <c r="P12" s="132">
        <f>IF(SER_hh_fech_in!P12=0,0,SER_hh_fech_in!P12/SER_summary!P$27)</f>
        <v>100.48547783516072</v>
      </c>
      <c r="Q12" s="132">
        <f>IF(SER_hh_fech_in!Q12=0,0,SER_hh_fech_in!Q12/SER_summary!Q$27)</f>
        <v>92.782820235918891</v>
      </c>
      <c r="R12" s="132">
        <f>IF(SER_hh_fech_in!R12=0,0,SER_hh_fech_in!R12/SER_summary!R$27)</f>
        <v>93.610739523773532</v>
      </c>
      <c r="S12" s="132">
        <f>IF(SER_hh_fech_in!S12=0,0,SER_hh_fech_in!S12/SER_summary!S$27)</f>
        <v>81.206018502184349</v>
      </c>
      <c r="T12" s="132">
        <f>IF(SER_hh_fech_in!T12=0,0,SER_hh_fech_in!T12/SER_summary!T$27)</f>
        <v>77.706955645160704</v>
      </c>
      <c r="U12" s="132">
        <f>IF(SER_hh_fech_in!U12=0,0,SER_hh_fech_in!U12/SER_summary!U$27)</f>
        <v>69.03735388433283</v>
      </c>
      <c r="V12" s="132">
        <f>IF(SER_hh_fech_in!V12=0,0,SER_hh_fech_in!V12/SER_summary!V$27)</f>
        <v>55.290948188693363</v>
      </c>
      <c r="W12" s="132">
        <f>IF(SER_hh_fech_in!W12=0,0,SER_hh_fech_in!W12/SER_summary!W$27)</f>
        <v>50.712870973453668</v>
      </c>
      <c r="X12" s="132">
        <f>IF(SER_hh_fech_in!X12=0,0,SER_hh_fech_in!X12/SER_summary!X$27)</f>
        <v>31.17620458947011</v>
      </c>
      <c r="Y12" s="132">
        <f>IF(SER_hh_fech_in!Y12=0,0,SER_hh_fech_in!Y12/SER_summary!Y$27)</f>
        <v>33.193485804447015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103.97385429959833</v>
      </c>
      <c r="D13" s="132">
        <f>IF(SER_hh_fech_in!D13=0,0,SER_hh_fech_in!D13/SER_summary!D$27)</f>
        <v>93.085568207947219</v>
      </c>
      <c r="E13" s="132">
        <f>IF(SER_hh_fech_in!E13=0,0,SER_hh_fech_in!E13/SER_summary!E$27)</f>
        <v>77.832162398282009</v>
      </c>
      <c r="F13" s="132">
        <f>IF(SER_hh_fech_in!F13=0,0,SER_hh_fech_in!F13/SER_summary!F$27)</f>
        <v>74.946867657463244</v>
      </c>
      <c r="G13" s="132">
        <f>IF(SER_hh_fech_in!G13=0,0,SER_hh_fech_in!G13/SER_summary!G$27)</f>
        <v>59.095065838263046</v>
      </c>
      <c r="H13" s="132">
        <f>IF(SER_hh_fech_in!H13=0,0,SER_hh_fech_in!H13/SER_summary!H$27)</f>
        <v>59.623405521340608</v>
      </c>
      <c r="I13" s="132">
        <f>IF(SER_hh_fech_in!I13=0,0,SER_hh_fech_in!I13/SER_summary!I$27)</f>
        <v>58.651173905318963</v>
      </c>
      <c r="J13" s="132">
        <f>IF(SER_hh_fech_in!J13=0,0,SER_hh_fech_in!J13/SER_summary!J$27)</f>
        <v>51.752279570570025</v>
      </c>
      <c r="K13" s="132">
        <f>IF(SER_hh_fech_in!K13=0,0,SER_hh_fech_in!K13/SER_summary!K$27)</f>
        <v>46.164178484699974</v>
      </c>
      <c r="L13" s="132">
        <f>IF(SER_hh_fech_in!L13=0,0,SER_hh_fech_in!L13/SER_summary!L$27)</f>
        <v>42.055013197000427</v>
      </c>
      <c r="M13" s="132">
        <f>IF(SER_hh_fech_in!M13=0,0,SER_hh_fech_in!M13/SER_summary!M$27)</f>
        <v>37.131674437299317</v>
      </c>
      <c r="N13" s="132">
        <f>IF(SER_hh_fech_in!N13=0,0,SER_hh_fech_in!N13/SER_summary!N$27)</f>
        <v>33.746201520554393</v>
      </c>
      <c r="O13" s="132">
        <f>IF(SER_hh_fech_in!O13=0,0,SER_hh_fech_in!O13/SER_summary!O$27)</f>
        <v>29.982023123858145</v>
      </c>
      <c r="P13" s="132">
        <f>IF(SER_hh_fech_in!P13=0,0,SER_hh_fech_in!P13/SER_summary!P$27)</f>
        <v>25.888383401918205</v>
      </c>
      <c r="Q13" s="132">
        <f>IF(SER_hh_fech_in!Q13=0,0,SER_hh_fech_in!Q13/SER_summary!Q$27)</f>
        <v>22.704575755011778</v>
      </c>
      <c r="R13" s="132">
        <f>IF(SER_hh_fech_in!R13=0,0,SER_hh_fech_in!R13/SER_summary!R$27)</f>
        <v>22.675097787901603</v>
      </c>
      <c r="S13" s="132">
        <f>IF(SER_hh_fech_in!S13=0,0,SER_hh_fech_in!S13/SER_summary!S$27)</f>
        <v>19.387022499257288</v>
      </c>
      <c r="T13" s="132">
        <f>IF(SER_hh_fech_in!T13=0,0,SER_hh_fech_in!T13/SER_summary!T$27)</f>
        <v>17.631358100541942</v>
      </c>
      <c r="U13" s="132">
        <f>IF(SER_hh_fech_in!U13=0,0,SER_hh_fech_in!U13/SER_summary!U$27)</f>
        <v>15.243698422054997</v>
      </c>
      <c r="V13" s="132">
        <f>IF(SER_hh_fech_in!V13=0,0,SER_hh_fech_in!V13/SER_summary!V$27)</f>
        <v>14.118799402383505</v>
      </c>
      <c r="W13" s="132">
        <f>IF(SER_hh_fech_in!W13=0,0,SER_hh_fech_in!W13/SER_summary!W$27)</f>
        <v>10.998199927025308</v>
      </c>
      <c r="X13" s="132">
        <f>IF(SER_hh_fech_in!X13=0,0,SER_hh_fech_in!X13/SER_summary!X$27)</f>
        <v>7.3542334907487401</v>
      </c>
      <c r="Y13" s="132">
        <f>IF(SER_hh_fech_in!Y13=0,0,SER_hh_fech_in!Y13/SER_summary!Y$27)</f>
        <v>7.255668227335379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233.98796914671607</v>
      </c>
      <c r="D14" s="65">
        <f>IF(SER_hh_fech_in!D14=0,0,SER_hh_fech_in!D14/SER_summary!D$27)</f>
        <v>224.96861407378347</v>
      </c>
      <c r="E14" s="65">
        <f>IF(SER_hh_fech_in!E14=0,0,SER_hh_fech_in!E14/SER_summary!E$27)</f>
        <v>204.86563833186329</v>
      </c>
      <c r="F14" s="65">
        <f>IF(SER_hh_fech_in!F14=0,0,SER_hh_fech_in!F14/SER_summary!F$27)</f>
        <v>197.61921607097426</v>
      </c>
      <c r="G14" s="65">
        <f>IF(SER_hh_fech_in!G14=0,0,SER_hh_fech_in!G14/SER_summary!G$27)</f>
        <v>160.30018246231541</v>
      </c>
      <c r="H14" s="65">
        <f>IF(SER_hh_fech_in!H14=0,0,SER_hh_fech_in!H14/SER_summary!H$27)</f>
        <v>165.45233884994127</v>
      </c>
      <c r="I14" s="65">
        <f>IF(SER_hh_fech_in!I14=0,0,SER_hh_fech_in!I14/SER_summary!I$27)</f>
        <v>173.40241901791137</v>
      </c>
      <c r="J14" s="65">
        <f>IF(SER_hh_fech_in!J14=0,0,SER_hh_fech_in!J14/SER_summary!J$27)</f>
        <v>162.33786526211134</v>
      </c>
      <c r="K14" s="65">
        <f>IF(SER_hh_fech_in!K14=0,0,SER_hh_fech_in!K14/SER_summary!K$27)</f>
        <v>138.04112757959726</v>
      </c>
      <c r="L14" s="65">
        <f>IF(SER_hh_fech_in!L14=0,0,SER_hh_fech_in!L14/SER_summary!L$27)</f>
        <v>152.69557875103695</v>
      </c>
      <c r="M14" s="65">
        <f>IF(SER_hh_fech_in!M14=0,0,SER_hh_fech_in!M14/SER_summary!M$27)</f>
        <v>114.8566215465966</v>
      </c>
      <c r="N14" s="65">
        <f>IF(SER_hh_fech_in!N14=0,0,SER_hh_fech_in!N14/SER_summary!N$27)</f>
        <v>123.24352387152317</v>
      </c>
      <c r="O14" s="65">
        <f>IF(SER_hh_fech_in!O14=0,0,SER_hh_fech_in!O14/SER_summary!O$27)</f>
        <v>109.36858678979524</v>
      </c>
      <c r="P14" s="65">
        <f>IF(SER_hh_fech_in!P14=0,0,SER_hh_fech_in!P14/SER_summary!P$27)</f>
        <v>106.36392358803208</v>
      </c>
      <c r="Q14" s="65">
        <f>IF(SER_hh_fech_in!Q14=0,0,SER_hh_fech_in!Q14/SER_summary!Q$27)</f>
        <v>108.81362490440432</v>
      </c>
      <c r="R14" s="65">
        <f>IF(SER_hh_fech_in!R14=0,0,SER_hh_fech_in!R14/SER_summary!R$27)</f>
        <v>107.72098346915389</v>
      </c>
      <c r="S14" s="65">
        <f>IF(SER_hh_fech_in!S14=0,0,SER_hh_fech_in!S14/SER_summary!S$27)</f>
        <v>82.482682626821031</v>
      </c>
      <c r="T14" s="65">
        <f>IF(SER_hh_fech_in!T14=0,0,SER_hh_fech_in!T14/SER_summary!T$27)</f>
        <v>78.749343121322312</v>
      </c>
      <c r="U14" s="65">
        <f>IF(SER_hh_fech_in!U14=0,0,SER_hh_fech_in!U14/SER_summary!U$27)</f>
        <v>63.220375620685253</v>
      </c>
      <c r="V14" s="65">
        <f>IF(SER_hh_fech_in!V14=0,0,SER_hh_fech_in!V14/SER_summary!V$27)</f>
        <v>57.107904199913641</v>
      </c>
      <c r="W14" s="65">
        <f>IF(SER_hh_fech_in!W14=0,0,SER_hh_fech_in!W14/SER_summary!W$27)</f>
        <v>45.574767163138922</v>
      </c>
      <c r="X14" s="65">
        <f>IF(SER_hh_fech_in!X14=0,0,SER_hh_fech_in!X14/SER_summary!X$27)</f>
        <v>32.841304857812993</v>
      </c>
      <c r="Y14" s="65">
        <f>IF(SER_hh_fech_in!Y14=0,0,SER_hh_fech_in!Y14/SER_summary!Y$27)</f>
        <v>30.489572037632843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1.2445032002517329</v>
      </c>
      <c r="D15" s="134">
        <f>IF(SER_hh_fech_in!D15=0,0,SER_hh_fech_in!D15/SER_summary!D$27)</f>
        <v>1.4246628720546584</v>
      </c>
      <c r="E15" s="134">
        <f>IF(SER_hh_fech_in!E15=0,0,SER_hh_fech_in!E15/SER_summary!E$27)</f>
        <v>1.0629788261693633</v>
      </c>
      <c r="F15" s="134">
        <f>IF(SER_hh_fech_in!F15=0,0,SER_hh_fech_in!F15/SER_summary!F$27)</f>
        <v>0.81086621904321154</v>
      </c>
      <c r="G15" s="134">
        <f>IF(SER_hh_fech_in!G15=0,0,SER_hh_fech_in!G15/SER_summary!G$27)</f>
        <v>0.71022541695570962</v>
      </c>
      <c r="H15" s="134">
        <f>IF(SER_hh_fech_in!H15=0,0,SER_hh_fech_in!H15/SER_summary!H$27)</f>
        <v>0.63304491466615931</v>
      </c>
      <c r="I15" s="134">
        <f>IF(SER_hh_fech_in!I15=0,0,SER_hh_fech_in!I15/SER_summary!I$27)</f>
        <v>0.51700119360710894</v>
      </c>
      <c r="J15" s="134">
        <f>IF(SER_hh_fech_in!J15=0,0,SER_hh_fech_in!J15/SER_summary!J$27)</f>
        <v>0.50216792722304326</v>
      </c>
      <c r="K15" s="134">
        <f>IF(SER_hh_fech_in!K15=0,0,SER_hh_fech_in!K15/SER_summary!K$27)</f>
        <v>0.56836964974084436</v>
      </c>
      <c r="L15" s="134">
        <f>IF(SER_hh_fech_in!L15=0,0,SER_hh_fech_in!L15/SER_summary!L$27)</f>
        <v>0.82599161552433853</v>
      </c>
      <c r="M15" s="134">
        <f>IF(SER_hh_fech_in!M15=0,0,SER_hh_fech_in!M15/SER_summary!M$27)</f>
        <v>0.76881523851247036</v>
      </c>
      <c r="N15" s="134">
        <f>IF(SER_hh_fech_in!N15=0,0,SER_hh_fech_in!N15/SER_summary!N$27)</f>
        <v>0.77956599970250229</v>
      </c>
      <c r="O15" s="134">
        <f>IF(SER_hh_fech_in!O15=0,0,SER_hh_fech_in!O15/SER_summary!O$27)</f>
        <v>0.61604814079594694</v>
      </c>
      <c r="P15" s="134">
        <f>IF(SER_hh_fech_in!P15=0,0,SER_hh_fech_in!P15/SER_summary!P$27)</f>
        <v>0.40371267553082646</v>
      </c>
      <c r="Q15" s="134">
        <f>IF(SER_hh_fech_in!Q15=0,0,SER_hh_fech_in!Q15/SER_summary!Q$27)</f>
        <v>0.34387406708617901</v>
      </c>
      <c r="R15" s="134">
        <f>IF(SER_hh_fech_in!R15=0,0,SER_hh_fech_in!R15/SER_summary!R$27)</f>
        <v>0.40402203852678037</v>
      </c>
      <c r="S15" s="134">
        <f>IF(SER_hh_fech_in!S15=0,0,SER_hh_fech_in!S15/SER_summary!S$27)</f>
        <v>0.42429152147190918</v>
      </c>
      <c r="T15" s="134">
        <f>IF(SER_hh_fech_in!T15=0,0,SER_hh_fech_in!T15/SER_summary!T$27)</f>
        <v>0.40662626758032222</v>
      </c>
      <c r="U15" s="134">
        <f>IF(SER_hh_fech_in!U15=0,0,SER_hh_fech_in!U15/SER_summary!U$27)</f>
        <v>0.37548719383533857</v>
      </c>
      <c r="V15" s="134">
        <f>IF(SER_hh_fech_in!V15=0,0,SER_hh_fech_in!V15/SER_summary!V$27)</f>
        <v>0.25703267942847891</v>
      </c>
      <c r="W15" s="134">
        <f>IF(SER_hh_fech_in!W15=0,0,SER_hh_fech_in!W15/SER_summary!W$27)</f>
        <v>0.19646199090186345</v>
      </c>
      <c r="X15" s="134">
        <f>IF(SER_hh_fech_in!X15=0,0,SER_hh_fech_in!X15/SER_summary!X$27)</f>
        <v>0.10706976072641577</v>
      </c>
      <c r="Y15" s="134">
        <f>IF(SER_hh_fech_in!Y15=0,0,SER_hh_fech_in!Y15/SER_summary!Y$27)</f>
        <v>0.1140246375712524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10.003911684635881</v>
      </c>
      <c r="D16" s="130">
        <f>IF(SER_hh_fech_in!D16=0,0,SER_hh_fech_in!D16/SER_summary!D$27)</f>
        <v>9.5029263145453768</v>
      </c>
      <c r="E16" s="130">
        <f>IF(SER_hh_fech_in!E16=0,0,SER_hh_fech_in!E16/SER_summary!E$27)</f>
        <v>9.0377329725474205</v>
      </c>
      <c r="F16" s="130">
        <f>IF(SER_hh_fech_in!F16=0,0,SER_hh_fech_in!F16/SER_summary!F$27)</f>
        <v>8.6047866810505944</v>
      </c>
      <c r="G16" s="130">
        <f>IF(SER_hh_fech_in!G16=0,0,SER_hh_fech_in!G16/SER_summary!G$27)</f>
        <v>8.1958647041862509</v>
      </c>
      <c r="H16" s="130">
        <f>IF(SER_hh_fech_in!H16=0,0,SER_hh_fech_in!H16/SER_summary!H$27)</f>
        <v>7.8125804679497364</v>
      </c>
      <c r="I16" s="130">
        <f>IF(SER_hh_fech_in!I16=0,0,SER_hh_fech_in!I16/SER_summary!I$27)</f>
        <v>7.4452736992812021</v>
      </c>
      <c r="J16" s="130">
        <f>IF(SER_hh_fech_in!J16=0,0,SER_hh_fech_in!J16/SER_summary!J$27)</f>
        <v>7.1425096526472105</v>
      </c>
      <c r="K16" s="130">
        <f>IF(SER_hh_fech_in!K16=0,0,SER_hh_fech_in!K16/SER_summary!K$27)</f>
        <v>6.7823823316022605</v>
      </c>
      <c r="L16" s="130">
        <f>IF(SER_hh_fech_in!L16=0,0,SER_hh_fech_in!L16/SER_summary!L$27)</f>
        <v>6.537453682501857</v>
      </c>
      <c r="M16" s="130">
        <f>IF(SER_hh_fech_in!M16=0,0,SER_hh_fech_in!M16/SER_summary!M$27)</f>
        <v>6.07045692327062</v>
      </c>
      <c r="N16" s="130">
        <f>IF(SER_hh_fech_in!N16=0,0,SER_hh_fech_in!N16/SER_summary!N$27)</f>
        <v>5.6827442943448672</v>
      </c>
      <c r="O16" s="130">
        <f>IF(SER_hh_fech_in!O16=0,0,SER_hh_fech_in!O16/SER_summary!O$27)</f>
        <v>5.3067069031102134</v>
      </c>
      <c r="P16" s="130">
        <f>IF(SER_hh_fech_in!P16=0,0,SER_hh_fech_in!P16/SER_summary!P$27)</f>
        <v>5.0056341259090491</v>
      </c>
      <c r="Q16" s="130">
        <f>IF(SER_hh_fech_in!Q16=0,0,SER_hh_fech_in!Q16/SER_summary!Q$27)</f>
        <v>4.6525396126125713</v>
      </c>
      <c r="R16" s="130">
        <f>IF(SER_hh_fech_in!R16=0,0,SER_hh_fech_in!R16/SER_summary!R$27)</f>
        <v>4.4012121041079713</v>
      </c>
      <c r="S16" s="130">
        <f>IF(SER_hh_fech_in!S16=0,0,SER_hh_fech_in!S16/SER_summary!S$27)</f>
        <v>4.2043536043073333</v>
      </c>
      <c r="T16" s="130">
        <f>IF(SER_hh_fech_in!T16=0,0,SER_hh_fech_in!T16/SER_summary!T$27)</f>
        <v>4.0557050551491969</v>
      </c>
      <c r="U16" s="130">
        <f>IF(SER_hh_fech_in!U16=0,0,SER_hh_fech_in!U16/SER_summary!U$27)</f>
        <v>3.8244556875558495</v>
      </c>
      <c r="V16" s="130">
        <f>IF(SER_hh_fech_in!V16=0,0,SER_hh_fech_in!V16/SER_summary!V$27)</f>
        <v>3.5170941165151071</v>
      </c>
      <c r="W16" s="130">
        <f>IF(SER_hh_fech_in!W16=0,0,SER_hh_fech_in!W16/SER_summary!W$27)</f>
        <v>3.1114902745484079</v>
      </c>
      <c r="X16" s="130">
        <f>IF(SER_hh_fech_in!X16=0,0,SER_hh_fech_in!X16/SER_summary!X$27)</f>
        <v>2.5507618243825583</v>
      </c>
      <c r="Y16" s="130">
        <f>IF(SER_hh_fech_in!Y16=0,0,SER_hh_fech_in!Y16/SER_summary!Y$27)</f>
        <v>2.6500635010862545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0</v>
      </c>
      <c r="D17" s="132">
        <f>IF(SER_hh_fech_in!D17=0,0,SER_hh_fech_in!D17/SER_summary!D$27)</f>
        <v>0</v>
      </c>
      <c r="E17" s="132">
        <f>IF(SER_hh_fech_in!E17=0,0,SER_hh_fech_in!E17/SER_summary!E$27)</f>
        <v>0</v>
      </c>
      <c r="F17" s="132">
        <f>IF(SER_hh_fech_in!F17=0,0,SER_hh_fech_in!F17/SER_summary!F$27)</f>
        <v>0</v>
      </c>
      <c r="G17" s="132">
        <f>IF(SER_hh_fech_in!G17=0,0,SER_hh_fech_in!G17/SER_summary!G$27)</f>
        <v>0</v>
      </c>
      <c r="H17" s="132">
        <f>IF(SER_hh_fech_in!H17=0,0,SER_hh_fech_in!H17/SER_summary!H$27)</f>
        <v>0</v>
      </c>
      <c r="I17" s="132">
        <f>IF(SER_hh_fech_in!I17=0,0,SER_hh_fech_in!I17/SER_summary!I$27)</f>
        <v>0</v>
      </c>
      <c r="J17" s="132">
        <f>IF(SER_hh_fech_in!J17=0,0,SER_hh_fech_in!J17/SER_summary!J$27)</f>
        <v>0</v>
      </c>
      <c r="K17" s="132">
        <f>IF(SER_hh_fech_in!K17=0,0,SER_hh_fech_in!K17/SER_summary!K$27)</f>
        <v>0</v>
      </c>
      <c r="L17" s="132">
        <f>IF(SER_hh_fech_in!L17=0,0,SER_hh_fech_in!L17/SER_summary!L$27)</f>
        <v>0</v>
      </c>
      <c r="M17" s="132">
        <f>IF(SER_hh_fech_in!M17=0,0,SER_hh_fech_in!M17/SER_summary!M$27)</f>
        <v>0</v>
      </c>
      <c r="N17" s="132">
        <f>IF(SER_hh_fech_in!N17=0,0,SER_hh_fech_in!N17/SER_summary!N$27)</f>
        <v>0</v>
      </c>
      <c r="O17" s="132">
        <f>IF(SER_hh_fech_in!O17=0,0,SER_hh_fech_in!O17/SER_summary!O$27)</f>
        <v>0</v>
      </c>
      <c r="P17" s="132">
        <f>IF(SER_hh_fech_in!P17=0,0,SER_hh_fech_in!P17/SER_summary!P$27)</f>
        <v>0</v>
      </c>
      <c r="Q17" s="132">
        <f>IF(SER_hh_fech_in!Q17=0,0,SER_hh_fech_in!Q17/SER_summary!Q$27)</f>
        <v>0</v>
      </c>
      <c r="R17" s="132">
        <f>IF(SER_hh_fech_in!R17=0,0,SER_hh_fech_in!R17/SER_summary!R$27)</f>
        <v>0</v>
      </c>
      <c r="S17" s="132">
        <f>IF(SER_hh_fech_in!S17=0,0,SER_hh_fech_in!S17/SER_summary!S$27)</f>
        <v>0</v>
      </c>
      <c r="T17" s="132">
        <f>IF(SER_hh_fech_in!T17=0,0,SER_hh_fech_in!T17/SER_summary!T$27)</f>
        <v>0</v>
      </c>
      <c r="U17" s="132">
        <f>IF(SER_hh_fech_in!U17=0,0,SER_hh_fech_in!U17/SER_summary!U$27)</f>
        <v>0</v>
      </c>
      <c r="V17" s="132">
        <f>IF(SER_hh_fech_in!V17=0,0,SER_hh_fech_in!V17/SER_summary!V$27)</f>
        <v>0</v>
      </c>
      <c r="W17" s="132">
        <f>IF(SER_hh_fech_in!W17=0,0,SER_hh_fech_in!W17/SER_summary!W$27)</f>
        <v>0</v>
      </c>
      <c r="X17" s="132">
        <f>IF(SER_hh_fech_in!X17=0,0,SER_hh_fech_in!X17/SER_summary!X$27)</f>
        <v>0</v>
      </c>
      <c r="Y17" s="132">
        <f>IF(SER_hh_fech_in!Y17=0,0,SER_hh_fech_in!Y17/SER_summary!Y$27)</f>
        <v>0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10.003911684635881</v>
      </c>
      <c r="D18" s="132">
        <f>IF(SER_hh_fech_in!D18=0,0,SER_hh_fech_in!D18/SER_summary!D$27)</f>
        <v>9.5029263145453768</v>
      </c>
      <c r="E18" s="132">
        <f>IF(SER_hh_fech_in!E18=0,0,SER_hh_fech_in!E18/SER_summary!E$27)</f>
        <v>9.0377329725474205</v>
      </c>
      <c r="F18" s="132">
        <f>IF(SER_hh_fech_in!F18=0,0,SER_hh_fech_in!F18/SER_summary!F$27)</f>
        <v>8.6047866810505944</v>
      </c>
      <c r="G18" s="132">
        <f>IF(SER_hh_fech_in!G18=0,0,SER_hh_fech_in!G18/SER_summary!G$27)</f>
        <v>8.1958647041862509</v>
      </c>
      <c r="H18" s="132">
        <f>IF(SER_hh_fech_in!H18=0,0,SER_hh_fech_in!H18/SER_summary!H$27)</f>
        <v>7.8125804679497364</v>
      </c>
      <c r="I18" s="132">
        <f>IF(SER_hh_fech_in!I18=0,0,SER_hh_fech_in!I18/SER_summary!I$27)</f>
        <v>7.4452736992812021</v>
      </c>
      <c r="J18" s="132">
        <f>IF(SER_hh_fech_in!J18=0,0,SER_hh_fech_in!J18/SER_summary!J$27)</f>
        <v>7.1425096526472105</v>
      </c>
      <c r="K18" s="132">
        <f>IF(SER_hh_fech_in!K18=0,0,SER_hh_fech_in!K18/SER_summary!K$27)</f>
        <v>6.7823823316022605</v>
      </c>
      <c r="L18" s="132">
        <f>IF(SER_hh_fech_in!L18=0,0,SER_hh_fech_in!L18/SER_summary!L$27)</f>
        <v>6.537453682501857</v>
      </c>
      <c r="M18" s="132">
        <f>IF(SER_hh_fech_in!M18=0,0,SER_hh_fech_in!M18/SER_summary!M$27)</f>
        <v>6.07045692327062</v>
      </c>
      <c r="N18" s="132">
        <f>IF(SER_hh_fech_in!N18=0,0,SER_hh_fech_in!N18/SER_summary!N$27)</f>
        <v>5.6827442943448672</v>
      </c>
      <c r="O18" s="132">
        <f>IF(SER_hh_fech_in!O18=0,0,SER_hh_fech_in!O18/SER_summary!O$27)</f>
        <v>5.3067069031102134</v>
      </c>
      <c r="P18" s="132">
        <f>IF(SER_hh_fech_in!P18=0,0,SER_hh_fech_in!P18/SER_summary!P$27)</f>
        <v>5.0056341259090491</v>
      </c>
      <c r="Q18" s="132">
        <f>IF(SER_hh_fech_in!Q18=0,0,SER_hh_fech_in!Q18/SER_summary!Q$27)</f>
        <v>4.6525396126125713</v>
      </c>
      <c r="R18" s="132">
        <f>IF(SER_hh_fech_in!R18=0,0,SER_hh_fech_in!R18/SER_summary!R$27)</f>
        <v>4.4012121041079713</v>
      </c>
      <c r="S18" s="132">
        <f>IF(SER_hh_fech_in!S18=0,0,SER_hh_fech_in!S18/SER_summary!S$27)</f>
        <v>4.2043536043073333</v>
      </c>
      <c r="T18" s="132">
        <f>IF(SER_hh_fech_in!T18=0,0,SER_hh_fech_in!T18/SER_summary!T$27)</f>
        <v>4.0557050551491969</v>
      </c>
      <c r="U18" s="132">
        <f>IF(SER_hh_fech_in!U18=0,0,SER_hh_fech_in!U18/SER_summary!U$27)</f>
        <v>3.8244556875558495</v>
      </c>
      <c r="V18" s="132">
        <f>IF(SER_hh_fech_in!V18=0,0,SER_hh_fech_in!V18/SER_summary!V$27)</f>
        <v>3.5170941165151071</v>
      </c>
      <c r="W18" s="132">
        <f>IF(SER_hh_fech_in!W18=0,0,SER_hh_fech_in!W18/SER_summary!W$27)</f>
        <v>3.1114902745484079</v>
      </c>
      <c r="X18" s="132">
        <f>IF(SER_hh_fech_in!X18=0,0,SER_hh_fech_in!X18/SER_summary!X$27)</f>
        <v>2.5507618243825583</v>
      </c>
      <c r="Y18" s="132">
        <f>IF(SER_hh_fech_in!Y18=0,0,SER_hh_fech_in!Y18/SER_summary!Y$27)</f>
        <v>2.6500635010862545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28.074345081958704</v>
      </c>
      <c r="D19" s="130">
        <f>IF(SER_hh_fech_in!D19=0,0,SER_hh_fech_in!D19/SER_summary!D$27)</f>
        <v>27.389405472184759</v>
      </c>
      <c r="E19" s="130">
        <f>IF(SER_hh_fech_in!E19=0,0,SER_hh_fech_in!E19/SER_summary!E$27)</f>
        <v>26.264207144546429</v>
      </c>
      <c r="F19" s="130">
        <f>IF(SER_hh_fech_in!F19=0,0,SER_hh_fech_in!F19/SER_summary!F$27)</f>
        <v>25.412299489112616</v>
      </c>
      <c r="G19" s="130">
        <f>IF(SER_hh_fech_in!G19=0,0,SER_hh_fech_in!G19/SER_summary!G$27)</f>
        <v>26.331907971461767</v>
      </c>
      <c r="H19" s="130">
        <f>IF(SER_hh_fech_in!H19=0,0,SER_hh_fech_in!H19/SER_summary!H$27)</f>
        <v>25.467246551580512</v>
      </c>
      <c r="I19" s="130">
        <f>IF(SER_hh_fech_in!I19=0,0,SER_hh_fech_in!I19/SER_summary!I$27)</f>
        <v>26.061956577002434</v>
      </c>
      <c r="J19" s="130">
        <f>IF(SER_hh_fech_in!J19=0,0,SER_hh_fech_in!J19/SER_summary!J$27)</f>
        <v>25.97768873012425</v>
      </c>
      <c r="K19" s="130">
        <f>IF(SER_hh_fech_in!K19=0,0,SER_hh_fech_in!K19/SER_summary!K$27)</f>
        <v>26.651468463947946</v>
      </c>
      <c r="L19" s="130">
        <f>IF(SER_hh_fech_in!L19=0,0,SER_hh_fech_in!L19/SER_summary!L$27)</f>
        <v>25.80799303979088</v>
      </c>
      <c r="M19" s="130">
        <f>IF(SER_hh_fech_in!M19=0,0,SER_hh_fech_in!M19/SER_summary!M$27)</f>
        <v>25.73640814292169</v>
      </c>
      <c r="N19" s="130">
        <f>IF(SER_hh_fech_in!N19=0,0,SER_hh_fech_in!N19/SER_summary!N$27)</f>
        <v>26.733973187559197</v>
      </c>
      <c r="O19" s="130">
        <f>IF(SER_hh_fech_in!O19=0,0,SER_hh_fech_in!O19/SER_summary!O$27)</f>
        <v>25.742227603167102</v>
      </c>
      <c r="P19" s="130">
        <f>IF(SER_hh_fech_in!P19=0,0,SER_hh_fech_in!P19/SER_summary!P$27)</f>
        <v>23.815990110160037</v>
      </c>
      <c r="Q19" s="130">
        <f>IF(SER_hh_fech_in!Q19=0,0,SER_hh_fech_in!Q19/SER_summary!Q$27)</f>
        <v>23.524733624121012</v>
      </c>
      <c r="R19" s="130">
        <f>IF(SER_hh_fech_in!R19=0,0,SER_hh_fech_in!R19/SER_summary!R$27)</f>
        <v>22.715923404735019</v>
      </c>
      <c r="S19" s="130">
        <f>IF(SER_hh_fech_in!S19=0,0,SER_hh_fech_in!S19/SER_summary!S$27)</f>
        <v>22.213852591787663</v>
      </c>
      <c r="T19" s="130">
        <f>IF(SER_hh_fech_in!T19=0,0,SER_hh_fech_in!T19/SER_summary!T$27)</f>
        <v>21.394277770703578</v>
      </c>
      <c r="U19" s="130">
        <f>IF(SER_hh_fech_in!U19=0,0,SER_hh_fech_in!U19/SER_summary!U$27)</f>
        <v>20.996906967612844</v>
      </c>
      <c r="V19" s="130">
        <f>IF(SER_hh_fech_in!V19=0,0,SER_hh_fech_in!V19/SER_summary!V$27)</f>
        <v>20.940196487006482</v>
      </c>
      <c r="W19" s="130">
        <f>IF(SER_hh_fech_in!W19=0,0,SER_hh_fech_in!W19/SER_summary!W$27)</f>
        <v>20.552830247266826</v>
      </c>
      <c r="X19" s="130">
        <f>IF(SER_hh_fech_in!X19=0,0,SER_hh_fech_in!X19/SER_summary!X$27)</f>
        <v>19.399619919270499</v>
      </c>
      <c r="Y19" s="130">
        <f>IF(SER_hh_fech_in!Y19=0,0,SER_hh_fech_in!Y19/SER_summary!Y$27)</f>
        <v>19.086426101727657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0</v>
      </c>
      <c r="D21" s="132">
        <f>IF(SER_hh_fech_in!D21=0,0,SER_hh_fech_in!D21/SER_summary!D$27)</f>
        <v>0</v>
      </c>
      <c r="E21" s="132">
        <f>IF(SER_hh_fech_in!E21=0,0,SER_hh_fech_in!E21/SER_summary!E$27)</f>
        <v>0</v>
      </c>
      <c r="F21" s="132">
        <f>IF(SER_hh_fech_in!F21=0,0,SER_hh_fech_in!F21/SER_summary!F$27)</f>
        <v>0</v>
      </c>
      <c r="G21" s="132">
        <f>IF(SER_hh_fech_in!G21=0,0,SER_hh_fech_in!G21/SER_summary!G$27)</f>
        <v>0</v>
      </c>
      <c r="H21" s="132">
        <f>IF(SER_hh_fech_in!H21=0,0,SER_hh_fech_in!H21/SER_summary!H$27)</f>
        <v>0</v>
      </c>
      <c r="I21" s="132">
        <f>IF(SER_hh_fech_in!I21=0,0,SER_hh_fech_in!I21/SER_summary!I$27)</f>
        <v>0</v>
      </c>
      <c r="J21" s="132">
        <f>IF(SER_hh_fech_in!J21=0,0,SER_hh_fech_in!J21/SER_summary!J$27)</f>
        <v>0</v>
      </c>
      <c r="K21" s="132">
        <f>IF(SER_hh_fech_in!K21=0,0,SER_hh_fech_in!K21/SER_summary!K$27)</f>
        <v>0</v>
      </c>
      <c r="L21" s="132">
        <f>IF(SER_hh_fech_in!L21=0,0,SER_hh_fech_in!L21/SER_summary!L$27)</f>
        <v>0</v>
      </c>
      <c r="M21" s="132">
        <f>IF(SER_hh_fech_in!M21=0,0,SER_hh_fech_in!M21/SER_summary!M$27)</f>
        <v>0</v>
      </c>
      <c r="N21" s="132">
        <f>IF(SER_hh_fech_in!N21=0,0,SER_hh_fech_in!N21/SER_summary!N$27)</f>
        <v>0</v>
      </c>
      <c r="O21" s="132">
        <f>IF(SER_hh_fech_in!O21=0,0,SER_hh_fech_in!O21/SER_summary!O$27)</f>
        <v>0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0</v>
      </c>
      <c r="S21" s="132">
        <f>IF(SER_hh_fech_in!S21=0,0,SER_hh_fech_in!S21/SER_summary!S$27)</f>
        <v>0</v>
      </c>
      <c r="T21" s="132">
        <f>IF(SER_hh_fech_in!T21=0,0,SER_hh_fech_in!T21/SER_summary!T$27)</f>
        <v>0</v>
      </c>
      <c r="U21" s="132">
        <f>IF(SER_hh_fech_in!U21=0,0,SER_hh_fech_in!U21/SER_summary!U$27)</f>
        <v>0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0</v>
      </c>
      <c r="Y21" s="132">
        <f>IF(SER_hh_fech_in!Y21=0,0,SER_hh_fech_in!Y21/SER_summary!Y$27)</f>
        <v>0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36.764140273025561</v>
      </c>
      <c r="D22" s="132">
        <f>IF(SER_hh_fech_in!D22=0,0,SER_hh_fech_in!D22/SER_summary!D$27)</f>
        <v>36.397911266663762</v>
      </c>
      <c r="E22" s="132">
        <f>IF(SER_hh_fech_in!E22=0,0,SER_hh_fech_in!E22/SER_summary!E$27)</f>
        <v>37.696082975976054</v>
      </c>
      <c r="F22" s="132">
        <f>IF(SER_hh_fech_in!F22=0,0,SER_hh_fech_in!F22/SER_summary!F$27)</f>
        <v>0</v>
      </c>
      <c r="G22" s="132">
        <f>IF(SER_hh_fech_in!G22=0,0,SER_hh_fech_in!G22/SER_summary!G$27)</f>
        <v>0</v>
      </c>
      <c r="H22" s="132">
        <f>IF(SER_hh_fech_in!H22=0,0,SER_hh_fech_in!H22/SER_summary!H$27)</f>
        <v>0</v>
      </c>
      <c r="I22" s="132">
        <f>IF(SER_hh_fech_in!I22=0,0,SER_hh_fech_in!I22/SER_summary!I$27)</f>
        <v>0</v>
      </c>
      <c r="J22" s="132">
        <f>IF(SER_hh_fech_in!J22=0,0,SER_hh_fech_in!J22/SER_summary!J$27)</f>
        <v>0</v>
      </c>
      <c r="K22" s="132">
        <f>IF(SER_hh_fech_in!K22=0,0,SER_hh_fech_in!K22/SER_summary!K$27)</f>
        <v>0</v>
      </c>
      <c r="L22" s="132">
        <f>IF(SER_hh_fech_in!L22=0,0,SER_hh_fech_in!L22/SER_summary!L$27)</f>
        <v>0</v>
      </c>
      <c r="M22" s="132">
        <f>IF(SER_hh_fech_in!M22=0,0,SER_hh_fech_in!M22/SER_summary!M$27)</f>
        <v>28.771265941841989</v>
      </c>
      <c r="N22" s="132">
        <f>IF(SER_hh_fech_in!N22=0,0,SER_hh_fech_in!N22/SER_summary!N$27)</f>
        <v>35.471337578010697</v>
      </c>
      <c r="O22" s="132">
        <f>IF(SER_hh_fech_in!O22=0,0,SER_hh_fech_in!O22/SER_summary!O$27)</f>
        <v>33.962996949593034</v>
      </c>
      <c r="P22" s="132">
        <f>IF(SER_hh_fech_in!P22=0,0,SER_hh_fech_in!P22/SER_summary!P$27)</f>
        <v>22.790376596218085</v>
      </c>
      <c r="Q22" s="132">
        <f>IF(SER_hh_fech_in!Q22=0,0,SER_hh_fech_in!Q22/SER_summary!Q$27)</f>
        <v>28.608212888186046</v>
      </c>
      <c r="R22" s="132">
        <f>IF(SER_hh_fech_in!R22=0,0,SER_hh_fech_in!R22/SER_summary!R$27)</f>
        <v>26.346916461351476</v>
      </c>
      <c r="S22" s="132">
        <f>IF(SER_hh_fech_in!S22=0,0,SER_hh_fech_in!S22/SER_summary!S$27)</f>
        <v>25.419634026510426</v>
      </c>
      <c r="T22" s="132">
        <f>IF(SER_hh_fech_in!T22=0,0,SER_hh_fech_in!T22/SER_summary!T$27)</f>
        <v>24.999570967365518</v>
      </c>
      <c r="U22" s="132">
        <f>IF(SER_hh_fech_in!U22=0,0,SER_hh_fech_in!U22/SER_summary!U$27)</f>
        <v>23.867490993753123</v>
      </c>
      <c r="V22" s="132">
        <f>IF(SER_hh_fech_in!V22=0,0,SER_hh_fech_in!V22/SER_summary!V$27)</f>
        <v>0</v>
      </c>
      <c r="W22" s="132">
        <f>IF(SER_hh_fech_in!W22=0,0,SER_hh_fech_in!W22/SER_summary!W$27)</f>
        <v>0</v>
      </c>
      <c r="X22" s="132">
        <f>IF(SER_hh_fech_in!X22=0,0,SER_hh_fech_in!X22/SER_summary!X$27)</f>
        <v>0</v>
      </c>
      <c r="Y22" s="132">
        <f>IF(SER_hh_fech_in!Y22=0,0,SER_hh_fech_in!Y22/SER_summary!Y$27)</f>
        <v>0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30.707407152535094</v>
      </c>
      <c r="D23" s="132">
        <f>IF(SER_hh_fech_in!D23=0,0,SER_hh_fech_in!D23/SER_summary!D$27)</f>
        <v>33.136825301866146</v>
      </c>
      <c r="E23" s="132">
        <f>IF(SER_hh_fech_in!E23=0,0,SER_hh_fech_in!E23/SER_summary!E$27)</f>
        <v>34.510408665378002</v>
      </c>
      <c r="F23" s="132">
        <f>IF(SER_hh_fech_in!F23=0,0,SER_hh_fech_in!F23/SER_summary!F$27)</f>
        <v>30.391654138086245</v>
      </c>
      <c r="G23" s="132">
        <f>IF(SER_hh_fech_in!G23=0,0,SER_hh_fech_in!G23/SER_summary!G$27)</f>
        <v>30.720984371503409</v>
      </c>
      <c r="H23" s="132">
        <f>IF(SER_hh_fech_in!H23=0,0,SER_hh_fech_in!H23/SER_summary!H$27)</f>
        <v>33.735218910833595</v>
      </c>
      <c r="I23" s="132">
        <f>IF(SER_hh_fech_in!I23=0,0,SER_hh_fech_in!I23/SER_summary!I$27)</f>
        <v>30.916314774995392</v>
      </c>
      <c r="J23" s="132">
        <f>IF(SER_hh_fech_in!J23=0,0,SER_hh_fech_in!J23/SER_summary!J$27)</f>
        <v>31.520706110344172</v>
      </c>
      <c r="K23" s="132">
        <f>IF(SER_hh_fech_in!K23=0,0,SER_hh_fech_in!K23/SER_summary!K$27)</f>
        <v>30.310574118159145</v>
      </c>
      <c r="L23" s="132">
        <f>IF(SER_hh_fech_in!L23=0,0,SER_hh_fech_in!L23/SER_summary!L$27)</f>
        <v>30.504954124877681</v>
      </c>
      <c r="M23" s="132">
        <f>IF(SER_hh_fech_in!M23=0,0,SER_hh_fech_in!M23/SER_summary!M$27)</f>
        <v>29.173661665915532</v>
      </c>
      <c r="N23" s="132">
        <f>IF(SER_hh_fech_in!N23=0,0,SER_hh_fech_in!N23/SER_summary!N$27)</f>
        <v>28.145163712802951</v>
      </c>
      <c r="O23" s="132">
        <f>IF(SER_hh_fech_in!O23=0,0,SER_hh_fech_in!O23/SER_summary!O$27)</f>
        <v>27.058992169229114</v>
      </c>
      <c r="P23" s="132">
        <f>IF(SER_hh_fech_in!P23=0,0,SER_hh_fech_in!P23/SER_summary!P$27)</f>
        <v>26.656265599694482</v>
      </c>
      <c r="Q23" s="132">
        <f>IF(SER_hh_fech_in!Q23=0,0,SER_hh_fech_in!Q23/SER_summary!Q$27)</f>
        <v>25.785797334901645</v>
      </c>
      <c r="R23" s="132">
        <f>IF(SER_hh_fech_in!R23=0,0,SER_hh_fech_in!R23/SER_summary!R$27)</f>
        <v>27.000764479372712</v>
      </c>
      <c r="S23" s="132">
        <f>IF(SER_hh_fech_in!S23=0,0,SER_hh_fech_in!S23/SER_summary!S$27)</f>
        <v>15.43714154831458</v>
      </c>
      <c r="T23" s="132">
        <f>IF(SER_hh_fech_in!T23=0,0,SER_hh_fech_in!T23/SER_summary!T$27)</f>
        <v>20.832861161013266</v>
      </c>
      <c r="U23" s="132">
        <f>IF(SER_hh_fech_in!U23=0,0,SER_hh_fech_in!U23/SER_summary!U$27)</f>
        <v>25.601776562247128</v>
      </c>
      <c r="V23" s="132">
        <f>IF(SER_hh_fech_in!V23=0,0,SER_hh_fech_in!V23/SER_summary!V$27)</f>
        <v>24.110919708141655</v>
      </c>
      <c r="W23" s="132">
        <f>IF(SER_hh_fech_in!W23=0,0,SER_hh_fech_in!W23/SER_summary!W$27)</f>
        <v>23.77462751580056</v>
      </c>
      <c r="X23" s="132">
        <f>IF(SER_hh_fech_in!X23=0,0,SER_hh_fech_in!X23/SER_summary!X$27)</f>
        <v>20.745463941625616</v>
      </c>
      <c r="Y23" s="132">
        <f>IF(SER_hh_fech_in!Y23=0,0,SER_hh_fech_in!Y23/SER_summary!Y$27)</f>
        <v>0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24.020600809171331</v>
      </c>
      <c r="D25" s="132">
        <f>IF(SER_hh_fech_in!D25=0,0,SER_hh_fech_in!D25/SER_summary!D$27)</f>
        <v>23.674836798903321</v>
      </c>
      <c r="E25" s="132">
        <f>IF(SER_hh_fech_in!E25=0,0,SER_hh_fech_in!E25/SER_summary!E$27)</f>
        <v>23.293254589042533</v>
      </c>
      <c r="F25" s="132">
        <f>IF(SER_hh_fech_in!F25=0,0,SER_hh_fech_in!F25/SER_summary!F$27)</f>
        <v>23.550150212295428</v>
      </c>
      <c r="G25" s="132">
        <f>IF(SER_hh_fech_in!G25=0,0,SER_hh_fech_in!G25/SER_summary!G$27)</f>
        <v>24.016095347333472</v>
      </c>
      <c r="H25" s="132">
        <f>IF(SER_hh_fech_in!H25=0,0,SER_hh_fech_in!H25/SER_summary!H$27)</f>
        <v>24.048935177342265</v>
      </c>
      <c r="I25" s="132">
        <f>IF(SER_hh_fech_in!I25=0,0,SER_hh_fech_in!I25/SER_summary!I$27)</f>
        <v>23.267814611353081</v>
      </c>
      <c r="J25" s="132">
        <f>IF(SER_hh_fech_in!J25=0,0,SER_hh_fech_in!J25/SER_summary!J$27)</f>
        <v>23.58220153117102</v>
      </c>
      <c r="K25" s="132">
        <f>IF(SER_hh_fech_in!K25=0,0,SER_hh_fech_in!K25/SER_summary!K$27)</f>
        <v>23.483555514161957</v>
      </c>
      <c r="L25" s="132">
        <f>IF(SER_hh_fech_in!L25=0,0,SER_hh_fech_in!L25/SER_summary!L$27)</f>
        <v>23.295951280276157</v>
      </c>
      <c r="M25" s="132">
        <f>IF(SER_hh_fech_in!M25=0,0,SER_hh_fech_in!M25/SER_summary!M$27)</f>
        <v>23.312732905522619</v>
      </c>
      <c r="N25" s="132">
        <f>IF(SER_hh_fech_in!N25=0,0,SER_hh_fech_in!N25/SER_summary!N$27)</f>
        <v>23.471935320088203</v>
      </c>
      <c r="O25" s="132">
        <f>IF(SER_hh_fech_in!O25=0,0,SER_hh_fech_in!O25/SER_summary!O$27)</f>
        <v>22.998784321141905</v>
      </c>
      <c r="P25" s="132">
        <f>IF(SER_hh_fech_in!P25=0,0,SER_hh_fech_in!P25/SER_summary!P$27)</f>
        <v>22.550951132034292</v>
      </c>
      <c r="Q25" s="132">
        <f>IF(SER_hh_fech_in!Q25=0,0,SER_hh_fech_in!Q25/SER_summary!Q$27)</f>
        <v>21.973728512609142</v>
      </c>
      <c r="R25" s="132">
        <f>IF(SER_hh_fech_in!R25=0,0,SER_hh_fech_in!R25/SER_summary!R$27)</f>
        <v>22.637545393000284</v>
      </c>
      <c r="S25" s="132">
        <f>IF(SER_hh_fech_in!S25=0,0,SER_hh_fech_in!S25/SER_summary!S$27)</f>
        <v>21.199036145977789</v>
      </c>
      <c r="T25" s="132">
        <f>IF(SER_hh_fech_in!T25=0,0,SER_hh_fech_in!T25/SER_summary!T$27)</f>
        <v>21.989876985644091</v>
      </c>
      <c r="U25" s="132">
        <f>IF(SER_hh_fech_in!U25=0,0,SER_hh_fech_in!U25/SER_summary!U$27)</f>
        <v>21.708340346062169</v>
      </c>
      <c r="V25" s="132">
        <f>IF(SER_hh_fech_in!V25=0,0,SER_hh_fech_in!V25/SER_summary!V$27)</f>
        <v>18.542479979257084</v>
      </c>
      <c r="W25" s="132">
        <f>IF(SER_hh_fech_in!W25=0,0,SER_hh_fech_in!W25/SER_summary!W$27)</f>
        <v>21.549401083785053</v>
      </c>
      <c r="X25" s="132">
        <f>IF(SER_hh_fech_in!X25=0,0,SER_hh_fech_in!X25/SER_summary!X$27)</f>
        <v>19.974550831476019</v>
      </c>
      <c r="Y25" s="132">
        <f>IF(SER_hh_fech_in!Y25=0,0,SER_hh_fech_in!Y25/SER_summary!Y$27)</f>
        <v>19.496524273543173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29.018925124922617</v>
      </c>
      <c r="D26" s="65">
        <f>IF(SER_hh_fech_in!D26=0,0,SER_hh_fech_in!D26/SER_summary!D$27)</f>
        <v>28.944874342879043</v>
      </c>
      <c r="E26" s="65">
        <f>IF(SER_hh_fech_in!E26=0,0,SER_hh_fech_in!E26/SER_summary!E$27)</f>
        <v>28.761769213044584</v>
      </c>
      <c r="F26" s="65">
        <f>IF(SER_hh_fech_in!F26=0,0,SER_hh_fech_in!F26/SER_summary!F$27)</f>
        <v>27.874981702544751</v>
      </c>
      <c r="G26" s="65">
        <f>IF(SER_hh_fech_in!G26=0,0,SER_hh_fech_in!G26/SER_summary!G$27)</f>
        <v>29.019070173546488</v>
      </c>
      <c r="H26" s="65">
        <f>IF(SER_hh_fech_in!H26=0,0,SER_hh_fech_in!H26/SER_summary!H$27)</f>
        <v>27.036575217082252</v>
      </c>
      <c r="I26" s="65">
        <f>IF(SER_hh_fech_in!I26=0,0,SER_hh_fech_in!I26/SER_summary!I$27)</f>
        <v>28.122594332933424</v>
      </c>
      <c r="J26" s="65">
        <f>IF(SER_hh_fech_in!J26=0,0,SER_hh_fech_in!J26/SER_summary!J$27)</f>
        <v>27.528614870460991</v>
      </c>
      <c r="K26" s="65">
        <f>IF(SER_hh_fech_in!K26=0,0,SER_hh_fech_in!K26/SER_summary!K$27)</f>
        <v>28.740141145756724</v>
      </c>
      <c r="L26" s="65">
        <f>IF(SER_hh_fech_in!L26=0,0,SER_hh_fech_in!L26/SER_summary!L$27)</f>
        <v>28.177643587530042</v>
      </c>
      <c r="M26" s="65">
        <f>IF(SER_hh_fech_in!M26=0,0,SER_hh_fech_in!M26/SER_summary!M$27)</f>
        <v>27.766606869254712</v>
      </c>
      <c r="N26" s="65">
        <f>IF(SER_hh_fech_in!N26=0,0,SER_hh_fech_in!N26/SER_summary!N$27)</f>
        <v>25.727767545817684</v>
      </c>
      <c r="O26" s="65">
        <f>IF(SER_hh_fech_in!O26=0,0,SER_hh_fech_in!O26/SER_summary!O$27)</f>
        <v>25.392011239670992</v>
      </c>
      <c r="P26" s="65">
        <f>IF(SER_hh_fech_in!P26=0,0,SER_hh_fech_in!P26/SER_summary!P$27)</f>
        <v>25.497270741610475</v>
      </c>
      <c r="Q26" s="65">
        <f>IF(SER_hh_fech_in!Q26=0,0,SER_hh_fech_in!Q26/SER_summary!Q$27)</f>
        <v>23.605352231213651</v>
      </c>
      <c r="R26" s="65">
        <f>IF(SER_hh_fech_in!R26=0,0,SER_hh_fech_in!R26/SER_summary!R$27)</f>
        <v>21.373734900896718</v>
      </c>
      <c r="S26" s="65">
        <f>IF(SER_hh_fech_in!S26=0,0,SER_hh_fech_in!S26/SER_summary!S$27)</f>
        <v>22.668189256951141</v>
      </c>
      <c r="T26" s="65">
        <f>IF(SER_hh_fech_in!T26=0,0,SER_hh_fech_in!T26/SER_summary!T$27)</f>
        <v>20.590815757774013</v>
      </c>
      <c r="U26" s="65">
        <f>IF(SER_hh_fech_in!U26=0,0,SER_hh_fech_in!U26/SER_summary!U$27)</f>
        <v>20.226359711963191</v>
      </c>
      <c r="V26" s="65">
        <f>IF(SER_hh_fech_in!V26=0,0,SER_hh_fech_in!V26/SER_summary!V$27)</f>
        <v>23.325972465462996</v>
      </c>
      <c r="W26" s="65">
        <f>IF(SER_hh_fech_in!W26=0,0,SER_hh_fech_in!W26/SER_summary!W$27)</f>
        <v>18.730524715449182</v>
      </c>
      <c r="X26" s="65">
        <f>IF(SER_hh_fech_in!X26=0,0,SER_hh_fech_in!X26/SER_summary!X$27)</f>
        <v>18.133356566433751</v>
      </c>
      <c r="Y26" s="65">
        <f>IF(SER_hh_fech_in!Y26=0,0,SER_hh_fech_in!Y26/SER_summary!Y$27)</f>
        <v>18.616243886156436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</v>
      </c>
      <c r="D27" s="145">
        <f>IF(SER_hh_fech_in!D27=0,0,SER_hh_fech_in!D27/SER_summary!D$27)</f>
        <v>0</v>
      </c>
      <c r="E27" s="145">
        <f>IF(SER_hh_fech_in!E27=0,0,SER_hh_fech_in!E27/SER_summary!E$27)</f>
        <v>0</v>
      </c>
      <c r="F27" s="145">
        <f>IF(SER_hh_fech_in!F27=0,0,SER_hh_fech_in!F27/SER_summary!F$27)</f>
        <v>0</v>
      </c>
      <c r="G27" s="145">
        <f>IF(SER_hh_fech_in!G27=0,0,SER_hh_fech_in!G27/SER_summary!G$27)</f>
        <v>0</v>
      </c>
      <c r="H27" s="145">
        <f>IF(SER_hh_fech_in!H27=0,0,SER_hh_fech_in!H27/SER_summary!H$27)</f>
        <v>0</v>
      </c>
      <c r="I27" s="145">
        <f>IF(SER_hh_fech_in!I27=0,0,SER_hh_fech_in!I27/SER_summary!I$27)</f>
        <v>0</v>
      </c>
      <c r="J27" s="145">
        <f>IF(SER_hh_fech_in!J27=0,0,SER_hh_fech_in!J27/SER_summary!J$27)</f>
        <v>0</v>
      </c>
      <c r="K27" s="145">
        <f>IF(SER_hh_fech_in!K27=0,0,SER_hh_fech_in!K27/SER_summary!K$27)</f>
        <v>0</v>
      </c>
      <c r="L27" s="145">
        <f>IF(SER_hh_fech_in!L27=0,0,SER_hh_fech_in!L27/SER_summary!L$27)</f>
        <v>0</v>
      </c>
      <c r="M27" s="145">
        <f>IF(SER_hh_fech_in!M27=0,0,SER_hh_fech_in!M27/SER_summary!M$27)</f>
        <v>0</v>
      </c>
      <c r="N27" s="145">
        <f>IF(SER_hh_fech_in!N27=0,0,SER_hh_fech_in!N27/SER_summary!N$27)</f>
        <v>0</v>
      </c>
      <c r="O27" s="145">
        <f>IF(SER_hh_fech_in!O27=0,0,SER_hh_fech_in!O27/SER_summary!O$27)</f>
        <v>0</v>
      </c>
      <c r="P27" s="145">
        <f>IF(SER_hh_fech_in!P27=0,0,SER_hh_fech_in!P27/SER_summary!P$27)</f>
        <v>0</v>
      </c>
      <c r="Q27" s="145">
        <f>IF(SER_hh_fech_in!Q27=0,0,SER_hh_fech_in!Q27/SER_summary!Q$27)</f>
        <v>0</v>
      </c>
      <c r="R27" s="145">
        <f>IF(SER_hh_fech_in!R27=0,0,SER_hh_fech_in!R27/SER_summary!R$27)</f>
        <v>0</v>
      </c>
      <c r="S27" s="145">
        <f>IF(SER_hh_fech_in!S27=0,0,SER_hh_fech_in!S27/SER_summary!S$27)</f>
        <v>0</v>
      </c>
      <c r="T27" s="145">
        <f>IF(SER_hh_fech_in!T27=0,0,SER_hh_fech_in!T27/SER_summary!T$27)</f>
        <v>0</v>
      </c>
      <c r="U27" s="145">
        <f>IF(SER_hh_fech_in!U27=0,0,SER_hh_fech_in!U27/SER_summary!U$27)</f>
        <v>0</v>
      </c>
      <c r="V27" s="145">
        <f>IF(SER_hh_fech_in!V27=0,0,SER_hh_fech_in!V27/SER_summary!V$27)</f>
        <v>0</v>
      </c>
      <c r="W27" s="145">
        <f>IF(SER_hh_fech_in!W27=0,0,SER_hh_fech_in!W27/SER_summary!W$27)</f>
        <v>0</v>
      </c>
      <c r="X27" s="145">
        <f>IF(SER_hh_fech_in!X27=0,0,SER_hh_fech_in!X27/SER_summary!X$27)</f>
        <v>0</v>
      </c>
      <c r="Y27" s="145">
        <f>IF(SER_hh_fech_in!Y27=0,0,SER_hh_fech_in!Y27/SER_summary!Y$27)</f>
        <v>0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0</v>
      </c>
      <c r="D28" s="146">
        <f>IF(SER_hh_fech_in!D28=0,0,SER_hh_fech_in!D28/SER_summary!D$27)</f>
        <v>0</v>
      </c>
      <c r="E28" s="146">
        <f>IF(SER_hh_fech_in!E28=0,0,SER_hh_fech_in!E28/SER_summary!E$27)</f>
        <v>0</v>
      </c>
      <c r="F28" s="146">
        <f>IF(SER_hh_fech_in!F28=0,0,SER_hh_fech_in!F28/SER_summary!F$27)</f>
        <v>0</v>
      </c>
      <c r="G28" s="146">
        <f>IF(SER_hh_fech_in!G28=0,0,SER_hh_fech_in!G28/SER_summary!G$27)</f>
        <v>0</v>
      </c>
      <c r="H28" s="146">
        <f>IF(SER_hh_fech_in!H28=0,0,SER_hh_fech_in!H28/SER_summary!H$27)</f>
        <v>0</v>
      </c>
      <c r="I28" s="146">
        <f>IF(SER_hh_fech_in!I28=0,0,SER_hh_fech_in!I28/SER_summary!I$27)</f>
        <v>0</v>
      </c>
      <c r="J28" s="146">
        <f>IF(SER_hh_fech_in!J28=0,0,SER_hh_fech_in!J28/SER_summary!J$27)</f>
        <v>0</v>
      </c>
      <c r="K28" s="146">
        <f>IF(SER_hh_fech_in!K28=0,0,SER_hh_fech_in!K28/SER_summary!K$27)</f>
        <v>0</v>
      </c>
      <c r="L28" s="146">
        <f>IF(SER_hh_fech_in!L28=0,0,SER_hh_fech_in!L28/SER_summary!L$27)</f>
        <v>0</v>
      </c>
      <c r="M28" s="146">
        <f>IF(SER_hh_fech_in!M28=0,0,SER_hh_fech_in!M28/SER_summary!M$27)</f>
        <v>0</v>
      </c>
      <c r="N28" s="146">
        <f>IF(SER_hh_fech_in!N28=0,0,SER_hh_fech_in!N28/SER_summary!N$27)</f>
        <v>0</v>
      </c>
      <c r="O28" s="146">
        <f>IF(SER_hh_fech_in!O28=0,0,SER_hh_fech_in!O28/SER_summary!O$27)</f>
        <v>0</v>
      </c>
      <c r="P28" s="146">
        <f>IF(SER_hh_fech_in!P28=0,0,SER_hh_fech_in!P28/SER_summary!P$27)</f>
        <v>0</v>
      </c>
      <c r="Q28" s="146">
        <f>IF(SER_hh_fech_in!Q28=0,0,SER_hh_fech_in!Q28/SER_summary!Q$27)</f>
        <v>0</v>
      </c>
      <c r="R28" s="146">
        <f>IF(SER_hh_fech_in!R28=0,0,SER_hh_fech_in!R28/SER_summary!R$27)</f>
        <v>0</v>
      </c>
      <c r="S28" s="146">
        <f>IF(SER_hh_fech_in!S28=0,0,SER_hh_fech_in!S28/SER_summary!S$27)</f>
        <v>0</v>
      </c>
      <c r="T28" s="146">
        <f>IF(SER_hh_fech_in!T28=0,0,SER_hh_fech_in!T28/SER_summary!T$27)</f>
        <v>0</v>
      </c>
      <c r="U28" s="146">
        <f>IF(SER_hh_fech_in!U28=0,0,SER_hh_fech_in!U28/SER_summary!U$27)</f>
        <v>0</v>
      </c>
      <c r="V28" s="146">
        <f>IF(SER_hh_fech_in!V28=0,0,SER_hh_fech_in!V28/SER_summary!V$27)</f>
        <v>0</v>
      </c>
      <c r="W28" s="146">
        <f>IF(SER_hh_fech_in!W28=0,0,SER_hh_fech_in!W28/SER_summary!W$27)</f>
        <v>0</v>
      </c>
      <c r="X28" s="146">
        <f>IF(SER_hh_fech_in!X28=0,0,SER_hh_fech_in!X28/SER_summary!X$27)</f>
        <v>0</v>
      </c>
      <c r="Y28" s="146">
        <f>IF(SER_hh_fech_in!Y28=0,0,SER_hh_fech_in!Y28/SER_summary!Y$27)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22.164557791290612</v>
      </c>
      <c r="D29" s="130">
        <f>IF(SER_hh_fech_in!D29=0,0,SER_hh_fech_in!D29/SER_summary!D$27)</f>
        <v>22.388726767107457</v>
      </c>
      <c r="E29" s="130">
        <f>IF(SER_hh_fech_in!E29=0,0,SER_hh_fech_in!E29/SER_summary!E$27)</f>
        <v>22.377458639205667</v>
      </c>
      <c r="F29" s="130">
        <f>IF(SER_hh_fech_in!F29=0,0,SER_hh_fech_in!F29/SER_summary!F$27)</f>
        <v>23.046523564748554</v>
      </c>
      <c r="G29" s="130">
        <f>IF(SER_hh_fech_in!G29=0,0,SER_hh_fech_in!G29/SER_summary!G$27)</f>
        <v>23.218402882136022</v>
      </c>
      <c r="H29" s="130">
        <f>IF(SER_hh_fech_in!H29=0,0,SER_hh_fech_in!H29/SER_summary!H$27)</f>
        <v>26.695211241269899</v>
      </c>
      <c r="I29" s="130">
        <f>IF(SER_hh_fech_in!I29=0,0,SER_hh_fech_in!I29/SER_summary!I$27)</f>
        <v>28.067155321802293</v>
      </c>
      <c r="J29" s="130">
        <f>IF(SER_hh_fech_in!J29=0,0,SER_hh_fech_in!J29/SER_summary!J$27)</f>
        <v>24.753659362881582</v>
      </c>
      <c r="K29" s="130">
        <f>IF(SER_hh_fech_in!K29=0,0,SER_hh_fech_in!K29/SER_summary!K$27)</f>
        <v>25.544665676539879</v>
      </c>
      <c r="L29" s="130">
        <f>IF(SER_hh_fech_in!L29=0,0,SER_hh_fech_in!L29/SER_summary!L$27)</f>
        <v>24.246258720188759</v>
      </c>
      <c r="M29" s="130">
        <f>IF(SER_hh_fech_in!M29=0,0,SER_hh_fech_in!M29/SER_summary!M$27)</f>
        <v>23.582457121727352</v>
      </c>
      <c r="N29" s="130">
        <f>IF(SER_hh_fech_in!N29=0,0,SER_hh_fech_in!N29/SER_summary!N$27)</f>
        <v>26.346407103724413</v>
      </c>
      <c r="O29" s="130">
        <f>IF(SER_hh_fech_in!O29=0,0,SER_hh_fech_in!O29/SER_summary!O$27)</f>
        <v>25.721094563269787</v>
      </c>
      <c r="P29" s="130">
        <f>IF(SER_hh_fech_in!P29=0,0,SER_hh_fech_in!P29/SER_summary!P$27)</f>
        <v>25.083067169925904</v>
      </c>
      <c r="Q29" s="130">
        <f>IF(SER_hh_fech_in!Q29=0,0,SER_hh_fech_in!Q29/SER_summary!Q$27)</f>
        <v>25.268812008798704</v>
      </c>
      <c r="R29" s="130">
        <f>IF(SER_hh_fech_in!R29=0,0,SER_hh_fech_in!R29/SER_summary!R$27)</f>
        <v>25.12029546998771</v>
      </c>
      <c r="S29" s="130">
        <f>IF(SER_hh_fech_in!S29=0,0,SER_hh_fech_in!S29/SER_summary!S$27)</f>
        <v>25.717418206204762</v>
      </c>
      <c r="T29" s="130">
        <f>IF(SER_hh_fech_in!T29=0,0,SER_hh_fech_in!T29/SER_summary!T$27)</f>
        <v>26.08311632870948</v>
      </c>
      <c r="U29" s="130">
        <f>IF(SER_hh_fech_in!U29=0,0,SER_hh_fech_in!U29/SER_summary!U$27)</f>
        <v>26.7973785717559</v>
      </c>
      <c r="V29" s="130">
        <f>IF(SER_hh_fech_in!V29=0,0,SER_hh_fech_in!V29/SER_summary!V$27)</f>
        <v>26.636935435997195</v>
      </c>
      <c r="W29" s="130">
        <f>IF(SER_hh_fech_in!W29=0,0,SER_hh_fech_in!W29/SER_summary!W$27)</f>
        <v>26.256381823695996</v>
      </c>
      <c r="X29" s="130">
        <f>IF(SER_hh_fech_in!X29=0,0,SER_hh_fech_in!X29/SER_summary!X$27)</f>
        <v>25.130414949045644</v>
      </c>
      <c r="Y29" s="130">
        <f>IF(SER_hh_fech_in!Y29=0,0,SER_hh_fech_in!Y29/SER_summary!Y$27)</f>
        <v>24.267242013775778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35.13220102217258</v>
      </c>
      <c r="D30" s="132">
        <f>IF(SER_hh_fech_in!D30=0,0,SER_hh_fech_in!D30/SER_summary!D$27)</f>
        <v>30.078027370505673</v>
      </c>
      <c r="E30" s="132">
        <f>IF(SER_hh_fech_in!E30=0,0,SER_hh_fech_in!E30/SER_summary!E$27)</f>
        <v>0</v>
      </c>
      <c r="F30" s="132">
        <f>IF(SER_hh_fech_in!F30=0,0,SER_hh_fech_in!F30/SER_summary!F$27)</f>
        <v>25.266314926349139</v>
      </c>
      <c r="G30" s="132">
        <f>IF(SER_hh_fech_in!G30=0,0,SER_hh_fech_in!G30/SER_summary!G$27)</f>
        <v>21.651936537983751</v>
      </c>
      <c r="H30" s="132">
        <f>IF(SER_hh_fech_in!H30=0,0,SER_hh_fech_in!H30/SER_summary!H$27)</f>
        <v>30.923720617589836</v>
      </c>
      <c r="I30" s="132">
        <f>IF(SER_hh_fech_in!I30=0,0,SER_hh_fech_in!I30/SER_summary!I$27)</f>
        <v>38.166253095387752</v>
      </c>
      <c r="J30" s="132">
        <f>IF(SER_hh_fech_in!J30=0,0,SER_hh_fech_in!J30/SER_summary!J$27)</f>
        <v>33.90844787952107</v>
      </c>
      <c r="K30" s="132">
        <f>IF(SER_hh_fech_in!K30=0,0,SER_hh_fech_in!K30/SER_summary!K$27)</f>
        <v>24.026119978400022</v>
      </c>
      <c r="L30" s="132">
        <f>IF(SER_hh_fech_in!L30=0,0,SER_hh_fech_in!L30/SER_summary!L$27)</f>
        <v>39.013974550993062</v>
      </c>
      <c r="M30" s="132">
        <f>IF(SER_hh_fech_in!M30=0,0,SER_hh_fech_in!M30/SER_summary!M$27)</f>
        <v>0</v>
      </c>
      <c r="N30" s="132">
        <f>IF(SER_hh_fech_in!N30=0,0,SER_hh_fech_in!N30/SER_summary!N$27)</f>
        <v>0</v>
      </c>
      <c r="O30" s="132">
        <f>IF(SER_hh_fech_in!O30=0,0,SER_hh_fech_in!O30/SER_summary!O$27)</f>
        <v>0</v>
      </c>
      <c r="P30" s="132">
        <f>IF(SER_hh_fech_in!P30=0,0,SER_hh_fech_in!P30/SER_summary!P$27)</f>
        <v>0</v>
      </c>
      <c r="Q30" s="132">
        <f>IF(SER_hh_fech_in!Q30=0,0,SER_hh_fech_in!Q30/SER_summary!Q$27)</f>
        <v>0</v>
      </c>
      <c r="R30" s="132">
        <f>IF(SER_hh_fech_in!R30=0,0,SER_hh_fech_in!R30/SER_summary!R$27)</f>
        <v>0</v>
      </c>
      <c r="S30" s="132">
        <f>IF(SER_hh_fech_in!S30=0,0,SER_hh_fech_in!S30/SER_summary!S$27)</f>
        <v>35.402653896101164</v>
      </c>
      <c r="T30" s="132">
        <f>IF(SER_hh_fech_in!T30=0,0,SER_hh_fech_in!T30/SER_summary!T$27)</f>
        <v>35.223819289352264</v>
      </c>
      <c r="U30" s="132">
        <f>IF(SER_hh_fech_in!U30=0,0,SER_hh_fech_in!U30/SER_summary!U$27)</f>
        <v>36.365795976941428</v>
      </c>
      <c r="V30" s="132">
        <f>IF(SER_hh_fech_in!V30=0,0,SER_hh_fech_in!V30/SER_summary!V$27)</f>
        <v>36.86137709655155</v>
      </c>
      <c r="W30" s="132">
        <f>IF(SER_hh_fech_in!W30=0,0,SER_hh_fech_in!W30/SER_summary!W$27)</f>
        <v>36.660698619821098</v>
      </c>
      <c r="X30" s="132">
        <f>IF(SER_hh_fech_in!X30=0,0,SER_hh_fech_in!X30/SER_summary!X$27)</f>
        <v>35.919117131876249</v>
      </c>
      <c r="Y30" s="132">
        <f>IF(SER_hh_fech_in!Y30=0,0,SER_hh_fech_in!Y30/SER_summary!Y$27)</f>
        <v>35.13262976564949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26.992886098813358</v>
      </c>
      <c r="D31" s="132">
        <f>IF(SER_hh_fech_in!D31=0,0,SER_hh_fech_in!D31/SER_summary!D$27)</f>
        <v>28.437436903962389</v>
      </c>
      <c r="E31" s="132">
        <f>IF(SER_hh_fech_in!E31=0,0,SER_hh_fech_in!E31/SER_summary!E$27)</f>
        <v>30.008254267446706</v>
      </c>
      <c r="F31" s="132">
        <f>IF(SER_hh_fech_in!F31=0,0,SER_hh_fech_in!F31/SER_summary!F$27)</f>
        <v>29.679835067583742</v>
      </c>
      <c r="G31" s="132">
        <f>IF(SER_hh_fech_in!G31=0,0,SER_hh_fech_in!G31/SER_summary!G$27)</f>
        <v>30.003164722220596</v>
      </c>
      <c r="H31" s="132">
        <f>IF(SER_hh_fech_in!H31=0,0,SER_hh_fech_in!H31/SER_summary!H$27)</f>
        <v>30.398192031069364</v>
      </c>
      <c r="I31" s="132">
        <f>IF(SER_hh_fech_in!I31=0,0,SER_hh_fech_in!I31/SER_summary!I$27)</f>
        <v>30.891544099093014</v>
      </c>
      <c r="J31" s="132">
        <f>IF(SER_hh_fech_in!J31=0,0,SER_hh_fech_in!J31/SER_summary!J$27)</f>
        <v>32.413050629006577</v>
      </c>
      <c r="K31" s="132">
        <f>IF(SER_hh_fech_in!K31=0,0,SER_hh_fech_in!K31/SER_summary!K$27)</f>
        <v>32.043920589556734</v>
      </c>
      <c r="L31" s="132">
        <f>IF(SER_hh_fech_in!L31=0,0,SER_hh_fech_in!L31/SER_summary!L$27)</f>
        <v>30.6284868293965</v>
      </c>
      <c r="M31" s="132">
        <f>IF(SER_hh_fech_in!M31=0,0,SER_hh_fech_in!M31/SER_summary!M$27)</f>
        <v>32.334034681130063</v>
      </c>
      <c r="N31" s="132">
        <f>IF(SER_hh_fech_in!N31=0,0,SER_hh_fech_in!N31/SER_summary!N$27)</f>
        <v>32.852542256528338</v>
      </c>
      <c r="O31" s="132">
        <f>IF(SER_hh_fech_in!O31=0,0,SER_hh_fech_in!O31/SER_summary!O$27)</f>
        <v>33.342177261689862</v>
      </c>
      <c r="P31" s="132">
        <f>IF(SER_hh_fech_in!P31=0,0,SER_hh_fech_in!P31/SER_summary!P$27)</f>
        <v>34.71694055506768</v>
      </c>
      <c r="Q31" s="132">
        <f>IF(SER_hh_fech_in!Q31=0,0,SER_hh_fech_in!Q31/SER_summary!Q$27)</f>
        <v>34.670322794749296</v>
      </c>
      <c r="R31" s="132">
        <f>IF(SER_hh_fech_in!R31=0,0,SER_hh_fech_in!R31/SER_summary!R$27)</f>
        <v>38.609563164363806</v>
      </c>
      <c r="S31" s="132">
        <f>IF(SER_hh_fech_in!S31=0,0,SER_hh_fech_in!S31/SER_summary!S$27)</f>
        <v>22.752025577024842</v>
      </c>
      <c r="T31" s="132">
        <f>IF(SER_hh_fech_in!T31=0,0,SER_hh_fech_in!T31/SER_summary!T$27)</f>
        <v>32.880003390708119</v>
      </c>
      <c r="U31" s="132">
        <f>IF(SER_hh_fech_in!U31=0,0,SER_hh_fech_in!U31/SER_summary!U$27)</f>
        <v>41.919288737403662</v>
      </c>
      <c r="V31" s="132">
        <f>IF(SER_hh_fech_in!V31=0,0,SER_hh_fech_in!V31/SER_summary!V$27)</f>
        <v>35.843287530229944</v>
      </c>
      <c r="W31" s="132">
        <f>IF(SER_hh_fech_in!W31=0,0,SER_hh_fech_in!W31/SER_summary!W$27)</f>
        <v>37.417605458785893</v>
      </c>
      <c r="X31" s="132">
        <f>IF(SER_hh_fech_in!X31=0,0,SER_hh_fech_in!X31/SER_summary!X$27)</f>
        <v>35.799030830094154</v>
      </c>
      <c r="Y31" s="132">
        <f>IF(SER_hh_fech_in!Y31=0,0,SER_hh_fech_in!Y31/SER_summary!Y$27)</f>
        <v>35.015898084791665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20.788255662724058</v>
      </c>
      <c r="D33" s="68">
        <f>IF(SER_hh_fech_in!D33=0,0,SER_hh_fech_in!D33/SER_summary!D$27)</f>
        <v>21.53013924651308</v>
      </c>
      <c r="E33" s="68">
        <f>IF(SER_hh_fech_in!E33=0,0,SER_hh_fech_in!E33/SER_summary!E$27)</f>
        <v>22.125416363125694</v>
      </c>
      <c r="F33" s="68">
        <f>IF(SER_hh_fech_in!F33=0,0,SER_hh_fech_in!F33/SER_summary!F$27)</f>
        <v>22.747664921297293</v>
      </c>
      <c r="G33" s="68">
        <f>IF(SER_hh_fech_in!G33=0,0,SER_hh_fech_in!G33/SER_summary!G$27)</f>
        <v>23.5942445344112</v>
      </c>
      <c r="H33" s="68">
        <f>IF(SER_hh_fech_in!H33=0,0,SER_hh_fech_in!H33/SER_summary!H$27)</f>
        <v>22.820181491654388</v>
      </c>
      <c r="I33" s="68">
        <f>IF(SER_hh_fech_in!I33=0,0,SER_hh_fech_in!I33/SER_summary!I$27)</f>
        <v>21.680969805683258</v>
      </c>
      <c r="J33" s="68">
        <f>IF(SER_hh_fech_in!J33=0,0,SER_hh_fech_in!J33/SER_summary!J$27)</f>
        <v>22.837270986339423</v>
      </c>
      <c r="K33" s="68">
        <f>IF(SER_hh_fech_in!K33=0,0,SER_hh_fech_in!K33/SER_summary!K$27)</f>
        <v>25.515574318991554</v>
      </c>
      <c r="L33" s="68">
        <f>IF(SER_hh_fech_in!L33=0,0,SER_hh_fech_in!L33/SER_summary!L$27)</f>
        <v>23.210641251694543</v>
      </c>
      <c r="M33" s="68">
        <f>IF(SER_hh_fech_in!M33=0,0,SER_hh_fech_in!M33/SER_summary!M$27)</f>
        <v>23.580199243522273</v>
      </c>
      <c r="N33" s="68">
        <f>IF(SER_hh_fech_in!N33=0,0,SER_hh_fech_in!N33/SER_summary!N$27)</f>
        <v>26.282601673155444</v>
      </c>
      <c r="O33" s="68">
        <f>IF(SER_hh_fech_in!O33=0,0,SER_hh_fech_in!O33/SER_summary!O$27)</f>
        <v>25.58848035343901</v>
      </c>
      <c r="P33" s="68">
        <f>IF(SER_hh_fech_in!P33=0,0,SER_hh_fech_in!P33/SER_summary!P$27)</f>
        <v>24.879700150628764</v>
      </c>
      <c r="Q33" s="68">
        <f>IF(SER_hh_fech_in!Q33=0,0,SER_hh_fech_in!Q33/SER_summary!Q$27)</f>
        <v>25.158326501028263</v>
      </c>
      <c r="R33" s="68">
        <f>IF(SER_hh_fech_in!R33=0,0,SER_hh_fech_in!R33/SER_summary!R$27)</f>
        <v>25.00280606057656</v>
      </c>
      <c r="S33" s="68">
        <f>IF(SER_hh_fech_in!S33=0,0,SER_hh_fech_in!S33/SER_summary!S$27)</f>
        <v>25.635118804731515</v>
      </c>
      <c r="T33" s="68">
        <f>IF(SER_hh_fech_in!T33=0,0,SER_hh_fech_in!T33/SER_summary!T$27)</f>
        <v>25.257705251250076</v>
      </c>
      <c r="U33" s="68">
        <f>IF(SER_hh_fech_in!U33=0,0,SER_hh_fech_in!U33/SER_summary!U$27)</f>
        <v>25.786101397129869</v>
      </c>
      <c r="V33" s="68">
        <f>IF(SER_hh_fech_in!V33=0,0,SER_hh_fech_in!V33/SER_summary!V$27)</f>
        <v>26.210371254639774</v>
      </c>
      <c r="W33" s="68">
        <f>IF(SER_hh_fech_in!W33=0,0,SER_hh_fech_in!W33/SER_summary!W$27)</f>
        <v>26.067825549755398</v>
      </c>
      <c r="X33" s="68">
        <f>IF(SER_hh_fech_in!X33=0,0,SER_hh_fech_in!X33/SER_summary!X$27)</f>
        <v>24.80247675558612</v>
      </c>
      <c r="Y33" s="68">
        <f>IF(SER_hh_fech_in!Y33=0,0,SER_hh_fech_in!Y33/SER_summary!Y$27)</f>
        <v>24.035657286661998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226.26309788144107</v>
      </c>
      <c r="D3" s="125">
        <f>IF(SER_hh_tesh_in!D3=0,0,SER_hh_tesh_in!D3/SER_summary!D$27)</f>
        <v>221.1248045537458</v>
      </c>
      <c r="E3" s="125">
        <f>IF(SER_hh_tesh_in!E3=0,0,SER_hh_tesh_in!E3/SER_summary!E$27)</f>
        <v>213.55301046971212</v>
      </c>
      <c r="F3" s="125">
        <f>IF(SER_hh_tesh_in!F3=0,0,SER_hh_tesh_in!F3/SER_summary!F$27)</f>
        <v>203.66235666507322</v>
      </c>
      <c r="G3" s="125">
        <f>IF(SER_hh_tesh_in!G3=0,0,SER_hh_tesh_in!G3/SER_summary!G$27)</f>
        <v>188.10512425116409</v>
      </c>
      <c r="H3" s="125">
        <f>IF(SER_hh_tesh_in!H3=0,0,SER_hh_tesh_in!H3/SER_summary!H$27)</f>
        <v>185.49772775182467</v>
      </c>
      <c r="I3" s="125">
        <f>IF(SER_hh_tesh_in!I3=0,0,SER_hh_tesh_in!I3/SER_summary!I$27)</f>
        <v>185.97258269687094</v>
      </c>
      <c r="J3" s="125">
        <f>IF(SER_hh_tesh_in!J3=0,0,SER_hh_tesh_in!J3/SER_summary!J$27)</f>
        <v>177.74580166440961</v>
      </c>
      <c r="K3" s="125">
        <f>IF(SER_hh_tesh_in!K3=0,0,SER_hh_tesh_in!K3/SER_summary!K$27)</f>
        <v>172.8862452160443</v>
      </c>
      <c r="L3" s="125">
        <f>IF(SER_hh_tesh_in!L3=0,0,SER_hh_tesh_in!L3/SER_summary!L$27)</f>
        <v>177.04383798664111</v>
      </c>
      <c r="M3" s="125">
        <f>IF(SER_hh_tesh_in!M3=0,0,SER_hh_tesh_in!M3/SER_summary!M$27)</f>
        <v>155.00048082802715</v>
      </c>
      <c r="N3" s="125">
        <f>IF(SER_hh_tesh_in!N3=0,0,SER_hh_tesh_in!N3/SER_summary!N$27)</f>
        <v>160.2861054301367</v>
      </c>
      <c r="O3" s="125">
        <f>IF(SER_hh_tesh_in!O3=0,0,SER_hh_tesh_in!O3/SER_summary!O$27)</f>
        <v>151.02282109504463</v>
      </c>
      <c r="P3" s="125">
        <f>IF(SER_hh_tesh_in!P3=0,0,SER_hh_tesh_in!P3/SER_summary!P$27)</f>
        <v>144.22513303948816</v>
      </c>
      <c r="Q3" s="125">
        <f>IF(SER_hh_tesh_in!Q3=0,0,SER_hh_tesh_in!Q3/SER_summary!Q$27)</f>
        <v>142.61970415642017</v>
      </c>
      <c r="R3" s="125">
        <f>IF(SER_hh_tesh_in!R3=0,0,SER_hh_tesh_in!R3/SER_summary!R$27)</f>
        <v>142.99340628327772</v>
      </c>
      <c r="S3" s="125">
        <f>IF(SER_hh_tesh_in!S3=0,0,SER_hh_tesh_in!S3/SER_summary!S$27)</f>
        <v>129.49847709096451</v>
      </c>
      <c r="T3" s="125">
        <f>IF(SER_hh_tesh_in!T3=0,0,SER_hh_tesh_in!T3/SER_summary!T$27)</f>
        <v>126.65666288630452</v>
      </c>
      <c r="U3" s="125">
        <f>IF(SER_hh_tesh_in!U3=0,0,SER_hh_tesh_in!U3/SER_summary!U$27)</f>
        <v>118.10617603923322</v>
      </c>
      <c r="V3" s="125">
        <f>IF(SER_hh_tesh_in!V3=0,0,SER_hh_tesh_in!V3/SER_summary!V$27)</f>
        <v>110.18602634816769</v>
      </c>
      <c r="W3" s="125">
        <f>IF(SER_hh_tesh_in!W3=0,0,SER_hh_tesh_in!W3/SER_summary!W$27)</f>
        <v>100.08299289742855</v>
      </c>
      <c r="X3" s="125">
        <f>IF(SER_hh_tesh_in!X3=0,0,SER_hh_tesh_in!X3/SER_summary!X$27)</f>
        <v>82.124167006878466</v>
      </c>
      <c r="Y3" s="125">
        <f>IF(SER_hh_tesh_in!Y3=0,0,SER_hh_tesh_in!Y3/SER_summary!Y$27)</f>
        <v>81.584174296677062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164.07219390037409</v>
      </c>
      <c r="D4" s="130">
        <f>IF(SER_hh_tesh_in!D4=0,0,SER_hh_tesh_in!D4/SER_summary!D$27)</f>
        <v>158.8874858850881</v>
      </c>
      <c r="E4" s="130">
        <f>IF(SER_hh_tesh_in!E4=0,0,SER_hh_tesh_in!E4/SER_summary!E$27)</f>
        <v>151.17262858250069</v>
      </c>
      <c r="F4" s="130">
        <f>IF(SER_hh_tesh_in!F4=0,0,SER_hh_tesh_in!F4/SER_summary!F$27)</f>
        <v>141.24298908079348</v>
      </c>
      <c r="G4" s="130">
        <f>IF(SER_hh_tesh_in!G4=0,0,SER_hh_tesh_in!G4/SER_summary!G$27)</f>
        <v>126.10117043534191</v>
      </c>
      <c r="H4" s="130">
        <f>IF(SER_hh_tesh_in!H4=0,0,SER_hh_tesh_in!H4/SER_summary!H$27)</f>
        <v>122.9593734392479</v>
      </c>
      <c r="I4" s="130">
        <f>IF(SER_hh_tesh_in!I4=0,0,SER_hh_tesh_in!I4/SER_summary!I$27)</f>
        <v>122.51103514188242</v>
      </c>
      <c r="J4" s="130">
        <f>IF(SER_hh_tesh_in!J4=0,0,SER_hh_tesh_in!J4/SER_summary!J$27)</f>
        <v>115.25401310939282</v>
      </c>
      <c r="K4" s="130">
        <f>IF(SER_hh_tesh_in!K4=0,0,SER_hh_tesh_in!K4/SER_summary!K$27)</f>
        <v>108.35680860248826</v>
      </c>
      <c r="L4" s="130">
        <f>IF(SER_hh_tesh_in!L4=0,0,SER_hh_tesh_in!L4/SER_summary!L$27)</f>
        <v>114.25117930025024</v>
      </c>
      <c r="M4" s="130">
        <f>IF(SER_hh_tesh_in!M4=0,0,SER_hh_tesh_in!M4/SER_summary!M$27)</f>
        <v>93.356924749437184</v>
      </c>
      <c r="N4" s="130">
        <f>IF(SER_hh_tesh_in!N4=0,0,SER_hh_tesh_in!N4/SER_summary!N$27)</f>
        <v>96.184260075892468</v>
      </c>
      <c r="O4" s="130">
        <f>IF(SER_hh_tesh_in!O4=0,0,SER_hh_tesh_in!O4/SER_summary!O$27)</f>
        <v>87.91830035024617</v>
      </c>
      <c r="P4" s="130">
        <f>IF(SER_hh_tesh_in!P4=0,0,SER_hh_tesh_in!P4/SER_summary!P$27)</f>
        <v>82.1203039308039</v>
      </c>
      <c r="Q4" s="130">
        <f>IF(SER_hh_tesh_in!Q4=0,0,SER_hh_tesh_in!Q4/SER_summary!Q$27)</f>
        <v>81.060493119998497</v>
      </c>
      <c r="R4" s="130">
        <f>IF(SER_hh_tesh_in!R4=0,0,SER_hh_tesh_in!R4/SER_summary!R$27)</f>
        <v>82.000211784110107</v>
      </c>
      <c r="S4" s="130">
        <f>IF(SER_hh_tesh_in!S4=0,0,SER_hh_tesh_in!S4/SER_summary!S$27)</f>
        <v>68.54170605898274</v>
      </c>
      <c r="T4" s="130">
        <f>IF(SER_hh_tesh_in!T4=0,0,SER_hh_tesh_in!T4/SER_summary!T$27)</f>
        <v>66.437663581481971</v>
      </c>
      <c r="U4" s="130">
        <f>IF(SER_hh_tesh_in!U4=0,0,SER_hh_tesh_in!U4/SER_summary!U$27)</f>
        <v>57.968372411303278</v>
      </c>
      <c r="V4" s="130">
        <f>IF(SER_hh_tesh_in!V4=0,0,SER_hh_tesh_in!V4/SER_summary!V$27)</f>
        <v>50.615295988022702</v>
      </c>
      <c r="W4" s="130">
        <f>IF(SER_hh_tesh_in!W4=0,0,SER_hh_tesh_in!W4/SER_summary!W$27)</f>
        <v>42.57881356788775</v>
      </c>
      <c r="X4" s="130">
        <f>IF(SER_hh_tesh_in!X4=0,0,SER_hh_tesh_in!X4/SER_summary!X$27)</f>
        <v>29.25124955421462</v>
      </c>
      <c r="Y4" s="130">
        <f>IF(SER_hh_tesh_in!Y4=0,0,SER_hh_tesh_in!Y4/SER_summary!Y$27)</f>
        <v>28.7447308329767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0</v>
      </c>
      <c r="D5" s="132">
        <f>IF(SER_hh_tesh_in!D5=0,0,SER_hh_tesh_in!D5/SER_summary!D$27)</f>
        <v>0</v>
      </c>
      <c r="E5" s="132">
        <f>IF(SER_hh_tesh_in!E5=0,0,SER_hh_tesh_in!E5/SER_summary!E$27)</f>
        <v>0</v>
      </c>
      <c r="F5" s="132">
        <f>IF(SER_hh_tesh_in!F5=0,0,SER_hh_tesh_in!F5/SER_summary!F$27)</f>
        <v>0</v>
      </c>
      <c r="G5" s="132">
        <f>IF(SER_hh_tesh_in!G5=0,0,SER_hh_tesh_in!G5/SER_summary!G$27)</f>
        <v>0</v>
      </c>
      <c r="H5" s="132">
        <f>IF(SER_hh_tesh_in!H5=0,0,SER_hh_tesh_in!H5/SER_summary!H$27)</f>
        <v>0</v>
      </c>
      <c r="I5" s="132">
        <f>IF(SER_hh_tesh_in!I5=0,0,SER_hh_tesh_in!I5/SER_summary!I$27)</f>
        <v>0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0</v>
      </c>
      <c r="N5" s="132">
        <f>IF(SER_hh_tesh_in!N5=0,0,SER_hh_tesh_in!N5/SER_summary!N$27)</f>
        <v>0</v>
      </c>
      <c r="O5" s="132">
        <f>IF(SER_hh_tesh_in!O5=0,0,SER_hh_tesh_in!O5/SER_summary!O$27)</f>
        <v>0</v>
      </c>
      <c r="P5" s="132">
        <f>IF(SER_hh_tesh_in!P5=0,0,SER_hh_tesh_in!P5/SER_summary!P$27)</f>
        <v>0</v>
      </c>
      <c r="Q5" s="132">
        <f>IF(SER_hh_tesh_in!Q5=0,0,SER_hh_tesh_in!Q5/SER_summary!Q$27)</f>
        <v>0</v>
      </c>
      <c r="R5" s="132">
        <f>IF(SER_hh_tesh_in!R5=0,0,SER_hh_tesh_in!R5/SER_summary!R$27)</f>
        <v>0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0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156.37470819432576</v>
      </c>
      <c r="D7" s="132">
        <f>IF(SER_hh_tesh_in!D7=0,0,SER_hh_tesh_in!D7/SER_summary!D$27)</f>
        <v>155.10554221099497</v>
      </c>
      <c r="E7" s="132">
        <f>IF(SER_hh_tesh_in!E7=0,0,SER_hh_tesh_in!E7/SER_summary!E$27)</f>
        <v>171.69260560254654</v>
      </c>
      <c r="F7" s="132">
        <f>IF(SER_hh_tesh_in!F7=0,0,SER_hh_tesh_in!F7/SER_summary!F$27)</f>
        <v>0</v>
      </c>
      <c r="G7" s="132">
        <f>IF(SER_hh_tesh_in!G7=0,0,SER_hh_tesh_in!G7/SER_summary!G$27)</f>
        <v>0</v>
      </c>
      <c r="H7" s="132">
        <f>IF(SER_hh_tesh_in!H7=0,0,SER_hh_tesh_in!H7/SER_summary!H$27)</f>
        <v>0</v>
      </c>
      <c r="I7" s="132">
        <f>IF(SER_hh_tesh_in!I7=0,0,SER_hh_tesh_in!I7/SER_summary!I$27)</f>
        <v>0</v>
      </c>
      <c r="J7" s="132">
        <f>IF(SER_hh_tesh_in!J7=0,0,SER_hh_tesh_in!J7/SER_summary!J$27)</f>
        <v>0</v>
      </c>
      <c r="K7" s="132">
        <f>IF(SER_hh_tesh_in!K7=0,0,SER_hh_tesh_in!K7/SER_summary!K$27)</f>
        <v>104.25453246120077</v>
      </c>
      <c r="L7" s="132">
        <f>IF(SER_hh_tesh_in!L7=0,0,SER_hh_tesh_in!L7/SER_summary!L$27)</f>
        <v>107.50723367610317</v>
      </c>
      <c r="M7" s="132">
        <f>IF(SER_hh_tesh_in!M7=0,0,SER_hh_tesh_in!M7/SER_summary!M$27)</f>
        <v>96.657741258934948</v>
      </c>
      <c r="N7" s="132">
        <f>IF(SER_hh_tesh_in!N7=0,0,SER_hh_tesh_in!N7/SER_summary!N$27)</f>
        <v>95.069747714274882</v>
      </c>
      <c r="O7" s="132">
        <f>IF(SER_hh_tesh_in!O7=0,0,SER_hh_tesh_in!O7/SER_summary!O$27)</f>
        <v>86.150087181030472</v>
      </c>
      <c r="P7" s="132">
        <f>IF(SER_hh_tesh_in!P7=0,0,SER_hh_tesh_in!P7/SER_summary!P$27)</f>
        <v>0</v>
      </c>
      <c r="Q7" s="132">
        <f>IF(SER_hh_tesh_in!Q7=0,0,SER_hh_tesh_in!Q7/SER_summary!Q$27)</f>
        <v>77.976043458584385</v>
      </c>
      <c r="R7" s="132">
        <f>IF(SER_hh_tesh_in!R7=0,0,SER_hh_tesh_in!R7/SER_summary!R$27)</f>
        <v>73.507497017515846</v>
      </c>
      <c r="S7" s="132">
        <f>IF(SER_hh_tesh_in!S7=0,0,SER_hh_tesh_in!S7/SER_summary!S$27)</f>
        <v>69.857172586328957</v>
      </c>
      <c r="T7" s="132">
        <f>IF(SER_hh_tesh_in!T7=0,0,SER_hh_tesh_in!T7/SER_summary!T$27)</f>
        <v>65.095800631430208</v>
      </c>
      <c r="U7" s="132">
        <f>IF(SER_hh_tesh_in!U7=0,0,SER_hh_tesh_in!U7/SER_summary!U$27)</f>
        <v>57.09385149126642</v>
      </c>
      <c r="V7" s="132">
        <f>IF(SER_hh_tesh_in!V7=0,0,SER_hh_tesh_in!V7/SER_summary!V$27)</f>
        <v>52.328437990508689</v>
      </c>
      <c r="W7" s="132">
        <f>IF(SER_hh_tesh_in!W7=0,0,SER_hh_tesh_in!W7/SER_summary!W$27)</f>
        <v>0</v>
      </c>
      <c r="X7" s="132">
        <f>IF(SER_hh_tesh_in!X7=0,0,SER_hh_tesh_in!X7/SER_summary!X$27)</f>
        <v>0</v>
      </c>
      <c r="Y7" s="132">
        <f>IF(SER_hh_tesh_in!Y7=0,0,SER_hh_tesh_in!Y7/SER_summary!Y$27)</f>
        <v>0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0</v>
      </c>
      <c r="D8" s="132">
        <f>IF(SER_hh_tesh_in!D8=0,0,SER_hh_tesh_in!D8/SER_summary!D$27)</f>
        <v>0</v>
      </c>
      <c r="E8" s="132">
        <f>IF(SER_hh_tesh_in!E8=0,0,SER_hh_tesh_in!E8/SER_summary!E$27)</f>
        <v>0</v>
      </c>
      <c r="F8" s="132">
        <f>IF(SER_hh_tesh_in!F8=0,0,SER_hh_tesh_in!F8/SER_summary!F$27)</f>
        <v>0</v>
      </c>
      <c r="G8" s="132">
        <f>IF(SER_hh_tesh_in!G8=0,0,SER_hh_tesh_in!G8/SER_summary!G$27)</f>
        <v>0</v>
      </c>
      <c r="H8" s="132">
        <f>IF(SER_hh_tesh_in!H8=0,0,SER_hh_tesh_in!H8/SER_summary!H$27)</f>
        <v>0</v>
      </c>
      <c r="I8" s="132">
        <f>IF(SER_hh_tesh_in!I8=0,0,SER_hh_tesh_in!I8/SER_summary!I$27)</f>
        <v>0</v>
      </c>
      <c r="J8" s="132">
        <f>IF(SER_hh_tesh_in!J8=0,0,SER_hh_tesh_in!J8/SER_summary!J$27)</f>
        <v>0</v>
      </c>
      <c r="K8" s="132">
        <f>IF(SER_hh_tesh_in!K8=0,0,SER_hh_tesh_in!K8/SER_summary!K$27)</f>
        <v>0</v>
      </c>
      <c r="L8" s="132">
        <f>IF(SER_hh_tesh_in!L8=0,0,SER_hh_tesh_in!L8/SER_summary!L$27)</f>
        <v>0</v>
      </c>
      <c r="M8" s="132">
        <f>IF(SER_hh_tesh_in!M8=0,0,SER_hh_tesh_in!M8/SER_summary!M$27)</f>
        <v>0</v>
      </c>
      <c r="N8" s="132">
        <f>IF(SER_hh_tesh_in!N8=0,0,SER_hh_tesh_in!N8/SER_summary!N$27)</f>
        <v>0</v>
      </c>
      <c r="O8" s="132">
        <f>IF(SER_hh_tesh_in!O8=0,0,SER_hh_tesh_in!O8/SER_summary!O$27)</f>
        <v>0</v>
      </c>
      <c r="P8" s="132">
        <f>IF(SER_hh_tesh_in!P8=0,0,SER_hh_tesh_in!P8/SER_summary!P$27)</f>
        <v>0</v>
      </c>
      <c r="Q8" s="132">
        <f>IF(SER_hh_tesh_in!Q8=0,0,SER_hh_tesh_in!Q8/SER_summary!Q$27)</f>
        <v>0</v>
      </c>
      <c r="R8" s="132">
        <f>IF(SER_hh_tesh_in!R8=0,0,SER_hh_tesh_in!R8/SER_summary!R$27)</f>
        <v>0</v>
      </c>
      <c r="S8" s="132">
        <f>IF(SER_hh_tesh_in!S8=0,0,SER_hh_tesh_in!S8/SER_summary!S$27)</f>
        <v>0</v>
      </c>
      <c r="T8" s="132">
        <f>IF(SER_hh_tesh_in!T8=0,0,SER_hh_tesh_in!T8/SER_summary!T$27)</f>
        <v>0</v>
      </c>
      <c r="U8" s="132">
        <f>IF(SER_hh_tesh_in!U8=0,0,SER_hh_tesh_in!U8/SER_summary!U$27)</f>
        <v>0</v>
      </c>
      <c r="V8" s="132">
        <f>IF(SER_hh_tesh_in!V8=0,0,SER_hh_tesh_in!V8/SER_summary!V$27)</f>
        <v>0</v>
      </c>
      <c r="W8" s="132">
        <f>IF(SER_hh_tesh_in!W8=0,0,SER_hh_tesh_in!W8/SER_summary!W$27)</f>
        <v>0</v>
      </c>
      <c r="X8" s="132">
        <f>IF(SER_hh_tesh_in!X8=0,0,SER_hh_tesh_in!X8/SER_summary!X$27)</f>
        <v>0</v>
      </c>
      <c r="Y8" s="132">
        <f>IF(SER_hh_tesh_in!Y8=0,0,SER_hh_tesh_in!Y8/SER_summary!Y$27)</f>
        <v>0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114.46432542731741</v>
      </c>
      <c r="D9" s="132">
        <f>IF(SER_hh_tesh_in!D9=0,0,SER_hh_tesh_in!D9/SER_summary!D$27)</f>
        <v>159.32115809926404</v>
      </c>
      <c r="E9" s="132">
        <f>IF(SER_hh_tesh_in!E9=0,0,SER_hh_tesh_in!E9/SER_summary!E$27)</f>
        <v>166.97913964864227</v>
      </c>
      <c r="F9" s="132">
        <f>IF(SER_hh_tesh_in!F9=0,0,SER_hh_tesh_in!F9/SER_summary!F$27)</f>
        <v>138.62932409342551</v>
      </c>
      <c r="G9" s="132">
        <f>IF(SER_hh_tesh_in!G9=0,0,SER_hh_tesh_in!G9/SER_summary!G$27)</f>
        <v>128.50314987967482</v>
      </c>
      <c r="H9" s="132">
        <f>IF(SER_hh_tesh_in!H9=0,0,SER_hh_tesh_in!H9/SER_summary!H$27)</f>
        <v>120.87593277568813</v>
      </c>
      <c r="I9" s="132">
        <f>IF(SER_hh_tesh_in!I9=0,0,SER_hh_tesh_in!I9/SER_summary!I$27)</f>
        <v>123.24258085296604</v>
      </c>
      <c r="J9" s="132">
        <f>IF(SER_hh_tesh_in!J9=0,0,SER_hh_tesh_in!J9/SER_summary!J$27)</f>
        <v>128.22268642807182</v>
      </c>
      <c r="K9" s="132">
        <f>IF(SER_hh_tesh_in!K9=0,0,SER_hh_tesh_in!K9/SER_summary!K$27)</f>
        <v>57.705861418539676</v>
      </c>
      <c r="L9" s="132">
        <f>IF(SER_hh_tesh_in!L9=0,0,SER_hh_tesh_in!L9/SER_summary!L$27)</f>
        <v>119.64431616847322</v>
      </c>
      <c r="M9" s="132">
        <f>IF(SER_hh_tesh_in!M9=0,0,SER_hh_tesh_in!M9/SER_summary!M$27)</f>
        <v>90.023875725877502</v>
      </c>
      <c r="N9" s="132">
        <f>IF(SER_hh_tesh_in!N9=0,0,SER_hh_tesh_in!N9/SER_summary!N$27)</f>
        <v>104.78933636563259</v>
      </c>
      <c r="O9" s="132">
        <f>IF(SER_hh_tesh_in!O9=0,0,SER_hh_tesh_in!O9/SER_summary!O$27)</f>
        <v>87.351198813166931</v>
      </c>
      <c r="P9" s="132">
        <f>IF(SER_hh_tesh_in!P9=0,0,SER_hh_tesh_in!P9/SER_summary!P$27)</f>
        <v>81.226222048262173</v>
      </c>
      <c r="Q9" s="132">
        <f>IF(SER_hh_tesh_in!Q9=0,0,SER_hh_tesh_in!Q9/SER_summary!Q$27)</f>
        <v>0</v>
      </c>
      <c r="R9" s="132">
        <f>IF(SER_hh_tesh_in!R9=0,0,SER_hh_tesh_in!R9/SER_summary!R$27)</f>
        <v>0</v>
      </c>
      <c r="S9" s="132">
        <f>IF(SER_hh_tesh_in!S9=0,0,SER_hh_tesh_in!S9/SER_summary!S$27)</f>
        <v>43.794389857626378</v>
      </c>
      <c r="T9" s="132">
        <f>IF(SER_hh_tesh_in!T9=0,0,SER_hh_tesh_in!T9/SER_summary!T$27)</f>
        <v>60.824499018160964</v>
      </c>
      <c r="U9" s="132">
        <f>IF(SER_hh_tesh_in!U9=0,0,SER_hh_tesh_in!U9/SER_summary!U$27)</f>
        <v>67.317870239377214</v>
      </c>
      <c r="V9" s="132">
        <f>IF(SER_hh_tesh_in!V9=0,0,SER_hh_tesh_in!V9/SER_summary!V$27)</f>
        <v>57.546510857089388</v>
      </c>
      <c r="W9" s="132">
        <f>IF(SER_hh_tesh_in!W9=0,0,SER_hh_tesh_in!W9/SER_summary!W$27)</f>
        <v>43.062567502483354</v>
      </c>
      <c r="X9" s="132">
        <f>IF(SER_hh_tesh_in!X9=0,0,SER_hh_tesh_in!X9/SER_summary!X$27)</f>
        <v>28.051610863860688</v>
      </c>
      <c r="Y9" s="132">
        <f>IF(SER_hh_tesh_in!Y9=0,0,SER_hh_tesh_in!Y9/SER_summary!Y$27)</f>
        <v>0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203.71085718444206</v>
      </c>
      <c r="D10" s="132">
        <f>IF(SER_hh_tesh_in!D10=0,0,SER_hh_tesh_in!D10/SER_summary!D$27)</f>
        <v>137.74719413172846</v>
      </c>
      <c r="E10" s="132">
        <f>IF(SER_hh_tesh_in!E10=0,0,SER_hh_tesh_in!E10/SER_summary!E$27)</f>
        <v>98.797963804542562</v>
      </c>
      <c r="F10" s="132">
        <f>IF(SER_hh_tesh_in!F10=0,0,SER_hh_tesh_in!F10/SER_summary!F$27)</f>
        <v>163.9274329106415</v>
      </c>
      <c r="G10" s="132">
        <f>IF(SER_hh_tesh_in!G10=0,0,SER_hh_tesh_in!G10/SER_summary!G$27)</f>
        <v>158.33383545512061</v>
      </c>
      <c r="H10" s="132">
        <f>IF(SER_hh_tesh_in!H10=0,0,SER_hh_tesh_in!H10/SER_summary!H$27)</f>
        <v>109.45073684778183</v>
      </c>
      <c r="I10" s="132">
        <f>IF(SER_hh_tesh_in!I10=0,0,SER_hh_tesh_in!I10/SER_summary!I$27)</f>
        <v>113.72797310466474</v>
      </c>
      <c r="J10" s="132">
        <f>IF(SER_hh_tesh_in!J10=0,0,SER_hh_tesh_in!J10/SER_summary!J$27)</f>
        <v>115.42162796073688</v>
      </c>
      <c r="K10" s="132">
        <f>IF(SER_hh_tesh_in!K10=0,0,SER_hh_tesh_in!K10/SER_summary!K$27)</f>
        <v>109.98119251374918</v>
      </c>
      <c r="L10" s="132">
        <f>IF(SER_hh_tesh_in!L10=0,0,SER_hh_tesh_in!L10/SER_summary!L$27)</f>
        <v>105.62879464329272</v>
      </c>
      <c r="M10" s="132">
        <f>IF(SER_hh_tesh_in!M10=0,0,SER_hh_tesh_in!M10/SER_summary!M$27)</f>
        <v>91.474467987556892</v>
      </c>
      <c r="N10" s="132">
        <f>IF(SER_hh_tesh_in!N10=0,0,SER_hh_tesh_in!N10/SER_summary!N$27)</f>
        <v>112.28111998304585</v>
      </c>
      <c r="O10" s="132">
        <f>IF(SER_hh_tesh_in!O10=0,0,SER_hh_tesh_in!O10/SER_summary!O$27)</f>
        <v>61.099162229243781</v>
      </c>
      <c r="P10" s="132">
        <f>IF(SER_hh_tesh_in!P10=0,0,SER_hh_tesh_in!P10/SER_summary!P$27)</f>
        <v>80.509752055556774</v>
      </c>
      <c r="Q10" s="132">
        <f>IF(SER_hh_tesh_in!Q10=0,0,SER_hh_tesh_in!Q10/SER_summary!Q$27)</f>
        <v>72.133070314790615</v>
      </c>
      <c r="R10" s="132">
        <f>IF(SER_hh_tesh_in!R10=0,0,SER_hh_tesh_in!R10/SER_summary!R$27)</f>
        <v>109.95605152557761</v>
      </c>
      <c r="S10" s="132">
        <f>IF(SER_hh_tesh_in!S10=0,0,SER_hh_tesh_in!S10/SER_summary!S$27)</f>
        <v>102.07126675852365</v>
      </c>
      <c r="T10" s="132">
        <f>IF(SER_hh_tesh_in!T10=0,0,SER_hh_tesh_in!T10/SER_summary!T$27)</f>
        <v>95.597692736967502</v>
      </c>
      <c r="U10" s="132">
        <f>IF(SER_hh_tesh_in!U10=0,0,SER_hh_tesh_in!U10/SER_summary!U$27)</f>
        <v>51.871709529361993</v>
      </c>
      <c r="V10" s="132">
        <f>IF(SER_hh_tesh_in!V10=0,0,SER_hh_tesh_in!V10/SER_summary!V$27)</f>
        <v>47.383420519675305</v>
      </c>
      <c r="W10" s="132">
        <f>IF(SER_hh_tesh_in!W10=0,0,SER_hh_tesh_in!W10/SER_summary!W$27)</f>
        <v>0</v>
      </c>
      <c r="X10" s="132">
        <f>IF(SER_hh_tesh_in!X10=0,0,SER_hh_tesh_in!X10/SER_summary!X$27)</f>
        <v>0</v>
      </c>
      <c r="Y10" s="132">
        <f>IF(SER_hh_tesh_in!Y10=0,0,SER_hh_tesh_in!Y10/SER_summary!Y$27)</f>
        <v>28.859440655550078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0</v>
      </c>
      <c r="J11" s="132">
        <f>IF(SER_hh_tesh_in!J11=0,0,SER_hh_tesh_in!J11/SER_summary!J$27)</f>
        <v>0</v>
      </c>
      <c r="K11" s="132">
        <f>IF(SER_hh_tesh_in!K11=0,0,SER_hh_tesh_in!K11/SER_summary!K$27)</f>
        <v>0</v>
      </c>
      <c r="L11" s="132">
        <f>IF(SER_hh_tesh_in!L11=0,0,SER_hh_tesh_in!L11/SER_summary!L$27)</f>
        <v>0</v>
      </c>
      <c r="M11" s="132">
        <f>IF(SER_hh_tesh_in!M11=0,0,SER_hh_tesh_in!M11/SER_summary!M$27)</f>
        <v>0</v>
      </c>
      <c r="N11" s="132">
        <f>IF(SER_hh_tesh_in!N11=0,0,SER_hh_tesh_in!N11/SER_summary!N$27)</f>
        <v>0</v>
      </c>
      <c r="O11" s="132">
        <f>IF(SER_hh_tesh_in!O11=0,0,SER_hh_tesh_in!O11/SER_summary!O$27)</f>
        <v>0</v>
      </c>
      <c r="P11" s="132">
        <f>IF(SER_hh_tesh_in!P11=0,0,SER_hh_tesh_in!P11/SER_summary!P$27)</f>
        <v>0</v>
      </c>
      <c r="Q11" s="132">
        <f>IF(SER_hh_tesh_in!Q11=0,0,SER_hh_tesh_in!Q11/SER_summary!Q$27)</f>
        <v>0</v>
      </c>
      <c r="R11" s="132">
        <f>IF(SER_hh_tesh_in!R11=0,0,SER_hh_tesh_in!R11/SER_summary!R$27)</f>
        <v>0</v>
      </c>
      <c r="S11" s="132">
        <f>IF(SER_hh_tesh_in!S11=0,0,SER_hh_tesh_in!S11/SER_summary!S$27)</f>
        <v>0</v>
      </c>
      <c r="T11" s="132">
        <f>IF(SER_hh_tesh_in!T11=0,0,SER_hh_tesh_in!T11/SER_summary!T$27)</f>
        <v>0</v>
      </c>
      <c r="U11" s="132">
        <f>IF(SER_hh_tesh_in!U11=0,0,SER_hh_tesh_in!U11/SER_summary!U$27)</f>
        <v>0</v>
      </c>
      <c r="V11" s="132">
        <f>IF(SER_hh_tesh_in!V11=0,0,SER_hh_tesh_in!V11/SER_summary!V$27)</f>
        <v>0</v>
      </c>
      <c r="W11" s="132">
        <f>IF(SER_hh_tesh_in!W11=0,0,SER_hh_tesh_in!W11/SER_summary!W$27)</f>
        <v>0</v>
      </c>
      <c r="X11" s="132">
        <f>IF(SER_hh_tesh_in!X11=0,0,SER_hh_tesh_in!X11/SER_summary!X$27)</f>
        <v>0</v>
      </c>
      <c r="Y11" s="132">
        <f>IF(SER_hh_tesh_in!Y11=0,0,SER_hh_tesh_in!Y11/SER_summary!Y$27)</f>
        <v>0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161.48381262009008</v>
      </c>
      <c r="D12" s="132">
        <f>IF(SER_hh_tesh_in!D12=0,0,SER_hh_tesh_in!D12/SER_summary!D$27)</f>
        <v>157.12646146387456</v>
      </c>
      <c r="E12" s="132">
        <f>IF(SER_hh_tesh_in!E12=0,0,SER_hh_tesh_in!E12/SER_summary!E$27)</f>
        <v>152.16408285678204</v>
      </c>
      <c r="F12" s="132">
        <f>IF(SER_hh_tesh_in!F12=0,0,SER_hh_tesh_in!F12/SER_summary!F$27)</f>
        <v>137.59582045998519</v>
      </c>
      <c r="G12" s="132">
        <f>IF(SER_hh_tesh_in!G12=0,0,SER_hh_tesh_in!G12/SER_summary!G$27)</f>
        <v>130.81213083576912</v>
      </c>
      <c r="H12" s="132">
        <f>IF(SER_hh_tesh_in!H12=0,0,SER_hh_tesh_in!H12/SER_summary!H$27)</f>
        <v>123.80990179962853</v>
      </c>
      <c r="I12" s="132">
        <f>IF(SER_hh_tesh_in!I12=0,0,SER_hh_tesh_in!I12/SER_summary!I$27)</f>
        <v>114.05261904570075</v>
      </c>
      <c r="J12" s="132">
        <f>IF(SER_hh_tesh_in!J12=0,0,SER_hh_tesh_in!J12/SER_summary!J$27)</f>
        <v>111.52143794747637</v>
      </c>
      <c r="K12" s="132">
        <f>IF(SER_hh_tesh_in!K12=0,0,SER_hh_tesh_in!K12/SER_summary!K$27)</f>
        <v>109.56280012133567</v>
      </c>
      <c r="L12" s="132">
        <f>IF(SER_hh_tesh_in!L12=0,0,SER_hh_tesh_in!L12/SER_summary!L$27)</f>
        <v>115.87098424349654</v>
      </c>
      <c r="M12" s="132">
        <f>IF(SER_hh_tesh_in!M12=0,0,SER_hh_tesh_in!M12/SER_summary!M$27)</f>
        <v>91.215818186028116</v>
      </c>
      <c r="N12" s="132">
        <f>IF(SER_hh_tesh_in!N12=0,0,SER_hh_tesh_in!N12/SER_summary!N$27)</f>
        <v>95.665336608684115</v>
      </c>
      <c r="O12" s="132">
        <f>IF(SER_hh_tesh_in!O12=0,0,SER_hh_tesh_in!O12/SER_summary!O$27)</f>
        <v>90.97571653186138</v>
      </c>
      <c r="P12" s="132">
        <f>IF(SER_hh_tesh_in!P12=0,0,SER_hh_tesh_in!P12/SER_summary!P$27)</f>
        <v>82.944964254892767</v>
      </c>
      <c r="Q12" s="132">
        <f>IF(SER_hh_tesh_in!Q12=0,0,SER_hh_tesh_in!Q12/SER_summary!Q$27)</f>
        <v>77.152005259361857</v>
      </c>
      <c r="R12" s="132">
        <f>IF(SER_hh_tesh_in!R12=0,0,SER_hh_tesh_in!R12/SER_summary!R$27)</f>
        <v>78.277360148428912</v>
      </c>
      <c r="S12" s="132">
        <f>IF(SER_hh_tesh_in!S12=0,0,SER_hh_tesh_in!S12/SER_summary!S$27)</f>
        <v>68.27324320581387</v>
      </c>
      <c r="T12" s="132">
        <f>IF(SER_hh_tesh_in!T12=0,0,SER_hh_tesh_in!T12/SER_summary!T$27)</f>
        <v>65.67205750902643</v>
      </c>
      <c r="U12" s="132">
        <f>IF(SER_hh_tesh_in!U12=0,0,SER_hh_tesh_in!U12/SER_summary!U$27)</f>
        <v>58.634839533162619</v>
      </c>
      <c r="V12" s="132">
        <f>IF(SER_hh_tesh_in!V12=0,0,SER_hh_tesh_in!V12/SER_summary!V$27)</f>
        <v>47.179689039516326</v>
      </c>
      <c r="W12" s="132">
        <f>IF(SER_hh_tesh_in!W12=0,0,SER_hh_tesh_in!W12/SER_summary!W$27)</f>
        <v>43.459064922748048</v>
      </c>
      <c r="X12" s="132">
        <f>IF(SER_hh_tesh_in!X12=0,0,SER_hh_tesh_in!X12/SER_summary!X$27)</f>
        <v>26.859067779173056</v>
      </c>
      <c r="Y12" s="132">
        <f>IF(SER_hh_tesh_in!Y12=0,0,SER_hh_tesh_in!Y12/SER_summary!Y$27)</f>
        <v>28.742500922387194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161.56513435185553</v>
      </c>
      <c r="D13" s="132">
        <f>IF(SER_hh_tesh_in!D13=0,0,SER_hh_tesh_in!D13/SER_summary!D$27)</f>
        <v>153.72869129335643</v>
      </c>
      <c r="E13" s="132">
        <f>IF(SER_hh_tesh_in!E13=0,0,SER_hh_tesh_in!E13/SER_summary!E$27)</f>
        <v>136.26042472625238</v>
      </c>
      <c r="F13" s="132">
        <f>IF(SER_hh_tesh_in!F13=0,0,SER_hh_tesh_in!F13/SER_summary!F$27)</f>
        <v>138.6966966196816</v>
      </c>
      <c r="G13" s="132">
        <f>IF(SER_hh_tesh_in!G13=0,0,SER_hh_tesh_in!G13/SER_summary!G$27)</f>
        <v>115.35728093116117</v>
      </c>
      <c r="H13" s="132">
        <f>IF(SER_hh_tesh_in!H13=0,0,SER_hh_tesh_in!H13/SER_summary!H$27)</f>
        <v>122.5248040135448</v>
      </c>
      <c r="I13" s="132">
        <f>IF(SER_hh_tesh_in!I13=0,0,SER_hh_tesh_in!I13/SER_summary!I$27)</f>
        <v>126.66092699909927</v>
      </c>
      <c r="J13" s="132">
        <f>IF(SER_hh_tesh_in!J13=0,0,SER_hh_tesh_in!J13/SER_summary!J$27)</f>
        <v>117.30696386610552</v>
      </c>
      <c r="K13" s="132">
        <f>IF(SER_hh_tesh_in!K13=0,0,SER_hh_tesh_in!K13/SER_summary!K$27)</f>
        <v>109.73899753134776</v>
      </c>
      <c r="L13" s="132">
        <f>IF(SER_hh_tesh_in!L13=0,0,SER_hh_tesh_in!L13/SER_summary!L$27)</f>
        <v>104.76342001161805</v>
      </c>
      <c r="M13" s="132">
        <f>IF(SER_hh_tesh_in!M13=0,0,SER_hh_tesh_in!M13/SER_summary!M$27)</f>
        <v>97.673063226251699</v>
      </c>
      <c r="N13" s="132">
        <f>IF(SER_hh_tesh_in!N13=0,0,SER_hh_tesh_in!N13/SER_summary!N$27)</f>
        <v>94.5815310455488</v>
      </c>
      <c r="O13" s="132">
        <f>IF(SER_hh_tesh_in!O13=0,0,SER_hh_tesh_in!O13/SER_summary!O$27)</f>
        <v>90.261939089264402</v>
      </c>
      <c r="P13" s="132">
        <f>IF(SER_hh_tesh_in!P13=0,0,SER_hh_tesh_in!P13/SER_summary!P$27)</f>
        <v>83.69482716235315</v>
      </c>
      <c r="Q13" s="132">
        <f>IF(SER_hh_tesh_in!Q13=0,0,SER_hh_tesh_in!Q13/SER_summary!Q$27)</f>
        <v>77.328257251320849</v>
      </c>
      <c r="R13" s="132">
        <f>IF(SER_hh_tesh_in!R13=0,0,SER_hh_tesh_in!R13/SER_summary!R$27)</f>
        <v>80.864109734559406</v>
      </c>
      <c r="S13" s="132">
        <f>IF(SER_hh_tesh_in!S13=0,0,SER_hh_tesh_in!S13/SER_summary!S$27)</f>
        <v>71.151624694668584</v>
      </c>
      <c r="T13" s="132">
        <f>IF(SER_hh_tesh_in!T13=0,0,SER_hh_tesh_in!T13/SER_summary!T$27)</f>
        <v>65.849712860160011</v>
      </c>
      <c r="U13" s="132">
        <f>IF(SER_hh_tesh_in!U13=0,0,SER_hh_tesh_in!U13/SER_summary!U$27)</f>
        <v>57.596174378628604</v>
      </c>
      <c r="V13" s="132">
        <f>IF(SER_hh_tesh_in!V13=0,0,SER_hh_tesh_in!V13/SER_summary!V$27)</f>
        <v>53.911574555643661</v>
      </c>
      <c r="W13" s="132">
        <f>IF(SER_hh_tesh_in!W13=0,0,SER_hh_tesh_in!W13/SER_summary!W$27)</f>
        <v>42.436700751194863</v>
      </c>
      <c r="X13" s="132">
        <f>IF(SER_hh_tesh_in!X13=0,0,SER_hh_tesh_in!X13/SER_summary!X$27)</f>
        <v>28.623479440203745</v>
      </c>
      <c r="Y13" s="132">
        <f>IF(SER_hh_tesh_in!Y13=0,0,SER_hh_tesh_in!Y13/SER_summary!Y$27)</f>
        <v>28.448928531794049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167.5397068886376</v>
      </c>
      <c r="D14" s="65">
        <f>IF(SER_hh_tesh_in!D14=0,0,SER_hh_tesh_in!D14/SER_summary!D$27)</f>
        <v>162.06601133611323</v>
      </c>
      <c r="E14" s="65">
        <f>IF(SER_hh_tesh_in!E14=0,0,SER_hh_tesh_in!E14/SER_summary!E$27)</f>
        <v>148.47782462397998</v>
      </c>
      <c r="F14" s="65">
        <f>IF(SER_hh_tesh_in!F14=0,0,SER_hh_tesh_in!F14/SER_summary!F$27)</f>
        <v>144.08777243904603</v>
      </c>
      <c r="G14" s="65">
        <f>IF(SER_hh_tesh_in!G14=0,0,SER_hh_tesh_in!G14/SER_summary!G$27)</f>
        <v>117.57507746190058</v>
      </c>
      <c r="H14" s="65">
        <f>IF(SER_hh_tesh_in!H14=0,0,SER_hh_tesh_in!H14/SER_summary!H$27)</f>
        <v>122.07205910307624</v>
      </c>
      <c r="I14" s="65">
        <f>IF(SER_hh_tesh_in!I14=0,0,SER_hh_tesh_in!I14/SER_summary!I$27)</f>
        <v>128.68810448978167</v>
      </c>
      <c r="J14" s="65">
        <f>IF(SER_hh_tesh_in!J14=0,0,SER_hh_tesh_in!J14/SER_summary!J$27)</f>
        <v>121.17575857215434</v>
      </c>
      <c r="K14" s="65">
        <f>IF(SER_hh_tesh_in!K14=0,0,SER_hh_tesh_in!K14/SER_summary!K$27)</f>
        <v>103.6300656821652</v>
      </c>
      <c r="L14" s="65">
        <f>IF(SER_hh_tesh_in!L14=0,0,SER_hh_tesh_in!L14/SER_summary!L$27)</f>
        <v>115.27977512029776</v>
      </c>
      <c r="M14" s="65">
        <f>IF(SER_hh_tesh_in!M14=0,0,SER_hh_tesh_in!M14/SER_summary!M$27)</f>
        <v>87.107081216763405</v>
      </c>
      <c r="N14" s="65">
        <f>IF(SER_hh_tesh_in!N14=0,0,SER_hh_tesh_in!N14/SER_summary!N$27)</f>
        <v>93.755988984822565</v>
      </c>
      <c r="O14" s="65">
        <f>IF(SER_hh_tesh_in!O14=0,0,SER_hh_tesh_in!O14/SER_summary!O$27)</f>
        <v>83.377758658778475</v>
      </c>
      <c r="P14" s="65">
        <f>IF(SER_hh_tesh_in!P14=0,0,SER_hh_tesh_in!P14/SER_summary!P$27)</f>
        <v>81.356654139062826</v>
      </c>
      <c r="Q14" s="65">
        <f>IF(SER_hh_tesh_in!Q14=0,0,SER_hh_tesh_in!Q14/SER_summary!Q$27)</f>
        <v>84.089697209875467</v>
      </c>
      <c r="R14" s="65">
        <f>IF(SER_hh_tesh_in!R14=0,0,SER_hh_tesh_in!R14/SER_summary!R$27)</f>
        <v>85.23766668054148</v>
      </c>
      <c r="S14" s="65">
        <f>IF(SER_hh_tesh_in!S14=0,0,SER_hh_tesh_in!S14/SER_summary!S$27)</f>
        <v>67.322271321396002</v>
      </c>
      <c r="T14" s="65">
        <f>IF(SER_hh_tesh_in!T14=0,0,SER_hh_tesh_in!T14/SER_summary!T$27)</f>
        <v>66.473376586526783</v>
      </c>
      <c r="U14" s="65">
        <f>IF(SER_hh_tesh_in!U14=0,0,SER_hh_tesh_in!U14/SER_summary!U$27)</f>
        <v>55.104973568327701</v>
      </c>
      <c r="V14" s="65">
        <f>IF(SER_hh_tesh_in!V14=0,0,SER_hh_tesh_in!V14/SER_summary!V$27)</f>
        <v>51.132259141322365</v>
      </c>
      <c r="W14" s="65">
        <f>IF(SER_hh_tesh_in!W14=0,0,SER_hh_tesh_in!W14/SER_summary!W$27)</f>
        <v>41.684004895468291</v>
      </c>
      <c r="X14" s="65">
        <f>IF(SER_hh_tesh_in!X14=0,0,SER_hh_tesh_in!X14/SER_summary!X$27)</f>
        <v>30.459363884109116</v>
      </c>
      <c r="Y14" s="65">
        <f>IF(SER_hh_tesh_in!Y14=0,0,SER_hh_tesh_in!Y14/SER_summary!Y$27)</f>
        <v>28.64752207074801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1.2445032002517329</v>
      </c>
      <c r="D15" s="134">
        <f>IF(SER_hh_tesh_in!D15=0,0,SER_hh_tesh_in!D15/SER_summary!D$27)</f>
        <v>1.4246628720546584</v>
      </c>
      <c r="E15" s="134">
        <f>IF(SER_hh_tesh_in!E15=0,0,SER_hh_tesh_in!E15/SER_summary!E$27)</f>
        <v>1.0629788261693633</v>
      </c>
      <c r="F15" s="134">
        <f>IF(SER_hh_tesh_in!F15=0,0,SER_hh_tesh_in!F15/SER_summary!F$27)</f>
        <v>0.81086621904321154</v>
      </c>
      <c r="G15" s="134">
        <f>IF(SER_hh_tesh_in!G15=0,0,SER_hh_tesh_in!G15/SER_summary!G$27)</f>
        <v>0.71022541695570962</v>
      </c>
      <c r="H15" s="134">
        <f>IF(SER_hh_tesh_in!H15=0,0,SER_hh_tesh_in!H15/SER_summary!H$27)</f>
        <v>0.63304491466615931</v>
      </c>
      <c r="I15" s="134">
        <f>IF(SER_hh_tesh_in!I15=0,0,SER_hh_tesh_in!I15/SER_summary!I$27)</f>
        <v>0.51700119360710894</v>
      </c>
      <c r="J15" s="134">
        <f>IF(SER_hh_tesh_in!J15=0,0,SER_hh_tesh_in!J15/SER_summary!J$27)</f>
        <v>0.50216792722304326</v>
      </c>
      <c r="K15" s="134">
        <f>IF(SER_hh_tesh_in!K15=0,0,SER_hh_tesh_in!K15/SER_summary!K$27)</f>
        <v>0.56836964974084436</v>
      </c>
      <c r="L15" s="134">
        <f>IF(SER_hh_tesh_in!L15=0,0,SER_hh_tesh_in!L15/SER_summary!L$27)</f>
        <v>0.82599161552433853</v>
      </c>
      <c r="M15" s="134">
        <f>IF(SER_hh_tesh_in!M15=0,0,SER_hh_tesh_in!M15/SER_summary!M$27)</f>
        <v>0.76881523851247036</v>
      </c>
      <c r="N15" s="134">
        <f>IF(SER_hh_tesh_in!N15=0,0,SER_hh_tesh_in!N15/SER_summary!N$27)</f>
        <v>0.77956599970250229</v>
      </c>
      <c r="O15" s="134">
        <f>IF(SER_hh_tesh_in!O15=0,0,SER_hh_tesh_in!O15/SER_summary!O$27)</f>
        <v>0.61604814079594694</v>
      </c>
      <c r="P15" s="134">
        <f>IF(SER_hh_tesh_in!P15=0,0,SER_hh_tesh_in!P15/SER_summary!P$27)</f>
        <v>0.40371267553082646</v>
      </c>
      <c r="Q15" s="134">
        <f>IF(SER_hh_tesh_in!Q15=0,0,SER_hh_tesh_in!Q15/SER_summary!Q$27)</f>
        <v>0.34387406708617901</v>
      </c>
      <c r="R15" s="134">
        <f>IF(SER_hh_tesh_in!R15=0,0,SER_hh_tesh_in!R15/SER_summary!R$27)</f>
        <v>0.40402203852678037</v>
      </c>
      <c r="S15" s="134">
        <f>IF(SER_hh_tesh_in!S15=0,0,SER_hh_tesh_in!S15/SER_summary!S$27)</f>
        <v>0.42429152147190918</v>
      </c>
      <c r="T15" s="134">
        <f>IF(SER_hh_tesh_in!T15=0,0,SER_hh_tesh_in!T15/SER_summary!T$27)</f>
        <v>0.40662626758032222</v>
      </c>
      <c r="U15" s="134">
        <f>IF(SER_hh_tesh_in!U15=0,0,SER_hh_tesh_in!U15/SER_summary!U$27)</f>
        <v>0.37548719383533857</v>
      </c>
      <c r="V15" s="134">
        <f>IF(SER_hh_tesh_in!V15=0,0,SER_hh_tesh_in!V15/SER_summary!V$27)</f>
        <v>0.25703267942847891</v>
      </c>
      <c r="W15" s="134">
        <f>IF(SER_hh_tesh_in!W15=0,0,SER_hh_tesh_in!W15/SER_summary!W$27)</f>
        <v>0.19646199090186345</v>
      </c>
      <c r="X15" s="134">
        <f>IF(SER_hh_tesh_in!X15=0,0,SER_hh_tesh_in!X15/SER_summary!X$27)</f>
        <v>0.10706976072641577</v>
      </c>
      <c r="Y15" s="134">
        <f>IF(SER_hh_tesh_in!Y15=0,0,SER_hh_tesh_in!Y15/SER_summary!Y$27)</f>
        <v>0.1140246375712524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25.496038482627203</v>
      </c>
      <c r="D16" s="130">
        <f>IF(SER_hh_tesh_in!D16=0,0,SER_hh_tesh_in!D16/SER_summary!D$27)</f>
        <v>25.308768061948427</v>
      </c>
      <c r="E16" s="130">
        <f>IF(SER_hh_tesh_in!E16=0,0,SER_hh_tesh_in!E16/SER_summary!E$27)</f>
        <v>25.121580058286838</v>
      </c>
      <c r="F16" s="130">
        <f>IF(SER_hh_tesh_in!F16=0,0,SER_hh_tesh_in!F16/SER_summary!F$27)</f>
        <v>24.927550799046362</v>
      </c>
      <c r="G16" s="130">
        <f>IF(SER_hh_tesh_in!G16=0,0,SER_hh_tesh_in!G16/SER_summary!G$27)</f>
        <v>24.71759159557217</v>
      </c>
      <c r="H16" s="130">
        <f>IF(SER_hh_tesh_in!H16=0,0,SER_hh_tesh_in!H16/SER_summary!H$27)</f>
        <v>24.502519060168993</v>
      </c>
      <c r="I16" s="130">
        <f>IF(SER_hh_tesh_in!I16=0,0,SER_hh_tesh_in!I16/SER_summary!I$27)</f>
        <v>24.259447693360947</v>
      </c>
      <c r="J16" s="130">
        <f>IF(SER_hh_tesh_in!J16=0,0,SER_hh_tesh_in!J16/SER_summary!J$27)</f>
        <v>24.161223732927308</v>
      </c>
      <c r="K16" s="130">
        <f>IF(SER_hh_tesh_in!K16=0,0,SER_hh_tesh_in!K16/SER_summary!K$27)</f>
        <v>23.805463831133416</v>
      </c>
      <c r="L16" s="130">
        <f>IF(SER_hh_tesh_in!L16=0,0,SER_hh_tesh_in!L16/SER_summary!L$27)</f>
        <v>23.795804579294355</v>
      </c>
      <c r="M16" s="130">
        <f>IF(SER_hh_tesh_in!M16=0,0,SER_hh_tesh_in!M16/SER_summary!M$27)</f>
        <v>23.000447989658902</v>
      </c>
      <c r="N16" s="130">
        <f>IF(SER_hh_tesh_in!N16=0,0,SER_hh_tesh_in!N16/SER_summary!N$27)</f>
        <v>22.513147450865564</v>
      </c>
      <c r="O16" s="130">
        <f>IF(SER_hh_tesh_in!O16=0,0,SER_hh_tesh_in!O16/SER_summary!O$27)</f>
        <v>22.064595075998351</v>
      </c>
      <c r="P16" s="130">
        <f>IF(SER_hh_tesh_in!P16=0,0,SER_hh_tesh_in!P16/SER_summary!P$27)</f>
        <v>21.816681663476022</v>
      </c>
      <c r="Q16" s="130">
        <f>IF(SER_hh_tesh_in!Q16=0,0,SER_hh_tesh_in!Q16/SER_summary!Q$27)</f>
        <v>20.99388010674943</v>
      </c>
      <c r="R16" s="130">
        <f>IF(SER_hh_tesh_in!R16=0,0,SER_hh_tesh_in!R16/SER_summary!R$27)</f>
        <v>20.46973729205822</v>
      </c>
      <c r="S16" s="130">
        <f>IF(SER_hh_tesh_in!S16=0,0,SER_hh_tesh_in!S16/SER_summary!S$27)</f>
        <v>19.852760034246742</v>
      </c>
      <c r="T16" s="130">
        <f>IF(SER_hh_tesh_in!T16=0,0,SER_hh_tesh_in!T16/SER_summary!T$27)</f>
        <v>19.336226715686628</v>
      </c>
      <c r="U16" s="130">
        <f>IF(SER_hh_tesh_in!U16=0,0,SER_hh_tesh_in!U16/SER_summary!U$27)</f>
        <v>18.357841388780596</v>
      </c>
      <c r="V16" s="130">
        <f>IF(SER_hh_tesh_in!V16=0,0,SER_hh_tesh_in!V16/SER_summary!V$27)</f>
        <v>16.99544931650388</v>
      </c>
      <c r="W16" s="130">
        <f>IF(SER_hh_tesh_in!W16=0,0,SER_hh_tesh_in!W16/SER_summary!W$27)</f>
        <v>15.138315150171948</v>
      </c>
      <c r="X16" s="130">
        <f>IF(SER_hh_tesh_in!X16=0,0,SER_hh_tesh_in!X16/SER_summary!X$27)</f>
        <v>12.471809222088547</v>
      </c>
      <c r="Y16" s="130">
        <f>IF(SER_hh_tesh_in!Y16=0,0,SER_hh_tesh_in!Y16/SER_summary!Y$27)</f>
        <v>13.013019547562555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0</v>
      </c>
      <c r="D17" s="132">
        <f>IF(SER_hh_tesh_in!D17=0,0,SER_hh_tesh_in!D17/SER_summary!D$27)</f>
        <v>0</v>
      </c>
      <c r="E17" s="132">
        <f>IF(SER_hh_tesh_in!E17=0,0,SER_hh_tesh_in!E17/SER_summary!E$27)</f>
        <v>0</v>
      </c>
      <c r="F17" s="132">
        <f>IF(SER_hh_tesh_in!F17=0,0,SER_hh_tesh_in!F17/SER_summary!F$27)</f>
        <v>0</v>
      </c>
      <c r="G17" s="132">
        <f>IF(SER_hh_tesh_in!G17=0,0,SER_hh_tesh_in!G17/SER_summary!G$27)</f>
        <v>0</v>
      </c>
      <c r="H17" s="132">
        <f>IF(SER_hh_tesh_in!H17=0,0,SER_hh_tesh_in!H17/SER_summary!H$27)</f>
        <v>0</v>
      </c>
      <c r="I17" s="132">
        <f>IF(SER_hh_tesh_in!I17=0,0,SER_hh_tesh_in!I17/SER_summary!I$27)</f>
        <v>0</v>
      </c>
      <c r="J17" s="132">
        <f>IF(SER_hh_tesh_in!J17=0,0,SER_hh_tesh_in!J17/SER_summary!J$27)</f>
        <v>0</v>
      </c>
      <c r="K17" s="132">
        <f>IF(SER_hh_tesh_in!K17=0,0,SER_hh_tesh_in!K17/SER_summary!K$27)</f>
        <v>0</v>
      </c>
      <c r="L17" s="132">
        <f>IF(SER_hh_tesh_in!L17=0,0,SER_hh_tesh_in!L17/SER_summary!L$27)</f>
        <v>0</v>
      </c>
      <c r="M17" s="132">
        <f>IF(SER_hh_tesh_in!M17=0,0,SER_hh_tesh_in!M17/SER_summary!M$27)</f>
        <v>0</v>
      </c>
      <c r="N17" s="132">
        <f>IF(SER_hh_tesh_in!N17=0,0,SER_hh_tesh_in!N17/SER_summary!N$27)</f>
        <v>0</v>
      </c>
      <c r="O17" s="132">
        <f>IF(SER_hh_tesh_in!O17=0,0,SER_hh_tesh_in!O17/SER_summary!O$27)</f>
        <v>0</v>
      </c>
      <c r="P17" s="132">
        <f>IF(SER_hh_tesh_in!P17=0,0,SER_hh_tesh_in!P17/SER_summary!P$27)</f>
        <v>0</v>
      </c>
      <c r="Q17" s="132">
        <f>IF(SER_hh_tesh_in!Q17=0,0,SER_hh_tesh_in!Q17/SER_summary!Q$27)</f>
        <v>0</v>
      </c>
      <c r="R17" s="132">
        <f>IF(SER_hh_tesh_in!R17=0,0,SER_hh_tesh_in!R17/SER_summary!R$27)</f>
        <v>0</v>
      </c>
      <c r="S17" s="132">
        <f>IF(SER_hh_tesh_in!S17=0,0,SER_hh_tesh_in!S17/SER_summary!S$27)</f>
        <v>0</v>
      </c>
      <c r="T17" s="132">
        <f>IF(SER_hh_tesh_in!T17=0,0,SER_hh_tesh_in!T17/SER_summary!T$27)</f>
        <v>0</v>
      </c>
      <c r="U17" s="132">
        <f>IF(SER_hh_tesh_in!U17=0,0,SER_hh_tesh_in!U17/SER_summary!U$27)</f>
        <v>0</v>
      </c>
      <c r="V17" s="132">
        <f>IF(SER_hh_tesh_in!V17=0,0,SER_hh_tesh_in!V17/SER_summary!V$27)</f>
        <v>0</v>
      </c>
      <c r="W17" s="132">
        <f>IF(SER_hh_tesh_in!W17=0,0,SER_hh_tesh_in!W17/SER_summary!W$27)</f>
        <v>0</v>
      </c>
      <c r="X17" s="132">
        <f>IF(SER_hh_tesh_in!X17=0,0,SER_hh_tesh_in!X17/SER_summary!X$27)</f>
        <v>0</v>
      </c>
      <c r="Y17" s="132">
        <f>IF(SER_hh_tesh_in!Y17=0,0,SER_hh_tesh_in!Y17/SER_summary!Y$27)</f>
        <v>0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25.496038482627203</v>
      </c>
      <c r="D18" s="132">
        <f>IF(SER_hh_tesh_in!D18=0,0,SER_hh_tesh_in!D18/SER_summary!D$27)</f>
        <v>25.308768061948427</v>
      </c>
      <c r="E18" s="132">
        <f>IF(SER_hh_tesh_in!E18=0,0,SER_hh_tesh_in!E18/SER_summary!E$27)</f>
        <v>25.121580058286838</v>
      </c>
      <c r="F18" s="132">
        <f>IF(SER_hh_tesh_in!F18=0,0,SER_hh_tesh_in!F18/SER_summary!F$27)</f>
        <v>24.927550799046362</v>
      </c>
      <c r="G18" s="132">
        <f>IF(SER_hh_tesh_in!G18=0,0,SER_hh_tesh_in!G18/SER_summary!G$27)</f>
        <v>24.71759159557217</v>
      </c>
      <c r="H18" s="132">
        <f>IF(SER_hh_tesh_in!H18=0,0,SER_hh_tesh_in!H18/SER_summary!H$27)</f>
        <v>24.502519060168993</v>
      </c>
      <c r="I18" s="132">
        <f>IF(SER_hh_tesh_in!I18=0,0,SER_hh_tesh_in!I18/SER_summary!I$27)</f>
        <v>24.259447693360947</v>
      </c>
      <c r="J18" s="132">
        <f>IF(SER_hh_tesh_in!J18=0,0,SER_hh_tesh_in!J18/SER_summary!J$27)</f>
        <v>24.161223732927308</v>
      </c>
      <c r="K18" s="132">
        <f>IF(SER_hh_tesh_in!K18=0,0,SER_hh_tesh_in!K18/SER_summary!K$27)</f>
        <v>23.805463831133416</v>
      </c>
      <c r="L18" s="132">
        <f>IF(SER_hh_tesh_in!L18=0,0,SER_hh_tesh_in!L18/SER_summary!L$27)</f>
        <v>23.795804579294355</v>
      </c>
      <c r="M18" s="132">
        <f>IF(SER_hh_tesh_in!M18=0,0,SER_hh_tesh_in!M18/SER_summary!M$27)</f>
        <v>23.000447989658902</v>
      </c>
      <c r="N18" s="132">
        <f>IF(SER_hh_tesh_in!N18=0,0,SER_hh_tesh_in!N18/SER_summary!N$27)</f>
        <v>22.513147450865564</v>
      </c>
      <c r="O18" s="132">
        <f>IF(SER_hh_tesh_in!O18=0,0,SER_hh_tesh_in!O18/SER_summary!O$27)</f>
        <v>22.064595075998351</v>
      </c>
      <c r="P18" s="132">
        <f>IF(SER_hh_tesh_in!P18=0,0,SER_hh_tesh_in!P18/SER_summary!P$27)</f>
        <v>21.816681663476022</v>
      </c>
      <c r="Q18" s="132">
        <f>IF(SER_hh_tesh_in!Q18=0,0,SER_hh_tesh_in!Q18/SER_summary!Q$27)</f>
        <v>20.99388010674943</v>
      </c>
      <c r="R18" s="132">
        <f>IF(SER_hh_tesh_in!R18=0,0,SER_hh_tesh_in!R18/SER_summary!R$27)</f>
        <v>20.46973729205822</v>
      </c>
      <c r="S18" s="132">
        <f>IF(SER_hh_tesh_in!S18=0,0,SER_hh_tesh_in!S18/SER_summary!S$27)</f>
        <v>19.852760034246742</v>
      </c>
      <c r="T18" s="132">
        <f>IF(SER_hh_tesh_in!T18=0,0,SER_hh_tesh_in!T18/SER_summary!T$27)</f>
        <v>19.336226715686628</v>
      </c>
      <c r="U18" s="132">
        <f>IF(SER_hh_tesh_in!U18=0,0,SER_hh_tesh_in!U18/SER_summary!U$27)</f>
        <v>18.357841388780596</v>
      </c>
      <c r="V18" s="132">
        <f>IF(SER_hh_tesh_in!V18=0,0,SER_hh_tesh_in!V18/SER_summary!V$27)</f>
        <v>16.99544931650388</v>
      </c>
      <c r="W18" s="132">
        <f>IF(SER_hh_tesh_in!W18=0,0,SER_hh_tesh_in!W18/SER_summary!W$27)</f>
        <v>15.138315150171948</v>
      </c>
      <c r="X18" s="132">
        <f>IF(SER_hh_tesh_in!X18=0,0,SER_hh_tesh_in!X18/SER_summary!X$27)</f>
        <v>12.471809222088547</v>
      </c>
      <c r="Y18" s="132">
        <f>IF(SER_hh_tesh_in!Y18=0,0,SER_hh_tesh_in!Y18/SER_summary!Y$27)</f>
        <v>13.013019547562555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19.04845331323542</v>
      </c>
      <c r="D19" s="130">
        <f>IF(SER_hh_tesh_in!D19=0,0,SER_hh_tesh_in!D19/SER_summary!D$27)</f>
        <v>18.957166626204817</v>
      </c>
      <c r="E19" s="130">
        <f>IF(SER_hh_tesh_in!E19=0,0,SER_hh_tesh_in!E19/SER_summary!E$27)</f>
        <v>18.817229733572489</v>
      </c>
      <c r="F19" s="130">
        <f>IF(SER_hh_tesh_in!F19=0,0,SER_hh_tesh_in!F19/SER_summary!F$27)</f>
        <v>18.668460887059211</v>
      </c>
      <c r="G19" s="130">
        <f>IF(SER_hh_tesh_in!G19=0,0,SER_hh_tesh_in!G19/SER_summary!G$27)</f>
        <v>19.270655861617868</v>
      </c>
      <c r="H19" s="130">
        <f>IF(SER_hh_tesh_in!H19=0,0,SER_hh_tesh_in!H19/SER_summary!H$27)</f>
        <v>18.831573573273168</v>
      </c>
      <c r="I19" s="130">
        <f>IF(SER_hh_tesh_in!I19=0,0,SER_hh_tesh_in!I19/SER_summary!I$27)</f>
        <v>18.859915378485724</v>
      </c>
      <c r="J19" s="130">
        <f>IF(SER_hh_tesh_in!J19=0,0,SER_hh_tesh_in!J19/SER_summary!J$27)</f>
        <v>18.828965275330074</v>
      </c>
      <c r="K19" s="130">
        <f>IF(SER_hh_tesh_in!K19=0,0,SER_hh_tesh_in!K19/SER_summary!K$27)</f>
        <v>19.374359551514384</v>
      </c>
      <c r="L19" s="130">
        <f>IF(SER_hh_tesh_in!L19=0,0,SER_hh_tesh_in!L19/SER_summary!L$27)</f>
        <v>19.155816710417742</v>
      </c>
      <c r="M19" s="130">
        <f>IF(SER_hh_tesh_in!M19=0,0,SER_hh_tesh_in!M19/SER_summary!M$27)</f>
        <v>18.758387789899615</v>
      </c>
      <c r="N19" s="130">
        <f>IF(SER_hh_tesh_in!N19=0,0,SER_hh_tesh_in!N19/SER_summary!N$27)</f>
        <v>19.362935557223782</v>
      </c>
      <c r="O19" s="130">
        <f>IF(SER_hh_tesh_in!O19=0,0,SER_hh_tesh_in!O19/SER_summary!O$27)</f>
        <v>19.29542978502565</v>
      </c>
      <c r="P19" s="130">
        <f>IF(SER_hh_tesh_in!P19=0,0,SER_hh_tesh_in!P19/SER_summary!P$27)</f>
        <v>18.988279976812667</v>
      </c>
      <c r="Q19" s="130">
        <f>IF(SER_hh_tesh_in!Q19=0,0,SER_hh_tesh_in!Q19/SER_summary!Q$27)</f>
        <v>18.865406894369841</v>
      </c>
      <c r="R19" s="130">
        <f>IF(SER_hh_tesh_in!R19=0,0,SER_hh_tesh_in!R19/SER_summary!R$27)</f>
        <v>18.703138629952207</v>
      </c>
      <c r="S19" s="130">
        <f>IF(SER_hh_tesh_in!S19=0,0,SER_hh_tesh_in!S19/SER_summary!S$27)</f>
        <v>18.545096462448448</v>
      </c>
      <c r="T19" s="130">
        <f>IF(SER_hh_tesh_in!T19=0,0,SER_hh_tesh_in!T19/SER_summary!T$27)</f>
        <v>18.275106073765084</v>
      </c>
      <c r="U19" s="130">
        <f>IF(SER_hh_tesh_in!U19=0,0,SER_hh_tesh_in!U19/SER_summary!U$27)</f>
        <v>18.29068600999658</v>
      </c>
      <c r="V19" s="130">
        <f>IF(SER_hh_tesh_in!V19=0,0,SER_hh_tesh_in!V19/SER_summary!V$27)</f>
        <v>18.53133949272188</v>
      </c>
      <c r="W19" s="130">
        <f>IF(SER_hh_tesh_in!W19=0,0,SER_hh_tesh_in!W19/SER_summary!W$27)</f>
        <v>18.23613213272958</v>
      </c>
      <c r="X19" s="130">
        <f>IF(SER_hh_tesh_in!X19=0,0,SER_hh_tesh_in!X19/SER_summary!X$27)</f>
        <v>17.316739493306589</v>
      </c>
      <c r="Y19" s="130">
        <f>IF(SER_hh_tesh_in!Y19=0,0,SER_hh_tesh_in!Y19/SER_summary!Y$27)</f>
        <v>17.349628544597692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0</v>
      </c>
      <c r="D21" s="132">
        <f>IF(SER_hh_tesh_in!D21=0,0,SER_hh_tesh_in!D21/SER_summary!D$27)</f>
        <v>0</v>
      </c>
      <c r="E21" s="132">
        <f>IF(SER_hh_tesh_in!E21=0,0,SER_hh_tesh_in!E21/SER_summary!E$27)</f>
        <v>0</v>
      </c>
      <c r="F21" s="132">
        <f>IF(SER_hh_tesh_in!F21=0,0,SER_hh_tesh_in!F21/SER_summary!F$27)</f>
        <v>0</v>
      </c>
      <c r="G21" s="132">
        <f>IF(SER_hh_tesh_in!G21=0,0,SER_hh_tesh_in!G21/SER_summary!G$27)</f>
        <v>0</v>
      </c>
      <c r="H21" s="132">
        <f>IF(SER_hh_tesh_in!H21=0,0,SER_hh_tesh_in!H21/SER_summary!H$27)</f>
        <v>0</v>
      </c>
      <c r="I21" s="132">
        <f>IF(SER_hh_tesh_in!I21=0,0,SER_hh_tesh_in!I21/SER_summary!I$27)</f>
        <v>0</v>
      </c>
      <c r="J21" s="132">
        <f>IF(SER_hh_tesh_in!J21=0,0,SER_hh_tesh_in!J21/SER_summary!J$27)</f>
        <v>0</v>
      </c>
      <c r="K21" s="132">
        <f>IF(SER_hh_tesh_in!K21=0,0,SER_hh_tesh_in!K21/SER_summary!K$27)</f>
        <v>0</v>
      </c>
      <c r="L21" s="132">
        <f>IF(SER_hh_tesh_in!L21=0,0,SER_hh_tesh_in!L21/SER_summary!L$27)</f>
        <v>0</v>
      </c>
      <c r="M21" s="132">
        <f>IF(SER_hh_tesh_in!M21=0,0,SER_hh_tesh_in!M21/SER_summary!M$27)</f>
        <v>0</v>
      </c>
      <c r="N21" s="132">
        <f>IF(SER_hh_tesh_in!N21=0,0,SER_hh_tesh_in!N21/SER_summary!N$27)</f>
        <v>0</v>
      </c>
      <c r="O21" s="132">
        <f>IF(SER_hh_tesh_in!O21=0,0,SER_hh_tesh_in!O21/SER_summary!O$27)</f>
        <v>0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0</v>
      </c>
      <c r="S21" s="132">
        <f>IF(SER_hh_tesh_in!S21=0,0,SER_hh_tesh_in!S21/SER_summary!S$27)</f>
        <v>0</v>
      </c>
      <c r="T21" s="132">
        <f>IF(SER_hh_tesh_in!T21=0,0,SER_hh_tesh_in!T21/SER_summary!T$27)</f>
        <v>0</v>
      </c>
      <c r="U21" s="132">
        <f>IF(SER_hh_tesh_in!U21=0,0,SER_hh_tesh_in!U21/SER_summary!U$27)</f>
        <v>0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0</v>
      </c>
      <c r="Y21" s="132">
        <f>IF(SER_hh_tesh_in!Y21=0,0,SER_hh_tesh_in!Y21/SER_summary!Y$27)</f>
        <v>0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19.187027985104184</v>
      </c>
      <c r="D22" s="132">
        <f>IF(SER_hh_tesh_in!D22=0,0,SER_hh_tesh_in!D22/SER_summary!D$27)</f>
        <v>19.090388665514478</v>
      </c>
      <c r="E22" s="132">
        <f>IF(SER_hh_tesh_in!E22=0,0,SER_hh_tesh_in!E22/SER_summary!E$27)</f>
        <v>19.882736066502495</v>
      </c>
      <c r="F22" s="132">
        <f>IF(SER_hh_tesh_in!F22=0,0,SER_hh_tesh_in!F22/SER_summary!F$27)</f>
        <v>0</v>
      </c>
      <c r="G22" s="132">
        <f>IF(SER_hh_tesh_in!G22=0,0,SER_hh_tesh_in!G22/SER_summary!G$27)</f>
        <v>0</v>
      </c>
      <c r="H22" s="132">
        <f>IF(SER_hh_tesh_in!H22=0,0,SER_hh_tesh_in!H22/SER_summary!H$27)</f>
        <v>0</v>
      </c>
      <c r="I22" s="132">
        <f>IF(SER_hh_tesh_in!I22=0,0,SER_hh_tesh_in!I22/SER_summary!I$27)</f>
        <v>0</v>
      </c>
      <c r="J22" s="132">
        <f>IF(SER_hh_tesh_in!J22=0,0,SER_hh_tesh_in!J22/SER_summary!J$27)</f>
        <v>0</v>
      </c>
      <c r="K22" s="132">
        <f>IF(SER_hh_tesh_in!K22=0,0,SER_hh_tesh_in!K22/SER_summary!K$27)</f>
        <v>0</v>
      </c>
      <c r="L22" s="132">
        <f>IF(SER_hh_tesh_in!L22=0,0,SER_hh_tesh_in!L22/SER_summary!L$27)</f>
        <v>0</v>
      </c>
      <c r="M22" s="132">
        <f>IF(SER_hh_tesh_in!M22=0,0,SER_hh_tesh_in!M22/SER_summary!M$27)</f>
        <v>16.440993874580965</v>
      </c>
      <c r="N22" s="132">
        <f>IF(SER_hh_tesh_in!N22=0,0,SER_hh_tesh_in!N22/SER_summary!N$27)</f>
        <v>21.046170227742355</v>
      </c>
      <c r="O22" s="132">
        <f>IF(SER_hh_tesh_in!O22=0,0,SER_hh_tesh_in!O22/SER_summary!O$27)</f>
        <v>21.238154913399331</v>
      </c>
      <c r="P22" s="132">
        <f>IF(SER_hh_tesh_in!P22=0,0,SER_hh_tesh_in!P22/SER_summary!P$27)</f>
        <v>15.135991392867036</v>
      </c>
      <c r="Q22" s="132">
        <f>IF(SER_hh_tesh_in!Q22=0,0,SER_hh_tesh_in!Q22/SER_summary!Q$27)</f>
        <v>19.999437856433591</v>
      </c>
      <c r="R22" s="132">
        <f>IF(SER_hh_tesh_in!R22=0,0,SER_hh_tesh_in!R22/SER_summary!R$27)</f>
        <v>19.015861922780545</v>
      </c>
      <c r="S22" s="132">
        <f>IF(SER_hh_tesh_in!S22=0,0,SER_hh_tesh_in!S22/SER_summary!S$27)</f>
        <v>18.883123146902314</v>
      </c>
      <c r="T22" s="132">
        <f>IF(SER_hh_tesh_in!T22=0,0,SER_hh_tesh_in!T22/SER_summary!T$27)</f>
        <v>19.044129729166453</v>
      </c>
      <c r="U22" s="132">
        <f>IF(SER_hh_tesh_in!U22=0,0,SER_hh_tesh_in!U22/SER_summary!U$27)</f>
        <v>18.566378497385102</v>
      </c>
      <c r="V22" s="132">
        <f>IF(SER_hh_tesh_in!V22=0,0,SER_hh_tesh_in!V22/SER_summary!V$27)</f>
        <v>0</v>
      </c>
      <c r="W22" s="132">
        <f>IF(SER_hh_tesh_in!W22=0,0,SER_hh_tesh_in!W22/SER_summary!W$27)</f>
        <v>0</v>
      </c>
      <c r="X22" s="132">
        <f>IF(SER_hh_tesh_in!X22=0,0,SER_hh_tesh_in!X22/SER_summary!X$27)</f>
        <v>0</v>
      </c>
      <c r="Y22" s="132">
        <f>IF(SER_hh_tesh_in!Y22=0,0,SER_hh_tesh_in!Y22/SER_summary!Y$27)</f>
        <v>0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17.381630984539669</v>
      </c>
      <c r="D23" s="132">
        <f>IF(SER_hh_tesh_in!D23=0,0,SER_hh_tesh_in!D23/SER_summary!D$27)</f>
        <v>18.965825411663101</v>
      </c>
      <c r="E23" s="132">
        <f>IF(SER_hh_tesh_in!E23=0,0,SER_hh_tesh_in!E23/SER_summary!E$27)</f>
        <v>19.979566471926351</v>
      </c>
      <c r="F23" s="132">
        <f>IF(SER_hh_tesh_in!F23=0,0,SER_hh_tesh_in!F23/SER_summary!F$27)</f>
        <v>17.796997368586947</v>
      </c>
      <c r="G23" s="132">
        <f>IF(SER_hh_tesh_in!G23=0,0,SER_hh_tesh_in!G23/SER_summary!G$27)</f>
        <v>18.202015049082657</v>
      </c>
      <c r="H23" s="132">
        <f>IF(SER_hh_tesh_in!H23=0,0,SER_hh_tesh_in!H23/SER_summary!H$27)</f>
        <v>20.228781812446261</v>
      </c>
      <c r="I23" s="132">
        <f>IF(SER_hh_tesh_in!I23=0,0,SER_hh_tesh_in!I23/SER_summary!I$27)</f>
        <v>18.767937498664207</v>
      </c>
      <c r="J23" s="132">
        <f>IF(SER_hh_tesh_in!J23=0,0,SER_hh_tesh_in!J23/SER_summary!J$27)</f>
        <v>19.384264400864001</v>
      </c>
      <c r="K23" s="132">
        <f>IF(SER_hh_tesh_in!K23=0,0,SER_hh_tesh_in!K23/SER_summary!K$27)</f>
        <v>18.900079684234086</v>
      </c>
      <c r="L23" s="132">
        <f>IF(SER_hh_tesh_in!L23=0,0,SER_hh_tesh_in!L23/SER_summary!L$27)</f>
        <v>19.30451017463195</v>
      </c>
      <c r="M23" s="132">
        <f>IF(SER_hh_tesh_in!M23=0,0,SER_hh_tesh_in!M23/SER_summary!M$27)</f>
        <v>18.879922256751591</v>
      </c>
      <c r="N23" s="132">
        <f>IF(SER_hh_tesh_in!N23=0,0,SER_hh_tesh_in!N23/SER_summary!N$27)</f>
        <v>18.796994120673823</v>
      </c>
      <c r="O23" s="132">
        <f>IF(SER_hh_tesh_in!O23=0,0,SER_hh_tesh_in!O23/SER_summary!O$27)</f>
        <v>18.830190490994934</v>
      </c>
      <c r="P23" s="132">
        <f>IF(SER_hh_tesh_in!P23=0,0,SER_hh_tesh_in!P23/SER_summary!P$27)</f>
        <v>19.418864280514342</v>
      </c>
      <c r="Q23" s="132">
        <f>IF(SER_hh_tesh_in!Q23=0,0,SER_hh_tesh_in!Q23/SER_summary!Q$27)</f>
        <v>19.520660918102937</v>
      </c>
      <c r="R23" s="132">
        <f>IF(SER_hh_tesh_in!R23=0,0,SER_hh_tesh_in!R23/SER_summary!R$27)</f>
        <v>20.911476758206867</v>
      </c>
      <c r="S23" s="132">
        <f>IF(SER_hh_tesh_in!S23=0,0,SER_hh_tesh_in!S23/SER_summary!S$27)</f>
        <v>12.185063817378801</v>
      </c>
      <c r="T23" s="132">
        <f>IF(SER_hh_tesh_in!T23=0,0,SER_hh_tesh_in!T23/SER_summary!T$27)</f>
        <v>16.704531401326356</v>
      </c>
      <c r="U23" s="132">
        <f>IF(SER_hh_tesh_in!U23=0,0,SER_hh_tesh_in!U23/SER_summary!U$27)</f>
        <v>20.793858004361851</v>
      </c>
      <c r="V23" s="132">
        <f>IF(SER_hh_tesh_in!V23=0,0,SER_hh_tesh_in!V23/SER_summary!V$27)</f>
        <v>19.786218158732254</v>
      </c>
      <c r="W23" s="132">
        <f>IF(SER_hh_tesh_in!W23=0,0,SER_hh_tesh_in!W23/SER_summary!W$27)</f>
        <v>19.642874790429438</v>
      </c>
      <c r="X23" s="132">
        <f>IF(SER_hh_tesh_in!X23=0,0,SER_hh_tesh_in!X23/SER_summary!X$27)</f>
        <v>17.195932898037608</v>
      </c>
      <c r="Y23" s="132">
        <f>IF(SER_hh_tesh_in!Y23=0,0,SER_hh_tesh_in!Y23/SER_summary!Y$27)</f>
        <v>0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18.997526199426144</v>
      </c>
      <c r="D25" s="132">
        <f>IF(SER_hh_tesh_in!D25=0,0,SER_hh_tesh_in!D25/SER_summary!D$27)</f>
        <v>18.77350459012208</v>
      </c>
      <c r="E25" s="132">
        <f>IF(SER_hh_tesh_in!E25=0,0,SER_hh_tesh_in!E25/SER_summary!E$27)</f>
        <v>18.520874453048677</v>
      </c>
      <c r="F25" s="132">
        <f>IF(SER_hh_tesh_in!F25=0,0,SER_hh_tesh_in!F25/SER_summary!F$27)</f>
        <v>18.775822861974564</v>
      </c>
      <c r="G25" s="132">
        <f>IF(SER_hh_tesh_in!G25=0,0,SER_hh_tesh_in!G25/SER_summary!G$27)</f>
        <v>19.200242765152726</v>
      </c>
      <c r="H25" s="132">
        <f>IF(SER_hh_tesh_in!H25=0,0,SER_hh_tesh_in!H25/SER_summary!H$27)</f>
        <v>19.28062408264913</v>
      </c>
      <c r="I25" s="132">
        <f>IF(SER_hh_tesh_in!I25=0,0,SER_hh_tesh_in!I25/SER_summary!I$27)</f>
        <v>18.708084811247723</v>
      </c>
      <c r="J25" s="132">
        <f>IF(SER_hh_tesh_in!J25=0,0,SER_hh_tesh_in!J25/SER_summary!J$27)</f>
        <v>19.017698774438159</v>
      </c>
      <c r="K25" s="132">
        <f>IF(SER_hh_tesh_in!K25=0,0,SER_hh_tesh_in!K25/SER_summary!K$27)</f>
        <v>18.998033264541075</v>
      </c>
      <c r="L25" s="132">
        <f>IF(SER_hh_tesh_in!L25=0,0,SER_hh_tesh_in!L25/SER_summary!L$27)</f>
        <v>18.909169563419564</v>
      </c>
      <c r="M25" s="132">
        <f>IF(SER_hh_tesh_in!M25=0,0,SER_hh_tesh_in!M25/SER_summary!M$27)</f>
        <v>19.009956189938354</v>
      </c>
      <c r="N25" s="132">
        <f>IF(SER_hh_tesh_in!N25=0,0,SER_hh_tesh_in!N25/SER_summary!N$27)</f>
        <v>19.258506988956235</v>
      </c>
      <c r="O25" s="132">
        <f>IF(SER_hh_tesh_in!O25=0,0,SER_hh_tesh_in!O25/SER_summary!O$27)</f>
        <v>19.022640225854172</v>
      </c>
      <c r="P25" s="132">
        <f>IF(SER_hh_tesh_in!P25=0,0,SER_hh_tesh_in!P25/SER_summary!P$27)</f>
        <v>18.826357726784</v>
      </c>
      <c r="Q25" s="132">
        <f>IF(SER_hh_tesh_in!Q25=0,0,SER_hh_tesh_in!Q25/SER_summary!Q$27)</f>
        <v>18.504550991160787</v>
      </c>
      <c r="R25" s="132">
        <f>IF(SER_hh_tesh_in!R25=0,0,SER_hh_tesh_in!R25/SER_summary!R$27)</f>
        <v>19.189934933800622</v>
      </c>
      <c r="S25" s="132">
        <f>IF(SER_hh_tesh_in!S25=0,0,SER_hh_tesh_in!S25/SER_summary!S$27)</f>
        <v>18.085629371008825</v>
      </c>
      <c r="T25" s="132">
        <f>IF(SER_hh_tesh_in!T25=0,0,SER_hh_tesh_in!T25/SER_summary!T$27)</f>
        <v>18.875609270888965</v>
      </c>
      <c r="U25" s="132">
        <f>IF(SER_hh_tesh_in!U25=0,0,SER_hh_tesh_in!U25/SER_summary!U$27)</f>
        <v>18.742887345965009</v>
      </c>
      <c r="V25" s="132">
        <f>IF(SER_hh_tesh_in!V25=0,0,SER_hh_tesh_in!V25/SER_summary!V$27)</f>
        <v>16.097721584080851</v>
      </c>
      <c r="W25" s="132">
        <f>IF(SER_hh_tesh_in!W25=0,0,SER_hh_tesh_in!W25/SER_summary!W$27)</f>
        <v>18.802642125624679</v>
      </c>
      <c r="X25" s="132">
        <f>IF(SER_hh_tesh_in!X25=0,0,SER_hh_tesh_in!X25/SER_summary!X$27)</f>
        <v>17.521295337474246</v>
      </c>
      <c r="Y25" s="132">
        <f>IF(SER_hh_tesh_in!Y25=0,0,SER_hh_tesh_in!Y25/SER_summary!Y$27)</f>
        <v>17.188990924386321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19.078179606865259</v>
      </c>
      <c r="D26" s="65">
        <f>IF(SER_hh_tesh_in!D26=0,0,SER_hh_tesh_in!D26/SER_summary!D$27)</f>
        <v>19.101202155866016</v>
      </c>
      <c r="E26" s="65">
        <f>IF(SER_hh_tesh_in!E26=0,0,SER_hh_tesh_in!E26/SER_summary!E$27)</f>
        <v>19.058372241079706</v>
      </c>
      <c r="F26" s="65">
        <f>IF(SER_hh_tesh_in!F26=0,0,SER_hh_tesh_in!F26/SER_summary!F$27)</f>
        <v>18.547272728390965</v>
      </c>
      <c r="G26" s="65">
        <f>IF(SER_hh_tesh_in!G26=0,0,SER_hh_tesh_in!G26/SER_summary!G$27)</f>
        <v>19.39449680327419</v>
      </c>
      <c r="H26" s="65">
        <f>IF(SER_hh_tesh_in!H26=0,0,SER_hh_tesh_in!H26/SER_summary!H$27)</f>
        <v>18.154956494597243</v>
      </c>
      <c r="I26" s="65">
        <f>IF(SER_hh_tesh_in!I26=0,0,SER_hh_tesh_in!I26/SER_summary!I$27)</f>
        <v>18.979972992565962</v>
      </c>
      <c r="J26" s="65">
        <f>IF(SER_hh_tesh_in!J26=0,0,SER_hh_tesh_in!J26/SER_summary!J$27)</f>
        <v>18.684884583834055</v>
      </c>
      <c r="K26" s="65">
        <f>IF(SER_hh_tesh_in!K26=0,0,SER_hh_tesh_in!K26/SER_summary!K$27)</f>
        <v>19.635120893865906</v>
      </c>
      <c r="L26" s="65">
        <f>IF(SER_hh_tesh_in!L26=0,0,SER_hh_tesh_in!L26/SER_summary!L$27)</f>
        <v>19.395024000702517</v>
      </c>
      <c r="M26" s="65">
        <f>IF(SER_hh_tesh_in!M26=0,0,SER_hh_tesh_in!M26/SER_summary!M$27)</f>
        <v>19.382242299441756</v>
      </c>
      <c r="N26" s="65">
        <f>IF(SER_hh_tesh_in!N26=0,0,SER_hh_tesh_in!N26/SER_summary!N$27)</f>
        <v>18.371777097171055</v>
      </c>
      <c r="O26" s="65">
        <f>IF(SER_hh_tesh_in!O26=0,0,SER_hh_tesh_in!O26/SER_summary!O$27)</f>
        <v>18.753163964093027</v>
      </c>
      <c r="P26" s="65">
        <f>IF(SER_hh_tesh_in!P26=0,0,SER_hh_tesh_in!P26/SER_summary!P$27)</f>
        <v>19.639740370045264</v>
      </c>
      <c r="Q26" s="65">
        <f>IF(SER_hh_tesh_in!Q26=0,0,SER_hh_tesh_in!Q26/SER_summary!Q$27)</f>
        <v>18.904908422546512</v>
      </c>
      <c r="R26" s="65">
        <f>IF(SER_hh_tesh_in!R26=0,0,SER_hh_tesh_in!R26/SER_summary!R$27)</f>
        <v>17.560355810044708</v>
      </c>
      <c r="S26" s="65">
        <f>IF(SER_hh_tesh_in!S26=0,0,SER_hh_tesh_in!S26/SER_summary!S$27)</f>
        <v>19.078727475072295</v>
      </c>
      <c r="T26" s="65">
        <f>IF(SER_hh_tesh_in!T26=0,0,SER_hh_tesh_in!T26/SER_summary!T$27)</f>
        <v>17.740276596439841</v>
      </c>
      <c r="U26" s="65">
        <f>IF(SER_hh_tesh_in!U26=0,0,SER_hh_tesh_in!U26/SER_summary!U$27)</f>
        <v>17.829891779417402</v>
      </c>
      <c r="V26" s="65">
        <f>IF(SER_hh_tesh_in!V26=0,0,SER_hh_tesh_in!V26/SER_summary!V$27)</f>
        <v>21.019524885262506</v>
      </c>
      <c r="W26" s="65">
        <f>IF(SER_hh_tesh_in!W26=0,0,SER_hh_tesh_in!W26/SER_summary!W$27)</f>
        <v>17.213830279323208</v>
      </c>
      <c r="X26" s="65">
        <f>IF(SER_hh_tesh_in!X26=0,0,SER_hh_tesh_in!X26/SER_summary!X$27)</f>
        <v>16.879185692632433</v>
      </c>
      <c r="Y26" s="65">
        <f>IF(SER_hh_tesh_in!Y26=0,0,SER_hh_tesh_in!Y26/SER_summary!Y$27)</f>
        <v>17.533801402137399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</v>
      </c>
      <c r="D27" s="145">
        <f>IF(SER_hh_tesh_in!D27=0,0,SER_hh_tesh_in!D27/SER_summary!D$27)</f>
        <v>0</v>
      </c>
      <c r="E27" s="145">
        <f>IF(SER_hh_tesh_in!E27=0,0,SER_hh_tesh_in!E27/SER_summary!E$27)</f>
        <v>0</v>
      </c>
      <c r="F27" s="145">
        <f>IF(SER_hh_tesh_in!F27=0,0,SER_hh_tesh_in!F27/SER_summary!F$27)</f>
        <v>0</v>
      </c>
      <c r="G27" s="145">
        <f>IF(SER_hh_tesh_in!G27=0,0,SER_hh_tesh_in!G27/SER_summary!G$27)</f>
        <v>0</v>
      </c>
      <c r="H27" s="145">
        <f>IF(SER_hh_tesh_in!H27=0,0,SER_hh_tesh_in!H27/SER_summary!H$27)</f>
        <v>0</v>
      </c>
      <c r="I27" s="145">
        <f>IF(SER_hh_tesh_in!I27=0,0,SER_hh_tesh_in!I27/SER_summary!I$27)</f>
        <v>0</v>
      </c>
      <c r="J27" s="145">
        <f>IF(SER_hh_tesh_in!J27=0,0,SER_hh_tesh_in!J27/SER_summary!J$27)</f>
        <v>0</v>
      </c>
      <c r="K27" s="145">
        <f>IF(SER_hh_tesh_in!K27=0,0,SER_hh_tesh_in!K27/SER_summary!K$27)</f>
        <v>0</v>
      </c>
      <c r="L27" s="145">
        <f>IF(SER_hh_tesh_in!L27=0,0,SER_hh_tesh_in!L27/SER_summary!L$27)</f>
        <v>0</v>
      </c>
      <c r="M27" s="145">
        <f>IF(SER_hh_tesh_in!M27=0,0,SER_hh_tesh_in!M27/SER_summary!M$27)</f>
        <v>0</v>
      </c>
      <c r="N27" s="145">
        <f>IF(SER_hh_tesh_in!N27=0,0,SER_hh_tesh_in!N27/SER_summary!N$27)</f>
        <v>0</v>
      </c>
      <c r="O27" s="145">
        <f>IF(SER_hh_tesh_in!O27=0,0,SER_hh_tesh_in!O27/SER_summary!O$27)</f>
        <v>0</v>
      </c>
      <c r="P27" s="145">
        <f>IF(SER_hh_tesh_in!P27=0,0,SER_hh_tesh_in!P27/SER_summary!P$27)</f>
        <v>0</v>
      </c>
      <c r="Q27" s="145">
        <f>IF(SER_hh_tesh_in!Q27=0,0,SER_hh_tesh_in!Q27/SER_summary!Q$27)</f>
        <v>0</v>
      </c>
      <c r="R27" s="145">
        <f>IF(SER_hh_tesh_in!R27=0,0,SER_hh_tesh_in!R27/SER_summary!R$27)</f>
        <v>0</v>
      </c>
      <c r="S27" s="145">
        <f>IF(SER_hh_tesh_in!S27=0,0,SER_hh_tesh_in!S27/SER_summary!S$27)</f>
        <v>0</v>
      </c>
      <c r="T27" s="145">
        <f>IF(SER_hh_tesh_in!T27=0,0,SER_hh_tesh_in!T27/SER_summary!T$27)</f>
        <v>0</v>
      </c>
      <c r="U27" s="145">
        <f>IF(SER_hh_tesh_in!U27=0,0,SER_hh_tesh_in!U27/SER_summary!U$27)</f>
        <v>0</v>
      </c>
      <c r="V27" s="145">
        <f>IF(SER_hh_tesh_in!V27=0,0,SER_hh_tesh_in!V27/SER_summary!V$27)</f>
        <v>0</v>
      </c>
      <c r="W27" s="145">
        <f>IF(SER_hh_tesh_in!W27=0,0,SER_hh_tesh_in!W27/SER_summary!W$27)</f>
        <v>0</v>
      </c>
      <c r="X27" s="145">
        <f>IF(SER_hh_tesh_in!X27=0,0,SER_hh_tesh_in!X27/SER_summary!X$27)</f>
        <v>0</v>
      </c>
      <c r="Y27" s="145">
        <f>IF(SER_hh_tesh_in!Y27=0,0,SER_hh_tesh_in!Y27/SER_summary!Y$27)</f>
        <v>0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0</v>
      </c>
      <c r="D28" s="146">
        <f>IF(SER_hh_tesh_in!D28=0,0,SER_hh_tesh_in!D28/SER_summary!D$27)</f>
        <v>0</v>
      </c>
      <c r="E28" s="146">
        <f>IF(SER_hh_tesh_in!E28=0,0,SER_hh_tesh_in!E28/SER_summary!E$27)</f>
        <v>0</v>
      </c>
      <c r="F28" s="146">
        <f>IF(SER_hh_tesh_in!F28=0,0,SER_hh_tesh_in!F28/SER_summary!F$27)</f>
        <v>0</v>
      </c>
      <c r="G28" s="146">
        <f>IF(SER_hh_tesh_in!G28=0,0,SER_hh_tesh_in!G28/SER_summary!G$27)</f>
        <v>0</v>
      </c>
      <c r="H28" s="146">
        <f>IF(SER_hh_tesh_in!H28=0,0,SER_hh_tesh_in!H28/SER_summary!H$27)</f>
        <v>0</v>
      </c>
      <c r="I28" s="146">
        <f>IF(SER_hh_tesh_in!I28=0,0,SER_hh_tesh_in!I28/SER_summary!I$27)</f>
        <v>0</v>
      </c>
      <c r="J28" s="146">
        <f>IF(SER_hh_tesh_in!J28=0,0,SER_hh_tesh_in!J28/SER_summary!J$27)</f>
        <v>0</v>
      </c>
      <c r="K28" s="146">
        <f>IF(SER_hh_tesh_in!K28=0,0,SER_hh_tesh_in!K28/SER_summary!K$27)</f>
        <v>0</v>
      </c>
      <c r="L28" s="146">
        <f>IF(SER_hh_tesh_in!L28=0,0,SER_hh_tesh_in!L28/SER_summary!L$27)</f>
        <v>0</v>
      </c>
      <c r="M28" s="146">
        <f>IF(SER_hh_tesh_in!M28=0,0,SER_hh_tesh_in!M28/SER_summary!M$27)</f>
        <v>0</v>
      </c>
      <c r="N28" s="146">
        <f>IF(SER_hh_tesh_in!N28=0,0,SER_hh_tesh_in!N28/SER_summary!N$27)</f>
        <v>0</v>
      </c>
      <c r="O28" s="146">
        <f>IF(SER_hh_tesh_in!O28=0,0,SER_hh_tesh_in!O28/SER_summary!O$27)</f>
        <v>0</v>
      </c>
      <c r="P28" s="146">
        <f>IF(SER_hh_tesh_in!P28=0,0,SER_hh_tesh_in!P28/SER_summary!P$27)</f>
        <v>0</v>
      </c>
      <c r="Q28" s="146">
        <f>IF(SER_hh_tesh_in!Q28=0,0,SER_hh_tesh_in!Q28/SER_summary!Q$27)</f>
        <v>0</v>
      </c>
      <c r="R28" s="146">
        <f>IF(SER_hh_tesh_in!R28=0,0,SER_hh_tesh_in!R28/SER_summary!R$27)</f>
        <v>0</v>
      </c>
      <c r="S28" s="146">
        <f>IF(SER_hh_tesh_in!S28=0,0,SER_hh_tesh_in!S28/SER_summary!S$27)</f>
        <v>0</v>
      </c>
      <c r="T28" s="146">
        <f>IF(SER_hh_tesh_in!T28=0,0,SER_hh_tesh_in!T28/SER_summary!T$27)</f>
        <v>0</v>
      </c>
      <c r="U28" s="146">
        <f>IF(SER_hh_tesh_in!U28=0,0,SER_hh_tesh_in!U28/SER_summary!U$27)</f>
        <v>0</v>
      </c>
      <c r="V28" s="146">
        <f>IF(SER_hh_tesh_in!V28=0,0,SER_hh_tesh_in!V28/SER_summary!V$27)</f>
        <v>0</v>
      </c>
      <c r="W28" s="146">
        <f>IF(SER_hh_tesh_in!W28=0,0,SER_hh_tesh_in!W28/SER_summary!W$27)</f>
        <v>0</v>
      </c>
      <c r="X28" s="146">
        <f>IF(SER_hh_tesh_in!X28=0,0,SER_hh_tesh_in!X28/SER_summary!X$27)</f>
        <v>0</v>
      </c>
      <c r="Y28" s="146">
        <f>IF(SER_hh_tesh_in!Y28=0,0,SER_hh_tesh_in!Y28/SER_summary!Y$27)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17.64641218520428</v>
      </c>
      <c r="D29" s="130">
        <f>IF(SER_hh_tesh_in!D29=0,0,SER_hh_tesh_in!D29/SER_summary!D$27)</f>
        <v>17.971383980504484</v>
      </c>
      <c r="E29" s="130">
        <f>IF(SER_hh_tesh_in!E29=0,0,SER_hh_tesh_in!E29/SER_summary!E$27)</f>
        <v>18.441572095352115</v>
      </c>
      <c r="F29" s="130">
        <f>IF(SER_hh_tesh_in!F29=0,0,SER_hh_tesh_in!F29/SER_summary!F$27)</f>
        <v>18.823355898174217</v>
      </c>
      <c r="G29" s="130">
        <f>IF(SER_hh_tesh_in!G29=0,0,SER_hh_tesh_in!G29/SER_summary!G$27)</f>
        <v>18.015706358632116</v>
      </c>
      <c r="H29" s="130">
        <f>IF(SER_hh_tesh_in!H29=0,0,SER_hh_tesh_in!H29/SER_summary!H$27)</f>
        <v>19.204261679134618</v>
      </c>
      <c r="I29" s="130">
        <f>IF(SER_hh_tesh_in!I29=0,0,SER_hh_tesh_in!I29/SER_summary!I$27)</f>
        <v>20.342184483141892</v>
      </c>
      <c r="J29" s="130">
        <f>IF(SER_hh_tesh_in!J29=0,0,SER_hh_tesh_in!J29/SER_summary!J$27)</f>
        <v>19.501599546759394</v>
      </c>
      <c r="K29" s="130">
        <f>IF(SER_hh_tesh_in!K29=0,0,SER_hh_tesh_in!K29/SER_summary!K$27)</f>
        <v>21.349613230908265</v>
      </c>
      <c r="L29" s="130">
        <f>IF(SER_hh_tesh_in!L29=0,0,SER_hh_tesh_in!L29/SER_summary!L$27)</f>
        <v>19.841037396678765</v>
      </c>
      <c r="M29" s="130">
        <f>IF(SER_hh_tesh_in!M29=0,0,SER_hh_tesh_in!M29/SER_summary!M$27)</f>
        <v>19.88472029903145</v>
      </c>
      <c r="N29" s="130">
        <f>IF(SER_hh_tesh_in!N29=0,0,SER_hh_tesh_in!N29/SER_summary!N$27)</f>
        <v>22.225762346154898</v>
      </c>
      <c r="O29" s="130">
        <f>IF(SER_hh_tesh_in!O29=0,0,SER_hh_tesh_in!O29/SER_summary!O$27)</f>
        <v>21.744495883774441</v>
      </c>
      <c r="P29" s="130">
        <f>IF(SER_hh_tesh_in!P29=0,0,SER_hh_tesh_in!P29/SER_summary!P$27)</f>
        <v>21.299867468395558</v>
      </c>
      <c r="Q29" s="130">
        <f>IF(SER_hh_tesh_in!Q29=0,0,SER_hh_tesh_in!Q29/SER_summary!Q$27)</f>
        <v>21.699924035302406</v>
      </c>
      <c r="R29" s="130">
        <f>IF(SER_hh_tesh_in!R29=0,0,SER_hh_tesh_in!R29/SER_summary!R$27)</f>
        <v>21.820318577157224</v>
      </c>
      <c r="S29" s="130">
        <f>IF(SER_hh_tesh_in!S29=0,0,SER_hh_tesh_in!S29/SER_summary!S$27)</f>
        <v>22.558914535286579</v>
      </c>
      <c r="T29" s="130">
        <f>IF(SER_hh_tesh_in!T29=0,0,SER_hh_tesh_in!T29/SER_summary!T$27)</f>
        <v>22.607666515370834</v>
      </c>
      <c r="U29" s="130">
        <f>IF(SER_hh_tesh_in!U29=0,0,SER_hh_tesh_in!U29/SER_summary!U$27)</f>
        <v>23.489276229152729</v>
      </c>
      <c r="V29" s="130">
        <f>IF(SER_hh_tesh_in!V29=0,0,SER_hh_tesh_in!V29/SER_summary!V$27)</f>
        <v>24.043941550919214</v>
      </c>
      <c r="W29" s="130">
        <f>IF(SER_hh_tesh_in!W29=0,0,SER_hh_tesh_in!W29/SER_summary!W$27)</f>
        <v>24.129732046639276</v>
      </c>
      <c r="X29" s="130">
        <f>IF(SER_hh_tesh_in!X29=0,0,SER_hh_tesh_in!X29/SER_summary!X$27)</f>
        <v>23.084368737268711</v>
      </c>
      <c r="Y29" s="130">
        <f>IF(SER_hh_tesh_in!Y29=0,0,SER_hh_tesh_in!Y29/SER_summary!Y$27)</f>
        <v>22.476795371540121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21.925291825673213</v>
      </c>
      <c r="D30" s="132">
        <f>IF(SER_hh_tesh_in!D30=0,0,SER_hh_tesh_in!D30/SER_summary!D$27)</f>
        <v>18.780704353210034</v>
      </c>
      <c r="E30" s="132">
        <f>IF(SER_hh_tesh_in!E30=0,0,SER_hh_tesh_in!E30/SER_summary!E$27)</f>
        <v>0</v>
      </c>
      <c r="F30" s="132">
        <f>IF(SER_hh_tesh_in!F30=0,0,SER_hh_tesh_in!F30/SER_summary!F$27)</f>
        <v>15.792436405341354</v>
      </c>
      <c r="G30" s="132">
        <f>IF(SER_hh_tesh_in!G30=0,0,SER_hh_tesh_in!G30/SER_summary!G$27)</f>
        <v>13.540234294679404</v>
      </c>
      <c r="H30" s="132">
        <f>IF(SER_hh_tesh_in!H30=0,0,SER_hh_tesh_in!H30/SER_summary!H$27)</f>
        <v>19.34832080745554</v>
      </c>
      <c r="I30" s="132">
        <f>IF(SER_hh_tesh_in!I30=0,0,SER_hh_tesh_in!I30/SER_summary!I$27)</f>
        <v>23.892031375563807</v>
      </c>
      <c r="J30" s="132">
        <f>IF(SER_hh_tesh_in!J30=0,0,SER_hh_tesh_in!J30/SER_summary!J$27)</f>
        <v>21.237500193446557</v>
      </c>
      <c r="K30" s="132">
        <f>IF(SER_hh_tesh_in!K30=0,0,SER_hh_tesh_in!K30/SER_summary!K$27)</f>
        <v>15.05570154945619</v>
      </c>
      <c r="L30" s="132">
        <f>IF(SER_hh_tesh_in!L30=0,0,SER_hh_tesh_in!L30/SER_summary!L$27)</f>
        <v>24.460163887670472</v>
      </c>
      <c r="M30" s="132">
        <f>IF(SER_hh_tesh_in!M30=0,0,SER_hh_tesh_in!M30/SER_summary!M$27)</f>
        <v>0</v>
      </c>
      <c r="N30" s="132">
        <f>IF(SER_hh_tesh_in!N30=0,0,SER_hh_tesh_in!N30/SER_summary!N$27)</f>
        <v>0</v>
      </c>
      <c r="O30" s="132">
        <f>IF(SER_hh_tesh_in!O30=0,0,SER_hh_tesh_in!O30/SER_summary!O$27)</f>
        <v>0</v>
      </c>
      <c r="P30" s="132">
        <f>IF(SER_hh_tesh_in!P30=0,0,SER_hh_tesh_in!P30/SER_summary!P$27)</f>
        <v>0</v>
      </c>
      <c r="Q30" s="132">
        <f>IF(SER_hh_tesh_in!Q30=0,0,SER_hh_tesh_in!Q30/SER_summary!Q$27)</f>
        <v>0</v>
      </c>
      <c r="R30" s="132">
        <f>IF(SER_hh_tesh_in!R30=0,0,SER_hh_tesh_in!R30/SER_summary!R$27)</f>
        <v>0</v>
      </c>
      <c r="S30" s="132">
        <f>IF(SER_hh_tesh_in!S30=0,0,SER_hh_tesh_in!S30/SER_summary!S$27)</f>
        <v>22.459772142765551</v>
      </c>
      <c r="T30" s="132">
        <f>IF(SER_hh_tesh_in!T30=0,0,SER_hh_tesh_in!T30/SER_summary!T$27)</f>
        <v>22.478412169549848</v>
      </c>
      <c r="U30" s="132">
        <f>IF(SER_hh_tesh_in!U30=0,0,SER_hh_tesh_in!U30/SER_summary!U$27)</f>
        <v>23.331533272313706</v>
      </c>
      <c r="V30" s="132">
        <f>IF(SER_hh_tesh_in!V30=0,0,SER_hh_tesh_in!V30/SER_summary!V$27)</f>
        <v>23.738929046952578</v>
      </c>
      <c r="W30" s="132">
        <f>IF(SER_hh_tesh_in!W30=0,0,SER_hh_tesh_in!W30/SER_summary!W$27)</f>
        <v>23.652443154593847</v>
      </c>
      <c r="X30" s="132">
        <f>IF(SER_hh_tesh_in!X30=0,0,SER_hh_tesh_in!X30/SER_summary!X$27)</f>
        <v>23.187118468139634</v>
      </c>
      <c r="Y30" s="132">
        <f>IF(SER_hh_tesh_in!Y30=0,0,SER_hh_tesh_in!Y30/SER_summary!Y$27)</f>
        <v>22.680695319967391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17.051054301118267</v>
      </c>
      <c r="D31" s="132">
        <f>IF(SER_hh_tesh_in!D31=0,0,SER_hh_tesh_in!D31/SER_summary!D$27)</f>
        <v>17.96961844182302</v>
      </c>
      <c r="E31" s="132">
        <f>IF(SER_hh_tesh_in!E31=0,0,SER_hh_tesh_in!E31/SER_summary!E$27)</f>
        <v>18.968613603038982</v>
      </c>
      <c r="F31" s="132">
        <f>IF(SER_hh_tesh_in!F31=0,0,SER_hh_tesh_in!F31/SER_summary!F$27)</f>
        <v>18.767341130147159</v>
      </c>
      <c r="G31" s="132">
        <f>IF(SER_hh_tesh_in!G31=0,0,SER_hh_tesh_in!G31/SER_summary!G$27)</f>
        <v>18.978186063024349</v>
      </c>
      <c r="H31" s="132">
        <f>IF(SER_hh_tesh_in!H31=0,0,SER_hh_tesh_in!H31/SER_summary!H$27)</f>
        <v>19.234536189340766</v>
      </c>
      <c r="I31" s="132">
        <f>IF(SER_hh_tesh_in!I31=0,0,SER_hh_tesh_in!I31/SER_summary!I$27)</f>
        <v>19.55329153951919</v>
      </c>
      <c r="J31" s="132">
        <f>IF(SER_hh_tesh_in!J31=0,0,SER_hh_tesh_in!J31/SER_summary!J$27)</f>
        <v>20.523264180034008</v>
      </c>
      <c r="K31" s="132">
        <f>IF(SER_hh_tesh_in!K31=0,0,SER_hh_tesh_in!K31/SER_summary!K$27)</f>
        <v>20.296372612382797</v>
      </c>
      <c r="L31" s="132">
        <f>IF(SER_hh_tesh_in!L31=0,0,SER_hh_tesh_in!L31/SER_summary!L$27)</f>
        <v>19.406381304771841</v>
      </c>
      <c r="M31" s="132">
        <f>IF(SER_hh_tesh_in!M31=0,0,SER_hh_tesh_in!M31/SER_summary!M$27)</f>
        <v>20.492264155228138</v>
      </c>
      <c r="N31" s="132">
        <f>IF(SER_hh_tesh_in!N31=0,0,SER_hh_tesh_in!N31/SER_summary!N$27)</f>
        <v>20.823852297857432</v>
      </c>
      <c r="O31" s="132">
        <f>IF(SER_hh_tesh_in!O31=0,0,SER_hh_tesh_in!O31/SER_summary!O$27)</f>
        <v>21.136015923570064</v>
      </c>
      <c r="P31" s="132">
        <f>IF(SER_hh_tesh_in!P31=0,0,SER_hh_tesh_in!P31/SER_summary!P$27)</f>
        <v>22.012737973737803</v>
      </c>
      <c r="Q31" s="132">
        <f>IF(SER_hh_tesh_in!Q31=0,0,SER_hh_tesh_in!Q31/SER_summary!Q$27)</f>
        <v>22.004489736269239</v>
      </c>
      <c r="R31" s="132">
        <f>IF(SER_hh_tesh_in!R31=0,0,SER_hh_tesh_in!R31/SER_summary!R$27)</f>
        <v>24.566975931195749</v>
      </c>
      <c r="S31" s="132">
        <f>IF(SER_hh_tesh_in!S31=0,0,SER_hh_tesh_in!S31/SER_summary!S$27)</f>
        <v>14.528761479719567</v>
      </c>
      <c r="T31" s="132">
        <f>IF(SER_hh_tesh_in!T31=0,0,SER_hh_tesh_in!T31/SER_summary!T$27)</f>
        <v>21.078347529182881</v>
      </c>
      <c r="U31" s="132">
        <f>IF(SER_hh_tesh_in!U31=0,0,SER_hh_tesh_in!U31/SER_summary!U$27)</f>
        <v>26.968671498097748</v>
      </c>
      <c r="V31" s="132">
        <f>IF(SER_hh_tesh_in!V31=0,0,SER_hh_tesh_in!V31/SER_summary!V$27)</f>
        <v>23.117643404147593</v>
      </c>
      <c r="W31" s="132">
        <f>IF(SER_hh_tesh_in!W31=0,0,SER_hh_tesh_in!W31/SER_summary!W$27)</f>
        <v>24.162098062056479</v>
      </c>
      <c r="X31" s="132">
        <f>IF(SER_hh_tesh_in!X31=0,0,SER_hh_tesh_in!X31/SER_summary!X$27)</f>
        <v>23.130900137625947</v>
      </c>
      <c r="Y31" s="132">
        <f>IF(SER_hh_tesh_in!Y31=0,0,SER_hh_tesh_in!Y31/SER_summary!Y$27)</f>
        <v>22.626260682915738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17.269082919055599</v>
      </c>
      <c r="D33" s="68">
        <f>IF(SER_hh_tesh_in!D33=0,0,SER_hh_tesh_in!D33/SER_summary!D$27)</f>
        <v>17.906425520216168</v>
      </c>
      <c r="E33" s="68">
        <f>IF(SER_hh_tesh_in!E33=0,0,SER_hh_tesh_in!E33/SER_summary!E$27)</f>
        <v>18.424164114892726</v>
      </c>
      <c r="F33" s="68">
        <f>IF(SER_hh_tesh_in!F33=0,0,SER_hh_tesh_in!F33/SER_summary!F$27)</f>
        <v>18.965751724530321</v>
      </c>
      <c r="G33" s="68">
        <f>IF(SER_hh_tesh_in!G33=0,0,SER_hh_tesh_in!G33/SER_summary!G$27)</f>
        <v>19.696888914494263</v>
      </c>
      <c r="H33" s="68">
        <f>IF(SER_hh_tesh_in!H33=0,0,SER_hh_tesh_in!H33/SER_summary!H$27)</f>
        <v>19.076030781799147</v>
      </c>
      <c r="I33" s="68">
        <f>IF(SER_hh_tesh_in!I33=0,0,SER_hh_tesh_in!I33/SER_summary!I$27)</f>
        <v>18.14882751928528</v>
      </c>
      <c r="J33" s="68">
        <f>IF(SER_hh_tesh_in!J33=0,0,SER_hh_tesh_in!J33/SER_summary!J$27)</f>
        <v>19.145090514269395</v>
      </c>
      <c r="K33" s="68">
        <f>IF(SER_hh_tesh_in!K33=0,0,SER_hh_tesh_in!K33/SER_summary!K$27)</f>
        <v>21.424968142023797</v>
      </c>
      <c r="L33" s="68">
        <f>IF(SER_hh_tesh_in!L33=0,0,SER_hh_tesh_in!L33/SER_summary!L$27)</f>
        <v>19.523868150600343</v>
      </c>
      <c r="M33" s="68">
        <f>IF(SER_hh_tesh_in!M33=0,0,SER_hh_tesh_in!M33/SER_summary!M$27)</f>
        <v>19.884563554716248</v>
      </c>
      <c r="N33" s="68">
        <f>IF(SER_hh_tesh_in!N33=0,0,SER_hh_tesh_in!N33/SER_summary!N$27)</f>
        <v>22.239510826957986</v>
      </c>
      <c r="O33" s="68">
        <f>IF(SER_hh_tesh_in!O33=0,0,SER_hh_tesh_in!O33/SER_summary!O$27)</f>
        <v>21.755084023585219</v>
      </c>
      <c r="P33" s="68">
        <f>IF(SER_hh_tesh_in!P33=0,0,SER_hh_tesh_in!P33/SER_summary!P$27)</f>
        <v>21.284819071554477</v>
      </c>
      <c r="Q33" s="68">
        <f>IF(SER_hh_tesh_in!Q33=0,0,SER_hh_tesh_in!Q33/SER_summary!Q$27)</f>
        <v>21.696344813102176</v>
      </c>
      <c r="R33" s="68">
        <f>IF(SER_hh_tesh_in!R33=0,0,SER_hh_tesh_in!R33/SER_summary!R$27)</f>
        <v>21.796395621686827</v>
      </c>
      <c r="S33" s="68">
        <f>IF(SER_hh_tesh_in!S33=0,0,SER_hh_tesh_in!S33/SER_summary!S$27)</f>
        <v>22.648053416238607</v>
      </c>
      <c r="T33" s="68">
        <f>IF(SER_hh_tesh_in!T33=0,0,SER_hh_tesh_in!T33/SER_summary!T$27)</f>
        <v>22.633289056213982</v>
      </c>
      <c r="U33" s="68">
        <f>IF(SER_hh_tesh_in!U33=0,0,SER_hh_tesh_in!U33/SER_summary!U$27)</f>
        <v>23.417693992892183</v>
      </c>
      <c r="V33" s="68">
        <f>IF(SER_hh_tesh_in!V33=0,0,SER_hh_tesh_in!V33/SER_summary!V$27)</f>
        <v>24.06617922049039</v>
      </c>
      <c r="W33" s="68">
        <f>IF(SER_hh_tesh_in!W33=0,0,SER_hh_tesh_in!W33/SER_summary!W$27)</f>
        <v>24.131297475151005</v>
      </c>
      <c r="X33" s="68">
        <f>IF(SER_hh_tesh_in!X33=0,0,SER_hh_tesh_in!X33/SER_summary!X$27)</f>
        <v>23.081910769949772</v>
      </c>
      <c r="Y33" s="68">
        <f>IF(SER_hh_tesh_in!Y33=0,0,SER_hh_tesh_in!Y33/SER_summary!Y$27)</f>
        <v>22.473097493128915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10.331356849026546</v>
      </c>
      <c r="D3" s="125">
        <f>IF(SER_hh_emih_in!D3=0,0,SER_hh_emih_in!D3/SER_summary!D$27)</f>
        <v>17.060174405170105</v>
      </c>
      <c r="E3" s="125">
        <f>IF(SER_hh_emih_in!E3=0,0,SER_hh_emih_in!E3/SER_summary!E$27)</f>
        <v>7.4105566084782017</v>
      </c>
      <c r="F3" s="125">
        <f>IF(SER_hh_emih_in!F3=0,0,SER_hh_emih_in!F3/SER_summary!F$27)</f>
        <v>2.501981821432385</v>
      </c>
      <c r="G3" s="125">
        <f>IF(SER_hh_emih_in!G3=0,0,SER_hh_emih_in!G3/SER_summary!G$27)</f>
        <v>2.9685037511845569</v>
      </c>
      <c r="H3" s="125">
        <f>IF(SER_hh_emih_in!H3=0,0,SER_hh_emih_in!H3/SER_summary!H$27)</f>
        <v>4.2895175876059115</v>
      </c>
      <c r="I3" s="125">
        <f>IF(SER_hh_emih_in!I3=0,0,SER_hh_emih_in!I3/SER_summary!I$27)</f>
        <v>3.5977256919445715</v>
      </c>
      <c r="J3" s="125">
        <f>IF(SER_hh_emih_in!J3=0,0,SER_hh_emih_in!J3/SER_summary!J$27)</f>
        <v>1.6254900737861047</v>
      </c>
      <c r="K3" s="125">
        <f>IF(SER_hh_emih_in!K3=0,0,SER_hh_emih_in!K3/SER_summary!K$27)</f>
        <v>3.1151684706466689</v>
      </c>
      <c r="L3" s="125">
        <f>IF(SER_hh_emih_in!L3=0,0,SER_hh_emih_in!L3/SER_summary!L$27)</f>
        <v>11.064258366898985</v>
      </c>
      <c r="M3" s="125">
        <f>IF(SER_hh_emih_in!M3=0,0,SER_hh_emih_in!M3/SER_summary!M$27)</f>
        <v>11.492719937280434</v>
      </c>
      <c r="N3" s="125">
        <f>IF(SER_hh_emih_in!N3=0,0,SER_hh_emih_in!N3/SER_summary!N$27)</f>
        <v>9.9368995711636483</v>
      </c>
      <c r="O3" s="125">
        <f>IF(SER_hh_emih_in!O3=0,0,SER_hh_emih_in!O3/SER_summary!O$27)</f>
        <v>5.8983647118609879</v>
      </c>
      <c r="P3" s="125">
        <f>IF(SER_hh_emih_in!P3=0,0,SER_hh_emih_in!P3/SER_summary!P$27)</f>
        <v>0.78341058507579431</v>
      </c>
      <c r="Q3" s="125">
        <f>IF(SER_hh_emih_in!Q3=0,0,SER_hh_emih_in!Q3/SER_summary!Q$27)</f>
        <v>1.15267594202128</v>
      </c>
      <c r="R3" s="125">
        <f>IF(SER_hh_emih_in!R3=0,0,SER_hh_emih_in!R3/SER_summary!R$27)</f>
        <v>1.5744125797929913</v>
      </c>
      <c r="S3" s="125">
        <f>IF(SER_hh_emih_in!S3=0,0,SER_hh_emih_in!S3/SER_summary!S$27)</f>
        <v>2.8620369908174434</v>
      </c>
      <c r="T3" s="125">
        <f>IF(SER_hh_emih_in!T3=0,0,SER_hh_emih_in!T3/SER_summary!T$27)</f>
        <v>2.7546100406999634</v>
      </c>
      <c r="U3" s="125">
        <f>IF(SER_hh_emih_in!U3=0,0,SER_hh_emih_in!U3/SER_summary!U$27)</f>
        <v>2.5467403462856724</v>
      </c>
      <c r="V3" s="125">
        <f>IF(SER_hh_emih_in!V3=0,0,SER_hh_emih_in!V3/SER_summary!V$27)</f>
        <v>0.88927174098885187</v>
      </c>
      <c r="W3" s="125">
        <f>IF(SER_hh_emih_in!W3=0,0,SER_hh_emih_in!W3/SER_summary!W$27)</f>
        <v>0.39810134887419213</v>
      </c>
      <c r="X3" s="125">
        <f>IF(SER_hh_emih_in!X3=0,0,SER_hh_emih_in!X3/SER_summary!X$27)</f>
        <v>0.25784267964273183</v>
      </c>
      <c r="Y3" s="125">
        <f>IF(SER_hh_emih_in!Y3=0,0,SER_hh_emih_in!Y3/SER_summary!Y$27)</f>
        <v>0.15168512387221228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8.1489709683039173</v>
      </c>
      <c r="D4" s="130">
        <f>IF(SER_hh_emih_in!D4=0,0,SER_hh_emih_in!D4/SER_summary!D$27)</f>
        <v>15.421685320831516</v>
      </c>
      <c r="E4" s="130">
        <f>IF(SER_hh_emih_in!E4=0,0,SER_hh_emih_in!E4/SER_summary!E$27)</f>
        <v>6.8933757870762706</v>
      </c>
      <c r="F4" s="130">
        <f>IF(SER_hh_emih_in!F4=0,0,SER_hh_emih_in!F4/SER_summary!F$27)</f>
        <v>2.003168877754983</v>
      </c>
      <c r="G4" s="130">
        <f>IF(SER_hh_emih_in!G4=0,0,SER_hh_emih_in!G4/SER_summary!G$27)</f>
        <v>1.4054757062908823</v>
      </c>
      <c r="H4" s="130">
        <f>IF(SER_hh_emih_in!H4=0,0,SER_hh_emih_in!H4/SER_summary!H$27)</f>
        <v>0.81688336103545089</v>
      </c>
      <c r="I4" s="130">
        <f>IF(SER_hh_emih_in!I4=0,0,SER_hh_emih_in!I4/SER_summary!I$27)</f>
        <v>0.13770342837730867</v>
      </c>
      <c r="J4" s="130">
        <f>IF(SER_hh_emih_in!J4=0,0,SER_hh_emih_in!J4/SER_summary!J$27)</f>
        <v>0.21396790145678291</v>
      </c>
      <c r="K4" s="130">
        <f>IF(SER_hh_emih_in!K4=0,0,SER_hh_emih_in!K4/SER_summary!K$27)</f>
        <v>2.9641956941850287</v>
      </c>
      <c r="L4" s="130">
        <f>IF(SER_hh_emih_in!L4=0,0,SER_hh_emih_in!L4/SER_summary!L$27)</f>
        <v>10.414559096217246</v>
      </c>
      <c r="M4" s="130">
        <f>IF(SER_hh_emih_in!M4=0,0,SER_hh_emih_in!M4/SER_summary!M$27)</f>
        <v>10.366740761291592</v>
      </c>
      <c r="N4" s="130">
        <f>IF(SER_hh_emih_in!N4=0,0,SER_hh_emih_in!N4/SER_summary!N$27)</f>
        <v>7.9488636180798844</v>
      </c>
      <c r="O4" s="130">
        <f>IF(SER_hh_emih_in!O4=0,0,SER_hh_emih_in!O4/SER_summary!O$27)</f>
        <v>4.3331189290051944</v>
      </c>
      <c r="P4" s="130">
        <f>IF(SER_hh_emih_in!P4=0,0,SER_hh_emih_in!P4/SER_summary!P$27)</f>
        <v>0.26863603950880721</v>
      </c>
      <c r="Q4" s="130">
        <f>IF(SER_hh_emih_in!Q4=0,0,SER_hh_emih_in!Q4/SER_summary!Q$27)</f>
        <v>1.9622245514280455E-2</v>
      </c>
      <c r="R4" s="130">
        <f>IF(SER_hh_emih_in!R4=0,0,SER_hh_emih_in!R4/SER_summary!R$27)</f>
        <v>0.80159985267211531</v>
      </c>
      <c r="S4" s="130">
        <f>IF(SER_hh_emih_in!S4=0,0,SER_hh_emih_in!S4/SER_summary!S$27)</f>
        <v>2.137326794421293</v>
      </c>
      <c r="T4" s="130">
        <f>IF(SER_hh_emih_in!T4=0,0,SER_hh_emih_in!T4/SER_summary!T$27)</f>
        <v>1.8010749030687454</v>
      </c>
      <c r="U4" s="130">
        <f>IF(SER_hh_emih_in!U4=0,0,SER_hh_emih_in!U4/SER_summary!U$27)</f>
        <v>1.6715368030458988</v>
      </c>
      <c r="V4" s="130">
        <f>IF(SER_hh_emih_in!V4=0,0,SER_hh_emih_in!V4/SER_summary!V$27)</f>
        <v>0.47884668214936654</v>
      </c>
      <c r="W4" s="130">
        <f>IF(SER_hh_emih_in!W4=0,0,SER_hh_emih_in!W4/SER_summary!W$27)</f>
        <v>0.21861938553579816</v>
      </c>
      <c r="X4" s="130">
        <f>IF(SER_hh_emih_in!X4=0,0,SER_hh_emih_in!X4/SER_summary!X$27)</f>
        <v>5.3267543234950965E-3</v>
      </c>
      <c r="Y4" s="130">
        <f>IF(SER_hh_emih_in!Y4=0,0,SER_hh_emih_in!Y4/SER_summary!Y$27)</f>
        <v>0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0</v>
      </c>
      <c r="D5" s="132">
        <f>IF(SER_hh_emih_in!D5=0,0,SER_hh_emih_in!D5/SER_summary!D$27)</f>
        <v>0</v>
      </c>
      <c r="E5" s="132">
        <f>IF(SER_hh_emih_in!E5=0,0,SER_hh_emih_in!E5/SER_summary!E$27)</f>
        <v>0</v>
      </c>
      <c r="F5" s="132">
        <f>IF(SER_hh_emih_in!F5=0,0,SER_hh_emih_in!F5/SER_summary!F$27)</f>
        <v>0</v>
      </c>
      <c r="G5" s="132">
        <f>IF(SER_hh_emih_in!G5=0,0,SER_hh_emih_in!G5/SER_summary!G$27)</f>
        <v>0</v>
      </c>
      <c r="H5" s="132">
        <f>IF(SER_hh_emih_in!H5=0,0,SER_hh_emih_in!H5/SER_summary!H$27)</f>
        <v>0</v>
      </c>
      <c r="I5" s="132">
        <f>IF(SER_hh_emih_in!I5=0,0,SER_hh_emih_in!I5/SER_summary!I$27)</f>
        <v>0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0</v>
      </c>
      <c r="N5" s="132">
        <f>IF(SER_hh_emih_in!N5=0,0,SER_hh_emih_in!N5/SER_summary!N$27)</f>
        <v>0</v>
      </c>
      <c r="O5" s="132">
        <f>IF(SER_hh_emih_in!O5=0,0,SER_hh_emih_in!O5/SER_summary!O$27)</f>
        <v>0</v>
      </c>
      <c r="P5" s="132">
        <f>IF(SER_hh_emih_in!P5=0,0,SER_hh_emih_in!P5/SER_summary!P$27)</f>
        <v>0</v>
      </c>
      <c r="Q5" s="132">
        <f>IF(SER_hh_emih_in!Q5=0,0,SER_hh_emih_in!Q5/SER_summary!Q$27)</f>
        <v>0</v>
      </c>
      <c r="R5" s="132">
        <f>IF(SER_hh_emih_in!R5=0,0,SER_hh_emih_in!R5/SER_summary!R$27)</f>
        <v>0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0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83.850365706308892</v>
      </c>
      <c r="D7" s="132">
        <f>IF(SER_hh_emih_in!D7=0,0,SER_hh_emih_in!D7/SER_summary!D$27)</f>
        <v>82.344620614364658</v>
      </c>
      <c r="E7" s="132">
        <f>IF(SER_hh_emih_in!E7=0,0,SER_hh_emih_in!E7/SER_summary!E$27)</f>
        <v>90.198848380396115</v>
      </c>
      <c r="F7" s="132">
        <f>IF(SER_hh_emih_in!F7=0,0,SER_hh_emih_in!F7/SER_summary!F$27)</f>
        <v>0</v>
      </c>
      <c r="G7" s="132">
        <f>IF(SER_hh_emih_in!G7=0,0,SER_hh_emih_in!G7/SER_summary!G$27)</f>
        <v>0</v>
      </c>
      <c r="H7" s="132">
        <f>IF(SER_hh_emih_in!H7=0,0,SER_hh_emih_in!H7/SER_summary!H$27)</f>
        <v>0</v>
      </c>
      <c r="I7" s="132">
        <f>IF(SER_hh_emih_in!I7=0,0,SER_hh_emih_in!I7/SER_summary!I$27)</f>
        <v>0</v>
      </c>
      <c r="J7" s="132">
        <f>IF(SER_hh_emih_in!J7=0,0,SER_hh_emih_in!J7/SER_summary!J$27)</f>
        <v>0</v>
      </c>
      <c r="K7" s="132">
        <f>IF(SER_hh_emih_in!K7=0,0,SER_hh_emih_in!K7/SER_summary!K$27)</f>
        <v>48.271700392465185</v>
      </c>
      <c r="L7" s="132">
        <f>IF(SER_hh_emih_in!L7=0,0,SER_hh_emih_in!L7/SER_summary!L$27)</f>
        <v>48.937468224259966</v>
      </c>
      <c r="M7" s="132">
        <f>IF(SER_hh_emih_in!M7=0,0,SER_hh_emih_in!M7/SER_summary!M$27)</f>
        <v>42.345606200864566</v>
      </c>
      <c r="N7" s="132">
        <f>IF(SER_hh_emih_in!N7=0,0,SER_hh_emih_in!N7/SER_summary!N$27)</f>
        <v>39.513244538529889</v>
      </c>
      <c r="O7" s="132">
        <f>IF(SER_hh_emih_in!O7=0,0,SER_hh_emih_in!O7/SER_summary!O$27)</f>
        <v>33.113931680345125</v>
      </c>
      <c r="P7" s="132">
        <f>IF(SER_hh_emih_in!P7=0,0,SER_hh_emih_in!P7/SER_summary!P$27)</f>
        <v>0</v>
      </c>
      <c r="Q7" s="132">
        <f>IF(SER_hh_emih_in!Q7=0,0,SER_hh_emih_in!Q7/SER_summary!Q$27)</f>
        <v>25.66947712941559</v>
      </c>
      <c r="R7" s="132">
        <f>IF(SER_hh_emih_in!R7=0,0,SER_hh_emih_in!R7/SER_summary!R$27)</f>
        <v>22.968451901579918</v>
      </c>
      <c r="S7" s="132">
        <f>IF(SER_hh_emih_in!S7=0,0,SER_hh_emih_in!S7/SER_summary!S$27)</f>
        <v>20.859398482913868</v>
      </c>
      <c r="T7" s="132">
        <f>IF(SER_hh_emih_in!T7=0,0,SER_hh_emih_in!T7/SER_summary!T$27)</f>
        <v>18.753338148776688</v>
      </c>
      <c r="U7" s="132">
        <f>IF(SER_hh_emih_in!U7=0,0,SER_hh_emih_in!U7/SER_summary!U$27)</f>
        <v>16.42171514516653</v>
      </c>
      <c r="V7" s="132">
        <f>IF(SER_hh_emih_in!V7=0,0,SER_hh_emih_in!V7/SER_summary!V$27)</f>
        <v>14.809797499007873</v>
      </c>
      <c r="W7" s="132">
        <f>IF(SER_hh_emih_in!W7=0,0,SER_hh_emih_in!W7/SER_summary!W$27)</f>
        <v>0</v>
      </c>
      <c r="X7" s="132">
        <f>IF(SER_hh_emih_in!X7=0,0,SER_hh_emih_in!X7/SER_summary!X$27)</f>
        <v>0</v>
      </c>
      <c r="Y7" s="132">
        <f>IF(SER_hh_emih_in!Y7=0,0,SER_hh_emih_in!Y7/SER_summary!Y$27)</f>
        <v>0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0</v>
      </c>
      <c r="D8" s="132">
        <f>IF(SER_hh_emih_in!D8=0,0,SER_hh_emih_in!D8/SER_summary!D$27)</f>
        <v>0</v>
      </c>
      <c r="E8" s="132">
        <f>IF(SER_hh_emih_in!E8=0,0,SER_hh_emih_in!E8/SER_summary!E$27)</f>
        <v>0</v>
      </c>
      <c r="F8" s="132">
        <f>IF(SER_hh_emih_in!F8=0,0,SER_hh_emih_in!F8/SER_summary!F$27)</f>
        <v>0</v>
      </c>
      <c r="G8" s="132">
        <f>IF(SER_hh_emih_in!G8=0,0,SER_hh_emih_in!G8/SER_summary!G$27)</f>
        <v>0</v>
      </c>
      <c r="H8" s="132">
        <f>IF(SER_hh_emih_in!H8=0,0,SER_hh_emih_in!H8/SER_summary!H$27)</f>
        <v>0</v>
      </c>
      <c r="I8" s="132">
        <f>IF(SER_hh_emih_in!I8=0,0,SER_hh_emih_in!I8/SER_summary!I$27)</f>
        <v>0</v>
      </c>
      <c r="J8" s="132">
        <f>IF(SER_hh_emih_in!J8=0,0,SER_hh_emih_in!J8/SER_summary!J$27)</f>
        <v>0</v>
      </c>
      <c r="K8" s="132">
        <f>IF(SER_hh_emih_in!K8=0,0,SER_hh_emih_in!K8/SER_summary!K$27)</f>
        <v>0</v>
      </c>
      <c r="L8" s="132">
        <f>IF(SER_hh_emih_in!L8=0,0,SER_hh_emih_in!L8/SER_summary!L$27)</f>
        <v>0</v>
      </c>
      <c r="M8" s="132">
        <f>IF(SER_hh_emih_in!M8=0,0,SER_hh_emih_in!M8/SER_summary!M$27)</f>
        <v>0</v>
      </c>
      <c r="N8" s="132">
        <f>IF(SER_hh_emih_in!N8=0,0,SER_hh_emih_in!N8/SER_summary!N$27)</f>
        <v>0</v>
      </c>
      <c r="O8" s="132">
        <f>IF(SER_hh_emih_in!O8=0,0,SER_hh_emih_in!O8/SER_summary!O$27)</f>
        <v>0</v>
      </c>
      <c r="P8" s="132">
        <f>IF(SER_hh_emih_in!P8=0,0,SER_hh_emih_in!P8/SER_summary!P$27)</f>
        <v>0</v>
      </c>
      <c r="Q8" s="132">
        <f>IF(SER_hh_emih_in!Q8=0,0,SER_hh_emih_in!Q8/SER_summary!Q$27)</f>
        <v>0</v>
      </c>
      <c r="R8" s="132">
        <f>IF(SER_hh_emih_in!R8=0,0,SER_hh_emih_in!R8/SER_summary!R$27)</f>
        <v>0</v>
      </c>
      <c r="S8" s="132">
        <f>IF(SER_hh_emih_in!S8=0,0,SER_hh_emih_in!S8/SER_summary!S$27)</f>
        <v>0</v>
      </c>
      <c r="T8" s="132">
        <f>IF(SER_hh_emih_in!T8=0,0,SER_hh_emih_in!T8/SER_summary!T$27)</f>
        <v>0</v>
      </c>
      <c r="U8" s="132">
        <f>IF(SER_hh_emih_in!U8=0,0,SER_hh_emih_in!U8/SER_summary!U$27)</f>
        <v>0</v>
      </c>
      <c r="V8" s="132">
        <f>IF(SER_hh_emih_in!V8=0,0,SER_hh_emih_in!V8/SER_summary!V$27)</f>
        <v>0</v>
      </c>
      <c r="W8" s="132">
        <f>IF(SER_hh_emih_in!W8=0,0,SER_hh_emih_in!W8/SER_summary!W$27)</f>
        <v>0</v>
      </c>
      <c r="X8" s="132">
        <f>IF(SER_hh_emih_in!X8=0,0,SER_hh_emih_in!X8/SER_summary!X$27)</f>
        <v>0</v>
      </c>
      <c r="Y8" s="132">
        <f>IF(SER_hh_emih_in!Y8=0,0,SER_hh_emih_in!Y8/SER_summary!Y$27)</f>
        <v>0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42.614571084340255</v>
      </c>
      <c r="D9" s="132">
        <f>IF(SER_hh_emih_in!D9=0,0,SER_hh_emih_in!D9/SER_summary!D$27)</f>
        <v>59.507286564814841</v>
      </c>
      <c r="E9" s="132">
        <f>IF(SER_hh_emih_in!E9=0,0,SER_hh_emih_in!E9/SER_summary!E$27)</f>
        <v>61.929288977632332</v>
      </c>
      <c r="F9" s="132">
        <f>IF(SER_hh_emih_in!F9=0,0,SER_hh_emih_in!F9/SER_summary!F$27)</f>
        <v>50.904130323648246</v>
      </c>
      <c r="G9" s="132">
        <f>IF(SER_hh_emih_in!G9=0,0,SER_hh_emih_in!G9/SER_summary!G$27)</f>
        <v>46.416399875919971</v>
      </c>
      <c r="H9" s="132">
        <f>IF(SER_hh_emih_in!H9=0,0,SER_hh_emih_in!H9/SER_summary!H$27)</f>
        <v>43.273638302212738</v>
      </c>
      <c r="I9" s="132">
        <f>IF(SER_hh_emih_in!I9=0,0,SER_hh_emih_in!I9/SER_summary!I$27)</f>
        <v>43.997964927131605</v>
      </c>
      <c r="J9" s="132">
        <f>IF(SER_hh_emih_in!J9=0,0,SER_hh_emih_in!J9/SER_summary!J$27)</f>
        <v>45.203067709104467</v>
      </c>
      <c r="K9" s="132">
        <f>IF(SER_hh_emih_in!K9=0,0,SER_hh_emih_in!K9/SER_summary!K$27)</f>
        <v>19.93552781562942</v>
      </c>
      <c r="L9" s="132">
        <f>IF(SER_hh_emih_in!L9=0,0,SER_hh_emih_in!L9/SER_summary!L$27)</f>
        <v>41.246283761725799</v>
      </c>
      <c r="M9" s="132">
        <f>IF(SER_hh_emih_in!M9=0,0,SER_hh_emih_in!M9/SER_summary!M$27)</f>
        <v>30.566048490500567</v>
      </c>
      <c r="N9" s="132">
        <f>IF(SER_hh_emih_in!N9=0,0,SER_hh_emih_in!N9/SER_summary!N$27)</f>
        <v>34.297340694431213</v>
      </c>
      <c r="O9" s="132">
        <f>IF(SER_hh_emih_in!O9=0,0,SER_hh_emih_in!O9/SER_summary!O$27)</f>
        <v>27.197327088954111</v>
      </c>
      <c r="P9" s="132">
        <f>IF(SER_hh_emih_in!P9=0,0,SER_hh_emih_in!P9/SER_summary!P$27)</f>
        <v>23.918343111347898</v>
      </c>
      <c r="Q9" s="132">
        <f>IF(SER_hh_emih_in!Q9=0,0,SER_hh_emih_in!Q9/SER_summary!Q$27)</f>
        <v>0</v>
      </c>
      <c r="R9" s="132">
        <f>IF(SER_hh_emih_in!R9=0,0,SER_hh_emih_in!R9/SER_summary!R$27)</f>
        <v>0</v>
      </c>
      <c r="S9" s="132">
        <f>IF(SER_hh_emih_in!S9=0,0,SER_hh_emih_in!S9/SER_summary!S$27)</f>
        <v>11.868061047925748</v>
      </c>
      <c r="T9" s="132">
        <f>IF(SER_hh_emih_in!T9=0,0,SER_hh_emih_in!T9/SER_summary!T$27)</f>
        <v>16.268172114043711</v>
      </c>
      <c r="U9" s="132">
        <f>IF(SER_hh_emih_in!U9=0,0,SER_hh_emih_in!U9/SER_summary!U$27)</f>
        <v>17.803211104124028</v>
      </c>
      <c r="V9" s="132">
        <f>IF(SER_hh_emih_in!V9=0,0,SER_hh_emih_in!V9/SER_summary!V$27)</f>
        <v>15.066001629661319</v>
      </c>
      <c r="W9" s="132">
        <f>IF(SER_hh_emih_in!W9=0,0,SER_hh_emih_in!W9/SER_summary!W$27)</f>
        <v>10.671828370950909</v>
      </c>
      <c r="X9" s="132">
        <f>IF(SER_hh_emih_in!X9=0,0,SER_hh_emih_in!X9/SER_summary!X$27)</f>
        <v>6.8147499492391166</v>
      </c>
      <c r="Y9" s="132">
        <f>IF(SER_hh_emih_in!Y9=0,0,SER_hh_emih_in!Y9/SER_summary!Y$27)</f>
        <v>0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0</v>
      </c>
      <c r="O10" s="132">
        <f>IF(SER_hh_emih_in!O10=0,0,SER_hh_emih_in!O10/SER_summary!O$27)</f>
        <v>0</v>
      </c>
      <c r="P10" s="132">
        <f>IF(SER_hh_emih_in!P10=0,0,SER_hh_emih_in!P10/SER_summary!P$27)</f>
        <v>0</v>
      </c>
      <c r="Q10" s="132">
        <f>IF(SER_hh_emih_in!Q10=0,0,SER_hh_emih_in!Q10/SER_summary!Q$27)</f>
        <v>0</v>
      </c>
      <c r="R10" s="132">
        <f>IF(SER_hh_emih_in!R10=0,0,SER_hh_emih_in!R10/SER_summary!R$27)</f>
        <v>0</v>
      </c>
      <c r="S10" s="132">
        <f>IF(SER_hh_emih_in!S10=0,0,SER_hh_emih_in!S10/SER_summary!S$27)</f>
        <v>0</v>
      </c>
      <c r="T10" s="132">
        <f>IF(SER_hh_emih_in!T10=0,0,SER_hh_emih_in!T10/SER_summary!T$27)</f>
        <v>0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0</v>
      </c>
      <c r="X10" s="132">
        <f>IF(SER_hh_emih_in!X10=0,0,SER_hh_emih_in!X10/SER_summary!X$27)</f>
        <v>0</v>
      </c>
      <c r="Y10" s="132">
        <f>IF(SER_hh_emih_in!Y10=0,0,SER_hh_emih_in!Y10/SER_summary!Y$27)</f>
        <v>0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0</v>
      </c>
      <c r="D16" s="130">
        <f>IF(SER_hh_emih_in!D16=0,0,SER_hh_emih_in!D16/SER_summary!D$27)</f>
        <v>0</v>
      </c>
      <c r="E16" s="130">
        <f>IF(SER_hh_emih_in!E16=0,0,SER_hh_emih_in!E16/SER_summary!E$27)</f>
        <v>0</v>
      </c>
      <c r="F16" s="130">
        <f>IF(SER_hh_emih_in!F16=0,0,SER_hh_emih_in!F16/SER_summary!F$27)</f>
        <v>0</v>
      </c>
      <c r="G16" s="130">
        <f>IF(SER_hh_emih_in!G16=0,0,SER_hh_emih_in!G16/SER_summary!G$27)</f>
        <v>0</v>
      </c>
      <c r="H16" s="130">
        <f>IF(SER_hh_emih_in!H16=0,0,SER_hh_emih_in!H16/SER_summary!H$27)</f>
        <v>0</v>
      </c>
      <c r="I16" s="130">
        <f>IF(SER_hh_emih_in!I16=0,0,SER_hh_emih_in!I16/SER_summary!I$27)</f>
        <v>0</v>
      </c>
      <c r="J16" s="130">
        <f>IF(SER_hh_emih_in!J16=0,0,SER_hh_emih_in!J16/SER_summary!J$27)</f>
        <v>0</v>
      </c>
      <c r="K16" s="130">
        <f>IF(SER_hh_emih_in!K16=0,0,SER_hh_emih_in!K16/SER_summary!K$27)</f>
        <v>0</v>
      </c>
      <c r="L16" s="130">
        <f>IF(SER_hh_emih_in!L16=0,0,SER_hh_emih_in!L16/SER_summary!L$27)</f>
        <v>0</v>
      </c>
      <c r="M16" s="130">
        <f>IF(SER_hh_emih_in!M16=0,0,SER_hh_emih_in!M16/SER_summary!M$27)</f>
        <v>0</v>
      </c>
      <c r="N16" s="130">
        <f>IF(SER_hh_emih_in!N16=0,0,SER_hh_emih_in!N16/SER_summary!N$27)</f>
        <v>0</v>
      </c>
      <c r="O16" s="130">
        <f>IF(SER_hh_emih_in!O16=0,0,SER_hh_emih_in!O16/SER_summary!O$27)</f>
        <v>0</v>
      </c>
      <c r="P16" s="130">
        <f>IF(SER_hh_emih_in!P16=0,0,SER_hh_emih_in!P16/SER_summary!P$27)</f>
        <v>0</v>
      </c>
      <c r="Q16" s="130">
        <f>IF(SER_hh_emih_in!Q16=0,0,SER_hh_emih_in!Q16/SER_summary!Q$27)</f>
        <v>0</v>
      </c>
      <c r="R16" s="130">
        <f>IF(SER_hh_emih_in!R16=0,0,SER_hh_emih_in!R16/SER_summary!R$27)</f>
        <v>0</v>
      </c>
      <c r="S16" s="130">
        <f>IF(SER_hh_emih_in!S16=0,0,SER_hh_emih_in!S16/SER_summary!S$27)</f>
        <v>0</v>
      </c>
      <c r="T16" s="130">
        <f>IF(SER_hh_emih_in!T16=0,0,SER_hh_emih_in!T16/SER_summary!T$27)</f>
        <v>0</v>
      </c>
      <c r="U16" s="130">
        <f>IF(SER_hh_emih_in!U16=0,0,SER_hh_emih_in!U16/SER_summary!U$27)</f>
        <v>0</v>
      </c>
      <c r="V16" s="130">
        <f>IF(SER_hh_emih_in!V16=0,0,SER_hh_emih_in!V16/SER_summary!V$27)</f>
        <v>0</v>
      </c>
      <c r="W16" s="130">
        <f>IF(SER_hh_emih_in!W16=0,0,SER_hh_emih_in!W16/SER_summary!W$27)</f>
        <v>0</v>
      </c>
      <c r="X16" s="130">
        <f>IF(SER_hh_emih_in!X16=0,0,SER_hh_emih_in!X16/SER_summary!X$27)</f>
        <v>0</v>
      </c>
      <c r="Y16" s="130">
        <f>IF(SER_hh_emih_in!Y16=0,0,SER_hh_emih_in!Y16/SER_summary!Y$27)</f>
        <v>0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0</v>
      </c>
      <c r="D17" s="132">
        <f>IF(SER_hh_emih_in!D17=0,0,SER_hh_emih_in!D17/SER_summary!D$27)</f>
        <v>0</v>
      </c>
      <c r="E17" s="132">
        <f>IF(SER_hh_emih_in!E17=0,0,SER_hh_emih_in!E17/SER_summary!E$27)</f>
        <v>0</v>
      </c>
      <c r="F17" s="132">
        <f>IF(SER_hh_emih_in!F17=0,0,SER_hh_emih_in!F17/SER_summary!F$27)</f>
        <v>0</v>
      </c>
      <c r="G17" s="132">
        <f>IF(SER_hh_emih_in!G17=0,0,SER_hh_emih_in!G17/SER_summary!G$27)</f>
        <v>0</v>
      </c>
      <c r="H17" s="132">
        <f>IF(SER_hh_emih_in!H17=0,0,SER_hh_emih_in!H17/SER_summary!H$27)</f>
        <v>0</v>
      </c>
      <c r="I17" s="132">
        <f>IF(SER_hh_emih_in!I17=0,0,SER_hh_emih_in!I17/SER_summary!I$27)</f>
        <v>0</v>
      </c>
      <c r="J17" s="132">
        <f>IF(SER_hh_emih_in!J17=0,0,SER_hh_emih_in!J17/SER_summary!J$27)</f>
        <v>0</v>
      </c>
      <c r="K17" s="132">
        <f>IF(SER_hh_emih_in!K17=0,0,SER_hh_emih_in!K17/SER_summary!K$27)</f>
        <v>0</v>
      </c>
      <c r="L17" s="132">
        <f>IF(SER_hh_emih_in!L17=0,0,SER_hh_emih_in!L17/SER_summary!L$27)</f>
        <v>0</v>
      </c>
      <c r="M17" s="132">
        <f>IF(SER_hh_emih_in!M17=0,0,SER_hh_emih_in!M17/SER_summary!M$27)</f>
        <v>0</v>
      </c>
      <c r="N17" s="132">
        <f>IF(SER_hh_emih_in!N17=0,0,SER_hh_emih_in!N17/SER_summary!N$27)</f>
        <v>0</v>
      </c>
      <c r="O17" s="132">
        <f>IF(SER_hh_emih_in!O17=0,0,SER_hh_emih_in!O17/SER_summary!O$27)</f>
        <v>0</v>
      </c>
      <c r="P17" s="132">
        <f>IF(SER_hh_emih_in!P17=0,0,SER_hh_emih_in!P17/SER_summary!P$27)</f>
        <v>0</v>
      </c>
      <c r="Q17" s="132">
        <f>IF(SER_hh_emih_in!Q17=0,0,SER_hh_emih_in!Q17/SER_summary!Q$27)</f>
        <v>0</v>
      </c>
      <c r="R17" s="132">
        <f>IF(SER_hh_emih_in!R17=0,0,SER_hh_emih_in!R17/SER_summary!R$27)</f>
        <v>0</v>
      </c>
      <c r="S17" s="132">
        <f>IF(SER_hh_emih_in!S17=0,0,SER_hh_emih_in!S17/SER_summary!S$27)</f>
        <v>0</v>
      </c>
      <c r="T17" s="132">
        <f>IF(SER_hh_emih_in!T17=0,0,SER_hh_emih_in!T17/SER_summary!T$27)</f>
        <v>0</v>
      </c>
      <c r="U17" s="132">
        <f>IF(SER_hh_emih_in!U17=0,0,SER_hh_emih_in!U17/SER_summary!U$27)</f>
        <v>0</v>
      </c>
      <c r="V17" s="132">
        <f>IF(SER_hh_emih_in!V17=0,0,SER_hh_emih_in!V17/SER_summary!V$27)</f>
        <v>0</v>
      </c>
      <c r="W17" s="132">
        <f>IF(SER_hh_emih_in!W17=0,0,SER_hh_emih_in!W17/SER_summary!W$27)</f>
        <v>0</v>
      </c>
      <c r="X17" s="132">
        <f>IF(SER_hh_emih_in!X17=0,0,SER_hh_emih_in!X17/SER_summary!X$27)</f>
        <v>0</v>
      </c>
      <c r="Y17" s="132">
        <f>IF(SER_hh_emih_in!Y17=0,0,SER_hh_emih_in!Y17/SER_summary!Y$27)</f>
        <v>0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1.3580248126975096</v>
      </c>
      <c r="D19" s="130">
        <f>IF(SER_hh_emih_in!D19=0,0,SER_hh_emih_in!D19/SER_summary!D$27)</f>
        <v>0.94628860175380458</v>
      </c>
      <c r="E19" s="130">
        <f>IF(SER_hh_emih_in!E19=0,0,SER_hh_emih_in!E19/SER_summary!E$27)</f>
        <v>0.32495607433084528</v>
      </c>
      <c r="F19" s="130">
        <f>IF(SER_hh_emih_in!F19=0,0,SER_hh_emih_in!F19/SER_summary!F$27)</f>
        <v>8.8212573597510086E-2</v>
      </c>
      <c r="G19" s="130">
        <f>IF(SER_hh_emih_in!G19=0,0,SER_hh_emih_in!G19/SER_summary!G$27)</f>
        <v>9.4554985586072435E-2</v>
      </c>
      <c r="H19" s="130">
        <f>IF(SER_hh_emih_in!H19=0,0,SER_hh_emih_in!H19/SER_summary!H$27)</f>
        <v>0.12440404170089685</v>
      </c>
      <c r="I19" s="130">
        <f>IF(SER_hh_emih_in!I19=0,0,SER_hh_emih_in!I19/SER_summary!I$27)</f>
        <v>7.8109814572370054E-2</v>
      </c>
      <c r="J19" s="130">
        <f>IF(SER_hh_emih_in!J19=0,0,SER_hh_emih_in!J19/SER_summary!J$27)</f>
        <v>8.071538461608703E-2</v>
      </c>
      <c r="K19" s="130">
        <f>IF(SER_hh_emih_in!K19=0,0,SER_hh_emih_in!K19/SER_summary!K$27)</f>
        <v>4.9413658661657346E-2</v>
      </c>
      <c r="L19" s="130">
        <f>IF(SER_hh_emih_in!L19=0,0,SER_hh_emih_in!L19/SER_summary!L$27)</f>
        <v>6.3815415369846251E-2</v>
      </c>
      <c r="M19" s="130">
        <f>IF(SER_hh_emih_in!M19=0,0,SER_hh_emih_in!M19/SER_summary!M$27)</f>
        <v>1.124294845170112</v>
      </c>
      <c r="N19" s="130">
        <f>IF(SER_hh_emih_in!N19=0,0,SER_hh_emih_in!N19/SER_summary!N$27)</f>
        <v>1.9235996602734799</v>
      </c>
      <c r="O19" s="130">
        <f>IF(SER_hh_emih_in!O19=0,0,SER_hh_emih_in!O19/SER_summary!O$27)</f>
        <v>1.4500754665525306</v>
      </c>
      <c r="P19" s="130">
        <f>IF(SER_hh_emih_in!P19=0,0,SER_hh_emih_in!P19/SER_summary!P$27)</f>
        <v>0.36982593848329798</v>
      </c>
      <c r="Q19" s="130">
        <f>IF(SER_hh_emih_in!Q19=0,0,SER_hh_emih_in!Q19/SER_summary!Q$27)</f>
        <v>1.0517225507066561</v>
      </c>
      <c r="R19" s="130">
        <f>IF(SER_hh_emih_in!R19=0,0,SER_hh_emih_in!R19/SER_summary!R$27)</f>
        <v>0.70548339003273486</v>
      </c>
      <c r="S19" s="130">
        <f>IF(SER_hh_emih_in!S19=0,0,SER_hh_emih_in!S19/SER_summary!S$27)</f>
        <v>0.58231389964289637</v>
      </c>
      <c r="T19" s="130">
        <f>IF(SER_hh_emih_in!T19=0,0,SER_hh_emih_in!T19/SER_summary!T$27)</f>
        <v>0.28620288167229169</v>
      </c>
      <c r="U19" s="130">
        <f>IF(SER_hh_emih_in!U19=0,0,SER_hh_emih_in!U19/SER_summary!U$27)</f>
        <v>0.1751216407884876</v>
      </c>
      <c r="V19" s="130">
        <f>IF(SER_hh_emih_in!V19=0,0,SER_hh_emih_in!V19/SER_summary!V$27)</f>
        <v>7.9751594617164814E-2</v>
      </c>
      <c r="W19" s="130">
        <f>IF(SER_hh_emih_in!W19=0,0,SER_hh_emih_in!W19/SER_summary!W$27)</f>
        <v>5.3200944887151908E-2</v>
      </c>
      <c r="X19" s="130">
        <f>IF(SER_hh_emih_in!X19=0,0,SER_hh_emih_in!X19/SER_summary!X$27)</f>
        <v>2.6826417345869907E-2</v>
      </c>
      <c r="Y19" s="130">
        <f>IF(SER_hh_emih_in!Y19=0,0,SER_hh_emih_in!Y19/SER_summary!Y$27)</f>
        <v>0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0</v>
      </c>
      <c r="D21" s="132">
        <f>IF(SER_hh_emih_in!D21=0,0,SER_hh_emih_in!D21/SER_summary!D$27)</f>
        <v>0</v>
      </c>
      <c r="E21" s="132">
        <f>IF(SER_hh_emih_in!E21=0,0,SER_hh_emih_in!E21/SER_summary!E$27)</f>
        <v>0</v>
      </c>
      <c r="F21" s="132">
        <f>IF(SER_hh_emih_in!F21=0,0,SER_hh_emih_in!F21/SER_summary!F$27)</f>
        <v>0</v>
      </c>
      <c r="G21" s="132">
        <f>IF(SER_hh_emih_in!G21=0,0,SER_hh_emih_in!G21/SER_summary!G$27)</f>
        <v>0</v>
      </c>
      <c r="H21" s="132">
        <f>IF(SER_hh_emih_in!H21=0,0,SER_hh_emih_in!H21/SER_summary!H$27)</f>
        <v>0</v>
      </c>
      <c r="I21" s="132">
        <f>IF(SER_hh_emih_in!I21=0,0,SER_hh_emih_in!I21/SER_summary!I$27)</f>
        <v>0</v>
      </c>
      <c r="J21" s="132">
        <f>IF(SER_hh_emih_in!J21=0,0,SER_hh_emih_in!J21/SER_summary!J$27)</f>
        <v>0</v>
      </c>
      <c r="K21" s="132">
        <f>IF(SER_hh_emih_in!K21=0,0,SER_hh_emih_in!K21/SER_summary!K$27)</f>
        <v>0</v>
      </c>
      <c r="L21" s="132">
        <f>IF(SER_hh_emih_in!L21=0,0,SER_hh_emih_in!L21/SER_summary!L$27)</f>
        <v>0</v>
      </c>
      <c r="M21" s="132">
        <f>IF(SER_hh_emih_in!M21=0,0,SER_hh_emih_in!M21/SER_summary!M$27)</f>
        <v>0</v>
      </c>
      <c r="N21" s="132">
        <f>IF(SER_hh_emih_in!N21=0,0,SER_hh_emih_in!N21/SER_summary!N$27)</f>
        <v>0</v>
      </c>
      <c r="O21" s="132">
        <f>IF(SER_hh_emih_in!O21=0,0,SER_hh_emih_in!O21/SER_summary!O$27)</f>
        <v>0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0</v>
      </c>
      <c r="S21" s="132">
        <f>IF(SER_hh_emih_in!S21=0,0,SER_hh_emih_in!S21/SER_summary!S$27)</f>
        <v>0</v>
      </c>
      <c r="T21" s="132">
        <f>IF(SER_hh_emih_in!T21=0,0,SER_hh_emih_in!T21/SER_summary!T$27)</f>
        <v>0</v>
      </c>
      <c r="U21" s="132">
        <f>IF(SER_hh_emih_in!U21=0,0,SER_hh_emih_in!U21/SER_summary!U$27)</f>
        <v>0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0</v>
      </c>
      <c r="Y21" s="132">
        <f>IF(SER_hh_emih_in!Y21=0,0,SER_hh_emih_in!Y21/SER_summary!Y$27)</f>
        <v>0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9.8117279480469808</v>
      </c>
      <c r="D22" s="132">
        <f>IF(SER_hh_emih_in!D22=0,0,SER_hh_emih_in!D22/SER_summary!D$27)</f>
        <v>9.7250071692830318</v>
      </c>
      <c r="E22" s="132">
        <f>IF(SER_hh_emih_in!E22=0,0,SER_hh_emih_in!E22/SER_summary!E$27)</f>
        <v>10.082624413997545</v>
      </c>
      <c r="F22" s="132">
        <f>IF(SER_hh_emih_in!F22=0,0,SER_hh_emih_in!F22/SER_summary!F$27)</f>
        <v>0</v>
      </c>
      <c r="G22" s="132">
        <f>IF(SER_hh_emih_in!G22=0,0,SER_hh_emih_in!G22/SER_summary!G$27)</f>
        <v>0</v>
      </c>
      <c r="H22" s="132">
        <f>IF(SER_hh_emih_in!H22=0,0,SER_hh_emih_in!H22/SER_summary!H$27)</f>
        <v>0</v>
      </c>
      <c r="I22" s="132">
        <f>IF(SER_hh_emih_in!I22=0,0,SER_hh_emih_in!I22/SER_summary!I$27)</f>
        <v>0</v>
      </c>
      <c r="J22" s="132">
        <f>IF(SER_hh_emih_in!J22=0,0,SER_hh_emih_in!J22/SER_summary!J$27)</f>
        <v>0</v>
      </c>
      <c r="K22" s="132">
        <f>IF(SER_hh_emih_in!K22=0,0,SER_hh_emih_in!K22/SER_summary!K$27)</f>
        <v>0</v>
      </c>
      <c r="L22" s="132">
        <f>IF(SER_hh_emih_in!L22=0,0,SER_hh_emih_in!L22/SER_summary!L$27)</f>
        <v>0</v>
      </c>
      <c r="M22" s="132">
        <f>IF(SER_hh_emih_in!M22=0,0,SER_hh_emih_in!M22/SER_summary!M$27)</f>
        <v>7.234496941365407</v>
      </c>
      <c r="N22" s="132">
        <f>IF(SER_hh_emih_in!N22=0,0,SER_hh_emih_in!N22/SER_summary!N$27)</f>
        <v>8.8312701501839719</v>
      </c>
      <c r="O22" s="132">
        <f>IF(SER_hh_emih_in!O22=0,0,SER_hh_emih_in!O22/SER_summary!O$27)</f>
        <v>8.2779483412001351</v>
      </c>
      <c r="P22" s="132">
        <f>IF(SER_hh_emih_in!P22=0,0,SER_hh_emih_in!P22/SER_summary!P$27)</f>
        <v>5.3989626385315637</v>
      </c>
      <c r="Q22" s="132">
        <f>IF(SER_hh_emih_in!Q22=0,0,SER_hh_emih_in!Q22/SER_summary!Q$27)</f>
        <v>6.6566144524327768</v>
      </c>
      <c r="R22" s="132">
        <f>IF(SER_hh_emih_in!R22=0,0,SER_hh_emih_in!R22/SER_summary!R$27)</f>
        <v>5.9200945288944782</v>
      </c>
      <c r="S22" s="132">
        <f>IF(SER_hh_emih_in!S22=0,0,SER_hh_emih_in!S22/SER_summary!S$27)</f>
        <v>5.5022582339765211</v>
      </c>
      <c r="T22" s="132">
        <f>IF(SER_hh_emih_in!T22=0,0,SER_hh_emih_in!T22/SER_summary!T$27)</f>
        <v>5.2346639907209642</v>
      </c>
      <c r="U22" s="132">
        <f>IF(SER_hh_emih_in!U22=0,0,SER_hh_emih_in!U22/SER_summary!U$27)</f>
        <v>4.9934762166911737</v>
      </c>
      <c r="V22" s="132">
        <f>IF(SER_hh_emih_in!V22=0,0,SER_hh_emih_in!V22/SER_summary!V$27)</f>
        <v>0</v>
      </c>
      <c r="W22" s="132">
        <f>IF(SER_hh_emih_in!W22=0,0,SER_hh_emih_in!W22/SER_summary!W$27)</f>
        <v>0</v>
      </c>
      <c r="X22" s="132">
        <f>IF(SER_hh_emih_in!X22=0,0,SER_hh_emih_in!X22/SER_summary!X$27)</f>
        <v>0</v>
      </c>
      <c r="Y22" s="132">
        <f>IF(SER_hh_emih_in!Y22=0,0,SER_hh_emih_in!Y22/SER_summary!Y$27)</f>
        <v>0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6.0709305281235091</v>
      </c>
      <c r="D23" s="132">
        <f>IF(SER_hh_emih_in!D23=0,0,SER_hh_emih_in!D23/SER_summary!D$27)</f>
        <v>6.6274171418275341</v>
      </c>
      <c r="E23" s="132">
        <f>IF(SER_hh_emih_in!E23=0,0,SER_hh_emih_in!E23/SER_summary!E$27)</f>
        <v>6.9139760779529071</v>
      </c>
      <c r="F23" s="132">
        <f>IF(SER_hh_emih_in!F23=0,0,SER_hh_emih_in!F23/SER_summary!F$27)</f>
        <v>6.0807403894224095</v>
      </c>
      <c r="G23" s="132">
        <f>IF(SER_hh_emih_in!G23=0,0,SER_hh_emih_in!G23/SER_summary!G$27)</f>
        <v>6.1013015036259652</v>
      </c>
      <c r="H23" s="132">
        <f>IF(SER_hh_emih_in!H23=0,0,SER_hh_emih_in!H23/SER_summary!H$27)</f>
        <v>6.7027953933039672</v>
      </c>
      <c r="I23" s="132">
        <f>IF(SER_hh_emih_in!I23=0,0,SER_hh_emih_in!I23/SER_summary!I$27)</f>
        <v>6.185674535367796</v>
      </c>
      <c r="J23" s="132">
        <f>IF(SER_hh_emih_in!J23=0,0,SER_hh_emih_in!J23/SER_summary!J$27)</f>
        <v>6.2942469258457239</v>
      </c>
      <c r="K23" s="132">
        <f>IF(SER_hh_emih_in!K23=0,0,SER_hh_emih_in!K23/SER_summary!K$27)</f>
        <v>6.0020623013047949</v>
      </c>
      <c r="L23" s="132">
        <f>IF(SER_hh_emih_in!L23=0,0,SER_hh_emih_in!L23/SER_summary!L$27)</f>
        <v>6.1076526856916882</v>
      </c>
      <c r="M23" s="132">
        <f>IF(SER_hh_emih_in!M23=0,0,SER_hh_emih_in!M23/SER_summary!M$27)</f>
        <v>5.8919127100483006</v>
      </c>
      <c r="N23" s="132">
        <f>IF(SER_hh_emih_in!N23=0,0,SER_hh_emih_in!N23/SER_summary!N$27)</f>
        <v>5.6841972634376861</v>
      </c>
      <c r="O23" s="132">
        <f>IF(SER_hh_emih_in!O23=0,0,SER_hh_emih_in!O23/SER_summary!O$27)</f>
        <v>5.4648340584975124</v>
      </c>
      <c r="P23" s="132">
        <f>IF(SER_hh_emih_in!P23=0,0,SER_hh_emih_in!P23/SER_summary!P$27)</f>
        <v>5.3834994005142986</v>
      </c>
      <c r="Q23" s="132">
        <f>IF(SER_hh_emih_in!Q23=0,0,SER_hh_emih_in!Q23/SER_summary!Q$27)</f>
        <v>5.2076996297567364</v>
      </c>
      <c r="R23" s="132">
        <f>IF(SER_hh_emih_in!R23=0,0,SER_hh_emih_in!R23/SER_summary!R$27)</f>
        <v>5.4530743942541138</v>
      </c>
      <c r="S23" s="132">
        <f>IF(SER_hh_emih_in!S23=0,0,SER_hh_emih_in!S23/SER_summary!S$27)</f>
        <v>3.1176851070976128</v>
      </c>
      <c r="T23" s="132">
        <f>IF(SER_hh_emih_in!T23=0,0,SER_hh_emih_in!T23/SER_summary!T$27)</f>
        <v>4.2074046400782406</v>
      </c>
      <c r="U23" s="132">
        <f>IF(SER_hh_emih_in!U23=0,0,SER_hh_emih_in!U23/SER_summary!U$27)</f>
        <v>5.1705347945114308</v>
      </c>
      <c r="V23" s="132">
        <f>IF(SER_hh_emih_in!V23=0,0,SER_hh_emih_in!V23/SER_summary!V$27)</f>
        <v>4.8694413442562885</v>
      </c>
      <c r="W23" s="132">
        <f>IF(SER_hh_emih_in!W23=0,0,SER_hh_emih_in!W23/SER_summary!W$27)</f>
        <v>4.5790450005475156</v>
      </c>
      <c r="X23" s="132">
        <f>IF(SER_hh_emih_in!X23=0,0,SER_hh_emih_in!X23/SER_summary!X$27)</f>
        <v>3.9351631531314579</v>
      </c>
      <c r="Y23" s="132">
        <f>IF(SER_hh_emih_in!Y23=0,0,SER_hh_emih_in!Y23/SER_summary!Y$27)</f>
        <v>0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0.82436106802511921</v>
      </c>
      <c r="D29" s="130">
        <f>IF(SER_hh_emih_in!D29=0,0,SER_hh_emih_in!D29/SER_summary!D$27)</f>
        <v>0.69220048258478961</v>
      </c>
      <c r="E29" s="130">
        <f>IF(SER_hh_emih_in!E29=0,0,SER_hh_emih_in!E29/SER_summary!E$27)</f>
        <v>0.19222474707108492</v>
      </c>
      <c r="F29" s="130">
        <f>IF(SER_hh_emih_in!F29=0,0,SER_hh_emih_in!F29/SER_summary!F$27)</f>
        <v>0.41060037007989114</v>
      </c>
      <c r="G29" s="130">
        <f>IF(SER_hh_emih_in!G29=0,0,SER_hh_emih_in!G29/SER_summary!G$27)</f>
        <v>1.4684730593076016</v>
      </c>
      <c r="H29" s="130">
        <f>IF(SER_hh_emih_in!H29=0,0,SER_hh_emih_in!H29/SER_summary!H$27)</f>
        <v>3.3482301848695646</v>
      </c>
      <c r="I29" s="130">
        <f>IF(SER_hh_emih_in!I29=0,0,SER_hh_emih_in!I29/SER_summary!I$27)</f>
        <v>3.3819124489948931</v>
      </c>
      <c r="J29" s="130">
        <f>IF(SER_hh_emih_in!J29=0,0,SER_hh_emih_in!J29/SER_summary!J$27)</f>
        <v>1.3308067877132348</v>
      </c>
      <c r="K29" s="130">
        <f>IF(SER_hh_emih_in!K29=0,0,SER_hh_emih_in!K29/SER_summary!K$27)</f>
        <v>0.10155911779998328</v>
      </c>
      <c r="L29" s="130">
        <f>IF(SER_hh_emih_in!L29=0,0,SER_hh_emih_in!L29/SER_summary!L$27)</f>
        <v>0.58588385531189124</v>
      </c>
      <c r="M29" s="130">
        <f>IF(SER_hh_emih_in!M29=0,0,SER_hh_emih_in!M29/SER_summary!M$27)</f>
        <v>1.6843308187312555E-3</v>
      </c>
      <c r="N29" s="130">
        <f>IF(SER_hh_emih_in!N29=0,0,SER_hh_emih_in!N29/SER_summary!N$27)</f>
        <v>6.4436292810284762E-2</v>
      </c>
      <c r="O29" s="130">
        <f>IF(SER_hh_emih_in!O29=0,0,SER_hh_emih_in!O29/SER_summary!O$27)</f>
        <v>0.11517031630326369</v>
      </c>
      <c r="P29" s="130">
        <f>IF(SER_hh_emih_in!P29=0,0,SER_hh_emih_in!P29/SER_summary!P$27)</f>
        <v>0.14494860708368895</v>
      </c>
      <c r="Q29" s="130">
        <f>IF(SER_hh_emih_in!Q29=0,0,SER_hh_emih_in!Q29/SER_summary!Q$27)</f>
        <v>8.1331145800343341E-2</v>
      </c>
      <c r="R29" s="130">
        <f>IF(SER_hh_emih_in!R29=0,0,SER_hh_emih_in!R29/SER_summary!R$27)</f>
        <v>6.7329337088140984E-2</v>
      </c>
      <c r="S29" s="130">
        <f>IF(SER_hh_emih_in!S29=0,0,SER_hh_emih_in!S29/SER_summary!S$27)</f>
        <v>0.14239629675325452</v>
      </c>
      <c r="T29" s="130">
        <f>IF(SER_hh_emih_in!T29=0,0,SER_hh_emih_in!T29/SER_summary!T$27)</f>
        <v>0.66733225595892587</v>
      </c>
      <c r="U29" s="130">
        <f>IF(SER_hh_emih_in!U29=0,0,SER_hh_emih_in!U29/SER_summary!U$27)</f>
        <v>0.70008190245128554</v>
      </c>
      <c r="V29" s="130">
        <f>IF(SER_hh_emih_in!V29=0,0,SER_hh_emih_in!V29/SER_summary!V$27)</f>
        <v>0.33067346422232063</v>
      </c>
      <c r="W29" s="130">
        <f>IF(SER_hh_emih_in!W29=0,0,SER_hh_emih_in!W29/SER_summary!W$27)</f>
        <v>0.12628101845124201</v>
      </c>
      <c r="X29" s="130">
        <f>IF(SER_hh_emih_in!X29=0,0,SER_hh_emih_in!X29/SER_summary!X$27)</f>
        <v>0.22568950797336684</v>
      </c>
      <c r="Y29" s="130">
        <f>IF(SER_hh_emih_in!Y29=0,0,SER_hh_emih_in!Y29/SER_summary!Y$27)</f>
        <v>0.15168512387221234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7.980630784196725</v>
      </c>
      <c r="D30" s="132">
        <f>IF(SER_hh_emih_in!D30=0,0,SER_hh_emih_in!D30/SER_summary!D$27)</f>
        <v>6.8325246974840717</v>
      </c>
      <c r="E30" s="132">
        <f>IF(SER_hh_emih_in!E30=0,0,SER_hh_emih_in!E30/SER_summary!E$27)</f>
        <v>0</v>
      </c>
      <c r="F30" s="132">
        <f>IF(SER_hh_emih_in!F30=0,0,SER_hh_emih_in!F30/SER_summary!F$27)</f>
        <v>5.7394960986694716</v>
      </c>
      <c r="G30" s="132">
        <f>IF(SER_hh_emih_in!G30=0,0,SER_hh_emih_in!G30/SER_summary!G$27)</f>
        <v>4.9184539039683894</v>
      </c>
      <c r="H30" s="132">
        <f>IF(SER_hh_emih_in!H30=0,0,SER_hh_emih_in!H30/SER_summary!H$27)</f>
        <v>7.0246323754917075</v>
      </c>
      <c r="I30" s="132">
        <f>IF(SER_hh_emih_in!I30=0,0,SER_hh_emih_in!I30/SER_summary!I$27)</f>
        <v>8.6698460531482837</v>
      </c>
      <c r="J30" s="132">
        <f>IF(SER_hh_emih_in!J30=0,0,SER_hh_emih_in!J30/SER_summary!J$27)</f>
        <v>7.7026430203120082</v>
      </c>
      <c r="K30" s="132">
        <f>IF(SER_hh_emih_in!K30=0,0,SER_hh_emih_in!K30/SER_summary!K$27)</f>
        <v>5.4577734142933503</v>
      </c>
      <c r="L30" s="132">
        <f>IF(SER_hh_emih_in!L30=0,0,SER_hh_emih_in!L30/SER_summary!L$27)</f>
        <v>8.8624144590035865</v>
      </c>
      <c r="M30" s="132">
        <f>IF(SER_hh_emih_in!M30=0,0,SER_hh_emih_in!M30/SER_summary!M$27)</f>
        <v>0</v>
      </c>
      <c r="N30" s="132">
        <f>IF(SER_hh_emih_in!N30=0,0,SER_hh_emih_in!N30/SER_summary!N$27)</f>
        <v>0</v>
      </c>
      <c r="O30" s="132">
        <f>IF(SER_hh_emih_in!O30=0,0,SER_hh_emih_in!O30/SER_summary!O$27)</f>
        <v>0</v>
      </c>
      <c r="P30" s="132">
        <f>IF(SER_hh_emih_in!P30=0,0,SER_hh_emih_in!P30/SER_summary!P$27)</f>
        <v>0</v>
      </c>
      <c r="Q30" s="132">
        <f>IF(SER_hh_emih_in!Q30=0,0,SER_hh_emih_in!Q30/SER_summary!Q$27)</f>
        <v>0</v>
      </c>
      <c r="R30" s="132">
        <f>IF(SER_hh_emih_in!R30=0,0,SER_hh_emih_in!R30/SER_summary!R$27)</f>
        <v>0</v>
      </c>
      <c r="S30" s="132">
        <f>IF(SER_hh_emih_in!S30=0,0,SER_hh_emih_in!S30/SER_summary!S$27)</f>
        <v>8.0420668590383411</v>
      </c>
      <c r="T30" s="132">
        <f>IF(SER_hh_emih_in!T30=0,0,SER_hh_emih_in!T30/SER_summary!T$27)</f>
        <v>8.0014427897692624</v>
      </c>
      <c r="U30" s="132">
        <f>IF(SER_hh_emih_in!U30=0,0,SER_hh_emih_in!U30/SER_summary!U$27)</f>
        <v>8.2608542141220163</v>
      </c>
      <c r="V30" s="132">
        <f>IF(SER_hh_emih_in!V30=0,0,SER_hh_emih_in!V30/SER_summary!V$27)</f>
        <v>8.3734304212526496</v>
      </c>
      <c r="W30" s="132">
        <f>IF(SER_hh_emih_in!W30=0,0,SER_hh_emih_in!W30/SER_summary!W$27)</f>
        <v>8.3278442984785599</v>
      </c>
      <c r="X30" s="132">
        <f>IF(SER_hh_emih_in!X30=0,0,SER_hh_emih_in!X30/SER_summary!X$27)</f>
        <v>8.1593866476770103</v>
      </c>
      <c r="Y30" s="132">
        <f>IF(SER_hh_emih_in!Y30=0,0,SER_hh_emih_in!Y30/SER_summary!Y$27)</f>
        <v>7.9807281775649397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5.3365605062463901</v>
      </c>
      <c r="D31" s="132">
        <f>IF(SER_hh_emih_in!D31=0,0,SER_hh_emih_in!D31/SER_summary!D$27)</f>
        <v>5.6875320761746462</v>
      </c>
      <c r="E31" s="132">
        <f>IF(SER_hh_emih_in!E31=0,0,SER_hh_emih_in!E31/SER_summary!E$27)</f>
        <v>6.0119934874721412</v>
      </c>
      <c r="F31" s="132">
        <f>IF(SER_hh_emih_in!F31=0,0,SER_hh_emih_in!F31/SER_summary!F$27)</f>
        <v>5.9383201396953176</v>
      </c>
      <c r="G31" s="132">
        <f>IF(SER_hh_emih_in!G31=0,0,SER_hh_emih_in!G31/SER_summary!G$27)</f>
        <v>5.9587398574059316</v>
      </c>
      <c r="H31" s="132">
        <f>IF(SER_hh_emih_in!H31=0,0,SER_hh_emih_in!H31/SER_summary!H$27)</f>
        <v>6.0397669880004452</v>
      </c>
      <c r="I31" s="132">
        <f>IF(SER_hh_emih_in!I31=0,0,SER_hh_emih_in!I31/SER_summary!I$27)</f>
        <v>6.1807184679882168</v>
      </c>
      <c r="J31" s="132">
        <f>IF(SER_hh_emih_in!J31=0,0,SER_hh_emih_in!J31/SER_summary!J$27)</f>
        <v>6.4724357241462442</v>
      </c>
      <c r="K31" s="132">
        <f>IF(SER_hh_emih_in!K31=0,0,SER_hh_emih_in!K31/SER_summary!K$27)</f>
        <v>6.3452974201949495</v>
      </c>
      <c r="L31" s="132">
        <f>IF(SER_hh_emih_in!L31=0,0,SER_hh_emih_in!L31/SER_summary!L$27)</f>
        <v>6.1323862044321684</v>
      </c>
      <c r="M31" s="132">
        <f>IF(SER_hh_emih_in!M31=0,0,SER_hh_emih_in!M31/SER_summary!M$27)</f>
        <v>6.5301816442010292</v>
      </c>
      <c r="N31" s="132">
        <f>IF(SER_hh_emih_in!N31=0,0,SER_hh_emih_in!N31/SER_summary!N$27)</f>
        <v>6.6348994341284637</v>
      </c>
      <c r="O31" s="132">
        <f>IF(SER_hh_emih_in!O31=0,0,SER_hh_emih_in!O31/SER_summary!O$27)</f>
        <v>6.7337861197708868</v>
      </c>
      <c r="P31" s="132">
        <f>IF(SER_hh_emih_in!P31=0,0,SER_hh_emih_in!P31/SER_summary!P$27)</f>
        <v>7.0114333145014704</v>
      </c>
      <c r="Q31" s="132">
        <f>IF(SER_hh_emih_in!Q31=0,0,SER_hh_emih_in!Q31/SER_summary!Q$27)</f>
        <v>7.0020183916275691</v>
      </c>
      <c r="R31" s="132">
        <f>IF(SER_hh_emih_in!R31=0,0,SER_hh_emih_in!R31/SER_summary!R$27)</f>
        <v>7.7975873766749153</v>
      </c>
      <c r="S31" s="132">
        <f>IF(SER_hh_emih_in!S31=0,0,SER_hh_emih_in!S31/SER_summary!S$27)</f>
        <v>4.5949990855359379</v>
      </c>
      <c r="T31" s="132">
        <f>IF(SER_hh_emih_in!T31=0,0,SER_hh_emih_in!T31/SER_summary!T$27)</f>
        <v>6.6404454847874117</v>
      </c>
      <c r="U31" s="132">
        <f>IF(SER_hh_emih_in!U31=0,0,SER_hh_emih_in!U31/SER_summary!U$27)</f>
        <v>8.4660195534060456</v>
      </c>
      <c r="V31" s="132">
        <f>IF(SER_hh_emih_in!V31=0,0,SER_hh_emih_in!V31/SER_summary!V$27)</f>
        <v>7.2389103496052405</v>
      </c>
      <c r="W31" s="132">
        <f>IF(SER_hh_emih_in!W31=0,0,SER_hh_emih_in!W31/SER_summary!W$27)</f>
        <v>7.2067122437414781</v>
      </c>
      <c r="X31" s="132">
        <f>IF(SER_hh_emih_in!X31=0,0,SER_hh_emih_in!X31/SER_summary!X$27)</f>
        <v>6.7906423995531329</v>
      </c>
      <c r="Y31" s="132">
        <f>IF(SER_hh_emih_in!Y31=0,0,SER_hh_emih_in!Y31/SER_summary!Y$27)</f>
        <v>6.6725906572776079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781.11926386095638</v>
      </c>
      <c r="C3" s="179">
        <f t="shared" ref="C3:W3" si="1">SUM(C4:C9)</f>
        <v>803.25545531404066</v>
      </c>
      <c r="D3" s="179">
        <f t="shared" si="1"/>
        <v>826.444796688613</v>
      </c>
      <c r="E3" s="179">
        <f t="shared" si="1"/>
        <v>845.37221377682908</v>
      </c>
      <c r="F3" s="179">
        <f t="shared" si="1"/>
        <v>864.1792196739583</v>
      </c>
      <c r="G3" s="179">
        <f t="shared" si="1"/>
        <v>878.68746758467205</v>
      </c>
      <c r="H3" s="179">
        <f t="shared" si="1"/>
        <v>890.34313599621487</v>
      </c>
      <c r="I3" s="179">
        <f t="shared" si="1"/>
        <v>901.64036274554098</v>
      </c>
      <c r="J3" s="179">
        <f t="shared" si="1"/>
        <v>913.2436587841712</v>
      </c>
      <c r="K3" s="179">
        <f t="shared" si="1"/>
        <v>923.86426614784159</v>
      </c>
      <c r="L3" s="179">
        <f t="shared" si="1"/>
        <v>936.05137500232115</v>
      </c>
      <c r="M3" s="179">
        <f t="shared" si="1"/>
        <v>938.9559194505083</v>
      </c>
      <c r="N3" s="179">
        <f t="shared" si="1"/>
        <v>949.72454220706254</v>
      </c>
      <c r="O3" s="179">
        <f t="shared" si="1"/>
        <v>966.28860520680826</v>
      </c>
      <c r="P3" s="179">
        <f t="shared" si="1"/>
        <v>980.59609874067291</v>
      </c>
      <c r="Q3" s="179">
        <f t="shared" si="1"/>
        <v>997.33302079131681</v>
      </c>
      <c r="R3" s="179">
        <f t="shared" si="1"/>
        <v>1008.6625472845826</v>
      </c>
      <c r="S3" s="179">
        <f t="shared" si="1"/>
        <v>1010.6638104220467</v>
      </c>
      <c r="T3" s="179">
        <f t="shared" si="1"/>
        <v>1010.1944455892805</v>
      </c>
      <c r="U3" s="179">
        <f t="shared" si="1"/>
        <v>1019.2248702065892</v>
      </c>
      <c r="V3" s="179">
        <f t="shared" si="1"/>
        <v>1055.2735814875816</v>
      </c>
      <c r="W3" s="179">
        <f t="shared" si="1"/>
        <v>1070.7568730657258</v>
      </c>
      <c r="X3" s="179">
        <f t="shared" ref="X3:Y3" si="2">SUM(X4:X9)</f>
        <v>1050.6877751784077</v>
      </c>
      <c r="Y3" s="179">
        <f t="shared" si="2"/>
        <v>1063.416983434206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56.292327701601479</v>
      </c>
      <c r="C4" s="180">
        <f t="shared" ref="C4:R9" si="4">C12*C44/11630</f>
        <v>56.893507883358332</v>
      </c>
      <c r="D4" s="180">
        <f t="shared" si="4"/>
        <v>57.326019059842842</v>
      </c>
      <c r="E4" s="180">
        <f t="shared" si="4"/>
        <v>57.806969310768373</v>
      </c>
      <c r="F4" s="180">
        <f t="shared" si="4"/>
        <v>58.453421245193027</v>
      </c>
      <c r="G4" s="180">
        <f t="shared" si="4"/>
        <v>59.120994189848552</v>
      </c>
      <c r="H4" s="180">
        <f t="shared" si="4"/>
        <v>60.08510977000978</v>
      </c>
      <c r="I4" s="180">
        <f t="shared" si="4"/>
        <v>60.910366443312185</v>
      </c>
      <c r="J4" s="180">
        <f t="shared" si="4"/>
        <v>61.655501600853157</v>
      </c>
      <c r="K4" s="180">
        <f t="shared" si="4"/>
        <v>62.35352098734883</v>
      </c>
      <c r="L4" s="180">
        <f t="shared" si="4"/>
        <v>63.06283167978264</v>
      </c>
      <c r="M4" s="180">
        <f t="shared" si="4"/>
        <v>63.492705290337817</v>
      </c>
      <c r="N4" s="180">
        <f t="shared" si="4"/>
        <v>63.611416551402698</v>
      </c>
      <c r="O4" s="180">
        <f t="shared" si="4"/>
        <v>64.022016470911254</v>
      </c>
      <c r="P4" s="180">
        <f t="shared" si="4"/>
        <v>64.230586350960323</v>
      </c>
      <c r="Q4" s="180">
        <f t="shared" si="4"/>
        <v>64.501803141025789</v>
      </c>
      <c r="R4" s="180">
        <f t="shared" si="4"/>
        <v>64.394316618864039</v>
      </c>
      <c r="S4" s="180">
        <f t="shared" ref="D4:W9" si="5">S12*S44/11630</f>
        <v>64.321774093294749</v>
      </c>
      <c r="T4" s="180">
        <f t="shared" si="5"/>
        <v>64.075189518263031</v>
      </c>
      <c r="U4" s="180">
        <f t="shared" si="5"/>
        <v>64.267563640020072</v>
      </c>
      <c r="V4" s="180">
        <f t="shared" si="5"/>
        <v>64.495374869584367</v>
      </c>
      <c r="W4" s="180">
        <f t="shared" si="5"/>
        <v>64.730976902432133</v>
      </c>
      <c r="X4" s="180">
        <f t="shared" ref="X4:Y4" si="6">X12*X44/11630</f>
        <v>64.806334157456661</v>
      </c>
      <c r="Y4" s="180">
        <f t="shared" si="6"/>
        <v>64.806410246091048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141.66228267170061</v>
      </c>
      <c r="C5" s="180">
        <f t="shared" si="4"/>
        <v>141.91234641061362</v>
      </c>
      <c r="D5" s="180">
        <f t="shared" si="5"/>
        <v>142.4553033922875</v>
      </c>
      <c r="E5" s="180">
        <f t="shared" si="5"/>
        <v>143.25370861279069</v>
      </c>
      <c r="F5" s="180">
        <f t="shared" si="5"/>
        <v>143.36684814056855</v>
      </c>
      <c r="G5" s="180">
        <f t="shared" si="5"/>
        <v>143.48914697769885</v>
      </c>
      <c r="H5" s="180">
        <f t="shared" si="5"/>
        <v>143.05945335108345</v>
      </c>
      <c r="I5" s="180">
        <f t="shared" si="5"/>
        <v>142.69807868937477</v>
      </c>
      <c r="J5" s="180">
        <f t="shared" si="5"/>
        <v>143.67111523589173</v>
      </c>
      <c r="K5" s="180">
        <f t="shared" si="5"/>
        <v>145.51806129364661</v>
      </c>
      <c r="L5" s="180">
        <f t="shared" si="5"/>
        <v>147.38281845257413</v>
      </c>
      <c r="M5" s="180">
        <f t="shared" si="5"/>
        <v>150.06049733607122</v>
      </c>
      <c r="N5" s="180">
        <f t="shared" si="5"/>
        <v>152.86234217641666</v>
      </c>
      <c r="O5" s="180">
        <f t="shared" si="5"/>
        <v>156.3988449940814</v>
      </c>
      <c r="P5" s="180">
        <f t="shared" si="5"/>
        <v>159.33561437986552</v>
      </c>
      <c r="Q5" s="180">
        <f t="shared" si="5"/>
        <v>163.24230623821245</v>
      </c>
      <c r="R5" s="180">
        <f t="shared" si="5"/>
        <v>166.25994623773181</v>
      </c>
      <c r="S5" s="180">
        <f t="shared" si="5"/>
        <v>161.56702331273334</v>
      </c>
      <c r="T5" s="180">
        <f t="shared" si="5"/>
        <v>159.23900544960478</v>
      </c>
      <c r="U5" s="180">
        <f t="shared" si="5"/>
        <v>156.77569920502157</v>
      </c>
      <c r="V5" s="180">
        <f t="shared" si="5"/>
        <v>152.30203996302464</v>
      </c>
      <c r="W5" s="180">
        <f t="shared" si="5"/>
        <v>147.99098866226922</v>
      </c>
      <c r="X5" s="180">
        <f t="shared" ref="X5:Y5" si="7">X13*X45/11630</f>
        <v>143.0201039761605</v>
      </c>
      <c r="Y5" s="180">
        <f t="shared" si="7"/>
        <v>139.02199558062867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234.23243639231427</v>
      </c>
      <c r="C6" s="180">
        <f t="shared" si="4"/>
        <v>237.73564103739596</v>
      </c>
      <c r="D6" s="180">
        <f t="shared" si="5"/>
        <v>240.80309727335094</v>
      </c>
      <c r="E6" s="180">
        <f t="shared" si="5"/>
        <v>242.4917510730244</v>
      </c>
      <c r="F6" s="180">
        <f t="shared" si="5"/>
        <v>244.36289086159056</v>
      </c>
      <c r="G6" s="180">
        <f t="shared" si="5"/>
        <v>244.67668043404251</v>
      </c>
      <c r="H6" s="180">
        <f t="shared" si="5"/>
        <v>245.50624199140222</v>
      </c>
      <c r="I6" s="180">
        <f t="shared" si="5"/>
        <v>247.10609953276031</v>
      </c>
      <c r="J6" s="180">
        <f t="shared" si="5"/>
        <v>248.38160418853141</v>
      </c>
      <c r="K6" s="180">
        <f t="shared" si="5"/>
        <v>250.01269262702647</v>
      </c>
      <c r="L6" s="180">
        <f t="shared" si="5"/>
        <v>254.21069247273113</v>
      </c>
      <c r="M6" s="180">
        <f t="shared" si="5"/>
        <v>255.61495623980133</v>
      </c>
      <c r="N6" s="180">
        <f t="shared" si="5"/>
        <v>257.08222859190556</v>
      </c>
      <c r="O6" s="180">
        <f t="shared" si="5"/>
        <v>259.53907902765519</v>
      </c>
      <c r="P6" s="180">
        <f t="shared" si="5"/>
        <v>261.9637737481761</v>
      </c>
      <c r="Q6" s="180">
        <f t="shared" si="5"/>
        <v>264.92351310041562</v>
      </c>
      <c r="R6" s="180">
        <f t="shared" si="5"/>
        <v>265.52681929448102</v>
      </c>
      <c r="S6" s="180">
        <f t="shared" si="5"/>
        <v>256.06041713342188</v>
      </c>
      <c r="T6" s="180">
        <f t="shared" si="5"/>
        <v>247.75723090441858</v>
      </c>
      <c r="U6" s="180">
        <f t="shared" si="5"/>
        <v>240.75550848324724</v>
      </c>
      <c r="V6" s="180">
        <f t="shared" si="5"/>
        <v>245.19191041502214</v>
      </c>
      <c r="W6" s="180">
        <f t="shared" si="5"/>
        <v>239.01126337165348</v>
      </c>
      <c r="X6" s="180">
        <f t="shared" ref="X6:Y6" si="8">X14*X46/11630</f>
        <v>216.8725154929958</v>
      </c>
      <c r="Y6" s="180">
        <f t="shared" si="8"/>
        <v>200.92465247341735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128.93682880372228</v>
      </c>
      <c r="C7" s="180">
        <f t="shared" si="4"/>
        <v>129.63053803805988</v>
      </c>
      <c r="D7" s="180">
        <f t="shared" si="5"/>
        <v>130.89507571948701</v>
      </c>
      <c r="E7" s="180">
        <f t="shared" si="5"/>
        <v>131.80009363375049</v>
      </c>
      <c r="F7" s="180">
        <f t="shared" si="5"/>
        <v>132.94307320780564</v>
      </c>
      <c r="G7" s="180">
        <f t="shared" si="5"/>
        <v>134.53029529477425</v>
      </c>
      <c r="H7" s="180">
        <f t="shared" si="5"/>
        <v>133.91701201271914</v>
      </c>
      <c r="I7" s="180">
        <f t="shared" si="5"/>
        <v>134.55952184207615</v>
      </c>
      <c r="J7" s="180">
        <f t="shared" si="5"/>
        <v>135.21741196631797</v>
      </c>
      <c r="K7" s="180">
        <f t="shared" si="5"/>
        <v>135.07217258671275</v>
      </c>
      <c r="L7" s="180">
        <f t="shared" si="5"/>
        <v>134.80387556504203</v>
      </c>
      <c r="M7" s="180">
        <f t="shared" si="5"/>
        <v>134.38327313883991</v>
      </c>
      <c r="N7" s="180">
        <f t="shared" si="5"/>
        <v>134.1000365223214</v>
      </c>
      <c r="O7" s="180">
        <f t="shared" si="5"/>
        <v>134.14465872730784</v>
      </c>
      <c r="P7" s="180">
        <f t="shared" si="5"/>
        <v>134.672580620378</v>
      </c>
      <c r="Q7" s="180">
        <f t="shared" si="5"/>
        <v>134.60562249642345</v>
      </c>
      <c r="R7" s="180">
        <f t="shared" si="5"/>
        <v>133.62498829320788</v>
      </c>
      <c r="S7" s="180">
        <f t="shared" si="5"/>
        <v>134.03123227325375</v>
      </c>
      <c r="T7" s="180">
        <f t="shared" si="5"/>
        <v>134.00657421673449</v>
      </c>
      <c r="U7" s="180">
        <f t="shared" si="5"/>
        <v>134.00507185184114</v>
      </c>
      <c r="V7" s="180">
        <f t="shared" si="5"/>
        <v>133.86015049547652</v>
      </c>
      <c r="W7" s="180">
        <f t="shared" si="5"/>
        <v>133.92703695188817</v>
      </c>
      <c r="X7" s="180">
        <f t="shared" ref="X7:Y7" si="9">X15*X47/11630</f>
        <v>133.51215054835581</v>
      </c>
      <c r="Y7" s="180">
        <f t="shared" si="9"/>
        <v>132.70836354350695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66.838766374684909</v>
      </c>
      <c r="C8" s="55">
        <f t="shared" si="4"/>
        <v>72.906995676802538</v>
      </c>
      <c r="D8" s="55">
        <f t="shared" si="5"/>
        <v>78.73914588309519</v>
      </c>
      <c r="E8" s="55">
        <f t="shared" si="5"/>
        <v>83.515689076800101</v>
      </c>
      <c r="F8" s="55">
        <f t="shared" si="5"/>
        <v>89.254422467268228</v>
      </c>
      <c r="G8" s="55">
        <f t="shared" si="5"/>
        <v>93.676697848178407</v>
      </c>
      <c r="H8" s="55">
        <f t="shared" si="5"/>
        <v>97.523875884028286</v>
      </c>
      <c r="I8" s="55">
        <f t="shared" si="5"/>
        <v>101.12358981463868</v>
      </c>
      <c r="J8" s="55">
        <f t="shared" si="5"/>
        <v>104.35141739551952</v>
      </c>
      <c r="K8" s="55">
        <f t="shared" si="5"/>
        <v>107.43152790884706</v>
      </c>
      <c r="L8" s="55">
        <f t="shared" si="5"/>
        <v>109.9532202529677</v>
      </c>
      <c r="M8" s="55">
        <f t="shared" si="5"/>
        <v>111.23464416544311</v>
      </c>
      <c r="N8" s="55">
        <f t="shared" si="5"/>
        <v>112.32735167984791</v>
      </c>
      <c r="O8" s="55">
        <f t="shared" si="5"/>
        <v>113.5305887013543</v>
      </c>
      <c r="P8" s="55">
        <f t="shared" si="5"/>
        <v>113.67985669829052</v>
      </c>
      <c r="Q8" s="55">
        <f t="shared" si="5"/>
        <v>113.83116896668119</v>
      </c>
      <c r="R8" s="55">
        <f t="shared" si="5"/>
        <v>117.80610681446309</v>
      </c>
      <c r="S8" s="55">
        <f t="shared" si="5"/>
        <v>117.4761103296098</v>
      </c>
      <c r="T8" s="55">
        <f t="shared" si="5"/>
        <v>118.71021589404859</v>
      </c>
      <c r="U8" s="55">
        <f t="shared" si="5"/>
        <v>120.14038234821201</v>
      </c>
      <c r="V8" s="55">
        <f t="shared" si="5"/>
        <v>129.28584201362094</v>
      </c>
      <c r="W8" s="55">
        <f t="shared" si="5"/>
        <v>134.03110177799417</v>
      </c>
      <c r="X8" s="55">
        <f t="shared" ref="X8:Y8" si="10">X16*X48/11630</f>
        <v>128.99131187464181</v>
      </c>
      <c r="Y8" s="55">
        <f t="shared" si="10"/>
        <v>126.61501245134802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153.15662191693269</v>
      </c>
      <c r="C9" s="63">
        <f t="shared" si="4"/>
        <v>164.17642626781026</v>
      </c>
      <c r="D9" s="63">
        <f t="shared" si="5"/>
        <v>176.22615536054954</v>
      </c>
      <c r="E9" s="63">
        <f t="shared" si="5"/>
        <v>186.50400206969502</v>
      </c>
      <c r="F9" s="63">
        <f t="shared" si="5"/>
        <v>195.79856375153236</v>
      </c>
      <c r="G9" s="63">
        <f t="shared" si="5"/>
        <v>203.19365284012949</v>
      </c>
      <c r="H9" s="63">
        <f t="shared" si="5"/>
        <v>210.25144298697205</v>
      </c>
      <c r="I9" s="63">
        <f t="shared" si="5"/>
        <v>215.24270642337891</v>
      </c>
      <c r="J9" s="63">
        <f t="shared" si="5"/>
        <v>219.96660839705743</v>
      </c>
      <c r="K9" s="63">
        <f t="shared" si="5"/>
        <v>223.47629074425979</v>
      </c>
      <c r="L9" s="63">
        <f t="shared" si="5"/>
        <v>226.63793657922352</v>
      </c>
      <c r="M9" s="63">
        <f t="shared" si="5"/>
        <v>224.16984328001487</v>
      </c>
      <c r="N9" s="63">
        <f t="shared" si="5"/>
        <v>229.74116668516825</v>
      </c>
      <c r="O9" s="63">
        <f t="shared" si="5"/>
        <v>238.65341728549834</v>
      </c>
      <c r="P9" s="63">
        <f t="shared" si="5"/>
        <v>246.71368694300241</v>
      </c>
      <c r="Q9" s="63">
        <f t="shared" si="5"/>
        <v>256.22860684855834</v>
      </c>
      <c r="R9" s="63">
        <f t="shared" si="5"/>
        <v>261.05037002583481</v>
      </c>
      <c r="S9" s="63">
        <f t="shared" si="5"/>
        <v>277.20725327973327</v>
      </c>
      <c r="T9" s="63">
        <f t="shared" si="5"/>
        <v>286.40622960621101</v>
      </c>
      <c r="U9" s="63">
        <f t="shared" si="5"/>
        <v>303.2806446782472</v>
      </c>
      <c r="V9" s="63">
        <f t="shared" si="5"/>
        <v>330.138263730853</v>
      </c>
      <c r="W9" s="63">
        <f t="shared" si="5"/>
        <v>351.06550539948853</v>
      </c>
      <c r="X9" s="63">
        <f t="shared" ref="X9:Y9" si="11">X17*X49/11630</f>
        <v>363.4853591287972</v>
      </c>
      <c r="Y9" s="63">
        <f t="shared" si="11"/>
        <v>399.34054913921392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3548.4306113209318</v>
      </c>
      <c r="C11" s="179">
        <f t="shared" ref="C11:W11" si="13">SUM(C12:C17)</f>
        <v>3658.884465646096</v>
      </c>
      <c r="D11" s="179">
        <f t="shared" si="13"/>
        <v>3765.1353825455462</v>
      </c>
      <c r="E11" s="179">
        <f t="shared" si="13"/>
        <v>3840.2146676237971</v>
      </c>
      <c r="F11" s="179">
        <f t="shared" si="13"/>
        <v>3921.4773100538732</v>
      </c>
      <c r="G11" s="179">
        <f t="shared" si="13"/>
        <v>3972.8140537084191</v>
      </c>
      <c r="H11" s="179">
        <f t="shared" si="13"/>
        <v>4017.755602259982</v>
      </c>
      <c r="I11" s="179">
        <f t="shared" si="13"/>
        <v>4059.7853161613293</v>
      </c>
      <c r="J11" s="179">
        <f t="shared" si="13"/>
        <v>4102.9358286020433</v>
      </c>
      <c r="K11" s="179">
        <f t="shared" si="13"/>
        <v>4139.5288743087549</v>
      </c>
      <c r="L11" s="179">
        <f t="shared" si="13"/>
        <v>4176.8696413523412</v>
      </c>
      <c r="M11" s="179">
        <f t="shared" si="13"/>
        <v>4178.1932064494868</v>
      </c>
      <c r="N11" s="179">
        <f t="shared" si="13"/>
        <v>4192.5987668393336</v>
      </c>
      <c r="O11" s="179">
        <f t="shared" si="13"/>
        <v>4228.1074119967952</v>
      </c>
      <c r="P11" s="179">
        <f t="shared" si="13"/>
        <v>4252.8090056074652</v>
      </c>
      <c r="Q11" s="179">
        <f t="shared" si="13"/>
        <v>4294.9179041738053</v>
      </c>
      <c r="R11" s="179">
        <f t="shared" si="13"/>
        <v>4287.325631583858</v>
      </c>
      <c r="S11" s="179">
        <f t="shared" si="13"/>
        <v>4317.2863670283587</v>
      </c>
      <c r="T11" s="179">
        <f t="shared" si="13"/>
        <v>4313.5693491131433</v>
      </c>
      <c r="U11" s="179">
        <f t="shared" si="13"/>
        <v>4312.5684199107545</v>
      </c>
      <c r="V11" s="179">
        <f t="shared" si="13"/>
        <v>4312.0290221804953</v>
      </c>
      <c r="W11" s="179">
        <f t="shared" si="13"/>
        <v>4302.6878753405608</v>
      </c>
      <c r="X11" s="179">
        <f t="shared" ref="X11:Y11" si="14">SUM(X12:X17)</f>
        <v>4293.7753223173668</v>
      </c>
      <c r="Y11" s="179">
        <f t="shared" si="14"/>
        <v>4320.5997841471244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74.735133695162688</v>
      </c>
      <c r="C12" s="180">
        <f t="shared" ref="C12:W12" si="15">C20*C52</f>
        <v>75.533275877107044</v>
      </c>
      <c r="D12" s="180">
        <f t="shared" si="15"/>
        <v>76.107488774654371</v>
      </c>
      <c r="E12" s="180">
        <f t="shared" si="15"/>
        <v>76.746010626054357</v>
      </c>
      <c r="F12" s="180">
        <f t="shared" si="15"/>
        <v>77.60425674447427</v>
      </c>
      <c r="G12" s="180">
        <f t="shared" si="15"/>
        <v>78.490543656157385</v>
      </c>
      <c r="H12" s="180">
        <f t="shared" si="15"/>
        <v>79.770528153563177</v>
      </c>
      <c r="I12" s="180">
        <f t="shared" si="15"/>
        <v>80.866160015493264</v>
      </c>
      <c r="J12" s="180">
        <f t="shared" si="15"/>
        <v>81.855420504329018</v>
      </c>
      <c r="K12" s="180">
        <f t="shared" si="15"/>
        <v>82.782128890738235</v>
      </c>
      <c r="L12" s="180">
        <f t="shared" si="15"/>
        <v>83.72382790363838</v>
      </c>
      <c r="M12" s="180">
        <f t="shared" si="15"/>
        <v>84.294539101213317</v>
      </c>
      <c r="N12" s="180">
        <f t="shared" si="15"/>
        <v>84.452143206942182</v>
      </c>
      <c r="O12" s="180">
        <f t="shared" si="15"/>
        <v>84.997266159440386</v>
      </c>
      <c r="P12" s="180">
        <f t="shared" si="15"/>
        <v>85.274168865487269</v>
      </c>
      <c r="Q12" s="180">
        <f t="shared" si="15"/>
        <v>85.634243211202019</v>
      </c>
      <c r="R12" s="180">
        <f t="shared" si="15"/>
        <v>85.491541355866289</v>
      </c>
      <c r="S12" s="180">
        <f t="shared" si="15"/>
        <v>85.395232043951793</v>
      </c>
      <c r="T12" s="180">
        <f t="shared" si="15"/>
        <v>85.067860056780717</v>
      </c>
      <c r="U12" s="180">
        <f t="shared" si="15"/>
        <v>85.323260859980977</v>
      </c>
      <c r="V12" s="180">
        <f t="shared" si="15"/>
        <v>85.625708873660528</v>
      </c>
      <c r="W12" s="180">
        <f t="shared" si="15"/>
        <v>85.938500156996071</v>
      </c>
      <c r="X12" s="180">
        <f t="shared" ref="X12:Y12" si="16">X20*X52</f>
        <v>86.038546375710141</v>
      </c>
      <c r="Y12" s="180">
        <f t="shared" si="16"/>
        <v>86.038647392926791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402.60104997386151</v>
      </c>
      <c r="C13" s="180">
        <f t="shared" ref="C13:W13" si="17">C21*C53/1000</f>
        <v>402.94948492443626</v>
      </c>
      <c r="D13" s="180">
        <f t="shared" si="17"/>
        <v>404.34154046635905</v>
      </c>
      <c r="E13" s="180">
        <f t="shared" si="17"/>
        <v>406.27287439635381</v>
      </c>
      <c r="F13" s="180">
        <f t="shared" si="17"/>
        <v>406.43551781655839</v>
      </c>
      <c r="G13" s="180">
        <f t="shared" si="17"/>
        <v>406.65585920062745</v>
      </c>
      <c r="H13" s="180">
        <f t="shared" si="17"/>
        <v>405.52033350576676</v>
      </c>
      <c r="I13" s="180">
        <f t="shared" si="17"/>
        <v>405.15681997405017</v>
      </c>
      <c r="J13" s="180">
        <f t="shared" si="17"/>
        <v>409.15917052518023</v>
      </c>
      <c r="K13" s="180">
        <f t="shared" si="17"/>
        <v>415.07922747267656</v>
      </c>
      <c r="L13" s="180">
        <f t="shared" si="17"/>
        <v>421.56877021924373</v>
      </c>
      <c r="M13" s="180">
        <f t="shared" si="17"/>
        <v>430.72877377324556</v>
      </c>
      <c r="N13" s="180">
        <f t="shared" si="17"/>
        <v>440.98666099409058</v>
      </c>
      <c r="O13" s="180">
        <f t="shared" si="17"/>
        <v>454.47141232801908</v>
      </c>
      <c r="P13" s="180">
        <f t="shared" si="17"/>
        <v>466.39440219889468</v>
      </c>
      <c r="Q13" s="180">
        <f t="shared" si="17"/>
        <v>483.12766708191623</v>
      </c>
      <c r="R13" s="180">
        <f t="shared" si="17"/>
        <v>482.64469373886595</v>
      </c>
      <c r="S13" s="180">
        <f t="shared" si="17"/>
        <v>480.91871998898461</v>
      </c>
      <c r="T13" s="180">
        <f t="shared" si="17"/>
        <v>475.31819797816303</v>
      </c>
      <c r="U13" s="180">
        <f t="shared" si="17"/>
        <v>466.84100283802019</v>
      </c>
      <c r="V13" s="180">
        <f t="shared" si="17"/>
        <v>454.67200128053457</v>
      </c>
      <c r="W13" s="180">
        <f t="shared" si="17"/>
        <v>441.09289264417697</v>
      </c>
      <c r="X13" s="180">
        <f t="shared" ref="X13:Y13" si="18">X21*X53/1000</f>
        <v>429.60171857498267</v>
      </c>
      <c r="Y13" s="180">
        <f t="shared" si="18"/>
        <v>420.87486565076631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1108.7934830002871</v>
      </c>
      <c r="C14" s="180">
        <f t="shared" ref="C14:W14" si="19">C22*C54</f>
        <v>1118.4691545713351</v>
      </c>
      <c r="D14" s="180">
        <f t="shared" si="19"/>
        <v>1125.8319887664904</v>
      </c>
      <c r="E14" s="180">
        <f t="shared" si="19"/>
        <v>1126.4881018880485</v>
      </c>
      <c r="F14" s="180">
        <f t="shared" si="19"/>
        <v>1125.9083020202559</v>
      </c>
      <c r="G14" s="180">
        <f t="shared" si="19"/>
        <v>1120.5300950972478</v>
      </c>
      <c r="H14" s="180">
        <f t="shared" si="19"/>
        <v>1117.6664107317761</v>
      </c>
      <c r="I14" s="180">
        <f t="shared" si="19"/>
        <v>1119.9592565633241</v>
      </c>
      <c r="J14" s="180">
        <f t="shared" si="19"/>
        <v>1122.849174284612</v>
      </c>
      <c r="K14" s="180">
        <f t="shared" si="19"/>
        <v>1125.1151740952509</v>
      </c>
      <c r="L14" s="180">
        <f t="shared" si="19"/>
        <v>1138.6040069366393</v>
      </c>
      <c r="M14" s="180">
        <f t="shared" si="19"/>
        <v>1140.6684985248999</v>
      </c>
      <c r="N14" s="180">
        <f t="shared" si="19"/>
        <v>1142.2049714274081</v>
      </c>
      <c r="O14" s="180">
        <f t="shared" si="19"/>
        <v>1148.7442563901566</v>
      </c>
      <c r="P14" s="180">
        <f t="shared" si="19"/>
        <v>1155.8921584186194</v>
      </c>
      <c r="Q14" s="180">
        <f t="shared" si="19"/>
        <v>1166.3655813002918</v>
      </c>
      <c r="R14" s="180">
        <f t="shared" si="19"/>
        <v>1143.9603207197035</v>
      </c>
      <c r="S14" s="180">
        <f t="shared" si="19"/>
        <v>1123.6839793580214</v>
      </c>
      <c r="T14" s="180">
        <f t="shared" si="19"/>
        <v>1090.3001688587108</v>
      </c>
      <c r="U14" s="180">
        <f t="shared" si="19"/>
        <v>1051.3722342842275</v>
      </c>
      <c r="V14" s="180">
        <f t="shared" si="19"/>
        <v>1005.9743003995899</v>
      </c>
      <c r="W14" s="180">
        <f t="shared" si="19"/>
        <v>956.43306192812202</v>
      </c>
      <c r="X14" s="180">
        <f t="shared" ref="X14:Y14" si="20">X22*X54</f>
        <v>910.96977886079173</v>
      </c>
      <c r="Y14" s="180">
        <f t="shared" si="20"/>
        <v>865.48630464304063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171.1798309346222</v>
      </c>
      <c r="C15" s="180">
        <f t="shared" ref="C15:W15" si="21">C23*C55/1000</f>
        <v>172.1008170528124</v>
      </c>
      <c r="D15" s="180">
        <f t="shared" si="21"/>
        <v>173.7796496138852</v>
      </c>
      <c r="E15" s="180">
        <f t="shared" si="21"/>
        <v>174.98117453887193</v>
      </c>
      <c r="F15" s="180">
        <f t="shared" si="21"/>
        <v>176.49862344826249</v>
      </c>
      <c r="G15" s="180">
        <f t="shared" si="21"/>
        <v>178.60586007742288</v>
      </c>
      <c r="H15" s="180">
        <f t="shared" si="21"/>
        <v>177.79164951003702</v>
      </c>
      <c r="I15" s="180">
        <f t="shared" si="21"/>
        <v>178.64466198896633</v>
      </c>
      <c r="J15" s="180">
        <f t="shared" si="21"/>
        <v>179.51809374067102</v>
      </c>
      <c r="K15" s="180">
        <f t="shared" si="21"/>
        <v>179.32527022642338</v>
      </c>
      <c r="L15" s="180">
        <f t="shared" si="21"/>
        <v>178.96907223989024</v>
      </c>
      <c r="M15" s="180">
        <f t="shared" si="21"/>
        <v>178.41066970373379</v>
      </c>
      <c r="N15" s="180">
        <f t="shared" si="21"/>
        <v>178.03463752906373</v>
      </c>
      <c r="O15" s="180">
        <f t="shared" si="21"/>
        <v>178.09387910942814</v>
      </c>
      <c r="P15" s="180">
        <f t="shared" si="21"/>
        <v>178.79476171404067</v>
      </c>
      <c r="Q15" s="180">
        <f t="shared" si="21"/>
        <v>178.70586639650739</v>
      </c>
      <c r="R15" s="180">
        <f t="shared" si="21"/>
        <v>177.40395135274068</v>
      </c>
      <c r="S15" s="180">
        <f t="shared" si="21"/>
        <v>177.94329124862347</v>
      </c>
      <c r="T15" s="180">
        <f t="shared" si="21"/>
        <v>177.91055458226279</v>
      </c>
      <c r="U15" s="180">
        <f t="shared" si="21"/>
        <v>177.90856000421377</v>
      </c>
      <c r="V15" s="180">
        <f t="shared" si="21"/>
        <v>177.71615870575252</v>
      </c>
      <c r="W15" s="180">
        <f t="shared" si="21"/>
        <v>177.80495887562316</v>
      </c>
      <c r="X15" s="180">
        <f t="shared" ref="X15:Y15" si="22">X23*X55/1000</f>
        <v>177.2541450773262</v>
      </c>
      <c r="Y15" s="180">
        <f t="shared" si="22"/>
        <v>176.18701689623123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926.4866174340176</v>
      </c>
      <c r="C16" s="55">
        <f t="shared" ref="C16:W16" si="23">C24*C56</f>
        <v>1005.79690070112</v>
      </c>
      <c r="D16" s="55">
        <f t="shared" si="23"/>
        <v>1081.5394421147114</v>
      </c>
      <c r="E16" s="55">
        <f t="shared" si="23"/>
        <v>1142.5668674457781</v>
      </c>
      <c r="F16" s="55">
        <f t="shared" si="23"/>
        <v>1216.5614969345925</v>
      </c>
      <c r="G16" s="55">
        <f t="shared" si="23"/>
        <v>1272.4412370617265</v>
      </c>
      <c r="H16" s="55">
        <f t="shared" si="23"/>
        <v>1320.430899949547</v>
      </c>
      <c r="I16" s="55">
        <f t="shared" si="23"/>
        <v>1365.0254771138159</v>
      </c>
      <c r="J16" s="55">
        <f t="shared" si="23"/>
        <v>1404.5766751155468</v>
      </c>
      <c r="K16" s="55">
        <f t="shared" si="23"/>
        <v>1442.1312813756579</v>
      </c>
      <c r="L16" s="55">
        <f t="shared" si="23"/>
        <v>1472.2012373855243</v>
      </c>
      <c r="M16" s="55">
        <f t="shared" si="23"/>
        <v>1486.9384268256288</v>
      </c>
      <c r="N16" s="55">
        <f t="shared" si="23"/>
        <v>1499.2186934336951</v>
      </c>
      <c r="O16" s="55">
        <f t="shared" si="23"/>
        <v>1513.0345794066079</v>
      </c>
      <c r="P16" s="55">
        <f t="shared" si="23"/>
        <v>1512.8761197477618</v>
      </c>
      <c r="Q16" s="55">
        <f t="shared" si="23"/>
        <v>1512.8298571941127</v>
      </c>
      <c r="R16" s="55">
        <f t="shared" si="23"/>
        <v>1532.2775936872131</v>
      </c>
      <c r="S16" s="55">
        <f t="shared" si="23"/>
        <v>1553.3733477017372</v>
      </c>
      <c r="T16" s="55">
        <f t="shared" si="23"/>
        <v>1573.3061690408654</v>
      </c>
      <c r="U16" s="55">
        <f t="shared" si="23"/>
        <v>1588.3274451823233</v>
      </c>
      <c r="V16" s="55">
        <f t="shared" si="23"/>
        <v>1605.8407568253858</v>
      </c>
      <c r="W16" s="55">
        <f t="shared" si="23"/>
        <v>1623.7253088830385</v>
      </c>
      <c r="X16" s="55">
        <f t="shared" ref="X16:Y16" si="24">X24*X56</f>
        <v>1636.5230614471736</v>
      </c>
      <c r="Y16" s="55">
        <f t="shared" si="24"/>
        <v>1645.2524363857995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864.63449628298065</v>
      </c>
      <c r="C17" s="63">
        <f t="shared" ref="C17:W17" si="25">C25*C57/1000</f>
        <v>884.03483251928526</v>
      </c>
      <c r="D17" s="63">
        <f t="shared" si="25"/>
        <v>903.5352728094457</v>
      </c>
      <c r="E17" s="63">
        <f t="shared" si="25"/>
        <v>913.15963872868974</v>
      </c>
      <c r="F17" s="63">
        <f t="shared" si="25"/>
        <v>918.4691130897296</v>
      </c>
      <c r="G17" s="63">
        <f t="shared" si="25"/>
        <v>916.09045861523759</v>
      </c>
      <c r="H17" s="63">
        <f t="shared" si="25"/>
        <v>916.57578040929184</v>
      </c>
      <c r="I17" s="63">
        <f t="shared" si="25"/>
        <v>910.13294050567947</v>
      </c>
      <c r="J17" s="63">
        <f t="shared" si="25"/>
        <v>904.97729443170454</v>
      </c>
      <c r="K17" s="63">
        <f t="shared" si="25"/>
        <v>895.09579224800825</v>
      </c>
      <c r="L17" s="63">
        <f t="shared" si="25"/>
        <v>881.8027266674053</v>
      </c>
      <c r="M17" s="63">
        <f t="shared" si="25"/>
        <v>857.1522985207655</v>
      </c>
      <c r="N17" s="63">
        <f t="shared" si="25"/>
        <v>847.70166024813398</v>
      </c>
      <c r="O17" s="63">
        <f t="shared" si="25"/>
        <v>848.7660186031427</v>
      </c>
      <c r="P17" s="63">
        <f t="shared" si="25"/>
        <v>853.57739466266094</v>
      </c>
      <c r="Q17" s="63">
        <f t="shared" si="25"/>
        <v>868.25468898977454</v>
      </c>
      <c r="R17" s="63">
        <f t="shared" si="25"/>
        <v>865.54753072946801</v>
      </c>
      <c r="S17" s="63">
        <f t="shared" si="25"/>
        <v>895.97179668704018</v>
      </c>
      <c r="T17" s="63">
        <f t="shared" si="25"/>
        <v>911.6663985963603</v>
      </c>
      <c r="U17" s="63">
        <f t="shared" si="25"/>
        <v>942.79591674198866</v>
      </c>
      <c r="V17" s="63">
        <f t="shared" si="25"/>
        <v>982.20009609557178</v>
      </c>
      <c r="W17" s="63">
        <f t="shared" si="25"/>
        <v>1017.6931528526038</v>
      </c>
      <c r="X17" s="63">
        <f t="shared" ref="X17:Y17" si="26">X25*X57/1000</f>
        <v>1053.3880719813822</v>
      </c>
      <c r="Y17" s="63">
        <f t="shared" si="26"/>
        <v>1126.7605131783605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116.33474292689115</v>
      </c>
      <c r="C20" s="181">
        <v>118.30128211546143</v>
      </c>
      <c r="D20" s="181">
        <v>119.96161924516775</v>
      </c>
      <c r="E20" s="181">
        <v>121.82489436440588</v>
      </c>
      <c r="F20" s="181">
        <v>124.17811369459315</v>
      </c>
      <c r="G20" s="181">
        <v>126.67820974161714</v>
      </c>
      <c r="H20" s="181">
        <v>130.01562115078812</v>
      </c>
      <c r="I20" s="181">
        <v>133.13000829210139</v>
      </c>
      <c r="J20" s="181">
        <v>136.16596071733204</v>
      </c>
      <c r="K20" s="181">
        <v>139.2093616573213</v>
      </c>
      <c r="L20" s="181">
        <v>142.41772406763863</v>
      </c>
      <c r="M20" s="181">
        <v>145.0924405927145</v>
      </c>
      <c r="N20" s="181">
        <v>147.16715291750305</v>
      </c>
      <c r="O20" s="181">
        <v>150.23647554390507</v>
      </c>
      <c r="P20" s="181">
        <v>153.0513034762044</v>
      </c>
      <c r="Q20" s="181">
        <v>156.32962840402183</v>
      </c>
      <c r="R20" s="181">
        <v>158.69944403618939</v>
      </c>
      <c r="S20" s="181">
        <v>161.34767394278271</v>
      </c>
      <c r="T20" s="181">
        <v>163.68342049600608</v>
      </c>
      <c r="U20" s="181">
        <v>165.93921923922281</v>
      </c>
      <c r="V20" s="181">
        <v>168.25227744459951</v>
      </c>
      <c r="W20" s="181">
        <v>170.64081071396842</v>
      </c>
      <c r="X20" s="181">
        <v>172.67563394933941</v>
      </c>
      <c r="Y20" s="181">
        <v>174.53031060187163</v>
      </c>
      <c r="DA20" s="190" t="s">
        <v>922</v>
      </c>
    </row>
    <row r="21" spans="1:105" ht="12" customHeight="1" x14ac:dyDescent="0.25">
      <c r="A21" s="131" t="s">
        <v>156</v>
      </c>
      <c r="B21" s="181">
        <v>2259.8328483263581</v>
      </c>
      <c r="C21" s="181">
        <v>2280.0920330781387</v>
      </c>
      <c r="D21" s="181">
        <v>2309.4398770955281</v>
      </c>
      <c r="E21" s="181">
        <v>2347.7230578440826</v>
      </c>
      <c r="F21" s="181">
        <v>2381.5484420639136</v>
      </c>
      <c r="G21" s="181">
        <v>2422.7064780822848</v>
      </c>
      <c r="H21" s="181">
        <v>2460.7176881880782</v>
      </c>
      <c r="I21" s="181">
        <v>2512.6498174003282</v>
      </c>
      <c r="J21" s="181">
        <v>2568.973686307575</v>
      </c>
      <c r="K21" s="181">
        <v>2648.6663438427577</v>
      </c>
      <c r="L21" s="181">
        <v>2738.9338137056548</v>
      </c>
      <c r="M21" s="181">
        <v>2856.2025108040657</v>
      </c>
      <c r="N21" s="181">
        <v>2999.1242425157484</v>
      </c>
      <c r="O21" s="181">
        <v>3188.5043966987259</v>
      </c>
      <c r="P21" s="181">
        <v>3393.9029673901691</v>
      </c>
      <c r="Q21" s="181">
        <v>3652.4572131095392</v>
      </c>
      <c r="R21" s="181">
        <v>3789.7768274307346</v>
      </c>
      <c r="S21" s="181">
        <v>3941.0688112645739</v>
      </c>
      <c r="T21" s="181">
        <v>4079.7731697701788</v>
      </c>
      <c r="U21" s="181">
        <v>4211.4618961204351</v>
      </c>
      <c r="V21" s="181">
        <v>4329.714996551771</v>
      </c>
      <c r="W21" s="181">
        <v>4426.0281541079466</v>
      </c>
      <c r="X21" s="181">
        <v>4510.5492603143421</v>
      </c>
      <c r="Y21" s="181">
        <v>4578.4193834492089</v>
      </c>
      <c r="DA21" s="190" t="s">
        <v>923</v>
      </c>
    </row>
    <row r="22" spans="1:105" ht="12" customHeight="1" x14ac:dyDescent="0.25">
      <c r="A22" s="131" t="s">
        <v>160</v>
      </c>
      <c r="B22" s="181">
        <v>29.579708202544232</v>
      </c>
      <c r="C22" s="181">
        <v>30.178983932887441</v>
      </c>
      <c r="D22" s="181">
        <v>30.947881788212062</v>
      </c>
      <c r="E22" s="181">
        <v>31.699555074155597</v>
      </c>
      <c r="F22" s="181">
        <v>32.527464628258528</v>
      </c>
      <c r="G22" s="181">
        <v>33.379117335787654</v>
      </c>
      <c r="H22" s="181">
        <v>34.455124615365897</v>
      </c>
      <c r="I22" s="181">
        <v>35.464789053200313</v>
      </c>
      <c r="J22" s="181">
        <v>36.405647632282211</v>
      </c>
      <c r="K22" s="181">
        <v>37.393065832774347</v>
      </c>
      <c r="L22" s="181">
        <v>38.932932346532922</v>
      </c>
      <c r="M22" s="181">
        <v>40.179486304949407</v>
      </c>
      <c r="N22" s="181">
        <v>41.661689609634891</v>
      </c>
      <c r="O22" s="181">
        <v>43.479499217760136</v>
      </c>
      <c r="P22" s="181">
        <v>45.706059058573004</v>
      </c>
      <c r="Q22" s="181">
        <v>48.332691375628883</v>
      </c>
      <c r="R22" s="181">
        <v>50.001131977802558</v>
      </c>
      <c r="S22" s="181">
        <v>51.797964686876298</v>
      </c>
      <c r="T22" s="181">
        <v>53.46130933817696</v>
      </c>
      <c r="U22" s="181">
        <v>55.014893172031627</v>
      </c>
      <c r="V22" s="181">
        <v>56.413458141791843</v>
      </c>
      <c r="W22" s="181">
        <v>57.539356778921722</v>
      </c>
      <c r="X22" s="181">
        <v>58.390651215780643</v>
      </c>
      <c r="Y22" s="181">
        <v>59.101459075438449</v>
      </c>
      <c r="DA22" s="190" t="s">
        <v>924</v>
      </c>
    </row>
    <row r="23" spans="1:105" ht="12" customHeight="1" x14ac:dyDescent="0.25">
      <c r="A23" s="131" t="s">
        <v>172</v>
      </c>
      <c r="B23" s="181">
        <v>271.7484133547203</v>
      </c>
      <c r="C23" s="181">
        <v>275.58717362029228</v>
      </c>
      <c r="D23" s="181">
        <v>281.43753048160039</v>
      </c>
      <c r="E23" s="181">
        <v>286.91809660042264</v>
      </c>
      <c r="F23" s="181">
        <v>293.47360665130901</v>
      </c>
      <c r="G23" s="181">
        <v>301.68623693906039</v>
      </c>
      <c r="H23" s="181">
        <v>305.10098842252802</v>
      </c>
      <c r="I23" s="181">
        <v>312.3727032508628</v>
      </c>
      <c r="J23" s="181">
        <v>320.5169258007133</v>
      </c>
      <c r="K23" s="181">
        <v>327.50073249388686</v>
      </c>
      <c r="L23" s="181">
        <v>335.1359593873085</v>
      </c>
      <c r="M23" s="181">
        <v>339.96820044598076</v>
      </c>
      <c r="N23" s="181">
        <v>345.36301762257301</v>
      </c>
      <c r="O23" s="181">
        <v>352.12581346716263</v>
      </c>
      <c r="P23" s="181">
        <v>361.16672147283816</v>
      </c>
      <c r="Q23" s="181">
        <v>369.08337226258556</v>
      </c>
      <c r="R23" s="181">
        <v>373.18786381843023</v>
      </c>
      <c r="S23" s="181">
        <v>382.66057665058014</v>
      </c>
      <c r="T23" s="181">
        <v>391.10898740380497</v>
      </c>
      <c r="U23" s="181">
        <v>399.34366336063408</v>
      </c>
      <c r="V23" s="181">
        <v>407.21789632489498</v>
      </c>
      <c r="W23" s="181">
        <v>414.46886080975673</v>
      </c>
      <c r="X23" s="181">
        <v>421.09908503749773</v>
      </c>
      <c r="Y23" s="181">
        <v>426.52494125492302</v>
      </c>
      <c r="DA23" s="190" t="s">
        <v>925</v>
      </c>
    </row>
    <row r="24" spans="1:105" ht="12" customHeight="1" x14ac:dyDescent="0.25">
      <c r="A24" s="60" t="s">
        <v>159</v>
      </c>
      <c r="B24" s="36">
        <v>20.922407684302129</v>
      </c>
      <c r="C24" s="36">
        <v>22.869994191091592</v>
      </c>
      <c r="D24" s="36">
        <v>24.755132663250727</v>
      </c>
      <c r="E24" s="36">
        <v>26.304313241016846</v>
      </c>
      <c r="F24" s="36">
        <v>28.194182907571015</v>
      </c>
      <c r="G24" s="36">
        <v>29.661138887723258</v>
      </c>
      <c r="H24" s="36">
        <v>30.954131948573767</v>
      </c>
      <c r="I24" s="36">
        <v>32.191574172796244</v>
      </c>
      <c r="J24" s="36">
        <v>33.334300422454646</v>
      </c>
      <c r="K24" s="36">
        <v>34.466499883846211</v>
      </c>
      <c r="L24" s="36">
        <v>35.461178762252523</v>
      </c>
      <c r="M24" s="36">
        <v>36.147802642143574</v>
      </c>
      <c r="N24" s="36">
        <v>36.865610738821971</v>
      </c>
      <c r="O24" s="36">
        <v>37.742203681330992</v>
      </c>
      <c r="P24" s="36">
        <v>38.374513717398813</v>
      </c>
      <c r="Q24" s="36">
        <v>39.160617837725738</v>
      </c>
      <c r="R24" s="36">
        <v>40.32963220313853</v>
      </c>
      <c r="S24" s="36">
        <v>41.584151740951405</v>
      </c>
      <c r="T24" s="36">
        <v>42.771462085766096</v>
      </c>
      <c r="U24" s="36">
        <v>43.948660835499275</v>
      </c>
      <c r="V24" s="36">
        <v>45.14963345410176</v>
      </c>
      <c r="W24" s="36">
        <v>46.363636284755664</v>
      </c>
      <c r="X24" s="36">
        <v>47.445026652646547</v>
      </c>
      <c r="Y24" s="36">
        <v>48.416628209873792</v>
      </c>
      <c r="DA24" s="89" t="s">
        <v>926</v>
      </c>
    </row>
    <row r="25" spans="1:105" ht="12" customHeight="1" x14ac:dyDescent="0.25">
      <c r="A25" s="62" t="s">
        <v>157</v>
      </c>
      <c r="B25" s="38">
        <v>2592.6076463860168</v>
      </c>
      <c r="C25" s="38">
        <v>2709.9980631217177</v>
      </c>
      <c r="D25" s="38">
        <v>2854.0721862758796</v>
      </c>
      <c r="E25" s="38">
        <v>2989.8646506035907</v>
      </c>
      <c r="F25" s="38">
        <v>3138.7587183998298</v>
      </c>
      <c r="G25" s="38">
        <v>3282.9357127694866</v>
      </c>
      <c r="H25" s="38">
        <v>3443.6889362850743</v>
      </c>
      <c r="I25" s="38">
        <v>3595.1695160973368</v>
      </c>
      <c r="J25" s="38">
        <v>3765.046490708467</v>
      </c>
      <c r="K25" s="38">
        <v>3949.7865130077344</v>
      </c>
      <c r="L25" s="38">
        <v>4157.0724775480485</v>
      </c>
      <c r="M25" s="38">
        <v>4358.6596123659629</v>
      </c>
      <c r="N25" s="38">
        <v>4672.6673475373664</v>
      </c>
      <c r="O25" s="38">
        <v>5065.5996228834883</v>
      </c>
      <c r="P25" s="38">
        <v>5476.3025860083835</v>
      </c>
      <c r="Q25" s="38">
        <v>5940.4457849156443</v>
      </c>
      <c r="R25" s="38">
        <v>6255.7795047145155</v>
      </c>
      <c r="S25" s="38">
        <v>6815.9233394147086</v>
      </c>
      <c r="T25" s="38">
        <v>7225.6243142085841</v>
      </c>
      <c r="U25" s="38">
        <v>7720.061522915521</v>
      </c>
      <c r="V25" s="38">
        <v>8252.9378449826872</v>
      </c>
      <c r="W25" s="38">
        <v>8747.1197842815218</v>
      </c>
      <c r="X25" s="38">
        <v>9282.6070556395789</v>
      </c>
      <c r="Y25" s="38">
        <v>10154.096379843983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7.0123640520126997</v>
      </c>
      <c r="D28" s="182">
        <v>6.8488861481342695</v>
      </c>
      <c r="E28" s="182">
        <v>7.198585330196039</v>
      </c>
      <c r="F28" s="182">
        <v>7.8394419612257309</v>
      </c>
      <c r="G28" s="182">
        <v>8.1414997456319043</v>
      </c>
      <c r="H28" s="182">
        <v>9.1383855640683294</v>
      </c>
      <c r="I28" s="182">
        <v>9.0794452976885935</v>
      </c>
      <c r="J28" s="182">
        <v>9.1697357965805253</v>
      </c>
      <c r="K28" s="182">
        <v>9.3506820192922646</v>
      </c>
      <c r="L28" s="182">
        <v>9.6940486833522641</v>
      </c>
      <c r="M28" s="182">
        <v>9.3438542887732581</v>
      </c>
      <c r="N28" s="182">
        <v>8.9324906135866229</v>
      </c>
      <c r="O28" s="182">
        <v>10.121077249661909</v>
      </c>
      <c r="P28" s="182">
        <v>10.066045625921021</v>
      </c>
      <c r="Q28" s="182">
        <v>10.734647623286577</v>
      </c>
      <c r="R28" s="182">
        <v>10.037044846354888</v>
      </c>
      <c r="S28" s="182">
        <v>10.532331255722085</v>
      </c>
      <c r="T28" s="182">
        <v>10.442854394517042</v>
      </c>
      <c r="U28" s="182">
        <v>9.268162795229415</v>
      </c>
      <c r="V28" s="182">
        <v>9.161944353510961</v>
      </c>
      <c r="W28" s="182">
        <v>9.5871185995649455</v>
      </c>
      <c r="X28" s="182">
        <v>9.8742651965967241</v>
      </c>
      <c r="Y28" s="182">
        <v>9.9961763981641241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303.74262730660689</v>
      </c>
      <c r="D29" s="182">
        <v>325.03379776721454</v>
      </c>
      <c r="E29" s="182">
        <v>346.69690134189909</v>
      </c>
      <c r="F29" s="182">
        <v>355.51473687236944</v>
      </c>
      <c r="G29" s="182">
        <v>376.69446873907032</v>
      </c>
      <c r="H29" s="182">
        <v>387.99076881545534</v>
      </c>
      <c r="I29" s="182">
        <v>416.97651655771278</v>
      </c>
      <c r="J29" s="182">
        <v>360.0664962138535</v>
      </c>
      <c r="K29" s="182">
        <v>404.72645530239697</v>
      </c>
      <c r="L29" s="182">
        <v>436.96437120479641</v>
      </c>
      <c r="M29" s="182">
        <v>472.78343397078015</v>
      </c>
      <c r="N29" s="182">
        <v>519.61620045075279</v>
      </c>
      <c r="O29" s="182">
        <v>577.37092299843289</v>
      </c>
      <c r="P29" s="182">
        <v>622.37508724915597</v>
      </c>
      <c r="Q29" s="182">
        <v>618.6207419332236</v>
      </c>
      <c r="R29" s="182">
        <v>542.0460696235923</v>
      </c>
      <c r="S29" s="182">
        <v>588.25635503863577</v>
      </c>
      <c r="T29" s="182">
        <v>611.48779247638504</v>
      </c>
      <c r="U29" s="182">
        <v>651.30492680100906</v>
      </c>
      <c r="V29" s="182">
        <v>695.62402342976884</v>
      </c>
      <c r="W29" s="182">
        <v>718.68824480533158</v>
      </c>
      <c r="X29" s="182">
        <v>703.14184813961901</v>
      </c>
      <c r="Y29" s="182">
        <v>609.91619275845915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5.2186233178644912</v>
      </c>
      <c r="D30" s="182">
        <v>5.5082484808782404</v>
      </c>
      <c r="E30" s="182">
        <v>5.6141444307027832</v>
      </c>
      <c r="F30" s="182">
        <v>5.8166996862646343</v>
      </c>
      <c r="G30" s="182">
        <v>5.9700433862230717</v>
      </c>
      <c r="H30" s="182">
        <v>6.3273653134326722</v>
      </c>
      <c r="I30" s="182">
        <v>6.2282877556989078</v>
      </c>
      <c r="J30" s="182">
        <v>6.4491070599601379</v>
      </c>
      <c r="K30" s="182">
        <v>6.6015626311949198</v>
      </c>
      <c r="L30" s="182">
        <v>7.3565662000232095</v>
      </c>
      <c r="M30" s="182">
        <v>7.2165973446395526</v>
      </c>
      <c r="N30" s="182">
        <v>7.8095686181181563</v>
      </c>
      <c r="O30" s="182">
        <v>8.0460973638241526</v>
      </c>
      <c r="P30" s="182">
        <v>8.6756669007730096</v>
      </c>
      <c r="Q30" s="182">
        <v>9.2281949482508026</v>
      </c>
      <c r="R30" s="182">
        <v>9.0250068021968843</v>
      </c>
      <c r="S30" s="182">
        <v>9.013430053713293</v>
      </c>
      <c r="T30" s="182">
        <v>9.4729132694188181</v>
      </c>
      <c r="U30" s="182">
        <v>9.5996811976788194</v>
      </c>
      <c r="V30" s="182">
        <v>10.074231870533225</v>
      </c>
      <c r="W30" s="182">
        <v>10.354093585380681</v>
      </c>
      <c r="X30" s="182">
        <v>9.876301239055806</v>
      </c>
      <c r="Y30" s="182">
        <v>9.7242379133710983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28.536099138294759</v>
      </c>
      <c r="D31" s="182">
        <v>31.067925053838678</v>
      </c>
      <c r="E31" s="182">
        <v>31.229321837896293</v>
      </c>
      <c r="F31" s="182">
        <v>32.846642328935559</v>
      </c>
      <c r="G31" s="182">
        <v>35.057563845058723</v>
      </c>
      <c r="H31" s="182">
        <v>30.825151692740008</v>
      </c>
      <c r="I31" s="182">
        <v>35.259492783850021</v>
      </c>
      <c r="J31" s="182">
        <v>36.721540243382208</v>
      </c>
      <c r="K31" s="182">
        <v>36.163082298942413</v>
      </c>
      <c r="L31" s="182">
        <v>37.429140164369812</v>
      </c>
      <c r="M31" s="182">
        <v>33.368340196966983</v>
      </c>
      <c r="N31" s="182">
        <v>36.462742230430933</v>
      </c>
      <c r="O31" s="182">
        <v>37.992117682485912</v>
      </c>
      <c r="P31" s="182">
        <v>41.887550334611092</v>
      </c>
      <c r="Q31" s="182">
        <v>42.974214634806117</v>
      </c>
      <c r="R31" s="182">
        <v>34.929643248584682</v>
      </c>
      <c r="S31" s="182">
        <v>44.732205615999931</v>
      </c>
      <c r="T31" s="182">
        <v>45.169950996607042</v>
      </c>
      <c r="U31" s="182">
        <v>44.397758255771521</v>
      </c>
      <c r="V31" s="182">
        <v>45.30337312863071</v>
      </c>
      <c r="W31" s="182">
        <v>40.619304681828737</v>
      </c>
      <c r="X31" s="182">
        <v>43.092966458171929</v>
      </c>
      <c r="Y31" s="182">
        <v>43.417973899911203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2.543508032629731</v>
      </c>
      <c r="D32" s="41">
        <v>2.5481199269398793</v>
      </c>
      <c r="E32" s="41">
        <v>2.2867683142779356</v>
      </c>
      <c r="F32" s="41">
        <v>2.7104592398063261</v>
      </c>
      <c r="G32" s="41">
        <v>2.379887709351852</v>
      </c>
      <c r="H32" s="41">
        <v>2.3086583451122706</v>
      </c>
      <c r="I32" s="41">
        <v>2.3674018221421704</v>
      </c>
      <c r="J32" s="41">
        <v>2.3998418690613903</v>
      </c>
      <c r="K32" s="41">
        <v>2.5307801570699233</v>
      </c>
      <c r="L32" s="41">
        <v>2.5506439242094032</v>
      </c>
      <c r="M32" s="41">
        <v>2.4176839690529093</v>
      </c>
      <c r="N32" s="41">
        <v>2.6436669328853526</v>
      </c>
      <c r="O32" s="41">
        <v>3.0191715163078072</v>
      </c>
      <c r="P32" s="41">
        <v>3.0159961394288928</v>
      </c>
      <c r="Q32" s="41">
        <v>3.4380299394498977</v>
      </c>
      <c r="R32" s="41">
        <v>3.7125223980425233</v>
      </c>
      <c r="S32" s="41">
        <v>3.8026394647527511</v>
      </c>
      <c r="T32" s="41">
        <v>3.4740786590926263</v>
      </c>
      <c r="U32" s="41">
        <v>3.8876579895395054</v>
      </c>
      <c r="V32" s="41">
        <v>3.5808603279543405</v>
      </c>
      <c r="W32" s="41">
        <v>3.5226611757661743</v>
      </c>
      <c r="X32" s="41">
        <v>3.4487921900330534</v>
      </c>
      <c r="Y32" s="41">
        <v>3.3714434262886357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635.91194601290408</v>
      </c>
      <c r="D33" s="42">
        <v>662.59565243136558</v>
      </c>
      <c r="E33" s="42">
        <v>654.31399360491423</v>
      </c>
      <c r="F33" s="42">
        <v>667.41559707344231</v>
      </c>
      <c r="G33" s="42">
        <v>662.69852364685994</v>
      </c>
      <c r="H33" s="42">
        <v>796.66516952849179</v>
      </c>
      <c r="I33" s="42">
        <v>814.07623224362806</v>
      </c>
      <c r="J33" s="42">
        <v>824.19096821604444</v>
      </c>
      <c r="K33" s="42">
        <v>852.15561937270968</v>
      </c>
      <c r="L33" s="42">
        <v>869.98448818717407</v>
      </c>
      <c r="M33" s="42">
        <v>998.25230434640616</v>
      </c>
      <c r="N33" s="42">
        <v>1128.0839674150316</v>
      </c>
      <c r="O33" s="42">
        <v>1217.1232435621664</v>
      </c>
      <c r="P33" s="42">
        <v>1262.8585824976053</v>
      </c>
      <c r="Q33" s="42">
        <v>1334.1276870944348</v>
      </c>
      <c r="R33" s="42">
        <v>1313.5860241452774</v>
      </c>
      <c r="S33" s="42">
        <v>1688.2278021152251</v>
      </c>
      <c r="T33" s="42">
        <v>1626.8242183560415</v>
      </c>
      <c r="U33" s="42">
        <v>1757.2957912045422</v>
      </c>
      <c r="V33" s="42">
        <v>1867.0040091616011</v>
      </c>
      <c r="W33" s="42">
        <v>1807.767963444112</v>
      </c>
      <c r="X33" s="42">
        <v>2223.7150734732822</v>
      </c>
      <c r="Y33" s="42">
        <v>2498.3135425604451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5.0458248634424194</v>
      </c>
      <c r="D36" s="182">
        <v>5.188549018427949</v>
      </c>
      <c r="E36" s="182">
        <v>5.335310210957914</v>
      </c>
      <c r="F36" s="182">
        <v>5.4862226310384585</v>
      </c>
      <c r="G36" s="182">
        <v>5.6414036986079168</v>
      </c>
      <c r="H36" s="182">
        <v>5.8009741548973466</v>
      </c>
      <c r="I36" s="182">
        <v>5.9650581563753065</v>
      </c>
      <c r="J36" s="182">
        <v>6.133783371349864</v>
      </c>
      <c r="K36" s="182">
        <v>6.3072810793030101</v>
      </c>
      <c r="L36" s="182">
        <v>6.4856862730349292</v>
      </c>
      <c r="M36" s="182">
        <v>6.6691377636973925</v>
      </c>
      <c r="N36" s="182">
        <v>6.8577782887980732</v>
      </c>
      <c r="O36" s="182">
        <v>7.0517546232598818</v>
      </c>
      <c r="P36" s="182">
        <v>7.2512176936216974</v>
      </c>
      <c r="Q36" s="182">
        <v>7.4563226954691402</v>
      </c>
      <c r="R36" s="182">
        <v>7.6672292141873299</v>
      </c>
      <c r="S36" s="182">
        <v>7.8841013491287697</v>
      </c>
      <c r="T36" s="182">
        <v>8.1071078412936686</v>
      </c>
      <c r="U36" s="182">
        <v>7.0123640520126855</v>
      </c>
      <c r="V36" s="182">
        <v>6.8488861481342553</v>
      </c>
      <c r="W36" s="182">
        <v>7.198585330196039</v>
      </c>
      <c r="X36" s="182">
        <v>7.8394419612257309</v>
      </c>
      <c r="Y36" s="182">
        <v>8.1414997456319043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283.48344255482652</v>
      </c>
      <c r="D37" s="182">
        <v>295.68595374982533</v>
      </c>
      <c r="E37" s="182">
        <v>308.41372059334435</v>
      </c>
      <c r="F37" s="182">
        <v>321.68935265253867</v>
      </c>
      <c r="G37" s="182">
        <v>335.53643272069894</v>
      </c>
      <c r="H37" s="182">
        <v>349.97955870966189</v>
      </c>
      <c r="I37" s="182">
        <v>365.04438734546284</v>
      </c>
      <c r="J37" s="182">
        <v>303.74262730660666</v>
      </c>
      <c r="K37" s="182">
        <v>325.03379776721431</v>
      </c>
      <c r="L37" s="182">
        <v>346.69690134189932</v>
      </c>
      <c r="M37" s="182">
        <v>355.51473687236921</v>
      </c>
      <c r="N37" s="182">
        <v>376.69446873907009</v>
      </c>
      <c r="O37" s="182">
        <v>387.99076881545534</v>
      </c>
      <c r="P37" s="182">
        <v>416.97651655771278</v>
      </c>
      <c r="Q37" s="182">
        <v>360.0664962138535</v>
      </c>
      <c r="R37" s="182">
        <v>404.72645530239697</v>
      </c>
      <c r="S37" s="182">
        <v>436.96437120479641</v>
      </c>
      <c r="T37" s="182">
        <v>472.78343397078015</v>
      </c>
      <c r="U37" s="182">
        <v>519.61620045075233</v>
      </c>
      <c r="V37" s="182">
        <v>577.37092299843243</v>
      </c>
      <c r="W37" s="182">
        <v>622.37508724915551</v>
      </c>
      <c r="X37" s="182">
        <v>618.62074193322314</v>
      </c>
      <c r="Y37" s="182">
        <v>542.0460696235923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4.6193475875212826</v>
      </c>
      <c r="D38" s="182">
        <v>4.7393506255536231</v>
      </c>
      <c r="E38" s="182">
        <v>4.8624711447592475</v>
      </c>
      <c r="F38" s="182">
        <v>4.9887901321617036</v>
      </c>
      <c r="G38" s="182">
        <v>5.1183906786939417</v>
      </c>
      <c r="H38" s="182">
        <v>5.2513580338544301</v>
      </c>
      <c r="I38" s="182">
        <v>5.2186233178644912</v>
      </c>
      <c r="J38" s="182">
        <v>5.5082484808782368</v>
      </c>
      <c r="K38" s="182">
        <v>5.6141444307027868</v>
      </c>
      <c r="L38" s="182">
        <v>5.8166996862646343</v>
      </c>
      <c r="M38" s="182">
        <v>5.9700433862230682</v>
      </c>
      <c r="N38" s="182">
        <v>6.3273653134326722</v>
      </c>
      <c r="O38" s="182">
        <v>6.2282877556989078</v>
      </c>
      <c r="P38" s="182">
        <v>6.4491070599601414</v>
      </c>
      <c r="Q38" s="182">
        <v>6.6015626311949234</v>
      </c>
      <c r="R38" s="182">
        <v>7.3565662000232095</v>
      </c>
      <c r="S38" s="182">
        <v>7.2165973446395526</v>
      </c>
      <c r="T38" s="182">
        <v>7.8095686181181563</v>
      </c>
      <c r="U38" s="182">
        <v>8.0460973638241526</v>
      </c>
      <c r="V38" s="182">
        <v>8.6756669007730167</v>
      </c>
      <c r="W38" s="182">
        <v>9.2281949482508097</v>
      </c>
      <c r="X38" s="182">
        <v>9.0250068021968914</v>
      </c>
      <c r="Y38" s="182">
        <v>9.0134300537133001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24.69733887272281</v>
      </c>
      <c r="D39" s="182">
        <v>25.217568192530564</v>
      </c>
      <c r="E39" s="182">
        <v>25.74875571907404</v>
      </c>
      <c r="F39" s="182">
        <v>26.29113227804919</v>
      </c>
      <c r="G39" s="182">
        <v>26.844933557307343</v>
      </c>
      <c r="H39" s="182">
        <v>27.410400209272382</v>
      </c>
      <c r="I39" s="182">
        <v>27.987777955515242</v>
      </c>
      <c r="J39" s="182">
        <v>28.577317693531711</v>
      </c>
      <c r="K39" s="182">
        <v>29.179275605768851</v>
      </c>
      <c r="L39" s="182">
        <v>29.793913270948167</v>
      </c>
      <c r="M39" s="182">
        <v>28.53609913829473</v>
      </c>
      <c r="N39" s="182">
        <v>31.067925053838678</v>
      </c>
      <c r="O39" s="182">
        <v>31.229321837896293</v>
      </c>
      <c r="P39" s="182">
        <v>32.846642328935559</v>
      </c>
      <c r="Q39" s="182">
        <v>35.057563845058723</v>
      </c>
      <c r="R39" s="182">
        <v>30.825151692740008</v>
      </c>
      <c r="S39" s="182">
        <v>35.259492783850021</v>
      </c>
      <c r="T39" s="182">
        <v>36.721540243382208</v>
      </c>
      <c r="U39" s="182">
        <v>36.163082298942413</v>
      </c>
      <c r="V39" s="182">
        <v>37.429140164369812</v>
      </c>
      <c r="W39" s="182">
        <v>33.368340196966983</v>
      </c>
      <c r="X39" s="182">
        <v>36.462742230430933</v>
      </c>
      <c r="Y39" s="182">
        <v>37.992117682485912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0.59592152584026792</v>
      </c>
      <c r="D40" s="41">
        <v>0.66298145478074488</v>
      </c>
      <c r="E40" s="41">
        <v>0.73758773651181642</v>
      </c>
      <c r="F40" s="41">
        <v>0.82058957325215687</v>
      </c>
      <c r="G40" s="41">
        <v>0.91293172919960952</v>
      </c>
      <c r="H40" s="41">
        <v>1.0156652842617611</v>
      </c>
      <c r="I40" s="41">
        <v>1.1299595979196937</v>
      </c>
      <c r="J40" s="41">
        <v>1.2571156194029882</v>
      </c>
      <c r="K40" s="41">
        <v>1.398580695678362</v>
      </c>
      <c r="L40" s="41">
        <v>1.5559650458030916</v>
      </c>
      <c r="M40" s="41">
        <v>1.7310600891618577</v>
      </c>
      <c r="N40" s="41">
        <v>1.925858836206956</v>
      </c>
      <c r="O40" s="41">
        <v>2.1425785737987866</v>
      </c>
      <c r="P40" s="41">
        <v>2.3836861033610717</v>
      </c>
      <c r="Q40" s="41">
        <v>2.6519258191229724</v>
      </c>
      <c r="R40" s="41">
        <v>2.543508032629731</v>
      </c>
      <c r="S40" s="41">
        <v>2.5481199269398758</v>
      </c>
      <c r="T40" s="41">
        <v>2.2867683142779356</v>
      </c>
      <c r="U40" s="41">
        <v>2.7104592398063261</v>
      </c>
      <c r="V40" s="41">
        <v>2.3798877093518556</v>
      </c>
      <c r="W40" s="41">
        <v>2.3086583451122706</v>
      </c>
      <c r="X40" s="41">
        <v>2.3674018221421704</v>
      </c>
      <c r="Y40" s="41">
        <v>2.3998418690613903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518.52152927720317</v>
      </c>
      <c r="D41" s="42">
        <v>518.52152927720363</v>
      </c>
      <c r="E41" s="42">
        <v>518.52152927720317</v>
      </c>
      <c r="F41" s="42">
        <v>518.52152927720317</v>
      </c>
      <c r="G41" s="42">
        <v>518.52152927720317</v>
      </c>
      <c r="H41" s="42">
        <v>635.91194601290408</v>
      </c>
      <c r="I41" s="42">
        <v>662.59565243136512</v>
      </c>
      <c r="J41" s="42">
        <v>654.31399360491469</v>
      </c>
      <c r="K41" s="42">
        <v>667.41559707344186</v>
      </c>
      <c r="L41" s="42">
        <v>662.69852364685994</v>
      </c>
      <c r="M41" s="42">
        <v>796.66516952849179</v>
      </c>
      <c r="N41" s="42">
        <v>814.0762322436276</v>
      </c>
      <c r="O41" s="42">
        <v>824.19096821604398</v>
      </c>
      <c r="P41" s="42">
        <v>852.15561937271013</v>
      </c>
      <c r="Q41" s="42">
        <v>869.98448818717407</v>
      </c>
      <c r="R41" s="42">
        <v>998.25230434640616</v>
      </c>
      <c r="S41" s="42">
        <v>1128.083967415032</v>
      </c>
      <c r="T41" s="42">
        <v>1217.123243562166</v>
      </c>
      <c r="U41" s="42">
        <v>1262.8585824976053</v>
      </c>
      <c r="V41" s="42">
        <v>1334.1276870944348</v>
      </c>
      <c r="W41" s="42">
        <v>1313.5860241452774</v>
      </c>
      <c r="X41" s="42">
        <v>1688.2278021152251</v>
      </c>
      <c r="Y41" s="42">
        <v>1626.8242183560415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8760.0000000000018</v>
      </c>
      <c r="C44" s="184">
        <v>8759.9999999999964</v>
      </c>
      <c r="D44" s="184">
        <v>8760</v>
      </c>
      <c r="E44" s="184">
        <v>8760</v>
      </c>
      <c r="F44" s="184">
        <v>8760.0000000000036</v>
      </c>
      <c r="G44" s="184">
        <v>8760</v>
      </c>
      <c r="H44" s="184">
        <v>8760.0000000000036</v>
      </c>
      <c r="I44" s="184">
        <v>8759.9999999999964</v>
      </c>
      <c r="J44" s="184">
        <v>8760</v>
      </c>
      <c r="K44" s="184">
        <v>8760</v>
      </c>
      <c r="L44" s="184">
        <v>8759.9999999999982</v>
      </c>
      <c r="M44" s="184">
        <v>8760.0000000000018</v>
      </c>
      <c r="N44" s="184">
        <v>8759.9999999999982</v>
      </c>
      <c r="O44" s="184">
        <v>8760.0000000000018</v>
      </c>
      <c r="P44" s="184">
        <v>8760.0000000000018</v>
      </c>
      <c r="Q44" s="184">
        <v>8760.0000000000018</v>
      </c>
      <c r="R44" s="184">
        <v>8760</v>
      </c>
      <c r="S44" s="184">
        <v>8760.0000000000018</v>
      </c>
      <c r="T44" s="184">
        <v>8760</v>
      </c>
      <c r="U44" s="184">
        <v>8760.0000000000018</v>
      </c>
      <c r="V44" s="184">
        <v>8760</v>
      </c>
      <c r="W44" s="184">
        <v>8760.0000000000018</v>
      </c>
      <c r="X44" s="184">
        <v>8760.0000000000018</v>
      </c>
      <c r="Y44" s="184">
        <v>8760.0000000000018</v>
      </c>
      <c r="DA44" s="193" t="s">
        <v>940</v>
      </c>
    </row>
    <row r="45" spans="1:105" ht="12" customHeight="1" x14ac:dyDescent="0.25">
      <c r="A45" s="131" t="s">
        <v>6</v>
      </c>
      <c r="B45" s="184">
        <v>4092.2206923674007</v>
      </c>
      <c r="C45" s="184">
        <v>4095.8994874132622</v>
      </c>
      <c r="D45" s="184">
        <v>4097.4152112628271</v>
      </c>
      <c r="E45" s="184">
        <v>4100.7921920511753</v>
      </c>
      <c r="F45" s="184">
        <v>4102.3886220184158</v>
      </c>
      <c r="G45" s="184">
        <v>4103.6634333290895</v>
      </c>
      <c r="H45" s="184">
        <v>4102.8311159875302</v>
      </c>
      <c r="I45" s="184">
        <v>4096.1390092451675</v>
      </c>
      <c r="J45" s="184">
        <v>4083.7287553612136</v>
      </c>
      <c r="K45" s="184">
        <v>4077.2337925691886</v>
      </c>
      <c r="L45" s="184">
        <v>4065.9135583312095</v>
      </c>
      <c r="M45" s="184">
        <v>4051.7459948873993</v>
      </c>
      <c r="N45" s="184">
        <v>4031.3896014545189</v>
      </c>
      <c r="O45" s="184">
        <v>4002.2727897532632</v>
      </c>
      <c r="P45" s="184">
        <v>3973.1891860219835</v>
      </c>
      <c r="Q45" s="184">
        <v>3929.6197483728688</v>
      </c>
      <c r="R45" s="184">
        <v>4006.2663069305254</v>
      </c>
      <c r="S45" s="184">
        <v>3907.156039112238</v>
      </c>
      <c r="T45" s="184">
        <v>3896.2312851821121</v>
      </c>
      <c r="U45" s="184">
        <v>3905.6153394200292</v>
      </c>
      <c r="V45" s="184">
        <v>3895.7154163471214</v>
      </c>
      <c r="W45" s="184">
        <v>3901.9789863868991</v>
      </c>
      <c r="X45" s="184">
        <v>3871.7810877482093</v>
      </c>
      <c r="Y45" s="184">
        <v>3841.5831891095195</v>
      </c>
      <c r="DA45" s="193" t="s">
        <v>941</v>
      </c>
    </row>
    <row r="46" spans="1:105" ht="12" customHeight="1" x14ac:dyDescent="0.25">
      <c r="A46" s="131" t="s">
        <v>5</v>
      </c>
      <c r="B46" s="184">
        <v>2456.8355397178229</v>
      </c>
      <c r="C46" s="184">
        <v>2472.0087218896783</v>
      </c>
      <c r="D46" s="184">
        <v>2487.5292665626448</v>
      </c>
      <c r="E46" s="184">
        <v>2503.5142938949089</v>
      </c>
      <c r="F46" s="184">
        <v>2524.1313307850269</v>
      </c>
      <c r="G46" s="184">
        <v>2539.5032278905041</v>
      </c>
      <c r="H46" s="184">
        <v>2554.642035355238</v>
      </c>
      <c r="I46" s="184">
        <v>2566.0254341614177</v>
      </c>
      <c r="J46" s="184">
        <v>2572.6323026002588</v>
      </c>
      <c r="K46" s="184">
        <v>2584.3110840545464</v>
      </c>
      <c r="L46" s="184">
        <v>2596.5746962476514</v>
      </c>
      <c r="M46" s="184">
        <v>2606.192723752155</v>
      </c>
      <c r="N46" s="184">
        <v>2617.6267774315852</v>
      </c>
      <c r="O46" s="184">
        <v>2627.5991999967437</v>
      </c>
      <c r="P46" s="184">
        <v>2635.7464807611518</v>
      </c>
      <c r="Q46" s="184">
        <v>2641.5906871351563</v>
      </c>
      <c r="R46" s="184">
        <v>2699.4615568938634</v>
      </c>
      <c r="S46" s="184">
        <v>2650.1958788831944</v>
      </c>
      <c r="T46" s="184">
        <v>2642.7736853737783</v>
      </c>
      <c r="U46" s="184">
        <v>2663.1733960202891</v>
      </c>
      <c r="V46" s="184">
        <v>2834.64688610237</v>
      </c>
      <c r="W46" s="184">
        <v>2906.3204772622453</v>
      </c>
      <c r="X46" s="184">
        <v>2768.7278038330742</v>
      </c>
      <c r="Y46" s="184">
        <v>2699.9314671184884</v>
      </c>
      <c r="DA46" s="193" t="s">
        <v>942</v>
      </c>
    </row>
    <row r="47" spans="1:105" ht="12" customHeight="1" x14ac:dyDescent="0.25">
      <c r="A47" s="131" t="s">
        <v>171</v>
      </c>
      <c r="B47" s="184">
        <v>8759.9999999999982</v>
      </c>
      <c r="C47" s="184">
        <v>8760</v>
      </c>
      <c r="D47" s="184">
        <v>8759.9999999999964</v>
      </c>
      <c r="E47" s="184">
        <v>8760.0000000000018</v>
      </c>
      <c r="F47" s="184">
        <v>8760</v>
      </c>
      <c r="G47" s="184">
        <v>8760</v>
      </c>
      <c r="H47" s="184">
        <v>8759.9999999999964</v>
      </c>
      <c r="I47" s="184">
        <v>8760.0000000000036</v>
      </c>
      <c r="J47" s="184">
        <v>8760</v>
      </c>
      <c r="K47" s="184">
        <v>8760.0000000000018</v>
      </c>
      <c r="L47" s="184">
        <v>8760.0000000000018</v>
      </c>
      <c r="M47" s="184">
        <v>8760.0000000000018</v>
      </c>
      <c r="N47" s="184">
        <v>8759.9999999999982</v>
      </c>
      <c r="O47" s="184">
        <v>8759.9999999999982</v>
      </c>
      <c r="P47" s="184">
        <v>8760</v>
      </c>
      <c r="Q47" s="184">
        <v>8760</v>
      </c>
      <c r="R47" s="184">
        <v>8759.9999999999964</v>
      </c>
      <c r="S47" s="184">
        <v>8759.9999999999982</v>
      </c>
      <c r="T47" s="184">
        <v>8760</v>
      </c>
      <c r="U47" s="184">
        <v>8760</v>
      </c>
      <c r="V47" s="184">
        <v>8759.9999999999982</v>
      </c>
      <c r="W47" s="184">
        <v>8760.0000000000018</v>
      </c>
      <c r="X47" s="184">
        <v>8760.0000000000018</v>
      </c>
      <c r="Y47" s="184">
        <v>8760.0000000000018</v>
      </c>
      <c r="DA47" s="193" t="s">
        <v>943</v>
      </c>
    </row>
    <row r="48" spans="1:105" ht="12" customHeight="1" x14ac:dyDescent="0.25">
      <c r="A48" s="60" t="s">
        <v>4</v>
      </c>
      <c r="B48" s="44">
        <v>839.01357916046277</v>
      </c>
      <c r="C48" s="44">
        <v>843.02144809767697</v>
      </c>
      <c r="D48" s="44">
        <v>846.69706065446587</v>
      </c>
      <c r="E48" s="44">
        <v>850.09244678563971</v>
      </c>
      <c r="F48" s="44">
        <v>853.24822124478135</v>
      </c>
      <c r="G48" s="44">
        <v>856.19670617564623</v>
      </c>
      <c r="H48" s="44">
        <v>858.96405224581338</v>
      </c>
      <c r="I48" s="44">
        <v>861.57172101351728</v>
      </c>
      <c r="J48" s="44">
        <v>864.03754655120918</v>
      </c>
      <c r="K48" s="44">
        <v>866.37651212173523</v>
      </c>
      <c r="L48" s="44">
        <v>868.60132913143809</v>
      </c>
      <c r="M48" s="44">
        <v>870.01511851829287</v>
      </c>
      <c r="N48" s="44">
        <v>871.36526896194744</v>
      </c>
      <c r="O48" s="44">
        <v>872.65735004852206</v>
      </c>
      <c r="P48" s="44">
        <v>873.89622728763072</v>
      </c>
      <c r="Q48" s="44">
        <v>875.08617627225806</v>
      </c>
      <c r="R48" s="44">
        <v>894.1493551147521</v>
      </c>
      <c r="S48" s="44">
        <v>879.5356024067014</v>
      </c>
      <c r="T48" s="44">
        <v>877.51503045935442</v>
      </c>
      <c r="U48" s="44">
        <v>879.68803343904824</v>
      </c>
      <c r="V48" s="44">
        <v>936.32842249619637</v>
      </c>
      <c r="W48" s="44">
        <v>960.00333624802522</v>
      </c>
      <c r="X48" s="44">
        <v>916.68060930072579</v>
      </c>
      <c r="Y48" s="44">
        <v>895.01924582707602</v>
      </c>
      <c r="DA48" s="95" t="s">
        <v>944</v>
      </c>
    </row>
    <row r="49" spans="1:105" ht="12" customHeight="1" x14ac:dyDescent="0.25">
      <c r="A49" s="62" t="s">
        <v>3</v>
      </c>
      <c r="B49" s="185">
        <v>2060.0745408045414</v>
      </c>
      <c r="C49" s="185">
        <v>2159.8377883520561</v>
      </c>
      <c r="D49" s="185">
        <v>2268.3233831817765</v>
      </c>
      <c r="E49" s="185">
        <v>2375.3147336760471</v>
      </c>
      <c r="F49" s="185">
        <v>2479.2747670850167</v>
      </c>
      <c r="G49" s="185">
        <v>2579.5947990800296</v>
      </c>
      <c r="H49" s="185">
        <v>2667.7819054378497</v>
      </c>
      <c r="I49" s="185">
        <v>2750.4472855504514</v>
      </c>
      <c r="J49" s="185">
        <v>2826.8241329350139</v>
      </c>
      <c r="K49" s="185">
        <v>2903.6325316962461</v>
      </c>
      <c r="L49" s="185">
        <v>2989.1030303091015</v>
      </c>
      <c r="M49" s="185">
        <v>3041.5776541062532</v>
      </c>
      <c r="N49" s="185">
        <v>3151.9223022005262</v>
      </c>
      <c r="O49" s="185">
        <v>3270.087612129184</v>
      </c>
      <c r="P49" s="185">
        <v>3361.4762962192499</v>
      </c>
      <c r="Q49" s="185">
        <v>3432.1020495909215</v>
      </c>
      <c r="R49" s="185">
        <v>3507.6245909242662</v>
      </c>
      <c r="S49" s="185">
        <v>3598.2386583641564</v>
      </c>
      <c r="T49" s="185">
        <v>3653.6439814482951</v>
      </c>
      <c r="U49" s="185">
        <v>3741.1637396529768</v>
      </c>
      <c r="V49" s="185">
        <v>3909.0894232779851</v>
      </c>
      <c r="W49" s="185">
        <v>4011.9085171710803</v>
      </c>
      <c r="X49" s="185">
        <v>4013.0839138100914</v>
      </c>
      <c r="Y49" s="185">
        <v>4121.8435791545035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0.64241456863947233</v>
      </c>
      <c r="C52" s="180">
        <v>0.63848230996674205</v>
      </c>
      <c r="D52" s="180">
        <v>0.63443198961087799</v>
      </c>
      <c r="E52" s="180">
        <v>0.62996985161743413</v>
      </c>
      <c r="F52" s="180">
        <v>0.62494311143537074</v>
      </c>
      <c r="G52" s="180">
        <v>0.61960572237524425</v>
      </c>
      <c r="H52" s="180">
        <v>0.61354572202556934</v>
      </c>
      <c r="I52" s="180">
        <v>0.60742248162461099</v>
      </c>
      <c r="J52" s="180">
        <v>0.60114451565654736</v>
      </c>
      <c r="K52" s="180">
        <v>0.59465920901580804</v>
      </c>
      <c r="L52" s="180">
        <v>0.58787505875234547</v>
      </c>
      <c r="M52" s="180">
        <v>0.58097126739934368</v>
      </c>
      <c r="N52" s="180">
        <v>0.57385185167156971</v>
      </c>
      <c r="O52" s="180">
        <v>0.56575652385163155</v>
      </c>
      <c r="P52" s="180">
        <v>0.55716068356611703</v>
      </c>
      <c r="Q52" s="180">
        <v>0.54777999593197357</v>
      </c>
      <c r="R52" s="180">
        <v>0.53870095056143374</v>
      </c>
      <c r="S52" s="180">
        <v>0.52926224442649694</v>
      </c>
      <c r="T52" s="180">
        <v>0.51970969203234851</v>
      </c>
      <c r="U52" s="180">
        <v>0.51418381532202151</v>
      </c>
      <c r="V52" s="180">
        <v>0.50891262914318969</v>
      </c>
      <c r="W52" s="180">
        <v>0.50362219798080965</v>
      </c>
      <c r="X52" s="180">
        <v>0.49826686260177644</v>
      </c>
      <c r="Y52" s="180">
        <v>0.49297252205774811</v>
      </c>
      <c r="DA52" s="189" t="s">
        <v>946</v>
      </c>
    </row>
    <row r="53" spans="1:105" ht="12" customHeight="1" x14ac:dyDescent="0.25">
      <c r="A53" s="131" t="s">
        <v>100</v>
      </c>
      <c r="B53" s="180">
        <v>178.15523403513208</v>
      </c>
      <c r="C53" s="180">
        <v>176.72509665342406</v>
      </c>
      <c r="D53" s="180">
        <v>175.08208136376342</v>
      </c>
      <c r="E53" s="180">
        <v>173.04974410799318</v>
      </c>
      <c r="F53" s="180">
        <v>170.66019344302333</v>
      </c>
      <c r="G53" s="180">
        <v>167.85188914941094</v>
      </c>
      <c r="H53" s="180">
        <v>164.79758545742283</v>
      </c>
      <c r="I53" s="180">
        <v>161.24683080320321</v>
      </c>
      <c r="J53" s="180">
        <v>159.26950622576089</v>
      </c>
      <c r="K53" s="180">
        <v>156.71253891136331</v>
      </c>
      <c r="L53" s="180">
        <v>153.91710749259767</v>
      </c>
      <c r="M53" s="180">
        <v>150.80470384853373</v>
      </c>
      <c r="N53" s="180">
        <v>147.03847701360274</v>
      </c>
      <c r="O53" s="180">
        <v>142.53435334715675</v>
      </c>
      <c r="P53" s="180">
        <v>137.421254137251</v>
      </c>
      <c r="Q53" s="180">
        <v>132.27469588085958</v>
      </c>
      <c r="R53" s="180">
        <v>127.35438410131215</v>
      </c>
      <c r="S53" s="180">
        <v>122.02748620232079</v>
      </c>
      <c r="T53" s="180">
        <v>116.50603555612348</v>
      </c>
      <c r="U53" s="180">
        <v>110.85010724377452</v>
      </c>
      <c r="V53" s="180">
        <v>105.01199308560493</v>
      </c>
      <c r="W53" s="180">
        <v>99.658853781755482</v>
      </c>
      <c r="X53" s="180">
        <v>95.243770499259227</v>
      </c>
      <c r="Y53" s="180">
        <v>91.925800238442775</v>
      </c>
      <c r="DA53" s="189" t="s">
        <v>947</v>
      </c>
    </row>
    <row r="54" spans="1:105" ht="12" customHeight="1" x14ac:dyDescent="0.25">
      <c r="A54" s="131" t="s">
        <v>140</v>
      </c>
      <c r="B54" s="180">
        <v>37.4849364776667</v>
      </c>
      <c r="C54" s="180">
        <v>37.061193215073331</v>
      </c>
      <c r="D54" s="180">
        <v>36.378321349130779</v>
      </c>
      <c r="E54" s="180">
        <v>35.536401039472807</v>
      </c>
      <c r="F54" s="180">
        <v>34.614081204537314</v>
      </c>
      <c r="G54" s="180">
        <v>33.569794066898936</v>
      </c>
      <c r="H54" s="180">
        <v>32.438321532969645</v>
      </c>
      <c r="I54" s="180">
        <v>31.579470411716997</v>
      </c>
      <c r="J54" s="180">
        <v>30.842719394145341</v>
      </c>
      <c r="K54" s="180">
        <v>30.088872068604438</v>
      </c>
      <c r="L54" s="180">
        <v>29.245267137912744</v>
      </c>
      <c r="M54" s="180">
        <v>28.389325086627341</v>
      </c>
      <c r="N54" s="180">
        <v>27.41619416134424</v>
      </c>
      <c r="O54" s="180">
        <v>26.420365391902379</v>
      </c>
      <c r="P54" s="180">
        <v>25.289692050179301</v>
      </c>
      <c r="Q54" s="180">
        <v>24.132022200783464</v>
      </c>
      <c r="R54" s="180">
        <v>22.878688451044507</v>
      </c>
      <c r="S54" s="180">
        <v>21.693593293690199</v>
      </c>
      <c r="T54" s="180">
        <v>20.394191282556609</v>
      </c>
      <c r="U54" s="180">
        <v>19.110683919654001</v>
      </c>
      <c r="V54" s="180">
        <v>17.83216866215033</v>
      </c>
      <c r="W54" s="180">
        <v>16.622241114076726</v>
      </c>
      <c r="X54" s="180">
        <v>15.601295068526197</v>
      </c>
      <c r="Y54" s="180">
        <v>14.644076782238391</v>
      </c>
      <c r="DA54" s="189" t="s">
        <v>948</v>
      </c>
    </row>
    <row r="55" spans="1:105" ht="12" customHeight="1" x14ac:dyDescent="0.25">
      <c r="A55" s="131" t="s">
        <v>173</v>
      </c>
      <c r="B55" s="180">
        <v>629.92025904186869</v>
      </c>
      <c r="C55" s="180">
        <v>624.48776113918575</v>
      </c>
      <c r="D55" s="180">
        <v>617.47148405015741</v>
      </c>
      <c r="E55" s="180">
        <v>609.86454536034364</v>
      </c>
      <c r="F55" s="180">
        <v>601.41225462216619</v>
      </c>
      <c r="G55" s="180">
        <v>592.02521762204435</v>
      </c>
      <c r="H55" s="180">
        <v>582.73049336640315</v>
      </c>
      <c r="I55" s="180">
        <v>571.89587992104077</v>
      </c>
      <c r="J55" s="180">
        <v>560.08927856836294</v>
      </c>
      <c r="K55" s="180">
        <v>547.55685234924078</v>
      </c>
      <c r="L55" s="180">
        <v>534.01930538005922</v>
      </c>
      <c r="M55" s="180">
        <v>524.78634610439792</v>
      </c>
      <c r="N55" s="180">
        <v>515.50000563067624</v>
      </c>
      <c r="O55" s="180">
        <v>505.76774635136547</v>
      </c>
      <c r="P55" s="180">
        <v>495.0477191943807</v>
      </c>
      <c r="Q55" s="180">
        <v>484.18834286949817</v>
      </c>
      <c r="R55" s="180">
        <v>475.37438526954423</v>
      </c>
      <c r="S55" s="180">
        <v>465.01600140301173</v>
      </c>
      <c r="T55" s="180">
        <v>454.88741070165435</v>
      </c>
      <c r="U55" s="180">
        <v>445.50239887880832</v>
      </c>
      <c r="V55" s="180">
        <v>436.41539409152915</v>
      </c>
      <c r="W55" s="180">
        <v>428.99473443732728</v>
      </c>
      <c r="X55" s="180">
        <v>420.93215439198161</v>
      </c>
      <c r="Y55" s="180">
        <v>413.07553170947807</v>
      </c>
      <c r="DA55" s="189" t="s">
        <v>949</v>
      </c>
    </row>
    <row r="56" spans="1:105" ht="12" customHeight="1" x14ac:dyDescent="0.25">
      <c r="A56" s="60" t="s">
        <v>99</v>
      </c>
      <c r="B56" s="55">
        <v>44.282026782660921</v>
      </c>
      <c r="C56" s="55">
        <v>43.978887458261873</v>
      </c>
      <c r="D56" s="55">
        <v>43.689502974074898</v>
      </c>
      <c r="E56" s="55">
        <v>43.436483476183312</v>
      </c>
      <c r="F56" s="55">
        <v>43.149379463233458</v>
      </c>
      <c r="G56" s="55">
        <v>42.89927105895417</v>
      </c>
      <c r="H56" s="55">
        <v>42.657662057629977</v>
      </c>
      <c r="I56" s="55">
        <v>42.403191275664362</v>
      </c>
      <c r="J56" s="55">
        <v>42.136077773193527</v>
      </c>
      <c r="K56" s="55">
        <v>41.841535584863877</v>
      </c>
      <c r="L56" s="55">
        <v>41.515857305698006</v>
      </c>
      <c r="M56" s="55">
        <v>41.134960305776772</v>
      </c>
      <c r="N56" s="55">
        <v>40.66713295637652</v>
      </c>
      <c r="O56" s="55">
        <v>40.088665521007286</v>
      </c>
      <c r="P56" s="55">
        <v>39.423981522971879</v>
      </c>
      <c r="Q56" s="55">
        <v>38.631409327171397</v>
      </c>
      <c r="R56" s="55">
        <v>37.993840012455365</v>
      </c>
      <c r="S56" s="55">
        <v>37.354936500291771</v>
      </c>
      <c r="T56" s="55">
        <v>36.784016545565919</v>
      </c>
      <c r="U56" s="55">
        <v>36.140519756164245</v>
      </c>
      <c r="V56" s="55">
        <v>35.567082919019761</v>
      </c>
      <c r="W56" s="55">
        <v>35.02152632961014</v>
      </c>
      <c r="X56" s="55">
        <v>34.493037034807656</v>
      </c>
      <c r="Y56" s="55">
        <v>33.981144437692933</v>
      </c>
      <c r="DA56" s="101" t="s">
        <v>950</v>
      </c>
    </row>
    <row r="57" spans="1:105" ht="12" customHeight="1" x14ac:dyDescent="0.25">
      <c r="A57" s="62" t="s">
        <v>98</v>
      </c>
      <c r="B57" s="63">
        <v>333.49994068259571</v>
      </c>
      <c r="C57" s="63">
        <v>326.21234846970424</v>
      </c>
      <c r="D57" s="63">
        <v>316.57758242913218</v>
      </c>
      <c r="E57" s="63">
        <v>305.41838693077364</v>
      </c>
      <c r="F57" s="63">
        <v>292.62176404498342</v>
      </c>
      <c r="G57" s="63">
        <v>279.04611566165062</v>
      </c>
      <c r="H57" s="63">
        <v>266.16102597177672</v>
      </c>
      <c r="I57" s="63">
        <v>253.15438852898814</v>
      </c>
      <c r="J57" s="63">
        <v>240.36284722248288</v>
      </c>
      <c r="K57" s="63">
        <v>226.61877782513344</v>
      </c>
      <c r="L57" s="63">
        <v>212.12108555478349</v>
      </c>
      <c r="M57" s="63">
        <v>196.65502121086419</v>
      </c>
      <c r="N57" s="63">
        <v>181.41707876870322</v>
      </c>
      <c r="O57" s="63">
        <v>167.55489612106376</v>
      </c>
      <c r="P57" s="63">
        <v>155.86746372333383</v>
      </c>
      <c r="Q57" s="63">
        <v>146.15985406255231</v>
      </c>
      <c r="R57" s="63">
        <v>138.35966086675037</v>
      </c>
      <c r="S57" s="63">
        <v>131.45273971992447</v>
      </c>
      <c r="T57" s="63">
        <v>126.17129800170275</v>
      </c>
      <c r="U57" s="63">
        <v>122.12285017981786</v>
      </c>
      <c r="V57" s="63">
        <v>119.01217657814945</v>
      </c>
      <c r="W57" s="63">
        <v>116.34608624902876</v>
      </c>
      <c r="X57" s="63">
        <v>113.47976550848438</v>
      </c>
      <c r="Y57" s="63">
        <v>110.96610382928758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0.57607585046352394</v>
      </c>
      <c r="D60" s="180">
        <v>0.57051793424101249</v>
      </c>
      <c r="E60" s="180">
        <v>0.56483359891207741</v>
      </c>
      <c r="F60" s="180">
        <v>0.55905452008899681</v>
      </c>
      <c r="G60" s="180">
        <v>0.55400196231233634</v>
      </c>
      <c r="H60" s="180">
        <v>0.54786644442960197</v>
      </c>
      <c r="I60" s="180">
        <v>0.54272832346066024</v>
      </c>
      <c r="J60" s="180">
        <v>0.53760461553404504</v>
      </c>
      <c r="K60" s="180">
        <v>0.53243149857794059</v>
      </c>
      <c r="L60" s="180">
        <v>0.52694168651073581</v>
      </c>
      <c r="M60" s="180">
        <v>0.51959954716665691</v>
      </c>
      <c r="N60" s="180">
        <v>0.51084753226737445</v>
      </c>
      <c r="O60" s="180">
        <v>0.50145579682445984</v>
      </c>
      <c r="P60" s="180">
        <v>0.49028096794009929</v>
      </c>
      <c r="Q60" s="180">
        <v>0.47976653305220357</v>
      </c>
      <c r="R60" s="180">
        <v>0.47651853370898578</v>
      </c>
      <c r="S60" s="180">
        <v>0.47174287769354128</v>
      </c>
      <c r="T60" s="180">
        <v>0.46737721462150061</v>
      </c>
      <c r="U60" s="180">
        <v>0.46342025740356063</v>
      </c>
      <c r="V60" s="180">
        <v>0.45949421087148906</v>
      </c>
      <c r="W60" s="180">
        <v>0.45673724560626011</v>
      </c>
      <c r="X60" s="180">
        <v>0.45398028034103116</v>
      </c>
      <c r="Y60" s="180">
        <v>0.45122331507580227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167.4196817711815</v>
      </c>
      <c r="D61" s="180">
        <v>166.3521030875952</v>
      </c>
      <c r="E61" s="180">
        <v>164.05353575934632</v>
      </c>
      <c r="F61" s="180">
        <v>161.66217421603176</v>
      </c>
      <c r="G61" s="180">
        <v>159.27473871217927</v>
      </c>
      <c r="H61" s="180">
        <v>157.7747962444123</v>
      </c>
      <c r="I61" s="180">
        <v>155.09519639836788</v>
      </c>
      <c r="J61" s="180">
        <v>152.34642804023881</v>
      </c>
      <c r="K61" s="180">
        <v>148.22384846525077</v>
      </c>
      <c r="L61" s="180">
        <v>145.01501592407038</v>
      </c>
      <c r="M61" s="180">
        <v>140.93829033516388</v>
      </c>
      <c r="N61" s="180">
        <v>135.20710140029996</v>
      </c>
      <c r="O61" s="180">
        <v>129.37942118831398</v>
      </c>
      <c r="P61" s="180">
        <v>123.06733699518801</v>
      </c>
      <c r="Q61" s="180">
        <v>115.72212922322896</v>
      </c>
      <c r="R61" s="180">
        <v>109.78243874896691</v>
      </c>
      <c r="S61" s="180">
        <v>104.78496487230485</v>
      </c>
      <c r="T61" s="180">
        <v>99.81027850881425</v>
      </c>
      <c r="U61" s="180">
        <v>94.853581819005157</v>
      </c>
      <c r="V61" s="180">
        <v>89.891826855987588</v>
      </c>
      <c r="W61" s="180">
        <v>87.680487915330303</v>
      </c>
      <c r="X61" s="180">
        <v>85.469148974673004</v>
      </c>
      <c r="Y61" s="180">
        <v>83.257810034015719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35.034454744352502</v>
      </c>
      <c r="D62" s="180">
        <v>33.58909678488638</v>
      </c>
      <c r="E62" s="180">
        <v>32.582976331523909</v>
      </c>
      <c r="F62" s="180">
        <v>32.049906543553696</v>
      </c>
      <c r="G62" s="180">
        <v>31.23668128879283</v>
      </c>
      <c r="H62" s="180">
        <v>30.657805950168502</v>
      </c>
      <c r="I62" s="180">
        <v>29.723172009787888</v>
      </c>
      <c r="J62" s="180">
        <v>29.136903343929252</v>
      </c>
      <c r="K62" s="180">
        <v>28.05268165492874</v>
      </c>
      <c r="L62" s="180">
        <v>27.174840644736811</v>
      </c>
      <c r="M62" s="180">
        <v>26.127110204372045</v>
      </c>
      <c r="N62" s="180">
        <v>25.0359040836071</v>
      </c>
      <c r="O62" s="180">
        <v>23.820710163610126</v>
      </c>
      <c r="P62" s="180">
        <v>22.4829875697272</v>
      </c>
      <c r="Q62" s="180">
        <v>21.202950186563346</v>
      </c>
      <c r="R62" s="180">
        <v>19.668489729480328</v>
      </c>
      <c r="S62" s="180">
        <v>18.669085105172627</v>
      </c>
      <c r="T62" s="180">
        <v>17.115727310801265</v>
      </c>
      <c r="U62" s="180">
        <v>15.910509477574163</v>
      </c>
      <c r="V62" s="180">
        <v>14.855423135760555</v>
      </c>
      <c r="W62" s="180">
        <v>14.112651978972526</v>
      </c>
      <c r="X62" s="180">
        <v>13.369880822184498</v>
      </c>
      <c r="Y62" s="180">
        <v>12.627109665396469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577.45594934617395</v>
      </c>
      <c r="D63" s="180">
        <v>565.33835519689774</v>
      </c>
      <c r="E63" s="180">
        <v>557.84713763496723</v>
      </c>
      <c r="F63" s="180">
        <v>550.39920316474058</v>
      </c>
      <c r="G63" s="180">
        <v>542.46222622858124</v>
      </c>
      <c r="H63" s="180">
        <v>533.72505663143716</v>
      </c>
      <c r="I63" s="180">
        <v>524.20155139439771</v>
      </c>
      <c r="J63" s="180">
        <v>513.99976664479755</v>
      </c>
      <c r="K63" s="180">
        <v>502.93813960997102</v>
      </c>
      <c r="L63" s="180">
        <v>491.90527749553155</v>
      </c>
      <c r="M63" s="180">
        <v>477.0970802986219</v>
      </c>
      <c r="N63" s="180">
        <v>471.38137241644517</v>
      </c>
      <c r="O63" s="180">
        <v>460.10673908747088</v>
      </c>
      <c r="P63" s="180">
        <v>448.33484457978864</v>
      </c>
      <c r="Q63" s="180">
        <v>440.46200664426141</v>
      </c>
      <c r="R63" s="180">
        <v>433.73591540266989</v>
      </c>
      <c r="S63" s="180">
        <v>425.2511239408359</v>
      </c>
      <c r="T63" s="180">
        <v>417.13851872433213</v>
      </c>
      <c r="U63" s="180">
        <v>409.61074320862275</v>
      </c>
      <c r="V63" s="180">
        <v>402.15968530162468</v>
      </c>
      <c r="W63" s="180">
        <v>394.11649159559215</v>
      </c>
      <c r="X63" s="180">
        <v>386.07329788955968</v>
      </c>
      <c r="Y63" s="180">
        <v>378.03010418352716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41.556344575583253</v>
      </c>
      <c r="D64" s="55">
        <v>41.246372605711173</v>
      </c>
      <c r="E64" s="55">
        <v>40.970178154418129</v>
      </c>
      <c r="F64" s="55">
        <v>40.706016651636659</v>
      </c>
      <c r="G64" s="55">
        <v>40.466702286773256</v>
      </c>
      <c r="H64" s="55">
        <v>40.268141193147265</v>
      </c>
      <c r="I64" s="55">
        <v>39.972715006633301</v>
      </c>
      <c r="J64" s="55">
        <v>39.677124879180923</v>
      </c>
      <c r="K64" s="55">
        <v>39.310642532868599</v>
      </c>
      <c r="L64" s="55">
        <v>38.802453334085214</v>
      </c>
      <c r="M64" s="55">
        <v>37.801482675407911</v>
      </c>
      <c r="N64" s="55">
        <v>36.903740769691737</v>
      </c>
      <c r="O64" s="55">
        <v>36.001137124779476</v>
      </c>
      <c r="P64" s="55">
        <v>34.945665491336726</v>
      </c>
      <c r="Q64" s="55">
        <v>34.143503594144704</v>
      </c>
      <c r="R64" s="55">
        <v>33.7093273279134</v>
      </c>
      <c r="S64" s="55">
        <v>33.186542961766008</v>
      </c>
      <c r="T64" s="55">
        <v>32.705686232979446</v>
      </c>
      <c r="U64" s="55">
        <v>32.243905052317864</v>
      </c>
      <c r="V64" s="55">
        <v>31.785523206479521</v>
      </c>
      <c r="W64" s="55">
        <v>31.467667974414727</v>
      </c>
      <c r="X64" s="55">
        <v>31.14981274234993</v>
      </c>
      <c r="Y64" s="55">
        <v>30.831957510285136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302.44318682605456</v>
      </c>
      <c r="D65" s="63">
        <v>290.41443124574249</v>
      </c>
      <c r="E65" s="63">
        <v>278.99642520264888</v>
      </c>
      <c r="F65" s="63">
        <v>267.05455251448512</v>
      </c>
      <c r="G65" s="63">
        <v>257.35419454923385</v>
      </c>
      <c r="H65" s="63">
        <v>242.02458531113106</v>
      </c>
      <c r="I65" s="63">
        <v>228.46079061977184</v>
      </c>
      <c r="J65" s="63">
        <v>215.23606293070225</v>
      </c>
      <c r="K65" s="63">
        <v>197.56352901582642</v>
      </c>
      <c r="L65" s="63">
        <v>180.75630236716157</v>
      </c>
      <c r="M65" s="63">
        <v>168.45653990292314</v>
      </c>
      <c r="N65" s="63">
        <v>156.49000116102559</v>
      </c>
      <c r="O65" s="63">
        <v>146.62440997722896</v>
      </c>
      <c r="P65" s="63">
        <v>137.12243785125975</v>
      </c>
      <c r="Q65" s="63">
        <v>128.87257733408001</v>
      </c>
      <c r="R65" s="63">
        <v>125.95670769842947</v>
      </c>
      <c r="S65" s="63">
        <v>122.58898181204063</v>
      </c>
      <c r="T65" s="63">
        <v>119.34576408162503</v>
      </c>
      <c r="U65" s="63">
        <v>116.25576448860163</v>
      </c>
      <c r="V65" s="63">
        <v>113.19560742512873</v>
      </c>
      <c r="W65" s="63">
        <v>111.15808649147641</v>
      </c>
      <c r="X65" s="63">
        <v>109.12056555782409</v>
      </c>
      <c r="Y65" s="63">
        <v>107.08304462417178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715.04764303395518</v>
      </c>
      <c r="C68" s="187">
        <f>1000000*C20/SER_summary!C$8</f>
        <v>718.08693499855258</v>
      </c>
      <c r="D68" s="187">
        <f>1000000*D20/SER_summary!D$8</f>
        <v>720.14362793553778</v>
      </c>
      <c r="E68" s="187">
        <f>1000000*E20/SER_summary!E$8</f>
        <v>724.51670490196989</v>
      </c>
      <c r="F68" s="187">
        <f>1000000*F20/SER_summary!F$8</f>
        <v>729.4269840031576</v>
      </c>
      <c r="G68" s="187">
        <f>1000000*G20/SER_summary!G$8</f>
        <v>736.15012521231893</v>
      </c>
      <c r="H68" s="187">
        <f>1000000*H20/SER_summary!H$8</f>
        <v>744.43408228716544</v>
      </c>
      <c r="I68" s="187">
        <f>1000000*I20/SER_summary!I$8</f>
        <v>751.6698655713418</v>
      </c>
      <c r="J68" s="187">
        <f>1000000*J20/SER_summary!J$8</f>
        <v>762.36322558269774</v>
      </c>
      <c r="K68" s="187">
        <f>1000000*K20/SER_summary!K$8</f>
        <v>771.85468899857926</v>
      </c>
      <c r="L68" s="187">
        <f>1000000*L20/SER_summary!L$8</f>
        <v>780.20509485900959</v>
      </c>
      <c r="M68" s="187">
        <f>1000000*M20/SER_summary!M$8</f>
        <v>787.60103893350743</v>
      </c>
      <c r="N68" s="187">
        <f>1000000*N20/SER_summary!N$8</f>
        <v>792.78247241539032</v>
      </c>
      <c r="O68" s="187">
        <f>1000000*O20/SER_summary!O$8</f>
        <v>797.95177294017901</v>
      </c>
      <c r="P68" s="187">
        <f>1000000*P20/SER_summary!P$8</f>
        <v>804.46538852295646</v>
      </c>
      <c r="Q68" s="187">
        <f>1000000*Q20/SER_summary!Q$8</f>
        <v>810.87745322469448</v>
      </c>
      <c r="R68" s="187">
        <f>1000000*R20/SER_summary!R$8</f>
        <v>813.42626171709696</v>
      </c>
      <c r="S68" s="187">
        <f>1000000*S20/SER_summary!S$8</f>
        <v>815.95476109951358</v>
      </c>
      <c r="T68" s="187">
        <f>1000000*T20/SER_summary!T$8</f>
        <v>818.57036069891353</v>
      </c>
      <c r="U68" s="187">
        <f>1000000*U20/SER_summary!U$8</f>
        <v>821.33820575876007</v>
      </c>
      <c r="V68" s="187">
        <f>1000000*V20/SER_summary!V$8</f>
        <v>824.37955492196249</v>
      </c>
      <c r="W68" s="187">
        <f>1000000*W20/SER_summary!W$8</f>
        <v>827.82886411051902</v>
      </c>
      <c r="X68" s="187">
        <f>1000000*X20/SER_summary!X$8</f>
        <v>829.55892706760415</v>
      </c>
      <c r="Y68" s="187">
        <f>1000000*Y20/SER_summary!Y$8</f>
        <v>830.42531393321951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0.25501909606042616</v>
      </c>
      <c r="C69" s="187">
        <f>1000*C21/SER_summary!C$3</f>
        <v>0.25668641493329336</v>
      </c>
      <c r="D69" s="187">
        <f>1000*D21/SER_summary!D$3</f>
        <v>0.25922176413847997</v>
      </c>
      <c r="E69" s="187">
        <f>1000*E21/SER_summary!E$3</f>
        <v>0.26258569802170489</v>
      </c>
      <c r="F69" s="187">
        <f>1000*F21/SER_summary!F$3</f>
        <v>0.26533377921246143</v>
      </c>
      <c r="G69" s="187">
        <f>1000*G21/SER_summary!G$3</f>
        <v>0.26884930519971662</v>
      </c>
      <c r="H69" s="187">
        <f>1000*H21/SER_summary!H$3</f>
        <v>0.27197006374490351</v>
      </c>
      <c r="I69" s="187">
        <f>1000*I21/SER_summary!I$3</f>
        <v>0.27571370119380245</v>
      </c>
      <c r="J69" s="187">
        <f>1000*J21/SER_summary!J$3</f>
        <v>0.27975542942980763</v>
      </c>
      <c r="K69" s="187">
        <f>1000*K21/SER_summary!K$3</f>
        <v>0.28614596490848471</v>
      </c>
      <c r="L69" s="187">
        <f>1000*L21/SER_summary!L$3</f>
        <v>0.29322632048769615</v>
      </c>
      <c r="M69" s="187">
        <f>1000*M21/SER_summary!M$3</f>
        <v>0.30334886903332092</v>
      </c>
      <c r="N69" s="187">
        <f>1000*N21/SER_summary!N$3</f>
        <v>0.31626806932255619</v>
      </c>
      <c r="O69" s="187">
        <f>1000*O21/SER_summary!O$3</f>
        <v>0.33366890950942268</v>
      </c>
      <c r="P69" s="187">
        <f>1000*P21/SER_summary!P$3</f>
        <v>0.35188707351292553</v>
      </c>
      <c r="Q69" s="187">
        <f>1000*Q21/SER_summary!Q$3</f>
        <v>0.37471264903243384</v>
      </c>
      <c r="R69" s="187">
        <f>1000*R21/SER_summary!R$3</f>
        <v>0.38470919575417789</v>
      </c>
      <c r="S69" s="187">
        <f>1000*S21/SER_summary!S$3</f>
        <v>0.39429799736578058</v>
      </c>
      <c r="T69" s="187">
        <f>1000*T21/SER_summary!T$3</f>
        <v>0.40313000121639175</v>
      </c>
      <c r="U69" s="187">
        <f>1000*U21/SER_summary!U$3</f>
        <v>0.41167016003331658</v>
      </c>
      <c r="V69" s="187">
        <f>1000*V21/SER_summary!V$3</f>
        <v>0.4192377326936394</v>
      </c>
      <c r="W69" s="187">
        <f>1000*W21/SER_summary!W$3</f>
        <v>0.42642859212576067</v>
      </c>
      <c r="X69" s="187">
        <f>1000*X21/SER_summary!X$3</f>
        <v>0.4315354553918756</v>
      </c>
      <c r="Y69" s="187">
        <f>1000*Y21/SER_summary!Y$3</f>
        <v>0.43514660601998495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181.81069644133203</v>
      </c>
      <c r="C70" s="187">
        <f>1000000*C22/SER_summary!C$8</f>
        <v>183.18596118499201</v>
      </c>
      <c r="D70" s="187">
        <f>1000000*D22/SER_summary!D$8</f>
        <v>185.78375323806696</v>
      </c>
      <c r="E70" s="187">
        <f>1000000*E22/SER_summary!E$8</f>
        <v>188.52351408971188</v>
      </c>
      <c r="F70" s="187">
        <f>1000000*F22/SER_summary!F$8</f>
        <v>191.06756992148675</v>
      </c>
      <c r="G70" s="187">
        <f>1000000*G22/SER_summary!G$8</f>
        <v>193.97212398514188</v>
      </c>
      <c r="H70" s="187">
        <f>1000000*H22/SER_summary!H$8</f>
        <v>197.28067170776544</v>
      </c>
      <c r="I70" s="187">
        <f>1000000*I22/SER_summary!I$8</f>
        <v>200.2389510984255</v>
      </c>
      <c r="J70" s="187">
        <f>1000000*J22/SER_summary!J$8</f>
        <v>203.82720330515784</v>
      </c>
      <c r="K70" s="187">
        <f>1000000*K22/SER_summary!K$8</f>
        <v>207.32810534758696</v>
      </c>
      <c r="L70" s="187">
        <f>1000000*L22/SER_summary!L$8</f>
        <v>213.28575760794891</v>
      </c>
      <c r="M70" s="187">
        <f>1000000*M22/SER_summary!M$8</f>
        <v>218.10512683030709</v>
      </c>
      <c r="N70" s="187">
        <f>1000000*N22/SER_summary!N$8</f>
        <v>224.42954585282817</v>
      </c>
      <c r="O70" s="187">
        <f>1000000*O22/SER_summary!O$8</f>
        <v>230.93289004389419</v>
      </c>
      <c r="P70" s="187">
        <f>1000000*P22/SER_summary!P$8</f>
        <v>240.23932971028088</v>
      </c>
      <c r="Q70" s="187">
        <f>1000000*Q22/SER_summary!Q$8</f>
        <v>250.7003316663473</v>
      </c>
      <c r="R70" s="187">
        <f>1000000*R22/SER_summary!R$8</f>
        <v>256.28466509972367</v>
      </c>
      <c r="S70" s="187">
        <f>1000000*S22/SER_summary!S$8</f>
        <v>261.9485913165949</v>
      </c>
      <c r="T70" s="187">
        <f>1000000*T22/SER_summary!T$8</f>
        <v>267.3566029826186</v>
      </c>
      <c r="U70" s="187">
        <f>1000000*U22/SER_summary!U$8</f>
        <v>272.30352086196757</v>
      </c>
      <c r="V70" s="187">
        <f>1000000*V22/SER_summary!V$8</f>
        <v>276.40696590185655</v>
      </c>
      <c r="W70" s="187">
        <f>1000000*W22/SER_summary!W$8</f>
        <v>279.1403777598527</v>
      </c>
      <c r="X70" s="187">
        <f>1000000*X22/SER_summary!X$8</f>
        <v>280.51720364642097</v>
      </c>
      <c r="Y70" s="187">
        <f>1000000*Y22/SER_summary!Y$8</f>
        <v>281.20816113476843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3.0666442777349864E-2</v>
      </c>
      <c r="C71" s="187">
        <f>1000*C23/SER_summary!C$3</f>
        <v>3.1024836967959206E-2</v>
      </c>
      <c r="D71" s="187">
        <f>1000*D23/SER_summary!D$3</f>
        <v>3.1589795374092768E-2</v>
      </c>
      <c r="E71" s="187">
        <f>1000*E23/SER_summary!E$3</f>
        <v>3.2090918227836586E-2</v>
      </c>
      <c r="F71" s="187">
        <f>1000*F23/SER_summary!F$3</f>
        <v>3.2696568239619882E-2</v>
      </c>
      <c r="G71" s="187">
        <f>1000*G23/SER_summary!G$3</f>
        <v>3.3478316883680165E-2</v>
      </c>
      <c r="H71" s="187">
        <f>1000*H23/SER_summary!H$3</f>
        <v>3.3721192670016602E-2</v>
      </c>
      <c r="I71" s="187">
        <f>1000*I23/SER_summary!I$3</f>
        <v>3.4276735886068263E-2</v>
      </c>
      <c r="J71" s="187">
        <f>1000*J23/SER_summary!J$3</f>
        <v>3.4903568960170682E-2</v>
      </c>
      <c r="K71" s="187">
        <f>1000*K23/SER_summary!K$3</f>
        <v>3.5381207348199765E-2</v>
      </c>
      <c r="L71" s="187">
        <f>1000*L23/SER_summary!L$3</f>
        <v>3.5879174495749726E-2</v>
      </c>
      <c r="M71" s="187">
        <f>1000*M23/SER_summary!M$3</f>
        <v>3.6107022776739037E-2</v>
      </c>
      <c r="N71" s="187">
        <f>1000*N23/SER_summary!N$3</f>
        <v>3.6419729883307612E-2</v>
      </c>
      <c r="O71" s="187">
        <f>1000*O23/SER_summary!O$3</f>
        <v>3.6849074541454432E-2</v>
      </c>
      <c r="P71" s="187">
        <f>1000*P23/SER_summary!P$3</f>
        <v>3.7446533354211956E-2</v>
      </c>
      <c r="Q71" s="187">
        <f>1000*Q23/SER_summary!Q$3</f>
        <v>3.7864976936059634E-2</v>
      </c>
      <c r="R71" s="187">
        <f>1000*R23/SER_summary!R$3</f>
        <v>3.7883181383041996E-2</v>
      </c>
      <c r="S71" s="187">
        <f>1000*S23/SER_summary!S$3</f>
        <v>3.828461421756927E-2</v>
      </c>
      <c r="T71" s="187">
        <f>1000*T23/SER_summary!T$3</f>
        <v>3.8646208994192528E-2</v>
      </c>
      <c r="U71" s="187">
        <f>1000*U23/SER_summary!U$3</f>
        <v>3.9035820306341874E-2</v>
      </c>
      <c r="V71" s="187">
        <f>1000*V23/SER_summary!V$3</f>
        <v>3.9430102836673205E-2</v>
      </c>
      <c r="W71" s="187">
        <f>1000*W23/SER_summary!W$3</f>
        <v>3.9932274861612153E-2</v>
      </c>
      <c r="X71" s="187">
        <f>1000*X23/SER_summary!X$3</f>
        <v>4.0287595798054687E-2</v>
      </c>
      <c r="Y71" s="187">
        <f>1000*Y23/SER_summary!Y$3</f>
        <v>4.0538199982485763E-2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128.5988856369199</v>
      </c>
      <c r="C72" s="187">
        <f>1000000*C24/SER_summary!C$8</f>
        <v>138.82050759253184</v>
      </c>
      <c r="D72" s="187">
        <f>1000000*D24/SER_summary!D$8</f>
        <v>148.60795609723331</v>
      </c>
      <c r="E72" s="187">
        <f>1000000*E24/SER_summary!E$8</f>
        <v>156.43694544962409</v>
      </c>
      <c r="F72" s="187">
        <f>1000000*F24/SER_summary!F$8</f>
        <v>165.61370754336357</v>
      </c>
      <c r="G72" s="187">
        <f>1000000*G24/SER_summary!G$8</f>
        <v>172.36627475770263</v>
      </c>
      <c r="H72" s="187">
        <f>1000000*H24/SER_summary!H$8</f>
        <v>177.23493997238543</v>
      </c>
      <c r="I72" s="187">
        <f>1000000*I24/SER_summary!I$8</f>
        <v>181.75794128926879</v>
      </c>
      <c r="J72" s="187">
        <f>1000000*J24/SER_summary!J$8</f>
        <v>186.63140669465793</v>
      </c>
      <c r="K72" s="187">
        <f>1000000*K24/SER_summary!K$8</f>
        <v>191.10158420381327</v>
      </c>
      <c r="L72" s="187">
        <f>1000000*L24/SER_summary!L$8</f>
        <v>194.26649682223265</v>
      </c>
      <c r="M72" s="187">
        <f>1000000*M24/SER_summary!M$8</f>
        <v>196.220056674305</v>
      </c>
      <c r="N72" s="187">
        <f>1000000*N24/SER_summary!N$8</f>
        <v>198.59329646072575</v>
      </c>
      <c r="O72" s="187">
        <f>1000000*O24/SER_summary!O$8</f>
        <v>200.46036245962247</v>
      </c>
      <c r="P72" s="187">
        <f>1000000*P24/SER_summary!P$8</f>
        <v>201.70339870281742</v>
      </c>
      <c r="Q72" s="187">
        <f>1000000*Q24/SER_summary!Q$8</f>
        <v>203.12504023161645</v>
      </c>
      <c r="R72" s="187">
        <f>1000000*R24/SER_summary!R$8</f>
        <v>206.71264577299729</v>
      </c>
      <c r="S72" s="187">
        <f>1000000*S24/SER_summary!S$8</f>
        <v>210.29610015541036</v>
      </c>
      <c r="T72" s="187">
        <f>1000000*T24/SER_summary!T$8</f>
        <v>213.89735772304289</v>
      </c>
      <c r="U72" s="187">
        <f>1000000*U24/SER_summary!U$8</f>
        <v>217.52973408951138</v>
      </c>
      <c r="V72" s="187">
        <f>1000000*V24/SER_summary!V$8</f>
        <v>221.21801438341748</v>
      </c>
      <c r="W72" s="187">
        <f>1000000*W24/SER_summary!W$8</f>
        <v>224.9236639292449</v>
      </c>
      <c r="X72" s="187">
        <f>1000000*X24/SER_summary!X$8</f>
        <v>227.9328270264846</v>
      </c>
      <c r="Y72" s="187">
        <f>1000000*Y24/SER_summary!Y$8</f>
        <v>230.36911778888023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0.29257228423348752</v>
      </c>
      <c r="C73" s="52">
        <f>1000*C25/SER_summary!C$3</f>
        <v>0.30508403924371053</v>
      </c>
      <c r="D73" s="52">
        <f>1000*D25/SER_summary!D$3</f>
        <v>0.32035370759920384</v>
      </c>
      <c r="E73" s="52">
        <f>1000*E25/SER_summary!E$3</f>
        <v>0.33440728609196307</v>
      </c>
      <c r="F73" s="52">
        <f>1000*F25/SER_summary!F$3</f>
        <v>0.34969631441439242</v>
      </c>
      <c r="G73" s="52">
        <f>1000*G25/SER_summary!G$3</f>
        <v>0.36430949988297995</v>
      </c>
      <c r="H73" s="52">
        <f>1000*H25/SER_summary!H$3</f>
        <v>0.38061265784971499</v>
      </c>
      <c r="I73" s="52">
        <f>1000*I25/SER_summary!I$3</f>
        <v>0.39449886205308782</v>
      </c>
      <c r="J73" s="52">
        <f>1000*J25/SER_summary!J$3</f>
        <v>0.41000505511025703</v>
      </c>
      <c r="K73" s="52">
        <f>1000*K25/SER_summary!K$3</f>
        <v>0.42671115430393158</v>
      </c>
      <c r="L73" s="52">
        <f>1000*L25/SER_summary!L$3</f>
        <v>0.44505020913334253</v>
      </c>
      <c r="M73" s="52">
        <f>1000*M25/SER_summary!M$3</f>
        <v>0.46292041930185457</v>
      </c>
      <c r="N73" s="52">
        <f>1000*N25/SER_summary!N$3</f>
        <v>0.49274900307316377</v>
      </c>
      <c r="O73" s="52">
        <f>1000*O25/SER_summary!O$3</f>
        <v>0.53010217076347432</v>
      </c>
      <c r="P73" s="52">
        <f>1000*P25/SER_summary!P$3</f>
        <v>0.56779469218108036</v>
      </c>
      <c r="Q73" s="52">
        <f>1000*Q25/SER_summary!Q$3</f>
        <v>0.60944182138802216</v>
      </c>
      <c r="R73" s="52">
        <f>1000*R25/SER_summary!R$3</f>
        <v>0.63503895127929588</v>
      </c>
      <c r="S73" s="52">
        <f>1000*S25/SER_summary!S$3</f>
        <v>0.68192286195265928</v>
      </c>
      <c r="T73" s="52">
        <f>1000*T25/SER_summary!T$3</f>
        <v>0.7139774240782566</v>
      </c>
      <c r="U73" s="52">
        <f>1000*U25/SER_summary!U$3</f>
        <v>0.75463557334647624</v>
      </c>
      <c r="V73" s="52">
        <f>1000*V25/SER_summary!V$3</f>
        <v>0.79911563531262597</v>
      </c>
      <c r="W73" s="52">
        <f>1000*W25/SER_summary!W$3</f>
        <v>0.84274700586904239</v>
      </c>
      <c r="X73" s="52">
        <f>1000*X25/SER_summary!X$3</f>
        <v>0.88809008211565332</v>
      </c>
      <c r="Y73" s="52">
        <f>1000*Y25/SER_summary!Y$3</f>
        <v>0.96507554394463912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56.292327701601479</v>
      </c>
      <c r="C3" s="198">
        <f>'SER_se-appl'!C4</f>
        <v>56.893507883358332</v>
      </c>
      <c r="D3" s="198">
        <f>'SER_se-appl'!D4</f>
        <v>57.326019059842842</v>
      </c>
      <c r="E3" s="198">
        <f>'SER_se-appl'!E4</f>
        <v>57.806969310768373</v>
      </c>
      <c r="F3" s="198">
        <f>'SER_se-appl'!F4</f>
        <v>58.453421245193027</v>
      </c>
      <c r="G3" s="198">
        <f>'SER_se-appl'!G4</f>
        <v>59.120994189848552</v>
      </c>
      <c r="H3" s="198">
        <f>'SER_se-appl'!H4</f>
        <v>60.08510977000978</v>
      </c>
      <c r="I3" s="198">
        <f>'SER_se-appl'!I4</f>
        <v>60.910366443312185</v>
      </c>
      <c r="J3" s="198">
        <f>'SER_se-appl'!J4</f>
        <v>61.655501600853157</v>
      </c>
      <c r="K3" s="198">
        <f>'SER_se-appl'!K4</f>
        <v>62.35352098734883</v>
      </c>
      <c r="L3" s="198">
        <f>'SER_se-appl'!L4</f>
        <v>63.06283167978264</v>
      </c>
      <c r="M3" s="198">
        <f>'SER_se-appl'!M4</f>
        <v>63.492705290337817</v>
      </c>
      <c r="N3" s="198">
        <f>'SER_se-appl'!N4</f>
        <v>63.611416551402698</v>
      </c>
      <c r="O3" s="198">
        <f>'SER_se-appl'!O4</f>
        <v>64.022016470911254</v>
      </c>
      <c r="P3" s="198">
        <f>'SER_se-appl'!P4</f>
        <v>64.230586350960323</v>
      </c>
      <c r="Q3" s="198">
        <f>'SER_se-appl'!Q4</f>
        <v>64.501803141025789</v>
      </c>
      <c r="R3" s="198">
        <f>'SER_se-appl'!R4</f>
        <v>64.394316618864039</v>
      </c>
      <c r="S3" s="198">
        <f>'SER_se-appl'!S4</f>
        <v>64.321774093294749</v>
      </c>
      <c r="T3" s="198">
        <f>'SER_se-appl'!T4</f>
        <v>64.075189518263031</v>
      </c>
      <c r="U3" s="198">
        <f>'SER_se-appl'!U4</f>
        <v>64.267563640020072</v>
      </c>
      <c r="V3" s="198">
        <f>'SER_se-appl'!V4</f>
        <v>64.495374869584367</v>
      </c>
      <c r="W3" s="198">
        <f>'SER_se-appl'!W4</f>
        <v>64.730976902432133</v>
      </c>
      <c r="X3" s="198">
        <f>'SER_se-appl'!X4</f>
        <v>64.806334157456661</v>
      </c>
      <c r="Y3" s="198">
        <f>'SER_se-appl'!Y4</f>
        <v>64.806410246091048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74.735133695162688</v>
      </c>
      <c r="C5" s="59">
        <f>'SER_se-appl'!C12</f>
        <v>75.533275877107044</v>
      </c>
      <c r="D5" s="59">
        <f>'SER_se-appl'!D12</f>
        <v>76.107488774654371</v>
      </c>
      <c r="E5" s="59">
        <f>'SER_se-appl'!E12</f>
        <v>76.746010626054357</v>
      </c>
      <c r="F5" s="59">
        <f>'SER_se-appl'!F12</f>
        <v>77.60425674447427</v>
      </c>
      <c r="G5" s="59">
        <f>'SER_se-appl'!G12</f>
        <v>78.490543656157385</v>
      </c>
      <c r="H5" s="59">
        <f>'SER_se-appl'!H12</f>
        <v>79.770528153563177</v>
      </c>
      <c r="I5" s="59">
        <f>'SER_se-appl'!I12</f>
        <v>80.866160015493264</v>
      </c>
      <c r="J5" s="59">
        <f>'SER_se-appl'!J12</f>
        <v>81.855420504329018</v>
      </c>
      <c r="K5" s="59">
        <f>'SER_se-appl'!K12</f>
        <v>82.782128890738235</v>
      </c>
      <c r="L5" s="59">
        <f>'SER_se-appl'!L12</f>
        <v>83.72382790363838</v>
      </c>
      <c r="M5" s="59">
        <f>'SER_se-appl'!M12</f>
        <v>84.294539101213317</v>
      </c>
      <c r="N5" s="59">
        <f>'SER_se-appl'!N12</f>
        <v>84.452143206942182</v>
      </c>
      <c r="O5" s="59">
        <f>'SER_se-appl'!O12</f>
        <v>84.997266159440386</v>
      </c>
      <c r="P5" s="59">
        <f>'SER_se-appl'!P12</f>
        <v>85.274168865487269</v>
      </c>
      <c r="Q5" s="59">
        <f>'SER_se-appl'!Q12</f>
        <v>85.634243211202019</v>
      </c>
      <c r="R5" s="59">
        <f>'SER_se-appl'!R12</f>
        <v>85.491541355866289</v>
      </c>
      <c r="S5" s="59">
        <f>'SER_se-appl'!S12</f>
        <v>85.395232043951793</v>
      </c>
      <c r="T5" s="59">
        <f>'SER_se-appl'!T12</f>
        <v>85.067860056780717</v>
      </c>
      <c r="U5" s="59">
        <f>'SER_se-appl'!U12</f>
        <v>85.323260859980977</v>
      </c>
      <c r="V5" s="59">
        <f>'SER_se-appl'!V12</f>
        <v>85.625708873660528</v>
      </c>
      <c r="W5" s="59">
        <f>'SER_se-appl'!W12</f>
        <v>85.938500156996071</v>
      </c>
      <c r="X5" s="59">
        <f>'SER_se-appl'!X12</f>
        <v>86.038546375710141</v>
      </c>
      <c r="Y5" s="59">
        <f>'SER_se-appl'!Y12</f>
        <v>86.038647392926791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715.04764303395518</v>
      </c>
      <c r="C6" s="201">
        <f>'SER_se-appl'!C68</f>
        <v>718.08693499855258</v>
      </c>
      <c r="D6" s="201">
        <f>'SER_se-appl'!D68</f>
        <v>720.14362793553778</v>
      </c>
      <c r="E6" s="201">
        <f>'SER_se-appl'!E68</f>
        <v>724.51670490196989</v>
      </c>
      <c r="F6" s="201">
        <f>'SER_se-appl'!F68</f>
        <v>729.4269840031576</v>
      </c>
      <c r="G6" s="201">
        <f>'SER_se-appl'!G68</f>
        <v>736.15012521231893</v>
      </c>
      <c r="H6" s="201">
        <f>'SER_se-appl'!H68</f>
        <v>744.43408228716544</v>
      </c>
      <c r="I6" s="201">
        <f>'SER_se-appl'!I68</f>
        <v>751.6698655713418</v>
      </c>
      <c r="J6" s="201">
        <f>'SER_se-appl'!J68</f>
        <v>762.36322558269774</v>
      </c>
      <c r="K6" s="201">
        <f>'SER_se-appl'!K68</f>
        <v>771.85468899857926</v>
      </c>
      <c r="L6" s="201">
        <f>'SER_se-appl'!L68</f>
        <v>780.20509485900959</v>
      </c>
      <c r="M6" s="201">
        <f>'SER_se-appl'!M68</f>
        <v>787.60103893350743</v>
      </c>
      <c r="N6" s="201">
        <f>'SER_se-appl'!N68</f>
        <v>792.78247241539032</v>
      </c>
      <c r="O6" s="201">
        <f>'SER_se-appl'!O68</f>
        <v>797.95177294017901</v>
      </c>
      <c r="P6" s="201">
        <f>'SER_se-appl'!P68</f>
        <v>804.46538852295646</v>
      </c>
      <c r="Q6" s="201">
        <f>'SER_se-appl'!Q68</f>
        <v>810.87745322469448</v>
      </c>
      <c r="R6" s="201">
        <f>'SER_se-appl'!R68</f>
        <v>813.42626171709696</v>
      </c>
      <c r="S6" s="201">
        <f>'SER_se-appl'!S68</f>
        <v>815.95476109951358</v>
      </c>
      <c r="T6" s="201">
        <f>'SER_se-appl'!T68</f>
        <v>818.57036069891353</v>
      </c>
      <c r="U6" s="201">
        <f>'SER_se-appl'!U68</f>
        <v>821.33820575876007</v>
      </c>
      <c r="V6" s="201">
        <f>'SER_se-appl'!V68</f>
        <v>824.37955492196249</v>
      </c>
      <c r="W6" s="201">
        <f>'SER_se-appl'!W68</f>
        <v>827.82886411051902</v>
      </c>
      <c r="X6" s="201">
        <f>'SER_se-appl'!X68</f>
        <v>829.55892706760415</v>
      </c>
      <c r="Y6" s="201">
        <f>'SER_se-appl'!Y68</f>
        <v>830.42531393321951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116.33474292689115</v>
      </c>
      <c r="C8" s="34">
        <f>'SER_se-appl'!C20</f>
        <v>118.30128211546143</v>
      </c>
      <c r="D8" s="34">
        <f>'SER_se-appl'!D20</f>
        <v>119.96161924516775</v>
      </c>
      <c r="E8" s="34">
        <f>'SER_se-appl'!E20</f>
        <v>121.82489436440588</v>
      </c>
      <c r="F8" s="34">
        <f>'SER_se-appl'!F20</f>
        <v>124.17811369459315</v>
      </c>
      <c r="G8" s="34">
        <f>'SER_se-appl'!G20</f>
        <v>126.67820974161714</v>
      </c>
      <c r="H8" s="34">
        <f>'SER_se-appl'!H20</f>
        <v>130.01562115078812</v>
      </c>
      <c r="I8" s="34">
        <f>'SER_se-appl'!I20</f>
        <v>133.13000829210139</v>
      </c>
      <c r="J8" s="34">
        <f>'SER_se-appl'!J20</f>
        <v>136.16596071733204</v>
      </c>
      <c r="K8" s="34">
        <f>'SER_se-appl'!K20</f>
        <v>139.2093616573213</v>
      </c>
      <c r="L8" s="34">
        <f>'SER_se-appl'!L20</f>
        <v>142.41772406763863</v>
      </c>
      <c r="M8" s="34">
        <f>'SER_se-appl'!M20</f>
        <v>145.0924405927145</v>
      </c>
      <c r="N8" s="34">
        <f>'SER_se-appl'!N20</f>
        <v>147.16715291750305</v>
      </c>
      <c r="O8" s="34">
        <f>'SER_se-appl'!O20</f>
        <v>150.23647554390507</v>
      </c>
      <c r="P8" s="34">
        <f>'SER_se-appl'!P20</f>
        <v>153.0513034762044</v>
      </c>
      <c r="Q8" s="34">
        <f>'SER_se-appl'!Q20</f>
        <v>156.32962840402183</v>
      </c>
      <c r="R8" s="34">
        <f>'SER_se-appl'!R20</f>
        <v>158.69944403618939</v>
      </c>
      <c r="S8" s="34">
        <f>'SER_se-appl'!S20</f>
        <v>161.34767394278271</v>
      </c>
      <c r="T8" s="34">
        <f>'SER_se-appl'!T20</f>
        <v>163.68342049600608</v>
      </c>
      <c r="U8" s="34">
        <f>'SER_se-appl'!U20</f>
        <v>165.93921923922281</v>
      </c>
      <c r="V8" s="34">
        <f>'SER_se-appl'!V20</f>
        <v>168.25227744459951</v>
      </c>
      <c r="W8" s="34">
        <f>'SER_se-appl'!W20</f>
        <v>170.64081071396842</v>
      </c>
      <c r="X8" s="34">
        <f>'SER_se-appl'!X20</f>
        <v>172.67563394933941</v>
      </c>
      <c r="Y8" s="34">
        <f>'SER_se-appl'!Y20</f>
        <v>174.53031060187163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7.0123640520126997</v>
      </c>
      <c r="D9" s="36">
        <f>'SER_se-appl'!D28</f>
        <v>6.8488861481342695</v>
      </c>
      <c r="E9" s="36">
        <f>'SER_se-appl'!E28</f>
        <v>7.198585330196039</v>
      </c>
      <c r="F9" s="36">
        <f>'SER_se-appl'!F28</f>
        <v>7.8394419612257309</v>
      </c>
      <c r="G9" s="36">
        <f>'SER_se-appl'!G28</f>
        <v>8.1414997456319043</v>
      </c>
      <c r="H9" s="36">
        <f>'SER_se-appl'!H28</f>
        <v>9.1383855640683294</v>
      </c>
      <c r="I9" s="36">
        <f>'SER_se-appl'!I28</f>
        <v>9.0794452976885935</v>
      </c>
      <c r="J9" s="36">
        <f>'SER_se-appl'!J28</f>
        <v>9.1697357965805253</v>
      </c>
      <c r="K9" s="36">
        <f>'SER_se-appl'!K28</f>
        <v>9.3506820192922646</v>
      </c>
      <c r="L9" s="36">
        <f>'SER_se-appl'!L28</f>
        <v>9.6940486833522641</v>
      </c>
      <c r="M9" s="36">
        <f>'SER_se-appl'!M28</f>
        <v>9.3438542887732581</v>
      </c>
      <c r="N9" s="36">
        <f>'SER_se-appl'!N28</f>
        <v>8.9324906135866229</v>
      </c>
      <c r="O9" s="36">
        <f>'SER_se-appl'!O28</f>
        <v>10.121077249661909</v>
      </c>
      <c r="P9" s="36">
        <f>'SER_se-appl'!P28</f>
        <v>10.066045625921021</v>
      </c>
      <c r="Q9" s="36">
        <f>'SER_se-appl'!Q28</f>
        <v>10.734647623286577</v>
      </c>
      <c r="R9" s="36">
        <f>'SER_se-appl'!R28</f>
        <v>10.037044846354888</v>
      </c>
      <c r="S9" s="36">
        <f>'SER_se-appl'!S28</f>
        <v>10.532331255722085</v>
      </c>
      <c r="T9" s="36">
        <f>'SER_se-appl'!T28</f>
        <v>10.442854394517042</v>
      </c>
      <c r="U9" s="36">
        <f>'SER_se-appl'!U28</f>
        <v>9.268162795229415</v>
      </c>
      <c r="V9" s="36">
        <f>'SER_se-appl'!V28</f>
        <v>9.161944353510961</v>
      </c>
      <c r="W9" s="36">
        <f>'SER_se-appl'!W28</f>
        <v>9.5871185995649455</v>
      </c>
      <c r="X9" s="36">
        <f>'SER_se-appl'!X28</f>
        <v>9.8742651965967241</v>
      </c>
      <c r="Y9" s="36">
        <f>'SER_se-appl'!Y28</f>
        <v>9.9961763981641241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5.0458248634424194</v>
      </c>
      <c r="D10" s="38">
        <f>'SER_se-appl'!D36</f>
        <v>5.188549018427949</v>
      </c>
      <c r="E10" s="38">
        <f>'SER_se-appl'!E36</f>
        <v>5.335310210957914</v>
      </c>
      <c r="F10" s="38">
        <f>'SER_se-appl'!F36</f>
        <v>5.4862226310384585</v>
      </c>
      <c r="G10" s="38">
        <f>'SER_se-appl'!G36</f>
        <v>5.6414036986079168</v>
      </c>
      <c r="H10" s="38">
        <f>'SER_se-appl'!H36</f>
        <v>5.8009741548973466</v>
      </c>
      <c r="I10" s="38">
        <f>'SER_se-appl'!I36</f>
        <v>5.9650581563753065</v>
      </c>
      <c r="J10" s="38">
        <f>'SER_se-appl'!J36</f>
        <v>6.133783371349864</v>
      </c>
      <c r="K10" s="38">
        <f>'SER_se-appl'!K36</f>
        <v>6.3072810793030101</v>
      </c>
      <c r="L10" s="38">
        <f>'SER_se-appl'!L36</f>
        <v>6.4856862730349292</v>
      </c>
      <c r="M10" s="38">
        <f>'SER_se-appl'!M36</f>
        <v>6.6691377636973925</v>
      </c>
      <c r="N10" s="38">
        <f>'SER_se-appl'!N36</f>
        <v>6.8577782887980732</v>
      </c>
      <c r="O10" s="38">
        <f>'SER_se-appl'!O36</f>
        <v>7.0517546232598818</v>
      </c>
      <c r="P10" s="38">
        <f>'SER_se-appl'!P36</f>
        <v>7.2512176936216974</v>
      </c>
      <c r="Q10" s="38">
        <f>'SER_se-appl'!Q36</f>
        <v>7.4563226954691402</v>
      </c>
      <c r="R10" s="38">
        <f>'SER_se-appl'!R36</f>
        <v>7.6672292141873299</v>
      </c>
      <c r="S10" s="38">
        <f>'SER_se-appl'!S36</f>
        <v>7.8841013491287697</v>
      </c>
      <c r="T10" s="38">
        <f>'SER_se-appl'!T36</f>
        <v>8.1071078412936686</v>
      </c>
      <c r="U10" s="38">
        <f>'SER_se-appl'!U36</f>
        <v>7.0123640520126855</v>
      </c>
      <c r="V10" s="38">
        <f>'SER_se-appl'!V36</f>
        <v>6.8488861481342553</v>
      </c>
      <c r="W10" s="38">
        <f>'SER_se-appl'!W36</f>
        <v>7.198585330196039</v>
      </c>
      <c r="X10" s="38">
        <f>'SER_se-appl'!X36</f>
        <v>7.8394419612257309</v>
      </c>
      <c r="Y10" s="38">
        <f>'SER_se-appl'!Y36</f>
        <v>8.1414997456319043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8760.0000000000018</v>
      </c>
      <c r="C12" s="204">
        <f>'SER_se-appl'!C44</f>
        <v>8759.9999999999964</v>
      </c>
      <c r="D12" s="204">
        <f>'SER_se-appl'!D44</f>
        <v>8760</v>
      </c>
      <c r="E12" s="204">
        <f>'SER_se-appl'!E44</f>
        <v>8760</v>
      </c>
      <c r="F12" s="204">
        <f>'SER_se-appl'!F44</f>
        <v>8760.0000000000036</v>
      </c>
      <c r="G12" s="204">
        <f>'SER_se-appl'!G44</f>
        <v>8760</v>
      </c>
      <c r="H12" s="204">
        <f>'SER_se-appl'!H44</f>
        <v>8760.0000000000036</v>
      </c>
      <c r="I12" s="204">
        <f>'SER_se-appl'!I44</f>
        <v>8759.9999999999964</v>
      </c>
      <c r="J12" s="204">
        <f>'SER_se-appl'!J44</f>
        <v>8760</v>
      </c>
      <c r="K12" s="204">
        <f>'SER_se-appl'!K44</f>
        <v>8760</v>
      </c>
      <c r="L12" s="204">
        <f>'SER_se-appl'!L44</f>
        <v>8759.9999999999982</v>
      </c>
      <c r="M12" s="204">
        <f>'SER_se-appl'!M44</f>
        <v>8760.0000000000018</v>
      </c>
      <c r="N12" s="204">
        <f>'SER_se-appl'!N44</f>
        <v>8759.9999999999982</v>
      </c>
      <c r="O12" s="204">
        <f>'SER_se-appl'!O44</f>
        <v>8760.0000000000018</v>
      </c>
      <c r="P12" s="204">
        <f>'SER_se-appl'!P44</f>
        <v>8760.0000000000018</v>
      </c>
      <c r="Q12" s="204">
        <f>'SER_se-appl'!Q44</f>
        <v>8760.0000000000018</v>
      </c>
      <c r="R12" s="204">
        <f>'SER_se-appl'!R44</f>
        <v>8760</v>
      </c>
      <c r="S12" s="204">
        <f>'SER_se-appl'!S44</f>
        <v>8760.0000000000018</v>
      </c>
      <c r="T12" s="204">
        <f>'SER_se-appl'!T44</f>
        <v>8760</v>
      </c>
      <c r="U12" s="204">
        <f>'SER_se-appl'!U44</f>
        <v>8760.0000000000018</v>
      </c>
      <c r="V12" s="204">
        <f>'SER_se-appl'!V44</f>
        <v>8760</v>
      </c>
      <c r="W12" s="204">
        <f>'SER_se-appl'!W44</f>
        <v>8760.0000000000018</v>
      </c>
      <c r="X12" s="204">
        <f>'SER_se-appl'!X44</f>
        <v>8760.0000000000018</v>
      </c>
      <c r="Y12" s="204">
        <f>'SER_se-appl'!Y44</f>
        <v>8760.0000000000018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0.64241456863947233</v>
      </c>
      <c r="C14" s="59">
        <f>'SER_se-appl'!C52</f>
        <v>0.63848230996674205</v>
      </c>
      <c r="D14" s="59">
        <f>'SER_se-appl'!D52</f>
        <v>0.63443198961087799</v>
      </c>
      <c r="E14" s="59">
        <f>'SER_se-appl'!E52</f>
        <v>0.62996985161743413</v>
      </c>
      <c r="F14" s="59">
        <f>'SER_se-appl'!F52</f>
        <v>0.62494311143537074</v>
      </c>
      <c r="G14" s="59">
        <f>'SER_se-appl'!G52</f>
        <v>0.61960572237524425</v>
      </c>
      <c r="H14" s="59">
        <f>'SER_se-appl'!H52</f>
        <v>0.61354572202556934</v>
      </c>
      <c r="I14" s="59">
        <f>'SER_se-appl'!I52</f>
        <v>0.60742248162461099</v>
      </c>
      <c r="J14" s="59">
        <f>'SER_se-appl'!J52</f>
        <v>0.60114451565654736</v>
      </c>
      <c r="K14" s="59">
        <f>'SER_se-appl'!K52</f>
        <v>0.59465920901580804</v>
      </c>
      <c r="L14" s="59">
        <f>'SER_se-appl'!L52</f>
        <v>0.58787505875234547</v>
      </c>
      <c r="M14" s="59">
        <f>'SER_se-appl'!M52</f>
        <v>0.58097126739934368</v>
      </c>
      <c r="N14" s="59">
        <f>'SER_se-appl'!N52</f>
        <v>0.57385185167156971</v>
      </c>
      <c r="O14" s="59">
        <f>'SER_se-appl'!O52</f>
        <v>0.56575652385163155</v>
      </c>
      <c r="P14" s="59">
        <f>'SER_se-appl'!P52</f>
        <v>0.55716068356611703</v>
      </c>
      <c r="Q14" s="59">
        <f>'SER_se-appl'!Q52</f>
        <v>0.54777999593197357</v>
      </c>
      <c r="R14" s="59">
        <f>'SER_se-appl'!R52</f>
        <v>0.53870095056143374</v>
      </c>
      <c r="S14" s="59">
        <f>'SER_se-appl'!S52</f>
        <v>0.52926224442649694</v>
      </c>
      <c r="T14" s="59">
        <f>'SER_se-appl'!T52</f>
        <v>0.51970969203234851</v>
      </c>
      <c r="U14" s="59">
        <f>'SER_se-appl'!U52</f>
        <v>0.51418381532202151</v>
      </c>
      <c r="V14" s="59">
        <f>'SER_se-appl'!V52</f>
        <v>0.50891262914318969</v>
      </c>
      <c r="W14" s="59">
        <f>'SER_se-appl'!W52</f>
        <v>0.50362219798080965</v>
      </c>
      <c r="X14" s="59">
        <f>'SER_se-appl'!X52</f>
        <v>0.49826686260177644</v>
      </c>
      <c r="Y14" s="59">
        <f>'SER_se-appl'!Y52</f>
        <v>0.49297252205774811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0.57607585046352394</v>
      </c>
      <c r="D15" s="63">
        <f>'SER_se-appl'!D60</f>
        <v>0.57051793424101249</v>
      </c>
      <c r="E15" s="63">
        <f>'SER_se-appl'!E60</f>
        <v>0.56483359891207741</v>
      </c>
      <c r="F15" s="63">
        <f>'SER_se-appl'!F60</f>
        <v>0.55905452008899681</v>
      </c>
      <c r="G15" s="63">
        <f>'SER_se-appl'!G60</f>
        <v>0.55400196231233634</v>
      </c>
      <c r="H15" s="63">
        <f>'SER_se-appl'!H60</f>
        <v>0.54786644442960197</v>
      </c>
      <c r="I15" s="63">
        <f>'SER_se-appl'!I60</f>
        <v>0.54272832346066024</v>
      </c>
      <c r="J15" s="63">
        <f>'SER_se-appl'!J60</f>
        <v>0.53760461553404504</v>
      </c>
      <c r="K15" s="63">
        <f>'SER_se-appl'!K60</f>
        <v>0.53243149857794059</v>
      </c>
      <c r="L15" s="63">
        <f>'SER_se-appl'!L60</f>
        <v>0.52694168651073581</v>
      </c>
      <c r="M15" s="63">
        <f>'SER_se-appl'!M60</f>
        <v>0.51959954716665691</v>
      </c>
      <c r="N15" s="63">
        <f>'SER_se-appl'!N60</f>
        <v>0.51084753226737445</v>
      </c>
      <c r="O15" s="63">
        <f>'SER_se-appl'!O60</f>
        <v>0.50145579682445984</v>
      </c>
      <c r="P15" s="63">
        <f>'SER_se-appl'!P60</f>
        <v>0.49028096794009929</v>
      </c>
      <c r="Q15" s="63">
        <f>'SER_se-appl'!Q60</f>
        <v>0.47976653305220357</v>
      </c>
      <c r="R15" s="63">
        <f>'SER_se-appl'!R60</f>
        <v>0.47651853370898578</v>
      </c>
      <c r="S15" s="63">
        <f>'SER_se-appl'!S60</f>
        <v>0.47174287769354128</v>
      </c>
      <c r="T15" s="63">
        <f>'SER_se-appl'!T60</f>
        <v>0.46737721462150061</v>
      </c>
      <c r="U15" s="63">
        <f>'SER_se-appl'!U60</f>
        <v>0.46342025740356063</v>
      </c>
      <c r="V15" s="63">
        <f>'SER_se-appl'!V60</f>
        <v>0.45949421087148906</v>
      </c>
      <c r="W15" s="63">
        <f>'SER_se-appl'!W60</f>
        <v>0.45673724560626011</v>
      </c>
      <c r="X15" s="63">
        <f>'SER_se-appl'!X60</f>
        <v>0.45398028034103116</v>
      </c>
      <c r="Y15" s="63">
        <f>'SER_se-appl'!Y60</f>
        <v>0.45122331507580227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141.66228267170061</v>
      </c>
      <c r="C3" s="198">
        <f>'SER_se-appl'!C5</f>
        <v>141.91234641061362</v>
      </c>
      <c r="D3" s="198">
        <f>'SER_se-appl'!D5</f>
        <v>142.4553033922875</v>
      </c>
      <c r="E3" s="198">
        <f>'SER_se-appl'!E5</f>
        <v>143.25370861279069</v>
      </c>
      <c r="F3" s="198">
        <f>'SER_se-appl'!F5</f>
        <v>143.36684814056855</v>
      </c>
      <c r="G3" s="198">
        <f>'SER_se-appl'!G5</f>
        <v>143.48914697769885</v>
      </c>
      <c r="H3" s="198">
        <f>'SER_se-appl'!H5</f>
        <v>143.05945335108345</v>
      </c>
      <c r="I3" s="198">
        <f>'SER_se-appl'!I5</f>
        <v>142.69807868937477</v>
      </c>
      <c r="J3" s="198">
        <f>'SER_se-appl'!J5</f>
        <v>143.67111523589173</v>
      </c>
      <c r="K3" s="198">
        <f>'SER_se-appl'!K5</f>
        <v>145.51806129364661</v>
      </c>
      <c r="L3" s="198">
        <f>'SER_se-appl'!L5</f>
        <v>147.38281845257413</v>
      </c>
      <c r="M3" s="198">
        <f>'SER_se-appl'!M5</f>
        <v>150.06049733607122</v>
      </c>
      <c r="N3" s="198">
        <f>'SER_se-appl'!N5</f>
        <v>152.86234217641666</v>
      </c>
      <c r="O3" s="198">
        <f>'SER_se-appl'!O5</f>
        <v>156.3988449940814</v>
      </c>
      <c r="P3" s="198">
        <f>'SER_se-appl'!P5</f>
        <v>159.33561437986552</v>
      </c>
      <c r="Q3" s="198">
        <f>'SER_se-appl'!Q5</f>
        <v>163.24230623821245</v>
      </c>
      <c r="R3" s="198">
        <f>'SER_se-appl'!R5</f>
        <v>166.25994623773181</v>
      </c>
      <c r="S3" s="198">
        <f>'SER_se-appl'!S5</f>
        <v>161.56702331273334</v>
      </c>
      <c r="T3" s="198">
        <f>'SER_se-appl'!T5</f>
        <v>159.23900544960478</v>
      </c>
      <c r="U3" s="198">
        <f>'SER_se-appl'!U5</f>
        <v>156.77569920502157</v>
      </c>
      <c r="V3" s="198">
        <f>'SER_se-appl'!V5</f>
        <v>152.30203996302464</v>
      </c>
      <c r="W3" s="198">
        <f>'SER_se-appl'!W5</f>
        <v>147.99098866226922</v>
      </c>
      <c r="X3" s="198">
        <f>'SER_se-appl'!X5</f>
        <v>143.0201039761605</v>
      </c>
      <c r="Y3" s="198">
        <f>'SER_se-appl'!Y5</f>
        <v>139.02199558062867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402.60104997386151</v>
      </c>
      <c r="C5" s="59">
        <f>'SER_se-appl'!C13</f>
        <v>402.94948492443626</v>
      </c>
      <c r="D5" s="59">
        <f>'SER_se-appl'!D13</f>
        <v>404.34154046635905</v>
      </c>
      <c r="E5" s="59">
        <f>'SER_se-appl'!E13</f>
        <v>406.27287439635381</v>
      </c>
      <c r="F5" s="59">
        <f>'SER_se-appl'!F13</f>
        <v>406.43551781655839</v>
      </c>
      <c r="G5" s="59">
        <f>'SER_se-appl'!G13</f>
        <v>406.65585920062745</v>
      </c>
      <c r="H5" s="59">
        <f>'SER_se-appl'!H13</f>
        <v>405.52033350576676</v>
      </c>
      <c r="I5" s="59">
        <f>'SER_se-appl'!I13</f>
        <v>405.15681997405017</v>
      </c>
      <c r="J5" s="59">
        <f>'SER_se-appl'!J13</f>
        <v>409.15917052518023</v>
      </c>
      <c r="K5" s="59">
        <f>'SER_se-appl'!K13</f>
        <v>415.07922747267656</v>
      </c>
      <c r="L5" s="59">
        <f>'SER_se-appl'!L13</f>
        <v>421.56877021924373</v>
      </c>
      <c r="M5" s="59">
        <f>'SER_se-appl'!M13</f>
        <v>430.72877377324556</v>
      </c>
      <c r="N5" s="59">
        <f>'SER_se-appl'!N13</f>
        <v>440.98666099409058</v>
      </c>
      <c r="O5" s="59">
        <f>'SER_se-appl'!O13</f>
        <v>454.47141232801908</v>
      </c>
      <c r="P5" s="59">
        <f>'SER_se-appl'!P13</f>
        <v>466.39440219889468</v>
      </c>
      <c r="Q5" s="59">
        <f>'SER_se-appl'!Q13</f>
        <v>483.12766708191623</v>
      </c>
      <c r="R5" s="59">
        <f>'SER_se-appl'!R13</f>
        <v>482.64469373886595</v>
      </c>
      <c r="S5" s="59">
        <f>'SER_se-appl'!S13</f>
        <v>480.91871998898461</v>
      </c>
      <c r="T5" s="59">
        <f>'SER_se-appl'!T13</f>
        <v>475.31819797816303</v>
      </c>
      <c r="U5" s="59">
        <f>'SER_se-appl'!U13</f>
        <v>466.84100283802019</v>
      </c>
      <c r="V5" s="59">
        <f>'SER_se-appl'!V13</f>
        <v>454.67200128053457</v>
      </c>
      <c r="W5" s="59">
        <f>'SER_se-appl'!W13</f>
        <v>441.09289264417697</v>
      </c>
      <c r="X5" s="59">
        <f>'SER_se-appl'!X13</f>
        <v>429.60171857498267</v>
      </c>
      <c r="Y5" s="59">
        <f>'SER_se-appl'!Y13</f>
        <v>420.87486565076631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0.25501909606042616</v>
      </c>
      <c r="C6" s="201">
        <f>'SER_se-appl'!C69</f>
        <v>0.25668641493329336</v>
      </c>
      <c r="D6" s="201">
        <f>'SER_se-appl'!D69</f>
        <v>0.25922176413847997</v>
      </c>
      <c r="E6" s="201">
        <f>'SER_se-appl'!E69</f>
        <v>0.26258569802170489</v>
      </c>
      <c r="F6" s="201">
        <f>'SER_se-appl'!F69</f>
        <v>0.26533377921246143</v>
      </c>
      <c r="G6" s="201">
        <f>'SER_se-appl'!G69</f>
        <v>0.26884930519971662</v>
      </c>
      <c r="H6" s="201">
        <f>'SER_se-appl'!H69</f>
        <v>0.27197006374490351</v>
      </c>
      <c r="I6" s="201">
        <f>'SER_se-appl'!I69</f>
        <v>0.27571370119380245</v>
      </c>
      <c r="J6" s="201">
        <f>'SER_se-appl'!J69</f>
        <v>0.27975542942980763</v>
      </c>
      <c r="K6" s="201">
        <f>'SER_se-appl'!K69</f>
        <v>0.28614596490848471</v>
      </c>
      <c r="L6" s="201">
        <f>'SER_se-appl'!L69</f>
        <v>0.29322632048769615</v>
      </c>
      <c r="M6" s="201">
        <f>'SER_se-appl'!M69</f>
        <v>0.30334886903332092</v>
      </c>
      <c r="N6" s="201">
        <f>'SER_se-appl'!N69</f>
        <v>0.31626806932255619</v>
      </c>
      <c r="O6" s="201">
        <f>'SER_se-appl'!O69</f>
        <v>0.33366890950942268</v>
      </c>
      <c r="P6" s="201">
        <f>'SER_se-appl'!P69</f>
        <v>0.35188707351292553</v>
      </c>
      <c r="Q6" s="201">
        <f>'SER_se-appl'!Q69</f>
        <v>0.37471264903243384</v>
      </c>
      <c r="R6" s="201">
        <f>'SER_se-appl'!R69</f>
        <v>0.38470919575417789</v>
      </c>
      <c r="S6" s="201">
        <f>'SER_se-appl'!S69</f>
        <v>0.39429799736578058</v>
      </c>
      <c r="T6" s="201">
        <f>'SER_se-appl'!T69</f>
        <v>0.40313000121639175</v>
      </c>
      <c r="U6" s="201">
        <f>'SER_se-appl'!U69</f>
        <v>0.41167016003331658</v>
      </c>
      <c r="V6" s="201">
        <f>'SER_se-appl'!V69</f>
        <v>0.4192377326936394</v>
      </c>
      <c r="W6" s="201">
        <f>'SER_se-appl'!W69</f>
        <v>0.42642859212576067</v>
      </c>
      <c r="X6" s="201">
        <f>'SER_se-appl'!X69</f>
        <v>0.4315354553918756</v>
      </c>
      <c r="Y6" s="201">
        <f>'SER_se-appl'!Y69</f>
        <v>0.43514660601998495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2259.8328483263581</v>
      </c>
      <c r="C8" s="34">
        <f>'SER_se-appl'!C21</f>
        <v>2280.0920330781387</v>
      </c>
      <c r="D8" s="34">
        <f>'SER_se-appl'!D21</f>
        <v>2309.4398770955281</v>
      </c>
      <c r="E8" s="34">
        <f>'SER_se-appl'!E21</f>
        <v>2347.7230578440826</v>
      </c>
      <c r="F8" s="34">
        <f>'SER_se-appl'!F21</f>
        <v>2381.5484420639136</v>
      </c>
      <c r="G8" s="34">
        <f>'SER_se-appl'!G21</f>
        <v>2422.7064780822848</v>
      </c>
      <c r="H8" s="34">
        <f>'SER_se-appl'!H21</f>
        <v>2460.7176881880782</v>
      </c>
      <c r="I8" s="34">
        <f>'SER_se-appl'!I21</f>
        <v>2512.6498174003282</v>
      </c>
      <c r="J8" s="34">
        <f>'SER_se-appl'!J21</f>
        <v>2568.973686307575</v>
      </c>
      <c r="K8" s="34">
        <f>'SER_se-appl'!K21</f>
        <v>2648.6663438427577</v>
      </c>
      <c r="L8" s="34">
        <f>'SER_se-appl'!L21</f>
        <v>2738.9338137056548</v>
      </c>
      <c r="M8" s="34">
        <f>'SER_se-appl'!M21</f>
        <v>2856.2025108040657</v>
      </c>
      <c r="N8" s="34">
        <f>'SER_se-appl'!N21</f>
        <v>2999.1242425157484</v>
      </c>
      <c r="O8" s="34">
        <f>'SER_se-appl'!O21</f>
        <v>3188.5043966987259</v>
      </c>
      <c r="P8" s="34">
        <f>'SER_se-appl'!P21</f>
        <v>3393.9029673901691</v>
      </c>
      <c r="Q8" s="34">
        <f>'SER_se-appl'!Q21</f>
        <v>3652.4572131095392</v>
      </c>
      <c r="R8" s="34">
        <f>'SER_se-appl'!R21</f>
        <v>3789.7768274307346</v>
      </c>
      <c r="S8" s="34">
        <f>'SER_se-appl'!S21</f>
        <v>3941.0688112645739</v>
      </c>
      <c r="T8" s="34">
        <f>'SER_se-appl'!T21</f>
        <v>4079.7731697701788</v>
      </c>
      <c r="U8" s="34">
        <f>'SER_se-appl'!U21</f>
        <v>4211.4618961204351</v>
      </c>
      <c r="V8" s="34">
        <f>'SER_se-appl'!V21</f>
        <v>4329.714996551771</v>
      </c>
      <c r="W8" s="34">
        <f>'SER_se-appl'!W21</f>
        <v>4426.0281541079466</v>
      </c>
      <c r="X8" s="34">
        <f>'SER_se-appl'!X21</f>
        <v>4510.5492603143421</v>
      </c>
      <c r="Y8" s="34">
        <f>'SER_se-appl'!Y21</f>
        <v>4578.4193834492089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303.74262730660689</v>
      </c>
      <c r="D9" s="36">
        <f>'SER_se-appl'!D29</f>
        <v>325.03379776721454</v>
      </c>
      <c r="E9" s="36">
        <f>'SER_se-appl'!E29</f>
        <v>346.69690134189909</v>
      </c>
      <c r="F9" s="36">
        <f>'SER_se-appl'!F29</f>
        <v>355.51473687236944</v>
      </c>
      <c r="G9" s="36">
        <f>'SER_se-appl'!G29</f>
        <v>376.69446873907032</v>
      </c>
      <c r="H9" s="36">
        <f>'SER_se-appl'!H29</f>
        <v>387.99076881545534</v>
      </c>
      <c r="I9" s="36">
        <f>'SER_se-appl'!I29</f>
        <v>416.97651655771278</v>
      </c>
      <c r="J9" s="36">
        <f>'SER_se-appl'!J29</f>
        <v>360.0664962138535</v>
      </c>
      <c r="K9" s="36">
        <f>'SER_se-appl'!K29</f>
        <v>404.72645530239697</v>
      </c>
      <c r="L9" s="36">
        <f>'SER_se-appl'!L29</f>
        <v>436.96437120479641</v>
      </c>
      <c r="M9" s="36">
        <f>'SER_se-appl'!M29</f>
        <v>472.78343397078015</v>
      </c>
      <c r="N9" s="36">
        <f>'SER_se-appl'!N29</f>
        <v>519.61620045075279</v>
      </c>
      <c r="O9" s="36">
        <f>'SER_se-appl'!O29</f>
        <v>577.37092299843289</v>
      </c>
      <c r="P9" s="36">
        <f>'SER_se-appl'!P29</f>
        <v>622.37508724915597</v>
      </c>
      <c r="Q9" s="36">
        <f>'SER_se-appl'!Q29</f>
        <v>618.6207419332236</v>
      </c>
      <c r="R9" s="36">
        <f>'SER_se-appl'!R29</f>
        <v>542.0460696235923</v>
      </c>
      <c r="S9" s="36">
        <f>'SER_se-appl'!S29</f>
        <v>588.25635503863577</v>
      </c>
      <c r="T9" s="36">
        <f>'SER_se-appl'!T29</f>
        <v>611.48779247638504</v>
      </c>
      <c r="U9" s="36">
        <f>'SER_se-appl'!U29</f>
        <v>651.30492680100906</v>
      </c>
      <c r="V9" s="36">
        <f>'SER_se-appl'!V29</f>
        <v>695.62402342976884</v>
      </c>
      <c r="W9" s="36">
        <f>'SER_se-appl'!W29</f>
        <v>718.68824480533158</v>
      </c>
      <c r="X9" s="36">
        <f>'SER_se-appl'!X29</f>
        <v>703.14184813961901</v>
      </c>
      <c r="Y9" s="36">
        <f>'SER_se-appl'!Y29</f>
        <v>609.91619275845915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283.48344255482652</v>
      </c>
      <c r="D10" s="38">
        <f>'SER_se-appl'!D37</f>
        <v>295.68595374982533</v>
      </c>
      <c r="E10" s="38">
        <f>'SER_se-appl'!E37</f>
        <v>308.41372059334435</v>
      </c>
      <c r="F10" s="38">
        <f>'SER_se-appl'!F37</f>
        <v>321.68935265253867</v>
      </c>
      <c r="G10" s="38">
        <f>'SER_se-appl'!G37</f>
        <v>335.53643272069894</v>
      </c>
      <c r="H10" s="38">
        <f>'SER_se-appl'!H37</f>
        <v>349.97955870966189</v>
      </c>
      <c r="I10" s="38">
        <f>'SER_se-appl'!I37</f>
        <v>365.04438734546284</v>
      </c>
      <c r="J10" s="38">
        <f>'SER_se-appl'!J37</f>
        <v>303.74262730660666</v>
      </c>
      <c r="K10" s="38">
        <f>'SER_se-appl'!K37</f>
        <v>325.03379776721431</v>
      </c>
      <c r="L10" s="38">
        <f>'SER_se-appl'!L37</f>
        <v>346.69690134189932</v>
      </c>
      <c r="M10" s="38">
        <f>'SER_se-appl'!M37</f>
        <v>355.51473687236921</v>
      </c>
      <c r="N10" s="38">
        <f>'SER_se-appl'!N37</f>
        <v>376.69446873907009</v>
      </c>
      <c r="O10" s="38">
        <f>'SER_se-appl'!O37</f>
        <v>387.99076881545534</v>
      </c>
      <c r="P10" s="38">
        <f>'SER_se-appl'!P37</f>
        <v>416.97651655771278</v>
      </c>
      <c r="Q10" s="38">
        <f>'SER_se-appl'!Q37</f>
        <v>360.0664962138535</v>
      </c>
      <c r="R10" s="38">
        <f>'SER_se-appl'!R37</f>
        <v>404.72645530239697</v>
      </c>
      <c r="S10" s="38">
        <f>'SER_se-appl'!S37</f>
        <v>436.96437120479641</v>
      </c>
      <c r="T10" s="38">
        <f>'SER_se-appl'!T37</f>
        <v>472.78343397078015</v>
      </c>
      <c r="U10" s="38">
        <f>'SER_se-appl'!U37</f>
        <v>519.61620045075233</v>
      </c>
      <c r="V10" s="38">
        <f>'SER_se-appl'!V37</f>
        <v>577.37092299843243</v>
      </c>
      <c r="W10" s="38">
        <f>'SER_se-appl'!W37</f>
        <v>622.37508724915551</v>
      </c>
      <c r="X10" s="38">
        <f>'SER_se-appl'!X37</f>
        <v>618.62074193322314</v>
      </c>
      <c r="Y10" s="38">
        <f>'SER_se-appl'!Y37</f>
        <v>542.0460696235923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4092.2206923674007</v>
      </c>
      <c r="C12" s="204">
        <f>'SER_se-appl'!C45</f>
        <v>4095.8994874132622</v>
      </c>
      <c r="D12" s="204">
        <f>'SER_se-appl'!D45</f>
        <v>4097.4152112628271</v>
      </c>
      <c r="E12" s="204">
        <f>'SER_se-appl'!E45</f>
        <v>4100.7921920511753</v>
      </c>
      <c r="F12" s="204">
        <f>'SER_se-appl'!F45</f>
        <v>4102.3886220184158</v>
      </c>
      <c r="G12" s="204">
        <f>'SER_se-appl'!G45</f>
        <v>4103.6634333290895</v>
      </c>
      <c r="H12" s="204">
        <f>'SER_se-appl'!H45</f>
        <v>4102.8311159875302</v>
      </c>
      <c r="I12" s="204">
        <f>'SER_se-appl'!I45</f>
        <v>4096.1390092451675</v>
      </c>
      <c r="J12" s="204">
        <f>'SER_se-appl'!J45</f>
        <v>4083.7287553612136</v>
      </c>
      <c r="K12" s="204">
        <f>'SER_se-appl'!K45</f>
        <v>4077.2337925691886</v>
      </c>
      <c r="L12" s="204">
        <f>'SER_se-appl'!L45</f>
        <v>4065.9135583312095</v>
      </c>
      <c r="M12" s="204">
        <f>'SER_se-appl'!M45</f>
        <v>4051.7459948873993</v>
      </c>
      <c r="N12" s="204">
        <f>'SER_se-appl'!N45</f>
        <v>4031.3896014545189</v>
      </c>
      <c r="O12" s="204">
        <f>'SER_se-appl'!O45</f>
        <v>4002.2727897532632</v>
      </c>
      <c r="P12" s="204">
        <f>'SER_se-appl'!P45</f>
        <v>3973.1891860219835</v>
      </c>
      <c r="Q12" s="204">
        <f>'SER_se-appl'!Q45</f>
        <v>3929.6197483728688</v>
      </c>
      <c r="R12" s="204">
        <f>'SER_se-appl'!R45</f>
        <v>4006.2663069305254</v>
      </c>
      <c r="S12" s="204">
        <f>'SER_se-appl'!S45</f>
        <v>3907.156039112238</v>
      </c>
      <c r="T12" s="204">
        <f>'SER_se-appl'!T45</f>
        <v>3896.2312851821121</v>
      </c>
      <c r="U12" s="204">
        <f>'SER_se-appl'!U45</f>
        <v>3905.6153394200292</v>
      </c>
      <c r="V12" s="204">
        <f>'SER_se-appl'!V45</f>
        <v>3895.7154163471214</v>
      </c>
      <c r="W12" s="204">
        <f>'SER_se-appl'!W45</f>
        <v>3901.9789863868991</v>
      </c>
      <c r="X12" s="204">
        <f>'SER_se-appl'!X45</f>
        <v>3871.7810877482093</v>
      </c>
      <c r="Y12" s="204">
        <f>'SER_se-appl'!Y45</f>
        <v>3841.5831891095195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178.15523403513208</v>
      </c>
      <c r="C14" s="59">
        <f>'SER_se-appl'!C53</f>
        <v>176.72509665342406</v>
      </c>
      <c r="D14" s="59">
        <f>'SER_se-appl'!D53</f>
        <v>175.08208136376342</v>
      </c>
      <c r="E14" s="59">
        <f>'SER_se-appl'!E53</f>
        <v>173.04974410799318</v>
      </c>
      <c r="F14" s="59">
        <f>'SER_se-appl'!F53</f>
        <v>170.66019344302333</v>
      </c>
      <c r="G14" s="59">
        <f>'SER_se-appl'!G53</f>
        <v>167.85188914941094</v>
      </c>
      <c r="H14" s="59">
        <f>'SER_se-appl'!H53</f>
        <v>164.79758545742283</v>
      </c>
      <c r="I14" s="59">
        <f>'SER_se-appl'!I53</f>
        <v>161.24683080320321</v>
      </c>
      <c r="J14" s="59">
        <f>'SER_se-appl'!J53</f>
        <v>159.26950622576089</v>
      </c>
      <c r="K14" s="59">
        <f>'SER_se-appl'!K53</f>
        <v>156.71253891136331</v>
      </c>
      <c r="L14" s="59">
        <f>'SER_se-appl'!L53</f>
        <v>153.91710749259767</v>
      </c>
      <c r="M14" s="59">
        <f>'SER_se-appl'!M53</f>
        <v>150.80470384853373</v>
      </c>
      <c r="N14" s="59">
        <f>'SER_se-appl'!N53</f>
        <v>147.03847701360274</v>
      </c>
      <c r="O14" s="59">
        <f>'SER_se-appl'!O53</f>
        <v>142.53435334715675</v>
      </c>
      <c r="P14" s="59">
        <f>'SER_se-appl'!P53</f>
        <v>137.421254137251</v>
      </c>
      <c r="Q14" s="59">
        <f>'SER_se-appl'!Q53</f>
        <v>132.27469588085958</v>
      </c>
      <c r="R14" s="59">
        <f>'SER_se-appl'!R53</f>
        <v>127.35438410131215</v>
      </c>
      <c r="S14" s="59">
        <f>'SER_se-appl'!S53</f>
        <v>122.02748620232079</v>
      </c>
      <c r="T14" s="59">
        <f>'SER_se-appl'!T53</f>
        <v>116.50603555612348</v>
      </c>
      <c r="U14" s="59">
        <f>'SER_se-appl'!U53</f>
        <v>110.85010724377452</v>
      </c>
      <c r="V14" s="59">
        <f>'SER_se-appl'!V53</f>
        <v>105.01199308560493</v>
      </c>
      <c r="W14" s="59">
        <f>'SER_se-appl'!W53</f>
        <v>99.658853781755482</v>
      </c>
      <c r="X14" s="59">
        <f>'SER_se-appl'!X53</f>
        <v>95.243770499259227</v>
      </c>
      <c r="Y14" s="59">
        <f>'SER_se-appl'!Y53</f>
        <v>91.925800238442775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167.4196817711815</v>
      </c>
      <c r="D15" s="63">
        <f>'SER_se-appl'!D61</f>
        <v>166.3521030875952</v>
      </c>
      <c r="E15" s="63">
        <f>'SER_se-appl'!E61</f>
        <v>164.05353575934632</v>
      </c>
      <c r="F15" s="63">
        <f>'SER_se-appl'!F61</f>
        <v>161.66217421603176</v>
      </c>
      <c r="G15" s="63">
        <f>'SER_se-appl'!G61</f>
        <v>159.27473871217927</v>
      </c>
      <c r="H15" s="63">
        <f>'SER_se-appl'!H61</f>
        <v>157.7747962444123</v>
      </c>
      <c r="I15" s="63">
        <f>'SER_se-appl'!I61</f>
        <v>155.09519639836788</v>
      </c>
      <c r="J15" s="63">
        <f>'SER_se-appl'!J61</f>
        <v>152.34642804023881</v>
      </c>
      <c r="K15" s="63">
        <f>'SER_se-appl'!K61</f>
        <v>148.22384846525077</v>
      </c>
      <c r="L15" s="63">
        <f>'SER_se-appl'!L61</f>
        <v>145.01501592407038</v>
      </c>
      <c r="M15" s="63">
        <f>'SER_se-appl'!M61</f>
        <v>140.93829033516388</v>
      </c>
      <c r="N15" s="63">
        <f>'SER_se-appl'!N61</f>
        <v>135.20710140029996</v>
      </c>
      <c r="O15" s="63">
        <f>'SER_se-appl'!O61</f>
        <v>129.37942118831398</v>
      </c>
      <c r="P15" s="63">
        <f>'SER_se-appl'!P61</f>
        <v>123.06733699518801</v>
      </c>
      <c r="Q15" s="63">
        <f>'SER_se-appl'!Q61</f>
        <v>115.72212922322896</v>
      </c>
      <c r="R15" s="63">
        <f>'SER_se-appl'!R61</f>
        <v>109.78243874896691</v>
      </c>
      <c r="S15" s="63">
        <f>'SER_se-appl'!S61</f>
        <v>104.78496487230485</v>
      </c>
      <c r="T15" s="63">
        <f>'SER_se-appl'!T61</f>
        <v>99.81027850881425</v>
      </c>
      <c r="U15" s="63">
        <f>'SER_se-appl'!U61</f>
        <v>94.853581819005157</v>
      </c>
      <c r="V15" s="63">
        <f>'SER_se-appl'!V61</f>
        <v>89.891826855987588</v>
      </c>
      <c r="W15" s="63">
        <f>'SER_se-appl'!W61</f>
        <v>87.680487915330303</v>
      </c>
      <c r="X15" s="63">
        <f>'SER_se-appl'!X61</f>
        <v>85.469148974673004</v>
      </c>
      <c r="Y15" s="63">
        <f>'SER_se-appl'!Y61</f>
        <v>83.257810034015719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234.23243639231427</v>
      </c>
      <c r="C3" s="198">
        <f>'SER_se-appl'!C6</f>
        <v>237.73564103739596</v>
      </c>
      <c r="D3" s="198">
        <f>'SER_se-appl'!D6</f>
        <v>240.80309727335094</v>
      </c>
      <c r="E3" s="198">
        <f>'SER_se-appl'!E6</f>
        <v>242.4917510730244</v>
      </c>
      <c r="F3" s="198">
        <f>'SER_se-appl'!F6</f>
        <v>244.36289086159056</v>
      </c>
      <c r="G3" s="198">
        <f>'SER_se-appl'!G6</f>
        <v>244.67668043404251</v>
      </c>
      <c r="H3" s="198">
        <f>'SER_se-appl'!H6</f>
        <v>245.50624199140222</v>
      </c>
      <c r="I3" s="198">
        <f>'SER_se-appl'!I6</f>
        <v>247.10609953276031</v>
      </c>
      <c r="J3" s="198">
        <f>'SER_se-appl'!J6</f>
        <v>248.38160418853141</v>
      </c>
      <c r="K3" s="198">
        <f>'SER_se-appl'!K6</f>
        <v>250.01269262702647</v>
      </c>
      <c r="L3" s="198">
        <f>'SER_se-appl'!L6</f>
        <v>254.21069247273113</v>
      </c>
      <c r="M3" s="198">
        <f>'SER_se-appl'!M6</f>
        <v>255.61495623980133</v>
      </c>
      <c r="N3" s="198">
        <f>'SER_se-appl'!N6</f>
        <v>257.08222859190556</v>
      </c>
      <c r="O3" s="198">
        <f>'SER_se-appl'!O6</f>
        <v>259.53907902765519</v>
      </c>
      <c r="P3" s="198">
        <f>'SER_se-appl'!P6</f>
        <v>261.9637737481761</v>
      </c>
      <c r="Q3" s="198">
        <f>'SER_se-appl'!Q6</f>
        <v>264.92351310041562</v>
      </c>
      <c r="R3" s="198">
        <f>'SER_se-appl'!R6</f>
        <v>265.52681929448102</v>
      </c>
      <c r="S3" s="198">
        <f>'SER_se-appl'!S6</f>
        <v>256.06041713342188</v>
      </c>
      <c r="T3" s="198">
        <f>'SER_se-appl'!T6</f>
        <v>247.75723090441858</v>
      </c>
      <c r="U3" s="198">
        <f>'SER_se-appl'!U6</f>
        <v>240.75550848324724</v>
      </c>
      <c r="V3" s="198">
        <f>'SER_se-appl'!V6</f>
        <v>245.19191041502214</v>
      </c>
      <c r="W3" s="198">
        <f>'SER_se-appl'!W6</f>
        <v>239.01126337165348</v>
      </c>
      <c r="X3" s="198">
        <f>'SER_se-appl'!X6</f>
        <v>216.8725154929958</v>
      </c>
      <c r="Y3" s="198">
        <f>'SER_se-appl'!Y6</f>
        <v>200.92465247341735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1108.7934830002871</v>
      </c>
      <c r="C5" s="59">
        <f>'SER_se-appl'!C14</f>
        <v>1118.4691545713351</v>
      </c>
      <c r="D5" s="59">
        <f>'SER_se-appl'!D14</f>
        <v>1125.8319887664904</v>
      </c>
      <c r="E5" s="59">
        <f>'SER_se-appl'!E14</f>
        <v>1126.4881018880485</v>
      </c>
      <c r="F5" s="59">
        <f>'SER_se-appl'!F14</f>
        <v>1125.9083020202559</v>
      </c>
      <c r="G5" s="59">
        <f>'SER_se-appl'!G14</f>
        <v>1120.5300950972478</v>
      </c>
      <c r="H5" s="59">
        <f>'SER_se-appl'!H14</f>
        <v>1117.6664107317761</v>
      </c>
      <c r="I5" s="59">
        <f>'SER_se-appl'!I14</f>
        <v>1119.9592565633241</v>
      </c>
      <c r="J5" s="59">
        <f>'SER_se-appl'!J14</f>
        <v>1122.849174284612</v>
      </c>
      <c r="K5" s="59">
        <f>'SER_se-appl'!K14</f>
        <v>1125.1151740952509</v>
      </c>
      <c r="L5" s="59">
        <f>'SER_se-appl'!L14</f>
        <v>1138.6040069366393</v>
      </c>
      <c r="M5" s="59">
        <f>'SER_se-appl'!M14</f>
        <v>1140.6684985248999</v>
      </c>
      <c r="N5" s="59">
        <f>'SER_se-appl'!N14</f>
        <v>1142.2049714274081</v>
      </c>
      <c r="O5" s="59">
        <f>'SER_se-appl'!O14</f>
        <v>1148.7442563901566</v>
      </c>
      <c r="P5" s="59">
        <f>'SER_se-appl'!P14</f>
        <v>1155.8921584186194</v>
      </c>
      <c r="Q5" s="59">
        <f>'SER_se-appl'!Q14</f>
        <v>1166.3655813002918</v>
      </c>
      <c r="R5" s="59">
        <f>'SER_se-appl'!R14</f>
        <v>1143.9603207197035</v>
      </c>
      <c r="S5" s="59">
        <f>'SER_se-appl'!S14</f>
        <v>1123.6839793580214</v>
      </c>
      <c r="T5" s="59">
        <f>'SER_se-appl'!T14</f>
        <v>1090.3001688587108</v>
      </c>
      <c r="U5" s="59">
        <f>'SER_se-appl'!U14</f>
        <v>1051.3722342842275</v>
      </c>
      <c r="V5" s="59">
        <f>'SER_se-appl'!V14</f>
        <v>1005.9743003995899</v>
      </c>
      <c r="W5" s="59">
        <f>'SER_se-appl'!W14</f>
        <v>956.43306192812202</v>
      </c>
      <c r="X5" s="59">
        <f>'SER_se-appl'!X14</f>
        <v>910.96977886079173</v>
      </c>
      <c r="Y5" s="59">
        <f>'SER_se-appl'!Y14</f>
        <v>865.48630464304063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181.81069644133203</v>
      </c>
      <c r="C6" s="201">
        <f>'SER_se-appl'!C70</f>
        <v>183.18596118499201</v>
      </c>
      <c r="D6" s="201">
        <f>'SER_se-appl'!D70</f>
        <v>185.78375323806696</v>
      </c>
      <c r="E6" s="201">
        <f>'SER_se-appl'!E70</f>
        <v>188.52351408971188</v>
      </c>
      <c r="F6" s="201">
        <f>'SER_se-appl'!F70</f>
        <v>191.06756992148675</v>
      </c>
      <c r="G6" s="201">
        <f>'SER_se-appl'!G70</f>
        <v>193.97212398514188</v>
      </c>
      <c r="H6" s="201">
        <f>'SER_se-appl'!H70</f>
        <v>197.28067170776544</v>
      </c>
      <c r="I6" s="201">
        <f>'SER_se-appl'!I70</f>
        <v>200.2389510984255</v>
      </c>
      <c r="J6" s="201">
        <f>'SER_se-appl'!J70</f>
        <v>203.82720330515784</v>
      </c>
      <c r="K6" s="201">
        <f>'SER_se-appl'!K70</f>
        <v>207.32810534758696</v>
      </c>
      <c r="L6" s="201">
        <f>'SER_se-appl'!L70</f>
        <v>213.28575760794891</v>
      </c>
      <c r="M6" s="201">
        <f>'SER_se-appl'!M70</f>
        <v>218.10512683030709</v>
      </c>
      <c r="N6" s="201">
        <f>'SER_se-appl'!N70</f>
        <v>224.42954585282817</v>
      </c>
      <c r="O6" s="201">
        <f>'SER_se-appl'!O70</f>
        <v>230.93289004389419</v>
      </c>
      <c r="P6" s="201">
        <f>'SER_se-appl'!P70</f>
        <v>240.23932971028088</v>
      </c>
      <c r="Q6" s="201">
        <f>'SER_se-appl'!Q70</f>
        <v>250.7003316663473</v>
      </c>
      <c r="R6" s="201">
        <f>'SER_se-appl'!R70</f>
        <v>256.28466509972367</v>
      </c>
      <c r="S6" s="201">
        <f>'SER_se-appl'!S70</f>
        <v>261.9485913165949</v>
      </c>
      <c r="T6" s="201">
        <f>'SER_se-appl'!T70</f>
        <v>267.3566029826186</v>
      </c>
      <c r="U6" s="201">
        <f>'SER_se-appl'!U70</f>
        <v>272.30352086196757</v>
      </c>
      <c r="V6" s="201">
        <f>'SER_se-appl'!V70</f>
        <v>276.40696590185655</v>
      </c>
      <c r="W6" s="201">
        <f>'SER_se-appl'!W70</f>
        <v>279.1403777598527</v>
      </c>
      <c r="X6" s="201">
        <f>'SER_se-appl'!X70</f>
        <v>280.51720364642097</v>
      </c>
      <c r="Y6" s="201">
        <f>'SER_se-appl'!Y70</f>
        <v>281.20816113476843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29.579708202544232</v>
      </c>
      <c r="C8" s="34">
        <f>'SER_se-appl'!C22</f>
        <v>30.178983932887441</v>
      </c>
      <c r="D8" s="34">
        <f>'SER_se-appl'!D22</f>
        <v>30.947881788212062</v>
      </c>
      <c r="E8" s="34">
        <f>'SER_se-appl'!E22</f>
        <v>31.699555074155597</v>
      </c>
      <c r="F8" s="34">
        <f>'SER_se-appl'!F22</f>
        <v>32.527464628258528</v>
      </c>
      <c r="G8" s="34">
        <f>'SER_se-appl'!G22</f>
        <v>33.379117335787654</v>
      </c>
      <c r="H8" s="34">
        <f>'SER_se-appl'!H22</f>
        <v>34.455124615365897</v>
      </c>
      <c r="I8" s="34">
        <f>'SER_se-appl'!I22</f>
        <v>35.464789053200313</v>
      </c>
      <c r="J8" s="34">
        <f>'SER_se-appl'!J22</f>
        <v>36.405647632282211</v>
      </c>
      <c r="K8" s="34">
        <f>'SER_se-appl'!K22</f>
        <v>37.393065832774347</v>
      </c>
      <c r="L8" s="34">
        <f>'SER_se-appl'!L22</f>
        <v>38.932932346532922</v>
      </c>
      <c r="M8" s="34">
        <f>'SER_se-appl'!M22</f>
        <v>40.179486304949407</v>
      </c>
      <c r="N8" s="34">
        <f>'SER_se-appl'!N22</f>
        <v>41.661689609634891</v>
      </c>
      <c r="O8" s="34">
        <f>'SER_se-appl'!O22</f>
        <v>43.479499217760136</v>
      </c>
      <c r="P8" s="34">
        <f>'SER_se-appl'!P22</f>
        <v>45.706059058573004</v>
      </c>
      <c r="Q8" s="34">
        <f>'SER_se-appl'!Q22</f>
        <v>48.332691375628883</v>
      </c>
      <c r="R8" s="34">
        <f>'SER_se-appl'!R22</f>
        <v>50.001131977802558</v>
      </c>
      <c r="S8" s="34">
        <f>'SER_se-appl'!S22</f>
        <v>51.797964686876298</v>
      </c>
      <c r="T8" s="34">
        <f>'SER_se-appl'!T22</f>
        <v>53.46130933817696</v>
      </c>
      <c r="U8" s="34">
        <f>'SER_se-appl'!U22</f>
        <v>55.014893172031627</v>
      </c>
      <c r="V8" s="34">
        <f>'SER_se-appl'!V22</f>
        <v>56.413458141791843</v>
      </c>
      <c r="W8" s="34">
        <f>'SER_se-appl'!W22</f>
        <v>57.539356778921722</v>
      </c>
      <c r="X8" s="34">
        <f>'SER_se-appl'!X22</f>
        <v>58.390651215780643</v>
      </c>
      <c r="Y8" s="34">
        <f>'SER_se-appl'!Y22</f>
        <v>59.101459075438449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5.2186233178644912</v>
      </c>
      <c r="D9" s="36">
        <f>'SER_se-appl'!D30</f>
        <v>5.5082484808782404</v>
      </c>
      <c r="E9" s="36">
        <f>'SER_se-appl'!E30</f>
        <v>5.6141444307027832</v>
      </c>
      <c r="F9" s="36">
        <f>'SER_se-appl'!F30</f>
        <v>5.8166996862646343</v>
      </c>
      <c r="G9" s="36">
        <f>'SER_se-appl'!G30</f>
        <v>5.9700433862230717</v>
      </c>
      <c r="H9" s="36">
        <f>'SER_se-appl'!H30</f>
        <v>6.3273653134326722</v>
      </c>
      <c r="I9" s="36">
        <f>'SER_se-appl'!I30</f>
        <v>6.2282877556989078</v>
      </c>
      <c r="J9" s="36">
        <f>'SER_se-appl'!J30</f>
        <v>6.4491070599601379</v>
      </c>
      <c r="K9" s="36">
        <f>'SER_se-appl'!K30</f>
        <v>6.6015626311949198</v>
      </c>
      <c r="L9" s="36">
        <f>'SER_se-appl'!L30</f>
        <v>7.3565662000232095</v>
      </c>
      <c r="M9" s="36">
        <f>'SER_se-appl'!M30</f>
        <v>7.2165973446395526</v>
      </c>
      <c r="N9" s="36">
        <f>'SER_se-appl'!N30</f>
        <v>7.8095686181181563</v>
      </c>
      <c r="O9" s="36">
        <f>'SER_se-appl'!O30</f>
        <v>8.0460973638241526</v>
      </c>
      <c r="P9" s="36">
        <f>'SER_se-appl'!P30</f>
        <v>8.6756669007730096</v>
      </c>
      <c r="Q9" s="36">
        <f>'SER_se-appl'!Q30</f>
        <v>9.2281949482508026</v>
      </c>
      <c r="R9" s="36">
        <f>'SER_se-appl'!R30</f>
        <v>9.0250068021968843</v>
      </c>
      <c r="S9" s="36">
        <f>'SER_se-appl'!S30</f>
        <v>9.013430053713293</v>
      </c>
      <c r="T9" s="36">
        <f>'SER_se-appl'!T30</f>
        <v>9.4729132694188181</v>
      </c>
      <c r="U9" s="36">
        <f>'SER_se-appl'!U30</f>
        <v>9.5996811976788194</v>
      </c>
      <c r="V9" s="36">
        <f>'SER_se-appl'!V30</f>
        <v>10.074231870533225</v>
      </c>
      <c r="W9" s="36">
        <f>'SER_se-appl'!W30</f>
        <v>10.354093585380681</v>
      </c>
      <c r="X9" s="36">
        <f>'SER_se-appl'!X30</f>
        <v>9.876301239055806</v>
      </c>
      <c r="Y9" s="36">
        <f>'SER_se-appl'!Y30</f>
        <v>9.7242379133710983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4.6193475875212826</v>
      </c>
      <c r="D10" s="38">
        <f>'SER_se-appl'!D38</f>
        <v>4.7393506255536231</v>
      </c>
      <c r="E10" s="38">
        <f>'SER_se-appl'!E38</f>
        <v>4.8624711447592475</v>
      </c>
      <c r="F10" s="38">
        <f>'SER_se-appl'!F38</f>
        <v>4.9887901321617036</v>
      </c>
      <c r="G10" s="38">
        <f>'SER_se-appl'!G38</f>
        <v>5.1183906786939417</v>
      </c>
      <c r="H10" s="38">
        <f>'SER_se-appl'!H38</f>
        <v>5.2513580338544301</v>
      </c>
      <c r="I10" s="38">
        <f>'SER_se-appl'!I38</f>
        <v>5.2186233178644912</v>
      </c>
      <c r="J10" s="38">
        <f>'SER_se-appl'!J38</f>
        <v>5.5082484808782368</v>
      </c>
      <c r="K10" s="38">
        <f>'SER_se-appl'!K38</f>
        <v>5.6141444307027868</v>
      </c>
      <c r="L10" s="38">
        <f>'SER_se-appl'!L38</f>
        <v>5.8166996862646343</v>
      </c>
      <c r="M10" s="38">
        <f>'SER_se-appl'!M38</f>
        <v>5.9700433862230682</v>
      </c>
      <c r="N10" s="38">
        <f>'SER_se-appl'!N38</f>
        <v>6.3273653134326722</v>
      </c>
      <c r="O10" s="38">
        <f>'SER_se-appl'!O38</f>
        <v>6.2282877556989078</v>
      </c>
      <c r="P10" s="38">
        <f>'SER_se-appl'!P38</f>
        <v>6.4491070599601414</v>
      </c>
      <c r="Q10" s="38">
        <f>'SER_se-appl'!Q38</f>
        <v>6.6015626311949234</v>
      </c>
      <c r="R10" s="38">
        <f>'SER_se-appl'!R38</f>
        <v>7.3565662000232095</v>
      </c>
      <c r="S10" s="38">
        <f>'SER_se-appl'!S38</f>
        <v>7.2165973446395526</v>
      </c>
      <c r="T10" s="38">
        <f>'SER_se-appl'!T38</f>
        <v>7.8095686181181563</v>
      </c>
      <c r="U10" s="38">
        <f>'SER_se-appl'!U38</f>
        <v>8.0460973638241526</v>
      </c>
      <c r="V10" s="38">
        <f>'SER_se-appl'!V38</f>
        <v>8.6756669007730167</v>
      </c>
      <c r="W10" s="38">
        <f>'SER_se-appl'!W38</f>
        <v>9.2281949482508097</v>
      </c>
      <c r="X10" s="38">
        <f>'SER_se-appl'!X38</f>
        <v>9.0250068021968914</v>
      </c>
      <c r="Y10" s="38">
        <f>'SER_se-appl'!Y38</f>
        <v>9.0134300537133001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2456.8355397178229</v>
      </c>
      <c r="C12" s="204">
        <f>'SER_se-appl'!C46</f>
        <v>2472.0087218896783</v>
      </c>
      <c r="D12" s="204">
        <f>'SER_se-appl'!D46</f>
        <v>2487.5292665626448</v>
      </c>
      <c r="E12" s="204">
        <f>'SER_se-appl'!E46</f>
        <v>2503.5142938949089</v>
      </c>
      <c r="F12" s="204">
        <f>'SER_se-appl'!F46</f>
        <v>2524.1313307850269</v>
      </c>
      <c r="G12" s="204">
        <f>'SER_se-appl'!G46</f>
        <v>2539.5032278905041</v>
      </c>
      <c r="H12" s="204">
        <f>'SER_se-appl'!H46</f>
        <v>2554.642035355238</v>
      </c>
      <c r="I12" s="204">
        <f>'SER_se-appl'!I46</f>
        <v>2566.0254341614177</v>
      </c>
      <c r="J12" s="204">
        <f>'SER_se-appl'!J46</f>
        <v>2572.6323026002588</v>
      </c>
      <c r="K12" s="204">
        <f>'SER_se-appl'!K46</f>
        <v>2584.3110840545464</v>
      </c>
      <c r="L12" s="204">
        <f>'SER_se-appl'!L46</f>
        <v>2596.5746962476514</v>
      </c>
      <c r="M12" s="204">
        <f>'SER_se-appl'!M46</f>
        <v>2606.192723752155</v>
      </c>
      <c r="N12" s="204">
        <f>'SER_se-appl'!N46</f>
        <v>2617.6267774315852</v>
      </c>
      <c r="O12" s="204">
        <f>'SER_se-appl'!O46</f>
        <v>2627.5991999967437</v>
      </c>
      <c r="P12" s="204">
        <f>'SER_se-appl'!P46</f>
        <v>2635.7464807611518</v>
      </c>
      <c r="Q12" s="204">
        <f>'SER_se-appl'!Q46</f>
        <v>2641.5906871351563</v>
      </c>
      <c r="R12" s="204">
        <f>'SER_se-appl'!R46</f>
        <v>2699.4615568938634</v>
      </c>
      <c r="S12" s="204">
        <f>'SER_se-appl'!S46</f>
        <v>2650.1958788831944</v>
      </c>
      <c r="T12" s="204">
        <f>'SER_se-appl'!T46</f>
        <v>2642.7736853737783</v>
      </c>
      <c r="U12" s="204">
        <f>'SER_se-appl'!U46</f>
        <v>2663.1733960202891</v>
      </c>
      <c r="V12" s="204">
        <f>'SER_se-appl'!V46</f>
        <v>2834.64688610237</v>
      </c>
      <c r="W12" s="204">
        <f>'SER_se-appl'!W46</f>
        <v>2906.3204772622453</v>
      </c>
      <c r="X12" s="204">
        <f>'SER_se-appl'!X46</f>
        <v>2768.7278038330742</v>
      </c>
      <c r="Y12" s="204">
        <f>'SER_se-appl'!Y46</f>
        <v>2699.9314671184884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37.4849364776667</v>
      </c>
      <c r="C14" s="59">
        <f>'SER_se-appl'!C54</f>
        <v>37.061193215073331</v>
      </c>
      <c r="D14" s="59">
        <f>'SER_se-appl'!D54</f>
        <v>36.378321349130779</v>
      </c>
      <c r="E14" s="59">
        <f>'SER_se-appl'!E54</f>
        <v>35.536401039472807</v>
      </c>
      <c r="F14" s="59">
        <f>'SER_se-appl'!F54</f>
        <v>34.614081204537314</v>
      </c>
      <c r="G14" s="59">
        <f>'SER_se-appl'!G54</f>
        <v>33.569794066898936</v>
      </c>
      <c r="H14" s="59">
        <f>'SER_se-appl'!H54</f>
        <v>32.438321532969645</v>
      </c>
      <c r="I14" s="59">
        <f>'SER_se-appl'!I54</f>
        <v>31.579470411716997</v>
      </c>
      <c r="J14" s="59">
        <f>'SER_se-appl'!J54</f>
        <v>30.842719394145341</v>
      </c>
      <c r="K14" s="59">
        <f>'SER_se-appl'!K54</f>
        <v>30.088872068604438</v>
      </c>
      <c r="L14" s="59">
        <f>'SER_se-appl'!L54</f>
        <v>29.245267137912744</v>
      </c>
      <c r="M14" s="59">
        <f>'SER_se-appl'!M54</f>
        <v>28.389325086627341</v>
      </c>
      <c r="N14" s="59">
        <f>'SER_se-appl'!N54</f>
        <v>27.41619416134424</v>
      </c>
      <c r="O14" s="59">
        <f>'SER_se-appl'!O54</f>
        <v>26.420365391902379</v>
      </c>
      <c r="P14" s="59">
        <f>'SER_se-appl'!P54</f>
        <v>25.289692050179301</v>
      </c>
      <c r="Q14" s="59">
        <f>'SER_se-appl'!Q54</f>
        <v>24.132022200783464</v>
      </c>
      <c r="R14" s="59">
        <f>'SER_se-appl'!R54</f>
        <v>22.878688451044507</v>
      </c>
      <c r="S14" s="59">
        <f>'SER_se-appl'!S54</f>
        <v>21.693593293690199</v>
      </c>
      <c r="T14" s="59">
        <f>'SER_se-appl'!T54</f>
        <v>20.394191282556609</v>
      </c>
      <c r="U14" s="59">
        <f>'SER_se-appl'!U54</f>
        <v>19.110683919654001</v>
      </c>
      <c r="V14" s="59">
        <f>'SER_se-appl'!V54</f>
        <v>17.83216866215033</v>
      </c>
      <c r="W14" s="59">
        <f>'SER_se-appl'!W54</f>
        <v>16.622241114076726</v>
      </c>
      <c r="X14" s="59">
        <f>'SER_se-appl'!X54</f>
        <v>15.601295068526197</v>
      </c>
      <c r="Y14" s="59">
        <f>'SER_se-appl'!Y54</f>
        <v>14.644076782238391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35.034454744352502</v>
      </c>
      <c r="D15" s="63">
        <f>'SER_se-appl'!D62</f>
        <v>33.58909678488638</v>
      </c>
      <c r="E15" s="63">
        <f>'SER_se-appl'!E62</f>
        <v>32.582976331523909</v>
      </c>
      <c r="F15" s="63">
        <f>'SER_se-appl'!F62</f>
        <v>32.049906543553696</v>
      </c>
      <c r="G15" s="63">
        <f>'SER_se-appl'!G62</f>
        <v>31.23668128879283</v>
      </c>
      <c r="H15" s="63">
        <f>'SER_se-appl'!H62</f>
        <v>30.657805950168502</v>
      </c>
      <c r="I15" s="63">
        <f>'SER_se-appl'!I62</f>
        <v>29.723172009787888</v>
      </c>
      <c r="J15" s="63">
        <f>'SER_se-appl'!J62</f>
        <v>29.136903343929252</v>
      </c>
      <c r="K15" s="63">
        <f>'SER_se-appl'!K62</f>
        <v>28.05268165492874</v>
      </c>
      <c r="L15" s="63">
        <f>'SER_se-appl'!L62</f>
        <v>27.174840644736811</v>
      </c>
      <c r="M15" s="63">
        <f>'SER_se-appl'!M62</f>
        <v>26.127110204372045</v>
      </c>
      <c r="N15" s="63">
        <f>'SER_se-appl'!N62</f>
        <v>25.0359040836071</v>
      </c>
      <c r="O15" s="63">
        <f>'SER_se-appl'!O62</f>
        <v>23.820710163610126</v>
      </c>
      <c r="P15" s="63">
        <f>'SER_se-appl'!P62</f>
        <v>22.4829875697272</v>
      </c>
      <c r="Q15" s="63">
        <f>'SER_se-appl'!Q62</f>
        <v>21.202950186563346</v>
      </c>
      <c r="R15" s="63">
        <f>'SER_se-appl'!R62</f>
        <v>19.668489729480328</v>
      </c>
      <c r="S15" s="63">
        <f>'SER_se-appl'!S62</f>
        <v>18.669085105172627</v>
      </c>
      <c r="T15" s="63">
        <f>'SER_se-appl'!T62</f>
        <v>17.115727310801265</v>
      </c>
      <c r="U15" s="63">
        <f>'SER_se-appl'!U62</f>
        <v>15.910509477574163</v>
      </c>
      <c r="V15" s="63">
        <f>'SER_se-appl'!V62</f>
        <v>14.855423135760555</v>
      </c>
      <c r="W15" s="63">
        <f>'SER_se-appl'!W62</f>
        <v>14.112651978972526</v>
      </c>
      <c r="X15" s="63">
        <f>'SER_se-appl'!X62</f>
        <v>13.369880822184498</v>
      </c>
      <c r="Y15" s="63">
        <f>'SER_se-appl'!Y62</f>
        <v>12.627109665396469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128.93682880372228</v>
      </c>
      <c r="C3" s="198">
        <f>'SER_se-appl'!C7</f>
        <v>129.63053803805988</v>
      </c>
      <c r="D3" s="198">
        <f>'SER_se-appl'!D7</f>
        <v>130.89507571948701</v>
      </c>
      <c r="E3" s="198">
        <f>'SER_se-appl'!E7</f>
        <v>131.80009363375049</v>
      </c>
      <c r="F3" s="198">
        <f>'SER_se-appl'!F7</f>
        <v>132.94307320780564</v>
      </c>
      <c r="G3" s="198">
        <f>'SER_se-appl'!G7</f>
        <v>134.53029529477425</v>
      </c>
      <c r="H3" s="198">
        <f>'SER_se-appl'!H7</f>
        <v>133.91701201271914</v>
      </c>
      <c r="I3" s="198">
        <f>'SER_se-appl'!I7</f>
        <v>134.55952184207615</v>
      </c>
      <c r="J3" s="198">
        <f>'SER_se-appl'!J7</f>
        <v>135.21741196631797</v>
      </c>
      <c r="K3" s="198">
        <f>'SER_se-appl'!K7</f>
        <v>135.07217258671275</v>
      </c>
      <c r="L3" s="198">
        <f>'SER_se-appl'!L7</f>
        <v>134.80387556504203</v>
      </c>
      <c r="M3" s="198">
        <f>'SER_se-appl'!M7</f>
        <v>134.38327313883991</v>
      </c>
      <c r="N3" s="198">
        <f>'SER_se-appl'!N7</f>
        <v>134.1000365223214</v>
      </c>
      <c r="O3" s="198">
        <f>'SER_se-appl'!O7</f>
        <v>134.14465872730784</v>
      </c>
      <c r="P3" s="198">
        <f>'SER_se-appl'!P7</f>
        <v>134.672580620378</v>
      </c>
      <c r="Q3" s="198">
        <f>'SER_se-appl'!Q7</f>
        <v>134.60562249642345</v>
      </c>
      <c r="R3" s="198">
        <f>'SER_se-appl'!R7</f>
        <v>133.62498829320788</v>
      </c>
      <c r="S3" s="198">
        <f>'SER_se-appl'!S7</f>
        <v>134.03123227325375</v>
      </c>
      <c r="T3" s="198">
        <f>'SER_se-appl'!T7</f>
        <v>134.00657421673449</v>
      </c>
      <c r="U3" s="198">
        <f>'SER_se-appl'!U7</f>
        <v>134.00507185184114</v>
      </c>
      <c r="V3" s="198">
        <f>'SER_se-appl'!V7</f>
        <v>133.86015049547652</v>
      </c>
      <c r="W3" s="198">
        <f>'SER_se-appl'!W7</f>
        <v>133.92703695188817</v>
      </c>
      <c r="X3" s="198">
        <f>'SER_se-appl'!X7</f>
        <v>133.51215054835581</v>
      </c>
      <c r="Y3" s="198">
        <f>'SER_se-appl'!Y7</f>
        <v>132.70836354350695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171.1798309346222</v>
      </c>
      <c r="C5" s="59">
        <f>'SER_se-appl'!C15</f>
        <v>172.1008170528124</v>
      </c>
      <c r="D5" s="59">
        <f>'SER_se-appl'!D15</f>
        <v>173.7796496138852</v>
      </c>
      <c r="E5" s="59">
        <f>'SER_se-appl'!E15</f>
        <v>174.98117453887193</v>
      </c>
      <c r="F5" s="59">
        <f>'SER_se-appl'!F15</f>
        <v>176.49862344826249</v>
      </c>
      <c r="G5" s="59">
        <f>'SER_se-appl'!G15</f>
        <v>178.60586007742288</v>
      </c>
      <c r="H5" s="59">
        <f>'SER_se-appl'!H15</f>
        <v>177.79164951003702</v>
      </c>
      <c r="I5" s="59">
        <f>'SER_se-appl'!I15</f>
        <v>178.64466198896633</v>
      </c>
      <c r="J5" s="59">
        <f>'SER_se-appl'!J15</f>
        <v>179.51809374067102</v>
      </c>
      <c r="K5" s="59">
        <f>'SER_se-appl'!K15</f>
        <v>179.32527022642338</v>
      </c>
      <c r="L5" s="59">
        <f>'SER_se-appl'!L15</f>
        <v>178.96907223989024</v>
      </c>
      <c r="M5" s="59">
        <f>'SER_se-appl'!M15</f>
        <v>178.41066970373379</v>
      </c>
      <c r="N5" s="59">
        <f>'SER_se-appl'!N15</f>
        <v>178.03463752906373</v>
      </c>
      <c r="O5" s="59">
        <f>'SER_se-appl'!O15</f>
        <v>178.09387910942814</v>
      </c>
      <c r="P5" s="59">
        <f>'SER_se-appl'!P15</f>
        <v>178.79476171404067</v>
      </c>
      <c r="Q5" s="59">
        <f>'SER_se-appl'!Q15</f>
        <v>178.70586639650739</v>
      </c>
      <c r="R5" s="59">
        <f>'SER_se-appl'!R15</f>
        <v>177.40395135274068</v>
      </c>
      <c r="S5" s="59">
        <f>'SER_se-appl'!S15</f>
        <v>177.94329124862347</v>
      </c>
      <c r="T5" s="59">
        <f>'SER_se-appl'!T15</f>
        <v>177.91055458226279</v>
      </c>
      <c r="U5" s="59">
        <f>'SER_se-appl'!U15</f>
        <v>177.90856000421377</v>
      </c>
      <c r="V5" s="59">
        <f>'SER_se-appl'!V15</f>
        <v>177.71615870575252</v>
      </c>
      <c r="W5" s="59">
        <f>'SER_se-appl'!W15</f>
        <v>177.80495887562316</v>
      </c>
      <c r="X5" s="59">
        <f>'SER_se-appl'!X15</f>
        <v>177.2541450773262</v>
      </c>
      <c r="Y5" s="59">
        <f>'SER_se-appl'!Y15</f>
        <v>176.18701689623123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3.0666442777349864E-2</v>
      </c>
      <c r="C6" s="201">
        <f>'SER_se-appl'!C71</f>
        <v>3.1024836967959206E-2</v>
      </c>
      <c r="D6" s="201">
        <f>'SER_se-appl'!D71</f>
        <v>3.1589795374092768E-2</v>
      </c>
      <c r="E6" s="201">
        <f>'SER_se-appl'!E71</f>
        <v>3.2090918227836586E-2</v>
      </c>
      <c r="F6" s="201">
        <f>'SER_se-appl'!F71</f>
        <v>3.2696568239619882E-2</v>
      </c>
      <c r="G6" s="201">
        <f>'SER_se-appl'!G71</f>
        <v>3.3478316883680165E-2</v>
      </c>
      <c r="H6" s="201">
        <f>'SER_se-appl'!H71</f>
        <v>3.3721192670016602E-2</v>
      </c>
      <c r="I6" s="201">
        <f>'SER_se-appl'!I71</f>
        <v>3.4276735886068263E-2</v>
      </c>
      <c r="J6" s="201">
        <f>'SER_se-appl'!J71</f>
        <v>3.4903568960170682E-2</v>
      </c>
      <c r="K6" s="201">
        <f>'SER_se-appl'!K71</f>
        <v>3.5381207348199765E-2</v>
      </c>
      <c r="L6" s="201">
        <f>'SER_se-appl'!L71</f>
        <v>3.5879174495749726E-2</v>
      </c>
      <c r="M6" s="201">
        <f>'SER_se-appl'!M71</f>
        <v>3.6107022776739037E-2</v>
      </c>
      <c r="N6" s="201">
        <f>'SER_se-appl'!N71</f>
        <v>3.6419729883307612E-2</v>
      </c>
      <c r="O6" s="201">
        <f>'SER_se-appl'!O71</f>
        <v>3.6849074541454432E-2</v>
      </c>
      <c r="P6" s="201">
        <f>'SER_se-appl'!P71</f>
        <v>3.7446533354211956E-2</v>
      </c>
      <c r="Q6" s="201">
        <f>'SER_se-appl'!Q71</f>
        <v>3.7864976936059634E-2</v>
      </c>
      <c r="R6" s="201">
        <f>'SER_se-appl'!R71</f>
        <v>3.7883181383041996E-2</v>
      </c>
      <c r="S6" s="201">
        <f>'SER_se-appl'!S71</f>
        <v>3.828461421756927E-2</v>
      </c>
      <c r="T6" s="201">
        <f>'SER_se-appl'!T71</f>
        <v>3.8646208994192528E-2</v>
      </c>
      <c r="U6" s="201">
        <f>'SER_se-appl'!U71</f>
        <v>3.9035820306341874E-2</v>
      </c>
      <c r="V6" s="201">
        <f>'SER_se-appl'!V71</f>
        <v>3.9430102836673205E-2</v>
      </c>
      <c r="W6" s="201">
        <f>'SER_se-appl'!W71</f>
        <v>3.9932274861612153E-2</v>
      </c>
      <c r="X6" s="201">
        <f>'SER_se-appl'!X71</f>
        <v>4.0287595798054687E-2</v>
      </c>
      <c r="Y6" s="201">
        <f>'SER_se-appl'!Y71</f>
        <v>4.0538199982485763E-2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271.7484133547203</v>
      </c>
      <c r="C8" s="34">
        <f>'SER_se-appl'!C23</f>
        <v>275.58717362029228</v>
      </c>
      <c r="D8" s="34">
        <f>'SER_se-appl'!D23</f>
        <v>281.43753048160039</v>
      </c>
      <c r="E8" s="34">
        <f>'SER_se-appl'!E23</f>
        <v>286.91809660042264</v>
      </c>
      <c r="F8" s="34">
        <f>'SER_se-appl'!F23</f>
        <v>293.47360665130901</v>
      </c>
      <c r="G8" s="34">
        <f>'SER_se-appl'!G23</f>
        <v>301.68623693906039</v>
      </c>
      <c r="H8" s="34">
        <f>'SER_se-appl'!H23</f>
        <v>305.10098842252802</v>
      </c>
      <c r="I8" s="34">
        <f>'SER_se-appl'!I23</f>
        <v>312.3727032508628</v>
      </c>
      <c r="J8" s="34">
        <f>'SER_se-appl'!J23</f>
        <v>320.5169258007133</v>
      </c>
      <c r="K8" s="34">
        <f>'SER_se-appl'!K23</f>
        <v>327.50073249388686</v>
      </c>
      <c r="L8" s="34">
        <f>'SER_se-appl'!L23</f>
        <v>335.1359593873085</v>
      </c>
      <c r="M8" s="34">
        <f>'SER_se-appl'!M23</f>
        <v>339.96820044598076</v>
      </c>
      <c r="N8" s="34">
        <f>'SER_se-appl'!N23</f>
        <v>345.36301762257301</v>
      </c>
      <c r="O8" s="34">
        <f>'SER_se-appl'!O23</f>
        <v>352.12581346716263</v>
      </c>
      <c r="P8" s="34">
        <f>'SER_se-appl'!P23</f>
        <v>361.16672147283816</v>
      </c>
      <c r="Q8" s="34">
        <f>'SER_se-appl'!Q23</f>
        <v>369.08337226258556</v>
      </c>
      <c r="R8" s="34">
        <f>'SER_se-appl'!R23</f>
        <v>373.18786381843023</v>
      </c>
      <c r="S8" s="34">
        <f>'SER_se-appl'!S23</f>
        <v>382.66057665058014</v>
      </c>
      <c r="T8" s="34">
        <f>'SER_se-appl'!T23</f>
        <v>391.10898740380497</v>
      </c>
      <c r="U8" s="34">
        <f>'SER_se-appl'!U23</f>
        <v>399.34366336063408</v>
      </c>
      <c r="V8" s="34">
        <f>'SER_se-appl'!V23</f>
        <v>407.21789632489498</v>
      </c>
      <c r="W8" s="34">
        <f>'SER_se-appl'!W23</f>
        <v>414.46886080975673</v>
      </c>
      <c r="X8" s="34">
        <f>'SER_se-appl'!X23</f>
        <v>421.09908503749773</v>
      </c>
      <c r="Y8" s="34">
        <f>'SER_se-appl'!Y23</f>
        <v>426.52494125492302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28.536099138294759</v>
      </c>
      <c r="D9" s="36">
        <f>'SER_se-appl'!D31</f>
        <v>31.067925053838678</v>
      </c>
      <c r="E9" s="36">
        <f>'SER_se-appl'!E31</f>
        <v>31.229321837896293</v>
      </c>
      <c r="F9" s="36">
        <f>'SER_se-appl'!F31</f>
        <v>32.846642328935559</v>
      </c>
      <c r="G9" s="36">
        <f>'SER_se-appl'!G31</f>
        <v>35.057563845058723</v>
      </c>
      <c r="H9" s="36">
        <f>'SER_se-appl'!H31</f>
        <v>30.825151692740008</v>
      </c>
      <c r="I9" s="36">
        <f>'SER_se-appl'!I31</f>
        <v>35.259492783850021</v>
      </c>
      <c r="J9" s="36">
        <f>'SER_se-appl'!J31</f>
        <v>36.721540243382208</v>
      </c>
      <c r="K9" s="36">
        <f>'SER_se-appl'!K31</f>
        <v>36.163082298942413</v>
      </c>
      <c r="L9" s="36">
        <f>'SER_se-appl'!L31</f>
        <v>37.429140164369812</v>
      </c>
      <c r="M9" s="36">
        <f>'SER_se-appl'!M31</f>
        <v>33.368340196966983</v>
      </c>
      <c r="N9" s="36">
        <f>'SER_se-appl'!N31</f>
        <v>36.462742230430933</v>
      </c>
      <c r="O9" s="36">
        <f>'SER_se-appl'!O31</f>
        <v>37.992117682485912</v>
      </c>
      <c r="P9" s="36">
        <f>'SER_se-appl'!P31</f>
        <v>41.887550334611092</v>
      </c>
      <c r="Q9" s="36">
        <f>'SER_se-appl'!Q31</f>
        <v>42.974214634806117</v>
      </c>
      <c r="R9" s="36">
        <f>'SER_se-appl'!R31</f>
        <v>34.929643248584682</v>
      </c>
      <c r="S9" s="36">
        <f>'SER_se-appl'!S31</f>
        <v>44.732205615999931</v>
      </c>
      <c r="T9" s="36">
        <f>'SER_se-appl'!T31</f>
        <v>45.169950996607042</v>
      </c>
      <c r="U9" s="36">
        <f>'SER_se-appl'!U31</f>
        <v>44.397758255771521</v>
      </c>
      <c r="V9" s="36">
        <f>'SER_se-appl'!V31</f>
        <v>45.30337312863071</v>
      </c>
      <c r="W9" s="36">
        <f>'SER_se-appl'!W31</f>
        <v>40.619304681828737</v>
      </c>
      <c r="X9" s="36">
        <f>'SER_se-appl'!X31</f>
        <v>43.092966458171929</v>
      </c>
      <c r="Y9" s="36">
        <f>'SER_se-appl'!Y31</f>
        <v>43.417973899911203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24.69733887272281</v>
      </c>
      <c r="D10" s="38">
        <f>'SER_se-appl'!D39</f>
        <v>25.217568192530564</v>
      </c>
      <c r="E10" s="38">
        <f>'SER_se-appl'!E39</f>
        <v>25.74875571907404</v>
      </c>
      <c r="F10" s="38">
        <f>'SER_se-appl'!F39</f>
        <v>26.29113227804919</v>
      </c>
      <c r="G10" s="38">
        <f>'SER_se-appl'!G39</f>
        <v>26.844933557307343</v>
      </c>
      <c r="H10" s="38">
        <f>'SER_se-appl'!H39</f>
        <v>27.410400209272382</v>
      </c>
      <c r="I10" s="38">
        <f>'SER_se-appl'!I39</f>
        <v>27.987777955515242</v>
      </c>
      <c r="J10" s="38">
        <f>'SER_se-appl'!J39</f>
        <v>28.577317693531711</v>
      </c>
      <c r="K10" s="38">
        <f>'SER_se-appl'!K39</f>
        <v>29.179275605768851</v>
      </c>
      <c r="L10" s="38">
        <f>'SER_se-appl'!L39</f>
        <v>29.793913270948167</v>
      </c>
      <c r="M10" s="38">
        <f>'SER_se-appl'!M39</f>
        <v>28.53609913829473</v>
      </c>
      <c r="N10" s="38">
        <f>'SER_se-appl'!N39</f>
        <v>31.067925053838678</v>
      </c>
      <c r="O10" s="38">
        <f>'SER_se-appl'!O39</f>
        <v>31.229321837896293</v>
      </c>
      <c r="P10" s="38">
        <f>'SER_se-appl'!P39</f>
        <v>32.846642328935559</v>
      </c>
      <c r="Q10" s="38">
        <f>'SER_se-appl'!Q39</f>
        <v>35.057563845058723</v>
      </c>
      <c r="R10" s="38">
        <f>'SER_se-appl'!R39</f>
        <v>30.825151692740008</v>
      </c>
      <c r="S10" s="38">
        <f>'SER_se-appl'!S39</f>
        <v>35.259492783850021</v>
      </c>
      <c r="T10" s="38">
        <f>'SER_se-appl'!T39</f>
        <v>36.721540243382208</v>
      </c>
      <c r="U10" s="38">
        <f>'SER_se-appl'!U39</f>
        <v>36.163082298942413</v>
      </c>
      <c r="V10" s="38">
        <f>'SER_se-appl'!V39</f>
        <v>37.429140164369812</v>
      </c>
      <c r="W10" s="38">
        <f>'SER_se-appl'!W39</f>
        <v>33.368340196966983</v>
      </c>
      <c r="X10" s="38">
        <f>'SER_se-appl'!X39</f>
        <v>36.462742230430933</v>
      </c>
      <c r="Y10" s="38">
        <f>'SER_se-appl'!Y39</f>
        <v>37.992117682485912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8759.9999999999982</v>
      </c>
      <c r="C12" s="204">
        <f>'SER_se-appl'!C47</f>
        <v>8760</v>
      </c>
      <c r="D12" s="204">
        <f>'SER_se-appl'!D47</f>
        <v>8759.9999999999964</v>
      </c>
      <c r="E12" s="204">
        <f>'SER_se-appl'!E47</f>
        <v>8760.0000000000018</v>
      </c>
      <c r="F12" s="204">
        <f>'SER_se-appl'!F47</f>
        <v>8760</v>
      </c>
      <c r="G12" s="204">
        <f>'SER_se-appl'!G47</f>
        <v>8760</v>
      </c>
      <c r="H12" s="204">
        <f>'SER_se-appl'!H47</f>
        <v>8759.9999999999964</v>
      </c>
      <c r="I12" s="204">
        <f>'SER_se-appl'!I47</f>
        <v>8760.0000000000036</v>
      </c>
      <c r="J12" s="204">
        <f>'SER_se-appl'!J47</f>
        <v>8760</v>
      </c>
      <c r="K12" s="204">
        <f>'SER_se-appl'!K47</f>
        <v>8760.0000000000018</v>
      </c>
      <c r="L12" s="204">
        <f>'SER_se-appl'!L47</f>
        <v>8760.0000000000018</v>
      </c>
      <c r="M12" s="204">
        <f>'SER_se-appl'!M47</f>
        <v>8760.0000000000018</v>
      </c>
      <c r="N12" s="204">
        <f>'SER_se-appl'!N47</f>
        <v>8759.9999999999982</v>
      </c>
      <c r="O12" s="204">
        <f>'SER_se-appl'!O47</f>
        <v>8759.9999999999982</v>
      </c>
      <c r="P12" s="204">
        <f>'SER_se-appl'!P47</f>
        <v>8760</v>
      </c>
      <c r="Q12" s="204">
        <f>'SER_se-appl'!Q47</f>
        <v>8760</v>
      </c>
      <c r="R12" s="204">
        <f>'SER_se-appl'!R47</f>
        <v>8759.9999999999964</v>
      </c>
      <c r="S12" s="204">
        <f>'SER_se-appl'!S47</f>
        <v>8759.9999999999982</v>
      </c>
      <c r="T12" s="204">
        <f>'SER_se-appl'!T47</f>
        <v>8760</v>
      </c>
      <c r="U12" s="204">
        <f>'SER_se-appl'!U47</f>
        <v>8760</v>
      </c>
      <c r="V12" s="204">
        <f>'SER_se-appl'!V47</f>
        <v>8759.9999999999982</v>
      </c>
      <c r="W12" s="204">
        <f>'SER_se-appl'!W47</f>
        <v>8760.0000000000018</v>
      </c>
      <c r="X12" s="204">
        <f>'SER_se-appl'!X47</f>
        <v>8760.0000000000018</v>
      </c>
      <c r="Y12" s="204">
        <f>'SER_se-appl'!Y47</f>
        <v>8760.0000000000018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629.92025904186869</v>
      </c>
      <c r="C14" s="59">
        <f>'SER_se-appl'!C55</f>
        <v>624.48776113918575</v>
      </c>
      <c r="D14" s="59">
        <f>'SER_se-appl'!D55</f>
        <v>617.47148405015741</v>
      </c>
      <c r="E14" s="59">
        <f>'SER_se-appl'!E55</f>
        <v>609.86454536034364</v>
      </c>
      <c r="F14" s="59">
        <f>'SER_se-appl'!F55</f>
        <v>601.41225462216619</v>
      </c>
      <c r="G14" s="59">
        <f>'SER_se-appl'!G55</f>
        <v>592.02521762204435</v>
      </c>
      <c r="H14" s="59">
        <f>'SER_se-appl'!H55</f>
        <v>582.73049336640315</v>
      </c>
      <c r="I14" s="59">
        <f>'SER_se-appl'!I55</f>
        <v>571.89587992104077</v>
      </c>
      <c r="J14" s="59">
        <f>'SER_se-appl'!J55</f>
        <v>560.08927856836294</v>
      </c>
      <c r="K14" s="59">
        <f>'SER_se-appl'!K55</f>
        <v>547.55685234924078</v>
      </c>
      <c r="L14" s="59">
        <f>'SER_se-appl'!L55</f>
        <v>534.01930538005922</v>
      </c>
      <c r="M14" s="59">
        <f>'SER_se-appl'!M55</f>
        <v>524.78634610439792</v>
      </c>
      <c r="N14" s="59">
        <f>'SER_se-appl'!N55</f>
        <v>515.50000563067624</v>
      </c>
      <c r="O14" s="59">
        <f>'SER_se-appl'!O55</f>
        <v>505.76774635136547</v>
      </c>
      <c r="P14" s="59">
        <f>'SER_se-appl'!P55</f>
        <v>495.0477191943807</v>
      </c>
      <c r="Q14" s="59">
        <f>'SER_se-appl'!Q55</f>
        <v>484.18834286949817</v>
      </c>
      <c r="R14" s="59">
        <f>'SER_se-appl'!R55</f>
        <v>475.37438526954423</v>
      </c>
      <c r="S14" s="59">
        <f>'SER_se-appl'!S55</f>
        <v>465.01600140301173</v>
      </c>
      <c r="T14" s="59">
        <f>'SER_se-appl'!T55</f>
        <v>454.88741070165435</v>
      </c>
      <c r="U14" s="59">
        <f>'SER_se-appl'!U55</f>
        <v>445.50239887880832</v>
      </c>
      <c r="V14" s="59">
        <f>'SER_se-appl'!V55</f>
        <v>436.41539409152915</v>
      </c>
      <c r="W14" s="59">
        <f>'SER_se-appl'!W55</f>
        <v>428.99473443732728</v>
      </c>
      <c r="X14" s="59">
        <f>'SER_se-appl'!X55</f>
        <v>420.93215439198161</v>
      </c>
      <c r="Y14" s="59">
        <f>'SER_se-appl'!Y55</f>
        <v>413.07553170947807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577.45594934617395</v>
      </c>
      <c r="D15" s="63">
        <f>'SER_se-appl'!D63</f>
        <v>565.33835519689774</v>
      </c>
      <c r="E15" s="63">
        <f>'SER_se-appl'!E63</f>
        <v>557.84713763496723</v>
      </c>
      <c r="F15" s="63">
        <f>'SER_se-appl'!F63</f>
        <v>550.39920316474058</v>
      </c>
      <c r="G15" s="63">
        <f>'SER_se-appl'!G63</f>
        <v>542.46222622858124</v>
      </c>
      <c r="H15" s="63">
        <f>'SER_se-appl'!H63</f>
        <v>533.72505663143716</v>
      </c>
      <c r="I15" s="63">
        <f>'SER_se-appl'!I63</f>
        <v>524.20155139439771</v>
      </c>
      <c r="J15" s="63">
        <f>'SER_se-appl'!J63</f>
        <v>513.99976664479755</v>
      </c>
      <c r="K15" s="63">
        <f>'SER_se-appl'!K63</f>
        <v>502.93813960997102</v>
      </c>
      <c r="L15" s="63">
        <f>'SER_se-appl'!L63</f>
        <v>491.90527749553155</v>
      </c>
      <c r="M15" s="63">
        <f>'SER_se-appl'!M63</f>
        <v>477.0970802986219</v>
      </c>
      <c r="N15" s="63">
        <f>'SER_se-appl'!N63</f>
        <v>471.38137241644517</v>
      </c>
      <c r="O15" s="63">
        <f>'SER_se-appl'!O63</f>
        <v>460.10673908747088</v>
      </c>
      <c r="P15" s="63">
        <f>'SER_se-appl'!P63</f>
        <v>448.33484457978864</v>
      </c>
      <c r="Q15" s="63">
        <f>'SER_se-appl'!Q63</f>
        <v>440.46200664426141</v>
      </c>
      <c r="R15" s="63">
        <f>'SER_se-appl'!R63</f>
        <v>433.73591540266989</v>
      </c>
      <c r="S15" s="63">
        <f>'SER_se-appl'!S63</f>
        <v>425.2511239408359</v>
      </c>
      <c r="T15" s="63">
        <f>'SER_se-appl'!T63</f>
        <v>417.13851872433213</v>
      </c>
      <c r="U15" s="63">
        <f>'SER_se-appl'!U63</f>
        <v>409.61074320862275</v>
      </c>
      <c r="V15" s="63">
        <f>'SER_se-appl'!V63</f>
        <v>402.15968530162468</v>
      </c>
      <c r="W15" s="63">
        <f>'SER_se-appl'!W63</f>
        <v>394.11649159559215</v>
      </c>
      <c r="X15" s="63">
        <f>'SER_se-appl'!X63</f>
        <v>386.07329788955968</v>
      </c>
      <c r="Y15" s="63">
        <f>'SER_se-appl'!Y63</f>
        <v>378.03010418352716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66.838766374684909</v>
      </c>
      <c r="C3" s="198">
        <f>'SER_se-appl'!C8</f>
        <v>72.906995676802538</v>
      </c>
      <c r="D3" s="198">
        <f>'SER_se-appl'!D8</f>
        <v>78.73914588309519</v>
      </c>
      <c r="E3" s="198">
        <f>'SER_se-appl'!E8</f>
        <v>83.515689076800101</v>
      </c>
      <c r="F3" s="198">
        <f>'SER_se-appl'!F8</f>
        <v>89.254422467268228</v>
      </c>
      <c r="G3" s="198">
        <f>'SER_se-appl'!G8</f>
        <v>93.676697848178407</v>
      </c>
      <c r="H3" s="198">
        <f>'SER_se-appl'!H8</f>
        <v>97.523875884028286</v>
      </c>
      <c r="I3" s="198">
        <f>'SER_se-appl'!I8</f>
        <v>101.12358981463868</v>
      </c>
      <c r="J3" s="198">
        <f>'SER_se-appl'!J8</f>
        <v>104.35141739551952</v>
      </c>
      <c r="K3" s="198">
        <f>'SER_se-appl'!K8</f>
        <v>107.43152790884706</v>
      </c>
      <c r="L3" s="198">
        <f>'SER_se-appl'!L8</f>
        <v>109.9532202529677</v>
      </c>
      <c r="M3" s="198">
        <f>'SER_se-appl'!M8</f>
        <v>111.23464416544311</v>
      </c>
      <c r="N3" s="198">
        <f>'SER_se-appl'!N8</f>
        <v>112.32735167984791</v>
      </c>
      <c r="O3" s="198">
        <f>'SER_se-appl'!O8</f>
        <v>113.5305887013543</v>
      </c>
      <c r="P3" s="198">
        <f>'SER_se-appl'!P8</f>
        <v>113.67985669829052</v>
      </c>
      <c r="Q3" s="198">
        <f>'SER_se-appl'!Q8</f>
        <v>113.83116896668119</v>
      </c>
      <c r="R3" s="198">
        <f>'SER_se-appl'!R8</f>
        <v>117.80610681446309</v>
      </c>
      <c r="S3" s="198">
        <f>'SER_se-appl'!S8</f>
        <v>117.4761103296098</v>
      </c>
      <c r="T3" s="198">
        <f>'SER_se-appl'!T8</f>
        <v>118.71021589404859</v>
      </c>
      <c r="U3" s="198">
        <f>'SER_se-appl'!U8</f>
        <v>120.14038234821201</v>
      </c>
      <c r="V3" s="198">
        <f>'SER_se-appl'!V8</f>
        <v>129.28584201362094</v>
      </c>
      <c r="W3" s="198">
        <f>'SER_se-appl'!W8</f>
        <v>134.03110177799417</v>
      </c>
      <c r="X3" s="198">
        <f>'SER_se-appl'!X8</f>
        <v>128.99131187464181</v>
      </c>
      <c r="Y3" s="198">
        <f>'SER_se-appl'!Y8</f>
        <v>126.61501245134802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926.4866174340176</v>
      </c>
      <c r="C5" s="59">
        <f>'SER_se-appl'!C16</f>
        <v>1005.79690070112</v>
      </c>
      <c r="D5" s="59">
        <f>'SER_se-appl'!D16</f>
        <v>1081.5394421147114</v>
      </c>
      <c r="E5" s="59">
        <f>'SER_se-appl'!E16</f>
        <v>1142.5668674457781</v>
      </c>
      <c r="F5" s="59">
        <f>'SER_se-appl'!F16</f>
        <v>1216.5614969345925</v>
      </c>
      <c r="G5" s="59">
        <f>'SER_se-appl'!G16</f>
        <v>1272.4412370617265</v>
      </c>
      <c r="H5" s="59">
        <f>'SER_se-appl'!H16</f>
        <v>1320.430899949547</v>
      </c>
      <c r="I5" s="59">
        <f>'SER_se-appl'!I16</f>
        <v>1365.0254771138159</v>
      </c>
      <c r="J5" s="59">
        <f>'SER_se-appl'!J16</f>
        <v>1404.5766751155468</v>
      </c>
      <c r="K5" s="59">
        <f>'SER_se-appl'!K16</f>
        <v>1442.1312813756579</v>
      </c>
      <c r="L5" s="59">
        <f>'SER_se-appl'!L16</f>
        <v>1472.2012373855243</v>
      </c>
      <c r="M5" s="59">
        <f>'SER_se-appl'!M16</f>
        <v>1486.9384268256288</v>
      </c>
      <c r="N5" s="59">
        <f>'SER_se-appl'!N16</f>
        <v>1499.2186934336951</v>
      </c>
      <c r="O5" s="59">
        <f>'SER_se-appl'!O16</f>
        <v>1513.0345794066079</v>
      </c>
      <c r="P5" s="59">
        <f>'SER_se-appl'!P16</f>
        <v>1512.8761197477618</v>
      </c>
      <c r="Q5" s="59">
        <f>'SER_se-appl'!Q16</f>
        <v>1512.8298571941127</v>
      </c>
      <c r="R5" s="59">
        <f>'SER_se-appl'!R16</f>
        <v>1532.2775936872131</v>
      </c>
      <c r="S5" s="59">
        <f>'SER_se-appl'!S16</f>
        <v>1553.3733477017372</v>
      </c>
      <c r="T5" s="59">
        <f>'SER_se-appl'!T16</f>
        <v>1573.3061690408654</v>
      </c>
      <c r="U5" s="59">
        <f>'SER_se-appl'!U16</f>
        <v>1588.3274451823233</v>
      </c>
      <c r="V5" s="59">
        <f>'SER_se-appl'!V16</f>
        <v>1605.8407568253858</v>
      </c>
      <c r="W5" s="59">
        <f>'SER_se-appl'!W16</f>
        <v>1623.7253088830385</v>
      </c>
      <c r="X5" s="59">
        <f>'SER_se-appl'!X16</f>
        <v>1636.5230614471736</v>
      </c>
      <c r="Y5" s="59">
        <f>'SER_se-appl'!Y16</f>
        <v>1645.2524363857995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128.5988856369199</v>
      </c>
      <c r="C6" s="201">
        <f>'SER_se-appl'!C72</f>
        <v>138.82050759253184</v>
      </c>
      <c r="D6" s="201">
        <f>'SER_se-appl'!D72</f>
        <v>148.60795609723331</v>
      </c>
      <c r="E6" s="201">
        <f>'SER_se-appl'!E72</f>
        <v>156.43694544962409</v>
      </c>
      <c r="F6" s="201">
        <f>'SER_se-appl'!F72</f>
        <v>165.61370754336357</v>
      </c>
      <c r="G6" s="201">
        <f>'SER_se-appl'!G72</f>
        <v>172.36627475770263</v>
      </c>
      <c r="H6" s="201">
        <f>'SER_se-appl'!H72</f>
        <v>177.23493997238543</v>
      </c>
      <c r="I6" s="201">
        <f>'SER_se-appl'!I72</f>
        <v>181.75794128926879</v>
      </c>
      <c r="J6" s="201">
        <f>'SER_se-appl'!J72</f>
        <v>186.63140669465793</v>
      </c>
      <c r="K6" s="201">
        <f>'SER_se-appl'!K72</f>
        <v>191.10158420381327</v>
      </c>
      <c r="L6" s="201">
        <f>'SER_se-appl'!L72</f>
        <v>194.26649682223265</v>
      </c>
      <c r="M6" s="201">
        <f>'SER_se-appl'!M72</f>
        <v>196.220056674305</v>
      </c>
      <c r="N6" s="201">
        <f>'SER_se-appl'!N72</f>
        <v>198.59329646072575</v>
      </c>
      <c r="O6" s="201">
        <f>'SER_se-appl'!O72</f>
        <v>200.46036245962247</v>
      </c>
      <c r="P6" s="201">
        <f>'SER_se-appl'!P72</f>
        <v>201.70339870281742</v>
      </c>
      <c r="Q6" s="201">
        <f>'SER_se-appl'!Q72</f>
        <v>203.12504023161645</v>
      </c>
      <c r="R6" s="201">
        <f>'SER_se-appl'!R72</f>
        <v>206.71264577299729</v>
      </c>
      <c r="S6" s="201">
        <f>'SER_se-appl'!S72</f>
        <v>210.29610015541036</v>
      </c>
      <c r="T6" s="201">
        <f>'SER_se-appl'!T72</f>
        <v>213.89735772304289</v>
      </c>
      <c r="U6" s="201">
        <f>'SER_se-appl'!U72</f>
        <v>217.52973408951138</v>
      </c>
      <c r="V6" s="201">
        <f>'SER_se-appl'!V72</f>
        <v>221.21801438341748</v>
      </c>
      <c r="W6" s="201">
        <f>'SER_se-appl'!W72</f>
        <v>224.9236639292449</v>
      </c>
      <c r="X6" s="201">
        <f>'SER_se-appl'!X72</f>
        <v>227.9328270264846</v>
      </c>
      <c r="Y6" s="201">
        <f>'SER_se-appl'!Y72</f>
        <v>230.36911778888023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20.922407684302129</v>
      </c>
      <c r="C8" s="34">
        <f>'SER_se-appl'!C24</f>
        <v>22.869994191091592</v>
      </c>
      <c r="D8" s="34">
        <f>'SER_se-appl'!D24</f>
        <v>24.755132663250727</v>
      </c>
      <c r="E8" s="34">
        <f>'SER_se-appl'!E24</f>
        <v>26.304313241016846</v>
      </c>
      <c r="F8" s="34">
        <f>'SER_se-appl'!F24</f>
        <v>28.194182907571015</v>
      </c>
      <c r="G8" s="34">
        <f>'SER_se-appl'!G24</f>
        <v>29.661138887723258</v>
      </c>
      <c r="H8" s="34">
        <f>'SER_se-appl'!H24</f>
        <v>30.954131948573767</v>
      </c>
      <c r="I8" s="34">
        <f>'SER_se-appl'!I24</f>
        <v>32.191574172796244</v>
      </c>
      <c r="J8" s="34">
        <f>'SER_se-appl'!J24</f>
        <v>33.334300422454646</v>
      </c>
      <c r="K8" s="34">
        <f>'SER_se-appl'!K24</f>
        <v>34.466499883846211</v>
      </c>
      <c r="L8" s="34">
        <f>'SER_se-appl'!L24</f>
        <v>35.461178762252523</v>
      </c>
      <c r="M8" s="34">
        <f>'SER_se-appl'!M24</f>
        <v>36.147802642143574</v>
      </c>
      <c r="N8" s="34">
        <f>'SER_se-appl'!N24</f>
        <v>36.865610738821971</v>
      </c>
      <c r="O8" s="34">
        <f>'SER_se-appl'!O24</f>
        <v>37.742203681330992</v>
      </c>
      <c r="P8" s="34">
        <f>'SER_se-appl'!P24</f>
        <v>38.374513717398813</v>
      </c>
      <c r="Q8" s="34">
        <f>'SER_se-appl'!Q24</f>
        <v>39.160617837725738</v>
      </c>
      <c r="R8" s="34">
        <f>'SER_se-appl'!R24</f>
        <v>40.32963220313853</v>
      </c>
      <c r="S8" s="34">
        <f>'SER_se-appl'!S24</f>
        <v>41.584151740951405</v>
      </c>
      <c r="T8" s="34">
        <f>'SER_se-appl'!T24</f>
        <v>42.771462085766096</v>
      </c>
      <c r="U8" s="34">
        <f>'SER_se-appl'!U24</f>
        <v>43.948660835499275</v>
      </c>
      <c r="V8" s="34">
        <f>'SER_se-appl'!V24</f>
        <v>45.14963345410176</v>
      </c>
      <c r="W8" s="34">
        <f>'SER_se-appl'!W24</f>
        <v>46.363636284755664</v>
      </c>
      <c r="X8" s="34">
        <f>'SER_se-appl'!X24</f>
        <v>47.445026652646547</v>
      </c>
      <c r="Y8" s="34">
        <f>'SER_se-appl'!Y24</f>
        <v>48.416628209873792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2.543508032629731</v>
      </c>
      <c r="D9" s="36">
        <f>'SER_se-appl'!D32</f>
        <v>2.5481199269398793</v>
      </c>
      <c r="E9" s="36">
        <f>'SER_se-appl'!E32</f>
        <v>2.2867683142779356</v>
      </c>
      <c r="F9" s="36">
        <f>'SER_se-appl'!F32</f>
        <v>2.7104592398063261</v>
      </c>
      <c r="G9" s="36">
        <f>'SER_se-appl'!G32</f>
        <v>2.379887709351852</v>
      </c>
      <c r="H9" s="36">
        <f>'SER_se-appl'!H32</f>
        <v>2.3086583451122706</v>
      </c>
      <c r="I9" s="36">
        <f>'SER_se-appl'!I32</f>
        <v>2.3674018221421704</v>
      </c>
      <c r="J9" s="36">
        <f>'SER_se-appl'!J32</f>
        <v>2.3998418690613903</v>
      </c>
      <c r="K9" s="36">
        <f>'SER_se-appl'!K32</f>
        <v>2.5307801570699233</v>
      </c>
      <c r="L9" s="36">
        <f>'SER_se-appl'!L32</f>
        <v>2.5506439242094032</v>
      </c>
      <c r="M9" s="36">
        <f>'SER_se-appl'!M32</f>
        <v>2.4176839690529093</v>
      </c>
      <c r="N9" s="36">
        <f>'SER_se-appl'!N32</f>
        <v>2.6436669328853526</v>
      </c>
      <c r="O9" s="36">
        <f>'SER_se-appl'!O32</f>
        <v>3.0191715163078072</v>
      </c>
      <c r="P9" s="36">
        <f>'SER_se-appl'!P32</f>
        <v>3.0159961394288928</v>
      </c>
      <c r="Q9" s="36">
        <f>'SER_se-appl'!Q32</f>
        <v>3.4380299394498977</v>
      </c>
      <c r="R9" s="36">
        <f>'SER_se-appl'!R32</f>
        <v>3.7125223980425233</v>
      </c>
      <c r="S9" s="36">
        <f>'SER_se-appl'!S32</f>
        <v>3.8026394647527511</v>
      </c>
      <c r="T9" s="36">
        <f>'SER_se-appl'!T32</f>
        <v>3.4740786590926263</v>
      </c>
      <c r="U9" s="36">
        <f>'SER_se-appl'!U32</f>
        <v>3.8876579895395054</v>
      </c>
      <c r="V9" s="36">
        <f>'SER_se-appl'!V32</f>
        <v>3.5808603279543405</v>
      </c>
      <c r="W9" s="36">
        <f>'SER_se-appl'!W32</f>
        <v>3.5226611757661743</v>
      </c>
      <c r="X9" s="36">
        <f>'SER_se-appl'!X32</f>
        <v>3.4487921900330534</v>
      </c>
      <c r="Y9" s="36">
        <f>'SER_se-appl'!Y32</f>
        <v>3.3714434262886357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0.59592152584026792</v>
      </c>
      <c r="D10" s="38">
        <f>'SER_se-appl'!D40</f>
        <v>0.66298145478074488</v>
      </c>
      <c r="E10" s="38">
        <f>'SER_se-appl'!E40</f>
        <v>0.73758773651181642</v>
      </c>
      <c r="F10" s="38">
        <f>'SER_se-appl'!F40</f>
        <v>0.82058957325215687</v>
      </c>
      <c r="G10" s="38">
        <f>'SER_se-appl'!G40</f>
        <v>0.91293172919960952</v>
      </c>
      <c r="H10" s="38">
        <f>'SER_se-appl'!H40</f>
        <v>1.0156652842617611</v>
      </c>
      <c r="I10" s="38">
        <f>'SER_se-appl'!I40</f>
        <v>1.1299595979196937</v>
      </c>
      <c r="J10" s="38">
        <f>'SER_se-appl'!J40</f>
        <v>1.2571156194029882</v>
      </c>
      <c r="K10" s="38">
        <f>'SER_se-appl'!K40</f>
        <v>1.398580695678362</v>
      </c>
      <c r="L10" s="38">
        <f>'SER_se-appl'!L40</f>
        <v>1.5559650458030916</v>
      </c>
      <c r="M10" s="38">
        <f>'SER_se-appl'!M40</f>
        <v>1.7310600891618577</v>
      </c>
      <c r="N10" s="38">
        <f>'SER_se-appl'!N40</f>
        <v>1.925858836206956</v>
      </c>
      <c r="O10" s="38">
        <f>'SER_se-appl'!O40</f>
        <v>2.1425785737987866</v>
      </c>
      <c r="P10" s="38">
        <f>'SER_se-appl'!P40</f>
        <v>2.3836861033610717</v>
      </c>
      <c r="Q10" s="38">
        <f>'SER_se-appl'!Q40</f>
        <v>2.6519258191229724</v>
      </c>
      <c r="R10" s="38">
        <f>'SER_se-appl'!R40</f>
        <v>2.543508032629731</v>
      </c>
      <c r="S10" s="38">
        <f>'SER_se-appl'!S40</f>
        <v>2.5481199269398758</v>
      </c>
      <c r="T10" s="38">
        <f>'SER_se-appl'!T40</f>
        <v>2.2867683142779356</v>
      </c>
      <c r="U10" s="38">
        <f>'SER_se-appl'!U40</f>
        <v>2.7104592398063261</v>
      </c>
      <c r="V10" s="38">
        <f>'SER_se-appl'!V40</f>
        <v>2.3798877093518556</v>
      </c>
      <c r="W10" s="38">
        <f>'SER_se-appl'!W40</f>
        <v>2.3086583451122706</v>
      </c>
      <c r="X10" s="38">
        <f>'SER_se-appl'!X40</f>
        <v>2.3674018221421704</v>
      </c>
      <c r="Y10" s="38">
        <f>'SER_se-appl'!Y40</f>
        <v>2.3998418690613903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839.01357916046277</v>
      </c>
      <c r="C12" s="204">
        <f>'SER_se-appl'!C48</f>
        <v>843.02144809767697</v>
      </c>
      <c r="D12" s="204">
        <f>'SER_se-appl'!D48</f>
        <v>846.69706065446587</v>
      </c>
      <c r="E12" s="204">
        <f>'SER_se-appl'!E48</f>
        <v>850.09244678563971</v>
      </c>
      <c r="F12" s="204">
        <f>'SER_se-appl'!F48</f>
        <v>853.24822124478135</v>
      </c>
      <c r="G12" s="204">
        <f>'SER_se-appl'!G48</f>
        <v>856.19670617564623</v>
      </c>
      <c r="H12" s="204">
        <f>'SER_se-appl'!H48</f>
        <v>858.96405224581338</v>
      </c>
      <c r="I12" s="204">
        <f>'SER_se-appl'!I48</f>
        <v>861.57172101351728</v>
      </c>
      <c r="J12" s="204">
        <f>'SER_se-appl'!J48</f>
        <v>864.03754655120918</v>
      </c>
      <c r="K12" s="204">
        <f>'SER_se-appl'!K48</f>
        <v>866.37651212173523</v>
      </c>
      <c r="L12" s="204">
        <f>'SER_se-appl'!L48</f>
        <v>868.60132913143809</v>
      </c>
      <c r="M12" s="204">
        <f>'SER_se-appl'!M48</f>
        <v>870.01511851829287</v>
      </c>
      <c r="N12" s="204">
        <f>'SER_se-appl'!N48</f>
        <v>871.36526896194744</v>
      </c>
      <c r="O12" s="204">
        <f>'SER_se-appl'!O48</f>
        <v>872.65735004852206</v>
      </c>
      <c r="P12" s="204">
        <f>'SER_se-appl'!P48</f>
        <v>873.89622728763072</v>
      </c>
      <c r="Q12" s="204">
        <f>'SER_se-appl'!Q48</f>
        <v>875.08617627225806</v>
      </c>
      <c r="R12" s="204">
        <f>'SER_se-appl'!R48</f>
        <v>894.1493551147521</v>
      </c>
      <c r="S12" s="204">
        <f>'SER_se-appl'!S48</f>
        <v>879.5356024067014</v>
      </c>
      <c r="T12" s="204">
        <f>'SER_se-appl'!T48</f>
        <v>877.51503045935442</v>
      </c>
      <c r="U12" s="204">
        <f>'SER_se-appl'!U48</f>
        <v>879.68803343904824</v>
      </c>
      <c r="V12" s="204">
        <f>'SER_se-appl'!V48</f>
        <v>936.32842249619637</v>
      </c>
      <c r="W12" s="204">
        <f>'SER_se-appl'!W48</f>
        <v>960.00333624802522</v>
      </c>
      <c r="X12" s="204">
        <f>'SER_se-appl'!X48</f>
        <v>916.68060930072579</v>
      </c>
      <c r="Y12" s="204">
        <f>'SER_se-appl'!Y48</f>
        <v>895.01924582707602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44.282026782660921</v>
      </c>
      <c r="C14" s="59">
        <f>'SER_se-appl'!C56</f>
        <v>43.978887458261873</v>
      </c>
      <c r="D14" s="59">
        <f>'SER_se-appl'!D56</f>
        <v>43.689502974074898</v>
      </c>
      <c r="E14" s="59">
        <f>'SER_se-appl'!E56</f>
        <v>43.436483476183312</v>
      </c>
      <c r="F14" s="59">
        <f>'SER_se-appl'!F56</f>
        <v>43.149379463233458</v>
      </c>
      <c r="G14" s="59">
        <f>'SER_se-appl'!G56</f>
        <v>42.89927105895417</v>
      </c>
      <c r="H14" s="59">
        <f>'SER_se-appl'!H56</f>
        <v>42.657662057629977</v>
      </c>
      <c r="I14" s="59">
        <f>'SER_se-appl'!I56</f>
        <v>42.403191275664362</v>
      </c>
      <c r="J14" s="59">
        <f>'SER_se-appl'!J56</f>
        <v>42.136077773193527</v>
      </c>
      <c r="K14" s="59">
        <f>'SER_se-appl'!K56</f>
        <v>41.841535584863877</v>
      </c>
      <c r="L14" s="59">
        <f>'SER_se-appl'!L56</f>
        <v>41.515857305698006</v>
      </c>
      <c r="M14" s="59">
        <f>'SER_se-appl'!M56</f>
        <v>41.134960305776772</v>
      </c>
      <c r="N14" s="59">
        <f>'SER_se-appl'!N56</f>
        <v>40.66713295637652</v>
      </c>
      <c r="O14" s="59">
        <f>'SER_se-appl'!O56</f>
        <v>40.088665521007286</v>
      </c>
      <c r="P14" s="59">
        <f>'SER_se-appl'!P56</f>
        <v>39.423981522971879</v>
      </c>
      <c r="Q14" s="59">
        <f>'SER_se-appl'!Q56</f>
        <v>38.631409327171397</v>
      </c>
      <c r="R14" s="59">
        <f>'SER_se-appl'!R56</f>
        <v>37.993840012455365</v>
      </c>
      <c r="S14" s="59">
        <f>'SER_se-appl'!S56</f>
        <v>37.354936500291771</v>
      </c>
      <c r="T14" s="59">
        <f>'SER_se-appl'!T56</f>
        <v>36.784016545565919</v>
      </c>
      <c r="U14" s="59">
        <f>'SER_se-appl'!U56</f>
        <v>36.140519756164245</v>
      </c>
      <c r="V14" s="59">
        <f>'SER_se-appl'!V56</f>
        <v>35.567082919019761</v>
      </c>
      <c r="W14" s="59">
        <f>'SER_se-appl'!W56</f>
        <v>35.02152632961014</v>
      </c>
      <c r="X14" s="59">
        <f>'SER_se-appl'!X56</f>
        <v>34.493037034807656</v>
      </c>
      <c r="Y14" s="59">
        <f>'SER_se-appl'!Y56</f>
        <v>33.981144437692933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41.556344575583253</v>
      </c>
      <c r="D15" s="63">
        <f>'SER_se-appl'!D64</f>
        <v>41.246372605711173</v>
      </c>
      <c r="E15" s="63">
        <f>'SER_se-appl'!E64</f>
        <v>40.970178154418129</v>
      </c>
      <c r="F15" s="63">
        <f>'SER_se-appl'!F64</f>
        <v>40.706016651636659</v>
      </c>
      <c r="G15" s="63">
        <f>'SER_se-appl'!G64</f>
        <v>40.466702286773256</v>
      </c>
      <c r="H15" s="63">
        <f>'SER_se-appl'!H64</f>
        <v>40.268141193147265</v>
      </c>
      <c r="I15" s="63">
        <f>'SER_se-appl'!I64</f>
        <v>39.972715006633301</v>
      </c>
      <c r="J15" s="63">
        <f>'SER_se-appl'!J64</f>
        <v>39.677124879180923</v>
      </c>
      <c r="K15" s="63">
        <f>'SER_se-appl'!K64</f>
        <v>39.310642532868599</v>
      </c>
      <c r="L15" s="63">
        <f>'SER_se-appl'!L64</f>
        <v>38.802453334085214</v>
      </c>
      <c r="M15" s="63">
        <f>'SER_se-appl'!M64</f>
        <v>37.801482675407911</v>
      </c>
      <c r="N15" s="63">
        <f>'SER_se-appl'!N64</f>
        <v>36.903740769691737</v>
      </c>
      <c r="O15" s="63">
        <f>'SER_se-appl'!O64</f>
        <v>36.001137124779476</v>
      </c>
      <c r="P15" s="63">
        <f>'SER_se-appl'!P64</f>
        <v>34.945665491336726</v>
      </c>
      <c r="Q15" s="63">
        <f>'SER_se-appl'!Q64</f>
        <v>34.143503594144704</v>
      </c>
      <c r="R15" s="63">
        <f>'SER_se-appl'!R64</f>
        <v>33.7093273279134</v>
      </c>
      <c r="S15" s="63">
        <f>'SER_se-appl'!S64</f>
        <v>33.186542961766008</v>
      </c>
      <c r="T15" s="63">
        <f>'SER_se-appl'!T64</f>
        <v>32.705686232979446</v>
      </c>
      <c r="U15" s="63">
        <f>'SER_se-appl'!U64</f>
        <v>32.243905052317864</v>
      </c>
      <c r="V15" s="63">
        <f>'SER_se-appl'!V64</f>
        <v>31.785523206479521</v>
      </c>
      <c r="W15" s="63">
        <f>'SER_se-appl'!W64</f>
        <v>31.467667974414727</v>
      </c>
      <c r="X15" s="63">
        <f>'SER_se-appl'!X64</f>
        <v>31.14981274234993</v>
      </c>
      <c r="Y15" s="63">
        <f>'SER_se-appl'!Y64</f>
        <v>30.831957510285136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153.15662191693269</v>
      </c>
      <c r="C3" s="198">
        <f>'SER_se-appl'!C9</f>
        <v>164.17642626781026</v>
      </c>
      <c r="D3" s="198">
        <f>'SER_se-appl'!D9</f>
        <v>176.22615536054954</v>
      </c>
      <c r="E3" s="198">
        <f>'SER_se-appl'!E9</f>
        <v>186.50400206969502</v>
      </c>
      <c r="F3" s="198">
        <f>'SER_se-appl'!F9</f>
        <v>195.79856375153236</v>
      </c>
      <c r="G3" s="198">
        <f>'SER_se-appl'!G9</f>
        <v>203.19365284012949</v>
      </c>
      <c r="H3" s="198">
        <f>'SER_se-appl'!H9</f>
        <v>210.25144298697205</v>
      </c>
      <c r="I3" s="198">
        <f>'SER_se-appl'!I9</f>
        <v>215.24270642337891</v>
      </c>
      <c r="J3" s="198">
        <f>'SER_se-appl'!J9</f>
        <v>219.96660839705743</v>
      </c>
      <c r="K3" s="198">
        <f>'SER_se-appl'!K9</f>
        <v>223.47629074425979</v>
      </c>
      <c r="L3" s="198">
        <f>'SER_se-appl'!L9</f>
        <v>226.63793657922352</v>
      </c>
      <c r="M3" s="198">
        <f>'SER_se-appl'!M9</f>
        <v>224.16984328001487</v>
      </c>
      <c r="N3" s="198">
        <f>'SER_se-appl'!N9</f>
        <v>229.74116668516825</v>
      </c>
      <c r="O3" s="198">
        <f>'SER_se-appl'!O9</f>
        <v>238.65341728549834</v>
      </c>
      <c r="P3" s="198">
        <f>'SER_se-appl'!P9</f>
        <v>246.71368694300241</v>
      </c>
      <c r="Q3" s="198">
        <f>'SER_se-appl'!Q9</f>
        <v>256.22860684855834</v>
      </c>
      <c r="R3" s="198">
        <f>'SER_se-appl'!R9</f>
        <v>261.05037002583481</v>
      </c>
      <c r="S3" s="198">
        <f>'SER_se-appl'!S9</f>
        <v>277.20725327973327</v>
      </c>
      <c r="T3" s="198">
        <f>'SER_se-appl'!T9</f>
        <v>286.40622960621101</v>
      </c>
      <c r="U3" s="198">
        <f>'SER_se-appl'!U9</f>
        <v>303.2806446782472</v>
      </c>
      <c r="V3" s="198">
        <f>'SER_se-appl'!V9</f>
        <v>330.138263730853</v>
      </c>
      <c r="W3" s="198">
        <f>'SER_se-appl'!W9</f>
        <v>351.06550539948853</v>
      </c>
      <c r="X3" s="198">
        <f>'SER_se-appl'!X9</f>
        <v>363.4853591287972</v>
      </c>
      <c r="Y3" s="198">
        <f>'SER_se-appl'!Y9</f>
        <v>399.34054913921392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864.63449628298065</v>
      </c>
      <c r="C5" s="59">
        <f>'SER_se-appl'!C17</f>
        <v>884.03483251928526</v>
      </c>
      <c r="D5" s="59">
        <f>'SER_se-appl'!D17</f>
        <v>903.5352728094457</v>
      </c>
      <c r="E5" s="59">
        <f>'SER_se-appl'!E17</f>
        <v>913.15963872868974</v>
      </c>
      <c r="F5" s="59">
        <f>'SER_se-appl'!F17</f>
        <v>918.4691130897296</v>
      </c>
      <c r="G5" s="59">
        <f>'SER_se-appl'!G17</f>
        <v>916.09045861523759</v>
      </c>
      <c r="H5" s="59">
        <f>'SER_se-appl'!H17</f>
        <v>916.57578040929184</v>
      </c>
      <c r="I5" s="59">
        <f>'SER_se-appl'!I17</f>
        <v>910.13294050567947</v>
      </c>
      <c r="J5" s="59">
        <f>'SER_se-appl'!J17</f>
        <v>904.97729443170454</v>
      </c>
      <c r="K5" s="59">
        <f>'SER_se-appl'!K17</f>
        <v>895.09579224800825</v>
      </c>
      <c r="L5" s="59">
        <f>'SER_se-appl'!L17</f>
        <v>881.8027266674053</v>
      </c>
      <c r="M5" s="59">
        <f>'SER_se-appl'!M17</f>
        <v>857.1522985207655</v>
      </c>
      <c r="N5" s="59">
        <f>'SER_se-appl'!N17</f>
        <v>847.70166024813398</v>
      </c>
      <c r="O5" s="59">
        <f>'SER_se-appl'!O17</f>
        <v>848.7660186031427</v>
      </c>
      <c r="P5" s="59">
        <f>'SER_se-appl'!P17</f>
        <v>853.57739466266094</v>
      </c>
      <c r="Q5" s="59">
        <f>'SER_se-appl'!Q17</f>
        <v>868.25468898977454</v>
      </c>
      <c r="R5" s="59">
        <f>'SER_se-appl'!R17</f>
        <v>865.54753072946801</v>
      </c>
      <c r="S5" s="59">
        <f>'SER_se-appl'!S17</f>
        <v>895.97179668704018</v>
      </c>
      <c r="T5" s="59">
        <f>'SER_se-appl'!T17</f>
        <v>911.6663985963603</v>
      </c>
      <c r="U5" s="59">
        <f>'SER_se-appl'!U17</f>
        <v>942.79591674198866</v>
      </c>
      <c r="V5" s="59">
        <f>'SER_se-appl'!V17</f>
        <v>982.20009609557178</v>
      </c>
      <c r="W5" s="59">
        <f>'SER_se-appl'!W17</f>
        <v>1017.6931528526038</v>
      </c>
      <c r="X5" s="59">
        <f>'SER_se-appl'!X17</f>
        <v>1053.3880719813822</v>
      </c>
      <c r="Y5" s="59">
        <f>'SER_se-appl'!Y17</f>
        <v>1126.7605131783605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0.29257228423348752</v>
      </c>
      <c r="C6" s="201">
        <f>'SER_se-appl'!C73</f>
        <v>0.30508403924371053</v>
      </c>
      <c r="D6" s="201">
        <f>'SER_se-appl'!D73</f>
        <v>0.32035370759920384</v>
      </c>
      <c r="E6" s="201">
        <f>'SER_se-appl'!E73</f>
        <v>0.33440728609196307</v>
      </c>
      <c r="F6" s="201">
        <f>'SER_se-appl'!F73</f>
        <v>0.34969631441439242</v>
      </c>
      <c r="G6" s="201">
        <f>'SER_se-appl'!G73</f>
        <v>0.36430949988297995</v>
      </c>
      <c r="H6" s="201">
        <f>'SER_se-appl'!H73</f>
        <v>0.38061265784971499</v>
      </c>
      <c r="I6" s="201">
        <f>'SER_se-appl'!I73</f>
        <v>0.39449886205308782</v>
      </c>
      <c r="J6" s="201">
        <f>'SER_se-appl'!J73</f>
        <v>0.41000505511025703</v>
      </c>
      <c r="K6" s="201">
        <f>'SER_se-appl'!K73</f>
        <v>0.42671115430393158</v>
      </c>
      <c r="L6" s="201">
        <f>'SER_se-appl'!L73</f>
        <v>0.44505020913334253</v>
      </c>
      <c r="M6" s="201">
        <f>'SER_se-appl'!M73</f>
        <v>0.46292041930185457</v>
      </c>
      <c r="N6" s="201">
        <f>'SER_se-appl'!N73</f>
        <v>0.49274900307316377</v>
      </c>
      <c r="O6" s="201">
        <f>'SER_se-appl'!O73</f>
        <v>0.53010217076347432</v>
      </c>
      <c r="P6" s="201">
        <f>'SER_se-appl'!P73</f>
        <v>0.56779469218108036</v>
      </c>
      <c r="Q6" s="201">
        <f>'SER_se-appl'!Q73</f>
        <v>0.60944182138802216</v>
      </c>
      <c r="R6" s="201">
        <f>'SER_se-appl'!R73</f>
        <v>0.63503895127929588</v>
      </c>
      <c r="S6" s="201">
        <f>'SER_se-appl'!S73</f>
        <v>0.68192286195265928</v>
      </c>
      <c r="T6" s="201">
        <f>'SER_se-appl'!T73</f>
        <v>0.7139774240782566</v>
      </c>
      <c r="U6" s="201">
        <f>'SER_se-appl'!U73</f>
        <v>0.75463557334647624</v>
      </c>
      <c r="V6" s="201">
        <f>'SER_se-appl'!V73</f>
        <v>0.79911563531262597</v>
      </c>
      <c r="W6" s="201">
        <f>'SER_se-appl'!W73</f>
        <v>0.84274700586904239</v>
      </c>
      <c r="X6" s="201">
        <f>'SER_se-appl'!X73</f>
        <v>0.88809008211565332</v>
      </c>
      <c r="Y6" s="201">
        <f>'SER_se-appl'!Y73</f>
        <v>0.96507554394463912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2592.6076463860168</v>
      </c>
      <c r="C8" s="34">
        <f>'SER_se-appl'!C25</f>
        <v>2709.9980631217177</v>
      </c>
      <c r="D8" s="34">
        <f>'SER_se-appl'!D25</f>
        <v>2854.0721862758796</v>
      </c>
      <c r="E8" s="34">
        <f>'SER_se-appl'!E25</f>
        <v>2989.8646506035907</v>
      </c>
      <c r="F8" s="34">
        <f>'SER_se-appl'!F25</f>
        <v>3138.7587183998298</v>
      </c>
      <c r="G8" s="34">
        <f>'SER_se-appl'!G25</f>
        <v>3282.9357127694866</v>
      </c>
      <c r="H8" s="34">
        <f>'SER_se-appl'!H25</f>
        <v>3443.6889362850743</v>
      </c>
      <c r="I8" s="34">
        <f>'SER_se-appl'!I25</f>
        <v>3595.1695160973368</v>
      </c>
      <c r="J8" s="34">
        <f>'SER_se-appl'!J25</f>
        <v>3765.046490708467</v>
      </c>
      <c r="K8" s="34">
        <f>'SER_se-appl'!K25</f>
        <v>3949.7865130077344</v>
      </c>
      <c r="L8" s="34">
        <f>'SER_se-appl'!L25</f>
        <v>4157.0724775480485</v>
      </c>
      <c r="M8" s="34">
        <f>'SER_se-appl'!M25</f>
        <v>4358.6596123659629</v>
      </c>
      <c r="N8" s="34">
        <f>'SER_se-appl'!N25</f>
        <v>4672.6673475373664</v>
      </c>
      <c r="O8" s="34">
        <f>'SER_se-appl'!O25</f>
        <v>5065.5996228834883</v>
      </c>
      <c r="P8" s="34">
        <f>'SER_se-appl'!P25</f>
        <v>5476.3025860083835</v>
      </c>
      <c r="Q8" s="34">
        <f>'SER_se-appl'!Q25</f>
        <v>5940.4457849156443</v>
      </c>
      <c r="R8" s="34">
        <f>'SER_se-appl'!R25</f>
        <v>6255.7795047145155</v>
      </c>
      <c r="S8" s="34">
        <f>'SER_se-appl'!S25</f>
        <v>6815.9233394147086</v>
      </c>
      <c r="T8" s="34">
        <f>'SER_se-appl'!T25</f>
        <v>7225.6243142085841</v>
      </c>
      <c r="U8" s="34">
        <f>'SER_se-appl'!U25</f>
        <v>7720.061522915521</v>
      </c>
      <c r="V8" s="34">
        <f>'SER_se-appl'!V25</f>
        <v>8252.9378449826872</v>
      </c>
      <c r="W8" s="34">
        <f>'SER_se-appl'!W25</f>
        <v>8747.1197842815218</v>
      </c>
      <c r="X8" s="34">
        <f>'SER_se-appl'!X25</f>
        <v>9282.6070556395789</v>
      </c>
      <c r="Y8" s="34">
        <f>'SER_se-appl'!Y25</f>
        <v>10154.096379843983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635.91194601290408</v>
      </c>
      <c r="D9" s="36">
        <f>'SER_se-appl'!D33</f>
        <v>662.59565243136558</v>
      </c>
      <c r="E9" s="36">
        <f>'SER_se-appl'!E33</f>
        <v>654.31399360491423</v>
      </c>
      <c r="F9" s="36">
        <f>'SER_se-appl'!F33</f>
        <v>667.41559707344231</v>
      </c>
      <c r="G9" s="36">
        <f>'SER_se-appl'!G33</f>
        <v>662.69852364685994</v>
      </c>
      <c r="H9" s="36">
        <f>'SER_se-appl'!H33</f>
        <v>796.66516952849179</v>
      </c>
      <c r="I9" s="36">
        <f>'SER_se-appl'!I33</f>
        <v>814.07623224362806</v>
      </c>
      <c r="J9" s="36">
        <f>'SER_se-appl'!J33</f>
        <v>824.19096821604444</v>
      </c>
      <c r="K9" s="36">
        <f>'SER_se-appl'!K33</f>
        <v>852.15561937270968</v>
      </c>
      <c r="L9" s="36">
        <f>'SER_se-appl'!L33</f>
        <v>869.98448818717407</v>
      </c>
      <c r="M9" s="36">
        <f>'SER_se-appl'!M33</f>
        <v>998.25230434640616</v>
      </c>
      <c r="N9" s="36">
        <f>'SER_se-appl'!N33</f>
        <v>1128.0839674150316</v>
      </c>
      <c r="O9" s="36">
        <f>'SER_se-appl'!O33</f>
        <v>1217.1232435621664</v>
      </c>
      <c r="P9" s="36">
        <f>'SER_se-appl'!P33</f>
        <v>1262.8585824976053</v>
      </c>
      <c r="Q9" s="36">
        <f>'SER_se-appl'!Q33</f>
        <v>1334.1276870944348</v>
      </c>
      <c r="R9" s="36">
        <f>'SER_se-appl'!R33</f>
        <v>1313.5860241452774</v>
      </c>
      <c r="S9" s="36">
        <f>'SER_se-appl'!S33</f>
        <v>1688.2278021152251</v>
      </c>
      <c r="T9" s="36">
        <f>'SER_se-appl'!T33</f>
        <v>1626.8242183560415</v>
      </c>
      <c r="U9" s="36">
        <f>'SER_se-appl'!U33</f>
        <v>1757.2957912045422</v>
      </c>
      <c r="V9" s="36">
        <f>'SER_se-appl'!V33</f>
        <v>1867.0040091616011</v>
      </c>
      <c r="W9" s="36">
        <f>'SER_se-appl'!W33</f>
        <v>1807.767963444112</v>
      </c>
      <c r="X9" s="36">
        <f>'SER_se-appl'!X33</f>
        <v>2223.7150734732822</v>
      </c>
      <c r="Y9" s="36">
        <f>'SER_se-appl'!Y33</f>
        <v>2498.3135425604451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518.52152927720317</v>
      </c>
      <c r="D10" s="38">
        <f>'SER_se-appl'!D41</f>
        <v>518.52152927720363</v>
      </c>
      <c r="E10" s="38">
        <f>'SER_se-appl'!E41</f>
        <v>518.52152927720317</v>
      </c>
      <c r="F10" s="38">
        <f>'SER_se-appl'!F41</f>
        <v>518.52152927720317</v>
      </c>
      <c r="G10" s="38">
        <f>'SER_se-appl'!G41</f>
        <v>518.52152927720317</v>
      </c>
      <c r="H10" s="38">
        <f>'SER_se-appl'!H41</f>
        <v>635.91194601290408</v>
      </c>
      <c r="I10" s="38">
        <f>'SER_se-appl'!I41</f>
        <v>662.59565243136512</v>
      </c>
      <c r="J10" s="38">
        <f>'SER_se-appl'!J41</f>
        <v>654.31399360491469</v>
      </c>
      <c r="K10" s="38">
        <f>'SER_se-appl'!K41</f>
        <v>667.41559707344186</v>
      </c>
      <c r="L10" s="38">
        <f>'SER_se-appl'!L41</f>
        <v>662.69852364685994</v>
      </c>
      <c r="M10" s="38">
        <f>'SER_se-appl'!M41</f>
        <v>796.66516952849179</v>
      </c>
      <c r="N10" s="38">
        <f>'SER_se-appl'!N41</f>
        <v>814.0762322436276</v>
      </c>
      <c r="O10" s="38">
        <f>'SER_se-appl'!O41</f>
        <v>824.19096821604398</v>
      </c>
      <c r="P10" s="38">
        <f>'SER_se-appl'!P41</f>
        <v>852.15561937271013</v>
      </c>
      <c r="Q10" s="38">
        <f>'SER_se-appl'!Q41</f>
        <v>869.98448818717407</v>
      </c>
      <c r="R10" s="38">
        <f>'SER_se-appl'!R41</f>
        <v>998.25230434640616</v>
      </c>
      <c r="S10" s="38">
        <f>'SER_se-appl'!S41</f>
        <v>1128.083967415032</v>
      </c>
      <c r="T10" s="38">
        <f>'SER_se-appl'!T41</f>
        <v>1217.123243562166</v>
      </c>
      <c r="U10" s="38">
        <f>'SER_se-appl'!U41</f>
        <v>1262.8585824976053</v>
      </c>
      <c r="V10" s="38">
        <f>'SER_se-appl'!V41</f>
        <v>1334.1276870944348</v>
      </c>
      <c r="W10" s="38">
        <f>'SER_se-appl'!W41</f>
        <v>1313.5860241452774</v>
      </c>
      <c r="X10" s="38">
        <f>'SER_se-appl'!X41</f>
        <v>1688.2278021152251</v>
      </c>
      <c r="Y10" s="38">
        <f>'SER_se-appl'!Y41</f>
        <v>1626.8242183560415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2060.0745408045414</v>
      </c>
      <c r="C12" s="204">
        <f>'SER_se-appl'!C49</f>
        <v>2159.8377883520561</v>
      </c>
      <c r="D12" s="204">
        <f>'SER_se-appl'!D49</f>
        <v>2268.3233831817765</v>
      </c>
      <c r="E12" s="204">
        <f>'SER_se-appl'!E49</f>
        <v>2375.3147336760471</v>
      </c>
      <c r="F12" s="204">
        <f>'SER_se-appl'!F49</f>
        <v>2479.2747670850167</v>
      </c>
      <c r="G12" s="204">
        <f>'SER_se-appl'!G49</f>
        <v>2579.5947990800296</v>
      </c>
      <c r="H12" s="204">
        <f>'SER_se-appl'!H49</f>
        <v>2667.7819054378497</v>
      </c>
      <c r="I12" s="204">
        <f>'SER_se-appl'!I49</f>
        <v>2750.4472855504514</v>
      </c>
      <c r="J12" s="204">
        <f>'SER_se-appl'!J49</f>
        <v>2826.8241329350139</v>
      </c>
      <c r="K12" s="204">
        <f>'SER_se-appl'!K49</f>
        <v>2903.6325316962461</v>
      </c>
      <c r="L12" s="204">
        <f>'SER_se-appl'!L49</f>
        <v>2989.1030303091015</v>
      </c>
      <c r="M12" s="204">
        <f>'SER_se-appl'!M49</f>
        <v>3041.5776541062532</v>
      </c>
      <c r="N12" s="204">
        <f>'SER_se-appl'!N49</f>
        <v>3151.9223022005262</v>
      </c>
      <c r="O12" s="204">
        <f>'SER_se-appl'!O49</f>
        <v>3270.087612129184</v>
      </c>
      <c r="P12" s="204">
        <f>'SER_se-appl'!P49</f>
        <v>3361.4762962192499</v>
      </c>
      <c r="Q12" s="204">
        <f>'SER_se-appl'!Q49</f>
        <v>3432.1020495909215</v>
      </c>
      <c r="R12" s="204">
        <f>'SER_se-appl'!R49</f>
        <v>3507.6245909242662</v>
      </c>
      <c r="S12" s="204">
        <f>'SER_se-appl'!S49</f>
        <v>3598.2386583641564</v>
      </c>
      <c r="T12" s="204">
        <f>'SER_se-appl'!T49</f>
        <v>3653.6439814482951</v>
      </c>
      <c r="U12" s="204">
        <f>'SER_se-appl'!U49</f>
        <v>3741.1637396529768</v>
      </c>
      <c r="V12" s="204">
        <f>'SER_se-appl'!V49</f>
        <v>3909.0894232779851</v>
      </c>
      <c r="W12" s="204">
        <f>'SER_se-appl'!W49</f>
        <v>4011.9085171710803</v>
      </c>
      <c r="X12" s="204">
        <f>'SER_se-appl'!X49</f>
        <v>4013.0839138100914</v>
      </c>
      <c r="Y12" s="204">
        <f>'SER_se-appl'!Y49</f>
        <v>4121.8435791545035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333.49994068259571</v>
      </c>
      <c r="C14" s="59">
        <f>'SER_se-appl'!C57</f>
        <v>326.21234846970424</v>
      </c>
      <c r="D14" s="59">
        <f>'SER_se-appl'!D57</f>
        <v>316.57758242913218</v>
      </c>
      <c r="E14" s="59">
        <f>'SER_se-appl'!E57</f>
        <v>305.41838693077364</v>
      </c>
      <c r="F14" s="59">
        <f>'SER_se-appl'!F57</f>
        <v>292.62176404498342</v>
      </c>
      <c r="G14" s="59">
        <f>'SER_se-appl'!G57</f>
        <v>279.04611566165062</v>
      </c>
      <c r="H14" s="59">
        <f>'SER_se-appl'!H57</f>
        <v>266.16102597177672</v>
      </c>
      <c r="I14" s="59">
        <f>'SER_se-appl'!I57</f>
        <v>253.15438852898814</v>
      </c>
      <c r="J14" s="59">
        <f>'SER_se-appl'!J57</f>
        <v>240.36284722248288</v>
      </c>
      <c r="K14" s="59">
        <f>'SER_se-appl'!K57</f>
        <v>226.61877782513344</v>
      </c>
      <c r="L14" s="59">
        <f>'SER_se-appl'!L57</f>
        <v>212.12108555478349</v>
      </c>
      <c r="M14" s="59">
        <f>'SER_se-appl'!M57</f>
        <v>196.65502121086419</v>
      </c>
      <c r="N14" s="59">
        <f>'SER_se-appl'!N57</f>
        <v>181.41707876870322</v>
      </c>
      <c r="O14" s="59">
        <f>'SER_se-appl'!O57</f>
        <v>167.55489612106376</v>
      </c>
      <c r="P14" s="59">
        <f>'SER_se-appl'!P57</f>
        <v>155.86746372333383</v>
      </c>
      <c r="Q14" s="59">
        <f>'SER_se-appl'!Q57</f>
        <v>146.15985406255231</v>
      </c>
      <c r="R14" s="59">
        <f>'SER_se-appl'!R57</f>
        <v>138.35966086675037</v>
      </c>
      <c r="S14" s="59">
        <f>'SER_se-appl'!S57</f>
        <v>131.45273971992447</v>
      </c>
      <c r="T14" s="59">
        <f>'SER_se-appl'!T57</f>
        <v>126.17129800170275</v>
      </c>
      <c r="U14" s="59">
        <f>'SER_se-appl'!U57</f>
        <v>122.12285017981786</v>
      </c>
      <c r="V14" s="59">
        <f>'SER_se-appl'!V57</f>
        <v>119.01217657814945</v>
      </c>
      <c r="W14" s="59">
        <f>'SER_se-appl'!W57</f>
        <v>116.34608624902876</v>
      </c>
      <c r="X14" s="59">
        <f>'SER_se-appl'!X57</f>
        <v>113.47976550848438</v>
      </c>
      <c r="Y14" s="59">
        <f>'SER_se-appl'!Y57</f>
        <v>110.96610382928758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302.44318682605456</v>
      </c>
      <c r="D15" s="63">
        <f>'SER_se-appl'!D65</f>
        <v>290.41443124574249</v>
      </c>
      <c r="E15" s="63">
        <f>'SER_se-appl'!E65</f>
        <v>278.99642520264888</v>
      </c>
      <c r="F15" s="63">
        <f>'SER_se-appl'!F65</f>
        <v>267.05455251448512</v>
      </c>
      <c r="G15" s="63">
        <f>'SER_se-appl'!G65</f>
        <v>257.35419454923385</v>
      </c>
      <c r="H15" s="63">
        <f>'SER_se-appl'!H65</f>
        <v>242.02458531113106</v>
      </c>
      <c r="I15" s="63">
        <f>'SER_se-appl'!I65</f>
        <v>228.46079061977184</v>
      </c>
      <c r="J15" s="63">
        <f>'SER_se-appl'!J65</f>
        <v>215.23606293070225</v>
      </c>
      <c r="K15" s="63">
        <f>'SER_se-appl'!K65</f>
        <v>197.56352901582642</v>
      </c>
      <c r="L15" s="63">
        <f>'SER_se-appl'!L65</f>
        <v>180.75630236716157</v>
      </c>
      <c r="M15" s="63">
        <f>'SER_se-appl'!M65</f>
        <v>168.45653990292314</v>
      </c>
      <c r="N15" s="63">
        <f>'SER_se-appl'!N65</f>
        <v>156.49000116102559</v>
      </c>
      <c r="O15" s="63">
        <f>'SER_se-appl'!O65</f>
        <v>146.62440997722896</v>
      </c>
      <c r="P15" s="63">
        <f>'SER_se-appl'!P65</f>
        <v>137.12243785125975</v>
      </c>
      <c r="Q15" s="63">
        <f>'SER_se-appl'!Q65</f>
        <v>128.87257733408001</v>
      </c>
      <c r="R15" s="63">
        <f>'SER_se-appl'!R65</f>
        <v>125.95670769842947</v>
      </c>
      <c r="S15" s="63">
        <f>'SER_se-appl'!S65</f>
        <v>122.58898181204063</v>
      </c>
      <c r="T15" s="63">
        <f>'SER_se-appl'!T65</f>
        <v>119.34576408162503</v>
      </c>
      <c r="U15" s="63">
        <f>'SER_se-appl'!U65</f>
        <v>116.25576448860163</v>
      </c>
      <c r="V15" s="63">
        <f>'SER_se-appl'!V65</f>
        <v>113.19560742512873</v>
      </c>
      <c r="W15" s="63">
        <f>'SER_se-appl'!W65</f>
        <v>111.15808649147641</v>
      </c>
      <c r="X15" s="63">
        <f>'SER_se-appl'!X65</f>
        <v>109.12056555782409</v>
      </c>
      <c r="Y15" s="63">
        <f>'SER_se-appl'!Y65</f>
        <v>107.08304462417178</v>
      </c>
      <c r="DA15" s="105" t="s">
        <v>957</v>
      </c>
    </row>
    <row r="17" spans="1:105" ht="12" customHeight="1" x14ac:dyDescent="0.25">
      <c r="A17" s="197" t="s">
        <v>184</v>
      </c>
      <c r="B17" s="198">
        <v>47.020995057497331</v>
      </c>
      <c r="C17" s="198">
        <v>56.884605332015354</v>
      </c>
      <c r="D17" s="198">
        <v>66.809755875650922</v>
      </c>
      <c r="E17" s="198">
        <v>76.470977039944216</v>
      </c>
      <c r="F17" s="198">
        <v>85.670866978260108</v>
      </c>
      <c r="G17" s="198">
        <v>94.041990114994604</v>
      </c>
      <c r="H17" s="198">
        <v>101.38777372638864</v>
      </c>
      <c r="I17" s="198">
        <v>107.91113137328429</v>
      </c>
      <c r="J17" s="198">
        <v>113.94997296806866</v>
      </c>
      <c r="K17" s="198">
        <v>119.69350311918649</v>
      </c>
      <c r="L17" s="198">
        <v>125.38932015332622</v>
      </c>
      <c r="M17" s="198">
        <v>125.49267898297896</v>
      </c>
      <c r="N17" s="198">
        <v>134.1551949982539</v>
      </c>
      <c r="O17" s="198">
        <v>145.26616542359341</v>
      </c>
      <c r="P17" s="198">
        <v>154.20155957793537</v>
      </c>
      <c r="Q17" s="198">
        <v>162.8398369447786</v>
      </c>
      <c r="R17" s="198">
        <v>165.72665643869607</v>
      </c>
      <c r="S17" s="198">
        <v>182.42851803566023</v>
      </c>
      <c r="T17" s="198">
        <v>190.48884428642205</v>
      </c>
      <c r="U17" s="198">
        <v>205.35068947508614</v>
      </c>
      <c r="V17" s="198">
        <v>223.80067414824572</v>
      </c>
      <c r="W17" s="198">
        <v>240.96157948678794</v>
      </c>
      <c r="X17" s="198">
        <v>258.92442012571604</v>
      </c>
      <c r="Y17" s="198">
        <v>297.76308314457339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6164.701619667725</v>
      </c>
      <c r="C3" s="219">
        <v>6274.1218166289118</v>
      </c>
      <c r="D3" s="219">
        <v>6280.9961910279144</v>
      </c>
      <c r="E3" s="219">
        <v>6255.6843830827538</v>
      </c>
      <c r="F3" s="219">
        <v>6408.3901862168877</v>
      </c>
      <c r="G3" s="219">
        <v>4558.4752744305788</v>
      </c>
      <c r="H3" s="219">
        <v>5102.290241252409</v>
      </c>
      <c r="I3" s="219">
        <v>6108.782450965934</v>
      </c>
      <c r="J3" s="219">
        <v>5307.040882601641</v>
      </c>
      <c r="K3" s="219">
        <v>4597.7723387723381</v>
      </c>
      <c r="L3" s="219">
        <v>5819.702095137699</v>
      </c>
      <c r="M3" s="219">
        <v>6226.57992368532</v>
      </c>
      <c r="N3" s="219">
        <v>5495.5563182986398</v>
      </c>
      <c r="O3" s="219">
        <v>5460.1447940393</v>
      </c>
      <c r="P3" s="219">
        <v>5674.717591182005</v>
      </c>
      <c r="Q3" s="219">
        <v>6161.285069999999</v>
      </c>
      <c r="R3" s="219">
        <v>6187.3437526142816</v>
      </c>
      <c r="S3" s="219">
        <v>6507.406409543848</v>
      </c>
      <c r="T3" s="219">
        <v>6272.8097568517496</v>
      </c>
      <c r="U3" s="219">
        <v>6467.3509797409497</v>
      </c>
      <c r="V3" s="219">
        <v>6015.1040328423087</v>
      </c>
      <c r="W3" s="219">
        <v>6144.7114310131992</v>
      </c>
      <c r="X3" s="219">
        <v>6656.5736092973439</v>
      </c>
      <c r="Y3" s="219">
        <v>6862.5</v>
      </c>
      <c r="DA3" s="210" t="s">
        <v>974</v>
      </c>
    </row>
    <row r="5" spans="1:105" x14ac:dyDescent="0.25">
      <c r="A5" s="218" t="s">
        <v>120</v>
      </c>
      <c r="B5" s="219">
        <v>7200.2222571697266</v>
      </c>
      <c r="C5" s="219">
        <v>7122.5913533460853</v>
      </c>
      <c r="D5" s="219">
        <v>7456.1840298609013</v>
      </c>
      <c r="E5" s="219">
        <v>7141.9869754712336</v>
      </c>
      <c r="F5" s="219">
        <v>7026.3015735554827</v>
      </c>
      <c r="G5" s="219">
        <v>5839.6181666137654</v>
      </c>
      <c r="H5" s="219">
        <v>5786.2490207740102</v>
      </c>
      <c r="I5" s="219">
        <v>6897.3114910709501</v>
      </c>
      <c r="J5" s="219">
        <v>5998.0461619939997</v>
      </c>
      <c r="K5" s="219">
        <v>5211.4185341492102</v>
      </c>
      <c r="L5" s="219">
        <v>5461.7144893232471</v>
      </c>
      <c r="M5" s="219">
        <v>5825.3077157256457</v>
      </c>
      <c r="N5" s="219">
        <v>5525.3429449521454</v>
      </c>
      <c r="O5" s="219">
        <v>6089.4460331260962</v>
      </c>
      <c r="P5" s="219">
        <v>6054.7710863312732</v>
      </c>
      <c r="Q5" s="219">
        <v>5659.8490953308328</v>
      </c>
      <c r="R5" s="219">
        <v>5743.6979491978054</v>
      </c>
      <c r="S5" s="219">
        <v>5960.8047845381216</v>
      </c>
      <c r="T5" s="219">
        <v>5438.7117493397627</v>
      </c>
      <c r="U5" s="219">
        <v>5644.6193276118574</v>
      </c>
      <c r="V5" s="219">
        <v>4978.5286669178113</v>
      </c>
      <c r="W5" s="219">
        <v>5143.854747564561</v>
      </c>
      <c r="X5" s="219">
        <v>6741.5980606614967</v>
      </c>
      <c r="Y5" s="219">
        <v>6109.3700421161948</v>
      </c>
      <c r="DA5" s="210" t="s">
        <v>975</v>
      </c>
    </row>
    <row r="6" spans="1:105" x14ac:dyDescent="0.25">
      <c r="A6" s="220" t="s">
        <v>119</v>
      </c>
      <c r="B6" s="221">
        <v>9000.2778214621576</v>
      </c>
      <c r="C6" s="221">
        <v>8550.2639303890501</v>
      </c>
      <c r="D6" s="221">
        <v>8100.2500393159426</v>
      </c>
      <c r="E6" s="221">
        <v>8100.2500393159426</v>
      </c>
      <c r="F6" s="221">
        <v>7650.236148242835</v>
      </c>
      <c r="G6" s="221">
        <v>7200.2222571697284</v>
      </c>
      <c r="H6" s="221">
        <v>7200.2222571697284</v>
      </c>
      <c r="I6" s="221">
        <v>7650.236148242835</v>
      </c>
      <c r="J6" s="221">
        <v>7200.2222571697284</v>
      </c>
      <c r="K6" s="221">
        <v>7200.2222571697284</v>
      </c>
      <c r="L6" s="221">
        <v>6750.20836609662</v>
      </c>
      <c r="M6" s="221">
        <v>6300.1944750235116</v>
      </c>
      <c r="N6" s="221">
        <v>6300.1944750235116</v>
      </c>
      <c r="O6" s="221">
        <v>6750.20836609662</v>
      </c>
      <c r="P6" s="221">
        <v>6750.20836609662</v>
      </c>
      <c r="Q6" s="221">
        <v>6750.20836609662</v>
      </c>
      <c r="R6" s="221">
        <v>6300.1944750235116</v>
      </c>
      <c r="S6" s="221">
        <v>6300.1944750235116</v>
      </c>
      <c r="T6" s="221">
        <v>6300.1944750235116</v>
      </c>
      <c r="U6" s="221">
        <v>6300.1944750235116</v>
      </c>
      <c r="V6" s="221">
        <v>5850.180583950405</v>
      </c>
      <c r="W6" s="221">
        <v>5850.180583950405</v>
      </c>
      <c r="X6" s="221">
        <v>7200.2222571697284</v>
      </c>
      <c r="Y6" s="221">
        <v>6750.2083660966209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900.02778214621583</v>
      </c>
      <c r="J7" s="225">
        <v>0</v>
      </c>
      <c r="K7" s="225">
        <v>0</v>
      </c>
      <c r="L7" s="225">
        <v>0</v>
      </c>
      <c r="M7" s="225">
        <v>0</v>
      </c>
      <c r="N7" s="225">
        <v>0</v>
      </c>
      <c r="O7" s="225">
        <v>900.02778214621583</v>
      </c>
      <c r="P7" s="225">
        <v>450.01389107310791</v>
      </c>
      <c r="Q7" s="225">
        <v>0</v>
      </c>
      <c r="R7" s="225">
        <v>0</v>
      </c>
      <c r="S7" s="225">
        <v>450.01389107310791</v>
      </c>
      <c r="T7" s="225">
        <v>0</v>
      </c>
      <c r="U7" s="225">
        <v>450.01389107310791</v>
      </c>
      <c r="V7" s="225">
        <v>0</v>
      </c>
      <c r="W7" s="225">
        <v>0</v>
      </c>
      <c r="X7" s="225">
        <v>1800.0555642924321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450.01389107310752</v>
      </c>
      <c r="D8" s="227">
        <f t="shared" ref="D8" si="1">IF(C6=0,0,C6+D7-D6)</f>
        <v>450.01389107310752</v>
      </c>
      <c r="E8" s="227">
        <f t="shared" ref="E8" si="2">IF(D6=0,0,D6+E7-E6)</f>
        <v>0</v>
      </c>
      <c r="F8" s="227">
        <f t="shared" ref="F8" si="3">IF(E6=0,0,E6+F7-F6)</f>
        <v>450.01389107310752</v>
      </c>
      <c r="G8" s="227">
        <f t="shared" ref="G8" si="4">IF(F6=0,0,F6+G7-G6)</f>
        <v>450.01389107310661</v>
      </c>
      <c r="H8" s="227">
        <f t="shared" ref="H8" si="5">IF(G6=0,0,G6+H7-H6)</f>
        <v>0</v>
      </c>
      <c r="I8" s="227">
        <f t="shared" ref="I8" si="6">IF(H6=0,0,H6+I7-I6)</f>
        <v>450.01389107310933</v>
      </c>
      <c r="J8" s="227">
        <f t="shared" ref="J8" si="7">IF(I6=0,0,I6+J7-J6)</f>
        <v>450.01389107310661</v>
      </c>
      <c r="K8" s="227">
        <f t="shared" ref="K8" si="8">IF(J6=0,0,J6+K7-K6)</f>
        <v>0</v>
      </c>
      <c r="L8" s="227">
        <f t="shared" ref="L8" si="9">IF(K6=0,0,K6+L7-L6)</f>
        <v>450.01389107310843</v>
      </c>
      <c r="M8" s="227">
        <f t="shared" ref="M8" si="10">IF(L6=0,0,L6+M7-M6)</f>
        <v>450.01389107310843</v>
      </c>
      <c r="N8" s="227">
        <f t="shared" ref="N8" si="11">IF(M6=0,0,M6+N7-N6)</f>
        <v>0</v>
      </c>
      <c r="O8" s="227">
        <f t="shared" ref="O8" si="12">IF(N6=0,0,N6+O7-O6)</f>
        <v>450.01389107310752</v>
      </c>
      <c r="P8" s="227">
        <f t="shared" ref="P8" si="13">IF(O6=0,0,O6+P7-P6)</f>
        <v>450.01389107310752</v>
      </c>
      <c r="Q8" s="227">
        <f t="shared" ref="Q8" si="14">IF(P6=0,0,P6+Q7-Q6)</f>
        <v>0</v>
      </c>
      <c r="R8" s="227">
        <f t="shared" ref="R8" si="15">IF(Q6=0,0,Q6+R7-R6)</f>
        <v>450.01389107310843</v>
      </c>
      <c r="S8" s="227">
        <f t="shared" ref="S8" si="16">IF(R6=0,0,R6+S7-S6)</f>
        <v>450.01389107310752</v>
      </c>
      <c r="T8" s="227">
        <f t="shared" ref="T8" si="17">IF(S6=0,0,S6+T7-T6)</f>
        <v>0</v>
      </c>
      <c r="U8" s="227">
        <f t="shared" ref="U8" si="18">IF(T6=0,0,T6+U7-U6)</f>
        <v>450.01389107310752</v>
      </c>
      <c r="V8" s="227">
        <f t="shared" ref="V8" si="19">IF(U6=0,0,U6+V7-V6)</f>
        <v>450.01389107310661</v>
      </c>
      <c r="W8" s="227">
        <f t="shared" ref="W8" si="20">IF(V6=0,0,V6+W7-W6)</f>
        <v>0</v>
      </c>
      <c r="X8" s="227">
        <f t="shared" ref="X8" si="21">IF(W6=0,0,W6+X7-X6)</f>
        <v>450.01389107310843</v>
      </c>
      <c r="Y8" s="227">
        <f t="shared" ref="Y8" si="22">IF(X6=0,0,X6+Y7-Y6)</f>
        <v>450.01389107310752</v>
      </c>
      <c r="DA8" s="213" t="s">
        <v>978</v>
      </c>
    </row>
    <row r="9" spans="1:105" x14ac:dyDescent="0.25">
      <c r="A9" s="222" t="s">
        <v>116</v>
      </c>
      <c r="B9" s="223">
        <f>B6-B5</f>
        <v>1800.055564292431</v>
      </c>
      <c r="C9" s="223">
        <f t="shared" ref="C9:W9" si="23">C6-C5</f>
        <v>1427.6725770429648</v>
      </c>
      <c r="D9" s="223">
        <f t="shared" si="23"/>
        <v>644.06600945504124</v>
      </c>
      <c r="E9" s="223">
        <f t="shared" si="23"/>
        <v>958.263063844709</v>
      </c>
      <c r="F9" s="223">
        <f t="shared" si="23"/>
        <v>623.93457468735232</v>
      </c>
      <c r="G9" s="223">
        <f t="shared" si="23"/>
        <v>1360.604090555963</v>
      </c>
      <c r="H9" s="223">
        <f t="shared" si="23"/>
        <v>1413.9732363957182</v>
      </c>
      <c r="I9" s="223">
        <f t="shared" si="23"/>
        <v>752.92465717188497</v>
      </c>
      <c r="J9" s="223">
        <f t="shared" si="23"/>
        <v>1202.1760951757287</v>
      </c>
      <c r="K9" s="223">
        <f t="shared" si="23"/>
        <v>1988.8037230205182</v>
      </c>
      <c r="L9" s="223">
        <f t="shared" si="23"/>
        <v>1288.4938767733729</v>
      </c>
      <c r="M9" s="223">
        <f t="shared" si="23"/>
        <v>474.88675929786586</v>
      </c>
      <c r="N9" s="223">
        <f t="shared" si="23"/>
        <v>774.85153007136614</v>
      </c>
      <c r="O9" s="223">
        <f t="shared" si="23"/>
        <v>660.76233297052386</v>
      </c>
      <c r="P9" s="223">
        <f t="shared" si="23"/>
        <v>695.43727976534683</v>
      </c>
      <c r="Q9" s="223">
        <f t="shared" si="23"/>
        <v>1090.3592707657872</v>
      </c>
      <c r="R9" s="223">
        <f t="shared" si="23"/>
        <v>556.49652582570616</v>
      </c>
      <c r="S9" s="223">
        <f t="shared" si="23"/>
        <v>339.38969048539002</v>
      </c>
      <c r="T9" s="223">
        <f t="shared" si="23"/>
        <v>861.48272568374887</v>
      </c>
      <c r="U9" s="223">
        <f t="shared" si="23"/>
        <v>655.57514741165414</v>
      </c>
      <c r="V9" s="223">
        <f t="shared" si="23"/>
        <v>871.6519170325937</v>
      </c>
      <c r="W9" s="223">
        <f t="shared" si="23"/>
        <v>706.32583638584401</v>
      </c>
      <c r="X9" s="223">
        <f t="shared" ref="X9:Y9" si="24">X6-X5</f>
        <v>458.62419650823176</v>
      </c>
      <c r="Y9" s="223">
        <f t="shared" si="24"/>
        <v>640.83832398042614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809.82132416165098</v>
      </c>
      <c r="C12" s="229">
        <f t="shared" ref="C12:W12" si="25">SUM(C13,C14,C18,C19,C26,C27)</f>
        <v>782.19888220120379</v>
      </c>
      <c r="D12" s="229">
        <f t="shared" si="25"/>
        <v>848.58134135855539</v>
      </c>
      <c r="E12" s="229">
        <f t="shared" si="25"/>
        <v>853.73791917454855</v>
      </c>
      <c r="F12" s="229">
        <f t="shared" si="25"/>
        <v>824.22846087704215</v>
      </c>
      <c r="G12" s="229">
        <f t="shared" si="25"/>
        <v>784.22588134135856</v>
      </c>
      <c r="H12" s="229">
        <f t="shared" si="25"/>
        <v>752.54350816852968</v>
      </c>
      <c r="I12" s="229">
        <f t="shared" si="25"/>
        <v>812.60464316423054</v>
      </c>
      <c r="J12" s="229">
        <f t="shared" si="25"/>
        <v>740.73585554600174</v>
      </c>
      <c r="K12" s="229">
        <f t="shared" si="25"/>
        <v>718.30859845227837</v>
      </c>
      <c r="L12" s="229">
        <f t="shared" si="25"/>
        <v>701.70017196904553</v>
      </c>
      <c r="M12" s="229">
        <f t="shared" si="25"/>
        <v>675.85984522785895</v>
      </c>
      <c r="N12" s="229">
        <f t="shared" si="25"/>
        <v>653.71530524505579</v>
      </c>
      <c r="O12" s="229">
        <f t="shared" si="25"/>
        <v>717.91418744625969</v>
      </c>
      <c r="P12" s="229">
        <f t="shared" si="25"/>
        <v>691.53147033533946</v>
      </c>
      <c r="Q12" s="229">
        <f t="shared" si="25"/>
        <v>660.37583834909719</v>
      </c>
      <c r="R12" s="229">
        <f t="shared" si="25"/>
        <v>680.12562338779026</v>
      </c>
      <c r="S12" s="229">
        <f t="shared" si="25"/>
        <v>651.27669819432492</v>
      </c>
      <c r="T12" s="229">
        <f t="shared" si="25"/>
        <v>625.66680997420463</v>
      </c>
      <c r="U12" s="229">
        <f t="shared" si="25"/>
        <v>645.23946689595857</v>
      </c>
      <c r="V12" s="229">
        <f t="shared" si="25"/>
        <v>602.51539122957854</v>
      </c>
      <c r="W12" s="229">
        <f t="shared" si="25"/>
        <v>594.6961306964746</v>
      </c>
      <c r="X12" s="229">
        <f t="shared" ref="X12:Y12" si="26">SUM(X13,X14,X18,X19,X26,X27)</f>
        <v>666.92278589853822</v>
      </c>
      <c r="Y12" s="229">
        <f t="shared" si="26"/>
        <v>619.36130696474629</v>
      </c>
      <c r="DA12" s="210" t="s">
        <v>980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DA13" s="9" t="s">
        <v>981</v>
      </c>
    </row>
    <row r="14" spans="1:105" x14ac:dyDescent="0.25">
      <c r="A14" s="60" t="s">
        <v>28</v>
      </c>
      <c r="B14" s="55">
        <f>SUM(B15:B17)</f>
        <v>352.63688736027518</v>
      </c>
      <c r="C14" s="55">
        <f t="shared" ref="C14:W14" si="27">SUM(C15:C17)</f>
        <v>345.8202923473774</v>
      </c>
      <c r="D14" s="55">
        <f t="shared" si="27"/>
        <v>431.50386930352533</v>
      </c>
      <c r="E14" s="55">
        <f t="shared" si="27"/>
        <v>431.45365434221844</v>
      </c>
      <c r="F14" s="55">
        <f t="shared" si="27"/>
        <v>383.33568357695623</v>
      </c>
      <c r="G14" s="55">
        <f t="shared" si="27"/>
        <v>557.89011177987959</v>
      </c>
      <c r="H14" s="55">
        <f t="shared" si="27"/>
        <v>489.99871023215809</v>
      </c>
      <c r="I14" s="55">
        <f t="shared" si="27"/>
        <v>521.92880481513328</v>
      </c>
      <c r="J14" s="55">
        <f t="shared" si="27"/>
        <v>480.6960447119518</v>
      </c>
      <c r="K14" s="55">
        <f t="shared" si="27"/>
        <v>456.7148753224418</v>
      </c>
      <c r="L14" s="55">
        <f t="shared" si="27"/>
        <v>476.35597592433356</v>
      </c>
      <c r="M14" s="55">
        <f t="shared" si="27"/>
        <v>446.01470335339638</v>
      </c>
      <c r="N14" s="55">
        <f t="shared" si="27"/>
        <v>444.02441960447106</v>
      </c>
      <c r="O14" s="55">
        <f t="shared" si="27"/>
        <v>441.48572656921755</v>
      </c>
      <c r="P14" s="55">
        <f t="shared" si="27"/>
        <v>415.32940670679272</v>
      </c>
      <c r="Q14" s="55">
        <f t="shared" si="27"/>
        <v>376.16827171109196</v>
      </c>
      <c r="R14" s="55">
        <f t="shared" si="27"/>
        <v>367.16895958727434</v>
      </c>
      <c r="S14" s="55">
        <f t="shared" si="27"/>
        <v>328.15382631126391</v>
      </c>
      <c r="T14" s="55">
        <f t="shared" si="27"/>
        <v>297.76233877901979</v>
      </c>
      <c r="U14" s="55">
        <f t="shared" si="27"/>
        <v>313.24496990541695</v>
      </c>
      <c r="V14" s="55">
        <f t="shared" si="27"/>
        <v>280.01754084264832</v>
      </c>
      <c r="W14" s="55">
        <f t="shared" si="27"/>
        <v>282.29269131556316</v>
      </c>
      <c r="X14" s="55">
        <f t="shared" ref="X14:Y14" si="28">SUM(X15:X17)</f>
        <v>265.78220120378325</v>
      </c>
      <c r="Y14" s="55">
        <f t="shared" si="28"/>
        <v>261.6374032674118</v>
      </c>
      <c r="DA14" s="10"/>
    </row>
    <row r="15" spans="1:105" x14ac:dyDescent="0.25">
      <c r="A15" s="61" t="s">
        <v>52</v>
      </c>
      <c r="B15" s="55">
        <v>2.259501289767841</v>
      </c>
      <c r="C15" s="55">
        <v>2.259501289767841</v>
      </c>
      <c r="D15" s="55">
        <v>2.259501289767841</v>
      </c>
      <c r="E15" s="55">
        <v>3.389251934651762</v>
      </c>
      <c r="F15" s="55">
        <v>3.389251934651762</v>
      </c>
      <c r="G15" s="55">
        <v>1.50481513327601</v>
      </c>
      <c r="H15" s="55">
        <v>1.4777300085984522</v>
      </c>
      <c r="I15" s="55">
        <v>1.5387790197764399</v>
      </c>
      <c r="J15" s="55">
        <v>2.1995700773860705</v>
      </c>
      <c r="K15" s="55">
        <v>2.0877901977644027</v>
      </c>
      <c r="L15" s="55">
        <v>2.1465176268271708</v>
      </c>
      <c r="M15" s="55">
        <v>1.3014617368873596</v>
      </c>
      <c r="N15" s="55">
        <v>1.3037833190025789</v>
      </c>
      <c r="O15" s="55">
        <v>1.6098882201203777</v>
      </c>
      <c r="P15" s="55">
        <v>0.96483233018056747</v>
      </c>
      <c r="Q15" s="55">
        <v>0.9207222699914015</v>
      </c>
      <c r="R15" s="55">
        <v>1.3172828890799653</v>
      </c>
      <c r="S15" s="55">
        <v>0.75881341358555454</v>
      </c>
      <c r="T15" s="55">
        <v>0.70378331900257951</v>
      </c>
      <c r="U15" s="55">
        <v>1.3174548581255376</v>
      </c>
      <c r="V15" s="55">
        <v>1.2503869303525366</v>
      </c>
      <c r="W15" s="55">
        <v>1.0150472914875321</v>
      </c>
      <c r="X15" s="55">
        <v>1.4010318142734313</v>
      </c>
      <c r="Y15" s="55">
        <v>0.93473774720550296</v>
      </c>
      <c r="DA15" s="10" t="s">
        <v>982</v>
      </c>
    </row>
    <row r="16" spans="1:105" x14ac:dyDescent="0.25">
      <c r="A16" s="61" t="s">
        <v>165</v>
      </c>
      <c r="B16" s="55">
        <v>336.86827171109201</v>
      </c>
      <c r="C16" s="55">
        <v>335.84127257093718</v>
      </c>
      <c r="D16" s="55">
        <v>396.43645743766115</v>
      </c>
      <c r="E16" s="55">
        <v>376.92269991401548</v>
      </c>
      <c r="F16" s="55">
        <v>347.13860705073091</v>
      </c>
      <c r="G16" s="55">
        <v>522.93447979363714</v>
      </c>
      <c r="H16" s="55">
        <v>458.83413585554592</v>
      </c>
      <c r="I16" s="55">
        <v>486.39664660361137</v>
      </c>
      <c r="J16" s="55">
        <v>446.53731728288903</v>
      </c>
      <c r="K16" s="55">
        <v>430.65838349097152</v>
      </c>
      <c r="L16" s="55">
        <v>445.87601031814268</v>
      </c>
      <c r="M16" s="55">
        <v>419.81891659501292</v>
      </c>
      <c r="N16" s="55">
        <v>417.74333619948396</v>
      </c>
      <c r="O16" s="55">
        <v>412.0874462596733</v>
      </c>
      <c r="P16" s="55">
        <v>388.43989681857261</v>
      </c>
      <c r="Q16" s="55">
        <v>350.5668959587274</v>
      </c>
      <c r="R16" s="55">
        <v>339.54273430782462</v>
      </c>
      <c r="S16" s="55">
        <v>298.43731728288907</v>
      </c>
      <c r="T16" s="55">
        <v>275.34875322441962</v>
      </c>
      <c r="U16" s="55">
        <v>293.69183147033527</v>
      </c>
      <c r="V16" s="55">
        <v>261.27282889079964</v>
      </c>
      <c r="W16" s="55">
        <v>269.20472914875319</v>
      </c>
      <c r="X16" s="55">
        <v>250.30060189165943</v>
      </c>
      <c r="Y16" s="55">
        <v>249.819260533104</v>
      </c>
      <c r="DA16" s="10" t="s">
        <v>983</v>
      </c>
    </row>
    <row r="17" spans="1:105" x14ac:dyDescent="0.25">
      <c r="A17" s="61" t="s">
        <v>113</v>
      </c>
      <c r="B17" s="55">
        <v>13.509114359415303</v>
      </c>
      <c r="C17" s="55">
        <v>7.7195184866723991</v>
      </c>
      <c r="D17" s="55">
        <v>32.807910576096305</v>
      </c>
      <c r="E17" s="55">
        <v>51.141702493551151</v>
      </c>
      <c r="F17" s="55">
        <v>32.807824591573514</v>
      </c>
      <c r="G17" s="55">
        <v>33.450816852966469</v>
      </c>
      <c r="H17" s="55">
        <v>29.686844368013752</v>
      </c>
      <c r="I17" s="55">
        <v>33.993379191745483</v>
      </c>
      <c r="J17" s="55">
        <v>31.959157351676701</v>
      </c>
      <c r="K17" s="55">
        <v>23.968701633705923</v>
      </c>
      <c r="L17" s="55">
        <v>28.333447979363712</v>
      </c>
      <c r="M17" s="55">
        <v>24.894325021496126</v>
      </c>
      <c r="N17" s="55">
        <v>24.977300085984524</v>
      </c>
      <c r="O17" s="55">
        <v>27.788392089423901</v>
      </c>
      <c r="P17" s="55">
        <v>25.924677558039548</v>
      </c>
      <c r="Q17" s="55">
        <v>24.680653482373174</v>
      </c>
      <c r="R17" s="55">
        <v>26.308942390369729</v>
      </c>
      <c r="S17" s="55">
        <v>28.957695614789333</v>
      </c>
      <c r="T17" s="55">
        <v>21.709802235597596</v>
      </c>
      <c r="U17" s="55">
        <v>18.235683576956148</v>
      </c>
      <c r="V17" s="55">
        <v>17.494325021496135</v>
      </c>
      <c r="W17" s="55">
        <v>12.072914875322439</v>
      </c>
      <c r="X17" s="55">
        <v>14.080567497850385</v>
      </c>
      <c r="Y17" s="55">
        <v>10.883404987102322</v>
      </c>
      <c r="DA17" s="10" t="s">
        <v>984</v>
      </c>
    </row>
    <row r="18" spans="1:105" x14ac:dyDescent="0.25">
      <c r="A18" s="60" t="s">
        <v>149</v>
      </c>
      <c r="B18" s="55">
        <v>21.840068787618229</v>
      </c>
      <c r="C18" s="55">
        <v>20.70077386070507</v>
      </c>
      <c r="D18" s="55">
        <v>21.281169389509891</v>
      </c>
      <c r="E18" s="55">
        <v>22.141014617368871</v>
      </c>
      <c r="F18" s="55">
        <v>22.205503009458301</v>
      </c>
      <c r="G18" s="55">
        <v>22.141014617368871</v>
      </c>
      <c r="H18" s="55">
        <v>22.592433361994839</v>
      </c>
      <c r="I18" s="55">
        <v>23.32330180567498</v>
      </c>
      <c r="J18" s="55">
        <v>24.05417024935511</v>
      </c>
      <c r="K18" s="55">
        <v>24.07566638005159</v>
      </c>
      <c r="L18" s="55">
        <v>24.07566638005159</v>
      </c>
      <c r="M18" s="55">
        <v>24.07566638005159</v>
      </c>
      <c r="N18" s="55">
        <v>24.07566638005159</v>
      </c>
      <c r="O18" s="55">
        <v>24.07566638005159</v>
      </c>
      <c r="P18" s="55">
        <v>8.2760103181427329</v>
      </c>
      <c r="Q18" s="55">
        <v>8.1900257953568349</v>
      </c>
      <c r="R18" s="55">
        <v>8.2975064488392078</v>
      </c>
      <c r="S18" s="55">
        <v>3.6457437661220982</v>
      </c>
      <c r="T18" s="55">
        <v>4.9810834049871016</v>
      </c>
      <c r="U18" s="55">
        <v>5.6094582975064489</v>
      </c>
      <c r="V18" s="55">
        <v>3.0912295786758381</v>
      </c>
      <c r="W18" s="55">
        <v>3.1356143244143819</v>
      </c>
      <c r="X18" s="55">
        <v>3.0881688719177225</v>
      </c>
      <c r="Y18" s="55">
        <v>1.2262874629396254</v>
      </c>
      <c r="DA18" s="10" t="s">
        <v>985</v>
      </c>
    </row>
    <row r="19" spans="1:105" x14ac:dyDescent="0.25">
      <c r="A19" s="60" t="s">
        <v>51</v>
      </c>
      <c r="B19" s="55">
        <f>SUM(B20:B25)</f>
        <v>325.85743766122101</v>
      </c>
      <c r="C19" s="55">
        <f t="shared" ref="C19:W19" si="29">SUM(C20:C25)</f>
        <v>295.78675838349102</v>
      </c>
      <c r="D19" s="55">
        <f t="shared" si="29"/>
        <v>275.819260533104</v>
      </c>
      <c r="E19" s="55">
        <f t="shared" si="29"/>
        <v>286.61504729148749</v>
      </c>
      <c r="F19" s="55">
        <f t="shared" si="29"/>
        <v>304.38521066208079</v>
      </c>
      <c r="G19" s="55">
        <f t="shared" si="29"/>
        <v>65.988993981083397</v>
      </c>
      <c r="H19" s="55">
        <f t="shared" si="29"/>
        <v>65.117196904557176</v>
      </c>
      <c r="I19" s="55">
        <f t="shared" si="29"/>
        <v>81.769303525365416</v>
      </c>
      <c r="J19" s="55">
        <f t="shared" si="29"/>
        <v>92.276870163370589</v>
      </c>
      <c r="K19" s="55">
        <f t="shared" si="29"/>
        <v>73.25898538263111</v>
      </c>
      <c r="L19" s="55">
        <f t="shared" si="29"/>
        <v>85.934651762682719</v>
      </c>
      <c r="M19" s="55">
        <f t="shared" si="29"/>
        <v>95.766638005159066</v>
      </c>
      <c r="N19" s="55">
        <f t="shared" si="29"/>
        <v>103.2993981083405</v>
      </c>
      <c r="O19" s="55">
        <f t="shared" si="29"/>
        <v>138.22269991401546</v>
      </c>
      <c r="P19" s="55">
        <f t="shared" si="29"/>
        <v>157.66526225279449</v>
      </c>
      <c r="Q19" s="55">
        <f t="shared" si="29"/>
        <v>160.51169389509889</v>
      </c>
      <c r="R19" s="55">
        <f t="shared" si="29"/>
        <v>186.48779019776441</v>
      </c>
      <c r="S19" s="55">
        <f t="shared" si="29"/>
        <v>213.94548581255378</v>
      </c>
      <c r="T19" s="55">
        <f t="shared" si="29"/>
        <v>213.43645743766123</v>
      </c>
      <c r="U19" s="55">
        <f t="shared" si="29"/>
        <v>231.17153912295782</v>
      </c>
      <c r="V19" s="55">
        <f t="shared" si="29"/>
        <v>221.01169389509883</v>
      </c>
      <c r="W19" s="55">
        <f t="shared" si="29"/>
        <v>199.6089256583887</v>
      </c>
      <c r="X19" s="55">
        <f t="shared" ref="X19:Y19" si="30">SUM(X20:X25)</f>
        <v>253.99970731036947</v>
      </c>
      <c r="Y19" s="55">
        <f t="shared" si="30"/>
        <v>218.9797314536554</v>
      </c>
      <c r="DA19" s="10"/>
    </row>
    <row r="20" spans="1:105" x14ac:dyDescent="0.25">
      <c r="A20" s="61" t="s">
        <v>164</v>
      </c>
      <c r="B20" s="55">
        <v>325.85743766122101</v>
      </c>
      <c r="C20" s="55">
        <v>295.78675838349102</v>
      </c>
      <c r="D20" s="55">
        <v>275.819260533104</v>
      </c>
      <c r="E20" s="55">
        <v>286.61504729148749</v>
      </c>
      <c r="F20" s="55">
        <v>304.38521066208079</v>
      </c>
      <c r="G20" s="55">
        <v>64.536199484092862</v>
      </c>
      <c r="H20" s="55">
        <v>59.448753224419598</v>
      </c>
      <c r="I20" s="55">
        <v>70.363972484952697</v>
      </c>
      <c r="J20" s="55">
        <v>78.651934651762673</v>
      </c>
      <c r="K20" s="55">
        <v>56.558727429062763</v>
      </c>
      <c r="L20" s="55">
        <v>68.262166809974204</v>
      </c>
      <c r="M20" s="55">
        <v>74.209458297506444</v>
      </c>
      <c r="N20" s="55">
        <v>74.042218400687872</v>
      </c>
      <c r="O20" s="55">
        <v>97.616337059329311</v>
      </c>
      <c r="P20" s="55">
        <v>98.858297506448835</v>
      </c>
      <c r="Q20" s="55">
        <v>94.702407566637987</v>
      </c>
      <c r="R20" s="55">
        <v>100.0286328460877</v>
      </c>
      <c r="S20" s="55">
        <v>113.356233877902</v>
      </c>
      <c r="T20" s="55">
        <v>107.2178847807395</v>
      </c>
      <c r="U20" s="55">
        <v>122.9100601891659</v>
      </c>
      <c r="V20" s="55">
        <v>115.9119518486672</v>
      </c>
      <c r="W20" s="55">
        <v>94.176956147893378</v>
      </c>
      <c r="X20" s="55">
        <v>128.04531384350821</v>
      </c>
      <c r="Y20" s="55">
        <v>102.8470335339639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3.511006018916595</v>
      </c>
      <c r="U21" s="55">
        <v>4.1797936371453126</v>
      </c>
      <c r="V21" s="55">
        <v>3.9648323301805668</v>
      </c>
      <c r="W21" s="55">
        <v>1.7765094932984291</v>
      </c>
      <c r="X21" s="55">
        <v>2.4927425640238075</v>
      </c>
      <c r="Y21" s="55">
        <v>1.7691553573527214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1.4527944969905415</v>
      </c>
      <c r="H22" s="55">
        <v>5.6684436801375746</v>
      </c>
      <c r="I22" s="55">
        <v>11.405331040412726</v>
      </c>
      <c r="J22" s="55">
        <v>13.624935511607912</v>
      </c>
      <c r="K22" s="55">
        <v>16.70025795356835</v>
      </c>
      <c r="L22" s="55">
        <v>17.672484952708515</v>
      </c>
      <c r="M22" s="55">
        <v>21.557179707652626</v>
      </c>
      <c r="N22" s="55">
        <v>29.257179707652629</v>
      </c>
      <c r="O22" s="55">
        <v>40.606362854686154</v>
      </c>
      <c r="P22" s="55">
        <v>58.806964746345656</v>
      </c>
      <c r="Q22" s="55">
        <v>65.8092863284609</v>
      </c>
      <c r="R22" s="55">
        <v>86.459157351676694</v>
      </c>
      <c r="S22" s="55">
        <v>100.58925193465177</v>
      </c>
      <c r="T22" s="55">
        <v>102.70756663800515</v>
      </c>
      <c r="U22" s="55">
        <v>104.08168529664661</v>
      </c>
      <c r="V22" s="55">
        <v>101.13490971625106</v>
      </c>
      <c r="W22" s="55">
        <v>103.65546001719689</v>
      </c>
      <c r="X22" s="55">
        <v>123.46165090283745</v>
      </c>
      <c r="Y22" s="55">
        <v>114.36354256233878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7.1653482373172821</v>
      </c>
      <c r="C26" s="55">
        <v>7.1653482373172821</v>
      </c>
      <c r="D26" s="55">
        <v>7.1653482373172821</v>
      </c>
      <c r="E26" s="55">
        <v>7.1653482373172821</v>
      </c>
      <c r="F26" s="55">
        <v>7.1653482373172821</v>
      </c>
      <c r="G26" s="55">
        <v>7.1653482373172821</v>
      </c>
      <c r="H26" s="55">
        <v>7.1653482373172821</v>
      </c>
      <c r="I26" s="55">
        <v>7.1653482373172821</v>
      </c>
      <c r="J26" s="55">
        <v>7.1653482373172821</v>
      </c>
      <c r="K26" s="55">
        <v>7.1653482373172821</v>
      </c>
      <c r="L26" s="55">
        <v>7.1653482373172821</v>
      </c>
      <c r="M26" s="55">
        <v>7.1653482373172821</v>
      </c>
      <c r="N26" s="55">
        <v>7.1653482373172821</v>
      </c>
      <c r="O26" s="55">
        <v>7.1653482373172821</v>
      </c>
      <c r="P26" s="55">
        <v>7.1653482373172821</v>
      </c>
      <c r="Q26" s="55">
        <v>7.1653482373172821</v>
      </c>
      <c r="R26" s="55">
        <v>7.1653482373172821</v>
      </c>
      <c r="S26" s="55">
        <v>7.1653482373172821</v>
      </c>
      <c r="T26" s="55">
        <v>7.1653482373172821</v>
      </c>
      <c r="U26" s="55">
        <v>7.1653482373172821</v>
      </c>
      <c r="V26" s="55">
        <v>7.1653482373172821</v>
      </c>
      <c r="W26" s="55">
        <v>7.1653482373172821</v>
      </c>
      <c r="X26" s="55">
        <v>7.1653482373172821</v>
      </c>
      <c r="Y26" s="55">
        <v>7.1653482373172821</v>
      </c>
      <c r="DA26" s="10" t="s">
        <v>992</v>
      </c>
    </row>
    <row r="27" spans="1:105" x14ac:dyDescent="0.25">
      <c r="A27" s="62" t="s">
        <v>24</v>
      </c>
      <c r="B27" s="63">
        <v>102.3215821152193</v>
      </c>
      <c r="C27" s="63">
        <v>112.72570937231301</v>
      </c>
      <c r="D27" s="63">
        <v>112.8116938950989</v>
      </c>
      <c r="E27" s="63">
        <v>106.3628546861565</v>
      </c>
      <c r="F27" s="63">
        <v>107.1367153912296</v>
      </c>
      <c r="G27" s="63">
        <v>131.04041272570939</v>
      </c>
      <c r="H27" s="63">
        <v>167.66981943250221</v>
      </c>
      <c r="I27" s="63">
        <v>178.41788478073951</v>
      </c>
      <c r="J27" s="63">
        <v>136.54342218400689</v>
      </c>
      <c r="K27" s="63">
        <v>157.0937231298366</v>
      </c>
      <c r="L27" s="63">
        <v>108.1685296646604</v>
      </c>
      <c r="M27" s="63">
        <v>102.8374892519346</v>
      </c>
      <c r="N27" s="63">
        <v>75.150472914875323</v>
      </c>
      <c r="O27" s="63">
        <v>106.9647463456578</v>
      </c>
      <c r="P27" s="63">
        <v>103.09544282029231</v>
      </c>
      <c r="Q27" s="63">
        <v>108.3404987102322</v>
      </c>
      <c r="R27" s="63">
        <v>111.006018916595</v>
      </c>
      <c r="S27" s="63">
        <v>98.366294067067926</v>
      </c>
      <c r="T27" s="63">
        <v>102.3215821152193</v>
      </c>
      <c r="U27" s="63">
        <v>88.048151332760099</v>
      </c>
      <c r="V27" s="63">
        <v>91.22957867583834</v>
      </c>
      <c r="W27" s="63">
        <v>102.4935511607911</v>
      </c>
      <c r="X27" s="63">
        <v>136.88736027515051</v>
      </c>
      <c r="Y27" s="63">
        <v>130.35253654342219</v>
      </c>
      <c r="DA27" s="11" t="s">
        <v>993</v>
      </c>
    </row>
    <row r="29" spans="1:105" x14ac:dyDescent="0.25">
      <c r="A29" s="218" t="s">
        <v>84</v>
      </c>
      <c r="B29" s="219">
        <v>1146.1510188</v>
      </c>
      <c r="C29" s="219">
        <v>1121.52720024</v>
      </c>
      <c r="D29" s="219">
        <v>1392.18309288</v>
      </c>
      <c r="E29" s="219">
        <v>1396.0596779999998</v>
      </c>
      <c r="F29" s="219">
        <v>1244.3959616400002</v>
      </c>
      <c r="G29" s="219">
        <v>1782.8154871199999</v>
      </c>
      <c r="H29" s="219">
        <v>1572.9630760800001</v>
      </c>
      <c r="I29" s="219">
        <v>1673.7047099999997</v>
      </c>
      <c r="J29" s="219">
        <v>1546.8964135200001</v>
      </c>
      <c r="K29" s="219">
        <v>1472.4721702799998</v>
      </c>
      <c r="L29" s="219">
        <v>1533.4204536</v>
      </c>
      <c r="M29" s="219">
        <v>1439.4152242800001</v>
      </c>
      <c r="N29" s="219">
        <v>1433.2100140799998</v>
      </c>
      <c r="O29" s="219">
        <v>1425.9598970400002</v>
      </c>
      <c r="P29" s="219">
        <v>1307.71674108</v>
      </c>
      <c r="Q29" s="219">
        <v>1185.9924088800001</v>
      </c>
      <c r="R29" s="219">
        <v>1158.1985487600002</v>
      </c>
      <c r="S29" s="219">
        <v>1026.7132607999999</v>
      </c>
      <c r="T29" s="219">
        <v>936.49565484000016</v>
      </c>
      <c r="U29" s="219">
        <v>985.10594507999986</v>
      </c>
      <c r="V29" s="219">
        <v>875.92409243999998</v>
      </c>
      <c r="W29" s="219">
        <v>882.58781129998988</v>
      </c>
      <c r="X29" s="219">
        <v>831.6454300678821</v>
      </c>
      <c r="Y29" s="219">
        <v>814.47000973625768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131.36423692884264</v>
      </c>
      <c r="C31" s="59">
        <f t="shared" si="31"/>
        <v>124.67065592001521</v>
      </c>
      <c r="D31" s="59">
        <f t="shared" si="31"/>
        <v>135.10298614266173</v>
      </c>
      <c r="E31" s="59">
        <f t="shared" si="31"/>
        <v>136.47394383951209</v>
      </c>
      <c r="F31" s="59">
        <f t="shared" si="31"/>
        <v>128.61708431078151</v>
      </c>
      <c r="G31" s="59">
        <f t="shared" si="31"/>
        <v>172.03688385461737</v>
      </c>
      <c r="H31" s="59">
        <f t="shared" si="31"/>
        <v>147.49131715090562</v>
      </c>
      <c r="I31" s="59">
        <f t="shared" si="31"/>
        <v>133.02235751344193</v>
      </c>
      <c r="J31" s="59">
        <f t="shared" si="31"/>
        <v>139.57605979151134</v>
      </c>
      <c r="K31" s="59">
        <f t="shared" si="31"/>
        <v>156.22970115220531</v>
      </c>
      <c r="L31" s="59">
        <f t="shared" si="31"/>
        <v>120.57321156615711</v>
      </c>
      <c r="M31" s="59">
        <f t="shared" si="31"/>
        <v>108.54431381454724</v>
      </c>
      <c r="N31" s="59">
        <f t="shared" si="31"/>
        <v>118.95343571830384</v>
      </c>
      <c r="O31" s="59">
        <f t="shared" si="31"/>
        <v>131.48262812187474</v>
      </c>
      <c r="P31" s="59">
        <f t="shared" si="31"/>
        <v>121.86182998955164</v>
      </c>
      <c r="Q31" s="59">
        <f t="shared" si="31"/>
        <v>107.18151016328439</v>
      </c>
      <c r="R31" s="59">
        <f t="shared" si="31"/>
        <v>109.92206843209948</v>
      </c>
      <c r="S31" s="59">
        <f t="shared" si="31"/>
        <v>100.08237648092087</v>
      </c>
      <c r="T31" s="59">
        <f t="shared" si="31"/>
        <v>99.742672618246203</v>
      </c>
      <c r="U31" s="59">
        <f t="shared" si="31"/>
        <v>99.768741315753317</v>
      </c>
      <c r="V31" s="59">
        <f t="shared" si="31"/>
        <v>100.16707740046731</v>
      </c>
      <c r="W31" s="59">
        <f t="shared" si="31"/>
        <v>96.781783387737605</v>
      </c>
      <c r="X31" s="59">
        <f t="shared" si="31"/>
        <v>100.1901015511999</v>
      </c>
      <c r="Y31" s="59">
        <f t="shared" si="31"/>
        <v>90.253013765354652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112.47171201628666</v>
      </c>
      <c r="C32" s="55">
        <f t="shared" si="32"/>
        <v>109.81942433546165</v>
      </c>
      <c r="D32" s="55">
        <f t="shared" si="32"/>
        <v>113.80906613357638</v>
      </c>
      <c r="E32" s="55">
        <f t="shared" si="32"/>
        <v>119.53787119840251</v>
      </c>
      <c r="F32" s="55">
        <f t="shared" si="32"/>
        <v>117.30616060932354</v>
      </c>
      <c r="G32" s="55">
        <f t="shared" si="32"/>
        <v>134.29403412451359</v>
      </c>
      <c r="H32" s="55">
        <f t="shared" si="32"/>
        <v>130.05722800154635</v>
      </c>
      <c r="I32" s="55">
        <f t="shared" si="32"/>
        <v>117.81469406104159</v>
      </c>
      <c r="J32" s="55">
        <f t="shared" si="32"/>
        <v>123.49619118298855</v>
      </c>
      <c r="K32" s="55">
        <f t="shared" si="32"/>
        <v>137.83360398812138</v>
      </c>
      <c r="L32" s="55">
        <f t="shared" si="32"/>
        <v>128.47617233393541</v>
      </c>
      <c r="M32" s="55">
        <f t="shared" si="32"/>
        <v>116.0213122138336</v>
      </c>
      <c r="N32" s="55">
        <f t="shared" si="32"/>
        <v>118.31216844961241</v>
      </c>
      <c r="O32" s="55">
        <f t="shared" si="32"/>
        <v>117.89482713876833</v>
      </c>
      <c r="P32" s="55">
        <f t="shared" si="32"/>
        <v>114.21265320772919</v>
      </c>
      <c r="Q32" s="55">
        <f t="shared" si="32"/>
        <v>116.67728719019787</v>
      </c>
      <c r="R32" s="55">
        <f t="shared" si="32"/>
        <v>118.41249825520161</v>
      </c>
      <c r="S32" s="55">
        <f t="shared" si="32"/>
        <v>109.25986032686183</v>
      </c>
      <c r="T32" s="55">
        <f t="shared" si="32"/>
        <v>115.03952384499105</v>
      </c>
      <c r="U32" s="55">
        <f t="shared" si="32"/>
        <v>114.31053707016738</v>
      </c>
      <c r="V32" s="55">
        <f t="shared" si="32"/>
        <v>121.02278233994656</v>
      </c>
      <c r="W32" s="55">
        <f t="shared" si="32"/>
        <v>115.61293230102247</v>
      </c>
      <c r="X32" s="55">
        <f t="shared" si="32"/>
        <v>98.926512660278448</v>
      </c>
      <c r="Y32" s="55">
        <f t="shared" si="32"/>
        <v>101.37891512464496</v>
      </c>
      <c r="DA32" s="216"/>
    </row>
    <row r="33" spans="1:105" x14ac:dyDescent="0.25">
      <c r="A33" s="35" t="s">
        <v>111</v>
      </c>
      <c r="B33" s="55">
        <f>IF(AGR_ued!B$5=0,"",AGR_ued!B$5/B$5*1000)</f>
        <v>41.616180241064022</v>
      </c>
      <c r="C33" s="55">
        <f>IF(AGR_ued!C$5=0,"",AGR_ued!C$5/C$5*1000)</f>
        <v>41.434597256369806</v>
      </c>
      <c r="D33" s="55">
        <f>IF(AGR_ued!D$5=0,"",AGR_ued!D$5/D$5*1000)</f>
        <v>42.965652731957668</v>
      </c>
      <c r="E33" s="55">
        <f>IF(AGR_ued!E$5=0,"",AGR_ued!E$5/E$5*1000)</f>
        <v>44.551338102604319</v>
      </c>
      <c r="F33" s="55">
        <f>IF(AGR_ued!F$5=0,"",AGR_ued!F$5/F$5*1000)</f>
        <v>43.661734205875362</v>
      </c>
      <c r="G33" s="55">
        <f>IF(AGR_ued!G$5=0,"",AGR_ued!G$5/G$5*1000)</f>
        <v>54.490602759773338</v>
      </c>
      <c r="H33" s="55">
        <f>IF(AGR_ued!H$5=0,"",AGR_ued!H$5/H$5*1000)</f>
        <v>54.647252140811439</v>
      </c>
      <c r="I33" s="55">
        <f>IF(AGR_ued!I$5=0,"",AGR_ued!I$5/I$5*1000)</f>
        <v>49.305751067375112</v>
      </c>
      <c r="J33" s="55">
        <f>IF(AGR_ued!J$5=0,"",AGR_ued!J$5/J$5*1000)</f>
        <v>50.440451771003922</v>
      </c>
      <c r="K33" s="55">
        <f>IF(AGR_ued!K$5=0,"",AGR_ued!K$5/K$5*1000)</f>
        <v>57.839969559135533</v>
      </c>
      <c r="L33" s="55">
        <f>IF(AGR_ued!L$5=0,"",AGR_ued!L$5/L$5*1000)</f>
        <v>51.693396588893627</v>
      </c>
      <c r="M33" s="55">
        <f>IF(AGR_ued!M$5=0,"",AGR_ued!M$5/M$5*1000)</f>
        <v>46.567753419896846</v>
      </c>
      <c r="N33" s="55">
        <f>IF(AGR_ued!N$5=0,"",AGR_ued!N$5/N$5*1000)</f>
        <v>46.554573004870107</v>
      </c>
      <c r="O33" s="55">
        <f>IF(AGR_ued!O$5=0,"",AGR_ued!O$5/O$5*1000)</f>
        <v>46.969568359308163</v>
      </c>
      <c r="P33" s="55">
        <f>IF(AGR_ued!P$5=0,"",AGR_ued!P$5/P$5*1000)</f>
        <v>45.338947801809667</v>
      </c>
      <c r="Q33" s="55">
        <f>IF(AGR_ued!Q$5=0,"",AGR_ued!Q$5/Q$5*1000)</f>
        <v>46.725148222635632</v>
      </c>
      <c r="R33" s="55">
        <f>IF(AGR_ued!R$5=0,"",AGR_ued!R$5/R$5*1000)</f>
        <v>47.344241757487161</v>
      </c>
      <c r="S33" s="55">
        <f>IF(AGR_ued!S$5=0,"",AGR_ued!S$5/S$5*1000)</f>
        <v>43.082263141042709</v>
      </c>
      <c r="T33" s="55">
        <f>IF(AGR_ued!T$5=0,"",AGR_ued!T$5/T$5*1000)</f>
        <v>45.846040487514216</v>
      </c>
      <c r="U33" s="55">
        <f>IF(AGR_ued!U$5=0,"",AGR_ued!U$5/U$5*1000)</f>
        <v>44.729698435379781</v>
      </c>
      <c r="V33" s="55">
        <f>IF(AGR_ued!V$5=0,"",AGR_ued!V$5/V$5*1000)</f>
        <v>47.726250923805821</v>
      </c>
      <c r="W33" s="55">
        <f>IF(AGR_ued!W$5=0,"",AGR_ued!W$5/W$5*1000)</f>
        <v>46.512208619744449</v>
      </c>
      <c r="X33" s="55">
        <f>IF(AGR_ued!X$5=0,"",AGR_ued!X$5/X$5*1000)</f>
        <v>40.335218028775543</v>
      </c>
      <c r="Y33" s="55">
        <f>IF(AGR_ued!Y$5=0,"",AGR_ued!Y$5/Y$5*1000)</f>
        <v>41.693098465014565</v>
      </c>
      <c r="DA33" s="216"/>
    </row>
    <row r="34" spans="1:105" x14ac:dyDescent="0.25">
      <c r="A34" s="37" t="s">
        <v>110</v>
      </c>
      <c r="B34" s="217">
        <f t="shared" ref="B34:Y34" si="33">IF(B$12=0,"",B$29/B$12)</f>
        <v>1.4153134581711919</v>
      </c>
      <c r="C34" s="217">
        <f t="shared" si="33"/>
        <v>1.4338133507476827</v>
      </c>
      <c r="D34" s="217">
        <f t="shared" si="33"/>
        <v>1.6406006413612078</v>
      </c>
      <c r="E34" s="217">
        <f t="shared" si="33"/>
        <v>1.6352321323033239</v>
      </c>
      <c r="F34" s="217">
        <f t="shared" si="33"/>
        <v>1.5097706773142336</v>
      </c>
      <c r="G34" s="217">
        <f t="shared" si="33"/>
        <v>2.2733443635788073</v>
      </c>
      <c r="H34" s="217">
        <f t="shared" si="33"/>
        <v>2.0901955289045429</v>
      </c>
      <c r="I34" s="217">
        <f t="shared" si="33"/>
        <v>2.0596789891363412</v>
      </c>
      <c r="J34" s="217">
        <f t="shared" si="33"/>
        <v>2.0883239307752581</v>
      </c>
      <c r="K34" s="217">
        <f t="shared" si="33"/>
        <v>2.0499158348552404</v>
      </c>
      <c r="L34" s="217">
        <f t="shared" si="33"/>
        <v>2.1852929710663438</v>
      </c>
      <c r="M34" s="217">
        <f t="shared" si="33"/>
        <v>2.1297540228843106</v>
      </c>
      <c r="N34" s="217">
        <f t="shared" si="33"/>
        <v>2.1924070043652071</v>
      </c>
      <c r="O34" s="217">
        <f t="shared" si="33"/>
        <v>1.9862539590036199</v>
      </c>
      <c r="P34" s="217">
        <f t="shared" si="33"/>
        <v>1.8910444385789966</v>
      </c>
      <c r="Q34" s="217">
        <f t="shared" si="33"/>
        <v>1.7959354961334064</v>
      </c>
      <c r="R34" s="217">
        <f t="shared" si="33"/>
        <v>1.7029185622956966</v>
      </c>
      <c r="S34" s="217">
        <f t="shared" si="33"/>
        <v>1.5764624523594639</v>
      </c>
      <c r="T34" s="217">
        <f t="shared" si="33"/>
        <v>1.4967961220103885</v>
      </c>
      <c r="U34" s="217">
        <f t="shared" si="33"/>
        <v>1.5267292154632615</v>
      </c>
      <c r="V34" s="217">
        <f t="shared" si="33"/>
        <v>1.4537787833974909</v>
      </c>
      <c r="W34" s="217">
        <f t="shared" si="33"/>
        <v>1.4840987955754021</v>
      </c>
      <c r="X34" s="217">
        <f t="shared" si="33"/>
        <v>1.2469890782745032</v>
      </c>
      <c r="Y34" s="217">
        <f t="shared" si="33"/>
        <v>1.3150159698022867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809.82132416165086</v>
      </c>
      <c r="C5" s="80">
        <f t="shared" ref="C5:W5" si="1">SUM(C6:C9,C16:C17,C25:C27)</f>
        <v>782.1988822012039</v>
      </c>
      <c r="D5" s="80">
        <f t="shared" si="1"/>
        <v>848.58134135855505</v>
      </c>
      <c r="E5" s="80">
        <f t="shared" si="1"/>
        <v>853.73791917454844</v>
      </c>
      <c r="F5" s="80">
        <f t="shared" si="1"/>
        <v>824.22846087704193</v>
      </c>
      <c r="G5" s="80">
        <f t="shared" si="1"/>
        <v>784.22588134135844</v>
      </c>
      <c r="H5" s="80">
        <f t="shared" si="1"/>
        <v>752.54350816852934</v>
      </c>
      <c r="I5" s="80">
        <f t="shared" si="1"/>
        <v>812.60464316423065</v>
      </c>
      <c r="J5" s="80">
        <f t="shared" si="1"/>
        <v>740.73585554600129</v>
      </c>
      <c r="K5" s="80">
        <f t="shared" si="1"/>
        <v>718.30859845227849</v>
      </c>
      <c r="L5" s="80">
        <f t="shared" si="1"/>
        <v>701.70017196904519</v>
      </c>
      <c r="M5" s="80">
        <f t="shared" si="1"/>
        <v>675.85984522785884</v>
      </c>
      <c r="N5" s="80">
        <f t="shared" si="1"/>
        <v>653.71530524505556</v>
      </c>
      <c r="O5" s="80">
        <f t="shared" si="1"/>
        <v>717.91418744625969</v>
      </c>
      <c r="P5" s="80">
        <f t="shared" si="1"/>
        <v>691.53147033533924</v>
      </c>
      <c r="Q5" s="80">
        <f t="shared" si="1"/>
        <v>660.37583834909731</v>
      </c>
      <c r="R5" s="80">
        <f t="shared" si="1"/>
        <v>680.1256233877898</v>
      </c>
      <c r="S5" s="80">
        <f t="shared" si="1"/>
        <v>651.27669819432504</v>
      </c>
      <c r="T5" s="80">
        <f t="shared" si="1"/>
        <v>625.66680997420463</v>
      </c>
      <c r="U5" s="80">
        <f t="shared" si="1"/>
        <v>645.23946689595869</v>
      </c>
      <c r="V5" s="80">
        <f t="shared" si="1"/>
        <v>602.51539122957843</v>
      </c>
      <c r="W5" s="80">
        <f t="shared" si="1"/>
        <v>594.69613069647437</v>
      </c>
      <c r="X5" s="80">
        <f t="shared" ref="X5:Y5" si="2">SUM(X6:X9,X16:X17,X25:X27)</f>
        <v>666.92278589853788</v>
      </c>
      <c r="Y5" s="80">
        <f t="shared" si="2"/>
        <v>619.36130696474606</v>
      </c>
      <c r="DA5" s="103"/>
    </row>
    <row r="6" spans="1:105" x14ac:dyDescent="0.25">
      <c r="A6" s="238" t="s">
        <v>125</v>
      </c>
      <c r="B6" s="239">
        <v>16.34066410204538</v>
      </c>
      <c r="C6" s="239">
        <v>17.440844170208031</v>
      </c>
      <c r="D6" s="239">
        <v>18.14286082976346</v>
      </c>
      <c r="E6" s="239">
        <v>17.233348285107731</v>
      </c>
      <c r="F6" s="239">
        <v>17.012968383448481</v>
      </c>
      <c r="G6" s="239">
        <v>21.11304595047347</v>
      </c>
      <c r="H6" s="239">
        <v>24.351997522873269</v>
      </c>
      <c r="I6" s="239">
        <v>25.976742728394541</v>
      </c>
      <c r="J6" s="239">
        <v>21.127590382363689</v>
      </c>
      <c r="K6" s="239">
        <v>23.032964574221879</v>
      </c>
      <c r="L6" s="239">
        <v>17.823116998199549</v>
      </c>
      <c r="M6" s="239">
        <v>16.9818783731805</v>
      </c>
      <c r="N6" s="239">
        <v>13.31956086401668</v>
      </c>
      <c r="O6" s="239">
        <v>17.64787825986782</v>
      </c>
      <c r="P6" s="239">
        <v>16.974870824590202</v>
      </c>
      <c r="Q6" s="239">
        <v>17.301828699714051</v>
      </c>
      <c r="R6" s="239">
        <v>17.728140510913111</v>
      </c>
      <c r="S6" s="239">
        <v>15.961896724382299</v>
      </c>
      <c r="T6" s="239">
        <v>16.2408487656731</v>
      </c>
      <c r="U6" s="239">
        <v>14.734925895149029</v>
      </c>
      <c r="V6" s="239">
        <v>14.78250464679798</v>
      </c>
      <c r="W6" s="239">
        <v>16.106207500456929</v>
      </c>
      <c r="X6" s="239">
        <v>19.884064509188299</v>
      </c>
      <c r="Y6" s="239">
        <v>18.954050020349069</v>
      </c>
      <c r="DA6" s="267" t="s">
        <v>995</v>
      </c>
    </row>
    <row r="7" spans="1:105" x14ac:dyDescent="0.25">
      <c r="A7" s="240" t="s">
        <v>124</v>
      </c>
      <c r="B7" s="241">
        <v>10.621431666329491</v>
      </c>
      <c r="C7" s="241">
        <v>11.336548710635221</v>
      </c>
      <c r="D7" s="241">
        <v>11.792859539346249</v>
      </c>
      <c r="E7" s="241">
        <v>11.201676385320029</v>
      </c>
      <c r="F7" s="241">
        <v>11.05842944924151</v>
      </c>
      <c r="G7" s="241">
        <v>13.72347986780775</v>
      </c>
      <c r="H7" s="241">
        <v>15.82879838986762</v>
      </c>
      <c r="I7" s="241">
        <v>16.88488277345644</v>
      </c>
      <c r="J7" s="241">
        <v>13.7329337485364</v>
      </c>
      <c r="K7" s="241">
        <v>14.97142697324422</v>
      </c>
      <c r="L7" s="241">
        <v>11.5850260488297</v>
      </c>
      <c r="M7" s="241">
        <v>11.038220942567319</v>
      </c>
      <c r="N7" s="241">
        <v>8.6577145616108364</v>
      </c>
      <c r="O7" s="241">
        <v>11.471120868914079</v>
      </c>
      <c r="P7" s="241">
        <v>11.03366603598363</v>
      </c>
      <c r="Q7" s="241">
        <v>11.246188654814119</v>
      </c>
      <c r="R7" s="241">
        <v>11.523291332093519</v>
      </c>
      <c r="S7" s="241">
        <v>10.375232870848491</v>
      </c>
      <c r="T7" s="241">
        <v>10.556551697687521</v>
      </c>
      <c r="U7" s="241">
        <v>9.5777018318468627</v>
      </c>
      <c r="V7" s="241">
        <v>9.6086280204186849</v>
      </c>
      <c r="W7" s="241">
        <v>10.469034875297</v>
      </c>
      <c r="X7" s="241">
        <v>12.92464193097239</v>
      </c>
      <c r="Y7" s="241">
        <v>12.32013251322689</v>
      </c>
      <c r="DA7" s="268" t="s">
        <v>996</v>
      </c>
    </row>
    <row r="8" spans="1:105" x14ac:dyDescent="0.25">
      <c r="A8" s="240" t="s">
        <v>123</v>
      </c>
      <c r="B8" s="241">
        <v>14.706597691840839</v>
      </c>
      <c r="C8" s="241">
        <v>15.69675975318723</v>
      </c>
      <c r="D8" s="241">
        <v>16.328574746787108</v>
      </c>
      <c r="E8" s="241">
        <v>15.51001345659696</v>
      </c>
      <c r="F8" s="241">
        <v>15.311671545103639</v>
      </c>
      <c r="G8" s="241">
        <v>19.00174135542612</v>
      </c>
      <c r="H8" s="241">
        <v>21.916797770585951</v>
      </c>
      <c r="I8" s="241">
        <v>23.379068455555078</v>
      </c>
      <c r="J8" s="241">
        <v>19.01483134412732</v>
      </c>
      <c r="K8" s="241">
        <v>20.72966811679969</v>
      </c>
      <c r="L8" s="241">
        <v>16.040805298379588</v>
      </c>
      <c r="M8" s="241">
        <v>15.28369053586245</v>
      </c>
      <c r="N8" s="241">
        <v>11.98760477761501</v>
      </c>
      <c r="O8" s="241">
        <v>15.883090433881041</v>
      </c>
      <c r="P8" s="241">
        <v>15.27738374213118</v>
      </c>
      <c r="Q8" s="241">
        <v>15.571645829742639</v>
      </c>
      <c r="R8" s="241">
        <v>15.9553264598218</v>
      </c>
      <c r="S8" s="241">
        <v>14.365707051944071</v>
      </c>
      <c r="T8" s="241">
        <v>14.61676388910579</v>
      </c>
      <c r="U8" s="241">
        <v>13.261433305634119</v>
      </c>
      <c r="V8" s="241">
        <v>13.30425418211818</v>
      </c>
      <c r="W8" s="241">
        <v>14.495586750411229</v>
      </c>
      <c r="X8" s="241">
        <v>17.895658058269468</v>
      </c>
      <c r="Y8" s="241">
        <v>17.058645018314159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126.82813645533325</v>
      </c>
      <c r="C9" s="243">
        <f t="shared" ref="C9:W9" si="4">SUM(C10:C15)</f>
        <v>126.36828084634634</v>
      </c>
      <c r="D9" s="243">
        <f t="shared" si="4"/>
        <v>140.04802213137839</v>
      </c>
      <c r="E9" s="243">
        <f t="shared" si="4"/>
        <v>136.73440057708746</v>
      </c>
      <c r="F9" s="243">
        <f t="shared" si="4"/>
        <v>130.17260340193897</v>
      </c>
      <c r="G9" s="243">
        <f t="shared" si="4"/>
        <v>150.05685116461515</v>
      </c>
      <c r="H9" s="243">
        <f t="shared" si="4"/>
        <v>146.62033955022309</v>
      </c>
      <c r="I9" s="243">
        <f t="shared" si="4"/>
        <v>157.29244392795582</v>
      </c>
      <c r="J9" s="243">
        <f t="shared" si="4"/>
        <v>140.73933115981731</v>
      </c>
      <c r="K9" s="243">
        <f t="shared" si="4"/>
        <v>140.11524143408988</v>
      </c>
      <c r="L9" s="243">
        <f t="shared" si="4"/>
        <v>134.03156024217245</v>
      </c>
      <c r="M9" s="243">
        <f t="shared" si="4"/>
        <v>128.81477392458311</v>
      </c>
      <c r="N9" s="243">
        <f t="shared" si="4"/>
        <v>126.23071304192875</v>
      </c>
      <c r="O9" s="243">
        <f t="shared" si="4"/>
        <v>134.91801919281386</v>
      </c>
      <c r="P9" s="243">
        <f t="shared" si="4"/>
        <v>129.12660320782203</v>
      </c>
      <c r="Q9" s="243">
        <f t="shared" si="4"/>
        <v>123.26235797222542</v>
      </c>
      <c r="R9" s="243">
        <f t="shared" si="4"/>
        <v>126.52506757503305</v>
      </c>
      <c r="S9" s="243">
        <f t="shared" si="4"/>
        <v>119.08634274458097</v>
      </c>
      <c r="T9" s="243">
        <f t="shared" si="4"/>
        <v>115.45717389364721</v>
      </c>
      <c r="U9" s="243">
        <f t="shared" si="4"/>
        <v>118.540353340496</v>
      </c>
      <c r="V9" s="243">
        <f t="shared" si="4"/>
        <v>110.26329397628838</v>
      </c>
      <c r="W9" s="243">
        <f t="shared" si="4"/>
        <v>111.29502919880964</v>
      </c>
      <c r="X9" s="243">
        <f t="shared" ref="X9:Y9" si="5">SUM(X10:X15)</f>
        <v>123.67503774842785</v>
      </c>
      <c r="Y9" s="243">
        <f t="shared" si="5"/>
        <v>116.85511633490081</v>
      </c>
      <c r="DA9" s="269"/>
    </row>
    <row r="10" spans="1:105" x14ac:dyDescent="0.25">
      <c r="A10" s="253" t="s">
        <v>166</v>
      </c>
      <c r="B10" s="254">
        <v>85.853010826296881</v>
      </c>
      <c r="C10" s="254">
        <v>81.908863917498707</v>
      </c>
      <c r="D10" s="254">
        <v>99.03305477934849</v>
      </c>
      <c r="E10" s="254">
        <v>96.429847077818735</v>
      </c>
      <c r="F10" s="254">
        <v>87.726338603208475</v>
      </c>
      <c r="G10" s="254">
        <v>109.1638220553267</v>
      </c>
      <c r="H10" s="254">
        <v>85.86219472316121</v>
      </c>
      <c r="I10" s="254">
        <v>93.489729703085985</v>
      </c>
      <c r="J10" s="254">
        <v>93.589065749791729</v>
      </c>
      <c r="K10" s="254">
        <v>82.848201527640583</v>
      </c>
      <c r="L10" s="254">
        <v>98.54764776745256</v>
      </c>
      <c r="M10" s="254">
        <v>94.340684971220952</v>
      </c>
      <c r="N10" s="254">
        <v>100.7472182380298</v>
      </c>
      <c r="O10" s="254">
        <v>99.215734772907766</v>
      </c>
      <c r="P10" s="254">
        <v>100.3448295775481</v>
      </c>
      <c r="Q10" s="254">
        <v>90.961740903310812</v>
      </c>
      <c r="R10" s="254">
        <v>93.614441116574454</v>
      </c>
      <c r="S10" s="254">
        <v>91.787644203087538</v>
      </c>
      <c r="T10" s="254">
        <v>83.622019585791307</v>
      </c>
      <c r="U10" s="254">
        <v>92.704861900321788</v>
      </c>
      <c r="V10" s="254">
        <v>82.719263642696532</v>
      </c>
      <c r="W10" s="254">
        <v>80.215133422835805</v>
      </c>
      <c r="X10" s="254">
        <v>76.800958943596783</v>
      </c>
      <c r="Y10" s="254">
        <v>72.969715323214103</v>
      </c>
      <c r="DA10" s="270" t="s">
        <v>998</v>
      </c>
    </row>
    <row r="11" spans="1:105" x14ac:dyDescent="0.25">
      <c r="A11" s="253" t="s">
        <v>169</v>
      </c>
      <c r="B11" s="255">
        <v>13.19151578617287</v>
      </c>
      <c r="C11" s="255">
        <v>11.772580169583639</v>
      </c>
      <c r="D11" s="255">
        <v>11.75222936760213</v>
      </c>
      <c r="E11" s="255">
        <v>12.943092000805089</v>
      </c>
      <c r="F11" s="255">
        <v>13.20904308694552</v>
      </c>
      <c r="G11" s="255">
        <v>8.2524978979795751</v>
      </c>
      <c r="H11" s="255">
        <v>7.6829647721436878</v>
      </c>
      <c r="I11" s="255">
        <v>8.1031948492768056</v>
      </c>
      <c r="J11" s="255">
        <v>9.0794468995230364</v>
      </c>
      <c r="K11" s="255">
        <v>8.1727914108985864</v>
      </c>
      <c r="L11" s="255">
        <v>9.2656195631606675</v>
      </c>
      <c r="M11" s="255">
        <v>9.3806433293834885</v>
      </c>
      <c r="N11" s="255">
        <v>9.7654779712905597</v>
      </c>
      <c r="O11" s="255">
        <v>9.8115811354915614</v>
      </c>
      <c r="P11" s="255">
        <v>3.395336694875577</v>
      </c>
      <c r="Q11" s="255">
        <v>3.303913619215002</v>
      </c>
      <c r="R11" s="255">
        <v>3.379961858328234</v>
      </c>
      <c r="S11" s="255">
        <v>1.576539858414806</v>
      </c>
      <c r="T11" s="255">
        <v>3.5524677829522688</v>
      </c>
      <c r="U11" s="255">
        <v>4.2966213452816104</v>
      </c>
      <c r="V11" s="255">
        <v>3.0616266538748569</v>
      </c>
      <c r="W11" s="255">
        <v>1.9520338791644929</v>
      </c>
      <c r="X11" s="255">
        <v>2.2416928378945808</v>
      </c>
      <c r="Y11" s="255">
        <v>1.137766333271339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7.1653482373256452</v>
      </c>
      <c r="C14" s="254">
        <v>7.165348237327799</v>
      </c>
      <c r="D14" s="254">
        <v>7.1653482373245287</v>
      </c>
      <c r="E14" s="254">
        <v>7.1653482373228261</v>
      </c>
      <c r="F14" s="254">
        <v>7.1653482373242339</v>
      </c>
      <c r="G14" s="254">
        <v>7.1653482373182422</v>
      </c>
      <c r="H14" s="254">
        <v>7.1653482373128012</v>
      </c>
      <c r="I14" s="254">
        <v>7.165348237313478</v>
      </c>
      <c r="J14" s="254">
        <v>7.165348237322096</v>
      </c>
      <c r="K14" s="254">
        <v>7.1653482373133013</v>
      </c>
      <c r="L14" s="254">
        <v>7.1653482373174446</v>
      </c>
      <c r="M14" s="254">
        <v>7.1653482373174553</v>
      </c>
      <c r="N14" s="254">
        <v>7.165348237314852</v>
      </c>
      <c r="O14" s="254">
        <v>7.1653482373178674</v>
      </c>
      <c r="P14" s="254">
        <v>7.1653482373180761</v>
      </c>
      <c r="Q14" s="254">
        <v>7.1653482373199129</v>
      </c>
      <c r="R14" s="254">
        <v>7.1653482373201438</v>
      </c>
      <c r="S14" s="254">
        <v>7.1653482373192947</v>
      </c>
      <c r="T14" s="254">
        <v>7.165348237321024</v>
      </c>
      <c r="U14" s="254">
        <v>7.1653482373176587</v>
      </c>
      <c r="V14" s="254">
        <v>7.1653482373194226</v>
      </c>
      <c r="W14" s="254">
        <v>7.1653482373227728</v>
      </c>
      <c r="X14" s="254">
        <v>7.165348237322295</v>
      </c>
      <c r="Y14" s="254">
        <v>7.1653482373102939</v>
      </c>
      <c r="DA14" s="270" t="s">
        <v>1002</v>
      </c>
    </row>
    <row r="15" spans="1:105" x14ac:dyDescent="0.25">
      <c r="A15" s="253" t="s">
        <v>24</v>
      </c>
      <c r="B15" s="255">
        <v>20.61826160553785</v>
      </c>
      <c r="C15" s="255">
        <v>25.521488521936192</v>
      </c>
      <c r="D15" s="255">
        <v>22.097389747103261</v>
      </c>
      <c r="E15" s="255">
        <v>20.196113261140791</v>
      </c>
      <c r="F15" s="255">
        <v>22.07187347446073</v>
      </c>
      <c r="G15" s="255">
        <v>25.475182973990631</v>
      </c>
      <c r="H15" s="255">
        <v>45.909831817605408</v>
      </c>
      <c r="I15" s="255">
        <v>48.534171138279547</v>
      </c>
      <c r="J15" s="255">
        <v>30.905470273180459</v>
      </c>
      <c r="K15" s="255">
        <v>41.928900258237412</v>
      </c>
      <c r="L15" s="255">
        <v>19.052944674241779</v>
      </c>
      <c r="M15" s="255">
        <v>17.928097386661211</v>
      </c>
      <c r="N15" s="255">
        <v>8.5526685952935253</v>
      </c>
      <c r="O15" s="255">
        <v>18.725355047096649</v>
      </c>
      <c r="P15" s="255">
        <v>18.22108869808029</v>
      </c>
      <c r="Q15" s="255">
        <v>21.831355212379691</v>
      </c>
      <c r="R15" s="255">
        <v>22.365316362810219</v>
      </c>
      <c r="S15" s="255">
        <v>18.556810445759339</v>
      </c>
      <c r="T15" s="255">
        <v>21.117338287582609</v>
      </c>
      <c r="U15" s="255">
        <v>14.373521857574939</v>
      </c>
      <c r="V15" s="255">
        <v>17.317055442397571</v>
      </c>
      <c r="W15" s="255">
        <v>21.962513659486579</v>
      </c>
      <c r="X15" s="255">
        <v>37.467037729614198</v>
      </c>
      <c r="Y15" s="255">
        <v>35.582286441105069</v>
      </c>
      <c r="DA15" s="271" t="s">
        <v>1003</v>
      </c>
    </row>
    <row r="16" spans="1:105" x14ac:dyDescent="0.25">
      <c r="A16" s="256" t="s">
        <v>168</v>
      </c>
      <c r="B16" s="257">
        <v>163.34135386154949</v>
      </c>
      <c r="C16" s="257">
        <v>160.89611005441091</v>
      </c>
      <c r="D16" s="257">
        <v>182.1112488992936</v>
      </c>
      <c r="E16" s="257">
        <v>177.79989000377</v>
      </c>
      <c r="F16" s="257">
        <v>167.48053525416159</v>
      </c>
      <c r="G16" s="257">
        <v>194.1910877140495</v>
      </c>
      <c r="H16" s="257">
        <v>177.84319528814731</v>
      </c>
      <c r="I16" s="257">
        <v>191.84693172636341</v>
      </c>
      <c r="J16" s="257">
        <v>178.0106062318481</v>
      </c>
      <c r="K16" s="257">
        <v>170.53254918094751</v>
      </c>
      <c r="L16" s="257">
        <v>174.04026994495939</v>
      </c>
      <c r="M16" s="257">
        <v>167.13238163611311</v>
      </c>
      <c r="N16" s="257">
        <v>166.60521831283191</v>
      </c>
      <c r="O16" s="257">
        <v>175.5120493212508</v>
      </c>
      <c r="P16" s="257">
        <v>169.99417373332139</v>
      </c>
      <c r="Q16" s="257">
        <v>160.12334508935231</v>
      </c>
      <c r="R16" s="257">
        <v>164.56433666243669</v>
      </c>
      <c r="S16" s="257">
        <v>156.66368117204439</v>
      </c>
      <c r="T16" s="257">
        <v>149.4431346790567</v>
      </c>
      <c r="U16" s="257">
        <v>156.48796395616171</v>
      </c>
      <c r="V16" s="257">
        <v>144.08028880669241</v>
      </c>
      <c r="W16" s="257">
        <v>143.44216187768981</v>
      </c>
      <c r="X16" s="257">
        <v>153.13303769398641</v>
      </c>
      <c r="Y16" s="257">
        <v>144.33697047205879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406.5611109480862</v>
      </c>
      <c r="C17" s="257">
        <f t="shared" ref="C17:W17" si="7">SUM(C18:C24)</f>
        <v>376.81274203848324</v>
      </c>
      <c r="D17" s="257">
        <f t="shared" si="7"/>
        <v>400.713572037961</v>
      </c>
      <c r="E17" s="257">
        <f t="shared" si="7"/>
        <v>418.87115656850256</v>
      </c>
      <c r="F17" s="257">
        <f t="shared" si="7"/>
        <v>409.32769971785336</v>
      </c>
      <c r="G17" s="257">
        <f t="shared" si="7"/>
        <v>297.09727687090884</v>
      </c>
      <c r="H17" s="257">
        <f t="shared" si="7"/>
        <v>272.1459336448554</v>
      </c>
      <c r="I17" s="257">
        <f t="shared" si="7"/>
        <v>296.71656713710689</v>
      </c>
      <c r="J17" s="257">
        <f t="shared" si="7"/>
        <v>282.14174476359142</v>
      </c>
      <c r="K17" s="257">
        <f t="shared" si="7"/>
        <v>259.72673446960869</v>
      </c>
      <c r="L17" s="257">
        <f t="shared" si="7"/>
        <v>271.0694685172067</v>
      </c>
      <c r="M17" s="257">
        <f t="shared" si="7"/>
        <v>262.88741783453901</v>
      </c>
      <c r="N17" s="257">
        <f t="shared" si="7"/>
        <v>262.26698842929329</v>
      </c>
      <c r="O17" s="257">
        <f t="shared" si="7"/>
        <v>285.51862468658771</v>
      </c>
      <c r="P17" s="257">
        <f t="shared" si="7"/>
        <v>274.87054210365625</v>
      </c>
      <c r="Q17" s="257">
        <f t="shared" si="7"/>
        <v>259.71195660607282</v>
      </c>
      <c r="R17" s="257">
        <f t="shared" si="7"/>
        <v>268.77310787210655</v>
      </c>
      <c r="S17" s="257">
        <f t="shared" si="7"/>
        <v>265.61295872651084</v>
      </c>
      <c r="T17" s="257">
        <f t="shared" si="7"/>
        <v>250.84551382653586</v>
      </c>
      <c r="U17" s="257">
        <f t="shared" si="7"/>
        <v>266.46605372168938</v>
      </c>
      <c r="V17" s="257">
        <f t="shared" si="7"/>
        <v>246.57305699286698</v>
      </c>
      <c r="W17" s="257">
        <f t="shared" si="7"/>
        <v>231.86429530533195</v>
      </c>
      <c r="X17" s="257">
        <f t="shared" ref="X17:Y17" si="8">SUM(X18:X24)</f>
        <v>261.2685985486263</v>
      </c>
      <c r="Y17" s="257">
        <f t="shared" si="8"/>
        <v>235.66341831518571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1005</v>
      </c>
    </row>
    <row r="19" spans="1:105" x14ac:dyDescent="0.25">
      <c r="A19" s="61" t="s">
        <v>27</v>
      </c>
      <c r="B19" s="55">
        <v>2.2595012897640472</v>
      </c>
      <c r="C19" s="55">
        <v>2.259501289763111</v>
      </c>
      <c r="D19" s="55">
        <v>2.2595012897632358</v>
      </c>
      <c r="E19" s="55">
        <v>3.3892519346471208</v>
      </c>
      <c r="F19" s="55">
        <v>3.3892519346469601</v>
      </c>
      <c r="G19" s="55">
        <v>1.5048151332740221</v>
      </c>
      <c r="H19" s="55">
        <v>1.477730008600374</v>
      </c>
      <c r="I19" s="55">
        <v>1.538779019778147</v>
      </c>
      <c r="J19" s="55">
        <v>2.1995700773809772</v>
      </c>
      <c r="K19" s="55">
        <v>2.087790197766993</v>
      </c>
      <c r="L19" s="55">
        <v>2.1465176268244299</v>
      </c>
      <c r="M19" s="55">
        <v>1.3014617368854871</v>
      </c>
      <c r="N19" s="55">
        <v>1.3037833190012289</v>
      </c>
      <c r="O19" s="55">
        <v>1.6098882201176361</v>
      </c>
      <c r="P19" s="55">
        <v>0.96483233017892811</v>
      </c>
      <c r="Q19" s="55">
        <v>0.92072226998971596</v>
      </c>
      <c r="R19" s="55">
        <v>1.317282889077408</v>
      </c>
      <c r="S19" s="55">
        <v>0.75881341358437038</v>
      </c>
      <c r="T19" s="55">
        <v>0.70378331900115454</v>
      </c>
      <c r="U19" s="55">
        <v>1.3174548581237331</v>
      </c>
      <c r="V19" s="55">
        <v>1.250386930350603</v>
      </c>
      <c r="W19" s="55">
        <v>1.0150472914846289</v>
      </c>
      <c r="X19" s="55">
        <v>1.401031814271718</v>
      </c>
      <c r="Y19" s="55">
        <v>0.93473774720718983</v>
      </c>
      <c r="DA19" s="101" t="s">
        <v>1006</v>
      </c>
    </row>
    <row r="20" spans="1:105" x14ac:dyDescent="0.25">
      <c r="A20" s="61" t="s">
        <v>166</v>
      </c>
      <c r="B20" s="55">
        <v>56.286504636809511</v>
      </c>
      <c r="C20" s="55">
        <v>62.118770188072027</v>
      </c>
      <c r="D20" s="55">
        <v>80.297959617726207</v>
      </c>
      <c r="E20" s="55">
        <v>68.527232232718163</v>
      </c>
      <c r="F20" s="55">
        <v>59.748952607516998</v>
      </c>
      <c r="G20" s="55">
        <v>183.7169286813328</v>
      </c>
      <c r="H20" s="55">
        <v>166.62313745384</v>
      </c>
      <c r="I20" s="55">
        <v>175.60032948410401</v>
      </c>
      <c r="J20" s="55">
        <v>154.35635933322371</v>
      </c>
      <c r="K20" s="55">
        <v>161.20864023980491</v>
      </c>
      <c r="L20" s="55">
        <v>157.51728928429549</v>
      </c>
      <c r="M20" s="55">
        <v>147.7871497281464</v>
      </c>
      <c r="N20" s="55">
        <v>147.63349821497931</v>
      </c>
      <c r="O20" s="55">
        <v>144.2399220733939</v>
      </c>
      <c r="P20" s="55">
        <v>144.24206108594171</v>
      </c>
      <c r="Q20" s="55">
        <v>134.5220611111564</v>
      </c>
      <c r="R20" s="55">
        <v>136.2007051563142</v>
      </c>
      <c r="S20" s="55">
        <v>120.4710119127527</v>
      </c>
      <c r="T20" s="55">
        <v>116.2744218505154</v>
      </c>
      <c r="U20" s="55">
        <v>118.51022450827411</v>
      </c>
      <c r="V20" s="55">
        <v>107.921957937583</v>
      </c>
      <c r="W20" s="55">
        <v>121.6392870523941</v>
      </c>
      <c r="X20" s="55">
        <v>114.40246679512541</v>
      </c>
      <c r="Y20" s="55">
        <v>119.14056555968379</v>
      </c>
      <c r="DA20" s="101" t="s">
        <v>1007</v>
      </c>
    </row>
    <row r="21" spans="1:105" x14ac:dyDescent="0.25">
      <c r="A21" s="61" t="s">
        <v>129</v>
      </c>
      <c r="B21" s="55">
        <v>13.509114359392621</v>
      </c>
      <c r="C21" s="55">
        <v>7.7195184866562361</v>
      </c>
      <c r="D21" s="55">
        <v>32.80791057602945</v>
      </c>
      <c r="E21" s="55">
        <v>51.141702493481112</v>
      </c>
      <c r="F21" s="55">
        <v>32.80782459152703</v>
      </c>
      <c r="G21" s="55">
        <v>33.450816852922287</v>
      </c>
      <c r="H21" s="55">
        <v>29.68684436805237</v>
      </c>
      <c r="I21" s="55">
        <v>33.993379191783212</v>
      </c>
      <c r="J21" s="55">
        <v>31.959157351602698</v>
      </c>
      <c r="K21" s="55">
        <v>23.96870163373567</v>
      </c>
      <c r="L21" s="55">
        <v>28.333447979327541</v>
      </c>
      <c r="M21" s="55">
        <v>24.8943250214603</v>
      </c>
      <c r="N21" s="55">
        <v>24.97730008595866</v>
      </c>
      <c r="O21" s="55">
        <v>27.788392089376579</v>
      </c>
      <c r="P21" s="55">
        <v>25.924677557995501</v>
      </c>
      <c r="Q21" s="55">
        <v>24.68065348232799</v>
      </c>
      <c r="R21" s="55">
        <v>26.308942390318659</v>
      </c>
      <c r="S21" s="55">
        <v>28.95769561474415</v>
      </c>
      <c r="T21" s="55">
        <v>21.709802235553639</v>
      </c>
      <c r="U21" s="55">
        <v>18.235683576931169</v>
      </c>
      <c r="V21" s="55">
        <v>17.494325021469091</v>
      </c>
      <c r="W21" s="55">
        <v>12.072914875287911</v>
      </c>
      <c r="X21" s="55">
        <v>14.08056749783316</v>
      </c>
      <c r="Y21" s="55">
        <v>10.88340498712196</v>
      </c>
      <c r="DA21" s="101" t="s">
        <v>1008</v>
      </c>
    </row>
    <row r="22" spans="1:105" x14ac:dyDescent="0.25">
      <c r="A22" s="61" t="s">
        <v>169</v>
      </c>
      <c r="B22" s="55">
        <v>8.6485530014462277</v>
      </c>
      <c r="C22" s="55">
        <v>8.9281936911200166</v>
      </c>
      <c r="D22" s="55">
        <v>9.5289400219002314</v>
      </c>
      <c r="E22" s="55">
        <v>9.197922616561204</v>
      </c>
      <c r="F22" s="55">
        <v>8.996459922512857</v>
      </c>
      <c r="G22" s="55">
        <v>13.88851671937207</v>
      </c>
      <c r="H22" s="55">
        <v>14.909468589865741</v>
      </c>
      <c r="I22" s="55">
        <v>15.22010695641077</v>
      </c>
      <c r="J22" s="55">
        <v>14.97472334980349</v>
      </c>
      <c r="K22" s="55">
        <v>15.902874969168201</v>
      </c>
      <c r="L22" s="55">
        <v>14.81004681687223</v>
      </c>
      <c r="M22" s="55">
        <v>14.69502305064718</v>
      </c>
      <c r="N22" s="55">
        <v>14.310188408742899</v>
      </c>
      <c r="O22" s="55">
        <v>14.26408524453654</v>
      </c>
      <c r="P22" s="55">
        <v>4.8806736232592387</v>
      </c>
      <c r="Q22" s="55">
        <v>4.8861121761341018</v>
      </c>
      <c r="R22" s="55">
        <v>4.9175445905027777</v>
      </c>
      <c r="S22" s="55">
        <v>2.069203907704507</v>
      </c>
      <c r="T22" s="55">
        <v>4.9396216409432796</v>
      </c>
      <c r="U22" s="55">
        <v>5.492630589362852</v>
      </c>
      <c r="V22" s="55">
        <v>3.9944352549762869</v>
      </c>
      <c r="W22" s="55">
        <v>2.9600899385413459</v>
      </c>
      <c r="X22" s="55">
        <v>3.339218598044432</v>
      </c>
      <c r="Y22" s="55">
        <v>1.8576764870232509</v>
      </c>
      <c r="DA22" s="101" t="s">
        <v>1009</v>
      </c>
    </row>
    <row r="23" spans="1:105" x14ac:dyDescent="0.25">
      <c r="A23" s="61" t="s">
        <v>164</v>
      </c>
      <c r="B23" s="55">
        <v>325.85743766067378</v>
      </c>
      <c r="C23" s="55">
        <v>295.78675838287182</v>
      </c>
      <c r="D23" s="55">
        <v>275.81926053254188</v>
      </c>
      <c r="E23" s="55">
        <v>286.61504729109498</v>
      </c>
      <c r="F23" s="55">
        <v>304.38521066164952</v>
      </c>
      <c r="G23" s="55">
        <v>64.536199484007639</v>
      </c>
      <c r="H23" s="55">
        <v>59.448753224496919</v>
      </c>
      <c r="I23" s="55">
        <v>70.363972485030772</v>
      </c>
      <c r="J23" s="55">
        <v>78.651934651580547</v>
      </c>
      <c r="K23" s="55">
        <v>56.558727429132936</v>
      </c>
      <c r="L23" s="55">
        <v>68.262166809887034</v>
      </c>
      <c r="M23" s="55">
        <v>74.209458297399649</v>
      </c>
      <c r="N23" s="55">
        <v>74.042218400611176</v>
      </c>
      <c r="O23" s="55">
        <v>97.616337059163044</v>
      </c>
      <c r="P23" s="55">
        <v>98.858297506280863</v>
      </c>
      <c r="Q23" s="55">
        <v>94.702407566464615</v>
      </c>
      <c r="R23" s="55">
        <v>100.0286328458935</v>
      </c>
      <c r="S23" s="55">
        <v>113.3562338777251</v>
      </c>
      <c r="T23" s="55">
        <v>107.2178847805224</v>
      </c>
      <c r="U23" s="55">
        <v>122.91006018899751</v>
      </c>
      <c r="V23" s="55">
        <v>115.911951848488</v>
      </c>
      <c r="W23" s="55">
        <v>94.176956147623955</v>
      </c>
      <c r="X23" s="55">
        <v>128.04531384335161</v>
      </c>
      <c r="Y23" s="55">
        <v>102.8470335341495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1011</v>
      </c>
    </row>
    <row r="25" spans="1:105" x14ac:dyDescent="0.25">
      <c r="A25" s="256" t="s">
        <v>167</v>
      </c>
      <c r="B25" s="257">
        <v>31.387402386454951</v>
      </c>
      <c r="C25" s="257">
        <v>30.91752841092331</v>
      </c>
      <c r="D25" s="257">
        <v>34.994194141104913</v>
      </c>
      <c r="E25" s="257">
        <v>34.165730599649748</v>
      </c>
      <c r="F25" s="257">
        <v>32.18278058584567</v>
      </c>
      <c r="G25" s="257">
        <v>37.315435839417489</v>
      </c>
      <c r="H25" s="257">
        <v>34.174052070937172</v>
      </c>
      <c r="I25" s="257">
        <v>36.864986730831767</v>
      </c>
      <c r="J25" s="257">
        <v>34.206221478926103</v>
      </c>
      <c r="K25" s="257">
        <v>32.769250496522979</v>
      </c>
      <c r="L25" s="257">
        <v>33.443288273708831</v>
      </c>
      <c r="M25" s="257">
        <v>32.115879966721067</v>
      </c>
      <c r="N25" s="257">
        <v>32.014581140918317</v>
      </c>
      <c r="O25" s="257">
        <v>33.726102946268107</v>
      </c>
      <c r="P25" s="257">
        <v>32.665797167588593</v>
      </c>
      <c r="Q25" s="257">
        <v>30.76903518287644</v>
      </c>
      <c r="R25" s="257">
        <v>31.622408723648029</v>
      </c>
      <c r="S25" s="257">
        <v>30.104231929277312</v>
      </c>
      <c r="T25" s="257">
        <v>28.716743746599409</v>
      </c>
      <c r="U25" s="257">
        <v>30.070466401866479</v>
      </c>
      <c r="V25" s="257">
        <v>27.686228219740759</v>
      </c>
      <c r="W25" s="257">
        <v>27.563606812358451</v>
      </c>
      <c r="X25" s="257">
        <v>29.425789361555921</v>
      </c>
      <c r="Y25" s="257">
        <v>27.735551740855399</v>
      </c>
      <c r="DA25" s="272" t="s">
        <v>1012</v>
      </c>
    </row>
    <row r="26" spans="1:105" x14ac:dyDescent="0.25">
      <c r="A26" s="256" t="s">
        <v>170</v>
      </c>
      <c r="B26" s="257">
        <v>16.34066410204538</v>
      </c>
      <c r="C26" s="257">
        <v>17.440844170208031</v>
      </c>
      <c r="D26" s="257">
        <v>18.14286082976346</v>
      </c>
      <c r="E26" s="257">
        <v>17.233348285107731</v>
      </c>
      <c r="F26" s="257">
        <v>17.012968383448481</v>
      </c>
      <c r="G26" s="257">
        <v>21.11304595047347</v>
      </c>
      <c r="H26" s="257">
        <v>24.351997522873269</v>
      </c>
      <c r="I26" s="257">
        <v>25.976742728394541</v>
      </c>
      <c r="J26" s="257">
        <v>21.127590382363689</v>
      </c>
      <c r="K26" s="257">
        <v>23.032964574221879</v>
      </c>
      <c r="L26" s="257">
        <v>17.823116998199549</v>
      </c>
      <c r="M26" s="257">
        <v>16.9818783731805</v>
      </c>
      <c r="N26" s="257">
        <v>13.31956086401668</v>
      </c>
      <c r="O26" s="257">
        <v>17.64787825986782</v>
      </c>
      <c r="P26" s="257">
        <v>16.974870824590202</v>
      </c>
      <c r="Q26" s="257">
        <v>17.301828699714051</v>
      </c>
      <c r="R26" s="257">
        <v>17.728140510913111</v>
      </c>
      <c r="S26" s="257">
        <v>15.961896724382299</v>
      </c>
      <c r="T26" s="257">
        <v>16.2408487656731</v>
      </c>
      <c r="U26" s="257">
        <v>14.734925895149029</v>
      </c>
      <c r="V26" s="257">
        <v>14.78250464679798</v>
      </c>
      <c r="W26" s="257">
        <v>16.106207500456929</v>
      </c>
      <c r="X26" s="257">
        <v>19.884064509188299</v>
      </c>
      <c r="Y26" s="257">
        <v>18.954050020349069</v>
      </c>
      <c r="DA26" s="272" t="s">
        <v>1013</v>
      </c>
    </row>
    <row r="27" spans="1:105" x14ac:dyDescent="0.25">
      <c r="A27" s="128" t="s">
        <v>33</v>
      </c>
      <c r="B27" s="258">
        <v>23.693962947965801</v>
      </c>
      <c r="C27" s="258">
        <v>25.289224046801639</v>
      </c>
      <c r="D27" s="258">
        <v>26.30714820315702</v>
      </c>
      <c r="E27" s="258">
        <v>24.98835501340622</v>
      </c>
      <c r="F27" s="258">
        <v>24.668804156000299</v>
      </c>
      <c r="G27" s="258">
        <v>30.61391662818653</v>
      </c>
      <c r="H27" s="258">
        <v>35.310396408166241</v>
      </c>
      <c r="I27" s="258">
        <v>37.666276956172076</v>
      </c>
      <c r="J27" s="258">
        <v>30.635006054427361</v>
      </c>
      <c r="K27" s="258">
        <v>33.397798632621729</v>
      </c>
      <c r="L27" s="258">
        <v>25.843519647389339</v>
      </c>
      <c r="M27" s="258">
        <v>24.623723641111731</v>
      </c>
      <c r="N27" s="258">
        <v>19.313363252824178</v>
      </c>
      <c r="O27" s="258">
        <v>25.589423476808339</v>
      </c>
      <c r="P27" s="258">
        <v>24.613562695655801</v>
      </c>
      <c r="Q27" s="258">
        <v>25.087651614585361</v>
      </c>
      <c r="R27" s="258">
        <v>25.70580374082402</v>
      </c>
      <c r="S27" s="258">
        <v>23.144750250354331</v>
      </c>
      <c r="T27" s="258">
        <v>23.549230710225999</v>
      </c>
      <c r="U27" s="258">
        <v>21.365642547966079</v>
      </c>
      <c r="V27" s="258">
        <v>21.434631737857071</v>
      </c>
      <c r="W27" s="258">
        <v>23.35400087566255</v>
      </c>
      <c r="X27" s="258">
        <v>28.83189353832304</v>
      </c>
      <c r="Y27" s="258">
        <v>27.483372529506141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0.99999999999999978</v>
      </c>
      <c r="C31" s="235">
        <f t="shared" si="9"/>
        <v>1</v>
      </c>
      <c r="D31" s="235">
        <f t="shared" si="9"/>
        <v>1.0000000000000002</v>
      </c>
      <c r="E31" s="235">
        <f t="shared" si="9"/>
        <v>0.99999999999999989</v>
      </c>
      <c r="F31" s="235">
        <f t="shared" si="9"/>
        <v>1</v>
      </c>
      <c r="G31" s="235">
        <f t="shared" si="9"/>
        <v>1</v>
      </c>
      <c r="H31" s="235">
        <f t="shared" si="9"/>
        <v>1</v>
      </c>
      <c r="I31" s="235">
        <f t="shared" si="9"/>
        <v>1</v>
      </c>
      <c r="J31" s="235">
        <f t="shared" si="9"/>
        <v>1</v>
      </c>
      <c r="K31" s="235">
        <f t="shared" si="9"/>
        <v>1</v>
      </c>
      <c r="L31" s="235">
        <f t="shared" si="9"/>
        <v>0.99999999999999978</v>
      </c>
      <c r="M31" s="235">
        <f t="shared" si="9"/>
        <v>0.99999999999999989</v>
      </c>
      <c r="N31" s="235">
        <f t="shared" si="9"/>
        <v>1.0000000000000002</v>
      </c>
      <c r="O31" s="235">
        <f t="shared" si="9"/>
        <v>0.99999999999999978</v>
      </c>
      <c r="P31" s="235">
        <f t="shared" si="9"/>
        <v>1</v>
      </c>
      <c r="Q31" s="235">
        <f t="shared" si="9"/>
        <v>0.99999999999999989</v>
      </c>
      <c r="R31" s="235">
        <f t="shared" ref="R31:W31" si="10">SUM(R32:R40)</f>
        <v>1</v>
      </c>
      <c r="S31" s="235">
        <f t="shared" si="10"/>
        <v>1</v>
      </c>
      <c r="T31" s="235">
        <f t="shared" si="10"/>
        <v>1.0000000000000002</v>
      </c>
      <c r="U31" s="235">
        <f t="shared" si="10"/>
        <v>1</v>
      </c>
      <c r="V31" s="235">
        <f t="shared" si="10"/>
        <v>1</v>
      </c>
      <c r="W31" s="235">
        <f t="shared" si="10"/>
        <v>1.0000000000000002</v>
      </c>
      <c r="X31" s="235">
        <f t="shared" ref="X31:Y31" si="11">SUM(X32:X40)</f>
        <v>1.0000000000000002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2.0178110423261182E-2</v>
      </c>
      <c r="C32" s="244">
        <f t="shared" si="12"/>
        <v>2.2297199046267299E-2</v>
      </c>
      <c r="D32" s="244">
        <f t="shared" si="12"/>
        <v>2.1380225967162141E-2</v>
      </c>
      <c r="E32" s="244">
        <f t="shared" si="12"/>
        <v>2.0185759467929099E-2</v>
      </c>
      <c r="F32" s="244">
        <f t="shared" si="12"/>
        <v>2.064108337795735E-2</v>
      </c>
      <c r="G32" s="244">
        <f t="shared" si="12"/>
        <v>2.6922148902254053E-2</v>
      </c>
      <c r="H32" s="244">
        <f t="shared" si="12"/>
        <v>3.2359587530213244E-2</v>
      </c>
      <c r="I32" s="244">
        <f t="shared" si="12"/>
        <v>3.1967258551763578E-2</v>
      </c>
      <c r="J32" s="244">
        <f t="shared" si="12"/>
        <v>2.8522435122018498E-2</v>
      </c>
      <c r="K32" s="244">
        <f t="shared" si="12"/>
        <v>3.2065555979491865E-2</v>
      </c>
      <c r="L32" s="244">
        <f t="shared" si="12"/>
        <v>2.5399903990597564E-2</v>
      </c>
      <c r="M32" s="244">
        <f t="shared" si="12"/>
        <v>2.5126331284639706E-2</v>
      </c>
      <c r="N32" s="244">
        <f t="shared" si="12"/>
        <v>2.0375170593602103E-2</v>
      </c>
      <c r="O32" s="244">
        <f t="shared" si="12"/>
        <v>2.4582155595286759E-2</v>
      </c>
      <c r="P32" s="244">
        <f t="shared" si="12"/>
        <v>2.4546779940989097E-2</v>
      </c>
      <c r="Q32" s="244">
        <f t="shared" si="12"/>
        <v>2.6199972341458853E-2</v>
      </c>
      <c r="R32" s="244">
        <f t="shared" si="12"/>
        <v>2.6065979432751043E-2</v>
      </c>
      <c r="S32" s="244">
        <f t="shared" si="12"/>
        <v>2.450862554830675E-2</v>
      </c>
      <c r="T32" s="244">
        <f t="shared" si="12"/>
        <v>2.595766389836579E-2</v>
      </c>
      <c r="U32" s="244">
        <f t="shared" si="12"/>
        <v>2.2836367970536675E-2</v>
      </c>
      <c r="V32" s="244">
        <f t="shared" si="12"/>
        <v>2.4534650669472031E-2</v>
      </c>
      <c r="W32" s="244">
        <f t="shared" si="12"/>
        <v>2.7083087763820242E-2</v>
      </c>
      <c r="X32" s="244">
        <f t="shared" si="12"/>
        <v>2.981464260873725E-2</v>
      </c>
      <c r="Y32" s="244">
        <f t="shared" si="12"/>
        <v>3.0602573662916806E-2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1.311577177511976E-2</v>
      </c>
      <c r="C33" s="245">
        <f t="shared" si="13"/>
        <v>1.4493179380073745E-2</v>
      </c>
      <c r="D33" s="245">
        <f t="shared" si="13"/>
        <v>1.3897146878655392E-2</v>
      </c>
      <c r="E33" s="245">
        <f t="shared" si="13"/>
        <v>1.3120743654153921E-2</v>
      </c>
      <c r="F33" s="245">
        <f t="shared" si="13"/>
        <v>1.3416704195672275E-2</v>
      </c>
      <c r="G33" s="245">
        <f t="shared" si="13"/>
        <v>1.7499396786465126E-2</v>
      </c>
      <c r="H33" s="245">
        <f t="shared" si="13"/>
        <v>2.1033731894638599E-2</v>
      </c>
      <c r="I33" s="245">
        <f t="shared" si="13"/>
        <v>2.0778718058646308E-2</v>
      </c>
      <c r="J33" s="245">
        <f t="shared" si="13"/>
        <v>1.8539582829312028E-2</v>
      </c>
      <c r="K33" s="245">
        <f t="shared" si="13"/>
        <v>2.0842611386669711E-2</v>
      </c>
      <c r="L33" s="245">
        <f t="shared" si="13"/>
        <v>1.650993759388841E-2</v>
      </c>
      <c r="M33" s="245">
        <f t="shared" si="13"/>
        <v>1.6332115335015801E-2</v>
      </c>
      <c r="N33" s="245">
        <f t="shared" si="13"/>
        <v>1.324386088584136E-2</v>
      </c>
      <c r="O33" s="245">
        <f t="shared" si="13"/>
        <v>1.5978401136936389E-2</v>
      </c>
      <c r="P33" s="245">
        <f t="shared" si="13"/>
        <v>1.5955406961642913E-2</v>
      </c>
      <c r="Q33" s="245">
        <f t="shared" si="13"/>
        <v>1.7029982021948234E-2</v>
      </c>
      <c r="R33" s="245">
        <f t="shared" si="13"/>
        <v>1.6942886631288175E-2</v>
      </c>
      <c r="S33" s="245">
        <f t="shared" si="13"/>
        <v>1.5930606606399382E-2</v>
      </c>
      <c r="T33" s="245">
        <f t="shared" si="13"/>
        <v>1.6872481533937774E-2</v>
      </c>
      <c r="U33" s="245">
        <f t="shared" si="13"/>
        <v>1.4843639180848828E-2</v>
      </c>
      <c r="V33" s="245">
        <f t="shared" si="13"/>
        <v>1.5947522935156819E-2</v>
      </c>
      <c r="W33" s="245">
        <f t="shared" si="13"/>
        <v>1.7604007046483152E-2</v>
      </c>
      <c r="X33" s="245">
        <f t="shared" si="13"/>
        <v>1.9379517695679208E-2</v>
      </c>
      <c r="Y33" s="245">
        <f t="shared" si="13"/>
        <v>1.9891672880895914E-2</v>
      </c>
      <c r="DA33" s="276"/>
    </row>
    <row r="34" spans="1:105" x14ac:dyDescent="0.25">
      <c r="A34" s="240" t="s">
        <v>123</v>
      </c>
      <c r="B34" s="245">
        <f t="shared" ref="B34:Y34" si="14">IF(B$8=0,0,B$8/B$5)</f>
        <v>1.8160299380935059E-2</v>
      </c>
      <c r="C34" s="245">
        <f t="shared" si="14"/>
        <v>2.0067479141640573E-2</v>
      </c>
      <c r="D34" s="245">
        <f t="shared" si="14"/>
        <v>1.924220337044592E-2</v>
      </c>
      <c r="E34" s="245">
        <f t="shared" si="14"/>
        <v>1.8167183521136193E-2</v>
      </c>
      <c r="F34" s="245">
        <f t="shared" si="14"/>
        <v>1.8576975040161623E-2</v>
      </c>
      <c r="G34" s="245">
        <f t="shared" si="14"/>
        <v>2.4229934012028644E-2</v>
      </c>
      <c r="H34" s="245">
        <f t="shared" si="14"/>
        <v>2.9123628777191931E-2</v>
      </c>
      <c r="I34" s="245">
        <f t="shared" si="14"/>
        <v>2.8770532696587206E-2</v>
      </c>
      <c r="J34" s="245">
        <f t="shared" si="14"/>
        <v>2.567019160981665E-2</v>
      </c>
      <c r="K34" s="245">
        <f t="shared" si="14"/>
        <v>2.8859000381542675E-2</v>
      </c>
      <c r="L34" s="245">
        <f t="shared" si="14"/>
        <v>2.28599135915378E-2</v>
      </c>
      <c r="M34" s="245">
        <f t="shared" si="14"/>
        <v>2.2613698156175737E-2</v>
      </c>
      <c r="N34" s="245">
        <f t="shared" si="14"/>
        <v>1.8337653534241893E-2</v>
      </c>
      <c r="O34" s="245">
        <f t="shared" si="14"/>
        <v>2.2123940035758086E-2</v>
      </c>
      <c r="P34" s="245">
        <f t="shared" si="14"/>
        <v>2.2092101946890184E-2</v>
      </c>
      <c r="Q34" s="245">
        <f t="shared" si="14"/>
        <v>2.3579975107312957E-2</v>
      </c>
      <c r="R34" s="245">
        <f t="shared" si="14"/>
        <v>2.345938148947594E-2</v>
      </c>
      <c r="S34" s="245">
        <f t="shared" si="14"/>
        <v>2.2057762993476077E-2</v>
      </c>
      <c r="T34" s="245">
        <f t="shared" si="14"/>
        <v>2.3361897508529211E-2</v>
      </c>
      <c r="U34" s="245">
        <f t="shared" si="14"/>
        <v>2.0552731173482996E-2</v>
      </c>
      <c r="V34" s="245">
        <f t="shared" si="14"/>
        <v>2.2081185602524825E-2</v>
      </c>
      <c r="W34" s="245">
        <f t="shared" si="14"/>
        <v>2.4374778987438207E-2</v>
      </c>
      <c r="X34" s="245">
        <f t="shared" si="14"/>
        <v>2.6833178347863525E-2</v>
      </c>
      <c r="Y34" s="245">
        <f t="shared" si="14"/>
        <v>2.7542316296625121E-2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0.15661249299236371</v>
      </c>
      <c r="C35" s="246">
        <f t="shared" si="15"/>
        <v>0.16155517953532539</v>
      </c>
      <c r="D35" s="246">
        <f t="shared" si="15"/>
        <v>0.16503782879218792</v>
      </c>
      <c r="E35" s="246">
        <f t="shared" si="15"/>
        <v>0.16015969011812375</v>
      </c>
      <c r="F35" s="246">
        <f t="shared" si="15"/>
        <v>0.15793267228776037</v>
      </c>
      <c r="G35" s="246">
        <f t="shared" si="15"/>
        <v>0.1913439160002656</v>
      </c>
      <c r="H35" s="246">
        <f t="shared" si="15"/>
        <v>0.1948330401614308</v>
      </c>
      <c r="I35" s="246">
        <f t="shared" si="15"/>
        <v>0.19356577057629043</v>
      </c>
      <c r="J35" s="246">
        <f t="shared" si="15"/>
        <v>0.18999935011391803</v>
      </c>
      <c r="K35" s="246">
        <f t="shared" si="15"/>
        <v>0.19506273729145479</v>
      </c>
      <c r="L35" s="246">
        <f t="shared" si="15"/>
        <v>0.19100972979109532</v>
      </c>
      <c r="M35" s="246">
        <f t="shared" si="15"/>
        <v>0.19059391504632828</v>
      </c>
      <c r="N35" s="246">
        <f t="shared" si="15"/>
        <v>0.19309738050971464</v>
      </c>
      <c r="O35" s="246">
        <f t="shared" si="15"/>
        <v>0.18793056545203504</v>
      </c>
      <c r="P35" s="246">
        <f t="shared" si="15"/>
        <v>0.18672556311169125</v>
      </c>
      <c r="Q35" s="246">
        <f t="shared" si="15"/>
        <v>0.18665485745265065</v>
      </c>
      <c r="R35" s="246">
        <f t="shared" si="15"/>
        <v>0.18603190825953012</v>
      </c>
      <c r="S35" s="246">
        <f t="shared" si="15"/>
        <v>0.18285061184401308</v>
      </c>
      <c r="T35" s="246">
        <f t="shared" si="15"/>
        <v>0.18453459901190436</v>
      </c>
      <c r="U35" s="246">
        <f t="shared" si="15"/>
        <v>0.18371528621886046</v>
      </c>
      <c r="V35" s="246">
        <f t="shared" si="15"/>
        <v>0.18300494158542482</v>
      </c>
      <c r="W35" s="246">
        <f t="shared" si="15"/>
        <v>0.1871460456089856</v>
      </c>
      <c r="X35" s="246">
        <f t="shared" si="15"/>
        <v>0.18544131399229644</v>
      </c>
      <c r="Y35" s="246">
        <f t="shared" si="15"/>
        <v>0.18867035286327982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0.20170048501827847</v>
      </c>
      <c r="C36" s="259">
        <f t="shared" si="16"/>
        <v>0.20569718739769796</v>
      </c>
      <c r="D36" s="259">
        <f t="shared" si="16"/>
        <v>0.21460670889574188</v>
      </c>
      <c r="E36" s="259">
        <f t="shared" si="16"/>
        <v>0.20826050478779126</v>
      </c>
      <c r="F36" s="259">
        <f t="shared" si="16"/>
        <v>0.20319673877306971</v>
      </c>
      <c r="G36" s="259">
        <f t="shared" si="16"/>
        <v>0.24762137074831103</v>
      </c>
      <c r="H36" s="259">
        <f t="shared" si="16"/>
        <v>0.2363228083927873</v>
      </c>
      <c r="I36" s="259">
        <f t="shared" si="16"/>
        <v>0.23608889432298061</v>
      </c>
      <c r="J36" s="259">
        <f t="shared" si="16"/>
        <v>0.24031590329947686</v>
      </c>
      <c r="K36" s="259">
        <f t="shared" si="16"/>
        <v>0.23740847533830128</v>
      </c>
      <c r="L36" s="259">
        <f t="shared" si="16"/>
        <v>0.24802654594851234</v>
      </c>
      <c r="M36" s="259">
        <f t="shared" si="16"/>
        <v>0.24728852115746902</v>
      </c>
      <c r="N36" s="259">
        <f t="shared" si="16"/>
        <v>0.25485898368308402</v>
      </c>
      <c r="O36" s="259">
        <f t="shared" si="16"/>
        <v>0.24447496983668254</v>
      </c>
      <c r="P36" s="259">
        <f t="shared" si="16"/>
        <v>0.24582275865317796</v>
      </c>
      <c r="Q36" s="259">
        <f t="shared" si="16"/>
        <v>0.24247305214807938</v>
      </c>
      <c r="R36" s="259">
        <f t="shared" si="16"/>
        <v>0.24196167737766058</v>
      </c>
      <c r="S36" s="259">
        <f t="shared" si="16"/>
        <v>0.24054857421798895</v>
      </c>
      <c r="T36" s="259">
        <f t="shared" si="16"/>
        <v>0.23885418292400395</v>
      </c>
      <c r="U36" s="259">
        <f t="shared" si="16"/>
        <v>0.2425269562461444</v>
      </c>
      <c r="V36" s="259">
        <f t="shared" si="16"/>
        <v>0.23913130005303554</v>
      </c>
      <c r="W36" s="259">
        <f t="shared" si="16"/>
        <v>0.24120244688610717</v>
      </c>
      <c r="X36" s="259">
        <f t="shared" si="16"/>
        <v>0.22961134471912203</v>
      </c>
      <c r="Y36" s="259">
        <f t="shared" si="16"/>
        <v>0.23304163312913317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0.50203804076037306</v>
      </c>
      <c r="C37" s="259">
        <f t="shared" si="17"/>
        <v>0.48173520905333667</v>
      </c>
      <c r="D37" s="259">
        <f t="shared" si="17"/>
        <v>0.47221586488860307</v>
      </c>
      <c r="E37" s="259">
        <f t="shared" si="17"/>
        <v>0.49063201617364671</v>
      </c>
      <c r="F37" s="259">
        <f t="shared" si="17"/>
        <v>0.49661922530835378</v>
      </c>
      <c r="G37" s="259">
        <f t="shared" si="17"/>
        <v>0.37884145874240549</v>
      </c>
      <c r="H37" s="259">
        <f t="shared" si="17"/>
        <v>0.36163481671269609</v>
      </c>
      <c r="I37" s="259">
        <f t="shared" si="17"/>
        <v>0.3651425937977803</v>
      </c>
      <c r="J37" s="259">
        <f t="shared" si="17"/>
        <v>0.38089386743081699</v>
      </c>
      <c r="K37" s="259">
        <f t="shared" si="17"/>
        <v>0.36158099043953446</v>
      </c>
      <c r="L37" s="259">
        <f t="shared" si="17"/>
        <v>0.38630383651831951</v>
      </c>
      <c r="M37" s="259">
        <f t="shared" si="17"/>
        <v>0.38896735719801395</v>
      </c>
      <c r="N37" s="259">
        <f t="shared" si="17"/>
        <v>0.40119450519974953</v>
      </c>
      <c r="O37" s="259">
        <f t="shared" si="17"/>
        <v>0.39770578389351102</v>
      </c>
      <c r="P37" s="259">
        <f t="shared" si="17"/>
        <v>0.39748088683565669</v>
      </c>
      <c r="Q37" s="259">
        <f t="shared" si="17"/>
        <v>0.39327901101793517</v>
      </c>
      <c r="R37" s="259">
        <f t="shared" si="17"/>
        <v>0.39518156444880648</v>
      </c>
      <c r="S37" s="259">
        <f t="shared" si="17"/>
        <v>0.40783427299476088</v>
      </c>
      <c r="T37" s="259">
        <f t="shared" si="17"/>
        <v>0.40092507677829015</v>
      </c>
      <c r="U37" s="259">
        <f t="shared" si="17"/>
        <v>0.4129723418866062</v>
      </c>
      <c r="V37" s="259">
        <f t="shared" si="17"/>
        <v>0.40923943285444542</v>
      </c>
      <c r="W37" s="259">
        <f t="shared" si="17"/>
        <v>0.38988700840172885</v>
      </c>
      <c r="X37" s="259">
        <f t="shared" si="17"/>
        <v>0.39175239483926455</v>
      </c>
      <c r="Y37" s="259">
        <f t="shared" si="17"/>
        <v>0.38049425378230745</v>
      </c>
      <c r="DA37" s="278"/>
    </row>
    <row r="38" spans="1:105" x14ac:dyDescent="0.25">
      <c r="A38" s="127" t="s">
        <v>167</v>
      </c>
      <c r="B38" s="259">
        <f t="shared" ref="B38:Y38" si="18">IF(B$25=0,0,B$25/B$5)</f>
        <v>3.8758429112678711E-2</v>
      </c>
      <c r="C38" s="259">
        <f t="shared" si="18"/>
        <v>3.9526428782303523E-2</v>
      </c>
      <c r="D38" s="259">
        <f t="shared" si="18"/>
        <v>4.1238467587656577E-2</v>
      </c>
      <c r="E38" s="259">
        <f t="shared" si="18"/>
        <v>4.0018991580792716E-2</v>
      </c>
      <c r="F38" s="259">
        <f t="shared" si="18"/>
        <v>3.9045946741029465E-2</v>
      </c>
      <c r="G38" s="259">
        <f t="shared" si="18"/>
        <v>4.7582509997747442E-2</v>
      </c>
      <c r="H38" s="259">
        <f t="shared" si="18"/>
        <v>4.5411397082019633E-2</v>
      </c>
      <c r="I38" s="259">
        <f t="shared" si="18"/>
        <v>4.5366448544130709E-2</v>
      </c>
      <c r="J38" s="259">
        <f t="shared" si="18"/>
        <v>4.6178703545695747E-2</v>
      </c>
      <c r="K38" s="259">
        <f t="shared" si="18"/>
        <v>4.5620017033250138E-2</v>
      </c>
      <c r="L38" s="259">
        <f t="shared" si="18"/>
        <v>4.7660367789084918E-2</v>
      </c>
      <c r="M38" s="259">
        <f t="shared" si="18"/>
        <v>4.7518550174990119E-2</v>
      </c>
      <c r="N38" s="259">
        <f t="shared" si="18"/>
        <v>4.897327763944144E-2</v>
      </c>
      <c r="O38" s="259">
        <f t="shared" si="18"/>
        <v>4.6977902841337446E-2</v>
      </c>
      <c r="P38" s="259">
        <f t="shared" si="18"/>
        <v>4.7236891694528681E-2</v>
      </c>
      <c r="Q38" s="259">
        <f t="shared" si="18"/>
        <v>4.6593217674040448E-2</v>
      </c>
      <c r="R38" s="259">
        <f t="shared" si="18"/>
        <v>4.6494952750247669E-2</v>
      </c>
      <c r="S38" s="259">
        <f t="shared" si="18"/>
        <v>4.6223413201703319E-2</v>
      </c>
      <c r="T38" s="259">
        <f t="shared" si="18"/>
        <v>4.5897821793972678E-2</v>
      </c>
      <c r="U38" s="259">
        <f t="shared" si="18"/>
        <v>4.6603575795705593E-2</v>
      </c>
      <c r="V38" s="259">
        <f t="shared" si="18"/>
        <v>4.5951072159734062E-2</v>
      </c>
      <c r="W38" s="259">
        <f t="shared" si="18"/>
        <v>4.6349060284077377E-2</v>
      </c>
      <c r="X38" s="259">
        <f t="shared" si="18"/>
        <v>4.4121733405630865E-2</v>
      </c>
      <c r="Y38" s="259">
        <f t="shared" si="18"/>
        <v>4.4780891910695515E-2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2.0178110423261182E-2</v>
      </c>
      <c r="C39" s="259">
        <f t="shared" si="19"/>
        <v>2.2297199046267299E-2</v>
      </c>
      <c r="D39" s="259">
        <f t="shared" si="19"/>
        <v>2.1380225967162141E-2</v>
      </c>
      <c r="E39" s="259">
        <f t="shared" si="19"/>
        <v>2.0185759467929099E-2</v>
      </c>
      <c r="F39" s="259">
        <f t="shared" si="19"/>
        <v>2.064108337795735E-2</v>
      </c>
      <c r="G39" s="259">
        <f t="shared" si="19"/>
        <v>2.6922148902254053E-2</v>
      </c>
      <c r="H39" s="259">
        <f t="shared" si="19"/>
        <v>3.2359587530213244E-2</v>
      </c>
      <c r="I39" s="259">
        <f t="shared" si="19"/>
        <v>3.1967258551763578E-2</v>
      </c>
      <c r="J39" s="259">
        <f t="shared" si="19"/>
        <v>2.8522435122018498E-2</v>
      </c>
      <c r="K39" s="259">
        <f t="shared" si="19"/>
        <v>3.2065555979491865E-2</v>
      </c>
      <c r="L39" s="259">
        <f t="shared" si="19"/>
        <v>2.5399903990597564E-2</v>
      </c>
      <c r="M39" s="259">
        <f t="shared" si="19"/>
        <v>2.5126331284639706E-2</v>
      </c>
      <c r="N39" s="259">
        <f t="shared" si="19"/>
        <v>2.0375170593602103E-2</v>
      </c>
      <c r="O39" s="259">
        <f t="shared" si="19"/>
        <v>2.4582155595286759E-2</v>
      </c>
      <c r="P39" s="259">
        <f t="shared" si="19"/>
        <v>2.4546779940989097E-2</v>
      </c>
      <c r="Q39" s="259">
        <f t="shared" si="19"/>
        <v>2.6199972341458853E-2</v>
      </c>
      <c r="R39" s="259">
        <f t="shared" si="19"/>
        <v>2.6065979432751043E-2</v>
      </c>
      <c r="S39" s="259">
        <f t="shared" si="19"/>
        <v>2.450862554830675E-2</v>
      </c>
      <c r="T39" s="259">
        <f t="shared" si="19"/>
        <v>2.595766389836579E-2</v>
      </c>
      <c r="U39" s="259">
        <f t="shared" si="19"/>
        <v>2.2836367970536675E-2</v>
      </c>
      <c r="V39" s="259">
        <f t="shared" si="19"/>
        <v>2.4534650669472031E-2</v>
      </c>
      <c r="W39" s="259">
        <f t="shared" si="19"/>
        <v>2.7083087763820242E-2</v>
      </c>
      <c r="X39" s="259">
        <f t="shared" si="19"/>
        <v>2.981464260873725E-2</v>
      </c>
      <c r="Y39" s="259">
        <f t="shared" si="19"/>
        <v>3.0602573662916806E-2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2.9258260113728715E-2</v>
      </c>
      <c r="C40" s="261">
        <f t="shared" si="20"/>
        <v>3.2330938617087579E-2</v>
      </c>
      <c r="D40" s="261">
        <f t="shared" si="20"/>
        <v>3.100132765238511E-2</v>
      </c>
      <c r="E40" s="261">
        <f t="shared" si="20"/>
        <v>2.926935122849721E-2</v>
      </c>
      <c r="F40" s="261">
        <f t="shared" si="20"/>
        <v>2.992957089803816E-2</v>
      </c>
      <c r="G40" s="261">
        <f t="shared" si="20"/>
        <v>3.9037115908268374E-2</v>
      </c>
      <c r="H40" s="261">
        <f t="shared" si="20"/>
        <v>4.6921401918809204E-2</v>
      </c>
      <c r="I40" s="261">
        <f t="shared" si="20"/>
        <v>4.6352524900057174E-2</v>
      </c>
      <c r="J40" s="261">
        <f t="shared" si="20"/>
        <v>4.1357530926926837E-2</v>
      </c>
      <c r="K40" s="261">
        <f t="shared" si="20"/>
        <v>4.6495056170263206E-2</v>
      </c>
      <c r="L40" s="261">
        <f t="shared" si="20"/>
        <v>3.6829860786366464E-2</v>
      </c>
      <c r="M40" s="261">
        <f t="shared" si="20"/>
        <v>3.6433180362727587E-2</v>
      </c>
      <c r="N40" s="261">
        <f t="shared" si="20"/>
        <v>2.9543997360723041E-2</v>
      </c>
      <c r="O40" s="261">
        <f t="shared" si="20"/>
        <v>3.5644125613165802E-2</v>
      </c>
      <c r="P40" s="261">
        <f t="shared" si="20"/>
        <v>3.5592830914434201E-2</v>
      </c>
      <c r="Q40" s="261">
        <f t="shared" si="20"/>
        <v>3.7989959895115319E-2</v>
      </c>
      <c r="R40" s="261">
        <f t="shared" si="20"/>
        <v>3.7795670177489027E-2</v>
      </c>
      <c r="S40" s="261">
        <f t="shared" si="20"/>
        <v>3.5537507045044783E-2</v>
      </c>
      <c r="T40" s="261">
        <f t="shared" si="20"/>
        <v>3.7638612652630403E-2</v>
      </c>
      <c r="U40" s="261">
        <f t="shared" si="20"/>
        <v>3.3112733557278153E-2</v>
      </c>
      <c r="V40" s="261">
        <f t="shared" si="20"/>
        <v>3.5575243470734444E-2</v>
      </c>
      <c r="W40" s="261">
        <f t="shared" si="20"/>
        <v>3.9270477257539356E-2</v>
      </c>
      <c r="X40" s="261">
        <f t="shared" si="20"/>
        <v>4.3231231782669022E-2</v>
      </c>
      <c r="Y40" s="261">
        <f t="shared" si="20"/>
        <v>4.4373731811229354E-2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112.47171201628663</v>
      </c>
      <c r="C44" s="236">
        <f t="shared" si="21"/>
        <v>109.81942433546166</v>
      </c>
      <c r="D44" s="236">
        <f t="shared" si="21"/>
        <v>113.80906613357634</v>
      </c>
      <c r="E44" s="236">
        <f t="shared" si="21"/>
        <v>119.53787119840248</v>
      </c>
      <c r="F44" s="236">
        <f t="shared" si="21"/>
        <v>117.30616060932353</v>
      </c>
      <c r="G44" s="236">
        <f t="shared" si="21"/>
        <v>134.29403412451359</v>
      </c>
      <c r="H44" s="236">
        <f t="shared" si="21"/>
        <v>130.05722800154626</v>
      </c>
      <c r="I44" s="236">
        <f t="shared" si="21"/>
        <v>117.81469406104161</v>
      </c>
      <c r="J44" s="236">
        <f t="shared" si="21"/>
        <v>123.4961911829885</v>
      </c>
      <c r="K44" s="236">
        <f t="shared" si="21"/>
        <v>137.83360398812141</v>
      </c>
      <c r="L44" s="236">
        <f t="shared" si="21"/>
        <v>128.47617233393532</v>
      </c>
      <c r="M44" s="236">
        <f t="shared" si="21"/>
        <v>116.02131221383358</v>
      </c>
      <c r="N44" s="236">
        <f t="shared" si="21"/>
        <v>118.31216844961239</v>
      </c>
      <c r="O44" s="236">
        <f t="shared" si="21"/>
        <v>117.89482713876833</v>
      </c>
      <c r="P44" s="236">
        <f t="shared" si="21"/>
        <v>114.21265320772915</v>
      </c>
      <c r="Q44" s="236">
        <f t="shared" si="21"/>
        <v>116.67728719019787</v>
      </c>
      <c r="R44" s="236">
        <f t="shared" si="21"/>
        <v>118.41249825520157</v>
      </c>
      <c r="S44" s="236">
        <f t="shared" si="21"/>
        <v>109.25986032686185</v>
      </c>
      <c r="T44" s="236">
        <f t="shared" si="21"/>
        <v>115.03952384499105</v>
      </c>
      <c r="U44" s="236">
        <f t="shared" si="21"/>
        <v>114.3105370701674</v>
      </c>
      <c r="V44" s="236">
        <f t="shared" si="21"/>
        <v>121.02278233994653</v>
      </c>
      <c r="W44" s="236">
        <f t="shared" si="21"/>
        <v>115.61293230102244</v>
      </c>
      <c r="X44" s="236">
        <f t="shared" si="21"/>
        <v>98.926512660278405</v>
      </c>
      <c r="Y44" s="236">
        <f t="shared" si="21"/>
        <v>101.37891512464492</v>
      </c>
      <c r="DA44" s="280"/>
    </row>
    <row r="45" spans="1:105" x14ac:dyDescent="0.25">
      <c r="A45" s="238" t="s">
        <v>125</v>
      </c>
      <c r="B45" s="247">
        <f>IF(B$6=0,0,B$6/AGR!B$5*1000)</f>
        <v>2.2694666245578636</v>
      </c>
      <c r="C45" s="247">
        <f>IF(C$6=0,0,C$6/AGR!C$5*1000)</f>
        <v>2.4486655635542798</v>
      </c>
      <c r="D45" s="247">
        <f>IF(D$6=0,0,D$6/AGR!D$5*1000)</f>
        <v>2.4332635510475624</v>
      </c>
      <c r="E45" s="247">
        <f>IF(E$6=0,0,E$6/AGR!E$5*1000)</f>
        <v>2.4129627153192423</v>
      </c>
      <c r="F45" s="247">
        <f>IF(F$6=0,0,F$6/AGR!F$5*1000)</f>
        <v>2.4213262418851027</v>
      </c>
      <c r="G45" s="247">
        <f>IF(G$6=0,0,G$6/AGR!G$5*1000)</f>
        <v>3.6154839833845416</v>
      </c>
      <c r="H45" s="247">
        <f>IF(H$6=0,0,H$6/AGR!H$5*1000)</f>
        <v>4.2085982534529371</v>
      </c>
      <c r="I45" s="247">
        <f>IF(I$6=0,0,I$6/AGR!I$5*1000)</f>
        <v>3.7662127862462413</v>
      </c>
      <c r="J45" s="247">
        <f>IF(J$6=0,0,J$6/AGR!J$5*1000)</f>
        <v>3.5224121008331819</v>
      </c>
      <c r="K45" s="247">
        <f>IF(K$6=0,0,K$6/AGR!K$5*1000)</f>
        <v>4.4197111445362207</v>
      </c>
      <c r="L45" s="247">
        <f>IF(L$6=0,0,L$6/AGR!L$5*1000)</f>
        <v>3.2632824423614251</v>
      </c>
      <c r="M45" s="247">
        <f>IF(M$6=0,0,M$6/AGR!M$5*1000)</f>
        <v>2.9151899267633978</v>
      </c>
      <c r="N45" s="247">
        <f>IF(N$6=0,0,N$6/AGR!N$5*1000)</f>
        <v>2.4106306154598407</v>
      </c>
      <c r="O45" s="247">
        <f>IF(O$6=0,0,O$6/AGR!O$5*1000)</f>
        <v>2.8981089846046397</v>
      </c>
      <c r="P45" s="247">
        <f>IF(P$6=0,0,P$6/AGR!P$5*1000)</f>
        <v>2.8035528647666301</v>
      </c>
      <c r="Q45" s="247">
        <f>IF(Q$6=0,0,Q$6/AGR!Q$5*1000)</f>
        <v>3.0569416972596359</v>
      </c>
      <c r="R45" s="247">
        <f>IF(R$6=0,0,R$6/AGR!R$5*1000)</f>
        <v>3.0865377441007524</v>
      </c>
      <c r="S45" s="247">
        <f>IF(S$6=0,0,S$6/AGR!S$5*1000)</f>
        <v>2.6778090042113538</v>
      </c>
      <c r="T45" s="247">
        <f>IF(T$6=0,0,T$6/AGR!T$5*1000)</f>
        <v>2.9861572949963144</v>
      </c>
      <c r="U45" s="247">
        <f>IF(U$6=0,0,U$6/AGR!U$5*1000)</f>
        <v>2.6104374874440164</v>
      </c>
      <c r="V45" s="247">
        <f>IF(V$6=0,0,V$6/AGR!V$5*1000)</f>
        <v>2.9692516877581374</v>
      </c>
      <c r="W45" s="247">
        <f>IF(W$6=0,0,W$6/AGR!W$5*1000)</f>
        <v>3.1311551921411982</v>
      </c>
      <c r="X45" s="247">
        <f>IF(X$6=0,0,X$6/AGR!X$5*1000)</f>
        <v>2.9494586194949219</v>
      </c>
      <c r="Y45" s="247">
        <f>IF(Y$6=0,0,Y$6/AGR!Y$5*1000)</f>
        <v>3.1024557179685366</v>
      </c>
      <c r="DA45" s="281"/>
    </row>
    <row r="46" spans="1:105" x14ac:dyDescent="0.25">
      <c r="A46" s="240" t="s">
        <v>124</v>
      </c>
      <c r="B46" s="248">
        <f>IF(B$7=0,0,B$7/AGR!B$5*1000)</f>
        <v>1.4751533059626103</v>
      </c>
      <c r="C46" s="248">
        <f>IF(C$7=0,0,C$7/AGR!C$5*1000)</f>
        <v>1.5916326163102819</v>
      </c>
      <c r="D46" s="248">
        <f>IF(D$7=0,0,D$7/AGR!D$5*1000)</f>
        <v>1.5816213081809156</v>
      </c>
      <c r="E46" s="248">
        <f>IF(E$7=0,0,E$7/AGR!E$5*1000)</f>
        <v>1.5684257649575082</v>
      </c>
      <c r="F46" s="248">
        <f>IF(F$7=0,0,F$7/AGR!F$5*1000)</f>
        <v>1.5738620572253164</v>
      </c>
      <c r="G46" s="248">
        <f>IF(G$7=0,0,G$7/AGR!G$5*1000)</f>
        <v>2.3500645891999512</v>
      </c>
      <c r="H46" s="248">
        <f>IF(H$7=0,0,H$7/AGR!H$5*1000)</f>
        <v>2.7355888647444084</v>
      </c>
      <c r="I46" s="248">
        <f>IF(I$7=0,0,I$7/AGR!I$5*1000)</f>
        <v>2.4480383110600554</v>
      </c>
      <c r="J46" s="248">
        <f>IF(J$7=0,0,J$7/AGR!J$5*1000)</f>
        <v>2.2895678655415685</v>
      </c>
      <c r="K46" s="248">
        <f>IF(K$7=0,0,K$7/AGR!K$5*1000)</f>
        <v>2.8728122439485433</v>
      </c>
      <c r="L46" s="248">
        <f>IF(L$7=0,0,L$7/AGR!L$5*1000)</f>
        <v>2.1211335875349251</v>
      </c>
      <c r="M46" s="248">
        <f>IF(M$7=0,0,M$7/AGR!M$5*1000)</f>
        <v>1.8948734523962074</v>
      </c>
      <c r="N46" s="248">
        <f>IF(N$7=0,0,N$7/AGR!N$5*1000)</f>
        <v>1.5669099000488955</v>
      </c>
      <c r="O46" s="248">
        <f>IF(O$7=0,0,O$7/AGR!O$5*1000)</f>
        <v>1.8837708399930149</v>
      </c>
      <c r="P46" s="248">
        <f>IF(P$7=0,0,P$7/AGR!P$5*1000)</f>
        <v>1.8223093620983095</v>
      </c>
      <c r="Q46" s="248">
        <f>IF(Q$7=0,0,Q$7/AGR!Q$5*1000)</f>
        <v>1.9870121032187611</v>
      </c>
      <c r="R46" s="248">
        <f>IF(R$7=0,0,R$7/AGR!R$5*1000)</f>
        <v>2.0062495336654882</v>
      </c>
      <c r="S46" s="248">
        <f>IF(S$7=0,0,S$7/AGR!S$5*1000)</f>
        <v>1.7405758527373794</v>
      </c>
      <c r="T46" s="248">
        <f>IF(T$7=0,0,T$7/AGR!T$5*1000)</f>
        <v>1.9410022417476054</v>
      </c>
      <c r="U46" s="248">
        <f>IF(U$7=0,0,U$7/AGR!U$5*1000)</f>
        <v>1.6967843668386093</v>
      </c>
      <c r="V46" s="248">
        <f>IF(V$7=0,0,V$7/AGR!V$5*1000)</f>
        <v>1.930013597042789</v>
      </c>
      <c r="W46" s="248">
        <f>IF(W$7=0,0,W$7/AGR!W$5*1000)</f>
        <v>2.0352508748917781</v>
      </c>
      <c r="X46" s="248">
        <f>IF(X$7=0,0,X$7/AGR!X$5*1000)</f>
        <v>1.9171481026716983</v>
      </c>
      <c r="Y46" s="248">
        <f>IF(Y$7=0,0,Y$7/AGR!Y$5*1000)</f>
        <v>2.0165962166795479</v>
      </c>
      <c r="DA46" s="282"/>
    </row>
    <row r="47" spans="1:105" x14ac:dyDescent="0.25">
      <c r="A47" s="240" t="s">
        <v>123</v>
      </c>
      <c r="B47" s="248">
        <f>IF(B$8=0,0,B$8/AGR!B$5*1000)</f>
        <v>2.0425199621020766</v>
      </c>
      <c r="C47" s="248">
        <f>IF(C$8=0,0,C$8/AGR!C$5*1000)</f>
        <v>2.2037990071988518</v>
      </c>
      <c r="D47" s="248">
        <f>IF(D$8=0,0,D$8/AGR!D$5*1000)</f>
        <v>2.1899371959428051</v>
      </c>
      <c r="E47" s="248">
        <f>IF(E$8=0,0,E$8/AGR!E$5*1000)</f>
        <v>2.1716664437873185</v>
      </c>
      <c r="F47" s="248">
        <f>IF(F$8=0,0,F$8/AGR!F$5*1000)</f>
        <v>2.1791936176965936</v>
      </c>
      <c r="G47" s="248">
        <f>IF(G$8=0,0,G$8/AGR!G$5*1000)</f>
        <v>3.2539355850460869</v>
      </c>
      <c r="H47" s="248">
        <f>IF(H$8=0,0,H$8/AGR!H$5*1000)</f>
        <v>3.7877384281076454</v>
      </c>
      <c r="I47" s="248">
        <f>IF(I$8=0,0,I$8/AGR!I$5*1000)</f>
        <v>3.3895915076216161</v>
      </c>
      <c r="J47" s="248">
        <f>IF(J$8=0,0,J$8/AGR!J$5*1000)</f>
        <v>3.1701708907498634</v>
      </c>
      <c r="K47" s="248">
        <f>IF(K$8=0,0,K$8/AGR!K$5*1000)</f>
        <v>3.9777400300825985</v>
      </c>
      <c r="L47" s="248">
        <f>IF(L$8=0,0,L$8/AGR!L$5*1000)</f>
        <v>2.9369541981252816</v>
      </c>
      <c r="M47" s="248">
        <f>IF(M$8=0,0,M$8/AGR!M$5*1000)</f>
        <v>2.6236709340870576</v>
      </c>
      <c r="N47" s="248">
        <f>IF(N$8=0,0,N$8/AGR!N$5*1000)</f>
        <v>2.1695675539138564</v>
      </c>
      <c r="O47" s="248">
        <f>IF(O$8=0,0,O$8/AGR!O$5*1000)</f>
        <v>2.6082980861441758</v>
      </c>
      <c r="P47" s="248">
        <f>IF(P$8=0,0,P$8/AGR!P$5*1000)</f>
        <v>2.5231975782899667</v>
      </c>
      <c r="Q47" s="248">
        <f>IF(Q$8=0,0,Q$8/AGR!Q$5*1000)</f>
        <v>2.7512475275336712</v>
      </c>
      <c r="R47" s="248">
        <f>IF(R$8=0,0,R$8/AGR!R$5*1000)</f>
        <v>2.7778839696906767</v>
      </c>
      <c r="S47" s="248">
        <f>IF(S$8=0,0,S$8/AGR!S$5*1000)</f>
        <v>2.4100281037902183</v>
      </c>
      <c r="T47" s="248">
        <f>IF(T$8=0,0,T$8/AGR!T$5*1000)</f>
        <v>2.6875415654966832</v>
      </c>
      <c r="U47" s="248">
        <f>IF(U$8=0,0,U$8/AGR!U$5*1000)</f>
        <v>2.3493937386996131</v>
      </c>
      <c r="V47" s="248">
        <f>IF(V$8=0,0,V$8/AGR!V$5*1000)</f>
        <v>2.6723265189823233</v>
      </c>
      <c r="W47" s="248">
        <f>IF(W$8=0,0,W$8/AGR!W$5*1000)</f>
        <v>2.8180396729270774</v>
      </c>
      <c r="X47" s="248">
        <f>IF(X$8=0,0,X$8/AGR!X$5*1000)</f>
        <v>2.6545127575454295</v>
      </c>
      <c r="Y47" s="248">
        <f>IF(Y$8=0,0,Y$8/AGR!Y$5*1000)</f>
        <v>2.7922101461716826</v>
      </c>
      <c r="DA47" s="282"/>
    </row>
    <row r="48" spans="1:105" x14ac:dyDescent="0.25">
      <c r="A48" s="242" t="s">
        <v>122</v>
      </c>
      <c r="B48" s="249">
        <f>IF(B$9=0,0,B$9/AGR!B$5*1000)</f>
        <v>17.614475209989841</v>
      </c>
      <c r="C48" s="249">
        <f>IF(C$9=0,0,C$9/AGR!C$5*1000)</f>
        <v>17.741896814981594</v>
      </c>
      <c r="D48" s="249">
        <f>IF(D$9=0,0,D$9/AGR!D$5*1000)</f>
        <v>18.782801171551966</v>
      </c>
      <c r="E48" s="249">
        <f>IF(E$9=0,0,E$9/AGR!E$5*1000)</f>
        <v>19.145148408516334</v>
      </c>
      <c r="F48" s="249">
        <f>IF(F$9=0,0,F$9/AGR!F$5*1000)</f>
        <v>18.526475420847675</v>
      </c>
      <c r="G48" s="249">
        <f>IF(G$9=0,0,G$9/AGR!G$5*1000)</f>
        <v>25.69634638485773</v>
      </c>
      <c r="H48" s="249">
        <f>IF(H$9=0,0,H$9/AGR!H$5*1000)</f>
        <v>25.339445126509627</v>
      </c>
      <c r="I48" s="249">
        <f>IF(I$9=0,0,I$9/AGR!I$5*1000)</f>
        <v>22.804892041135425</v>
      </c>
      <c r="J48" s="249">
        <f>IF(J$9=0,0,J$9/AGR!J$5*1000)</f>
        <v>23.464196066311988</v>
      </c>
      <c r="K48" s="249">
        <f>IF(K$9=0,0,K$9/AGR!K$5*1000)</f>
        <v>26.886200084669344</v>
      </c>
      <c r="L48" s="249">
        <f>IF(L$9=0,0,L$9/AGR!L$5*1000)</f>
        <v>24.540198962099186</v>
      </c>
      <c r="M48" s="249">
        <f>IF(M$9=0,0,M$9/AGR!M$5*1000)</f>
        <v>22.112956123646924</v>
      </c>
      <c r="N48" s="249">
        <f>IF(N$9=0,0,N$9/AGR!N$5*1000)</f>
        <v>22.845769810044256</v>
      </c>
      <c r="O48" s="249">
        <f>IF(O$9=0,0,O$9/AGR!O$5*1000)</f>
        <v>22.156041528058662</v>
      </c>
      <c r="P48" s="249">
        <f>IF(P$9=0,0,P$9/AGR!P$5*1000)</f>
        <v>21.326421984693535</v>
      </c>
      <c r="Q48" s="249">
        <f>IF(Q$9=0,0,Q$9/AGR!Q$5*1000)</f>
        <v>21.778382408448369</v>
      </c>
      <c r="R48" s="249">
        <f>IF(R$9=0,0,R$9/AGR!R$5*1000)</f>
        <v>22.028503012193426</v>
      </c>
      <c r="S48" s="249">
        <f>IF(S$9=0,0,S$9/AGR!S$5*1000)</f>
        <v>19.978232310758099</v>
      </c>
      <c r="T48" s="249">
        <f>IF(T$9=0,0,T$9/AGR!T$5*1000)</f>
        <v>21.228772403255832</v>
      </c>
      <c r="U48" s="249">
        <f>IF(U$9=0,0,U$9/AGR!U$5*1000)</f>
        <v>21.000593035677465</v>
      </c>
      <c r="V48" s="249">
        <f>IF(V$9=0,0,V$9/AGR!V$5*1000)</f>
        <v>22.147767212627496</v>
      </c>
      <c r="W48" s="249">
        <f>IF(W$9=0,0,W$9/AGR!W$5*1000)</f>
        <v>21.636503101395707</v>
      </c>
      <c r="X48" s="249">
        <f>IF(X$9=0,0,X$9/AGR!X$5*1000)</f>
        <v>18.345062496397574</v>
      </c>
      <c r="Y48" s="249">
        <f>IF(Y$9=0,0,Y$9/AGR!Y$5*1000)</f>
        <v>19.127195689463253</v>
      </c>
      <c r="DA48" s="283"/>
    </row>
    <row r="49" spans="1:105" x14ac:dyDescent="0.25">
      <c r="A49" s="127" t="s">
        <v>168</v>
      </c>
      <c r="B49" s="262">
        <f>IF(B$16=0,0,B$16/AGR!B$5*1000)</f>
        <v>22.685598864521154</v>
      </c>
      <c r="C49" s="262">
        <f>IF(C$16=0,0,C$16/AGR!C$5*1000)</f>
        <v>22.589546707438771</v>
      </c>
      <c r="D49" s="262">
        <f>IF(D$16=0,0,D$16/AGR!D$5*1000)</f>
        <v>24.424189125424654</v>
      </c>
      <c r="E49" s="262">
        <f>IF(E$16=0,0,E$16/AGR!E$5*1000)</f>
        <v>24.895017397037275</v>
      </c>
      <c r="F49" s="262">
        <f>IF(F$16=0,0,F$16/AGR!F$5*1000)</f>
        <v>23.83622927380447</v>
      </c>
      <c r="G49" s="262">
        <f>IF(G$16=0,0,G$16/AGR!G$5*1000)</f>
        <v>33.254072813232511</v>
      </c>
      <c r="H49" s="262">
        <f>IF(H$16=0,0,H$16/AGR!H$5*1000)</f>
        <v>30.735489373106471</v>
      </c>
      <c r="I49" s="262">
        <f>IF(I$16=0,0,I$16/AGR!I$5*1000)</f>
        <v>27.814740855871541</v>
      </c>
      <c r="J49" s="262">
        <f>IF(J$16=0,0,J$16/AGR!J$5*1000)</f>
        <v>29.678098738184765</v>
      </c>
      <c r="K49" s="262">
        <f>IF(K$16=0,0,K$16/AGR!K$5*1000)</f>
        <v>32.722865773203111</v>
      </c>
      <c r="L49" s="262">
        <f>IF(L$16=0,0,L$16/AGR!L$5*1000)</f>
        <v>31.865501260671802</v>
      </c>
      <c r="M49" s="262">
        <f>IF(M$16=0,0,M$16/AGR!M$5*1000)</f>
        <v>28.690738720107905</v>
      </c>
      <c r="N49" s="262">
        <f>IF(N$16=0,0,N$16/AGR!N$5*1000)</f>
        <v>30.152919008410052</v>
      </c>
      <c r="O49" s="262">
        <f>IF(O$16=0,0,O$16/AGR!O$5*1000)</f>
        <v>28.822334308651293</v>
      </c>
      <c r="P49" s="262">
        <f>IF(P$16=0,0,P$16/AGR!P$5*1000)</f>
        <v>28.076069484622714</v>
      </c>
      <c r="Q49" s="262">
        <f>IF(Q$16=0,0,Q$16/AGR!Q$5*1000)</f>
        <v>28.29109794136529</v>
      </c>
      <c r="R49" s="262">
        <f>IF(R$16=0,0,R$16/AGR!R$5*1000)</f>
        <v>28.651286700307871</v>
      </c>
      <c r="S49" s="262">
        <f>IF(S$16=0,0,S$16/AGR!S$5*1000)</f>
        <v>26.282303620883237</v>
      </c>
      <c r="T49" s="262">
        <f>IF(T$16=0,0,T$16/AGR!T$5*1000)</f>
        <v>27.477671471961809</v>
      </c>
      <c r="U49" s="262">
        <f>IF(U$16=0,0,U$16/AGR!U$5*1000)</f>
        <v>27.723386622489759</v>
      </c>
      <c r="V49" s="262">
        <f>IF(V$16=0,0,V$16/AGR!V$5*1000)</f>
        <v>28.940335276986961</v>
      </c>
      <c r="W49" s="262">
        <f>IF(W$16=0,0,W$16/AGR!W$5*1000)</f>
        <v>27.886122162684465</v>
      </c>
      <c r="X49" s="262">
        <f>IF(X$16=0,0,X$16/AGR!X$5*1000)</f>
        <v>22.714649600299776</v>
      </c>
      <c r="Y49" s="262">
        <f>IF(Y$16=0,0,Y$16/AGR!Y$5*1000)</f>
        <v>23.625507945507035</v>
      </c>
      <c r="DA49" s="284"/>
    </row>
    <row r="50" spans="1:105" x14ac:dyDescent="0.25">
      <c r="A50" s="127" t="s">
        <v>121</v>
      </c>
      <c r="B50" s="262">
        <f>IF(B$17=0,0,B$17/AGR!B$5*1000)</f>
        <v>56.465077941621459</v>
      </c>
      <c r="C50" s="262">
        <f>IF(C$17=0,0,C$17/AGR!C$5*1000)</f>
        <v>52.903883340360714</v>
      </c>
      <c r="D50" s="262">
        <f>IF(D$17=0,0,D$17/AGR!D$5*1000)</f>
        <v>53.742446596430973</v>
      </c>
      <c r="E50" s="262">
        <f>IF(E$17=0,0,E$17/AGR!E$5*1000)</f>
        <v>58.649106755177904</v>
      </c>
      <c r="F50" s="262">
        <f>IF(F$17=0,0,F$17/AGR!F$5*1000)</f>
        <v>58.256494605699565</v>
      </c>
      <c r="G50" s="262">
        <f>IF(G$17=0,0,G$17/AGR!G$5*1000)</f>
        <v>50.87614778813311</v>
      </c>
      <c r="H50" s="262">
        <f>IF(H$17=0,0,H$17/AGR!H$5*1000)</f>
        <v>47.033221810500514</v>
      </c>
      <c r="I50" s="262">
        <f>IF(I$17=0,0,I$17/AGR!I$5*1000)</f>
        <v>43.019162976940677</v>
      </c>
      <c r="J50" s="262">
        <f>IF(J$17=0,0,J$17/AGR!J$5*1000)</f>
        <v>47.038941872664047</v>
      </c>
      <c r="K50" s="262">
        <f>IF(K$17=0,0,K$17/AGR!K$5*1000)</f>
        <v>49.838011045875504</v>
      </c>
      <c r="L50" s="262">
        <f>IF(L$17=0,0,L$17/AGR!L$5*1000)</f>
        <v>49.630838273788001</v>
      </c>
      <c r="M50" s="262">
        <f>IF(M$17=0,0,M$17/AGR!M$5*1000)</f>
        <v>45.128503190460506</v>
      </c>
      <c r="N50" s="262">
        <f>IF(N$17=0,0,N$17/AGR!N$5*1000)</f>
        <v>47.466191880251657</v>
      </c>
      <c r="O50" s="262">
        <f>IF(O$17=0,0,O$17/AGR!O$5*1000)</f>
        <v>46.88745464421384</v>
      </c>
      <c r="P50" s="262">
        <f>IF(P$17=0,0,P$17/AGR!P$5*1000)</f>
        <v>45.397346684861489</v>
      </c>
      <c r="Q50" s="262">
        <f>IF(Q$17=0,0,Q$17/AGR!Q$5*1000)</f>
        <v>45.886728114416627</v>
      </c>
      <c r="R50" s="262">
        <f>IF(R$17=0,0,R$17/AGR!R$5*1000)</f>
        <v>46.794436310782118</v>
      </c>
      <c r="S50" s="262">
        <f>IF(S$17=0,0,S$17/AGR!S$5*1000)</f>
        <v>44.559915703914818</v>
      </c>
      <c r="T50" s="262">
        <f>IF(T$17=0,0,T$17/AGR!T$5*1000)</f>
        <v>46.122229930090974</v>
      </c>
      <c r="U50" s="262">
        <f>IF(U$17=0,0,U$17/AGR!U$5*1000)</f>
        <v>47.207090196182747</v>
      </c>
      <c r="V50" s="262">
        <f>IF(V$17=0,0,V$17/AGR!V$5*1000)</f>
        <v>49.527294807266713</v>
      </c>
      <c r="W50" s="262">
        <f>IF(W$17=0,0,W$17/AGR!W$5*1000)</f>
        <v>45.075980307397238</v>
      </c>
      <c r="X50" s="262">
        <f>IF(X$17=0,0,X$17/AGR!X$5*1000)</f>
        <v>38.754698247760885</v>
      </c>
      <c r="Y50" s="262">
        <f>IF(Y$17=0,0,Y$17/AGR!Y$5*1000)</f>
        <v>38.574094659611646</v>
      </c>
      <c r="DA50" s="284"/>
    </row>
    <row r="51" spans="1:105" x14ac:dyDescent="0.25">
      <c r="A51" s="127" t="s">
        <v>167</v>
      </c>
      <c r="B51" s="262">
        <f>IF(B$25=0,0,B$25/AGR!B$5*1000)</f>
        <v>4.3592268773648604</v>
      </c>
      <c r="C51" s="262">
        <f>IF(C$25=0,0,C$25/AGR!C$5*1000)</f>
        <v>4.3407696549091961</v>
      </c>
      <c r="D51" s="262">
        <f>IF(D$25=0,0,D$25/AGR!D$5*1000)</f>
        <v>4.6933114849309518</v>
      </c>
      <c r="E51" s="262">
        <f>IF(E$25=0,0,E$25/AGR!E$5*1000)</f>
        <v>4.7837850610747532</v>
      </c>
      <c r="F51" s="262">
        <f>IF(F$25=0,0,F$25/AGR!F$5*1000)</f>
        <v>4.5803300995462948</v>
      </c>
      <c r="G51" s="262">
        <f>IF(G$25=0,0,G$25/AGR!G$5*1000)</f>
        <v>6.3900472213675039</v>
      </c>
      <c r="H51" s="262">
        <f>IF(H$25=0,0,H$25/AGR!H$5*1000)</f>
        <v>5.9060804241649807</v>
      </c>
      <c r="I51" s="262">
        <f>IF(I$25=0,0,I$25/AGR!I$5*1000)</f>
        <v>5.3448342558627457</v>
      </c>
      <c r="J51" s="262">
        <f>IF(J$25=0,0,J$25/AGR!J$5*1000)</f>
        <v>5.7028940016617904</v>
      </c>
      <c r="K51" s="262">
        <f>IF(K$25=0,0,K$25/AGR!K$5*1000)</f>
        <v>6.287971361692354</v>
      </c>
      <c r="L51" s="262">
        <f>IF(L$25=0,0,L$25/AGR!L$5*1000)</f>
        <v>6.1232216255692151</v>
      </c>
      <c r="M51" s="262">
        <f>IF(M$25=0,0,M$25/AGR!M$5*1000)</f>
        <v>5.5131645458012448</v>
      </c>
      <c r="N51" s="262">
        <f>IF(N$25=0,0,N$25/AGR!N$5*1000)</f>
        <v>5.794134673607231</v>
      </c>
      <c r="O51" s="262">
        <f>IF(O$25=0,0,O$25/AGR!O$5*1000)</f>
        <v>5.538451734821332</v>
      </c>
      <c r="P51" s="262">
        <f>IF(P$25=0,0,P$25/AGR!P$5*1000)</f>
        <v>5.3950507297182657</v>
      </c>
      <c r="Q51" s="262">
        <f>IF(Q$25=0,0,Q$25/AGR!Q$5*1000)</f>
        <v>5.4363702396694213</v>
      </c>
      <c r="R51" s="262">
        <f>IF(R$25=0,0,R$25/AGR!R$5*1000)</f>
        <v>5.5055835114143798</v>
      </c>
      <c r="S51" s="262">
        <f>IF(S$25=0,0,S$25/AGR!S$5*1000)</f>
        <v>5.0503636702489274</v>
      </c>
      <c r="T51" s="262">
        <f>IF(T$25=0,0,T$25/AGR!T$5*1000)</f>
        <v>5.2800635647008693</v>
      </c>
      <c r="U51" s="262">
        <f>IF(U$25=0,0,U$25/AGR!U$5*1000)</f>
        <v>5.3272797785973607</v>
      </c>
      <c r="V51" s="262">
        <f>IF(V$25=0,0,V$25/AGR!V$5*1000)</f>
        <v>5.5611266042746728</v>
      </c>
      <c r="W51" s="262">
        <f>IF(W$25=0,0,W$25/AGR!W$5*1000)</f>
        <v>5.3585507688390459</v>
      </c>
      <c r="X51" s="262">
        <f>IF(X$25=0,0,X$25/AGR!X$5*1000)</f>
        <v>4.3648092183455702</v>
      </c>
      <c r="Y51" s="262">
        <f>IF(Y$25=0,0,Y$25/AGR!Y$5*1000)</f>
        <v>4.5398382402202984</v>
      </c>
      <c r="DA51" s="284"/>
    </row>
    <row r="52" spans="1:105" x14ac:dyDescent="0.25">
      <c r="A52" s="127" t="s">
        <v>170</v>
      </c>
      <c r="B52" s="262">
        <f>IF(B$26=0,0,B$26/AGR!B$5*1000)</f>
        <v>2.2694666245578636</v>
      </c>
      <c r="C52" s="262">
        <f>IF(C$26=0,0,C$26/AGR!C$5*1000)</f>
        <v>2.4486655635542798</v>
      </c>
      <c r="D52" s="262">
        <f>IF(D$26=0,0,D$26/AGR!D$5*1000)</f>
        <v>2.4332635510475624</v>
      </c>
      <c r="E52" s="262">
        <f>IF(E$26=0,0,E$26/AGR!E$5*1000)</f>
        <v>2.4129627153192423</v>
      </c>
      <c r="F52" s="262">
        <f>IF(F$26=0,0,F$26/AGR!F$5*1000)</f>
        <v>2.4213262418851027</v>
      </c>
      <c r="G52" s="262">
        <f>IF(G$26=0,0,G$26/AGR!G$5*1000)</f>
        <v>3.6154839833845416</v>
      </c>
      <c r="H52" s="262">
        <f>IF(H$26=0,0,H$26/AGR!H$5*1000)</f>
        <v>4.2085982534529371</v>
      </c>
      <c r="I52" s="262">
        <f>IF(I$26=0,0,I$26/AGR!I$5*1000)</f>
        <v>3.7662127862462413</v>
      </c>
      <c r="J52" s="262">
        <f>IF(J$26=0,0,J$26/AGR!J$5*1000)</f>
        <v>3.5224121008331819</v>
      </c>
      <c r="K52" s="262">
        <f>IF(K$26=0,0,K$26/AGR!K$5*1000)</f>
        <v>4.4197111445362207</v>
      </c>
      <c r="L52" s="262">
        <f>IF(L$26=0,0,L$26/AGR!L$5*1000)</f>
        <v>3.2632824423614251</v>
      </c>
      <c r="M52" s="262">
        <f>IF(M$26=0,0,M$26/AGR!M$5*1000)</f>
        <v>2.9151899267633978</v>
      </c>
      <c r="N52" s="262">
        <f>IF(N$26=0,0,N$26/AGR!N$5*1000)</f>
        <v>2.4106306154598407</v>
      </c>
      <c r="O52" s="262">
        <f>IF(O$26=0,0,O$26/AGR!O$5*1000)</f>
        <v>2.8981089846046397</v>
      </c>
      <c r="P52" s="262">
        <f>IF(P$26=0,0,P$26/AGR!P$5*1000)</f>
        <v>2.8035528647666301</v>
      </c>
      <c r="Q52" s="262">
        <f>IF(Q$26=0,0,Q$26/AGR!Q$5*1000)</f>
        <v>3.0569416972596359</v>
      </c>
      <c r="R52" s="262">
        <f>IF(R$26=0,0,R$26/AGR!R$5*1000)</f>
        <v>3.0865377441007524</v>
      </c>
      <c r="S52" s="262">
        <f>IF(S$26=0,0,S$26/AGR!S$5*1000)</f>
        <v>2.6778090042113538</v>
      </c>
      <c r="T52" s="262">
        <f>IF(T$26=0,0,T$26/AGR!T$5*1000)</f>
        <v>2.9861572949963144</v>
      </c>
      <c r="U52" s="262">
        <f>IF(U$26=0,0,U$26/AGR!U$5*1000)</f>
        <v>2.6104374874440164</v>
      </c>
      <c r="V52" s="262">
        <f>IF(V$26=0,0,V$26/AGR!V$5*1000)</f>
        <v>2.9692516877581374</v>
      </c>
      <c r="W52" s="262">
        <f>IF(W$26=0,0,W$26/AGR!W$5*1000)</f>
        <v>3.1311551921411982</v>
      </c>
      <c r="X52" s="262">
        <f>IF(X$26=0,0,X$26/AGR!X$5*1000)</f>
        <v>2.9494586194949219</v>
      </c>
      <c r="Y52" s="262">
        <f>IF(Y$26=0,0,Y$26/AGR!Y$5*1000)</f>
        <v>3.1024557179685366</v>
      </c>
      <c r="DA52" s="284"/>
    </row>
    <row r="53" spans="1:105" x14ac:dyDescent="0.25">
      <c r="A53" s="260" t="s">
        <v>33</v>
      </c>
      <c r="B53" s="263">
        <f>IF(B$27=0,0,B$27/AGR!B$5*1000)</f>
        <v>3.290726605608902</v>
      </c>
      <c r="C53" s="263">
        <f>IF(C$27=0,0,C$27/AGR!C$5*1000)</f>
        <v>3.5505650671537046</v>
      </c>
      <c r="D53" s="263">
        <f>IF(D$27=0,0,D$27/AGR!D$5*1000)</f>
        <v>3.5282321490189656</v>
      </c>
      <c r="E53" s="263">
        <f>IF(E$27=0,0,E$27/AGR!E$5*1000)</f>
        <v>3.4987959372129032</v>
      </c>
      <c r="F53" s="263">
        <f>IF(F$27=0,0,F$27/AGR!F$5*1000)</f>
        <v>3.5109230507333993</v>
      </c>
      <c r="G53" s="263">
        <f>IF(G$27=0,0,G$27/AGR!G$5*1000)</f>
        <v>5.2424517759075853</v>
      </c>
      <c r="H53" s="263">
        <f>IF(H$27=0,0,H$27/AGR!H$5*1000)</f>
        <v>6.1024674675067594</v>
      </c>
      <c r="I53" s="263">
        <f>IF(I$27=0,0,I$27/AGR!I$5*1000)</f>
        <v>5.4610085400570494</v>
      </c>
      <c r="J53" s="263">
        <f>IF(J$27=0,0,J$27/AGR!J$5*1000)</f>
        <v>5.1074975462081156</v>
      </c>
      <c r="K53" s="263">
        <f>IF(K$27=0,0,K$27/AGR!K$5*1000)</f>
        <v>6.4085811595775208</v>
      </c>
      <c r="L53" s="263">
        <f>IF(L$27=0,0,L$27/AGR!L$5*1000)</f>
        <v>4.731759541424065</v>
      </c>
      <c r="M53" s="263">
        <f>IF(M$27=0,0,M$27/AGR!M$5*1000)</f>
        <v>4.2270253938069278</v>
      </c>
      <c r="N53" s="263">
        <f>IF(N$27=0,0,N$27/AGR!N$5*1000)</f>
        <v>3.4954143924167678</v>
      </c>
      <c r="O53" s="263">
        <f>IF(O$27=0,0,O$27/AGR!O$5*1000)</f>
        <v>4.2022580276767272</v>
      </c>
      <c r="P53" s="263">
        <f>IF(P$27=0,0,P$27/AGR!P$5*1000)</f>
        <v>4.0651516539116157</v>
      </c>
      <c r="Q53" s="263">
        <f>IF(Q$27=0,0,Q$27/AGR!Q$5*1000)</f>
        <v>4.4325654610264698</v>
      </c>
      <c r="R53" s="263">
        <f>IF(R$27=0,0,R$27/AGR!R$5*1000)</f>
        <v>4.4754797289460919</v>
      </c>
      <c r="S53" s="263">
        <f>IF(S$27=0,0,S$27/AGR!S$5*1000)</f>
        <v>3.8828230561064618</v>
      </c>
      <c r="T53" s="263">
        <f>IF(T$27=0,0,T$27/AGR!T$5*1000)</f>
        <v>4.3299280777446567</v>
      </c>
      <c r="U53" s="263">
        <f>IF(U$27=0,0,U$27/AGR!U$5*1000)</f>
        <v>3.7851343567938209</v>
      </c>
      <c r="V53" s="263">
        <f>IF(V$27=0,0,V$27/AGR!V$5*1000)</f>
        <v>4.3054149472492984</v>
      </c>
      <c r="W53" s="263">
        <f>IF(W$27=0,0,W$27/AGR!W$5*1000)</f>
        <v>4.5401750286047378</v>
      </c>
      <c r="X53" s="263">
        <f>IF(X$27=0,0,X$27/AGR!X$5*1000)</f>
        <v>4.2767149982676367</v>
      </c>
      <c r="Y53" s="263">
        <f>IF(Y$27=0,0,Y$27/AGR!Y$5*1000)</f>
        <v>4.498560791054377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299.64574723009616</v>
      </c>
      <c r="C5" s="80">
        <f t="shared" ref="C5:W5" si="1">SUM(C6:C9,C16:C17,C25:C27)</f>
        <v>295.12170414759697</v>
      </c>
      <c r="D5" s="80">
        <f t="shared" si="1"/>
        <v>320.35981373257215</v>
      </c>
      <c r="E5" s="80">
        <f t="shared" si="1"/>
        <v>318.18507646861531</v>
      </c>
      <c r="F5" s="80">
        <f t="shared" si="1"/>
        <v>306.78051175490327</v>
      </c>
      <c r="G5" s="80">
        <f t="shared" si="1"/>
        <v>318.20431378570657</v>
      </c>
      <c r="H5" s="80">
        <f t="shared" si="1"/>
        <v>316.20260918776063</v>
      </c>
      <c r="I5" s="80">
        <f t="shared" si="1"/>
        <v>340.07712341289016</v>
      </c>
      <c r="J5" s="80">
        <f t="shared" si="1"/>
        <v>302.54415815431355</v>
      </c>
      <c r="K5" s="80">
        <f t="shared" si="1"/>
        <v>301.42828937510507</v>
      </c>
      <c r="L5" s="80">
        <f t="shared" si="1"/>
        <v>282.33457315189321</v>
      </c>
      <c r="M5" s="80">
        <f t="shared" si="1"/>
        <v>271.27149330093442</v>
      </c>
      <c r="N5" s="80">
        <f t="shared" si="1"/>
        <v>257.22998150771866</v>
      </c>
      <c r="O5" s="80">
        <f t="shared" si="1"/>
        <v>286.01865172323409</v>
      </c>
      <c r="P5" s="80">
        <f t="shared" si="1"/>
        <v>274.51695023508</v>
      </c>
      <c r="Q5" s="80">
        <f t="shared" si="1"/>
        <v>264.45728789708335</v>
      </c>
      <c r="R5" s="80">
        <f t="shared" si="1"/>
        <v>271.93102428880411</v>
      </c>
      <c r="S5" s="80">
        <f t="shared" si="1"/>
        <v>256.80496025985775</v>
      </c>
      <c r="T5" s="80">
        <f t="shared" si="1"/>
        <v>249.34339906015003</v>
      </c>
      <c r="U5" s="80">
        <f t="shared" si="1"/>
        <v>252.48212030659457</v>
      </c>
      <c r="V5" s="80">
        <f t="shared" si="1"/>
        <v>237.60650838867997</v>
      </c>
      <c r="W5" s="80">
        <f t="shared" si="1"/>
        <v>239.25204512838579</v>
      </c>
      <c r="X5" s="80">
        <f t="shared" ref="X5:Y5" si="2">SUM(X6:X9,X16:X17,X25:X27)</f>
        <v>271.92382763915185</v>
      </c>
      <c r="Y5" s="80">
        <f t="shared" si="2"/>
        <v>254.71856672516068</v>
      </c>
      <c r="DA5" s="103"/>
    </row>
    <row r="6" spans="1:105" x14ac:dyDescent="0.25">
      <c r="A6" s="238" t="s">
        <v>125</v>
      </c>
      <c r="B6" s="239">
        <v>8.0422713172793951</v>
      </c>
      <c r="C6" s="239">
        <v>8.583739310916167</v>
      </c>
      <c r="D6" s="239">
        <v>8.9292459812777647</v>
      </c>
      <c r="E6" s="239">
        <v>8.4816175002740444</v>
      </c>
      <c r="F6" s="239">
        <v>8.3731546525616807</v>
      </c>
      <c r="G6" s="239">
        <v>10.39106139184643</v>
      </c>
      <c r="H6" s="239">
        <v>11.98515372286175</v>
      </c>
      <c r="I6" s="239">
        <v>12.78479330192974</v>
      </c>
      <c r="J6" s="239">
        <v>10.39821962401413</v>
      </c>
      <c r="K6" s="239">
        <v>11.33597442493115</v>
      </c>
      <c r="L6" s="239">
        <v>8.7718798773419042</v>
      </c>
      <c r="M6" s="239">
        <v>8.3578532978388456</v>
      </c>
      <c r="N6" s="239">
        <v>6.5553958900623988</v>
      </c>
      <c r="O6" s="239">
        <v>8.685633842899211</v>
      </c>
      <c r="P6" s="239">
        <v>8.3544044412513596</v>
      </c>
      <c r="Q6" s="239">
        <v>8.5153210309717249</v>
      </c>
      <c r="R6" s="239">
        <v>8.7251359583218644</v>
      </c>
      <c r="S6" s="239">
        <v>7.8558560040290812</v>
      </c>
      <c r="T6" s="239">
        <v>7.9931458954655472</v>
      </c>
      <c r="U6" s="239">
        <v>7.2519862808979312</v>
      </c>
      <c r="V6" s="239">
        <v>7.2754027851053982</v>
      </c>
      <c r="W6" s="239">
        <v>7.9268804377945372</v>
      </c>
      <c r="X6" s="239">
        <v>9.7862021197266831</v>
      </c>
      <c r="Y6" s="239">
        <v>9.3284833390493542</v>
      </c>
      <c r="DA6" s="267" t="s">
        <v>1016</v>
      </c>
    </row>
    <row r="7" spans="1:105" x14ac:dyDescent="0.25">
      <c r="A7" s="240" t="s">
        <v>124</v>
      </c>
      <c r="B7" s="241">
        <v>5.1837114734015142</v>
      </c>
      <c r="C7" s="241">
        <v>5.5327190783879319</v>
      </c>
      <c r="D7" s="241">
        <v>5.7554182165582706</v>
      </c>
      <c r="E7" s="241">
        <v>5.4668956336637136</v>
      </c>
      <c r="F7" s="241">
        <v>5.3969850218547846</v>
      </c>
      <c r="G7" s="241">
        <v>6.6976432443907514</v>
      </c>
      <c r="H7" s="241">
        <v>7.7251284385536456</v>
      </c>
      <c r="I7" s="241">
        <v>8.2405426414660266</v>
      </c>
      <c r="J7" s="241">
        <v>6.7022571412307217</v>
      </c>
      <c r="K7" s="241">
        <v>7.3066946351892534</v>
      </c>
      <c r="L7" s="241">
        <v>5.6539866126848546</v>
      </c>
      <c r="M7" s="241">
        <v>5.3871224090547258</v>
      </c>
      <c r="N7" s="241">
        <v>4.2253338077508502</v>
      </c>
      <c r="O7" s="241">
        <v>5.5983960288014947</v>
      </c>
      <c r="P7" s="241">
        <v>5.3848994204539524</v>
      </c>
      <c r="Q7" s="241">
        <v>5.4886195188547431</v>
      </c>
      <c r="R7" s="241">
        <v>5.6238574390003873</v>
      </c>
      <c r="S7" s="241">
        <v>5.0635559650891828</v>
      </c>
      <c r="T7" s="241">
        <v>5.1520472826964614</v>
      </c>
      <c r="U7" s="241">
        <v>4.67432681716065</v>
      </c>
      <c r="V7" s="241">
        <v>4.6894201156503943</v>
      </c>
      <c r="W7" s="241">
        <v>5.1093353422920904</v>
      </c>
      <c r="X7" s="241">
        <v>6.3077762746027837</v>
      </c>
      <c r="Y7" s="241">
        <v>6.0127499068787111</v>
      </c>
      <c r="DA7" s="268" t="s">
        <v>1017</v>
      </c>
    </row>
    <row r="8" spans="1:105" x14ac:dyDescent="0.25">
      <c r="A8" s="240" t="s">
        <v>123</v>
      </c>
      <c r="B8" s="241">
        <v>10.301238523585839</v>
      </c>
      <c r="C8" s="241">
        <v>10.99479768557973</v>
      </c>
      <c r="D8" s="241">
        <v>11.43735259108729</v>
      </c>
      <c r="E8" s="241">
        <v>10.86399121457387</v>
      </c>
      <c r="F8" s="241">
        <v>10.725062593397929</v>
      </c>
      <c r="G8" s="241">
        <v>13.30977253660282</v>
      </c>
      <c r="H8" s="241">
        <v>15.35162423279291</v>
      </c>
      <c r="I8" s="241">
        <v>16.375871949875101</v>
      </c>
      <c r="J8" s="241">
        <v>13.318941421120339</v>
      </c>
      <c r="K8" s="241">
        <v>14.52009909160688</v>
      </c>
      <c r="L8" s="241">
        <v>11.235784438482479</v>
      </c>
      <c r="M8" s="241">
        <v>10.70546329134563</v>
      </c>
      <c r="N8" s="241">
        <v>8.3967195355591659</v>
      </c>
      <c r="O8" s="241">
        <v>11.12531303836959</v>
      </c>
      <c r="P8" s="241">
        <v>10.70104569674583</v>
      </c>
      <c r="Q8" s="241">
        <v>10.907161619439201</v>
      </c>
      <c r="R8" s="241">
        <v>11.175910773400069</v>
      </c>
      <c r="S8" s="241">
        <v>10.06246162456298</v>
      </c>
      <c r="T8" s="241">
        <v>10.238314423202789</v>
      </c>
      <c r="U8" s="241">
        <v>9.2889729159962435</v>
      </c>
      <c r="V8" s="241">
        <v>9.3189668052488219</v>
      </c>
      <c r="W8" s="241">
        <v>10.153435878521391</v>
      </c>
      <c r="X8" s="241">
        <v>12.53501632787847</v>
      </c>
      <c r="Y8" s="241">
        <v>11.948730420519009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86.517607324435716</v>
      </c>
      <c r="C9" s="243">
        <f t="shared" ref="C9:W9" si="4">SUM(C10:C15)</f>
        <v>87.312176883558777</v>
      </c>
      <c r="D9" s="243">
        <f t="shared" si="4"/>
        <v>95.11408272912962</v>
      </c>
      <c r="E9" s="243">
        <f t="shared" si="4"/>
        <v>92.647493947080306</v>
      </c>
      <c r="F9" s="243">
        <f t="shared" si="4"/>
        <v>88.97908737133821</v>
      </c>
      <c r="G9" s="243">
        <f t="shared" si="4"/>
        <v>102.00074612859883</v>
      </c>
      <c r="H9" s="243">
        <f t="shared" si="4"/>
        <v>104.72220852659034</v>
      </c>
      <c r="I9" s="243">
        <f t="shared" si="4"/>
        <v>112.11610110042025</v>
      </c>
      <c r="J9" s="243">
        <f t="shared" si="4"/>
        <v>97.490052290174347</v>
      </c>
      <c r="K9" s="243">
        <f t="shared" si="4"/>
        <v>99.692477783195642</v>
      </c>
      <c r="L9" s="243">
        <f t="shared" si="4"/>
        <v>90.413013147895242</v>
      </c>
      <c r="M9" s="243">
        <f t="shared" si="4"/>
        <v>86.858919956430313</v>
      </c>
      <c r="N9" s="243">
        <f t="shared" si="4"/>
        <v>82.994256058364897</v>
      </c>
      <c r="O9" s="243">
        <f t="shared" si="4"/>
        <v>90.930862504070632</v>
      </c>
      <c r="P9" s="243">
        <f t="shared" si="4"/>
        <v>86.713176981037961</v>
      </c>
      <c r="Q9" s="243">
        <f t="shared" si="4"/>
        <v>83.878454001638062</v>
      </c>
      <c r="R9" s="243">
        <f t="shared" si="4"/>
        <v>86.070595582686551</v>
      </c>
      <c r="S9" s="243">
        <f t="shared" si="4"/>
        <v>80.335240372447373</v>
      </c>
      <c r="T9" s="243">
        <f t="shared" si="4"/>
        <v>78.799907641219022</v>
      </c>
      <c r="U9" s="243">
        <f t="shared" si="4"/>
        <v>79.169629673030059</v>
      </c>
      <c r="V9" s="243">
        <f t="shared" si="4"/>
        <v>74.573173717349988</v>
      </c>
      <c r="W9" s="243">
        <f t="shared" si="4"/>
        <v>76.26781658069865</v>
      </c>
      <c r="X9" s="243">
        <f t="shared" ref="X9:Y9" si="5">SUM(X10:X15)</f>
        <v>87.836536767178131</v>
      </c>
      <c r="Y9" s="243">
        <f t="shared" si="5"/>
        <v>83.003780190636718</v>
      </c>
      <c r="DA9" s="269"/>
    </row>
    <row r="10" spans="1:105" x14ac:dyDescent="0.25">
      <c r="A10" s="253" t="s">
        <v>166</v>
      </c>
      <c r="B10" s="254">
        <v>54.15588066708203</v>
      </c>
      <c r="C10" s="254">
        <v>51.667921919094951</v>
      </c>
      <c r="D10" s="254">
        <v>62.469821909661363</v>
      </c>
      <c r="E10" s="254">
        <v>60.827724512274663</v>
      </c>
      <c r="F10" s="254">
        <v>55.337571496096963</v>
      </c>
      <c r="G10" s="254">
        <v>68.860286476756173</v>
      </c>
      <c r="H10" s="254">
        <v>54.161673847983387</v>
      </c>
      <c r="I10" s="254">
        <v>58.973105272241312</v>
      </c>
      <c r="J10" s="254">
        <v>59.035766220757367</v>
      </c>
      <c r="K10" s="254">
        <v>52.260453911058178</v>
      </c>
      <c r="L10" s="254">
        <v>62.16362828921411</v>
      </c>
      <c r="M10" s="254">
        <v>59.509885887278593</v>
      </c>
      <c r="N10" s="254">
        <v>63.55111225485426</v>
      </c>
      <c r="O10" s="254">
        <v>62.585056027093493</v>
      </c>
      <c r="P10" s="254">
        <v>63.297286418473</v>
      </c>
      <c r="Q10" s="254">
        <v>57.378455784113989</v>
      </c>
      <c r="R10" s="254">
        <v>59.051772943435381</v>
      </c>
      <c r="S10" s="254">
        <v>57.899433675451462</v>
      </c>
      <c r="T10" s="254">
        <v>52.748576552441513</v>
      </c>
      <c r="U10" s="254">
        <v>58.478012477511818</v>
      </c>
      <c r="V10" s="254">
        <v>52.179120191444973</v>
      </c>
      <c r="W10" s="254">
        <v>50.599520640347187</v>
      </c>
      <c r="X10" s="254">
        <v>48.445867275197728</v>
      </c>
      <c r="Y10" s="254">
        <v>46.029127660418723</v>
      </c>
      <c r="DA10" s="270" t="s">
        <v>1019</v>
      </c>
    </row>
    <row r="11" spans="1:105" x14ac:dyDescent="0.25">
      <c r="A11" s="253" t="s">
        <v>169</v>
      </c>
      <c r="B11" s="255">
        <v>9.231663102744033</v>
      </c>
      <c r="C11" s="255">
        <v>8.2386661045850733</v>
      </c>
      <c r="D11" s="255">
        <v>8.2244242425572924</v>
      </c>
      <c r="E11" s="255">
        <v>9.0578116113462332</v>
      </c>
      <c r="F11" s="255">
        <v>9.243929027180334</v>
      </c>
      <c r="G11" s="255">
        <v>5.7752483933730971</v>
      </c>
      <c r="H11" s="255">
        <v>5.3766787347535239</v>
      </c>
      <c r="I11" s="255">
        <v>5.6707633995196014</v>
      </c>
      <c r="J11" s="255">
        <v>6.3539623720503409</v>
      </c>
      <c r="K11" s="255">
        <v>5.7194683414243901</v>
      </c>
      <c r="L11" s="255">
        <v>6.484249394216862</v>
      </c>
      <c r="M11" s="255">
        <v>6.5647451216063466</v>
      </c>
      <c r="N11" s="255">
        <v>6.8340594158798726</v>
      </c>
      <c r="O11" s="255">
        <v>6.8663232502089224</v>
      </c>
      <c r="P11" s="255">
        <v>2.3761184836946958</v>
      </c>
      <c r="Q11" s="255">
        <v>2.3121389495762781</v>
      </c>
      <c r="R11" s="255">
        <v>2.3653588929421621</v>
      </c>
      <c r="S11" s="255">
        <v>1.1032913182114079</v>
      </c>
      <c r="T11" s="255">
        <v>2.4860816821325971</v>
      </c>
      <c r="U11" s="255">
        <v>3.0068539038762179</v>
      </c>
      <c r="V11" s="255">
        <v>2.1425821166495478</v>
      </c>
      <c r="W11" s="255">
        <v>1.3660688756085151</v>
      </c>
      <c r="X11" s="255">
        <v>1.568777492649378</v>
      </c>
      <c r="Y11" s="255">
        <v>0.79622961065740128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5.1513118573789853</v>
      </c>
      <c r="C14" s="254">
        <v>5.1513118573805334</v>
      </c>
      <c r="D14" s="254">
        <v>5.1513118573781824</v>
      </c>
      <c r="E14" s="254">
        <v>5.1513118573769576</v>
      </c>
      <c r="F14" s="254">
        <v>5.1513118573779701</v>
      </c>
      <c r="G14" s="254">
        <v>5.1513118573736616</v>
      </c>
      <c r="H14" s="254">
        <v>5.1513118573697509</v>
      </c>
      <c r="I14" s="254">
        <v>5.1513118573702377</v>
      </c>
      <c r="J14" s="254">
        <v>5.1513118573764336</v>
      </c>
      <c r="K14" s="254">
        <v>5.1513118573701107</v>
      </c>
      <c r="L14" s="254">
        <v>5.1513118573730896</v>
      </c>
      <c r="M14" s="254">
        <v>5.1513118573730967</v>
      </c>
      <c r="N14" s="254">
        <v>5.1513118573712253</v>
      </c>
      <c r="O14" s="254">
        <v>5.1513118573733934</v>
      </c>
      <c r="P14" s="254">
        <v>5.1513118573735426</v>
      </c>
      <c r="Q14" s="254">
        <v>5.1513118573748633</v>
      </c>
      <c r="R14" s="254">
        <v>5.1513118573750294</v>
      </c>
      <c r="S14" s="254">
        <v>5.1513118573744192</v>
      </c>
      <c r="T14" s="254">
        <v>5.1513118573756627</v>
      </c>
      <c r="U14" s="254">
        <v>5.1513118573732433</v>
      </c>
      <c r="V14" s="254">
        <v>5.1513118573745116</v>
      </c>
      <c r="W14" s="254">
        <v>5.1513118573769194</v>
      </c>
      <c r="X14" s="254">
        <v>5.1513118573765757</v>
      </c>
      <c r="Y14" s="254">
        <v>5.1513118573679488</v>
      </c>
      <c r="DA14" s="270" t="s">
        <v>1023</v>
      </c>
    </row>
    <row r="15" spans="1:105" x14ac:dyDescent="0.25">
      <c r="A15" s="253" t="s">
        <v>24</v>
      </c>
      <c r="B15" s="255">
        <v>17.97875169723066</v>
      </c>
      <c r="C15" s="255">
        <v>22.25427700249822</v>
      </c>
      <c r="D15" s="255">
        <v>19.268524719532799</v>
      </c>
      <c r="E15" s="255">
        <v>17.610645966082451</v>
      </c>
      <c r="F15" s="255">
        <v>19.246274990682942</v>
      </c>
      <c r="G15" s="255">
        <v>22.213899401095901</v>
      </c>
      <c r="H15" s="255">
        <v>40.032544086483668</v>
      </c>
      <c r="I15" s="255">
        <v>42.320920571289101</v>
      </c>
      <c r="J15" s="255">
        <v>26.949011839990209</v>
      </c>
      <c r="K15" s="255">
        <v>36.561243673342958</v>
      </c>
      <c r="L15" s="255">
        <v>16.61382360709117</v>
      </c>
      <c r="M15" s="255">
        <v>15.63297709017227</v>
      </c>
      <c r="N15" s="255">
        <v>7.4577725302595264</v>
      </c>
      <c r="O15" s="255">
        <v>16.32817136939482</v>
      </c>
      <c r="P15" s="255">
        <v>15.888460221496731</v>
      </c>
      <c r="Q15" s="255">
        <v>19.036547410572929</v>
      </c>
      <c r="R15" s="255">
        <v>19.50215188893398</v>
      </c>
      <c r="S15" s="255">
        <v>16.18120352141008</v>
      </c>
      <c r="T15" s="255">
        <v>18.413937549269249</v>
      </c>
      <c r="U15" s="255">
        <v>12.533451434268789</v>
      </c>
      <c r="V15" s="255">
        <v>15.10015955188096</v>
      </c>
      <c r="W15" s="255">
        <v>19.15091520736603</v>
      </c>
      <c r="X15" s="255">
        <v>32.670580141954453</v>
      </c>
      <c r="Y15" s="255">
        <v>31.027111062192649</v>
      </c>
      <c r="DA15" s="271" t="s">
        <v>1024</v>
      </c>
    </row>
    <row r="16" spans="1:105" x14ac:dyDescent="0.25">
      <c r="A16" s="256" t="s">
        <v>168</v>
      </c>
      <c r="B16" s="257">
        <v>57.525868825398611</v>
      </c>
      <c r="C16" s="257">
        <v>56.664698208343459</v>
      </c>
      <c r="D16" s="257">
        <v>64.136286177044795</v>
      </c>
      <c r="E16" s="257">
        <v>62.617903597129839</v>
      </c>
      <c r="F16" s="257">
        <v>58.983613604701468</v>
      </c>
      <c r="G16" s="257">
        <v>68.390586797563827</v>
      </c>
      <c r="H16" s="257">
        <v>62.633154934587481</v>
      </c>
      <c r="I16" s="257">
        <v>67.56501748112359</v>
      </c>
      <c r="J16" s="257">
        <v>62.69211403930651</v>
      </c>
      <c r="K16" s="257">
        <v>60.058477677117509</v>
      </c>
      <c r="L16" s="257">
        <v>61.293833450632818</v>
      </c>
      <c r="M16" s="257">
        <v>58.861000200995257</v>
      </c>
      <c r="N16" s="257">
        <v>58.675342818662443</v>
      </c>
      <c r="O16" s="257">
        <v>61.812167512025717</v>
      </c>
      <c r="P16" s="257">
        <v>59.868871587497331</v>
      </c>
      <c r="Q16" s="257">
        <v>56.392544372453827</v>
      </c>
      <c r="R16" s="257">
        <v>57.95658123543037</v>
      </c>
      <c r="S16" s="257">
        <v>55.174113350658139</v>
      </c>
      <c r="T16" s="257">
        <v>52.631167546772048</v>
      </c>
      <c r="U16" s="257">
        <v>55.112228927196121</v>
      </c>
      <c r="V16" s="257">
        <v>50.742470282477598</v>
      </c>
      <c r="W16" s="257">
        <v>50.517733526329053</v>
      </c>
      <c r="X16" s="257">
        <v>53.930684612090403</v>
      </c>
      <c r="Y16" s="257">
        <v>50.832868919826169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104.20793043212876</v>
      </c>
      <c r="C17" s="257">
        <f t="shared" ref="C17:W17" si="7">SUM(C18:C24)</f>
        <v>96.92703228186997</v>
      </c>
      <c r="D17" s="257">
        <f t="shared" si="7"/>
        <v>104.01109774450637</v>
      </c>
      <c r="E17" s="257">
        <f t="shared" si="7"/>
        <v>108.45546731355714</v>
      </c>
      <c r="F17" s="257">
        <f t="shared" si="7"/>
        <v>105.43122787257697</v>
      </c>
      <c r="G17" s="257">
        <f t="shared" si="7"/>
        <v>82.207097750913888</v>
      </c>
      <c r="H17" s="257">
        <f t="shared" si="7"/>
        <v>75.362463958603954</v>
      </c>
      <c r="I17" s="257">
        <f t="shared" si="7"/>
        <v>81.907088282737021</v>
      </c>
      <c r="J17" s="257">
        <f t="shared" si="7"/>
        <v>77.483757447731492</v>
      </c>
      <c r="K17" s="257">
        <f t="shared" si="7"/>
        <v>72.062864700661805</v>
      </c>
      <c r="L17" s="257">
        <f t="shared" si="7"/>
        <v>74.765962841802519</v>
      </c>
      <c r="M17" s="257">
        <f t="shared" si="7"/>
        <v>72.264544604552611</v>
      </c>
      <c r="N17" s="257">
        <f t="shared" si="7"/>
        <v>72.082747022520749</v>
      </c>
      <c r="O17" s="257">
        <f t="shared" si="7"/>
        <v>77.812312518300615</v>
      </c>
      <c r="P17" s="257">
        <f t="shared" si="7"/>
        <v>74.531025204183692</v>
      </c>
      <c r="Q17" s="257">
        <f t="shared" si="7"/>
        <v>70.376500668957789</v>
      </c>
      <c r="R17" s="257">
        <f t="shared" si="7"/>
        <v>72.744723994645099</v>
      </c>
      <c r="S17" s="257">
        <f t="shared" si="7"/>
        <v>71.229535249131914</v>
      </c>
      <c r="T17" s="257">
        <f t="shared" si="7"/>
        <v>67.443044928561164</v>
      </c>
      <c r="U17" s="257">
        <f t="shared" si="7"/>
        <v>71.420547618218947</v>
      </c>
      <c r="V17" s="257">
        <f t="shared" si="7"/>
        <v>65.971816544168618</v>
      </c>
      <c r="W17" s="257">
        <f t="shared" si="7"/>
        <v>62.641209797177211</v>
      </c>
      <c r="X17" s="257">
        <f t="shared" ref="X17:Y17" si="8">SUM(X18:X24)</f>
        <v>69.77914136807459</v>
      </c>
      <c r="Y17" s="257">
        <f t="shared" si="8"/>
        <v>63.405813018497867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1026</v>
      </c>
    </row>
    <row r="19" spans="1:105" x14ac:dyDescent="0.25">
      <c r="A19" s="61" t="s">
        <v>27</v>
      </c>
      <c r="B19" s="55">
        <v>0.67516019167391839</v>
      </c>
      <c r="C19" s="55">
        <v>0.67516019167363872</v>
      </c>
      <c r="D19" s="55">
        <v>0.67516019167367614</v>
      </c>
      <c r="E19" s="55">
        <v>1.0127402875111911</v>
      </c>
      <c r="F19" s="55">
        <v>1.0127402875111431</v>
      </c>
      <c r="G19" s="55">
        <v>0.4496528850935948</v>
      </c>
      <c r="H19" s="55">
        <v>0.44155959563675101</v>
      </c>
      <c r="I19" s="55">
        <v>0.459801613145222</v>
      </c>
      <c r="J19" s="55">
        <v>0.65725218293627818</v>
      </c>
      <c r="K19" s="55">
        <v>0.62385130581027048</v>
      </c>
      <c r="L19" s="55">
        <v>0.64139961279224011</v>
      </c>
      <c r="M19" s="55">
        <v>0.3888889817025224</v>
      </c>
      <c r="N19" s="55">
        <v>0.38958269222765102</v>
      </c>
      <c r="O19" s="55">
        <v>0.48104970959397481</v>
      </c>
      <c r="P19" s="55">
        <v>0.28830095558158497</v>
      </c>
      <c r="Q19" s="55">
        <v>0.27512045560709431</v>
      </c>
      <c r="R19" s="55">
        <v>0.39361649046509323</v>
      </c>
      <c r="S19" s="55">
        <v>0.22674056973601639</v>
      </c>
      <c r="T19" s="55">
        <v>0.21029706099585641</v>
      </c>
      <c r="U19" s="55">
        <v>0.39366787643013101</v>
      </c>
      <c r="V19" s="55">
        <v>0.37362735015311022</v>
      </c>
      <c r="W19" s="55">
        <v>0.30330565730653752</v>
      </c>
      <c r="X19" s="55">
        <v>0.41864145532916702</v>
      </c>
      <c r="Y19" s="55">
        <v>0.27930841174034321</v>
      </c>
      <c r="DA19" s="101" t="s">
        <v>1027</v>
      </c>
    </row>
    <row r="20" spans="1:105" x14ac:dyDescent="0.25">
      <c r="A20" s="61" t="s">
        <v>166</v>
      </c>
      <c r="B20" s="55">
        <v>16.077533887016941</v>
      </c>
      <c r="C20" s="55">
        <v>17.74344737096035</v>
      </c>
      <c r="D20" s="55">
        <v>22.936104758014121</v>
      </c>
      <c r="E20" s="55">
        <v>19.573944154359481</v>
      </c>
      <c r="F20" s="55">
        <v>17.066538710469381</v>
      </c>
      <c r="G20" s="55">
        <v>52.476435791345438</v>
      </c>
      <c r="H20" s="55">
        <v>47.593808783487489</v>
      </c>
      <c r="I20" s="55">
        <v>50.158031060357018</v>
      </c>
      <c r="J20" s="55">
        <v>44.089957510588363</v>
      </c>
      <c r="K20" s="55">
        <v>46.047225583810878</v>
      </c>
      <c r="L20" s="55">
        <v>44.992837494534101</v>
      </c>
      <c r="M20" s="55">
        <v>42.21354520326814</v>
      </c>
      <c r="N20" s="55">
        <v>42.169656576221989</v>
      </c>
      <c r="O20" s="55">
        <v>41.2003241267021</v>
      </c>
      <c r="P20" s="55">
        <v>41.200935108800628</v>
      </c>
      <c r="Q20" s="55">
        <v>38.424539061741477</v>
      </c>
      <c r="R20" s="55">
        <v>38.90402267321118</v>
      </c>
      <c r="S20" s="55">
        <v>34.411033140683777</v>
      </c>
      <c r="T20" s="55">
        <v>33.212329839228182</v>
      </c>
      <c r="U20" s="55">
        <v>33.850958818354563</v>
      </c>
      <c r="V20" s="55">
        <v>30.82655331132424</v>
      </c>
      <c r="W20" s="55">
        <v>34.744736277308448</v>
      </c>
      <c r="X20" s="55">
        <v>32.677629362938113</v>
      </c>
      <c r="Y20" s="55">
        <v>34.031007831520483</v>
      </c>
      <c r="DA20" s="101" t="s">
        <v>1028</v>
      </c>
    </row>
    <row r="21" spans="1:105" x14ac:dyDescent="0.25">
      <c r="A21" s="61" t="s">
        <v>129</v>
      </c>
      <c r="B21" s="55">
        <v>3.5970464644454099</v>
      </c>
      <c r="C21" s="55">
        <v>2.055461663949985</v>
      </c>
      <c r="D21" s="55">
        <v>8.7357006243193709</v>
      </c>
      <c r="E21" s="55">
        <v>13.61740490500712</v>
      </c>
      <c r="F21" s="55">
        <v>8.7356777293876835</v>
      </c>
      <c r="G21" s="55">
        <v>8.9068860691046012</v>
      </c>
      <c r="H21" s="55">
        <v>7.9046601970911912</v>
      </c>
      <c r="I21" s="55">
        <v>9.0513531222970229</v>
      </c>
      <c r="J21" s="55">
        <v>8.5097047000944652</v>
      </c>
      <c r="K21" s="55">
        <v>6.3821010893309333</v>
      </c>
      <c r="L21" s="55">
        <v>7.5442938869436231</v>
      </c>
      <c r="M21" s="55">
        <v>6.6285650873137421</v>
      </c>
      <c r="N21" s="55">
        <v>6.6506587016285401</v>
      </c>
      <c r="O21" s="55">
        <v>7.399162880593817</v>
      </c>
      <c r="P21" s="55">
        <v>6.9029151187130564</v>
      </c>
      <c r="Q21" s="55">
        <v>6.5716711685903366</v>
      </c>
      <c r="R21" s="55">
        <v>7.0052325926603922</v>
      </c>
      <c r="S21" s="55">
        <v>7.7105111303673191</v>
      </c>
      <c r="T21" s="55">
        <v>5.780628196467374</v>
      </c>
      <c r="U21" s="55">
        <v>4.8555811574382632</v>
      </c>
      <c r="V21" s="55">
        <v>4.6581810096663903</v>
      </c>
      <c r="W21" s="55">
        <v>3.2146323298766761</v>
      </c>
      <c r="X21" s="55">
        <v>3.7492062164867859</v>
      </c>
      <c r="Y21" s="55">
        <v>2.8979037698970762</v>
      </c>
      <c r="DA21" s="101" t="s">
        <v>1029</v>
      </c>
    </row>
    <row r="22" spans="1:105" x14ac:dyDescent="0.25">
      <c r="A22" s="61" t="s">
        <v>169</v>
      </c>
      <c r="B22" s="55">
        <v>2.6750259603182731</v>
      </c>
      <c r="C22" s="55">
        <v>2.761519747696763</v>
      </c>
      <c r="D22" s="55">
        <v>2.9473325686547072</v>
      </c>
      <c r="E22" s="55">
        <v>2.8449477937159382</v>
      </c>
      <c r="F22" s="55">
        <v>2.7826347181615798</v>
      </c>
      <c r="G22" s="55">
        <v>4.2957640160639583</v>
      </c>
      <c r="H22" s="55">
        <v>4.6115477960037232</v>
      </c>
      <c r="I22" s="55">
        <v>4.7076292670474738</v>
      </c>
      <c r="J22" s="55">
        <v>4.6317313084177227</v>
      </c>
      <c r="K22" s="55">
        <v>4.9188116646919831</v>
      </c>
      <c r="L22" s="55">
        <v>4.5807963137923</v>
      </c>
      <c r="M22" s="55">
        <v>4.5452190836297346</v>
      </c>
      <c r="N22" s="55">
        <v>4.426188459969155</v>
      </c>
      <c r="O22" s="55">
        <v>4.4119285992636446</v>
      </c>
      <c r="P22" s="55">
        <v>1.509608444774041</v>
      </c>
      <c r="Q22" s="55">
        <v>1.5112906071108381</v>
      </c>
      <c r="R22" s="55">
        <v>1.521012756517522</v>
      </c>
      <c r="S22" s="55">
        <v>0.64001159146229059</v>
      </c>
      <c r="T22" s="55">
        <v>1.527841261013676</v>
      </c>
      <c r="U22" s="55">
        <v>1.6988887522024669</v>
      </c>
      <c r="V22" s="55">
        <v>1.2354919952603991</v>
      </c>
      <c r="W22" s="55">
        <v>0.91556557832864127</v>
      </c>
      <c r="X22" s="55">
        <v>1.0328313228181329</v>
      </c>
      <c r="Y22" s="55">
        <v>0.57458546277383793</v>
      </c>
      <c r="DA22" s="101" t="s">
        <v>1030</v>
      </c>
    </row>
    <row r="23" spans="1:105" x14ac:dyDescent="0.25">
      <c r="A23" s="61" t="s">
        <v>164</v>
      </c>
      <c r="B23" s="55">
        <v>81.183163928674219</v>
      </c>
      <c r="C23" s="55">
        <v>73.691443307589239</v>
      </c>
      <c r="D23" s="55">
        <v>68.716799601844485</v>
      </c>
      <c r="E23" s="55">
        <v>71.406430172963411</v>
      </c>
      <c r="F23" s="55">
        <v>75.833636427047182</v>
      </c>
      <c r="G23" s="55">
        <v>16.078358989306299</v>
      </c>
      <c r="H23" s="55">
        <v>14.8108875863848</v>
      </c>
      <c r="I23" s="55">
        <v>17.53027321989028</v>
      </c>
      <c r="J23" s="55">
        <v>19.59511174569467</v>
      </c>
      <c r="K23" s="55">
        <v>14.09087505701774</v>
      </c>
      <c r="L23" s="55">
        <v>17.006635533740251</v>
      </c>
      <c r="M23" s="55">
        <v>18.488326248638469</v>
      </c>
      <c r="N23" s="55">
        <v>18.446660592473421</v>
      </c>
      <c r="O23" s="55">
        <v>24.31984720214707</v>
      </c>
      <c r="P23" s="55">
        <v>24.629265576314388</v>
      </c>
      <c r="Q23" s="55">
        <v>23.593879375908049</v>
      </c>
      <c r="R23" s="55">
        <v>24.92083948179091</v>
      </c>
      <c r="S23" s="55">
        <v>28.241238816882511</v>
      </c>
      <c r="T23" s="55">
        <v>26.71194857085607</v>
      </c>
      <c r="U23" s="55">
        <v>30.621451013793521</v>
      </c>
      <c r="V23" s="55">
        <v>28.877962877764482</v>
      </c>
      <c r="W23" s="55">
        <v>23.462969954356911</v>
      </c>
      <c r="X23" s="55">
        <v>31.900833010502399</v>
      </c>
      <c r="Y23" s="55">
        <v>25.623007542566121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1032</v>
      </c>
    </row>
    <row r="25" spans="1:105" x14ac:dyDescent="0.25">
      <c r="A25" s="256" t="s">
        <v>167</v>
      </c>
      <c r="B25" s="257">
        <v>7.7378525697084442</v>
      </c>
      <c r="C25" s="257">
        <v>7.6220157921299467</v>
      </c>
      <c r="D25" s="257">
        <v>8.6270253181728211</v>
      </c>
      <c r="E25" s="257">
        <v>8.4227864116131315</v>
      </c>
      <c r="F25" s="257">
        <v>7.9339350351596654</v>
      </c>
      <c r="G25" s="257">
        <v>9.1992748410563578</v>
      </c>
      <c r="H25" s="257">
        <v>8.4248378817281893</v>
      </c>
      <c r="I25" s="257">
        <v>9.0882268241010884</v>
      </c>
      <c r="J25" s="257">
        <v>8.4327685200527061</v>
      </c>
      <c r="K25" s="257">
        <v>8.0785158975552545</v>
      </c>
      <c r="L25" s="257">
        <v>8.244684632452822</v>
      </c>
      <c r="M25" s="257">
        <v>7.9174422040156722</v>
      </c>
      <c r="N25" s="257">
        <v>7.8924692747526697</v>
      </c>
      <c r="O25" s="257">
        <v>8.3144061791380146</v>
      </c>
      <c r="P25" s="257">
        <v>8.0530118243833613</v>
      </c>
      <c r="Q25" s="257">
        <v>7.5854081527949164</v>
      </c>
      <c r="R25" s="257">
        <v>7.7957880550269749</v>
      </c>
      <c r="S25" s="257">
        <v>7.421515980359759</v>
      </c>
      <c r="T25" s="257">
        <v>7.0794622204599778</v>
      </c>
      <c r="U25" s="257">
        <v>7.4131918549725562</v>
      </c>
      <c r="V25" s="257">
        <v>6.8254119770072483</v>
      </c>
      <c r="W25" s="257">
        <v>6.7951824485954306</v>
      </c>
      <c r="X25" s="257">
        <v>7.2542613442033126</v>
      </c>
      <c r="Y25" s="257">
        <v>6.837571573074003</v>
      </c>
      <c r="DA25" s="272" t="s">
        <v>1033</v>
      </c>
    </row>
    <row r="26" spans="1:105" x14ac:dyDescent="0.25">
      <c r="A26" s="256" t="s">
        <v>170</v>
      </c>
      <c r="B26" s="257">
        <v>7.9749407283100258</v>
      </c>
      <c r="C26" s="257">
        <v>8.5118755052122044</v>
      </c>
      <c r="D26" s="257">
        <v>8.8544895639358039</v>
      </c>
      <c r="E26" s="257">
        <v>8.410608667174948</v>
      </c>
      <c r="F26" s="257">
        <v>8.3030538797765949</v>
      </c>
      <c r="G26" s="257">
        <v>10.30406652983193</v>
      </c>
      <c r="H26" s="257">
        <v>11.884812982390221</v>
      </c>
      <c r="I26" s="257">
        <v>12.67775790994774</v>
      </c>
      <c r="J26" s="257">
        <v>10.31116483266265</v>
      </c>
      <c r="K26" s="257">
        <v>11.24106866952193</v>
      </c>
      <c r="L26" s="257">
        <v>8.6984409425920877</v>
      </c>
      <c r="M26" s="257">
        <v>8.2878806293149676</v>
      </c>
      <c r="N26" s="257">
        <v>6.500513550385925</v>
      </c>
      <c r="O26" s="257">
        <v>8.6129169673869157</v>
      </c>
      <c r="P26" s="257">
        <v>8.284460646852235</v>
      </c>
      <c r="Q26" s="257">
        <v>8.4440300290073029</v>
      </c>
      <c r="R26" s="257">
        <v>8.6520883676929046</v>
      </c>
      <c r="S26" s="257">
        <v>7.7900861001372066</v>
      </c>
      <c r="T26" s="257">
        <v>7.9262265887637859</v>
      </c>
      <c r="U26" s="257">
        <v>7.1912720264010028</v>
      </c>
      <c r="V26" s="257">
        <v>7.2144924856159927</v>
      </c>
      <c r="W26" s="257">
        <v>7.8605159112185996</v>
      </c>
      <c r="X26" s="257">
        <v>9.7042711916965931</v>
      </c>
      <c r="Y26" s="257">
        <v>9.2503844721210964</v>
      </c>
      <c r="DA26" s="272" t="s">
        <v>1034</v>
      </c>
    </row>
    <row r="27" spans="1:105" x14ac:dyDescent="0.25">
      <c r="A27" s="128" t="s">
        <v>33</v>
      </c>
      <c r="B27" s="258">
        <v>12.1543260358479</v>
      </c>
      <c r="C27" s="258">
        <v>12.972649401598771</v>
      </c>
      <c r="D27" s="258">
        <v>13.494815410859401</v>
      </c>
      <c r="E27" s="258">
        <v>12.818312183548359</v>
      </c>
      <c r="F27" s="258">
        <v>12.654391723536</v>
      </c>
      <c r="G27" s="258">
        <v>15.70406456490173</v>
      </c>
      <c r="H27" s="258">
        <v>18.113224509652191</v>
      </c>
      <c r="I27" s="258">
        <v>19.321723921289589</v>
      </c>
      <c r="J27" s="258">
        <v>15.714882838020619</v>
      </c>
      <c r="K27" s="258">
        <v>17.13211649532564</v>
      </c>
      <c r="L27" s="258">
        <v>13.256987208008541</v>
      </c>
      <c r="M27" s="258">
        <v>12.631266707386411</v>
      </c>
      <c r="N27" s="258">
        <v>9.9072035496595614</v>
      </c>
      <c r="O27" s="258">
        <v>13.126643132241879</v>
      </c>
      <c r="P27" s="258">
        <v>12.62605443267428</v>
      </c>
      <c r="Q27" s="258">
        <v>12.86924850296581</v>
      </c>
      <c r="R27" s="258">
        <v>13.18634288259986</v>
      </c>
      <c r="S27" s="258">
        <v>11.87259561344211</v>
      </c>
      <c r="T27" s="258">
        <v>12.08008253300919</v>
      </c>
      <c r="U27" s="258">
        <v>10.959964192721021</v>
      </c>
      <c r="V27" s="258">
        <v>10.99535367605589</v>
      </c>
      <c r="W27" s="258">
        <v>11.979935205758791</v>
      </c>
      <c r="X27" s="258">
        <v>14.789937633700911</v>
      </c>
      <c r="Y27" s="258">
        <v>14.098184884557771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1.0000000000000002</v>
      </c>
      <c r="C31" s="235">
        <f t="shared" si="9"/>
        <v>0.99999999999999989</v>
      </c>
      <c r="D31" s="235">
        <f t="shared" si="9"/>
        <v>1</v>
      </c>
      <c r="E31" s="235">
        <f t="shared" si="9"/>
        <v>1.0000000000000002</v>
      </c>
      <c r="F31" s="235">
        <f t="shared" si="9"/>
        <v>1.0000000000000002</v>
      </c>
      <c r="G31" s="235">
        <f t="shared" si="9"/>
        <v>1</v>
      </c>
      <c r="H31" s="235">
        <f t="shared" si="9"/>
        <v>1.0000000000000002</v>
      </c>
      <c r="I31" s="235">
        <f t="shared" si="9"/>
        <v>0.99999999999999989</v>
      </c>
      <c r="J31" s="235">
        <f t="shared" si="9"/>
        <v>0.99999999999999978</v>
      </c>
      <c r="K31" s="235">
        <f t="shared" si="9"/>
        <v>1</v>
      </c>
      <c r="L31" s="235">
        <f t="shared" si="9"/>
        <v>1.0000000000000002</v>
      </c>
      <c r="M31" s="235">
        <f t="shared" si="9"/>
        <v>1.0000000000000002</v>
      </c>
      <c r="N31" s="235">
        <f t="shared" si="9"/>
        <v>0.99999999999999989</v>
      </c>
      <c r="O31" s="235">
        <f t="shared" si="9"/>
        <v>1</v>
      </c>
      <c r="P31" s="235">
        <f t="shared" si="9"/>
        <v>1</v>
      </c>
      <c r="Q31" s="235">
        <f t="shared" si="9"/>
        <v>1.0000000000000002</v>
      </c>
      <c r="R31" s="235">
        <f t="shared" ref="R31:W31" si="10">SUM(R32:R40)</f>
        <v>0.99999999999999989</v>
      </c>
      <c r="S31" s="235">
        <f t="shared" si="10"/>
        <v>1</v>
      </c>
      <c r="T31" s="235">
        <f t="shared" si="10"/>
        <v>0.99999999999999978</v>
      </c>
      <c r="U31" s="235">
        <f t="shared" si="10"/>
        <v>1</v>
      </c>
      <c r="V31" s="235">
        <f t="shared" si="10"/>
        <v>0.99999999999999989</v>
      </c>
      <c r="W31" s="235">
        <f t="shared" si="10"/>
        <v>0.99999999999999989</v>
      </c>
      <c r="X31" s="235">
        <f t="shared" ref="X31:Y31" si="11">SUM(X32:X40)</f>
        <v>1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2.6839264002982106E-2</v>
      </c>
      <c r="C32" s="244">
        <f t="shared" si="12"/>
        <v>2.9085422014990963E-2</v>
      </c>
      <c r="D32" s="244">
        <f t="shared" si="12"/>
        <v>2.7872553293253135E-2</v>
      </c>
      <c r="E32" s="244">
        <f t="shared" si="12"/>
        <v>2.6656239175034478E-2</v>
      </c>
      <c r="F32" s="244">
        <f t="shared" si="12"/>
        <v>2.7293632847353942E-2</v>
      </c>
      <c r="G32" s="244">
        <f t="shared" si="12"/>
        <v>3.2655312771291495E-2</v>
      </c>
      <c r="H32" s="244">
        <f t="shared" si="12"/>
        <v>3.7903399196004051E-2</v>
      </c>
      <c r="I32" s="244">
        <f t="shared" si="12"/>
        <v>3.7593805703912721E-2</v>
      </c>
      <c r="J32" s="244">
        <f t="shared" si="12"/>
        <v>3.4369262614254437E-2</v>
      </c>
      <c r="K32" s="244">
        <f t="shared" si="12"/>
        <v>3.7607533282399963E-2</v>
      </c>
      <c r="L32" s="244">
        <f t="shared" si="12"/>
        <v>3.106909571653033E-2</v>
      </c>
      <c r="M32" s="244">
        <f t="shared" si="12"/>
        <v>3.0809921072565777E-2</v>
      </c>
      <c r="N32" s="244">
        <f t="shared" si="12"/>
        <v>2.5484571633675183E-2</v>
      </c>
      <c r="O32" s="244">
        <f t="shared" si="12"/>
        <v>3.0367368668333783E-2</v>
      </c>
      <c r="P32" s="244">
        <f t="shared" si="12"/>
        <v>3.0433109628010744E-2</v>
      </c>
      <c r="Q32" s="244">
        <f t="shared" si="12"/>
        <v>3.2199229972764302E-2</v>
      </c>
      <c r="R32" s="244">
        <f t="shared" si="12"/>
        <v>3.2085842287179936E-2</v>
      </c>
      <c r="S32" s="244">
        <f t="shared" si="12"/>
        <v>3.0590748699245676E-2</v>
      </c>
      <c r="T32" s="244">
        <f t="shared" si="12"/>
        <v>3.2056777623125809E-2</v>
      </c>
      <c r="U32" s="244">
        <f t="shared" si="12"/>
        <v>2.8722771624745885E-2</v>
      </c>
      <c r="V32" s="244">
        <f t="shared" si="12"/>
        <v>3.0619543355286358E-2</v>
      </c>
      <c r="W32" s="244">
        <f t="shared" si="12"/>
        <v>3.3131923422183789E-2</v>
      </c>
      <c r="X32" s="244">
        <f t="shared" si="12"/>
        <v>3.5988762752755754E-2</v>
      </c>
      <c r="Y32" s="244">
        <f t="shared" si="12"/>
        <v>3.6622706616886366E-2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1.7299466190724786E-2</v>
      </c>
      <c r="C33" s="245">
        <f t="shared" si="13"/>
        <v>1.8747245629961853E-2</v>
      </c>
      <c r="D33" s="245">
        <f t="shared" si="13"/>
        <v>1.7965481217824469E-2</v>
      </c>
      <c r="E33" s="245">
        <f t="shared" si="13"/>
        <v>1.7181496047326248E-2</v>
      </c>
      <c r="F33" s="245">
        <f t="shared" si="13"/>
        <v>1.7592333329721439E-2</v>
      </c>
      <c r="G33" s="245">
        <f t="shared" si="13"/>
        <v>2.1048247789944331E-2</v>
      </c>
      <c r="H33" s="245">
        <f t="shared" si="13"/>
        <v>2.443094463514207E-2</v>
      </c>
      <c r="I33" s="245">
        <f t="shared" si="13"/>
        <v>2.4231393628500918E-2</v>
      </c>
      <c r="J33" s="245">
        <f t="shared" si="13"/>
        <v>2.2152988119546555E-2</v>
      </c>
      <c r="K33" s="245">
        <f t="shared" si="13"/>
        <v>2.4240241851011587E-2</v>
      </c>
      <c r="L33" s="245">
        <f t="shared" si="13"/>
        <v>2.0025838669226904E-2</v>
      </c>
      <c r="M33" s="245">
        <f t="shared" si="13"/>
        <v>1.9858785541754412E-2</v>
      </c>
      <c r="N33" s="245">
        <f t="shared" si="13"/>
        <v>1.6426288191542172E-2</v>
      </c>
      <c r="O33" s="245">
        <f t="shared" si="13"/>
        <v>1.9573534785482388E-2</v>
      </c>
      <c r="P33" s="245">
        <f t="shared" si="13"/>
        <v>1.9615908656433218E-2</v>
      </c>
      <c r="Q33" s="245">
        <f t="shared" si="13"/>
        <v>2.0754275907838484E-2</v>
      </c>
      <c r="R33" s="245">
        <f t="shared" si="13"/>
        <v>2.0681190951671532E-2</v>
      </c>
      <c r="S33" s="245">
        <f t="shared" si="13"/>
        <v>1.9717516203602271E-2</v>
      </c>
      <c r="T33" s="245">
        <f t="shared" si="13"/>
        <v>2.0662457085754309E-2</v>
      </c>
      <c r="U33" s="245">
        <f t="shared" si="13"/>
        <v>1.8513496367523027E-2</v>
      </c>
      <c r="V33" s="245">
        <f t="shared" si="13"/>
        <v>1.9736076033655514E-2</v>
      </c>
      <c r="W33" s="245">
        <f t="shared" si="13"/>
        <v>2.1355451066469897E-2</v>
      </c>
      <c r="X33" s="245">
        <f t="shared" si="13"/>
        <v>2.3196850122944444E-2</v>
      </c>
      <c r="Y33" s="245">
        <f t="shared" si="13"/>
        <v>2.3605463803376456E-2</v>
      </c>
      <c r="DA33" s="276"/>
    </row>
    <row r="34" spans="1:105" x14ac:dyDescent="0.25">
      <c r="A34" s="240" t="s">
        <v>123</v>
      </c>
      <c r="B34" s="245">
        <f t="shared" ref="B34:Y34" si="14">IF(B$8=0,0,B$8/B$5)</f>
        <v>3.4378056818125238E-2</v>
      </c>
      <c r="C34" s="245">
        <f t="shared" si="14"/>
        <v>3.7255130785233556E-2</v>
      </c>
      <c r="D34" s="245">
        <f t="shared" si="14"/>
        <v>3.5701583347263671E-2</v>
      </c>
      <c r="E34" s="245">
        <f t="shared" si="14"/>
        <v>3.4143622746698674E-2</v>
      </c>
      <c r="F34" s="245">
        <f t="shared" si="14"/>
        <v>3.4960051836560348E-2</v>
      </c>
      <c r="G34" s="245">
        <f t="shared" si="14"/>
        <v>4.1827756444452961E-2</v>
      </c>
      <c r="H34" s="245">
        <f t="shared" si="14"/>
        <v>4.8549960647785606E-2</v>
      </c>
      <c r="I34" s="245">
        <f t="shared" si="14"/>
        <v>4.8153406455373457E-2</v>
      </c>
      <c r="J34" s="245">
        <f t="shared" si="14"/>
        <v>4.4023132035909199E-2</v>
      </c>
      <c r="K34" s="245">
        <f t="shared" si="14"/>
        <v>4.8170989928346432E-2</v>
      </c>
      <c r="L34" s="245">
        <f t="shared" si="14"/>
        <v>3.9795992085027924E-2</v>
      </c>
      <c r="M34" s="245">
        <f t="shared" si="14"/>
        <v>3.9464018725585547E-2</v>
      </c>
      <c r="N34" s="245">
        <f t="shared" si="14"/>
        <v>3.264284935349656E-2</v>
      </c>
      <c r="O34" s="245">
        <f t="shared" si="14"/>
        <v>3.8897159228395352E-2</v>
      </c>
      <c r="P34" s="245">
        <f t="shared" si="14"/>
        <v>3.8981365950561848E-2</v>
      </c>
      <c r="Q34" s="245">
        <f t="shared" si="14"/>
        <v>4.1243566044902688E-2</v>
      </c>
      <c r="R34" s="245">
        <f t="shared" si="14"/>
        <v>4.1098329264301611E-2</v>
      </c>
      <c r="S34" s="245">
        <f t="shared" si="14"/>
        <v>3.9183283743354877E-2</v>
      </c>
      <c r="T34" s="245">
        <f t="shared" si="14"/>
        <v>4.106110072211281E-2</v>
      </c>
      <c r="U34" s="245">
        <f t="shared" si="14"/>
        <v>3.6790616716607258E-2</v>
      </c>
      <c r="V34" s="245">
        <f t="shared" si="14"/>
        <v>3.9220166435865171E-2</v>
      </c>
      <c r="W34" s="245">
        <f t="shared" si="14"/>
        <v>4.2438240697474178E-2</v>
      </c>
      <c r="X34" s="245">
        <f t="shared" si="14"/>
        <v>4.6097528255275508E-2</v>
      </c>
      <c r="Y34" s="245">
        <f t="shared" si="14"/>
        <v>4.6909538531643806E-2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0.28873297259913844</v>
      </c>
      <c r="C35" s="246">
        <f t="shared" si="15"/>
        <v>0.29585142555253069</v>
      </c>
      <c r="D35" s="246">
        <f t="shared" si="15"/>
        <v>0.29689767146802104</v>
      </c>
      <c r="E35" s="246">
        <f t="shared" si="15"/>
        <v>0.29117485639279733</v>
      </c>
      <c r="F35" s="246">
        <f t="shared" si="15"/>
        <v>0.29004152467946348</v>
      </c>
      <c r="G35" s="246">
        <f t="shared" si="15"/>
        <v>0.32055111043306228</v>
      </c>
      <c r="H35" s="246">
        <f t="shared" si="15"/>
        <v>0.33118704743010657</v>
      </c>
      <c r="I35" s="246">
        <f t="shared" si="15"/>
        <v>0.3296784563903149</v>
      </c>
      <c r="J35" s="246">
        <f t="shared" si="15"/>
        <v>0.32223412570554166</v>
      </c>
      <c r="K35" s="246">
        <f t="shared" si="15"/>
        <v>0.33073364809211975</v>
      </c>
      <c r="L35" s="246">
        <f t="shared" si="15"/>
        <v>0.32023358718896228</v>
      </c>
      <c r="M35" s="246">
        <f t="shared" si="15"/>
        <v>0.32019184507556631</v>
      </c>
      <c r="N35" s="246">
        <f t="shared" si="15"/>
        <v>0.32264612224401418</v>
      </c>
      <c r="O35" s="246">
        <f t="shared" si="15"/>
        <v>0.31791934531619243</v>
      </c>
      <c r="P35" s="246">
        <f t="shared" si="15"/>
        <v>0.31587549295874789</v>
      </c>
      <c r="Q35" s="246">
        <f t="shared" si="15"/>
        <v>0.31717202678974893</v>
      </c>
      <c r="R35" s="246">
        <f t="shared" si="15"/>
        <v>0.31651627763985968</v>
      </c>
      <c r="S35" s="246">
        <f t="shared" si="15"/>
        <v>0.31282589047796094</v>
      </c>
      <c r="T35" s="246">
        <f t="shared" si="15"/>
        <v>0.31602965203105227</v>
      </c>
      <c r="U35" s="246">
        <f t="shared" si="15"/>
        <v>0.31356529158141039</v>
      </c>
      <c r="V35" s="246">
        <f t="shared" si="15"/>
        <v>0.31385156165571937</v>
      </c>
      <c r="W35" s="246">
        <f t="shared" si="15"/>
        <v>0.31877602776508068</v>
      </c>
      <c r="X35" s="246">
        <f t="shared" si="15"/>
        <v>0.32301890396945615</v>
      </c>
      <c r="Y35" s="246">
        <f t="shared" si="15"/>
        <v>0.32586466411848625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0.19197959376084467</v>
      </c>
      <c r="C36" s="259">
        <f t="shared" si="16"/>
        <v>0.19200451004445329</v>
      </c>
      <c r="D36" s="259">
        <f t="shared" si="16"/>
        <v>0.20020078495420796</v>
      </c>
      <c r="E36" s="259">
        <f t="shared" si="16"/>
        <v>0.19679711032363975</v>
      </c>
      <c r="F36" s="259">
        <f t="shared" si="16"/>
        <v>0.19226649459345499</v>
      </c>
      <c r="G36" s="259">
        <f t="shared" si="16"/>
        <v>0.21492664880596557</v>
      </c>
      <c r="H36" s="259">
        <f t="shared" si="16"/>
        <v>0.19807918440481942</v>
      </c>
      <c r="I36" s="259">
        <f t="shared" si="16"/>
        <v>0.1986755733613178</v>
      </c>
      <c r="J36" s="259">
        <f t="shared" si="16"/>
        <v>0.20721640907483729</v>
      </c>
      <c r="K36" s="259">
        <f t="shared" si="16"/>
        <v>0.19924632091309519</v>
      </c>
      <c r="L36" s="259">
        <f t="shared" si="16"/>
        <v>0.21709644967092762</v>
      </c>
      <c r="M36" s="259">
        <f t="shared" si="16"/>
        <v>0.21698188587658909</v>
      </c>
      <c r="N36" s="259">
        <f t="shared" si="16"/>
        <v>0.22810460302778424</v>
      </c>
      <c r="O36" s="259">
        <f t="shared" si="16"/>
        <v>0.21611236588807589</v>
      </c>
      <c r="P36" s="259">
        <f t="shared" si="16"/>
        <v>0.21808806901078126</v>
      </c>
      <c r="Q36" s="259">
        <f t="shared" si="16"/>
        <v>0.21323876086334079</v>
      </c>
      <c r="R36" s="259">
        <f t="shared" si="16"/>
        <v>0.21312971326830893</v>
      </c>
      <c r="S36" s="259">
        <f t="shared" si="16"/>
        <v>0.21484831638309532</v>
      </c>
      <c r="T36" s="259">
        <f t="shared" si="16"/>
        <v>0.21107904899489893</v>
      </c>
      <c r="U36" s="259">
        <f t="shared" si="16"/>
        <v>0.21828170985047232</v>
      </c>
      <c r="V36" s="259">
        <f t="shared" si="16"/>
        <v>0.21355673557338914</v>
      </c>
      <c r="W36" s="259">
        <f t="shared" si="16"/>
        <v>0.21114859644865552</v>
      </c>
      <c r="X36" s="259">
        <f t="shared" si="16"/>
        <v>0.19833011722553956</v>
      </c>
      <c r="Y36" s="259">
        <f t="shared" si="16"/>
        <v>0.19956483570620287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0.34777043023443321</v>
      </c>
      <c r="C37" s="259">
        <f t="shared" si="17"/>
        <v>0.3284307149209012</v>
      </c>
      <c r="D37" s="259">
        <f t="shared" si="17"/>
        <v>0.3246696161189932</v>
      </c>
      <c r="E37" s="259">
        <f t="shared" si="17"/>
        <v>0.34085654964479395</v>
      </c>
      <c r="F37" s="259">
        <f t="shared" si="17"/>
        <v>0.34366990024714911</v>
      </c>
      <c r="G37" s="259">
        <f t="shared" si="17"/>
        <v>0.25834689911298919</v>
      </c>
      <c r="H37" s="259">
        <f t="shared" si="17"/>
        <v>0.23833599650613205</v>
      </c>
      <c r="I37" s="259">
        <f t="shared" si="17"/>
        <v>0.240848568291649</v>
      </c>
      <c r="J37" s="259">
        <f t="shared" si="17"/>
        <v>0.25610726685461455</v>
      </c>
      <c r="K37" s="259">
        <f t="shared" si="17"/>
        <v>0.23907133882508597</v>
      </c>
      <c r="L37" s="259">
        <f t="shared" si="17"/>
        <v>0.26481334541193141</v>
      </c>
      <c r="M37" s="259">
        <f t="shared" si="17"/>
        <v>0.26639195930692983</v>
      </c>
      <c r="N37" s="259">
        <f t="shared" si="17"/>
        <v>0.28022684836354417</v>
      </c>
      <c r="O37" s="259">
        <f t="shared" si="17"/>
        <v>0.27205328061470513</v>
      </c>
      <c r="P37" s="259">
        <f t="shared" si="17"/>
        <v>0.27149880960122774</v>
      </c>
      <c r="Q37" s="259">
        <f t="shared" si="17"/>
        <v>0.26611669970821766</v>
      </c>
      <c r="R37" s="259">
        <f t="shared" si="17"/>
        <v>0.26751167574534129</v>
      </c>
      <c r="S37" s="259">
        <f t="shared" si="17"/>
        <v>0.27736822208206424</v>
      </c>
      <c r="T37" s="259">
        <f t="shared" si="17"/>
        <v>0.27048257616914745</v>
      </c>
      <c r="U37" s="259">
        <f t="shared" si="17"/>
        <v>0.28287368440779653</v>
      </c>
      <c r="V37" s="259">
        <f t="shared" si="17"/>
        <v>0.27765155505021361</v>
      </c>
      <c r="W37" s="259">
        <f t="shared" si="17"/>
        <v>0.26182100037457617</v>
      </c>
      <c r="X37" s="259">
        <f t="shared" si="17"/>
        <v>0.25661282416439374</v>
      </c>
      <c r="Y37" s="259">
        <f t="shared" si="17"/>
        <v>0.24892497564542374</v>
      </c>
      <c r="DA37" s="278"/>
    </row>
    <row r="38" spans="1:105" x14ac:dyDescent="0.25">
      <c r="A38" s="127" t="s">
        <v>167</v>
      </c>
      <c r="B38" s="259">
        <f t="shared" ref="B38:Y38" si="18">IF(B$25=0,0,B$25/B$5)</f>
        <v>2.5823335192428392E-2</v>
      </c>
      <c r="C38" s="259">
        <f t="shared" si="18"/>
        <v>2.5826686702506998E-2</v>
      </c>
      <c r="D38" s="259">
        <f t="shared" si="18"/>
        <v>2.6929174473095532E-2</v>
      </c>
      <c r="E38" s="259">
        <f t="shared" si="18"/>
        <v>2.6471343361208603E-2</v>
      </c>
      <c r="F38" s="259">
        <f t="shared" si="18"/>
        <v>2.5861926462585533E-2</v>
      </c>
      <c r="G38" s="259">
        <f t="shared" si="18"/>
        <v>2.8909962695388137E-2</v>
      </c>
      <c r="H38" s="259">
        <f t="shared" si="18"/>
        <v>2.664379621461483E-2</v>
      </c>
      <c r="I38" s="259">
        <f t="shared" si="18"/>
        <v>2.6724016990307829E-2</v>
      </c>
      <c r="J38" s="259">
        <f t="shared" si="18"/>
        <v>2.7872851921839283E-2</v>
      </c>
      <c r="K38" s="259">
        <f t="shared" si="18"/>
        <v>2.6800788719276918E-2</v>
      </c>
      <c r="L38" s="259">
        <f t="shared" si="18"/>
        <v>2.9201824418496784E-2</v>
      </c>
      <c r="M38" s="259">
        <f t="shared" si="18"/>
        <v>2.9186414347019043E-2</v>
      </c>
      <c r="N38" s="259">
        <f t="shared" si="18"/>
        <v>3.0682540303008349E-2</v>
      </c>
      <c r="O38" s="259">
        <f t="shared" si="18"/>
        <v>2.9069454488525624E-2</v>
      </c>
      <c r="P38" s="259">
        <f t="shared" si="18"/>
        <v>2.9335207962521953E-2</v>
      </c>
      <c r="Q38" s="259">
        <f t="shared" si="18"/>
        <v>2.8682923481189396E-2</v>
      </c>
      <c r="R38" s="259">
        <f t="shared" si="18"/>
        <v>2.8668255398278737E-2</v>
      </c>
      <c r="S38" s="259">
        <f t="shared" si="18"/>
        <v>2.8899426135889351E-2</v>
      </c>
      <c r="T38" s="259">
        <f t="shared" si="18"/>
        <v>2.8392418837412947E-2</v>
      </c>
      <c r="U38" s="259">
        <f t="shared" si="18"/>
        <v>2.9361254753289281E-2</v>
      </c>
      <c r="V38" s="259">
        <f t="shared" si="18"/>
        <v>2.8725694524504127E-2</v>
      </c>
      <c r="W38" s="259">
        <f t="shared" si="18"/>
        <v>2.8401773723393028E-2</v>
      </c>
      <c r="X38" s="259">
        <f t="shared" si="18"/>
        <v>2.6677549397509426E-2</v>
      </c>
      <c r="Y38" s="259">
        <f t="shared" si="18"/>
        <v>2.684363240961421E-2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2.6614563370345842E-2</v>
      </c>
      <c r="C39" s="259">
        <f t="shared" si="19"/>
        <v>2.884191635378747E-2</v>
      </c>
      <c r="D39" s="259">
        <f t="shared" si="19"/>
        <v>2.7639201873576116E-2</v>
      </c>
      <c r="E39" s="259">
        <f t="shared" si="19"/>
        <v>2.6433070842040392E-2</v>
      </c>
      <c r="F39" s="259">
        <f t="shared" si="19"/>
        <v>2.7065128199571454E-2</v>
      </c>
      <c r="G39" s="259">
        <f t="shared" si="19"/>
        <v>3.2381919676837449E-2</v>
      </c>
      <c r="H39" s="259">
        <f t="shared" si="19"/>
        <v>3.758606866944933E-2</v>
      </c>
      <c r="I39" s="259">
        <f t="shared" si="19"/>
        <v>3.7279067120770663E-2</v>
      </c>
      <c r="J39" s="259">
        <f t="shared" si="19"/>
        <v>3.4081520183917781E-2</v>
      </c>
      <c r="K39" s="259">
        <f t="shared" si="19"/>
        <v>3.7292679770787061E-2</v>
      </c>
      <c r="L39" s="259">
        <f t="shared" si="19"/>
        <v>3.0808982568041401E-2</v>
      </c>
      <c r="M39" s="259">
        <f t="shared" si="19"/>
        <v>3.0551977756545268E-2</v>
      </c>
      <c r="N39" s="259">
        <f t="shared" si="19"/>
        <v>2.5271212602372577E-2</v>
      </c>
      <c r="O39" s="259">
        <f t="shared" si="19"/>
        <v>3.0113130439203679E-2</v>
      </c>
      <c r="P39" s="259">
        <f t="shared" si="19"/>
        <v>3.0178321009897258E-2</v>
      </c>
      <c r="Q39" s="259">
        <f t="shared" si="19"/>
        <v>3.192965524282846E-2</v>
      </c>
      <c r="R39" s="259">
        <f t="shared" si="19"/>
        <v>3.1817216848725439E-2</v>
      </c>
      <c r="S39" s="259">
        <f t="shared" si="19"/>
        <v>3.0334640313234275E-2</v>
      </c>
      <c r="T39" s="259">
        <f t="shared" si="19"/>
        <v>3.1788395516545088E-2</v>
      </c>
      <c r="U39" s="259">
        <f t="shared" si="19"/>
        <v>2.8482302103881588E-2</v>
      </c>
      <c r="V39" s="259">
        <f t="shared" si="19"/>
        <v>3.0363193897931563E-2</v>
      </c>
      <c r="W39" s="259">
        <f t="shared" si="19"/>
        <v>3.2854540102261375E-2</v>
      </c>
      <c r="X39" s="259">
        <f t="shared" si="19"/>
        <v>3.5687461727606846E-2</v>
      </c>
      <c r="Y39" s="259">
        <f t="shared" si="19"/>
        <v>3.6316098159040709E-2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4.0562317830977482E-2</v>
      </c>
      <c r="C40" s="261">
        <f t="shared" si="20"/>
        <v>4.3956947995633891E-2</v>
      </c>
      <c r="D40" s="261">
        <f t="shared" si="20"/>
        <v>4.2123933253764824E-2</v>
      </c>
      <c r="E40" s="261">
        <f t="shared" si="20"/>
        <v>4.0285711466460664E-2</v>
      </c>
      <c r="F40" s="261">
        <f t="shared" si="20"/>
        <v>4.124900780413978E-2</v>
      </c>
      <c r="G40" s="261">
        <f t="shared" si="20"/>
        <v>4.9352142270068559E-2</v>
      </c>
      <c r="H40" s="261">
        <f t="shared" si="20"/>
        <v>5.7283602295946222E-2</v>
      </c>
      <c r="I40" s="261">
        <f t="shared" si="20"/>
        <v>5.6815712057852658E-2</v>
      </c>
      <c r="J40" s="261">
        <f t="shared" si="20"/>
        <v>5.1942443489539122E-2</v>
      </c>
      <c r="K40" s="261">
        <f t="shared" si="20"/>
        <v>5.6836458617877089E-2</v>
      </c>
      <c r="L40" s="261">
        <f t="shared" si="20"/>
        <v>4.6954884270855528E-2</v>
      </c>
      <c r="M40" s="261">
        <f t="shared" si="20"/>
        <v>4.6563192297444773E-2</v>
      </c>
      <c r="N40" s="261">
        <f t="shared" si="20"/>
        <v>3.8514964280562593E-2</v>
      </c>
      <c r="O40" s="261">
        <f t="shared" si="20"/>
        <v>4.5894360571085674E-2</v>
      </c>
      <c r="P40" s="261">
        <f t="shared" si="20"/>
        <v>4.5993715221818096E-2</v>
      </c>
      <c r="Q40" s="261">
        <f t="shared" si="20"/>
        <v>4.8662861989169415E-2</v>
      </c>
      <c r="R40" s="261">
        <f t="shared" si="20"/>
        <v>4.8491498596332706E-2</v>
      </c>
      <c r="S40" s="261">
        <f t="shared" si="20"/>
        <v>4.6231955961552995E-2</v>
      </c>
      <c r="T40" s="261">
        <f t="shared" si="20"/>
        <v>4.8447573019950153E-2</v>
      </c>
      <c r="U40" s="261">
        <f t="shared" si="20"/>
        <v>4.340887259427359E-2</v>
      </c>
      <c r="V40" s="261">
        <f t="shared" si="20"/>
        <v>4.627547347343508E-2</v>
      </c>
      <c r="W40" s="261">
        <f t="shared" si="20"/>
        <v>5.0072446399905171E-2</v>
      </c>
      <c r="X40" s="261">
        <f t="shared" si="20"/>
        <v>5.439000238451866E-2</v>
      </c>
      <c r="Y40" s="261">
        <f t="shared" si="20"/>
        <v>5.5348085009325608E-2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0.37001464185979249</v>
      </c>
      <c r="C44" s="237">
        <f>IF(C$5=0,0,C$5/AGR_fec!C$5)</f>
        <v>0.37729752734635491</v>
      </c>
      <c r="D44" s="237">
        <f>IF(D$5=0,0,D$5/AGR_fec!D$5)</f>
        <v>0.37752398988609037</v>
      </c>
      <c r="E44" s="237">
        <f>IF(E$5=0,0,E$5/AGR_fec!E$5)</f>
        <v>0.37269643215128379</v>
      </c>
      <c r="F44" s="237">
        <f>IF(F$5=0,0,F$5/AGR_fec!F$5)</f>
        <v>0.37220324984709385</v>
      </c>
      <c r="G44" s="237">
        <f>IF(G$5=0,0,G$5/AGR_fec!G$5)</f>
        <v>0.40575594526597669</v>
      </c>
      <c r="H44" s="237">
        <f>IF(H$5=0,0,H$5/AGR_fec!H$5)</f>
        <v>0.42017850895731629</v>
      </c>
      <c r="I44" s="237">
        <f>IF(I$5=0,0,I$5/AGR_fec!I$5)</f>
        <v>0.41850255997633923</v>
      </c>
      <c r="J44" s="237">
        <f>IF(J$5=0,0,J$5/AGR_fec!J$5)</f>
        <v>0.4084373071576321</v>
      </c>
      <c r="K44" s="237">
        <f>IF(K$5=0,0,K$5/AGR_fec!K$5)</f>
        <v>0.41963619818081677</v>
      </c>
      <c r="L44" s="237">
        <f>IF(L$5=0,0,L$5/AGR_fec!L$5)</f>
        <v>0.40235785087472964</v>
      </c>
      <c r="M44" s="237">
        <f>IF(M$5=0,0,M$5/AGR_fec!M$5)</f>
        <v>0.40137240763205601</v>
      </c>
      <c r="N44" s="237">
        <f>IF(N$5=0,0,N$5/AGR_fec!N$5)</f>
        <v>0.39348930557973077</v>
      </c>
      <c r="O44" s="237">
        <f>IF(O$5=0,0,O$5/AGR_fec!O$5)</f>
        <v>0.39840228362201624</v>
      </c>
      <c r="P44" s="237">
        <f>IF(P$5=0,0,P$5/AGR_fec!P$5)</f>
        <v>0.39696956973188874</v>
      </c>
      <c r="Q44" s="237">
        <f>IF(Q$5=0,0,Q$5/AGR_fec!Q$5)</f>
        <v>0.40046481494267233</v>
      </c>
      <c r="R44" s="237">
        <f>IF(R$5=0,0,R$5/AGR_fec!R$5)</f>
        <v>0.39982470140484055</v>
      </c>
      <c r="S44" s="237">
        <f>IF(S$5=0,0,S$5/AGR_fec!S$5)</f>
        <v>0.39431006970133214</v>
      </c>
      <c r="T44" s="237">
        <f>IF(T$5=0,0,T$5/AGR_fec!T$5)</f>
        <v>0.39852425457957424</v>
      </c>
      <c r="U44" s="237">
        <f>IF(U$5=0,0,U$5/AGR_fec!U$5)</f>
        <v>0.39129987122642318</v>
      </c>
      <c r="V44" s="237">
        <f>IF(V$5=0,0,V$5/AGR_fec!V$5)</f>
        <v>0.39435757467338123</v>
      </c>
      <c r="W44" s="237">
        <f>IF(W$5=0,0,W$5/AGR_fec!W$5)</f>
        <v>0.40230973900601535</v>
      </c>
      <c r="X44" s="237">
        <f>IF(X$5=0,0,X$5/AGR_fec!X$5)</f>
        <v>0.40772910056265632</v>
      </c>
      <c r="Y44" s="237">
        <f>IF(Y$5=0,0,Y$5/AGR_fec!Y$5)</f>
        <v>0.41126005751544181</v>
      </c>
      <c r="DA44" s="286"/>
    </row>
    <row r="45" spans="1:105" x14ac:dyDescent="0.25">
      <c r="A45" s="238" t="s">
        <v>125</v>
      </c>
      <c r="B45" s="250">
        <f>IF(B$6=0,0,B$6/AGR_fec!B$6)</f>
        <v>0.49216306430732731</v>
      </c>
      <c r="C45" s="250">
        <f>IF(C$6=0,0,C$6/AGR_fec!C$6)</f>
        <v>0.49216306430732715</v>
      </c>
      <c r="D45" s="250">
        <f>IF(D$6=0,0,D$6/AGR_fec!D$6)</f>
        <v>0.49216306430732737</v>
      </c>
      <c r="E45" s="250">
        <f>IF(E$6=0,0,E$6/AGR_fec!E$6)</f>
        <v>0.49216306430732726</v>
      </c>
      <c r="F45" s="250">
        <f>IF(F$6=0,0,F$6/AGR_fec!F$6)</f>
        <v>0.49216306430732731</v>
      </c>
      <c r="G45" s="250">
        <f>IF(G$6=0,0,G$6/AGR_fec!G$6)</f>
        <v>0.49216306430732726</v>
      </c>
      <c r="H45" s="250">
        <f>IF(H$6=0,0,H$6/AGR_fec!H$6)</f>
        <v>0.4921630643073272</v>
      </c>
      <c r="I45" s="250">
        <f>IF(I$6=0,0,I$6/AGR_fec!I$6)</f>
        <v>0.49216306430732737</v>
      </c>
      <c r="J45" s="250">
        <f>IF(J$6=0,0,J$6/AGR_fec!J$6)</f>
        <v>0.49216306430732731</v>
      </c>
      <c r="K45" s="250">
        <f>IF(K$6=0,0,K$6/AGR_fec!K$6)</f>
        <v>0.49216306430732715</v>
      </c>
      <c r="L45" s="250">
        <f>IF(L$6=0,0,L$6/AGR_fec!L$6)</f>
        <v>0.49216306430732737</v>
      </c>
      <c r="M45" s="250">
        <f>IF(M$6=0,0,M$6/AGR_fec!M$6)</f>
        <v>0.49216306430732731</v>
      </c>
      <c r="N45" s="250">
        <f>IF(N$6=0,0,N$6/AGR_fec!N$6)</f>
        <v>0.49216306430732715</v>
      </c>
      <c r="O45" s="250">
        <f>IF(O$6=0,0,O$6/AGR_fec!O$6)</f>
        <v>0.49216306430732737</v>
      </c>
      <c r="P45" s="250">
        <f>IF(P$6=0,0,P$6/AGR_fec!P$6)</f>
        <v>0.4921630643073272</v>
      </c>
      <c r="Q45" s="250">
        <f>IF(Q$6=0,0,Q$6/AGR_fec!Q$6)</f>
        <v>0.49216306430732715</v>
      </c>
      <c r="R45" s="250">
        <f>IF(R$6=0,0,R$6/AGR_fec!R$6)</f>
        <v>0.49216306430732737</v>
      </c>
      <c r="S45" s="250">
        <f>IF(S$6=0,0,S$6/AGR_fec!S$6)</f>
        <v>0.4921630643073272</v>
      </c>
      <c r="T45" s="250">
        <f>IF(T$6=0,0,T$6/AGR_fec!T$6)</f>
        <v>0.49216306430732731</v>
      </c>
      <c r="U45" s="250">
        <f>IF(U$6=0,0,U$6/AGR_fec!U$6)</f>
        <v>0.49216306430732709</v>
      </c>
      <c r="V45" s="250">
        <f>IF(V$6=0,0,V$6/AGR_fec!V$6)</f>
        <v>0.49216306430732726</v>
      </c>
      <c r="W45" s="250">
        <f>IF(W$6=0,0,W$6/AGR_fec!W$6)</f>
        <v>0.49216306430732709</v>
      </c>
      <c r="X45" s="250">
        <f>IF(X$6=0,0,X$6/AGR_fec!X$6)</f>
        <v>0.4921630643073272</v>
      </c>
      <c r="Y45" s="250">
        <f>IF(Y$6=0,0,Y$6/AGR_fec!Y$6)</f>
        <v>0.49216306430732715</v>
      </c>
      <c r="DA45" s="287"/>
    </row>
    <row r="46" spans="1:105" x14ac:dyDescent="0.25">
      <c r="A46" s="240" t="s">
        <v>124</v>
      </c>
      <c r="B46" s="251">
        <f>IF(B$7=0,0,B$7/AGR_fec!B$7)</f>
        <v>0.48804263269274312</v>
      </c>
      <c r="C46" s="251">
        <f>IF(C$7=0,0,C$7/AGR_fec!C$7)</f>
        <v>0.48804263269274278</v>
      </c>
      <c r="D46" s="251">
        <f>IF(D$7=0,0,D$7/AGR_fec!D$7)</f>
        <v>0.48804263269274289</v>
      </c>
      <c r="E46" s="251">
        <f>IF(E$7=0,0,E$7/AGR_fec!E$7)</f>
        <v>0.48804263269274278</v>
      </c>
      <c r="F46" s="251">
        <f>IF(F$7=0,0,F$7/AGR_fec!F$7)</f>
        <v>0.48804263269274284</v>
      </c>
      <c r="G46" s="251">
        <f>IF(G$7=0,0,G$7/AGR_fec!G$7)</f>
        <v>0.48804263269274301</v>
      </c>
      <c r="H46" s="251">
        <f>IF(H$7=0,0,H$7/AGR_fec!H$7)</f>
        <v>0.48804263269274306</v>
      </c>
      <c r="I46" s="251">
        <f>IF(I$7=0,0,I$7/AGR_fec!I$7)</f>
        <v>0.48804263269274312</v>
      </c>
      <c r="J46" s="251">
        <f>IF(J$7=0,0,J$7/AGR_fec!J$7)</f>
        <v>0.48804263269274278</v>
      </c>
      <c r="K46" s="251">
        <f>IF(K$7=0,0,K$7/AGR_fec!K$7)</f>
        <v>0.48804263269274295</v>
      </c>
      <c r="L46" s="251">
        <f>IF(L$7=0,0,L$7/AGR_fec!L$7)</f>
        <v>0.48804263269274312</v>
      </c>
      <c r="M46" s="251">
        <f>IF(M$7=0,0,M$7/AGR_fec!M$7)</f>
        <v>0.48804263269274301</v>
      </c>
      <c r="N46" s="251">
        <f>IF(N$7=0,0,N$7/AGR_fec!N$7)</f>
        <v>0.48804263269274306</v>
      </c>
      <c r="O46" s="251">
        <f>IF(O$7=0,0,O$7/AGR_fec!O$7)</f>
        <v>0.48804263269274317</v>
      </c>
      <c r="P46" s="251">
        <f>IF(P$7=0,0,P$7/AGR_fec!P$7)</f>
        <v>0.48804263269274301</v>
      </c>
      <c r="Q46" s="251">
        <f>IF(Q$7=0,0,Q$7/AGR_fec!Q$7)</f>
        <v>0.48804263269274323</v>
      </c>
      <c r="R46" s="251">
        <f>IF(R$7=0,0,R$7/AGR_fec!R$7)</f>
        <v>0.48804263269274306</v>
      </c>
      <c r="S46" s="251">
        <f>IF(S$7=0,0,S$7/AGR_fec!S$7)</f>
        <v>0.48804263269274295</v>
      </c>
      <c r="T46" s="251">
        <f>IF(T$7=0,0,T$7/AGR_fec!T$7)</f>
        <v>0.48804263269274284</v>
      </c>
      <c r="U46" s="251">
        <f>IF(U$7=0,0,U$7/AGR_fec!U$7)</f>
        <v>0.48804263269274301</v>
      </c>
      <c r="V46" s="251">
        <f>IF(V$7=0,0,V$7/AGR_fec!V$7)</f>
        <v>0.48804263269274295</v>
      </c>
      <c r="W46" s="251">
        <f>IF(W$7=0,0,W$7/AGR_fec!W$7)</f>
        <v>0.48804263269274301</v>
      </c>
      <c r="X46" s="251">
        <f>IF(X$7=0,0,X$7/AGR_fec!X$7)</f>
        <v>0.48804263269274306</v>
      </c>
      <c r="Y46" s="251">
        <f>IF(Y$7=0,0,Y$7/AGR_fec!Y$7)</f>
        <v>0.48804263269274295</v>
      </c>
      <c r="DA46" s="288"/>
    </row>
    <row r="47" spans="1:105" x14ac:dyDescent="0.25">
      <c r="A47" s="240" t="s">
        <v>123</v>
      </c>
      <c r="B47" s="251">
        <f>IF(B$8=0,0,B$8/AGR_fec!B$8)</f>
        <v>0.70045014757566426</v>
      </c>
      <c r="C47" s="251">
        <f>IF(C$8=0,0,C$8/AGR_fec!C$8)</f>
        <v>0.70045014757566348</v>
      </c>
      <c r="D47" s="251">
        <f>IF(D$8=0,0,D$8/AGR_fec!D$8)</f>
        <v>0.70045014757566393</v>
      </c>
      <c r="E47" s="251">
        <f>IF(E$8=0,0,E$8/AGR_fec!E$8)</f>
        <v>0.70045014757566371</v>
      </c>
      <c r="F47" s="251">
        <f>IF(F$8=0,0,F$8/AGR_fec!F$8)</f>
        <v>0.70045014757566337</v>
      </c>
      <c r="G47" s="251">
        <f>IF(G$8=0,0,G$8/AGR_fec!G$8)</f>
        <v>0.70045014757566382</v>
      </c>
      <c r="H47" s="251">
        <f>IF(H$8=0,0,H$8/AGR_fec!H$8)</f>
        <v>0.70045014757566382</v>
      </c>
      <c r="I47" s="251">
        <f>IF(I$8=0,0,I$8/AGR_fec!I$8)</f>
        <v>0.70045014757566382</v>
      </c>
      <c r="J47" s="251">
        <f>IF(J$8=0,0,J$8/AGR_fec!J$8)</f>
        <v>0.70045014757566382</v>
      </c>
      <c r="K47" s="251">
        <f>IF(K$8=0,0,K$8/AGR_fec!K$8)</f>
        <v>0.70045014757566404</v>
      </c>
      <c r="L47" s="251">
        <f>IF(L$8=0,0,L$8/AGR_fec!L$8)</f>
        <v>0.70045014757566426</v>
      </c>
      <c r="M47" s="251">
        <f>IF(M$8=0,0,M$8/AGR_fec!M$8)</f>
        <v>0.70045014757566393</v>
      </c>
      <c r="N47" s="251">
        <f>IF(N$8=0,0,N$8/AGR_fec!N$8)</f>
        <v>0.70045014757566382</v>
      </c>
      <c r="O47" s="251">
        <f>IF(O$8=0,0,O$8/AGR_fec!O$8)</f>
        <v>0.70045014757566393</v>
      </c>
      <c r="P47" s="251">
        <f>IF(P$8=0,0,P$8/AGR_fec!P$8)</f>
        <v>0.7004501475756636</v>
      </c>
      <c r="Q47" s="251">
        <f>IF(Q$8=0,0,Q$8/AGR_fec!Q$8)</f>
        <v>0.70045014757566371</v>
      </c>
      <c r="R47" s="251">
        <f>IF(R$8=0,0,R$8/AGR_fec!R$8)</f>
        <v>0.7004501475756636</v>
      </c>
      <c r="S47" s="251">
        <f>IF(S$8=0,0,S$8/AGR_fec!S$8)</f>
        <v>0.70045014757566393</v>
      </c>
      <c r="T47" s="251">
        <f>IF(T$8=0,0,T$8/AGR_fec!T$8)</f>
        <v>0.70045014757566415</v>
      </c>
      <c r="U47" s="251">
        <f>IF(U$8=0,0,U$8/AGR_fec!U$8)</f>
        <v>0.70045014757566393</v>
      </c>
      <c r="V47" s="251">
        <f>IF(V$8=0,0,V$8/AGR_fec!V$8)</f>
        <v>0.70045014757566382</v>
      </c>
      <c r="W47" s="251">
        <f>IF(W$8=0,0,W$8/AGR_fec!W$8)</f>
        <v>0.70045014757566437</v>
      </c>
      <c r="X47" s="251">
        <f>IF(X$8=0,0,X$8/AGR_fec!X$8)</f>
        <v>0.70045014757566404</v>
      </c>
      <c r="Y47" s="251">
        <f>IF(Y$8=0,0,Y$8/AGR_fec!Y$8)</f>
        <v>0.70045014757566348</v>
      </c>
      <c r="DA47" s="288"/>
    </row>
    <row r="48" spans="1:105" x14ac:dyDescent="0.25">
      <c r="A48" s="242" t="s">
        <v>122</v>
      </c>
      <c r="B48" s="252">
        <f>IF(B$9=0,0,B$9/AGR_fec!B$9)</f>
        <v>0.68216414545289616</v>
      </c>
      <c r="C48" s="252">
        <f>IF(C$9=0,0,C$9/AGR_fec!C$9)</f>
        <v>0.69093427795954077</v>
      </c>
      <c r="D48" s="252">
        <f>IF(D$9=0,0,D$9/AGR_fec!D$9)</f>
        <v>0.67915334527112103</v>
      </c>
      <c r="E48" s="252">
        <f>IF(E$9=0,0,E$9/AGR_fec!E$9)</f>
        <v>0.67757267780501185</v>
      </c>
      <c r="F48" s="252">
        <f>IF(F$9=0,0,F$9/AGR_fec!F$9)</f>
        <v>0.68354696031233275</v>
      </c>
      <c r="G48" s="252">
        <f>IF(G$9=0,0,G$9/AGR_fec!G$9)</f>
        <v>0.67974734466940212</v>
      </c>
      <c r="H48" s="252">
        <f>IF(H$9=0,0,H$9/AGR_fec!H$9)</f>
        <v>0.71424066297922439</v>
      </c>
      <c r="I48" s="252">
        <f>IF(I$9=0,0,I$9/AGR_fec!I$9)</f>
        <v>0.71278758407347564</v>
      </c>
      <c r="J48" s="252">
        <f>IF(J$9=0,0,J$9/AGR_fec!J$9)</f>
        <v>0.69269941449038852</v>
      </c>
      <c r="K48" s="252">
        <f>IF(K$9=0,0,K$9/AGR_fec!K$9)</f>
        <v>0.71150345075122268</v>
      </c>
      <c r="L48" s="252">
        <f>IF(L$9=0,0,L$9/AGR_fec!L$9)</f>
        <v>0.67456510231272515</v>
      </c>
      <c r="M48" s="252">
        <f>IF(M$9=0,0,M$9/AGR_fec!M$9)</f>
        <v>0.6742931521758786</v>
      </c>
      <c r="N48" s="252">
        <f>IF(N$9=0,0,N$9/AGR_fec!N$9)</f>
        <v>0.65748068800655157</v>
      </c>
      <c r="O48" s="252">
        <f>IF(O$9=0,0,O$9/AGR_fec!O$9)</f>
        <v>0.67397122377048568</v>
      </c>
      <c r="P48" s="252">
        <f>IF(P$9=0,0,P$9/AGR_fec!P$9)</f>
        <v>0.67153611128047686</v>
      </c>
      <c r="Q48" s="252">
        <f>IF(Q$9=0,0,Q$9/AGR_fec!Q$9)</f>
        <v>0.68048717695744798</v>
      </c>
      <c r="R48" s="252">
        <f>IF(R$9=0,0,R$9/AGR_fec!R$9)</f>
        <v>0.6802651619343667</v>
      </c>
      <c r="S48" s="252">
        <f>IF(S$9=0,0,S$9/AGR_fec!S$9)</f>
        <v>0.67459658698858671</v>
      </c>
      <c r="T48" s="252">
        <f>IF(T$9=0,0,T$9/AGR_fec!T$9)</f>
        <v>0.68250334720478401</v>
      </c>
      <c r="U48" s="252">
        <f>IF(U$9=0,0,U$9/AGR_fec!U$9)</f>
        <v>0.66787070767051582</v>
      </c>
      <c r="V48" s="252">
        <f>IF(V$9=0,0,V$9/AGR_fec!V$9)</f>
        <v>0.67631911788692445</v>
      </c>
      <c r="W48" s="252">
        <f>IF(W$9=0,0,W$9/AGR_fec!W$9)</f>
        <v>0.685276037301353</v>
      </c>
      <c r="X48" s="252">
        <f>IF(X$9=0,0,X$9/AGR_fec!X$9)</f>
        <v>0.71022041607013542</v>
      </c>
      <c r="Y48" s="252">
        <f>IF(Y$9=0,0,Y$9/AGR_fec!Y$9)</f>
        <v>0.71031361564650808</v>
      </c>
      <c r="DA48" s="289"/>
    </row>
    <row r="49" spans="1:105" x14ac:dyDescent="0.25">
      <c r="A49" s="127" t="s">
        <v>168</v>
      </c>
      <c r="B49" s="264">
        <f>IF(B$16=0,0,B$16/AGR_fec!B$16)</f>
        <v>0.35218190290107654</v>
      </c>
      <c r="C49" s="264">
        <f>IF(C$16=0,0,C$16/AGR_fec!C$16)</f>
        <v>0.35218190290107648</v>
      </c>
      <c r="D49" s="264">
        <f>IF(D$16=0,0,D$16/AGR_fec!D$16)</f>
        <v>0.35218190290107654</v>
      </c>
      <c r="E49" s="264">
        <f>IF(E$16=0,0,E$16/AGR_fec!E$16)</f>
        <v>0.35218190290107665</v>
      </c>
      <c r="F49" s="264">
        <f>IF(F$16=0,0,F$16/AGR_fec!F$16)</f>
        <v>0.35218190290107654</v>
      </c>
      <c r="G49" s="264">
        <f>IF(G$16=0,0,G$16/AGR_fec!G$16)</f>
        <v>0.35218190290107659</v>
      </c>
      <c r="H49" s="264">
        <f>IF(H$16=0,0,H$16/AGR_fec!H$16)</f>
        <v>0.35218190290107648</v>
      </c>
      <c r="I49" s="264">
        <f>IF(I$16=0,0,I$16/AGR_fec!I$16)</f>
        <v>0.35218190290107659</v>
      </c>
      <c r="J49" s="264">
        <f>IF(J$16=0,0,J$16/AGR_fec!J$16)</f>
        <v>0.35218190290107659</v>
      </c>
      <c r="K49" s="264">
        <f>IF(K$16=0,0,K$16/AGR_fec!K$16)</f>
        <v>0.35218190290107648</v>
      </c>
      <c r="L49" s="264">
        <f>IF(L$16=0,0,L$16/AGR_fec!L$16)</f>
        <v>0.35218190290107643</v>
      </c>
      <c r="M49" s="264">
        <f>IF(M$16=0,0,M$16/AGR_fec!M$16)</f>
        <v>0.35218190290107654</v>
      </c>
      <c r="N49" s="264">
        <f>IF(N$16=0,0,N$16/AGR_fec!N$16)</f>
        <v>0.35218190290107665</v>
      </c>
      <c r="O49" s="264">
        <f>IF(O$16=0,0,O$16/AGR_fec!O$16)</f>
        <v>0.35218190290107659</v>
      </c>
      <c r="P49" s="264">
        <f>IF(P$16=0,0,P$16/AGR_fec!P$16)</f>
        <v>0.35218190290107654</v>
      </c>
      <c r="Q49" s="264">
        <f>IF(Q$16=0,0,Q$16/AGR_fec!Q$16)</f>
        <v>0.35218190290107643</v>
      </c>
      <c r="R49" s="264">
        <f>IF(R$16=0,0,R$16/AGR_fec!R$16)</f>
        <v>0.3521819029010767</v>
      </c>
      <c r="S49" s="264">
        <f>IF(S$16=0,0,S$16/AGR_fec!S$16)</f>
        <v>0.35218190290107648</v>
      </c>
      <c r="T49" s="264">
        <f>IF(T$16=0,0,T$16/AGR_fec!T$16)</f>
        <v>0.35218190290107654</v>
      </c>
      <c r="U49" s="264">
        <f>IF(U$16=0,0,U$16/AGR_fec!U$16)</f>
        <v>0.35218190290107665</v>
      </c>
      <c r="V49" s="264">
        <f>IF(V$16=0,0,V$16/AGR_fec!V$16)</f>
        <v>0.35218190290107643</v>
      </c>
      <c r="W49" s="264">
        <f>IF(W$16=0,0,W$16/AGR_fec!W$16)</f>
        <v>0.35218190290107654</v>
      </c>
      <c r="X49" s="264">
        <f>IF(X$16=0,0,X$16/AGR_fec!X$16)</f>
        <v>0.35218190290107648</v>
      </c>
      <c r="Y49" s="264">
        <f>IF(Y$16=0,0,Y$16/AGR_fec!Y$16)</f>
        <v>0.35218190290107659</v>
      </c>
      <c r="DA49" s="290"/>
    </row>
    <row r="50" spans="1:105" x14ac:dyDescent="0.25">
      <c r="A50" s="127" t="s">
        <v>121</v>
      </c>
      <c r="B50" s="264">
        <f>IF(B$17=0,0,B$17/AGR_fec!B$17)</f>
        <v>0.25631553935180751</v>
      </c>
      <c r="C50" s="264">
        <f>IF(C$17=0,0,C$17/AGR_fec!C$17)</f>
        <v>0.25722864826044278</v>
      </c>
      <c r="D50" s="264">
        <f>IF(D$17=0,0,D$17/AGR_fec!D$17)</f>
        <v>0.25956469908299745</v>
      </c>
      <c r="E50" s="264">
        <f>IF(E$17=0,0,E$17/AGR_fec!E$17)</f>
        <v>0.25892321687186937</v>
      </c>
      <c r="F50" s="264">
        <f>IF(F$17=0,0,F$17/AGR_fec!F$17)</f>
        <v>0.25757169120303841</v>
      </c>
      <c r="G50" s="264">
        <f>IF(G$17=0,0,G$17/AGR_fec!G$17)</f>
        <v>0.27670094662844563</v>
      </c>
      <c r="H50" s="264">
        <f>IF(H$17=0,0,H$17/AGR_fec!H$17)</f>
        <v>0.27691930924439367</v>
      </c>
      <c r="I50" s="264">
        <f>IF(I$17=0,0,I$17/AGR_fec!I$17)</f>
        <v>0.27604487701183655</v>
      </c>
      <c r="J50" s="264">
        <f>IF(J$17=0,0,J$17/AGR_fec!J$17)</f>
        <v>0.27462705851151409</v>
      </c>
      <c r="K50" s="264">
        <f>IF(K$17=0,0,K$17/AGR_fec!K$17)</f>
        <v>0.2774564768922318</v>
      </c>
      <c r="L50" s="264">
        <f>IF(L$17=0,0,L$17/AGR_fec!L$17)</f>
        <v>0.27581845809040861</v>
      </c>
      <c r="M50" s="264">
        <f>IF(M$17=0,0,M$17/AGR_fec!M$17)</f>
        <v>0.27488780254228756</v>
      </c>
      <c r="N50" s="264">
        <f>IF(N$17=0,0,N$17/AGR_fec!N$17)</f>
        <v>0.27484491073093681</v>
      </c>
      <c r="O50" s="264">
        <f>IF(O$17=0,0,O$17/AGR_fec!O$17)</f>
        <v>0.27252972587590313</v>
      </c>
      <c r="P50" s="264">
        <f>IF(P$17=0,0,P$17/AGR_fec!P$17)</f>
        <v>0.27114955510975541</v>
      </c>
      <c r="Q50" s="264">
        <f>IF(Q$17=0,0,Q$17/AGR_fec!Q$17)</f>
        <v>0.27097905536826633</v>
      </c>
      <c r="R50" s="264">
        <f>IF(R$17=0,0,R$17/AGR_fec!R$17)</f>
        <v>0.27065477112114977</v>
      </c>
      <c r="S50" s="264">
        <f>IF(S$17=0,0,S$17/AGR_fec!S$17)</f>
        <v>0.26817040701117906</v>
      </c>
      <c r="T50" s="264">
        <f>IF(T$17=0,0,T$17/AGR_fec!T$17)</f>
        <v>0.26886287061605268</v>
      </c>
      <c r="U50" s="264">
        <f>IF(U$17=0,0,U$17/AGR_fec!U$17)</f>
        <v>0.26802869116234285</v>
      </c>
      <c r="V50" s="264">
        <f>IF(V$17=0,0,V$17/AGR_fec!V$17)</f>
        <v>0.26755484702481946</v>
      </c>
      <c r="W50" s="264">
        <f>IF(W$17=0,0,W$17/AGR_fec!W$17)</f>
        <v>0.27016324231675143</v>
      </c>
      <c r="X50" s="264">
        <f>IF(X$17=0,0,X$17/AGR_fec!X$17)</f>
        <v>0.26707817837928033</v>
      </c>
      <c r="Y50" s="264">
        <f>IF(Y$17=0,0,Y$17/AGR_fec!Y$17)</f>
        <v>0.26905242006502844</v>
      </c>
      <c r="DA50" s="290"/>
    </row>
    <row r="51" spans="1:105" x14ac:dyDescent="0.25">
      <c r="A51" s="127" t="s">
        <v>167</v>
      </c>
      <c r="B51" s="264">
        <f>IF(B$25=0,0,B$25/AGR_fec!B$25)</f>
        <v>0.2465273320307535</v>
      </c>
      <c r="C51" s="264">
        <f>IF(C$25=0,0,C$25/AGR_fec!C$25)</f>
        <v>0.24652733203075353</v>
      </c>
      <c r="D51" s="264">
        <f>IF(D$25=0,0,D$25/AGR_fec!D$25)</f>
        <v>0.24652733203075355</v>
      </c>
      <c r="E51" s="264">
        <f>IF(E$25=0,0,E$25/AGR_fec!E$25)</f>
        <v>0.24652733203075358</v>
      </c>
      <c r="F51" s="264">
        <f>IF(F$25=0,0,F$25/AGR_fec!F$25)</f>
        <v>0.24652733203075358</v>
      </c>
      <c r="G51" s="264">
        <f>IF(G$25=0,0,G$25/AGR_fec!G$25)</f>
        <v>0.24652733203075358</v>
      </c>
      <c r="H51" s="264">
        <f>IF(H$25=0,0,H$25/AGR_fec!H$25)</f>
        <v>0.24652733203075355</v>
      </c>
      <c r="I51" s="264">
        <f>IF(I$25=0,0,I$25/AGR_fec!I$25)</f>
        <v>0.24652733203075358</v>
      </c>
      <c r="J51" s="264">
        <f>IF(J$25=0,0,J$25/AGR_fec!J$25)</f>
        <v>0.24652733203075344</v>
      </c>
      <c r="K51" s="264">
        <f>IF(K$25=0,0,K$25/AGR_fec!K$25)</f>
        <v>0.2465273320307535</v>
      </c>
      <c r="L51" s="264">
        <f>IF(L$25=0,0,L$25/AGR_fec!L$25)</f>
        <v>0.2465273320307535</v>
      </c>
      <c r="M51" s="264">
        <f>IF(M$25=0,0,M$25/AGR_fec!M$25)</f>
        <v>0.24652733203075358</v>
      </c>
      <c r="N51" s="264">
        <f>IF(N$25=0,0,N$25/AGR_fec!N$25)</f>
        <v>0.24652733203075353</v>
      </c>
      <c r="O51" s="264">
        <f>IF(O$25=0,0,O$25/AGR_fec!O$25)</f>
        <v>0.24652733203075358</v>
      </c>
      <c r="P51" s="264">
        <f>IF(P$25=0,0,P$25/AGR_fec!P$25)</f>
        <v>0.24652733203075353</v>
      </c>
      <c r="Q51" s="264">
        <f>IF(Q$25=0,0,Q$25/AGR_fec!Q$25)</f>
        <v>0.2465273320307535</v>
      </c>
      <c r="R51" s="264">
        <f>IF(R$25=0,0,R$25/AGR_fec!R$25)</f>
        <v>0.24652733203075355</v>
      </c>
      <c r="S51" s="264">
        <f>IF(S$25=0,0,S$25/AGR_fec!S$25)</f>
        <v>0.2465273320307535</v>
      </c>
      <c r="T51" s="264">
        <f>IF(T$25=0,0,T$25/AGR_fec!T$25)</f>
        <v>0.24652733203075353</v>
      </c>
      <c r="U51" s="264">
        <f>IF(U$25=0,0,U$25/AGR_fec!U$25)</f>
        <v>0.24652733203075353</v>
      </c>
      <c r="V51" s="264">
        <f>IF(V$25=0,0,V$25/AGR_fec!V$25)</f>
        <v>0.24652733203075353</v>
      </c>
      <c r="W51" s="264">
        <f>IF(W$25=0,0,W$25/AGR_fec!W$25)</f>
        <v>0.2465273320307535</v>
      </c>
      <c r="X51" s="264">
        <f>IF(X$25=0,0,X$25/AGR_fec!X$25)</f>
        <v>0.24652733203075355</v>
      </c>
      <c r="Y51" s="264">
        <f>IF(Y$25=0,0,Y$25/AGR_fec!Y$25)</f>
        <v>0.24652733203075353</v>
      </c>
      <c r="DA51" s="290"/>
    </row>
    <row r="52" spans="1:105" x14ac:dyDescent="0.25">
      <c r="A52" s="127" t="s">
        <v>170</v>
      </c>
      <c r="B52" s="264">
        <f>IF(B$26=0,0,B$26/AGR_fec!B$26)</f>
        <v>0.48804263269274306</v>
      </c>
      <c r="C52" s="264">
        <f>IF(C$26=0,0,C$26/AGR_fec!C$26)</f>
        <v>0.48804263269274289</v>
      </c>
      <c r="D52" s="264">
        <f>IF(D$26=0,0,D$26/AGR_fec!D$26)</f>
        <v>0.48804263269274306</v>
      </c>
      <c r="E52" s="264">
        <f>IF(E$26=0,0,E$26/AGR_fec!E$26)</f>
        <v>0.48804263269274317</v>
      </c>
      <c r="F52" s="264">
        <f>IF(F$26=0,0,F$26/AGR_fec!F$26)</f>
        <v>0.48804263269274289</v>
      </c>
      <c r="G52" s="264">
        <f>IF(G$26=0,0,G$26/AGR_fec!G$26)</f>
        <v>0.48804263269274306</v>
      </c>
      <c r="H52" s="264">
        <f>IF(H$26=0,0,H$26/AGR_fec!H$26)</f>
        <v>0.48804263269274278</v>
      </c>
      <c r="I52" s="264">
        <f>IF(I$26=0,0,I$26/AGR_fec!I$26)</f>
        <v>0.48804263269274301</v>
      </c>
      <c r="J52" s="264">
        <f>IF(J$26=0,0,J$26/AGR_fec!J$26)</f>
        <v>0.48804263269274289</v>
      </c>
      <c r="K52" s="264">
        <f>IF(K$26=0,0,K$26/AGR_fec!K$26)</f>
        <v>0.48804263269274301</v>
      </c>
      <c r="L52" s="264">
        <f>IF(L$26=0,0,L$26/AGR_fec!L$26)</f>
        <v>0.48804263269274306</v>
      </c>
      <c r="M52" s="264">
        <f>IF(M$26=0,0,M$26/AGR_fec!M$26)</f>
        <v>0.48804263269274306</v>
      </c>
      <c r="N52" s="264">
        <f>IF(N$26=0,0,N$26/AGR_fec!N$26)</f>
        <v>0.48804263269274284</v>
      </c>
      <c r="O52" s="264">
        <f>IF(O$26=0,0,O$26/AGR_fec!O$26)</f>
        <v>0.48804263269274306</v>
      </c>
      <c r="P52" s="264">
        <f>IF(P$26=0,0,P$26/AGR_fec!P$26)</f>
        <v>0.48804263269274301</v>
      </c>
      <c r="Q52" s="264">
        <f>IF(Q$26=0,0,Q$26/AGR_fec!Q$26)</f>
        <v>0.48804263269274295</v>
      </c>
      <c r="R52" s="264">
        <f>IF(R$26=0,0,R$26/AGR_fec!R$26)</f>
        <v>0.48804263269274301</v>
      </c>
      <c r="S52" s="264">
        <f>IF(S$26=0,0,S$26/AGR_fec!S$26)</f>
        <v>0.48804263269274289</v>
      </c>
      <c r="T52" s="264">
        <f>IF(T$26=0,0,T$26/AGR_fec!T$26)</f>
        <v>0.48804263269274306</v>
      </c>
      <c r="U52" s="264">
        <f>IF(U$26=0,0,U$26/AGR_fec!U$26)</f>
        <v>0.48804263269274284</v>
      </c>
      <c r="V52" s="264">
        <f>IF(V$26=0,0,V$26/AGR_fec!V$26)</f>
        <v>0.48804263269274295</v>
      </c>
      <c r="W52" s="264">
        <f>IF(W$26=0,0,W$26/AGR_fec!W$26)</f>
        <v>0.48804263269274278</v>
      </c>
      <c r="X52" s="264">
        <f>IF(X$26=0,0,X$26/AGR_fec!X$26)</f>
        <v>0.48804263269274306</v>
      </c>
      <c r="Y52" s="264">
        <f>IF(Y$26=0,0,Y$26/AGR_fec!Y$26)</f>
        <v>0.48804263269274289</v>
      </c>
      <c r="DA52" s="290"/>
    </row>
    <row r="53" spans="1:105" x14ac:dyDescent="0.25">
      <c r="A53" s="260" t="s">
        <v>33</v>
      </c>
      <c r="B53" s="265">
        <f>IF(B$27=0,0,B$27/AGR_fec!B$27)</f>
        <v>0.51297142915855642</v>
      </c>
      <c r="C53" s="265">
        <f>IF(C$27=0,0,C$27/AGR_fec!C$27)</f>
        <v>0.51297142915855654</v>
      </c>
      <c r="D53" s="265">
        <f>IF(D$27=0,0,D$27/AGR_fec!D$27)</f>
        <v>0.5129714291585562</v>
      </c>
      <c r="E53" s="265">
        <f>IF(E$27=0,0,E$27/AGR_fec!E$27)</f>
        <v>0.51297142915855609</v>
      </c>
      <c r="F53" s="265">
        <f>IF(F$27=0,0,F$27/AGR_fec!F$27)</f>
        <v>0.51297142915855598</v>
      </c>
      <c r="G53" s="265">
        <f>IF(G$27=0,0,G$27/AGR_fec!G$27)</f>
        <v>0.51297142915855609</v>
      </c>
      <c r="H53" s="265">
        <f>IF(H$27=0,0,H$27/AGR_fec!H$27)</f>
        <v>0.51297142915855631</v>
      </c>
      <c r="I53" s="265">
        <f>IF(I$27=0,0,I$27/AGR_fec!I$27)</f>
        <v>0.51297142915855642</v>
      </c>
      <c r="J53" s="265">
        <f>IF(J$27=0,0,J$27/AGR_fec!J$27)</f>
        <v>0.51297142915855598</v>
      </c>
      <c r="K53" s="265">
        <f>IF(K$27=0,0,K$27/AGR_fec!K$27)</f>
        <v>0.51297142915855609</v>
      </c>
      <c r="L53" s="265">
        <f>IF(L$27=0,0,L$27/AGR_fec!L$27)</f>
        <v>0.51297142915855642</v>
      </c>
      <c r="M53" s="265">
        <f>IF(M$27=0,0,M$27/AGR_fec!M$27)</f>
        <v>0.5129714291585562</v>
      </c>
      <c r="N53" s="265">
        <f>IF(N$27=0,0,N$27/AGR_fec!N$27)</f>
        <v>0.5129714291585562</v>
      </c>
      <c r="O53" s="265">
        <f>IF(O$27=0,0,O$27/AGR_fec!O$27)</f>
        <v>0.51297142915855598</v>
      </c>
      <c r="P53" s="265">
        <f>IF(P$27=0,0,P$27/AGR_fec!P$27)</f>
        <v>0.5129714291585562</v>
      </c>
      <c r="Q53" s="265">
        <f>IF(Q$27=0,0,Q$27/AGR_fec!Q$27)</f>
        <v>0.51297142915855609</v>
      </c>
      <c r="R53" s="265">
        <f>IF(R$27=0,0,R$27/AGR_fec!R$27)</f>
        <v>0.51297142915855631</v>
      </c>
      <c r="S53" s="265">
        <f>IF(S$27=0,0,S$27/AGR_fec!S$27)</f>
        <v>0.51297142915855609</v>
      </c>
      <c r="T53" s="265">
        <f>IF(T$27=0,0,T$27/AGR_fec!T$27)</f>
        <v>0.51297142915855609</v>
      </c>
      <c r="U53" s="265">
        <f>IF(U$27=0,0,U$27/AGR_fec!U$27)</f>
        <v>0.51297142915855642</v>
      </c>
      <c r="V53" s="265">
        <f>IF(V$27=0,0,V$27/AGR_fec!V$27)</f>
        <v>0.5129714291585562</v>
      </c>
      <c r="W53" s="265">
        <f>IF(W$27=0,0,W$27/AGR_fec!W$27)</f>
        <v>0.5129714291585562</v>
      </c>
      <c r="X53" s="265">
        <f>IF(X$27=0,0,X$27/AGR_fec!X$27)</f>
        <v>0.5129714291585562</v>
      </c>
      <c r="Y53" s="265">
        <f>IF(Y$27=0,0,Y$27/AGR_fec!Y$27)</f>
        <v>0.51297142915855631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1146.1510187999772</v>
      </c>
      <c r="C5" s="80">
        <f t="shared" ref="C5:W5" si="0">SUM(C6:C9,C16:C17,C25:C27)</f>
        <v>1121.5272002398317</v>
      </c>
      <c r="D5" s="80">
        <f t="shared" si="0"/>
        <v>1392.1830928791701</v>
      </c>
      <c r="E5" s="80">
        <f t="shared" si="0"/>
        <v>1396.0596779995722</v>
      </c>
      <c r="F5" s="80">
        <f t="shared" si="0"/>
        <v>1244.3959616398427</v>
      </c>
      <c r="G5" s="80">
        <f t="shared" si="0"/>
        <v>1782.8154871182658</v>
      </c>
      <c r="H5" s="80">
        <f t="shared" si="0"/>
        <v>1572.9630760813923</v>
      </c>
      <c r="I5" s="80">
        <f t="shared" si="0"/>
        <v>1673.7047100012462</v>
      </c>
      <c r="J5" s="80">
        <f t="shared" si="0"/>
        <v>1546.8964135175595</v>
      </c>
      <c r="K5" s="80">
        <f t="shared" si="0"/>
        <v>1472.4721702812576</v>
      </c>
      <c r="L5" s="80">
        <f t="shared" si="0"/>
        <v>1533.4204535985386</v>
      </c>
      <c r="M5" s="80">
        <f t="shared" si="0"/>
        <v>1439.4152242784662</v>
      </c>
      <c r="N5" s="80">
        <f t="shared" si="0"/>
        <v>1433.2100140787797</v>
      </c>
      <c r="O5" s="80">
        <f t="shared" si="0"/>
        <v>1425.9598970382683</v>
      </c>
      <c r="P5" s="80">
        <f t="shared" si="0"/>
        <v>1307.716741078443</v>
      </c>
      <c r="Q5" s="80">
        <f t="shared" si="0"/>
        <v>1185.9924088785506</v>
      </c>
      <c r="R5" s="80">
        <f t="shared" si="0"/>
        <v>1158.1985487585098</v>
      </c>
      <c r="S5" s="80">
        <f t="shared" si="0"/>
        <v>1026.7132607989704</v>
      </c>
      <c r="T5" s="80">
        <f t="shared" si="0"/>
        <v>936.49565483880201</v>
      </c>
      <c r="U5" s="80">
        <f t="shared" si="0"/>
        <v>985.10594507908729</v>
      </c>
      <c r="V5" s="80">
        <f t="shared" si="0"/>
        <v>875.92409243914858</v>
      </c>
      <c r="W5" s="80">
        <f t="shared" si="0"/>
        <v>882.5878112983595</v>
      </c>
      <c r="X5" s="80">
        <f t="shared" ref="X5:Y5" si="1">SUM(X6:X9,X16:X17,X25:X27)</f>
        <v>831.64543006733743</v>
      </c>
      <c r="Y5" s="80">
        <f t="shared" si="1"/>
        <v>814.4700097371117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297.3361585067878</v>
      </c>
      <c r="C9" s="243">
        <f t="shared" ref="C9:W9" si="2">SUM(C10:C15)</f>
        <v>281.76697438919075</v>
      </c>
      <c r="D9" s="243">
        <f t="shared" si="2"/>
        <v>334.84558619591178</v>
      </c>
      <c r="E9" s="243">
        <f t="shared" si="2"/>
        <v>329.56643764276248</v>
      </c>
      <c r="F9" s="243">
        <f t="shared" si="2"/>
        <v>303.18917385335328</v>
      </c>
      <c r="G9" s="243">
        <f t="shared" si="2"/>
        <v>357.11704069743183</v>
      </c>
      <c r="H9" s="243">
        <f t="shared" si="2"/>
        <v>281.17548566685184</v>
      </c>
      <c r="I9" s="243">
        <f t="shared" si="2"/>
        <v>302.43172145647037</v>
      </c>
      <c r="J9" s="243">
        <f t="shared" si="2"/>
        <v>303.0811936741149</v>
      </c>
      <c r="K9" s="243">
        <f t="shared" si="2"/>
        <v>266.6308980659482</v>
      </c>
      <c r="L9" s="243">
        <f t="shared" si="2"/>
        <v>315.84312512349476</v>
      </c>
      <c r="M9" s="243">
        <f t="shared" si="2"/>
        <v>300.42257287874781</v>
      </c>
      <c r="N9" s="243">
        <f t="shared" si="2"/>
        <v>315.03941520410973</v>
      </c>
      <c r="O9" s="243">
        <f t="shared" si="2"/>
        <v>303.2438905466974</v>
      </c>
      <c r="P9" s="243">
        <f t="shared" si="2"/>
        <v>278.35332292751167</v>
      </c>
      <c r="Q9" s="243">
        <f t="shared" si="2"/>
        <v>245.35899796233338</v>
      </c>
      <c r="R9" s="243">
        <f t="shared" si="2"/>
        <v>239.42561285939729</v>
      </c>
      <c r="S9" s="243">
        <f t="shared" si="2"/>
        <v>216.68156483100452</v>
      </c>
      <c r="T9" s="243">
        <f t="shared" si="2"/>
        <v>193.84457544442421</v>
      </c>
      <c r="U9" s="243">
        <f t="shared" si="2"/>
        <v>218.13613427337171</v>
      </c>
      <c r="V9" s="243">
        <f t="shared" si="2"/>
        <v>188.16409481006164</v>
      </c>
      <c r="W9" s="243">
        <f t="shared" si="2"/>
        <v>182.60412959020536</v>
      </c>
      <c r="X9" s="243">
        <f t="shared" ref="X9:Y9" si="3">SUM(X10:X15)</f>
        <v>162.47700192298382</v>
      </c>
      <c r="Y9" s="243">
        <f t="shared" si="3"/>
        <v>156.38620077851675</v>
      </c>
      <c r="DA9" s="269"/>
    </row>
    <row r="10" spans="1:105" x14ac:dyDescent="0.25">
      <c r="A10" s="253" t="s">
        <v>166</v>
      </c>
      <c r="B10" s="254">
        <v>266.35199482410701</v>
      </c>
      <c r="C10" s="254">
        <v>254.11559930428959</v>
      </c>
      <c r="D10" s="254">
        <v>307.24201096888061</v>
      </c>
      <c r="E10" s="254">
        <v>299.1657704553499</v>
      </c>
      <c r="F10" s="254">
        <v>272.16384213775967</v>
      </c>
      <c r="G10" s="254">
        <v>337.73361654764648</v>
      </c>
      <c r="H10" s="254">
        <v>263.12977796145759</v>
      </c>
      <c r="I10" s="254">
        <v>283.39897953110221</v>
      </c>
      <c r="J10" s="254">
        <v>281.75543600963908</v>
      </c>
      <c r="K10" s="254">
        <v>247.43468809854491</v>
      </c>
      <c r="L10" s="254">
        <v>294.08008607476472</v>
      </c>
      <c r="M10" s="254">
        <v>278.38936660603719</v>
      </c>
      <c r="N10" s="254">
        <v>292.10231132562791</v>
      </c>
      <c r="O10" s="254">
        <v>280.19849979587673</v>
      </c>
      <c r="P10" s="254">
        <v>270.37837375433872</v>
      </c>
      <c r="Q10" s="254">
        <v>237.59878283387201</v>
      </c>
      <c r="R10" s="254">
        <v>231.48677602235759</v>
      </c>
      <c r="S10" s="254">
        <v>212.97859620956709</v>
      </c>
      <c r="T10" s="254">
        <v>188.95034426083811</v>
      </c>
      <c r="U10" s="254">
        <v>212.35326231442011</v>
      </c>
      <c r="V10" s="254">
        <v>185.01369128584321</v>
      </c>
      <c r="W10" s="254">
        <v>179.67737867982859</v>
      </c>
      <c r="X10" s="254">
        <v>159.56348804324961</v>
      </c>
      <c r="Y10" s="254">
        <v>155.29217032820091</v>
      </c>
      <c r="DA10" s="270" t="s">
        <v>1040</v>
      </c>
    </row>
    <row r="11" spans="1:105" x14ac:dyDescent="0.25">
      <c r="A11" s="253" t="s">
        <v>169</v>
      </c>
      <c r="B11" s="255">
        <v>30.984163682680759</v>
      </c>
      <c r="C11" s="255">
        <v>27.651375084901179</v>
      </c>
      <c r="D11" s="255">
        <v>27.603575227031168</v>
      </c>
      <c r="E11" s="255">
        <v>30.400667187412601</v>
      </c>
      <c r="F11" s="255">
        <v>31.02533171559358</v>
      </c>
      <c r="G11" s="255">
        <v>19.383424149785359</v>
      </c>
      <c r="H11" s="255">
        <v>18.045707705394278</v>
      </c>
      <c r="I11" s="255">
        <v>19.03274192536815</v>
      </c>
      <c r="J11" s="255">
        <v>21.32575766447583</v>
      </c>
      <c r="K11" s="255">
        <v>19.19620996740327</v>
      </c>
      <c r="L11" s="255">
        <v>21.76303904873005</v>
      </c>
      <c r="M11" s="255">
        <v>22.033206272710629</v>
      </c>
      <c r="N11" s="255">
        <v>22.937103878481821</v>
      </c>
      <c r="O11" s="255">
        <v>23.04539075082068</v>
      </c>
      <c r="P11" s="255">
        <v>7.9749491731729423</v>
      </c>
      <c r="Q11" s="255">
        <v>7.760215128461379</v>
      </c>
      <c r="R11" s="255">
        <v>7.9388368370396947</v>
      </c>
      <c r="S11" s="255">
        <v>3.702968621437432</v>
      </c>
      <c r="T11" s="255">
        <v>4.8942311835860988</v>
      </c>
      <c r="U11" s="255">
        <v>5.7828719589515991</v>
      </c>
      <c r="V11" s="255">
        <v>3.150403524218421</v>
      </c>
      <c r="W11" s="255">
        <v>2.9267509103767719</v>
      </c>
      <c r="X11" s="255">
        <v>2.9135138797342122</v>
      </c>
      <c r="Y11" s="255">
        <v>1.094030450315844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506.75328703752388</v>
      </c>
      <c r="C16" s="257">
        <v>499.16711667967343</v>
      </c>
      <c r="D16" s="257">
        <v>564.98536227664772</v>
      </c>
      <c r="E16" s="257">
        <v>551.60972138562818</v>
      </c>
      <c r="F16" s="257">
        <v>519.59476120657371</v>
      </c>
      <c r="G16" s="257">
        <v>600.79298361088229</v>
      </c>
      <c r="H16" s="257">
        <v>545.01099860079887</v>
      </c>
      <c r="I16" s="257">
        <v>581.55291335310983</v>
      </c>
      <c r="J16" s="257">
        <v>535.91149320032775</v>
      </c>
      <c r="K16" s="257">
        <v>509.31302477531511</v>
      </c>
      <c r="L16" s="257">
        <v>519.36072271014461</v>
      </c>
      <c r="M16" s="257">
        <v>493.18995168658739</v>
      </c>
      <c r="N16" s="257">
        <v>483.04826871853828</v>
      </c>
      <c r="O16" s="257">
        <v>495.66949263115458</v>
      </c>
      <c r="P16" s="257">
        <v>458.04799744273038</v>
      </c>
      <c r="Q16" s="257">
        <v>418.25399908472281</v>
      </c>
      <c r="R16" s="257">
        <v>406.92939345552219</v>
      </c>
      <c r="S16" s="257">
        <v>363.51309789823358</v>
      </c>
      <c r="T16" s="257">
        <v>337.67818434541277</v>
      </c>
      <c r="U16" s="257">
        <v>358.4572478492305</v>
      </c>
      <c r="V16" s="257">
        <v>322.25656878184878</v>
      </c>
      <c r="W16" s="257">
        <v>321.30235952476448</v>
      </c>
      <c r="X16" s="257">
        <v>318.15281951174228</v>
      </c>
      <c r="Y16" s="257">
        <v>307.17402834752039</v>
      </c>
      <c r="DA16" s="272" t="s">
        <v>1046</v>
      </c>
    </row>
    <row r="17" spans="1:105" x14ac:dyDescent="0.25">
      <c r="A17" s="256" t="s">
        <v>121</v>
      </c>
      <c r="B17" s="257">
        <f>SUM(B18:B24)</f>
        <v>244.68470600876279</v>
      </c>
      <c r="C17" s="257">
        <f t="shared" ref="C17:W17" si="4">SUM(C18:C24)</f>
        <v>244.67398777938484</v>
      </c>
      <c r="D17" s="257">
        <f t="shared" si="4"/>
        <v>383.78549861239696</v>
      </c>
      <c r="E17" s="257">
        <f t="shared" si="4"/>
        <v>408.88711404309294</v>
      </c>
      <c r="F17" s="257">
        <f t="shared" si="4"/>
        <v>321.76756305411311</v>
      </c>
      <c r="G17" s="257">
        <f t="shared" si="4"/>
        <v>709.458084165488</v>
      </c>
      <c r="H17" s="257">
        <f t="shared" si="4"/>
        <v>642.04818646070009</v>
      </c>
      <c r="I17" s="257">
        <f t="shared" si="4"/>
        <v>677.96983638869199</v>
      </c>
      <c r="J17" s="257">
        <f t="shared" si="4"/>
        <v>604.92386708555375</v>
      </c>
      <c r="K17" s="257">
        <f t="shared" si="4"/>
        <v>598.65950525462404</v>
      </c>
      <c r="L17" s="257">
        <f t="shared" si="4"/>
        <v>598.41711468659776</v>
      </c>
      <c r="M17" s="257">
        <f t="shared" si="4"/>
        <v>551.03214038702049</v>
      </c>
      <c r="N17" s="257">
        <f t="shared" si="4"/>
        <v>542.30057973033092</v>
      </c>
      <c r="O17" s="257">
        <f t="shared" si="4"/>
        <v>531.79949007799428</v>
      </c>
      <c r="P17" s="257">
        <f t="shared" si="4"/>
        <v>483.29768075343736</v>
      </c>
      <c r="Q17" s="257">
        <f t="shared" si="4"/>
        <v>442.00842029346944</v>
      </c>
      <c r="R17" s="257">
        <f t="shared" si="4"/>
        <v>433.64866825336753</v>
      </c>
      <c r="S17" s="257">
        <f t="shared" si="4"/>
        <v>376.66652689031923</v>
      </c>
      <c r="T17" s="257">
        <f t="shared" si="4"/>
        <v>340.0852178097968</v>
      </c>
      <c r="U17" s="257">
        <f t="shared" si="4"/>
        <v>339.63201549805297</v>
      </c>
      <c r="V17" s="257">
        <f t="shared" si="4"/>
        <v>303.57914355811522</v>
      </c>
      <c r="W17" s="257">
        <f t="shared" si="4"/>
        <v>316.94039615513321</v>
      </c>
      <c r="X17" s="257">
        <f t="shared" ref="X17:Y17" si="5">SUM(X18:X24)</f>
        <v>289.87989296525802</v>
      </c>
      <c r="Y17" s="257">
        <f t="shared" si="5"/>
        <v>291.88373116015515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1047</v>
      </c>
    </row>
    <row r="19" spans="1:105" x14ac:dyDescent="0.25">
      <c r="A19" s="61" t="s">
        <v>27</v>
      </c>
      <c r="B19" s="55">
        <v>5.969310479989975</v>
      </c>
      <c r="C19" s="55">
        <v>5.9693104799875032</v>
      </c>
      <c r="D19" s="55">
        <v>5.9693104799878336</v>
      </c>
      <c r="E19" s="55">
        <v>8.9539657199877389</v>
      </c>
      <c r="F19" s="55">
        <v>8.9539657199873126</v>
      </c>
      <c r="G19" s="55">
        <v>3.975527159994749</v>
      </c>
      <c r="H19" s="55">
        <v>3.9039717600050792</v>
      </c>
      <c r="I19" s="55">
        <v>4.0652553600045112</v>
      </c>
      <c r="J19" s="55">
        <v>5.8109799599865442</v>
      </c>
      <c r="K19" s="55">
        <v>5.515671960006844</v>
      </c>
      <c r="L19" s="55">
        <v>5.6708222399927601</v>
      </c>
      <c r="M19" s="55">
        <v>3.438293759995052</v>
      </c>
      <c r="N19" s="55">
        <v>3.4444270799964318</v>
      </c>
      <c r="O19" s="55">
        <v>4.2531166799927549</v>
      </c>
      <c r="P19" s="55">
        <v>2.5489623599956688</v>
      </c>
      <c r="Q19" s="55">
        <v>2.432429279995548</v>
      </c>
      <c r="R19" s="55">
        <v>3.480091199993244</v>
      </c>
      <c r="S19" s="55">
        <v>2.0046869999968719</v>
      </c>
      <c r="T19" s="55">
        <v>1.859304599996235</v>
      </c>
      <c r="U19" s="55">
        <v>3.480545519995232</v>
      </c>
      <c r="V19" s="55">
        <v>3.3033607199948918</v>
      </c>
      <c r="W19" s="55">
        <v>2.6816237999923298</v>
      </c>
      <c r="X19" s="55">
        <v>3.7013450399954739</v>
      </c>
      <c r="Y19" s="55">
        <v>2.469456360004457</v>
      </c>
      <c r="DA19" s="101" t="s">
        <v>1048</v>
      </c>
    </row>
    <row r="20" spans="1:105" x14ac:dyDescent="0.25">
      <c r="A20" s="61" t="s">
        <v>166</v>
      </c>
      <c r="B20" s="55">
        <v>174.624310171525</v>
      </c>
      <c r="C20" s="55">
        <v>192.71844046435419</v>
      </c>
      <c r="D20" s="55">
        <v>249.11789951967461</v>
      </c>
      <c r="E20" s="55">
        <v>212.60017359075081</v>
      </c>
      <c r="F20" s="55">
        <v>185.3662738498698</v>
      </c>
      <c r="G20" s="55">
        <v>568.38778247545713</v>
      </c>
      <c r="H20" s="55">
        <v>510.62646724593469</v>
      </c>
      <c r="I20" s="55">
        <v>532.3039689939086</v>
      </c>
      <c r="J20" s="55">
        <v>464.69897927033998</v>
      </c>
      <c r="K20" s="55">
        <v>481.46621026189263</v>
      </c>
      <c r="L20" s="55">
        <v>470.05381701549118</v>
      </c>
      <c r="M20" s="55">
        <v>436.104221819896</v>
      </c>
      <c r="N20" s="55">
        <v>428.0424493289388</v>
      </c>
      <c r="O20" s="55">
        <v>407.3528243090251</v>
      </c>
      <c r="P20" s="55">
        <v>388.65912740677021</v>
      </c>
      <c r="Q20" s="55">
        <v>351.38155522209382</v>
      </c>
      <c r="R20" s="55">
        <v>336.79271865059201</v>
      </c>
      <c r="S20" s="55">
        <v>279.53377847190723</v>
      </c>
      <c r="T20" s="55">
        <v>262.73094271353699</v>
      </c>
      <c r="U20" s="55">
        <v>271.46400173709759</v>
      </c>
      <c r="V20" s="55">
        <v>241.38319092242881</v>
      </c>
      <c r="W20" s="55">
        <v>272.46514852564491</v>
      </c>
      <c r="X20" s="55">
        <v>237.68526973717181</v>
      </c>
      <c r="Y20" s="55">
        <v>253.55172235414511</v>
      </c>
      <c r="DA20" s="101" t="s">
        <v>1049</v>
      </c>
    </row>
    <row r="21" spans="1:105" x14ac:dyDescent="0.25">
      <c r="A21" s="61" t="s">
        <v>129</v>
      </c>
      <c r="B21" s="55">
        <v>43.777409039926503</v>
      </c>
      <c r="C21" s="55">
        <v>25.015741919947629</v>
      </c>
      <c r="D21" s="55">
        <v>106.31676383978341</v>
      </c>
      <c r="E21" s="55">
        <v>165.72894191977301</v>
      </c>
      <c r="F21" s="55">
        <v>106.3164851998494</v>
      </c>
      <c r="G21" s="55">
        <v>104.473498679862</v>
      </c>
      <c r="H21" s="55">
        <v>92.498465160120347</v>
      </c>
      <c r="I21" s="55">
        <v>105.8517039601175</v>
      </c>
      <c r="J21" s="55">
        <v>99.241355519770252</v>
      </c>
      <c r="K21" s="55">
        <v>74.325033000092205</v>
      </c>
      <c r="L21" s="55">
        <v>87.906714479887782</v>
      </c>
      <c r="M21" s="55">
        <v>76.974031079889215</v>
      </c>
      <c r="N21" s="55">
        <v>77.202007199920061</v>
      </c>
      <c r="O21" s="55">
        <v>86.69013983985235</v>
      </c>
      <c r="P21" s="55">
        <v>80.625890159863019</v>
      </c>
      <c r="Q21" s="55">
        <v>76.717960919859578</v>
      </c>
      <c r="R21" s="55">
        <v>81.825555239841179</v>
      </c>
      <c r="S21" s="55">
        <v>90.267926039859134</v>
      </c>
      <c r="T21" s="55">
        <v>68.689658879860943</v>
      </c>
      <c r="U21" s="55">
        <v>57.294873719921533</v>
      </c>
      <c r="V21" s="55">
        <v>54.782331479915328</v>
      </c>
      <c r="W21" s="55">
        <v>37.355460119893152</v>
      </c>
      <c r="X21" s="55">
        <v>44.153317079945992</v>
      </c>
      <c r="Y21" s="55">
        <v>34.076285280061498</v>
      </c>
      <c r="DA21" s="101" t="s">
        <v>1050</v>
      </c>
    </row>
    <row r="22" spans="1:105" x14ac:dyDescent="0.25">
      <c r="A22" s="61" t="s">
        <v>169</v>
      </c>
      <c r="B22" s="55">
        <v>20.313676317321299</v>
      </c>
      <c r="C22" s="55">
        <v>20.9704949150955</v>
      </c>
      <c r="D22" s="55">
        <v>22.381524772951149</v>
      </c>
      <c r="E22" s="55">
        <v>21.604032812581352</v>
      </c>
      <c r="F22" s="55">
        <v>21.1308382844066</v>
      </c>
      <c r="G22" s="55">
        <v>32.621275850174172</v>
      </c>
      <c r="H22" s="55">
        <v>35.01928229464</v>
      </c>
      <c r="I22" s="55">
        <v>35.748908074661443</v>
      </c>
      <c r="J22" s="55">
        <v>35.172552335457027</v>
      </c>
      <c r="K22" s="55">
        <v>37.352590032632421</v>
      </c>
      <c r="L22" s="55">
        <v>34.785760951226052</v>
      </c>
      <c r="M22" s="55">
        <v>34.51559372724023</v>
      </c>
      <c r="N22" s="55">
        <v>33.611696121475603</v>
      </c>
      <c r="O22" s="55">
        <v>33.503409249124147</v>
      </c>
      <c r="P22" s="55">
        <v>11.463700826808459</v>
      </c>
      <c r="Q22" s="55">
        <v>11.476474871520461</v>
      </c>
      <c r="R22" s="55">
        <v>11.550303162941059</v>
      </c>
      <c r="S22" s="55">
        <v>4.8601353785560253</v>
      </c>
      <c r="T22" s="55">
        <v>6.805311616402677</v>
      </c>
      <c r="U22" s="55">
        <v>7.3925945210385784</v>
      </c>
      <c r="V22" s="55">
        <v>4.1102604357761674</v>
      </c>
      <c r="W22" s="55">
        <v>4.4381637096027902</v>
      </c>
      <c r="X22" s="55">
        <v>4.3399611081447294</v>
      </c>
      <c r="Y22" s="55">
        <v>1.7862671659440981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97.376867246902705</v>
      </c>
      <c r="C25" s="257">
        <v>95.919121391582607</v>
      </c>
      <c r="D25" s="257">
        <v>108.5666457942137</v>
      </c>
      <c r="E25" s="257">
        <v>105.99640492808859</v>
      </c>
      <c r="F25" s="257">
        <v>99.844463525802624</v>
      </c>
      <c r="G25" s="257">
        <v>115.4473786444634</v>
      </c>
      <c r="H25" s="257">
        <v>104.7284053530413</v>
      </c>
      <c r="I25" s="257">
        <v>111.750238802974</v>
      </c>
      <c r="J25" s="257">
        <v>102.9798595575632</v>
      </c>
      <c r="K25" s="257">
        <v>97.868742185370209</v>
      </c>
      <c r="L25" s="257">
        <v>99.799491078301301</v>
      </c>
      <c r="M25" s="257">
        <v>94.770559326110543</v>
      </c>
      <c r="N25" s="257">
        <v>92.821750425800886</v>
      </c>
      <c r="O25" s="257">
        <v>95.247023782422033</v>
      </c>
      <c r="P25" s="257">
        <v>88.017739954763471</v>
      </c>
      <c r="Q25" s="257">
        <v>80.370991538025095</v>
      </c>
      <c r="R25" s="257">
        <v>78.194874190222791</v>
      </c>
      <c r="S25" s="257">
        <v>69.852071179413031</v>
      </c>
      <c r="T25" s="257">
        <v>64.887677239168212</v>
      </c>
      <c r="U25" s="257">
        <v>68.880547458432105</v>
      </c>
      <c r="V25" s="257">
        <v>61.924285289122977</v>
      </c>
      <c r="W25" s="257">
        <v>61.740926028256517</v>
      </c>
      <c r="X25" s="257">
        <v>61.135715667353331</v>
      </c>
      <c r="Y25" s="257">
        <v>59.02604945091938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0.99999999999999989</v>
      </c>
      <c r="C31" s="235">
        <f t="shared" si="6"/>
        <v>1</v>
      </c>
      <c r="D31" s="235">
        <f t="shared" si="6"/>
        <v>1</v>
      </c>
      <c r="E31" s="235">
        <f t="shared" si="6"/>
        <v>1</v>
      </c>
      <c r="F31" s="235">
        <f t="shared" si="6"/>
        <v>1</v>
      </c>
      <c r="G31" s="235">
        <f t="shared" si="6"/>
        <v>0.99999999999999989</v>
      </c>
      <c r="H31" s="235">
        <f t="shared" si="6"/>
        <v>1</v>
      </c>
      <c r="I31" s="235">
        <f t="shared" si="6"/>
        <v>1</v>
      </c>
      <c r="J31" s="235">
        <f t="shared" si="6"/>
        <v>1.0000000000000002</v>
      </c>
      <c r="K31" s="235">
        <f t="shared" si="6"/>
        <v>0.99999999999999989</v>
      </c>
      <c r="L31" s="235">
        <f t="shared" si="6"/>
        <v>0.99999999999999978</v>
      </c>
      <c r="M31" s="235">
        <f t="shared" si="6"/>
        <v>1</v>
      </c>
      <c r="N31" s="235">
        <f t="shared" si="6"/>
        <v>1</v>
      </c>
      <c r="O31" s="235">
        <f t="shared" si="6"/>
        <v>1</v>
      </c>
      <c r="P31" s="235">
        <f t="shared" si="6"/>
        <v>1</v>
      </c>
      <c r="Q31" s="235">
        <f t="shared" si="6"/>
        <v>1</v>
      </c>
      <c r="R31" s="235">
        <f t="shared" ref="R31:W31" si="7">SUM(R32:R40)</f>
        <v>1</v>
      </c>
      <c r="S31" s="235">
        <f t="shared" si="7"/>
        <v>1</v>
      </c>
      <c r="T31" s="235">
        <f t="shared" si="7"/>
        <v>1</v>
      </c>
      <c r="U31" s="235">
        <f t="shared" si="7"/>
        <v>1</v>
      </c>
      <c r="V31" s="235">
        <f t="shared" si="7"/>
        <v>1</v>
      </c>
      <c r="W31" s="235">
        <f t="shared" si="7"/>
        <v>1</v>
      </c>
      <c r="X31" s="235">
        <f t="shared" ref="X31:Y31" si="8">SUM(X32:X40)</f>
        <v>1</v>
      </c>
      <c r="Y31" s="235">
        <f t="shared" si="8"/>
        <v>1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0.25942144938116396</v>
      </c>
      <c r="C35" s="246">
        <f t="shared" si="12"/>
        <v>0.25123507867569916</v>
      </c>
      <c r="D35" s="246">
        <f t="shared" si="12"/>
        <v>0.24051835416519715</v>
      </c>
      <c r="E35" s="246">
        <f t="shared" si="12"/>
        <v>0.23606901827793028</v>
      </c>
      <c r="F35" s="246">
        <f t="shared" si="12"/>
        <v>0.24364364977029981</v>
      </c>
      <c r="G35" s="246">
        <f t="shared" si="12"/>
        <v>0.20031071262157032</v>
      </c>
      <c r="H35" s="246">
        <f t="shared" si="12"/>
        <v>0.17875529943609594</v>
      </c>
      <c r="I35" s="246">
        <f t="shared" si="12"/>
        <v>0.18069598516947782</v>
      </c>
      <c r="J35" s="246">
        <f t="shared" si="12"/>
        <v>0.19592856446342424</v>
      </c>
      <c r="K35" s="246">
        <f t="shared" si="12"/>
        <v>0.18107703727603824</v>
      </c>
      <c r="L35" s="246">
        <f t="shared" si="12"/>
        <v>0.20597294393869153</v>
      </c>
      <c r="M35" s="246">
        <f t="shared" si="12"/>
        <v>0.20871154327920927</v>
      </c>
      <c r="N35" s="246">
        <f t="shared" si="12"/>
        <v>0.21981385289622518</v>
      </c>
      <c r="O35" s="246">
        <f t="shared" si="12"/>
        <v>0.21265948023961803</v>
      </c>
      <c r="P35" s="246">
        <f t="shared" si="12"/>
        <v>0.21285444636730758</v>
      </c>
      <c r="Q35" s="246">
        <f t="shared" si="12"/>
        <v>0.20688074908872281</v>
      </c>
      <c r="R35" s="246">
        <f t="shared" si="12"/>
        <v>0.20672242519733872</v>
      </c>
      <c r="S35" s="246">
        <f t="shared" si="12"/>
        <v>0.21104389424403333</v>
      </c>
      <c r="T35" s="246">
        <f t="shared" si="12"/>
        <v>0.20698929508411917</v>
      </c>
      <c r="U35" s="246">
        <f t="shared" si="12"/>
        <v>0.22143418721918187</v>
      </c>
      <c r="V35" s="246">
        <f t="shared" si="12"/>
        <v>0.21481780948174298</v>
      </c>
      <c r="W35" s="246">
        <f t="shared" si="12"/>
        <v>0.20689627394874127</v>
      </c>
      <c r="X35" s="246">
        <f t="shared" si="12"/>
        <v>0.19536811728746978</v>
      </c>
      <c r="Y35" s="246">
        <f t="shared" si="12"/>
        <v>0.19200977188711205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0.44213483103482798</v>
      </c>
      <c r="C36" s="259">
        <f t="shared" si="13"/>
        <v>0.4450780298265879</v>
      </c>
      <c r="D36" s="259">
        <f t="shared" si="13"/>
        <v>0.40582690966904578</v>
      </c>
      <c r="E36" s="259">
        <f t="shared" si="13"/>
        <v>0.39511901251673942</v>
      </c>
      <c r="F36" s="259">
        <f t="shared" si="13"/>
        <v>0.4175477719502248</v>
      </c>
      <c r="G36" s="259">
        <f t="shared" si="13"/>
        <v>0.3369911176742138</v>
      </c>
      <c r="H36" s="259">
        <f t="shared" si="13"/>
        <v>0.34648683550700049</v>
      </c>
      <c r="I36" s="259">
        <f t="shared" si="13"/>
        <v>0.3474644660303769</v>
      </c>
      <c r="J36" s="259">
        <f t="shared" si="13"/>
        <v>0.34644303814868493</v>
      </c>
      <c r="K36" s="259">
        <f t="shared" si="13"/>
        <v>0.34588974586734023</v>
      </c>
      <c r="L36" s="259">
        <f t="shared" si="13"/>
        <v>0.33869427102745381</v>
      </c>
      <c r="M36" s="259">
        <f t="shared" si="13"/>
        <v>0.3426321629561811</v>
      </c>
      <c r="N36" s="259">
        <f t="shared" si="13"/>
        <v>0.33703941779183411</v>
      </c>
      <c r="O36" s="259">
        <f t="shared" si="13"/>
        <v>0.34760409017158522</v>
      </c>
      <c r="P36" s="259">
        <f t="shared" si="13"/>
        <v>0.35026545356067634</v>
      </c>
      <c r="Q36" s="259">
        <f t="shared" si="13"/>
        <v>0.35266161566768794</v>
      </c>
      <c r="R36" s="259">
        <f t="shared" si="13"/>
        <v>0.35134683417771145</v>
      </c>
      <c r="S36" s="259">
        <f t="shared" si="13"/>
        <v>0.35405513085060769</v>
      </c>
      <c r="T36" s="259">
        <f t="shared" si="13"/>
        <v>0.36057634928753296</v>
      </c>
      <c r="U36" s="259">
        <f t="shared" si="13"/>
        <v>0.36387684963209971</v>
      </c>
      <c r="V36" s="259">
        <f t="shared" si="13"/>
        <v>0.36790467526070053</v>
      </c>
      <c r="W36" s="259">
        <f t="shared" si="13"/>
        <v>0.36404577019039297</v>
      </c>
      <c r="X36" s="259">
        <f t="shared" si="13"/>
        <v>0.38255824899558671</v>
      </c>
      <c r="Y36" s="259">
        <f t="shared" si="13"/>
        <v>0.37714590429998479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0.21348382717047901</v>
      </c>
      <c r="C37" s="259">
        <f t="shared" si="14"/>
        <v>0.21816143890853723</v>
      </c>
      <c r="D37" s="259">
        <f t="shared" si="14"/>
        <v>0.27567171342290275</v>
      </c>
      <c r="E37" s="259">
        <f t="shared" si="14"/>
        <v>0.29288655813696401</v>
      </c>
      <c r="F37" s="259">
        <f t="shared" si="14"/>
        <v>0.25857329417084701</v>
      </c>
      <c r="G37" s="259">
        <f t="shared" si="14"/>
        <v>0.3979425180517433</v>
      </c>
      <c r="H37" s="259">
        <f t="shared" si="14"/>
        <v>0.40817753208815793</v>
      </c>
      <c r="I37" s="259">
        <f t="shared" si="14"/>
        <v>0.40507135597902882</v>
      </c>
      <c r="J37" s="259">
        <f t="shared" si="14"/>
        <v>0.3910564804465409</v>
      </c>
      <c r="K37" s="259">
        <f t="shared" si="14"/>
        <v>0.40656761963811772</v>
      </c>
      <c r="L37" s="259">
        <f t="shared" si="14"/>
        <v>0.39024985827094488</v>
      </c>
      <c r="M37" s="259">
        <f t="shared" si="14"/>
        <v>0.38281666825028593</v>
      </c>
      <c r="N37" s="259">
        <f t="shared" si="14"/>
        <v>0.37838179638934766</v>
      </c>
      <c r="O37" s="259">
        <f t="shared" si="14"/>
        <v>0.37294140682535787</v>
      </c>
      <c r="P37" s="259">
        <f t="shared" si="14"/>
        <v>0.36957367415429221</v>
      </c>
      <c r="Q37" s="259">
        <f t="shared" si="14"/>
        <v>0.37269076680804669</v>
      </c>
      <c r="R37" s="259">
        <f t="shared" si="14"/>
        <v>0.37441651840973378</v>
      </c>
      <c r="S37" s="259">
        <f t="shared" si="14"/>
        <v>0.36686633091424564</v>
      </c>
      <c r="T37" s="259">
        <f t="shared" si="14"/>
        <v>0.36314660516853686</v>
      </c>
      <c r="U37" s="259">
        <f t="shared" si="14"/>
        <v>0.34476699404223599</v>
      </c>
      <c r="V37" s="259">
        <f t="shared" si="14"/>
        <v>0.34658156588974653</v>
      </c>
      <c r="W37" s="259">
        <f t="shared" si="14"/>
        <v>0.3591035272613699</v>
      </c>
      <c r="X37" s="259">
        <f t="shared" si="14"/>
        <v>0.34856187803711824</v>
      </c>
      <c r="Y37" s="259">
        <f t="shared" si="14"/>
        <v>0.35837259527133125</v>
      </c>
      <c r="DA37" s="278"/>
    </row>
    <row r="38" spans="1:105" x14ac:dyDescent="0.25">
      <c r="A38" s="127" t="s">
        <v>167</v>
      </c>
      <c r="B38" s="259">
        <f t="shared" ref="B38:Y38" si="15">IF(B$25=0,0,B$25/B$5)</f>
        <v>8.4959892413528984E-2</v>
      </c>
      <c r="C38" s="259">
        <f t="shared" si="15"/>
        <v>8.5525452589175627E-2</v>
      </c>
      <c r="D38" s="259">
        <f t="shared" si="15"/>
        <v>7.7983022742854402E-2</v>
      </c>
      <c r="E38" s="259">
        <f t="shared" si="15"/>
        <v>7.5925411068366283E-2</v>
      </c>
      <c r="F38" s="259">
        <f t="shared" si="15"/>
        <v>8.0235284108628402E-2</v>
      </c>
      <c r="G38" s="259">
        <f t="shared" si="15"/>
        <v>6.4755651652472448E-2</v>
      </c>
      <c r="H38" s="259">
        <f t="shared" si="15"/>
        <v>6.658033296874552E-2</v>
      </c>
      <c r="I38" s="259">
        <f t="shared" si="15"/>
        <v>6.6768192821116443E-2</v>
      </c>
      <c r="J38" s="259">
        <f t="shared" si="15"/>
        <v>6.6571916941350021E-2</v>
      </c>
      <c r="K38" s="259">
        <f t="shared" si="15"/>
        <v>6.64655972185038E-2</v>
      </c>
      <c r="L38" s="259">
        <f t="shared" si="15"/>
        <v>6.5082926762909596E-2</v>
      </c>
      <c r="M38" s="259">
        <f t="shared" si="15"/>
        <v>6.5839625514323749E-2</v>
      </c>
      <c r="N38" s="259">
        <f t="shared" si="15"/>
        <v>6.4764932922593096E-2</v>
      </c>
      <c r="O38" s="259">
        <f t="shared" si="15"/>
        <v>6.6795022763438835E-2</v>
      </c>
      <c r="P38" s="259">
        <f t="shared" si="15"/>
        <v>6.7306425917723844E-2</v>
      </c>
      <c r="Q38" s="259">
        <f t="shared" si="15"/>
        <v>6.7766868435542693E-2</v>
      </c>
      <c r="R38" s="259">
        <f t="shared" si="15"/>
        <v>6.7514222215216066E-2</v>
      </c>
      <c r="S38" s="259">
        <f t="shared" si="15"/>
        <v>6.8034643991113322E-2</v>
      </c>
      <c r="T38" s="259">
        <f t="shared" si="15"/>
        <v>6.9287750459811004E-2</v>
      </c>
      <c r="U38" s="259">
        <f t="shared" si="15"/>
        <v>6.9921969106482421E-2</v>
      </c>
      <c r="V38" s="259">
        <f t="shared" si="15"/>
        <v>7.0695949367809999E-2</v>
      </c>
      <c r="W38" s="259">
        <f t="shared" si="15"/>
        <v>6.995442859949598E-2</v>
      </c>
      <c r="X38" s="259">
        <f t="shared" si="15"/>
        <v>7.3511755679825277E-2</v>
      </c>
      <c r="Y38" s="259">
        <f t="shared" si="15"/>
        <v>7.2471728541571898E-2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1.4153134581711639</v>
      </c>
      <c r="C44" s="237">
        <f>IF(C$5=0,0,C$5/AGR_fec!C$5)</f>
        <v>1.4338133507474673</v>
      </c>
      <c r="D44" s="237">
        <f>IF(D$5=0,0,D$5/AGR_fec!D$5)</f>
        <v>1.6406006413602305</v>
      </c>
      <c r="E44" s="237">
        <f>IF(E$5=0,0,E$5/AGR_fec!E$5)</f>
        <v>1.6352321323028232</v>
      </c>
      <c r="F44" s="237">
        <f>IF(F$5=0,0,F$5/AGR_fec!F$5)</f>
        <v>1.5097706773140429</v>
      </c>
      <c r="G44" s="237">
        <f>IF(G$5=0,0,G$5/AGR_fec!G$5)</f>
        <v>2.2733443635765962</v>
      </c>
      <c r="H44" s="237">
        <f>IF(H$5=0,0,H$5/AGR_fec!H$5)</f>
        <v>2.0901955289063938</v>
      </c>
      <c r="I44" s="237">
        <f>IF(I$5=0,0,I$5/AGR_fec!I$5)</f>
        <v>2.0596789891378751</v>
      </c>
      <c r="J44" s="237">
        <f>IF(J$5=0,0,J$5/AGR_fec!J$5)</f>
        <v>2.0883239307719643</v>
      </c>
      <c r="K44" s="237">
        <f>IF(K$5=0,0,K$5/AGR_fec!K$5)</f>
        <v>2.049915834856991</v>
      </c>
      <c r="L44" s="237">
        <f>IF(L$5=0,0,L$5/AGR_fec!L$5)</f>
        <v>2.1852929710642623</v>
      </c>
      <c r="M44" s="237">
        <f>IF(M$5=0,0,M$5/AGR_fec!M$5)</f>
        <v>2.1297540228820413</v>
      </c>
      <c r="N44" s="237">
        <f>IF(N$5=0,0,N$5/AGR_fec!N$5)</f>
        <v>2.1924070043633415</v>
      </c>
      <c r="O44" s="237">
        <f>IF(O$5=0,0,O$5/AGR_fec!O$5)</f>
        <v>1.9862539590012076</v>
      </c>
      <c r="P44" s="237">
        <f>IF(P$5=0,0,P$5/AGR_fec!P$5)</f>
        <v>1.8910444385767455</v>
      </c>
      <c r="Q44" s="237">
        <f>IF(Q$5=0,0,Q$5/AGR_fec!Q$5)</f>
        <v>1.7959354961312111</v>
      </c>
      <c r="R44" s="237">
        <f>IF(R$5=0,0,R$5/AGR_fec!R$5)</f>
        <v>1.7029185622935064</v>
      </c>
      <c r="S44" s="237">
        <f>IF(S$5=0,0,S$5/AGR_fec!S$5)</f>
        <v>1.576462452357883</v>
      </c>
      <c r="T44" s="237">
        <f>IF(T$5=0,0,T$5/AGR_fec!T$5)</f>
        <v>1.4967961220084736</v>
      </c>
      <c r="U44" s="237">
        <f>IF(U$5=0,0,U$5/AGR_fec!U$5)</f>
        <v>1.5267292154618468</v>
      </c>
      <c r="V44" s="237">
        <f>IF(V$5=0,0,V$5/AGR_fec!V$5)</f>
        <v>1.4537787833960782</v>
      </c>
      <c r="W44" s="237">
        <f>IF(W$5=0,0,W$5/AGR_fec!W$5)</f>
        <v>1.4840987955726612</v>
      </c>
      <c r="X44" s="237">
        <f>IF(X$5=0,0,X$5/AGR_fec!X$5)</f>
        <v>1.2469890782736872</v>
      </c>
      <c r="Y44" s="237">
        <f>IF(Y$5=0,0,Y$5/AGR_fec!Y$5)</f>
        <v>1.3150159698036661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2.3444021714495871</v>
      </c>
      <c r="C48" s="252">
        <f>IF(C$9=0,0,C$9/AGR_fec!C$9)</f>
        <v>2.2297286352403316</v>
      </c>
      <c r="D48" s="252">
        <f>IF(D$9=0,0,D$9/AGR_fec!D$9)</f>
        <v>2.3909340603310678</v>
      </c>
      <c r="E48" s="252">
        <f>IF(E$9=0,0,E$9/AGR_fec!E$9)</f>
        <v>2.4102671767443127</v>
      </c>
      <c r="F48" s="252">
        <f>IF(F$9=0,0,F$9/AGR_fec!F$9)</f>
        <v>2.3291319826890482</v>
      </c>
      <c r="G48" s="252">
        <f>IF(G$9=0,0,G$9/AGR_fec!G$9)</f>
        <v>2.379878278970867</v>
      </c>
      <c r="H48" s="252">
        <f>IF(H$9=0,0,H$9/AGR_fec!H$9)</f>
        <v>1.9177113252458295</v>
      </c>
      <c r="I48" s="252">
        <f>IF(I$9=0,0,I$9/AGR_fec!I$9)</f>
        <v>1.9227352179421426</v>
      </c>
      <c r="J48" s="252">
        <f>IF(J$9=0,0,J$9/AGR_fec!J$9)</f>
        <v>2.1534932074527866</v>
      </c>
      <c r="K48" s="252">
        <f>IF(K$9=0,0,K$9/AGR_fec!K$9)</f>
        <v>1.9029400037923154</v>
      </c>
      <c r="L48" s="252">
        <f>IF(L$9=0,0,L$9/AGR_fec!L$9)</f>
        <v>2.3564832383717644</v>
      </c>
      <c r="M48" s="252">
        <f>IF(M$9=0,0,M$9/AGR_fec!M$9)</f>
        <v>2.3322058776785615</v>
      </c>
      <c r="N48" s="252">
        <f>IF(N$9=0,0,N$9/AGR_fec!N$9)</f>
        <v>2.4957429742115642</v>
      </c>
      <c r="O48" s="252">
        <f>IF(O$9=0,0,O$9/AGR_fec!O$9)</f>
        <v>2.2476159401163893</v>
      </c>
      <c r="P48" s="252">
        <f>IF(P$9=0,0,P$9/AGR_fec!P$9)</f>
        <v>2.1556620867623817</v>
      </c>
      <c r="Q48" s="252">
        <f>IF(Q$9=0,0,Q$9/AGR_fec!Q$9)</f>
        <v>1.9905427901810857</v>
      </c>
      <c r="R48" s="252">
        <f>IF(R$9=0,0,R$9/AGR_fec!R$9)</f>
        <v>1.8923176051054937</v>
      </c>
      <c r="S48" s="252">
        <f>IF(S$9=0,0,S$9/AGR_fec!S$9)</f>
        <v>1.8195332885127553</v>
      </c>
      <c r="T48" s="252">
        <f>IF(T$9=0,0,T$9/AGR_fec!T$9)</f>
        <v>1.6789305411457858</v>
      </c>
      <c r="U48" s="252">
        <f>IF(U$9=0,0,U$9/AGR_fec!U$9)</f>
        <v>1.8401846133088215</v>
      </c>
      <c r="V48" s="252">
        <f>IF(V$9=0,0,V$9/AGR_fec!V$9)</f>
        <v>1.7064980377833214</v>
      </c>
      <c r="W48" s="252">
        <f>IF(W$9=0,0,W$9/AGR_fec!W$9)</f>
        <v>1.6407213413279593</v>
      </c>
      <c r="X48" s="252">
        <f>IF(X$9=0,0,X$9/AGR_fec!X$9)</f>
        <v>1.3137412761780152</v>
      </c>
      <c r="Y48" s="252">
        <f>IF(Y$9=0,0,Y$9/AGR_fec!Y$9)</f>
        <v>1.3382914303069269</v>
      </c>
      <c r="DA48" s="289"/>
    </row>
    <row r="49" spans="1:105" x14ac:dyDescent="0.25">
      <c r="A49" s="127" t="s">
        <v>168</v>
      </c>
      <c r="B49" s="264">
        <f>IF(B$16=0,0,B$16/AGR_fec!B$16)</f>
        <v>3.1024188000000006</v>
      </c>
      <c r="C49" s="264">
        <f>IF(C$16=0,0,C$16/AGR_fec!C$16)</f>
        <v>3.1024188000000001</v>
      </c>
      <c r="D49" s="264">
        <f>IF(D$16=0,0,D$16/AGR_fec!D$16)</f>
        <v>3.1024187999999997</v>
      </c>
      <c r="E49" s="264">
        <f>IF(E$16=0,0,E$16/AGR_fec!E$16)</f>
        <v>3.1024188000000001</v>
      </c>
      <c r="F49" s="264">
        <f>IF(F$16=0,0,F$16/AGR_fec!F$16)</f>
        <v>3.1024188000000001</v>
      </c>
      <c r="G49" s="264">
        <f>IF(G$16=0,0,G$16/AGR_fec!G$16)</f>
        <v>3.0938236696812922</v>
      </c>
      <c r="H49" s="264">
        <f>IF(H$16=0,0,H$16/AGR_fec!H$16)</f>
        <v>3.0645591905709653</v>
      </c>
      <c r="I49" s="264">
        <f>IF(I$16=0,0,I$16/AGR_fec!I$16)</f>
        <v>3.0313380991810432</v>
      </c>
      <c r="J49" s="264">
        <f>IF(J$16=0,0,J$16/AGR_fec!J$16)</f>
        <v>3.0105593399436845</v>
      </c>
      <c r="K49" s="264">
        <f>IF(K$16=0,0,K$16/AGR_fec!K$16)</f>
        <v>2.9866030105191048</v>
      </c>
      <c r="L49" s="264">
        <f>IF(L$16=0,0,L$16/AGR_fec!L$16)</f>
        <v>2.9841411006452332</v>
      </c>
      <c r="M49" s="264">
        <f>IF(M$16=0,0,M$16/AGR_fec!M$16)</f>
        <v>2.9508940569062139</v>
      </c>
      <c r="N49" s="264">
        <f>IF(N$16=0,0,N$16/AGR_fec!N$16)</f>
        <v>2.8993585771816965</v>
      </c>
      <c r="O49" s="264">
        <f>IF(O$16=0,0,O$16/AGR_fec!O$16)</f>
        <v>2.8241336965070665</v>
      </c>
      <c r="P49" s="264">
        <f>IF(P$16=0,0,P$16/AGR_fec!P$16)</f>
        <v>2.694492331021261</v>
      </c>
      <c r="Q49" s="264">
        <f>IF(Q$16=0,0,Q$16/AGR_fec!Q$16)</f>
        <v>2.6120738287807312</v>
      </c>
      <c r="R49" s="264">
        <f>IF(R$16=0,0,R$16/AGR_fec!R$16)</f>
        <v>2.4727678044255597</v>
      </c>
      <c r="S49" s="264">
        <f>IF(S$16=0,0,S$16/AGR_fec!S$16)</f>
        <v>2.3203405867824083</v>
      </c>
      <c r="T49" s="264">
        <f>IF(T$16=0,0,T$16/AGR_fec!T$16)</f>
        <v>2.2595764273187169</v>
      </c>
      <c r="U49" s="264">
        <f>IF(U$16=0,0,U$16/AGR_fec!U$16)</f>
        <v>2.290637815120709</v>
      </c>
      <c r="V49" s="264">
        <f>IF(V$16=0,0,V$16/AGR_fec!V$16)</f>
        <v>2.2366457719571162</v>
      </c>
      <c r="W49" s="264">
        <f>IF(W$16=0,0,W$16/AGR_fec!W$16)</f>
        <v>2.2399436491952236</v>
      </c>
      <c r="X49" s="264">
        <f>IF(X$16=0,0,X$16/AGR_fec!X$16)</f>
        <v>2.0776236421791836</v>
      </c>
      <c r="Y49" s="264">
        <f>IF(Y$16=0,0,Y$16/AGR_fec!Y$16)</f>
        <v>2.1281728952942385</v>
      </c>
      <c r="DA49" s="290"/>
    </row>
    <row r="50" spans="1:105" x14ac:dyDescent="0.25">
      <c r="A50" s="127" t="s">
        <v>121</v>
      </c>
      <c r="B50" s="264">
        <f>IF(B$17=0,0,B$17/AGR_fec!B$17)</f>
        <v>0.60183991882097787</v>
      </c>
      <c r="C50" s="264">
        <f>IF(C$17=0,0,C$17/AGR_fec!C$17)</f>
        <v>0.6493251434538716</v>
      </c>
      <c r="D50" s="264">
        <f>IF(D$17=0,0,D$17/AGR_fec!D$17)</f>
        <v>0.95775517824497247</v>
      </c>
      <c r="E50" s="264">
        <f>IF(E$17=0,0,E$17/AGR_fec!E$17)</f>
        <v>0.97616440671828208</v>
      </c>
      <c r="F50" s="264">
        <f>IF(F$17=0,0,F$17/AGR_fec!F$17)</f>
        <v>0.78608792729127586</v>
      </c>
      <c r="G50" s="264">
        <f>IF(G$17=0,0,G$17/AGR_fec!G$17)</f>
        <v>2.3879656240462723</v>
      </c>
      <c r="H50" s="264">
        <f>IF(H$17=0,0,H$17/AGR_fec!H$17)</f>
        <v>2.3592055110349697</v>
      </c>
      <c r="I50" s="264">
        <f>IF(I$17=0,0,I$17/AGR_fec!I$17)</f>
        <v>2.284907253174763</v>
      </c>
      <c r="J50" s="264">
        <f>IF(J$17=0,0,J$17/AGR_fec!J$17)</f>
        <v>2.1440424124137452</v>
      </c>
      <c r="K50" s="264">
        <f>IF(K$17=0,0,K$17/AGR_fec!K$17)</f>
        <v>2.3049591197346486</v>
      </c>
      <c r="L50" s="264">
        <f>IF(L$17=0,0,L$17/AGR_fec!L$17)</f>
        <v>2.2076153318189426</v>
      </c>
      <c r="M50" s="264">
        <f>IF(M$17=0,0,M$17/AGR_fec!M$17)</f>
        <v>2.0960765065364955</v>
      </c>
      <c r="N50" s="264">
        <f>IF(N$17=0,0,N$17/AGR_fec!N$17)</f>
        <v>2.0677424291106852</v>
      </c>
      <c r="O50" s="264">
        <f>IF(O$17=0,0,O$17/AGR_fec!O$17)</f>
        <v>1.8625737310893389</v>
      </c>
      <c r="P50" s="264">
        <f>IF(P$17=0,0,P$17/AGR_fec!P$17)</f>
        <v>1.7582738297623079</v>
      </c>
      <c r="Q50" s="264">
        <f>IF(Q$17=0,0,Q$17/AGR_fec!Q$17)</f>
        <v>1.7019178711279017</v>
      </c>
      <c r="R50" s="264">
        <f>IF(R$17=0,0,R$17/AGR_fec!R$17)</f>
        <v>1.6134377121527934</v>
      </c>
      <c r="S50" s="264">
        <f>IF(S$17=0,0,S$17/AGR_fec!S$17)</f>
        <v>1.4181029747052176</v>
      </c>
      <c r="T50" s="264">
        <f>IF(T$17=0,0,T$17/AGR_fec!T$17)</f>
        <v>1.3557556307144953</v>
      </c>
      <c r="U50" s="264">
        <f>IF(U$17=0,0,U$17/AGR_fec!U$17)</f>
        <v>1.2745789219844934</v>
      </c>
      <c r="V50" s="264">
        <f>IF(V$17=0,0,V$17/AGR_fec!V$17)</f>
        <v>1.2311934939708249</v>
      </c>
      <c r="W50" s="264">
        <f>IF(W$17=0,0,W$17/AGR_fec!W$17)</f>
        <v>1.3669219563873267</v>
      </c>
      <c r="X50" s="264">
        <f>IF(X$17=0,0,X$17/AGR_fec!X$17)</f>
        <v>1.1095091204054768</v>
      </c>
      <c r="Y50" s="264">
        <f>IF(Y$17=0,0,Y$17/AGR_fec!Y$17)</f>
        <v>1.2385619000475421</v>
      </c>
      <c r="DA50" s="290"/>
    </row>
    <row r="51" spans="1:105" x14ac:dyDescent="0.25">
      <c r="A51" s="127" t="s">
        <v>167</v>
      </c>
      <c r="B51" s="264">
        <f>IF(B$25=0,0,B$25/AGR_fec!B$25)</f>
        <v>3.1024188000000001</v>
      </c>
      <c r="C51" s="264">
        <f>IF(C$25=0,0,C$25/AGR_fec!C$25)</f>
        <v>3.1024188000000001</v>
      </c>
      <c r="D51" s="264">
        <f>IF(D$25=0,0,D$25/AGR_fec!D$25)</f>
        <v>3.1024187999999988</v>
      </c>
      <c r="E51" s="264">
        <f>IF(E$25=0,0,E$25/AGR_fec!E$25)</f>
        <v>3.1024187999999984</v>
      </c>
      <c r="F51" s="264">
        <f>IF(F$25=0,0,F$25/AGR_fec!F$25)</f>
        <v>3.1024188000000001</v>
      </c>
      <c r="G51" s="264">
        <f>IF(G$25=0,0,G$25/AGR_fec!G$25)</f>
        <v>3.0938236696812913</v>
      </c>
      <c r="H51" s="264">
        <f>IF(H$25=0,0,H$25/AGR_fec!H$25)</f>
        <v>3.064559190570967</v>
      </c>
      <c r="I51" s="264">
        <f>IF(I$25=0,0,I$25/AGR_fec!I$25)</f>
        <v>3.0313380991810446</v>
      </c>
      <c r="J51" s="264">
        <f>IF(J$25=0,0,J$25/AGR_fec!J$25)</f>
        <v>3.0105593399436832</v>
      </c>
      <c r="K51" s="264">
        <f>IF(K$25=0,0,K$25/AGR_fec!K$25)</f>
        <v>2.9866030105191053</v>
      </c>
      <c r="L51" s="264">
        <f>IF(L$25=0,0,L$25/AGR_fec!L$25)</f>
        <v>2.9841411006452336</v>
      </c>
      <c r="M51" s="264">
        <f>IF(M$25=0,0,M$25/AGR_fec!M$25)</f>
        <v>2.9508940569062143</v>
      </c>
      <c r="N51" s="264">
        <f>IF(N$25=0,0,N$25/AGR_fec!N$25)</f>
        <v>2.8993585771816961</v>
      </c>
      <c r="O51" s="264">
        <f>IF(O$25=0,0,O$25/AGR_fec!O$25)</f>
        <v>2.8241336965070669</v>
      </c>
      <c r="P51" s="264">
        <f>IF(P$25=0,0,P$25/AGR_fec!P$25)</f>
        <v>2.6944923310212605</v>
      </c>
      <c r="Q51" s="264">
        <f>IF(Q$25=0,0,Q$25/AGR_fec!Q$25)</f>
        <v>2.6120738287807312</v>
      </c>
      <c r="R51" s="264">
        <f>IF(R$25=0,0,R$25/AGR_fec!R$25)</f>
        <v>2.4727678044255592</v>
      </c>
      <c r="S51" s="264">
        <f>IF(S$25=0,0,S$25/AGR_fec!S$25)</f>
        <v>2.3203405867824083</v>
      </c>
      <c r="T51" s="264">
        <f>IF(T$25=0,0,T$25/AGR_fec!T$25)</f>
        <v>2.2595764273187173</v>
      </c>
      <c r="U51" s="264">
        <f>IF(U$25=0,0,U$25/AGR_fec!U$25)</f>
        <v>2.2906378151207085</v>
      </c>
      <c r="V51" s="264">
        <f>IF(V$25=0,0,V$25/AGR_fec!V$25)</f>
        <v>2.2366457719571167</v>
      </c>
      <c r="W51" s="264">
        <f>IF(W$25=0,0,W$25/AGR_fec!W$25)</f>
        <v>2.2399436491952236</v>
      </c>
      <c r="X51" s="264">
        <f>IF(X$25=0,0,X$25/AGR_fec!X$25)</f>
        <v>2.0776236421791849</v>
      </c>
      <c r="Y51" s="264">
        <f>IF(Y$25=0,0,Y$25/AGR_fec!Y$25)</f>
        <v>2.128172895294238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2025-11-06T10:30:55Z</dcterms:created>
  <dcterms:modified xsi:type="dcterms:W3CDTF">2025-11-06T10:30:55Z</dcterms:modified>
</cp:coreProperties>
</file>