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X27" i="9"/>
  <c r="Y40" i="3"/>
  <c r="X25" i="9"/>
  <c r="X5" i="9"/>
  <c r="Y57" i="10"/>
  <c r="X68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48" i="13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X41" i="12"/>
  <c r="Y45" i="3"/>
  <c r="X45" i="3"/>
  <c r="X83" i="3"/>
  <c r="Y76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4" i="3"/>
  <c r="Y44" i="3"/>
  <c r="X44" i="3"/>
  <c r="Y42" i="3"/>
  <c r="Y31" i="3"/>
  <c r="Y30" i="3"/>
  <c r="Y25" i="3"/>
  <c r="Y10" i="3"/>
  <c r="X15" i="10" l="1"/>
  <c r="X55" i="10" s="1"/>
  <c r="Y44" i="12"/>
  <c r="X46" i="3"/>
  <c r="X43" i="3" s="1"/>
  <c r="X90" i="8"/>
  <c r="X75" i="3"/>
  <c r="X227" i="3" s="1"/>
  <c r="X29" i="9"/>
  <c r="Y57" i="8"/>
  <c r="Y79" i="8" s="1"/>
  <c r="Y75" i="3"/>
  <c r="Y29" i="9"/>
  <c r="X91" i="8"/>
  <c r="Y91" i="8"/>
  <c r="Y54" i="3"/>
  <c r="X31" i="9"/>
  <c r="Y15" i="14"/>
  <c r="Y21" i="14" s="1"/>
  <c r="Y69" i="11"/>
  <c r="Y53" i="9"/>
  <c r="Y41" i="12"/>
  <c r="Y44" i="11"/>
  <c r="Y55" i="3"/>
  <c r="Y207" i="3" s="1"/>
  <c r="Y43" i="9"/>
  <c r="X53" i="3"/>
  <c r="X55" i="3"/>
  <c r="X207" i="3" s="1"/>
  <c r="X19" i="12"/>
  <c r="X69" i="12" s="1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89" i="3" s="1"/>
  <c r="X181" i="3" s="1"/>
  <c r="Y39" i="13"/>
  <c r="Y79" i="11"/>
  <c r="X4" i="9"/>
  <c r="X57" i="8"/>
  <c r="X79" i="8" s="1"/>
  <c r="X7" i="15"/>
  <c r="X22" i="15" s="1"/>
  <c r="X13" i="14"/>
  <c r="X19" i="14" s="1"/>
  <c r="Y15" i="3"/>
  <c r="X23" i="3"/>
  <c r="X22" i="3" s="1"/>
  <c r="X14" i="20"/>
  <c r="Y15" i="18"/>
  <c r="Y29" i="13"/>
  <c r="X18" i="11"/>
  <c r="X120" i="11" s="1"/>
  <c r="X235" i="3"/>
  <c r="Y197" i="3"/>
  <c r="X237" i="3"/>
  <c r="Y194" i="3"/>
  <c r="Y196" i="3"/>
  <c r="Y20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10" i="20" s="1"/>
  <c r="Y10" i="19"/>
  <c r="Y11" i="20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Y25" i="14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Y20" i="19"/>
  <c r="Y60" i="3"/>
  <c r="Y24" i="19"/>
  <c r="Y18" i="17"/>
  <c r="Y87" i="3"/>
  <c r="Y239" i="3" s="1"/>
  <c r="Y3" i="17"/>
  <c r="Y23" i="17" s="1"/>
  <c r="Y10" i="17"/>
  <c r="Y23" i="15"/>
  <c r="Y21" i="15"/>
  <c r="Y162" i="3"/>
  <c r="X43" i="13"/>
  <c r="X33" i="13"/>
  <c r="X23" i="13"/>
  <c r="X6" i="13"/>
  <c r="X4" i="13"/>
  <c r="X74" i="3"/>
  <c r="X3" i="19"/>
  <c r="X29" i="19" s="1"/>
  <c r="X25" i="19"/>
  <c r="X21" i="19"/>
  <c r="X61" i="3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5" i="17"/>
  <c r="Y10" i="16"/>
  <c r="Y3" i="16" s="1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Y25" i="19" l="1"/>
  <c r="X81" i="3"/>
  <c r="Y3" i="19"/>
  <c r="Y28" i="19" s="1"/>
  <c r="Y57" i="3"/>
  <c r="X25" i="14"/>
  <c r="Y227" i="3"/>
  <c r="X86" i="3"/>
  <c r="X20" i="19"/>
  <c r="X23" i="15"/>
  <c r="X60" i="3"/>
  <c r="X41" i="9"/>
  <c r="X117" i="11"/>
  <c r="Y73" i="3"/>
  <c r="X21" i="15"/>
  <c r="X24" i="19"/>
  <c r="X116" i="11"/>
  <c r="X36" i="8"/>
  <c r="Y52" i="3"/>
  <c r="Y204" i="3" s="1"/>
  <c r="Y13" i="18"/>
  <c r="Y96" i="11"/>
  <c r="Y36" i="8"/>
  <c r="X25" i="8"/>
  <c r="X243" i="3"/>
  <c r="X21" i="20"/>
  <c r="X23" i="20"/>
  <c r="X9" i="20"/>
  <c r="Y22" i="18"/>
  <c r="X11" i="17"/>
  <c r="X3" i="16"/>
  <c r="X28" i="16" s="1"/>
  <c r="Y20" i="16"/>
  <c r="Y13" i="15"/>
  <c r="Y18" i="15"/>
  <c r="Y17" i="15"/>
  <c r="Y27" i="14"/>
  <c r="X52" i="3"/>
  <c r="X204" i="3" s="1"/>
  <c r="Y3" i="12"/>
  <c r="Y49" i="12" s="1"/>
  <c r="X198" i="3"/>
  <c r="X122" i="11"/>
  <c r="X43" i="11"/>
  <c r="Y20" i="14"/>
  <c r="X80" i="11"/>
  <c r="X192" i="3"/>
  <c r="X22" i="10"/>
  <c r="X96" i="8"/>
  <c r="X4" i="8"/>
  <c r="X108" i="8" s="1"/>
  <c r="X118" i="11"/>
  <c r="Y22" i="13"/>
  <c r="X112" i="8"/>
  <c r="X233" i="3"/>
  <c r="X22" i="17"/>
  <c r="X13" i="20"/>
  <c r="X44" i="10"/>
  <c r="X205" i="3"/>
  <c r="Y13" i="3"/>
  <c r="Y225" i="3" s="1"/>
  <c r="Y43" i="11"/>
  <c r="X100" i="8"/>
  <c r="Y198" i="3"/>
  <c r="X111" i="8"/>
  <c r="X76" i="11"/>
  <c r="X41" i="3"/>
  <c r="X193" i="3" s="1"/>
  <c r="X11" i="9"/>
  <c r="X10" i="9" s="1"/>
  <c r="X57" i="9" s="1"/>
  <c r="X113" i="8"/>
  <c r="Y21" i="18"/>
  <c r="X13" i="11"/>
  <c r="X224" i="3"/>
  <c r="Y111" i="11"/>
  <c r="Y42" i="13"/>
  <c r="Y12" i="14"/>
  <c r="Y18" i="14" s="1"/>
  <c r="X183" i="3"/>
  <c r="X182" i="3"/>
  <c r="X13" i="3"/>
  <c r="X195" i="3" s="1"/>
  <c r="X37" i="9"/>
  <c r="X3" i="12"/>
  <c r="X49" i="12" s="1"/>
  <c r="Y23" i="10"/>
  <c r="Y22" i="10"/>
  <c r="Y117" i="11"/>
  <c r="Y29" i="19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Y27" i="16"/>
  <c r="Y23" i="16"/>
  <c r="Y19" i="16"/>
  <c r="Y28" i="16"/>
  <c r="X85" i="8"/>
  <c r="X15" i="8"/>
  <c r="X49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X13" i="18"/>
  <c r="X17" i="18"/>
  <c r="X19" i="18"/>
  <c r="Y27" i="19"/>
  <c r="Y23" i="19"/>
  <c r="Y19" i="19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38" i="3"/>
  <c r="X212" i="3"/>
  <c r="X59" i="3"/>
  <c r="X153" i="3" s="1"/>
  <c r="Y209" i="3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56" i="3" s="1"/>
  <c r="Y21" i="20"/>
  <c r="Y13" i="20"/>
  <c r="Y17" i="20"/>
  <c r="Y9" i="20"/>
  <c r="Y22" i="20"/>
  <c r="Y13" i="17"/>
  <c r="Y21" i="17"/>
  <c r="Y17" i="17"/>
  <c r="Y9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Y22" i="17"/>
  <c r="Y53" i="12"/>
  <c r="Y47" i="12"/>
  <c r="X23" i="18"/>
  <c r="X28" i="19"/>
  <c r="Y55" i="12" l="1"/>
  <c r="X46" i="9"/>
  <c r="X35" i="9"/>
  <c r="X109" i="8"/>
  <c r="Y51" i="12"/>
  <c r="X107" i="8"/>
  <c r="X19" i="16"/>
  <c r="X110" i="8"/>
  <c r="X106" i="8"/>
  <c r="X105" i="8"/>
  <c r="X94" i="8"/>
  <c r="X23" i="16"/>
  <c r="X27" i="16"/>
  <c r="Y54" i="12"/>
  <c r="Y50" i="12"/>
  <c r="Y195" i="3"/>
  <c r="Y48" i="12"/>
  <c r="X9" i="17"/>
  <c r="Y37" i="12"/>
  <c r="Y17" i="12"/>
  <c r="Y67" i="12" s="1"/>
  <c r="X38" i="10"/>
  <c r="Y52" i="12"/>
  <c r="X24" i="9"/>
  <c r="X95" i="11"/>
  <c r="X51" i="12"/>
  <c r="Y24" i="14"/>
  <c r="X56" i="3"/>
  <c r="X208" i="3" s="1"/>
  <c r="X39" i="3"/>
  <c r="X191" i="3" s="1"/>
  <c r="X62" i="10"/>
  <c r="X225" i="3"/>
  <c r="Y95" i="11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08" i="3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11" i="3"/>
  <c r="X151" i="3"/>
  <c r="X60" i="9"/>
  <c r="X64" i="9"/>
  <c r="X56" i="9"/>
  <c r="X62" i="9"/>
  <c r="X45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Y153" i="3" l="1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6" i="1"/>
  <c r="B25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F24" i="19"/>
  <c r="F20" i="19"/>
  <c r="L20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R25" i="19" l="1"/>
  <c r="E22" i="18"/>
  <c r="E13" i="18"/>
  <c r="E13" i="20"/>
  <c r="Q21" i="19"/>
  <c r="E23" i="18"/>
  <c r="Q25" i="19"/>
  <c r="M22" i="20"/>
  <c r="W23" i="20"/>
  <c r="I22" i="18"/>
  <c r="I21" i="18"/>
  <c r="L10" i="20"/>
  <c r="J11" i="20"/>
  <c r="M23" i="20"/>
  <c r="W24" i="19"/>
  <c r="P10" i="20"/>
  <c r="R21" i="19"/>
  <c r="G18" i="18"/>
  <c r="U19" i="18"/>
  <c r="N13" i="20"/>
  <c r="H20" i="19"/>
  <c r="K23" i="18"/>
  <c r="H25" i="19"/>
  <c r="F22" i="20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7" i="19"/>
  <c r="E23" i="19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U122" i="3" l="1"/>
  <c r="N19" i="19"/>
  <c r="N27" i="19"/>
  <c r="Q9" i="20"/>
  <c r="F183" i="3"/>
  <c r="F182" i="3"/>
  <c r="U121" i="3"/>
  <c r="N9" i="20"/>
  <c r="W9" i="20"/>
  <c r="M9" i="20"/>
  <c r="M29" i="19"/>
  <c r="M28" i="19"/>
  <c r="N29" i="19"/>
  <c r="W29" i="19"/>
  <c r="M23" i="19"/>
  <c r="M19" i="19"/>
  <c r="Q23" i="19"/>
  <c r="H27" i="19"/>
  <c r="H1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K79" i="8"/>
  <c r="V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21" i="1"/>
  <c r="B15" i="1"/>
  <c r="B7" i="1"/>
  <c r="B8" i="1"/>
  <c r="B9" i="1"/>
  <c r="B18" i="1"/>
  <c r="B13" i="1"/>
  <c r="B12" i="1"/>
  <c r="B20" i="1"/>
  <c r="B22" i="1"/>
  <c r="B16" i="1"/>
  <c r="B17" i="1"/>
  <c r="B4" i="1"/>
  <c r="B11" i="1"/>
  <c r="B6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18" i="15" s="1"/>
  <c r="H27" i="3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O180" i="4"/>
  <c r="P208" i="4"/>
  <c r="P206" i="4"/>
  <c r="P102" i="5"/>
  <c r="P209" i="4"/>
  <c r="P96" i="6"/>
  <c r="P8" i="3" l="1"/>
  <c r="P150" i="4"/>
  <c r="O179" i="4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M150" i="4" s="1"/>
  <c r="O121" i="6"/>
  <c r="O67" i="6"/>
  <c r="O209" i="7" s="1"/>
  <c r="O94" i="6"/>
  <c r="M206" i="4"/>
  <c r="L205" i="4"/>
  <c r="J180" i="4"/>
  <c r="L177" i="4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M204" i="4" l="1"/>
  <c r="M8" i="3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 s="1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224" i="4" s="1"/>
  <c r="S143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184" i="4"/>
  <c r="X187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X265" i="4" l="1"/>
  <c r="X268" i="4"/>
  <c r="D131" i="5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 s="1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X241" i="4"/>
  <c r="I69" i="7"/>
  <c r="I60" i="7" s="1"/>
  <c r="X211" i="4" l="1"/>
  <c r="X19" i="3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 s="1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 s="1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<sst xmlns="http://schemas.openxmlformats.org/spreadsheetml/2006/main" count="2657" uniqueCount="1169">
  <si>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</si>
  <si>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</si>
  <si>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</si>
  <si>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</si>
  <si>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</si>
  <si>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</si>
  <si>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</si>
  <si>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</si>
  <si>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</si>
  <si>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</si>
  <si>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</si>
  <si>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</si>
  <si>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</si>
  <si>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</si>
  <si>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</si>
  <si>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</si>
  <si>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</si>
  <si>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</si>
  <si>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</si>
  <si>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</si>
  <si>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</si>
  <si>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</si>
  <si>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</si>
  <si>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</si>
  <si>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</si>
  <si>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</si>
  <si>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</si>
  <si>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</si>
  <si>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</si>
  <si>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</si>
  <si>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</si>
  <si>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</si>
  <si>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</si>
  <si>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</si>
  <si>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</si>
  <si>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</si>
  <si>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</si>
  <si>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</si>
  <si>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</si>
  <si>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</si>
  <si>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</si>
  <si>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</si>
  <si>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</si>
  <si>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</si>
  <si>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</si>
  <si>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</si>
  <si>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</si>
  <si>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</si>
  <si>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</si>
  <si>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</si>
  <si>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</si>
  <si>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</si>
  <si>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</si>
  <si>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</si>
  <si>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</si>
  <si>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</si>
  <si>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</si>
  <si>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</si>
  <si>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</si>
  <si>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</si>
  <si>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</si>
  <si>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</si>
  <si>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</si>
  <si>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</si>
  <si>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</si>
  <si>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</si>
  <si>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</si>
  <si>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</si>
  <si>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</si>
  <si>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</si>
  <si>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</si>
  <si>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</si>
  <si>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</si>
  <si>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</si>
  <si>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</si>
  <si>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</si>
  <si>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</si>
  <si>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</si>
  <si>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</si>
  <si>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</si>
  <si>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</si>
  <si>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</si>
  <si>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</si>
  <si>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</si>
  <si>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</si>
  <si>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</si>
  <si>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</si>
  <si>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</si>
  <si>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</si>
  <si>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</si>
  <si>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</si>
  <si>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</si>
  <si>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</si>
  <si>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</si>
  <si>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</si>
  <si>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</si>
  <si>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</si>
  <si>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</si>
  <si>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</si>
  <si>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</si>
  <si>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</si>
  <si>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</si>
  <si>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</si>
  <si>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</si>
  <si>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</si>
  <si>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</si>
  <si>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</si>
  <si>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</si>
  <si>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</si>
  <si>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</si>
  <si>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</si>
  <si>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</si>
  <si>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</si>
  <si>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</si>
  <si>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</si>
  <si>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</si>
  <si>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</si>
  <si>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</si>
  <si>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</si>
  <si>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</si>
  <si>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</si>
  <si>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</si>
  <si>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</si>
  <si>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</si>
  <si>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</si>
  <si>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</si>
  <si>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</si>
  <si>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</si>
  <si>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</si>
  <si>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</si>
  <si>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</si>
  <si>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</si>
  <si>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</si>
  <si>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</si>
  <si>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</si>
  <si>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</si>
  <si>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</si>
  <si>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</si>
  <si>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</si>
  <si>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</si>
  <si>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</si>
  <si>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</si>
  <si>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</si>
  <si>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</si>
  <si>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</si>
  <si>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</si>
  <si>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</si>
  <si>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</si>
  <si>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</si>
  <si>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</si>
  <si>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</si>
  <si>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</si>
  <si>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</si>
  <si>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</si>
  <si>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</si>
  <si>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</si>
  <si>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</si>
  <si>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</si>
  <si>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</si>
  <si>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</si>
  <si>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</si>
  <si>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</si>
  <si>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</si>
  <si>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</si>
  <si>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</si>
  <si>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</si>
  <si>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</si>
  <si>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</si>
  <si>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</si>
  <si>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</si>
  <si>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</si>
  <si>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</si>
  <si>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</si>
  <si>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</si>
  <si>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</si>
  <si>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</si>
  <si>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</si>
  <si>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</si>
  <si>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</si>
  <si>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</si>
  <si>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</si>
  <si>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</si>
  <si>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</si>
  <si>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</si>
  <si>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</si>
  <si>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</si>
  <si>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</si>
  <si>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SE</t>
  </si>
  <si>
    <t>Sweden</t>
  </si>
  <si>
    <t>Aviation - SE - Sweden</t>
  </si>
  <si>
    <t>Activity.Mpkm.SE.Tr.Avia.Passenger</t>
  </si>
  <si>
    <t>Activity.Mpkm.SE.Tr.Avia.Passenger.Domestic</t>
  </si>
  <si>
    <t>Activity.Mpkm.SE.Tr.Avia.Passenger.IntraEEAwCHUK</t>
  </si>
  <si>
    <t>Activity.Mpkm.SE.Tr.Avia.Passenger.ExtraEEAwCHUK</t>
  </si>
  <si>
    <t>Activity.Mtkm.SE.Tr.Avia.Freight</t>
  </si>
  <si>
    <t>Activity.Mtkm.SE.Tr.Avia.Freight.Domestic</t>
  </si>
  <si>
    <t>Activity.Mtkm.SE.Tr.Avia.Freight.IntraEEAwCHUK</t>
  </si>
  <si>
    <t>Activity.Mtkm.SE.Tr.Avia.Freight.ExtraEEAwCHUK</t>
  </si>
  <si>
    <t>VehicleKm.Mkm.SE.Tr.Avia</t>
  </si>
  <si>
    <t>VehicleKm.Mkm.SE.Tr.Avia.Passenger</t>
  </si>
  <si>
    <t>VehicleKm.Mkm.SE.Tr.Avia.Passenger.Domestic</t>
  </si>
  <si>
    <t>VehicleKm.Mkm.SE.Tr.Avia.Passenger.IntraEEAwCHUK</t>
  </si>
  <si>
    <t>VehicleKm.Mkm.SE.Tr.Avia.Passenger.ExtraEEAwCHUK</t>
  </si>
  <si>
    <t>VehicleKm.Mkm.SE.Tr.Avia.Freight</t>
  </si>
  <si>
    <t>VehicleKm.Mkm.SE.Tr.Avia.Freight.Domestic</t>
  </si>
  <si>
    <t>VehicleKm.Mkm.SE.Tr.Avia.Freight.IntraEEAwCHUK</t>
  </si>
  <si>
    <t>VehicleKm.Mkm.SE.Tr.Avia.Freight.ExtraEEAwCHUK</t>
  </si>
  <si>
    <t>Flights.number.SE.Tr.Avia</t>
  </si>
  <si>
    <t>Flights.number.SE.Tr.Avia.Passenger</t>
  </si>
  <si>
    <t>Flights.number.SE.Tr.Avia.Passenger.Domestic</t>
  </si>
  <si>
    <t>Flights.number.SE.Tr.Avia.Passenger.IntraEEAwCHUK</t>
  </si>
  <si>
    <t>Flights.number.SE.Tr.Avia.Passenger.ExtraEEAwCHUK</t>
  </si>
  <si>
    <t>Flights.number.SE.Tr.Avia.Freight</t>
  </si>
  <si>
    <t>Flights.number.SE.Tr.Avia.Freight.Domestic</t>
  </si>
  <si>
    <t>Flights.number.SE.Tr.Avia.Freight.IntraEEAwCHUK</t>
  </si>
  <si>
    <t>Flights.number.SE.Tr.Avia.Freight.ExtraEEAwCHUK</t>
  </si>
  <si>
    <t>VolCarried.passenger.SE.Tr.Avia.Passenger</t>
  </si>
  <si>
    <t>VolCarried.passenger.SE.Tr.Avia.Passenger.Domestic</t>
  </si>
  <si>
    <t>VolCarried.passenger.SE.Tr.Avia.Passenger.IntraEEAwCHUK</t>
  </si>
  <si>
    <t>VolCarried.passenger.SE.Tr.Avia.Passenger.ExtraEEAwCHUK</t>
  </si>
  <si>
    <t>VolCarried.t.SE.Tr.Avia.Freight</t>
  </si>
  <si>
    <t>VolCarried.t.SE.Tr.Avia.Freight.Domestic</t>
  </si>
  <si>
    <t>VolCarried.t.SE.Tr.Avia.Freight.IntraEEAwCHUK</t>
  </si>
  <si>
    <t>VolCarried.t.SE.Tr.Avia.Freight.ExtraEEAwCHUK</t>
  </si>
  <si>
    <t>Stock.number.SE.Tr.Avia</t>
  </si>
  <si>
    <t>Stock.number.SE.Tr.Avia.Passenger</t>
  </si>
  <si>
    <t>Stock.number.SE.Tr.Avia.Passenger.Domestic</t>
  </si>
  <si>
    <t>Stock.number.SE.Tr.Avia.Passenger.IntraEEAwCHUK</t>
  </si>
  <si>
    <t>Stock.number.SE.Tr.Avia.Passenger.ExtraEEAwCHUK</t>
  </si>
  <si>
    <t>Stock.number.SE.Tr.Avia.Freight</t>
  </si>
  <si>
    <t>Stock.number.SE.Tr.Avia.Freight.Domestic</t>
  </si>
  <si>
    <t>Stock.number.SE.Tr.Avia.Freight.IntraEEAwCHUK</t>
  </si>
  <si>
    <t>Stock.number.SE.Tr.Avia.Freight.ExtraEEAwCHUK</t>
  </si>
  <si>
    <t>StockNew.number.SE.Tr.Avia</t>
  </si>
  <si>
    <t>StockNew.number.SE.Tr.Avia.Passenger</t>
  </si>
  <si>
    <t>StockNew.number.SE.Tr.Avia.Passenger.Domestic</t>
  </si>
  <si>
    <t>StockNew.number.SE.Tr.Avia.Passenger.IntraEEAwCHUK</t>
  </si>
  <si>
    <t>StockNew.number.SE.Tr.Avia.Passenger.ExtraEEAwCHUK</t>
  </si>
  <si>
    <t>StockNew.number.SE.Tr.Avia.Freight</t>
  </si>
  <si>
    <t>StockNew.number.SE.Tr.Avia.Freight.Domestic</t>
  </si>
  <si>
    <t>StockNew.number.SE.Tr.Avia.Freight.IntraEEAwCHUK</t>
  </si>
  <si>
    <t>StockNew.number.SE.Tr.Avia.Freight.ExtraEEAwCHUK</t>
  </si>
  <si>
    <t>Load.passenger_per_movement.SE.Tr.Avia.Passenger</t>
  </si>
  <si>
    <t>Load.passenger_per_movement.SE.Tr.Avia.Passenger.Domestic</t>
  </si>
  <si>
    <t>Load.passenger_per_movement.SE.Tr.Avia.Passenger.IntraEEAwCHUK</t>
  </si>
  <si>
    <t>Load.passenger_per_movement.SE.Tr.Avia.Passenger.ExtraEEAwCHUK</t>
  </si>
  <si>
    <t>Load.t_per_movement.SE.Tr.Avia.Freight</t>
  </si>
  <si>
    <t>Load.t_per_movement.SE.Tr.Avia.Freight.Domestic</t>
  </si>
  <si>
    <t>Load.t_per_movement.SE.Tr.Avia.Freight.IntraEEAwCHUK</t>
  </si>
  <si>
    <t>Load.t_per_movement.SE.Tr.Avia.Freight.ExtraEEAwCHUK</t>
  </si>
  <si>
    <t>VehicleKm_per_flight.km.SE.Tr.Avia</t>
  </si>
  <si>
    <t>VehicleKm_per_flight.km.SE.Tr.Avia.Passenger</t>
  </si>
  <si>
    <t>VehicleKm_per_flight.km.SE.Tr.Avia.Passenger.Domestic</t>
  </si>
  <si>
    <t>VehicleKm_per_flight.km.SE.Tr.Avia.Passenger.IntraEEAwCHUK</t>
  </si>
  <si>
    <t>VehicleKm_per_flight.km.SE.Tr.Avia.Passenger.ExtraEEAwCHUK</t>
  </si>
  <si>
    <t>VehicleKm_per_flight.km.SE.Tr.Avia.Freight</t>
  </si>
  <si>
    <t>VehicleKm_per_flight.km.SE.Tr.Avia.Freight.Domestic</t>
  </si>
  <si>
    <t>VehicleKm_per_flight.km.SE.Tr.Avia.Freight.IntraEEAwCHUK</t>
  </si>
  <si>
    <t>VehicleKm_per_flight.km.SE.Tr.Avia.Freight.ExtraEEAwCHUK</t>
  </si>
  <si>
    <t>Activity_per_flight.pkm.SE.Tr.Avia.Passenger</t>
  </si>
  <si>
    <t>Activity_per_flight.pkm.SE.Tr.Avia.Passenger.Domestic</t>
  </si>
  <si>
    <t>Activity_per_flight.pkm.SE.Tr.Avia.Passenger.IntraEEAwCHUK</t>
  </si>
  <si>
    <t>Activity_per_flight.pkm.SE.Tr.Avia.Passenger.ExtraEEAwCHUK</t>
  </si>
  <si>
    <t>Activity_per_flight.tkm.SE.Tr.Avia.Freight</t>
  </si>
  <si>
    <t>Activity_per_flight.tkm.SE.Tr.Avia.Freight.Domestic</t>
  </si>
  <si>
    <t>Activity_per_flight.tkm.SE.Tr.Avia.Freight.IntraEEAwCHUK</t>
  </si>
  <si>
    <t>Activity_per_flight.tkm.SE.Tr.Avia.Freight.ExtraEEAwCHUK</t>
  </si>
  <si>
    <t>Flights_per_vehicle.number.SE.Tr.Avia</t>
  </si>
  <si>
    <t>Flights_per_vehicle.number.SE.Tr.Avia.Passenger</t>
  </si>
  <si>
    <t>Flights_per_vehicle.number.SE.Tr.Avia.Passenger.Domestic</t>
  </si>
  <si>
    <t>Flights_per_vehicle.number.SE.Tr.Avia.Passenger.IntraEEAwCHUK</t>
  </si>
  <si>
    <t>Flights_per_vehicle.number.SE.Tr.Avia.Passenger.ExtraEEAwCHUK</t>
  </si>
  <si>
    <t>Flights_per_vehicle.number.SE.Tr.Avia.Freight</t>
  </si>
  <si>
    <t>Flights_per_vehicle.number.SE.Tr.Avia.Freight.Domestic</t>
  </si>
  <si>
    <t>Flights_per_vehicle.number.SE.Tr.Avia.Freight.IntraEEAwCHUK</t>
  </si>
  <si>
    <t>Flights_per_vehicle.number.SE.Tr.Avia.Freight.ExtraEEAwCHUK</t>
  </si>
  <si>
    <t>Aviation / energy consumption - SE - Sweden</t>
  </si>
  <si>
    <t>FEC.ktoe.SE.Tr.Avia</t>
  </si>
  <si>
    <t>FEC.ktoe.SE.Tr.Avia.Domestic</t>
  </si>
  <si>
    <t>FEC.ktoe.SE.Tr.Avia.International</t>
  </si>
  <si>
    <t>FEC.ktoe.SE.Tr.Avia.Passenger</t>
  </si>
  <si>
    <t>FEC.ktoe.SE.Tr.Avia.Passenger.Domestic</t>
  </si>
  <si>
    <t>FEC.ktoe.SE.Tr.Avia.Passenger.IntraEEAwCHUK</t>
  </si>
  <si>
    <t>FEC.ktoe.SE.Tr.Avia.Passenger.ExtraEEAwCHUK</t>
  </si>
  <si>
    <t>FEC.ktoe.SE.Tr.Avia.Freight</t>
  </si>
  <si>
    <t>FEC.ktoe.SE.Tr.Avia.Freight.Domestic</t>
  </si>
  <si>
    <t>FEC.ktoe.SE.Tr.Avia.Freight.IntraEEAwCHUK</t>
  </si>
  <si>
    <t>FEC.ktoe.SE.Tr.Avia.Freight.ExtraEEAwCHUK</t>
  </si>
  <si>
    <t>Eff.kgoe_per_100km.SE.Tr.Avia</t>
  </si>
  <si>
    <t>Eff.kgoe_per_100km.SE.Tr.Avia.Passenger</t>
  </si>
  <si>
    <t>Eff.kgoe_per_100km.SE.Tr.Avia.Passenger.Domestic</t>
  </si>
  <si>
    <t>Eff.kgoe_per_100km.SE.Tr.Avia.Passenger.IntraEEAwCHUK</t>
  </si>
  <si>
    <t>Eff.kgoe_per_100km.SE.Tr.Avia.Passenger.ExtraEEAwCHUK</t>
  </si>
  <si>
    <t>Eff.kgoe_per_100km.SE.Tr.Avia.Freight</t>
  </si>
  <si>
    <t>Eff.kgoe_per_100km.SE.Tr.Avia.Freight.Domestic</t>
  </si>
  <si>
    <t>Eff.kgoe_per_100km.SE.Tr.Avia.Freight.IntraEEAwCHUK</t>
  </si>
  <si>
    <t>Eff.kgoe_per_100km.SE.Tr.Avia.Freight.ExtraEEAwCHUK</t>
  </si>
  <si>
    <t>Eff.kgoe_per_kpkm.SE.Tr.Avia.Passenger</t>
  </si>
  <si>
    <t>Eff.kgoe_per_kpkm.SE.Tr.Avia.Passenger.Domestic</t>
  </si>
  <si>
    <t>Eff.kgoe_per_kpkm.SE.Tr.Avia.Passenger.IntraEEAwCHUK</t>
  </si>
  <si>
    <t>Eff.kgoe_per_kpkm.SE.Tr.Avia.Passenger.ExtraEEAwCHUK</t>
  </si>
  <si>
    <t>Eff.kgoe_per_ktkm.SE.Tr.Avia.Freight</t>
  </si>
  <si>
    <t>Eff.kgoe_per_ktkm.SE.Tr.Avia.Freight.Domestic</t>
  </si>
  <si>
    <t>Eff.kgoe_per_ktkm.SE.Tr.Avia.Freight.IntraEEAwCHUK</t>
  </si>
  <si>
    <t>Eff.kgoe_per_ktkm.SE.Tr.Avia.Freight.ExtraEEAwCHUK</t>
  </si>
  <si>
    <t>FEC_per_flight.kgoe.SE.Tr.Avia</t>
  </si>
  <si>
    <t>FEC_per_flight.kgoe.SE.Tr.Avia.Passenger</t>
  </si>
  <si>
    <t>FEC_per_flight.kgoe.SE.Tr.Avia.Passenger.Domestic</t>
  </si>
  <si>
    <t>FEC_per_flight.kgoe.SE.Tr.Avia.Passenger.IntraEEAwCHUK</t>
  </si>
  <si>
    <t>FEC_per_flight.kgoe.SE.Tr.Avia.Passenger.ExtraEEAwCHUK</t>
  </si>
  <si>
    <t>FEC_per_flight.kgoe.SE.Tr.Avia.Freight</t>
  </si>
  <si>
    <t>FEC_per_flight.kgoe.SE.Tr.Avia.Freight.Domestic</t>
  </si>
  <si>
    <t>FEC_per_flight.kgoe.SE.Tr.Avia.Freight.IntraEEAwCHUK</t>
  </si>
  <si>
    <t>FEC_per_flight.kgoe.SE.Tr.Avia.Freight.ExtraEEAwCHUK</t>
  </si>
  <si>
    <t>Eff_theor.kgoe_per_100km.SE.Tr.Avia</t>
  </si>
  <si>
    <t>Eff_theor.kgoe_per_100km.SE.Tr.Avia.Passenger</t>
  </si>
  <si>
    <t>Eff_theor.kgoe_per_100km.SE.Tr.Avia.Passenger.Domestic</t>
  </si>
  <si>
    <t>Eff_theor.kgoe_per_100km.SE.Tr.Avia.Passenger.IntraEEAwCHUK</t>
  </si>
  <si>
    <t>Eff_theor.kgoe_per_100km.SE.Tr.Avia.Passenger.ExtraEEAwCHUK</t>
  </si>
  <si>
    <t>Eff_theor.kgoe_per_100km.SE.Tr.Avia.Freight</t>
  </si>
  <si>
    <t>Eff_theor.kgoe_per_100km.SE.Tr.Avia.Freight.Domestic</t>
  </si>
  <si>
    <t>Eff_theor.kgoe_per_100km.SE.Tr.Avia.Freight.IntraEEAwCHUK</t>
  </si>
  <si>
    <t>Eff_theor.kgoe_per_100km.SE.Tr.Avia.Freight.ExtraEEAwCHUK</t>
  </si>
  <si>
    <t>Aviation / CO2 emissions - SE - Sweden</t>
  </si>
  <si>
    <t>EMI.ktCO2.SE.Tr.Avia</t>
  </si>
  <si>
    <t>EMI.ktCO2.SE.Tr.Avia.Domestic</t>
  </si>
  <si>
    <t>EMI.ktCO2.SE.Tr.Avia.International</t>
  </si>
  <si>
    <t>EMI.ktCO2.SE.Tr.Avia.Passenger</t>
  </si>
  <si>
    <t>EMI.ktCO2.SE.Tr.Avia.Passenger.Domestic</t>
  </si>
  <si>
    <t>EMI.ktCO2.SE.Tr.Avia.Passenger.IntraEEAwCHUK</t>
  </si>
  <si>
    <t>EMI.ktCO2.SE.Tr.Avia.Passenger.ExtraEEAwCHUK</t>
  </si>
  <si>
    <t>EMI.ktCO2.SE.Tr.Avia.Freight</t>
  </si>
  <si>
    <t>EMI.ktCO2.SE.Tr.Avia.Freight.Domestic</t>
  </si>
  <si>
    <t>EMI.ktCO2.SE.Tr.Avia.Freight.IntraEEAwCHUK</t>
  </si>
  <si>
    <t>EMI.ktCO2.SE.Tr.Avia.Freight.ExtraEEAwCHUK</t>
  </si>
  <si>
    <t>EMIint.gCO2_per_km.SE.Tr.Avia</t>
  </si>
  <si>
    <t>EMIint.gCO2_per_km.SE.Tr.Avia.Passenger</t>
  </si>
  <si>
    <t>EMIint.gCO2_per_km.SE.Tr.Avia.Passenger.Domestic</t>
  </si>
  <si>
    <t>EMIint.gCO2_per_km.SE.Tr.Avia.Passenger.IntraEEAwCHUK</t>
  </si>
  <si>
    <t>EMIint.gCO2_per_km.SE.Tr.Avia.Passenger.ExtraEEAwCHUK</t>
  </si>
  <si>
    <t>EMIint.gCO2_per_km.SE.Tr.Avia.Freight</t>
  </si>
  <si>
    <t>EMIint.gCO2_per_km.SE.Tr.Avia.Freight.Domestic</t>
  </si>
  <si>
    <t>EMIint.gCO2_per_km.SE.Tr.Avia.Freight.IntraEEAwCHUK</t>
  </si>
  <si>
    <t>EMIint.gCO2_per_km.SE.Tr.Avia.Freight.ExtraEEAwCHUK</t>
  </si>
  <si>
    <t>EMIint.gCO2_per_pkm.SE.Tr.Avia.Passenger</t>
  </si>
  <si>
    <t>EMIint.gCO2_per_pkm.SE.Tr.Avia.Passenger.Domestic</t>
  </si>
  <si>
    <t>EMIint.gCO2_per_pkm.SE.Tr.Avia.Passenger.IntraEEAwCHUK</t>
  </si>
  <si>
    <t>EMIint.gCO2_per_pkm.SE.Tr.Avia.Passenger.ExtraEEAwCHUK</t>
  </si>
  <si>
    <t>EMIint.gCO2_per_tkm.SE.Tr.Avia.Freight</t>
  </si>
  <si>
    <t>EMIint.gCO2_per_tkm.SE.Tr.Avia.Freight.Domestic</t>
  </si>
  <si>
    <t>EMIint.gCO2_per_tkm.SE.Tr.Avia.Freight.IntraEEAwCHUK</t>
  </si>
  <si>
    <t>EMIint.gCO2_per_tkm.SE.Tr.Avia.Freight.ExtraEEAwCHUK</t>
  </si>
  <si>
    <t>EMI_per_flight.kgCO2.SE.Tr.Avia</t>
  </si>
  <si>
    <t>EMI_per_flight.kgCO2.SE.Tr.Avia.Passenger</t>
  </si>
  <si>
    <t>EMI_per_flight.kgCO2.SE.Tr.Avia.Passenger.Domestic</t>
  </si>
  <si>
    <t>EMI_per_flight.kgCO2.SE.Tr.Avia.Passenger.IntraEEAwCHUK</t>
  </si>
  <si>
    <t>EMI_per_flight.kgCO2.SE.Tr.Avia.Passenger.ExtraEEAwCHUK</t>
  </si>
  <si>
    <t>EMI_per_flight.kgCO2.SE.Tr.Avia.Freight</t>
  </si>
  <si>
    <t>EMI_per_flight.kgCO2.SE.Tr.Avia.Freight.Domestic</t>
  </si>
  <si>
    <t>EMI_per_flight.kgCO2.SE.Tr.Avia.Freight.IntraEEAwCHUK</t>
  </si>
  <si>
    <t>EMI_per_flight.kgCO2.SE.Tr.Avia.Freight.ExtraEEAwCHUK</t>
  </si>
  <si>
    <t>Aviation / passenger transport specific data - SE - Sweden</t>
  </si>
  <si>
    <t>TrCap.seats.SE.Tr.Avia.Passenger</t>
  </si>
  <si>
    <t>TrCap.seats.SE.Tr.Avia.Passenger.Domestic</t>
  </si>
  <si>
    <t>TrCap.seats.SE.Tr.Avia.Passenger.IntraEEAwCHUK</t>
  </si>
  <si>
    <t>TrCap.seats.SE.Tr.Avia.Passenger.ExtraEEAwCHUK</t>
  </si>
  <si>
    <t>TrCap_per_flight.seats.SE.Tr.Avia.Passenger</t>
  </si>
  <si>
    <t>TrCap_per_flight.seats.SE.Tr.Avia.Passenger.Domestic</t>
  </si>
  <si>
    <t>TrCap_per_flight.seats.SE.Tr.Avia.Passenger.IntraEEAwCHUK</t>
  </si>
  <si>
    <t>TrCap_per_flight.seats.SE.Tr.Avia.Passenger.ExtraEEAwCHUK</t>
  </si>
  <si>
    <t>Transport overview - SE - Sweden</t>
  </si>
  <si>
    <t>Activity.Mpkm.SE.Tr</t>
  </si>
  <si>
    <t>Activity.Mpkm.SE.Tr.Road.Passenger</t>
  </si>
  <si>
    <t>Activity.Mpkm.SE.Tr.Road.Passenger.P2W</t>
  </si>
  <si>
    <t>Activity.Mpkm.SE.Tr.Road.Passenger.Car</t>
  </si>
  <si>
    <t>Activity.Mpkm.SE.Tr.Road.Passenger.Bus</t>
  </si>
  <si>
    <t>Activity.Mpkm.SE.Tr.Rail.Passenger</t>
  </si>
  <si>
    <t>Activity.Mpkm.SE.Tr.Rail.Passenger.MTU</t>
  </si>
  <si>
    <t>Activity.Mpkm.SE.Tr.Rail.Passenger.CPT</t>
  </si>
  <si>
    <t>Activity.Mpkm.SE.Tr.Rail.Passenger.HST</t>
  </si>
  <si>
    <t>Activity.Mtkm.SE.Tr</t>
  </si>
  <si>
    <t>Activity.Mtkm.SE.Tr.Road.Freight</t>
  </si>
  <si>
    <t>Activity.Mtkm.SE.Tr.Road.Freight.LCV</t>
  </si>
  <si>
    <t>Activity.Mtkm.SE.Tr.Road.Freight.HGV_All</t>
  </si>
  <si>
    <t>Activity.Mtkm.SE.Tr.Rail.Freight</t>
  </si>
  <si>
    <t>Activity.Mtkm.SE.Tr.DNavi.Freight</t>
  </si>
  <si>
    <t>Activity.Mtkm.SE.Tr.DNavi.Freight.DCS</t>
  </si>
  <si>
    <t>Activity.Mtkm.SE.Tr.DNavi.Freight.IWW</t>
  </si>
  <si>
    <t>Activity.Mtkm.SE.MBunk.Freight</t>
  </si>
  <si>
    <t>Activity.Mtkm.SE.MBunk.Freight.IntraEEA</t>
  </si>
  <si>
    <t>Activity.Mtkm.SE.MBunk.Freight.ExtraEEA</t>
  </si>
  <si>
    <t>FEC.ktoe.SE.Tr.Road.Passenger</t>
  </si>
  <si>
    <t>FEC.ktoe.SE.Tr.Road.Passenger.P2W</t>
  </si>
  <si>
    <t>FEC.ktoe.SE.Tr.Road.Passenger.Car</t>
  </si>
  <si>
    <t>FEC.ktoe.SE.Tr.Road.Passenger.Bus</t>
  </si>
  <si>
    <t>FEC.ktoe.SE.Tr.Rail.Passenger</t>
  </si>
  <si>
    <t>FEC.ktoe.SE.Tr.Rail.Passenger.MTU</t>
  </si>
  <si>
    <t>FEC.ktoe.SE.Tr.Rail.Passenger.CPT</t>
  </si>
  <si>
    <t>FEC.ktoe.SE.Tr.Rail.Passenger.HST</t>
  </si>
  <si>
    <t>FEC.ktoe.SE.Tr.Road.Freight</t>
  </si>
  <si>
    <t>FEC.ktoe.SE.Tr.Road.Freight.LCV</t>
  </si>
  <si>
    <t>FEC.ktoe.SE.Tr.Road.Freight.HGV_All</t>
  </si>
  <si>
    <t>FEC.ktoe.SE.Tr.Rail.Freight</t>
  </si>
  <si>
    <t>EMI.ktCO2.SE.Tr.Road.Passenger</t>
  </si>
  <si>
    <t>EMI.ktCO2.SE.Tr.Road.Passenger.P2W</t>
  </si>
  <si>
    <t>EMI.ktCO2.SE.Tr.Road.Passenger.Car</t>
  </si>
  <si>
    <t>EMI.ktCO2.SE.Tr.Road.Passenger.Bus</t>
  </si>
  <si>
    <t>EMI.ktCO2.SE.Tr.Rail.Passenger</t>
  </si>
  <si>
    <t>EMI.ktCO2.SE.Tr.Rail.Passenger.MTU</t>
  </si>
  <si>
    <t>EMI.ktCO2.SE.Tr.Rail.Passenger.CPT</t>
  </si>
  <si>
    <t>EMI.ktCO2.SE.Tr.Rail.Passenger.HST</t>
  </si>
  <si>
    <t>EMI.ktCO2.SE.Tr.Road.Freight</t>
  </si>
  <si>
    <t>EMI.ktCO2.SE.Tr.Road.Freight.LCV</t>
  </si>
  <si>
    <t>EMI.ktCO2.SE.Tr.Road.Freight.HGV_All</t>
  </si>
  <si>
    <t>EMI.ktCO2.SE.Tr.Rail.Freight</t>
  </si>
  <si>
    <t>Eff.kgoe_per_kpkm.SE.Tr</t>
  </si>
  <si>
    <t>Eff.kgoe_per_kpkm.SE.Tr.Road.Passenger</t>
  </si>
  <si>
    <t>Eff.kgoe_per_kpkm.SE.Tr.Road.Passenger.P2W</t>
  </si>
  <si>
    <t>Eff.kgoe_per_kpkm.SE.Tr.Road.Passenger.Car</t>
  </si>
  <si>
    <t>Eff.kgoe_per_kpkm.SE.Tr.Road.Passenger.Bus</t>
  </si>
  <si>
    <t>Eff.kgoe_per_kpkm.SE.Tr.Rail.Passenger</t>
  </si>
  <si>
    <t>Eff.kgoe_per_kpkm.SE.Tr.Rail.Passenger.MTU</t>
  </si>
  <si>
    <t>Eff.kgoe_per_kpkm.SE.Tr.Rail.Passenger.CPT</t>
  </si>
  <si>
    <t>Eff.kgoe_per_kpkm.SE.Tr.Rail.Passenger.HST</t>
  </si>
  <si>
    <t>Eff.kgoe_per_ktkm.SE.Tr</t>
  </si>
  <si>
    <t>Eff.kgoe_per_ktkm.SE.Tr.Road.Freight</t>
  </si>
  <si>
    <t>Eff.kgoe_per_ktkm.SE.Tr.Road.Freight.LCV</t>
  </si>
  <si>
    <t>Eff.kgoe_per_ktkm.SE.Tr.Road.Freight.HGV_All</t>
  </si>
  <si>
    <t>Eff.kgoe_per_ktkm.SE.Tr.Rail.Freight</t>
  </si>
  <si>
    <t>Eff.kgoe_per_ktkm.SE.Tr.DNavi.Freight</t>
  </si>
  <si>
    <t>Eff.kgoe_per_ktkm.SE.Tr.DNavi.Freight.DCS</t>
  </si>
  <si>
    <t>Eff.kgoe_per_ktkm.SE.Tr.DNavi.Freight.IWW</t>
  </si>
  <si>
    <t>Eff.kgoe_per_ktkm.SE.MBunk.Freight</t>
  </si>
  <si>
    <t>Eff.kgoe_per_ktkm.SE.MBunk.Freight.IntraEEA</t>
  </si>
  <si>
    <t>Eff.kgoe_per_ktkm.SE.MBunk.Freight.ExtraEEA</t>
  </si>
  <si>
    <t>EMIint.gCO2_per_pkm.SE.Tr</t>
  </si>
  <si>
    <t>EMIint.gCO2_per_pkm.SE.Tr.Road.Passenger</t>
  </si>
  <si>
    <t>EMIint.gCO2_per_pkm.SE.Tr.Road.Passenger.P2W</t>
  </si>
  <si>
    <t>EMIint.gCO2_per_pkm.SE.Tr.Road.Passenger.Car</t>
  </si>
  <si>
    <t>EMIint.gCO2_per_pkm.SE.Tr.Road.Passenger.Bus</t>
  </si>
  <si>
    <t>EMIint.gCO2_per_pkm.SE.Tr.Rail.Passenger</t>
  </si>
  <si>
    <t>EMIint.gCO2_per_pkm.SE.Tr.Rail.Passenger.MTU</t>
  </si>
  <si>
    <t>EMIint.gCO2_per_pkm.SE.Tr.Rail.Passenger.CPT</t>
  </si>
  <si>
    <t>EMIint.gCO2_per_pkm.SE.Tr.Rail.Passenger.HST</t>
  </si>
  <si>
    <t>EMIint.gCO2_per_tkm.SE.Tr</t>
  </si>
  <si>
    <t>EMIint.gCO2_per_tkm.SE.Tr.Road.Freight</t>
  </si>
  <si>
    <t>EMIint.gCO2_per_tkm.SE.Tr.Road.Freight.LCV</t>
  </si>
  <si>
    <t>EMIint.gCO2_per_tkm.SE.Tr.Road.Freight.HGV_All</t>
  </si>
  <si>
    <t>EMIint.gCO2_per_tkm.SE.Tr.Rail.Freight</t>
  </si>
  <si>
    <t>EMIint.gCO2_per_tkm.SE.Tr.DNavi.Freight</t>
  </si>
  <si>
    <t>EMIint.gCO2_per_tkm.SE.Tr.DNavi.Freight.DCS</t>
  </si>
  <si>
    <t>EMIint.gCO2_per_tkm.SE.Tr.DNavi.Freight.IWW</t>
  </si>
  <si>
    <t>EMIint.gCO2_per_tkm.SE.MBunk.Freight</t>
  </si>
  <si>
    <t>EMIint.gCO2_per_tkm.SE.MBunk.Freight.IntraEEA</t>
  </si>
  <si>
    <t>EMIint.gCO2_per_tkm.SE.MBunk.Freight.ExtraEEA</t>
  </si>
  <si>
    <t>Road transport - SE - Sweden</t>
  </si>
  <si>
    <t>Activity.Mpkm.SE.Tr.Road.Passenger.Car.ICE.Gasoline</t>
  </si>
  <si>
    <t>Activity.Mpkm.SE.Tr.Road.Passenger.Car.ICE.Diesel</t>
  </si>
  <si>
    <t>Activity.Mpkm.SE.Tr.Road.Passenger.Car.ICE.LPG</t>
  </si>
  <si>
    <t>Activity.Mpkm.SE.Tr.Road.Passenger.Car.ICE.NGas</t>
  </si>
  <si>
    <t>Activity.Mpkm.SE.Tr.Road.Passenger.Car.PHEV.Gasoline</t>
  </si>
  <si>
    <t>Activity.Mpkm.SE.Tr.Road.Passenger.Car.BEV</t>
  </si>
  <si>
    <t>Activity.Mpkm.SE.Tr.Road.Passenger.Bus.ICE.Gasoline</t>
  </si>
  <si>
    <t>Activity.Mpkm.SE.Tr.Road.Passenger.Bus.ICE.Diesel</t>
  </si>
  <si>
    <t>Activity.Mpkm.SE.Tr.Road.Passenger.Bus.ICE.LPG</t>
  </si>
  <si>
    <t>Activity.Mpkm.SE.Tr.Road.Passenger.Bus.ICE.NGas</t>
  </si>
  <si>
    <t>Activity.Mpkm.SE.Tr.Road.Passenger.Bus.BEV</t>
  </si>
  <si>
    <t>Activity.Mtkm.SE.Tr.Road.Freight.LCV.ICE.Gasoline</t>
  </si>
  <si>
    <t>Activity.Mtkm.SE.Tr.Road.Freight.LCV.ICE.Diesel</t>
  </si>
  <si>
    <t>Activity.Mtkm.SE.Tr.Road.Freight.LCV.ICE.LPG</t>
  </si>
  <si>
    <t>Activity.Mtkm.SE.Tr.Road.Freight.LCV.ICE.NGas</t>
  </si>
  <si>
    <t>Activity.Mtkm.SE.Tr.Road.Freight.LCV.BEV</t>
  </si>
  <si>
    <t>Activity.Mtkm.SE.Tr.Road.Freight.HGV_Domestic</t>
  </si>
  <si>
    <t>Activity.Mtkm.SE.Tr.Road.Freight.HGV_International</t>
  </si>
  <si>
    <t>VehicleKm.Mkm.SE.Tr.Road</t>
  </si>
  <si>
    <t>VehicleKm.Mkm.SE.Tr.Road.Passenger</t>
  </si>
  <si>
    <t>VehicleKm.Mkm.SE.Tr.Road.Passenger.P2W</t>
  </si>
  <si>
    <t>VehicleKm.Mkm.SE.Tr.Road.Passenger.Car</t>
  </si>
  <si>
    <t>VehicleKm.Mkm.SE.Tr.Road.Passenger.Car.ICE.Gasoline</t>
  </si>
  <si>
    <t>VehicleKm.Mkm.SE.Tr.Road.Passenger.Car.ICE.Diesel</t>
  </si>
  <si>
    <t>VehicleKm.Mkm.SE.Tr.Road.Passenger.Car.ICE.LPG</t>
  </si>
  <si>
    <t>VehicleKm.Mkm.SE.Tr.Road.Passenger.Car.ICE.NGas</t>
  </si>
  <si>
    <t>VehicleKm.Mkm.SE.Tr.Road.Passenger.Car.PHEV.Gasoline</t>
  </si>
  <si>
    <t>VehicleKm.Mkm.SE.Tr.Road.Passenger.Car.BEV</t>
  </si>
  <si>
    <t>VehicleKm.Mkm.SE.Tr.Road.Passenger.Bus</t>
  </si>
  <si>
    <t>VehicleKm.Mkm.SE.Tr.Road.Passenger.Bus.ICE.Gasoline</t>
  </si>
  <si>
    <t>VehicleKm.Mkm.SE.Tr.Road.Passenger.Bus.ICE.Diesel</t>
  </si>
  <si>
    <t>VehicleKm.Mkm.SE.Tr.Road.Passenger.Bus.ICE.LPG</t>
  </si>
  <si>
    <t>VehicleKm.Mkm.SE.Tr.Road.Passenger.Bus.ICE.NGas</t>
  </si>
  <si>
    <t>VehicleKm.Mkm.SE.Tr.Road.Passenger.Bus.BEV</t>
  </si>
  <si>
    <t>VehicleKm.Mkm.SE.Tr.Road.Freight</t>
  </si>
  <si>
    <t>VehicleKm.Mkm.SE.Tr.Road.Freight.LCV</t>
  </si>
  <si>
    <t>VehicleKm.Mkm.SE.Tr.Road.Freight.LCV.ICE.Gasoline</t>
  </si>
  <si>
    <t>VehicleKm.Mkm.SE.Tr.Road.Freight.LCV.ICE.Diesel</t>
  </si>
  <si>
    <t>VehicleKm.Mkm.SE.Tr.Road.Freight.LCV.ICE.LPG</t>
  </si>
  <si>
    <t>VehicleKm.Mkm.SE.Tr.Road.Freight.LCV.ICE.NGas</t>
  </si>
  <si>
    <t>VehicleKm.Mkm.SE.Tr.Road.Freight.LCV.BEV</t>
  </si>
  <si>
    <t>VehicleKm.Mkm.SE.Tr.Road.Freight.HGV_All</t>
  </si>
  <si>
    <t>VehicleKm.Mkm.SE.Tr.Road.Freight.HGV_Domestic</t>
  </si>
  <si>
    <t>VehicleKm.Mkm.SE.Tr.Road.Freight.HGV_International</t>
  </si>
  <si>
    <t>Stock.number.SE.Tr.Road</t>
  </si>
  <si>
    <t>Stock.number.SE.Tr.Road.Passenger</t>
  </si>
  <si>
    <t>Stock.number.SE.Tr.Road.Passenger.P2W</t>
  </si>
  <si>
    <t>Stock.number.SE.Tr.Road.Passenger.Car</t>
  </si>
  <si>
    <t>Stock.number.SE.Tr.Road.Passenger.Car.ICE.Gasoline</t>
  </si>
  <si>
    <t>Stock.number.SE.Tr.Road.Passenger.Car.ICE.Diesel</t>
  </si>
  <si>
    <t>Stock.number.SE.Tr.Road.Passenger.Car.ICE.LPG</t>
  </si>
  <si>
    <t>Stock.number.SE.Tr.Road.Passenger.Car.ICE.NGas</t>
  </si>
  <si>
    <t>Stock.number.SE.Tr.Road.Passenger.Car.PHEV.Gasoline</t>
  </si>
  <si>
    <t>Stock.number.SE.Tr.Road.Passenger.Car.BEV</t>
  </si>
  <si>
    <t>Stock.number.SE.Tr.Road.Passenger.Bus</t>
  </si>
  <si>
    <t>Stock.number.SE.Tr.Road.Passenger.Bus.ICE.Gasoline</t>
  </si>
  <si>
    <t>Stock.number.SE.Tr.Road.Passenger.Bus.ICE.Diesel</t>
  </si>
  <si>
    <t>Stock.number.SE.Tr.Road.Passenger.Bus.ICE.LPG</t>
  </si>
  <si>
    <t>Stock.number.SE.Tr.Road.Passenger.Bus.ICE.NGas</t>
  </si>
  <si>
    <t>Stock.number.SE.Tr.Road.Passenger.Bus.BEV</t>
  </si>
  <si>
    <t>Stock.number.SE.Tr.Road.Freight</t>
  </si>
  <si>
    <t>Stock.number.SE.Tr.Road.Freight.LCV</t>
  </si>
  <si>
    <t>Stock.number.SE.Tr.Road.Freight.LCV.ICE.Gasoline</t>
  </si>
  <si>
    <t>Stock.number.SE.Tr.Road.Freight.LCV.ICE.Diesel</t>
  </si>
  <si>
    <t>Stock.number.SE.Tr.Road.Freight.LCV.ICE.LPG</t>
  </si>
  <si>
    <t>Stock.number.SE.Tr.Road.Freight.LCV.ICE.NGas</t>
  </si>
  <si>
    <t>Stock.number.SE.Tr.Road.Freight.LCV.BEV</t>
  </si>
  <si>
    <t>Stock.number.SE.Tr.Road.Freight.HGV_All</t>
  </si>
  <si>
    <t>Stock.number.SE.Tr.Road.Freight.HGV_Domestic</t>
  </si>
  <si>
    <t>Stock.number.SE.Tr.Road.Freight.HGV_International</t>
  </si>
  <si>
    <t>StockNew.number.SE.Tr.Road</t>
  </si>
  <si>
    <t>StockNew.number.SE.Tr.Road.Passenger</t>
  </si>
  <si>
    <t>StockNew.number.SE.Tr.Road.Passenger.P2W</t>
  </si>
  <si>
    <t>StockNew.number.SE.Tr.Road.Passenger.Car</t>
  </si>
  <si>
    <t>StockNew.number.SE.Tr.Road.Passenger.Car.ICE.Gasoline</t>
  </si>
  <si>
    <t>StockNew.number.SE.Tr.Road.Passenger.Car.ICE.Diesel</t>
  </si>
  <si>
    <t>StockNew.number.SE.Tr.Road.Passenger.Car.ICE.LPG</t>
  </si>
  <si>
    <t>StockNew.number.SE.Tr.Road.Passenger.Car.ICE.NGas</t>
  </si>
  <si>
    <t>StockNew.number.SE.Tr.Road.Passenger.Car.PHEV.Gasoline</t>
  </si>
  <si>
    <t>StockNew.number.SE.Tr.Road.Passenger.Car.BEV</t>
  </si>
  <si>
    <t>StockNew.number.SE.Tr.Road.Passenger.Bus</t>
  </si>
  <si>
    <t>StockNew.number.SE.Tr.Road.Passenger.Bus.ICE.Gasoline</t>
  </si>
  <si>
    <t>StockNew.number.SE.Tr.Road.Passenger.Bus.ICE.Diesel</t>
  </si>
  <si>
    <t>StockNew.number.SE.Tr.Road.Passenger.Bus.ICE.LPG</t>
  </si>
  <si>
    <t>StockNew.number.SE.Tr.Road.Passenger.Bus.ICE.NGas</t>
  </si>
  <si>
    <t>StockNew.number.SE.Tr.Road.Passenger.Bus.BEV</t>
  </si>
  <si>
    <t>StockNew.number.SE.Tr.Road.Freight</t>
  </si>
  <si>
    <t>StockNew.number.SE.Tr.Road.Freight.LCV</t>
  </si>
  <si>
    <t>StockNew.number.SE.Tr.Road.Freight.LCV.ICE.Gasoline</t>
  </si>
  <si>
    <t>StockNew.number.SE.Tr.Road.Freight.LCV.ICE.Diesel</t>
  </si>
  <si>
    <t>StockNew.number.SE.Tr.Road.Freight.LCV.ICE.LPG</t>
  </si>
  <si>
    <t>StockNew.number.SE.Tr.Road.Freight.LCV.ICE.NGas</t>
  </si>
  <si>
    <t>StockNew.number.SE.Tr.Road.Freight.LCV.BEV</t>
  </si>
  <si>
    <t>StockNew.number.SE.Tr.Road.Freight.HGV_All</t>
  </si>
  <si>
    <t>StockNew.number.SE.Tr.Road.Freight.HGV_Domestic</t>
  </si>
  <si>
    <t>StockNew.number.SE.Tr.Road.Freight.HGV_International</t>
  </si>
  <si>
    <t>Load.passenger_per_movement.SE.Tr.Road.Passenger</t>
  </si>
  <si>
    <t>Load.passenger_per_movement.SE.Tr.Road.Passenger.P2W</t>
  </si>
  <si>
    <t>Load.passenger_per_movement.SE.Tr.Road.Passenger.Car</t>
  </si>
  <si>
    <t>Load.passenger_per_movement.SE.Tr.Road.Passenger.Car.ICE.Gasoline</t>
  </si>
  <si>
    <t>Load.passenger_per_movement.SE.Tr.Road.Passenger.Car.ICE.Diesel</t>
  </si>
  <si>
    <t>Load.passenger_per_movement.SE.Tr.Road.Passenger.Car.ICE.LPG</t>
  </si>
  <si>
    <t>Load.passenger_per_movement.SE.Tr.Road.Passenger.Car.ICE.NGas</t>
  </si>
  <si>
    <t>Load.passenger_per_movement.SE.Tr.Road.Passenger.Car.PHEV.Gasoline</t>
  </si>
  <si>
    <t>Load.passenger_per_movement.SE.Tr.Road.Passenger.Car.BEV</t>
  </si>
  <si>
    <t>Load.passenger_per_movement.SE.Tr.Road.Passenger.Bus</t>
  </si>
  <si>
    <t>Load.passenger_per_movement.SE.Tr.Road.Passenger.Bus.ICE.Gasoline</t>
  </si>
  <si>
    <t>Load.passenger_per_movement.SE.Tr.Road.Passenger.Bus.ICE.Diesel</t>
  </si>
  <si>
    <t>Load.passenger_per_movement.SE.Tr.Road.Passenger.Bus.ICE.LPG</t>
  </si>
  <si>
    <t>Load.passenger_per_movement.SE.Tr.Road.Passenger.Bus.ICE.NGas</t>
  </si>
  <si>
    <t>Load.passenger_per_movement.SE.Tr.Road.Passenger.Bus.BEV</t>
  </si>
  <si>
    <t>Load.t_per_movement.SE.Tr.Road.Freight</t>
  </si>
  <si>
    <t>Load.t_per_movement.SE.Tr.Road.Freight.LCV</t>
  </si>
  <si>
    <t>Load.t_per_movement.SE.Tr.Road.Freight.LCV.ICE.Gasoline</t>
  </si>
  <si>
    <t>Load.t_per_movement.SE.Tr.Road.Freight.LCV.ICE.Diesel</t>
  </si>
  <si>
    <t>Load.t_per_movement.SE.Tr.Road.Freight.LCV.ICE.LPG</t>
  </si>
  <si>
    <t>Load.t_per_movement.SE.Tr.Road.Freight.LCV.ICE.NGas</t>
  </si>
  <si>
    <t>Load.t_per_movement.SE.Tr.Road.Freight.LCV.BEV</t>
  </si>
  <si>
    <t>Load.t_per_movement.SE.Tr.Road.Freight.HGV_All</t>
  </si>
  <si>
    <t>Load.t_per_movement.SE.Tr.Road.Freight.HGV_Domestic</t>
  </si>
  <si>
    <t>Load.t_per_movement.SE.Tr.Road.Freight.HGV_International</t>
  </si>
  <si>
    <t>VehicleKm_per_vehicle.km.SE.Tr.Road</t>
  </si>
  <si>
    <t>VehicleKm_per_vehicle.km.SE.Tr.Road.Passenger</t>
  </si>
  <si>
    <t>VehicleKm_per_vehicle.km.SE.Tr.Road.Passenger.P2W</t>
  </si>
  <si>
    <t>VehicleKm_per_vehicle.km.SE.Tr.Road.Passenger.Car</t>
  </si>
  <si>
    <t>VehicleKm_per_vehicle.km.SE.Tr.Road.Passenger.Car.ICE.Gasoline</t>
  </si>
  <si>
    <t>VehicleKm_per_vehicle.km.SE.Tr.Road.Passenger.Car.ICE.Diesel</t>
  </si>
  <si>
    <t>VehicleKm_per_vehicle.km.SE.Tr.Road.Passenger.Car.ICE.LPG</t>
  </si>
  <si>
    <t>VehicleKm_per_vehicle.km.SE.Tr.Road.Passenger.Car.ICE.NGas</t>
  </si>
  <si>
    <t>VehicleKm_per_vehicle.km.SE.Tr.Road.Passenger.Car.PHEV.Gasoline</t>
  </si>
  <si>
    <t>VehicleKm_per_vehicle.km.SE.Tr.Road.Passenger.Car.BEV</t>
  </si>
  <si>
    <t>VehicleKm_per_vehicle.km.SE.Tr.Road.Passenger.Bus</t>
  </si>
  <si>
    <t>VehicleKm_per_vehicle.km.SE.Tr.Road.Passenger.Bus.ICE.Gasoline</t>
  </si>
  <si>
    <t>VehicleKm_per_vehicle.km.SE.Tr.Road.Passenger.Bus.ICE.Diesel</t>
  </si>
  <si>
    <t>VehicleKm_per_vehicle.km.SE.Tr.Road.Passenger.Bus.ICE.LPG</t>
  </si>
  <si>
    <t>VehicleKm_per_vehicle.km.SE.Tr.Road.Passenger.Bus.ICE.NGas</t>
  </si>
  <si>
    <t>VehicleKm_per_vehicle.km.SE.Tr.Road.Passenger.Bus.BEV</t>
  </si>
  <si>
    <t>VehicleKm_per_vehicle.km.SE.Tr.Road.Freight</t>
  </si>
  <si>
    <t>VehicleKm_per_vehicle.km.SE.Tr.Road.Freight.LCV</t>
  </si>
  <si>
    <t>VehicleKm_per_vehicle.km.SE.Tr.Road.Freight.LCV.ICE.Gasoline</t>
  </si>
  <si>
    <t>VehicleKm_per_vehicle.km.SE.Tr.Road.Freight.LCV.ICE.Diesel</t>
  </si>
  <si>
    <t>VehicleKm_per_vehicle.km.SE.Tr.Road.Freight.LCV.ICE.LPG</t>
  </si>
  <si>
    <t>VehicleKm_per_vehicle.km.SE.Tr.Road.Freight.LCV.ICE.NGas</t>
  </si>
  <si>
    <t>VehicleKm_per_vehicle.km.SE.Tr.Road.Freight.LCV.BEV</t>
  </si>
  <si>
    <t>VehicleKm_per_vehicle.km.SE.Tr.Road.Freight.HGV_All</t>
  </si>
  <si>
    <t>VehicleKm_per_vehicle.km.SE.Tr.Road.Freight.HGV_Domestic</t>
  </si>
  <si>
    <t>VehicleKm_per_vehicle.km.SE.Tr.Road.Freight.HGV_International</t>
  </si>
  <si>
    <t>Activity_per_vehicle.pkm.SE.Tr.Road.Passenger</t>
  </si>
  <si>
    <t>Activity_per_vehicle.pkm.SE.Tr.Road.Passenger.P2W</t>
  </si>
  <si>
    <t>Activity_per_vehicle.pkm.SE.Tr.Road.Passenger.Car</t>
  </si>
  <si>
    <t>Activity_per_vehicle.pkm.SE.Tr.Road.Passenger.Car.ICE.Gasoline</t>
  </si>
  <si>
    <t>Activity_per_vehicle.pkm.SE.Tr.Road.Passenger.Car.ICE.Diesel</t>
  </si>
  <si>
    <t>Activity_per_vehicle.pkm.SE.Tr.Road.Passenger.Car.ICE.LPG</t>
  </si>
  <si>
    <t>Activity_per_vehicle.pkm.SE.Tr.Road.Passenger.Car.ICE.NGas</t>
  </si>
  <si>
    <t>Activity_per_vehicle.pkm.SE.Tr.Road.Passenger.Car.PHEV.Gasoline</t>
  </si>
  <si>
    <t>Activity_per_vehicle.pkm.SE.Tr.Road.Passenger.Car.BEV</t>
  </si>
  <si>
    <t>Activity_per_vehicle.pkm.SE.Tr.Road.Passenger.Bus</t>
  </si>
  <si>
    <t>Activity_per_vehicle.pkm.SE.Tr.Road.Passenger.Bus.ICE.Gasoline</t>
  </si>
  <si>
    <t>Activity_per_vehicle.pkm.SE.Tr.Road.Passenger.Bus.ICE.Diesel</t>
  </si>
  <si>
    <t>Activity_per_vehicle.pkm.SE.Tr.Road.Passenger.Bus.ICE.LPG</t>
  </si>
  <si>
    <t>Activity_per_vehicle.pkm.SE.Tr.Road.Passenger.Bus.ICE.NGas</t>
  </si>
  <si>
    <t>Activity_per_vehicle.pkm.SE.Tr.Road.Passenger.Bus.BEV</t>
  </si>
  <si>
    <t>Activity_per_vehicle.tkm.SE.Tr.Road.Freight</t>
  </si>
  <si>
    <t>Activity_per_vehicle.tkm.SE.Tr.Road.Freight.LCV</t>
  </si>
  <si>
    <t>Activity_per_vehicle.tkm.SE.Tr.Road.Freight.LCV.ICE.Gasoline</t>
  </si>
  <si>
    <t>Activity_per_vehicle.tkm.SE.Tr.Road.Freight.LCV.ICE.Diesel</t>
  </si>
  <si>
    <t>Activity_per_vehicle.tkm.SE.Tr.Road.Freight.LCV.ICE.LPG</t>
  </si>
  <si>
    <t>Activity_per_vehicle.tkm.SE.Tr.Road.Freight.LCV.ICE.NGas</t>
  </si>
  <si>
    <t>Activity_per_vehicle.tkm.SE.Tr.Road.Freight.LCV.BEV</t>
  </si>
  <si>
    <t>Activity_per_vehicle.tkm.SE.Tr.Road.Freight.HGV_All</t>
  </si>
  <si>
    <t>Activity_per_vehicle.tkm.SE.Tr.Road.Freight.HGV_Domestic</t>
  </si>
  <si>
    <t>Activity_per_vehicle.tkm.SE.Tr.Road.Freight.HGV_International</t>
  </si>
  <si>
    <t>Road transport / energy consumption - SE - Sweden</t>
  </si>
  <si>
    <t>FEC.ktoe.SE.ES.Tr.Road</t>
  </si>
  <si>
    <t>FEC.ktoe.SE.ES.Tr.Road.LPG</t>
  </si>
  <si>
    <t>FEC.ktoe.SE.ES.Tr.Road.Gasoline</t>
  </si>
  <si>
    <t>FEC.ktoe.SE.ES.Tr.Road.Diesel</t>
  </si>
  <si>
    <t>FEC.ktoe.SE.ES.Tr.Road.NG</t>
  </si>
  <si>
    <t>FEC.ktoe.SE.ES.Tr.Road.Biogas</t>
  </si>
  <si>
    <t>FEC.ktoe.SE.ES.Tr.Road.Biogasoline</t>
  </si>
  <si>
    <t>FEC.ktoe.SE.ES.Tr.Road.Biodiesel</t>
  </si>
  <si>
    <t>FEC.ktoe.SE.ES.Tr.Road.OthLiqBio</t>
  </si>
  <si>
    <t>FEC.ktoe.SE.ES.Tr.Road.Elec</t>
  </si>
  <si>
    <t>FEC.ktoe.SE.Tr.Road</t>
  </si>
  <si>
    <t>FEC.ktoe.SE.Tr.Road.Passenger.P2W.Total.Total.Biogasoline</t>
  </si>
  <si>
    <t>FEC.ktoe.SE.Tr.Road.Passenger.Car.ICE.Gasoline</t>
  </si>
  <si>
    <t>FEC.ktoe.SE.Tr.Road.Passenger.Car.ICE.Gasoline.Biogasoline</t>
  </si>
  <si>
    <t>FEC.ktoe.SE.Tr.Road.Passenger.Car.ICE.Diesel</t>
  </si>
  <si>
    <t>FEC.ktoe.SE.Tr.Road.Passenger.Car.ICE.Diesel.BioDiesel_OthLiqBio</t>
  </si>
  <si>
    <t>FEC.ktoe.SE.Tr.Road.Passenger.Car.ICE.LPG</t>
  </si>
  <si>
    <t>FEC.ktoe.SE.Tr.Road.Passenger.Car.ICE.NGas</t>
  </si>
  <si>
    <t>FEC.ktoe.SE.Tr.Road.Passenger.Car.ICE.NGas.Biogas</t>
  </si>
  <si>
    <t>FEC.ktoe.SE.Tr.Road.Passenger.Car.PHEV.Gasoline</t>
  </si>
  <si>
    <t>FEC.ktoe.SE.Tr.Road.Passenger.Car.PHEV.Gasoline.Biogasoline</t>
  </si>
  <si>
    <t>FEC.ktoe.SE.Tr.Road.Passenger.Car.PHEV.Gasoline.Elec</t>
  </si>
  <si>
    <t>FEC.ktoe.SE.Tr.Road.Passenger.Car.BEV</t>
  </si>
  <si>
    <t>FEC.ktoe.SE.Tr.Road.Passenger.Bus.ICE.Gasoline</t>
  </si>
  <si>
    <t>FEC.ktoe.SE.Tr.Road.Passenger.Bus.ICE.Gasoline.Biogasoline</t>
  </si>
  <si>
    <t>FEC.ktoe.SE.Tr.Road.Passenger.Bus.ICE.Diesel</t>
  </si>
  <si>
    <t>FEC.ktoe.SE.Tr.Road.Passenger.Bus.ICE.Diesel.BioDiesel_OthLiqBio</t>
  </si>
  <si>
    <t>FEC.ktoe.SE.Tr.Road.Passenger.Bus.ICE.LPG</t>
  </si>
  <si>
    <t>FEC.ktoe.SE.Tr.Road.Passenger.Bus.ICE.NGas</t>
  </si>
  <si>
    <t>FEC.ktoe.SE.Tr.Road.Passenger.Bus.ICE.NGas.Biogas</t>
  </si>
  <si>
    <t>FEC.ktoe.SE.Tr.Road.Passenger.Bus.BEV</t>
  </si>
  <si>
    <t>FEC.ktoe.SE.Tr.Road.Freight.LCV.ICE.Gasoline</t>
  </si>
  <si>
    <t>FEC.ktoe.SE.Tr.Road.Freight.LCV.ICE.Gasoline.Biogasoline</t>
  </si>
  <si>
    <t>FEC.ktoe.SE.Tr.Road.Freight.LCV.ICE.Diesel</t>
  </si>
  <si>
    <t>FEC.ktoe.SE.Tr.Road.Freight.LCV.ICE.Diesel.BioDiesel_OthLiqBio</t>
  </si>
  <si>
    <t>FEC.ktoe.SE.Tr.Road.Freight.LCV.ICE.LPG</t>
  </si>
  <si>
    <t>FEC.ktoe.SE.Tr.Road.Freight.LCV.ICE.NGas</t>
  </si>
  <si>
    <t>FEC.ktoe.SE.Tr.Road.Freight.LCV.ICE.NGas.Biogas</t>
  </si>
  <si>
    <t>FEC.ktoe.SE.Tr.Road.Freight.LCV.BEV</t>
  </si>
  <si>
    <t>FEC.ktoe.SE.Tr.Road.Freight.HGV_Domestic</t>
  </si>
  <si>
    <t>FEC.ktoe.SE.Tr.Road.Freight.HGV_Domestic.Total.Total.BioDiesel_OthLiqBio</t>
  </si>
  <si>
    <t>FEC.ktoe.SE.Tr.Road.Freight.HGV_International</t>
  </si>
  <si>
    <t>FEC.ktoe.SE.Tr.Road.Freight.HGV_International.Total.Total.BioDiesel_OthLiqBio</t>
  </si>
  <si>
    <t>Eff.kgoe_per_100km.SE.Tr.Road</t>
  </si>
  <si>
    <t>Eff.kgoe_per_100km.SE.Tr.Road.Passenger</t>
  </si>
  <si>
    <t>Eff.kgoe_per_100km.SE.Tr.Road.Passenger.P2W</t>
  </si>
  <si>
    <t>Eff.kgoe_per_100km.SE.Tr.Road.Passenger.Car</t>
  </si>
  <si>
    <t>Eff.kgoe_per_100km.SE.Tr.Road.Passenger.Car.ICE.Gasoline</t>
  </si>
  <si>
    <t>Eff.kgoe_per_100km.SE.Tr.Road.Passenger.Car.ICE.Diesel</t>
  </si>
  <si>
    <t>Eff.kgoe_per_100km.SE.Tr.Road.Passenger.Car.ICE.LPG</t>
  </si>
  <si>
    <t>Eff.kgoe_per_100km.SE.Tr.Road.Passenger.Car.ICE.NGas</t>
  </si>
  <si>
    <t>Eff.kgoe_per_100km.SE.Tr.Road.Passenger.Car.PHEV.Gasoline</t>
  </si>
  <si>
    <t>Eff.kgoe_per_100km.SE.Tr.Road.Passenger.Car.BEV</t>
  </si>
  <si>
    <t>Eff.kgoe_per_100km.SE.Tr.Road.Passenger.Bus</t>
  </si>
  <si>
    <t>Eff.kgoe_per_100km.SE.Tr.Road.Passenger.Bus.ICE.Gasoline</t>
  </si>
  <si>
    <t>Eff.kgoe_per_100km.SE.Tr.Road.Passenger.Bus.ICE.Diesel</t>
  </si>
  <si>
    <t>Eff.kgoe_per_100km.SE.Tr.Road.Passenger.Bus.ICE.LPG</t>
  </si>
  <si>
    <t>Eff.kgoe_per_100km.SE.Tr.Road.Passenger.Bus.ICE.NGas</t>
  </si>
  <si>
    <t>Eff.kgoe_per_100km.SE.Tr.Road.Passenger.Bus.BEV</t>
  </si>
  <si>
    <t>Eff.kgoe_per_100km.SE.Tr.Road.Freight</t>
  </si>
  <si>
    <t>Eff.kgoe_per_100km.SE.Tr.Road.Freight.LCV</t>
  </si>
  <si>
    <t>Eff.kgoe_per_100km.SE.Tr.Road.Freight.LCV.ICE.Gasoline</t>
  </si>
  <si>
    <t>Eff.kgoe_per_100km.SE.Tr.Road.Freight.LCV.ICE.Diesel</t>
  </si>
  <si>
    <t>Eff.kgoe_per_100km.SE.Tr.Road.Freight.LCV.ICE.LPG</t>
  </si>
  <si>
    <t>Eff.kgoe_per_100km.SE.Tr.Road.Freight.LCV.ICE.NGas</t>
  </si>
  <si>
    <t>Eff.kgoe_per_100km.SE.Tr.Road.Freight.LCV.BEV</t>
  </si>
  <si>
    <t>Eff.kgoe_per_100km.SE.Tr.Road.Freight.HGV_All</t>
  </si>
  <si>
    <t>Eff.kgoe_per_100km.SE.Tr.Road.Freight.HGV_Domestic</t>
  </si>
  <si>
    <t>Eff.kgoe_per_100km.SE.Tr.Road.Freight.HGV_International</t>
  </si>
  <si>
    <t>Eff.kgoe_per_kpkm.SE.Tr.Road.Passenger.Car.ICE.Gasoline</t>
  </si>
  <si>
    <t>Eff.kgoe_per_kpkm.SE.Tr.Road.Passenger.Car.ICE.Diesel</t>
  </si>
  <si>
    <t>Eff.kgoe_per_kpkm.SE.Tr.Road.Passenger.Car.ICE.LPG</t>
  </si>
  <si>
    <t>Eff.kgoe_per_kpkm.SE.Tr.Road.Passenger.Car.ICE.NGas</t>
  </si>
  <si>
    <t>Eff.kgoe_per_kpkm.SE.Tr.Road.Passenger.Car.PHEV.Gasoline</t>
  </si>
  <si>
    <t>Eff.kgoe_per_kpkm.SE.Tr.Road.Passenger.Car.BEV</t>
  </si>
  <si>
    <t>Eff.kgoe_per_kpkm.SE.Tr.Road.Passenger.Bus.ICE.Gasoline</t>
  </si>
  <si>
    <t>Eff.kgoe_per_kpkm.SE.Tr.Road.Passenger.Bus.ICE.Diesel</t>
  </si>
  <si>
    <t>Eff.kgoe_per_kpkm.SE.Tr.Road.Passenger.Bus.ICE.LPG</t>
  </si>
  <si>
    <t>Eff.kgoe_per_kpkm.SE.Tr.Road.Passenger.Bus.ICE.NGas</t>
  </si>
  <si>
    <t>Eff.kgoe_per_kpkm.SE.Tr.Road.Passenger.Bus.BEV</t>
  </si>
  <si>
    <t>Eff.kgoe_per_ktkm.SE.Tr.Road.Freight.LCV.ICE.Gasoline</t>
  </si>
  <si>
    <t>Eff.kgoe_per_ktkm.SE.Tr.Road.Freight.LCV.ICE.Diesel</t>
  </si>
  <si>
    <t>Eff.kgoe_per_ktkm.SE.Tr.Road.Freight.LCV.ICE.LPG</t>
  </si>
  <si>
    <t>Eff.kgoe_per_ktkm.SE.Tr.Road.Freight.LCV.ICE.NGas</t>
  </si>
  <si>
    <t>Eff.kgoe_per_ktkm.SE.Tr.Road.Freight.LCV.BEV</t>
  </si>
  <si>
    <t>Eff.kgoe_per_ktkm.SE.Tr.Road.Freight.HGV_Domestic</t>
  </si>
  <si>
    <t>Eff.kgoe_per_ktkm.SE.Tr.Road.Freight.HGV_International</t>
  </si>
  <si>
    <t>FEC_per_vehicle.kgoe.SE.Tr.Road.Passenger.P2W</t>
  </si>
  <si>
    <t>FEC_per_vehicle.kgoe.SE.Tr.Road.Passenger.Car</t>
  </si>
  <si>
    <t>FEC_per_vehicle.kgoe.SE.Tr.Road.Passenger.Car.ICE.Gasoline</t>
  </si>
  <si>
    <t>FEC_per_vehicle.kgoe.SE.Tr.Road.Passenger.Car.ICE.Diesel</t>
  </si>
  <si>
    <t>FEC_per_vehicle.kgoe.SE.Tr.Road.Passenger.Car.ICE.LPG</t>
  </si>
  <si>
    <t>FEC_per_vehicle.kgoe.SE.Tr.Road.Passenger.Car.ICE.NGas</t>
  </si>
  <si>
    <t>FEC_per_vehicle.kgoe.SE.Tr.Road.Passenger.Car.PHEV.Gasoline</t>
  </si>
  <si>
    <t>FEC_per_vehicle.kgoe.SE.Tr.Road.Passenger.Car.BEV</t>
  </si>
  <si>
    <t>FEC_per_vehicle.kgoe.SE.Tr.Road.Passenger.Bus</t>
  </si>
  <si>
    <t>FEC_per_vehicle.kgoe.SE.Tr.Road.Passenger.Bus.ICE.Gasoline</t>
  </si>
  <si>
    <t>FEC_per_vehicle.kgoe.SE.Tr.Road.Passenger.Bus.ICE.Diesel</t>
  </si>
  <si>
    <t>FEC_per_vehicle.kgoe.SE.Tr.Road.Passenger.Bus.ICE.LPG</t>
  </si>
  <si>
    <t>FEC_per_vehicle.kgoe.SE.Tr.Road.Passenger.Bus.ICE.NGas</t>
  </si>
  <si>
    <t>FEC_per_vehicle.kgoe.SE.Tr.Road.Passenger.Bus.BEV</t>
  </si>
  <si>
    <t>FEC_per_vehicle.kgoe.SE.Tr.Road.Freight.LCV</t>
  </si>
  <si>
    <t>FEC_per_vehicle.kgoe.SE.Tr.Road.Freight.LCV.ICE.Gasoline</t>
  </si>
  <si>
    <t>FEC_per_vehicle.kgoe.SE.Tr.Road.Freight.LCV.ICE.Diesel</t>
  </si>
  <si>
    <t>FEC_per_vehicle.kgoe.SE.Tr.Road.Freight.LCV.ICE.LPG</t>
  </si>
  <si>
    <t>FEC_per_vehicle.kgoe.SE.Tr.Road.Freight.LCV.ICE.NGas</t>
  </si>
  <si>
    <t>FEC_per_vehicle.kgoe.SE.Tr.Road.Freight.LCV.BEV</t>
  </si>
  <si>
    <t>FEC_per_vehicle.kgoe.SE.Tr.Road.Freight.HGV_All</t>
  </si>
  <si>
    <t>FEC_per_vehicle.kgoe.SE.Tr.Road.Freight.HGV_Domestic</t>
  </si>
  <si>
    <t>FEC_per_vehicle.kgoe.SE.Tr.Road.Freight.HGV_International</t>
  </si>
  <si>
    <t>Road transport / CO2 emissions - SE - Sweden</t>
  </si>
  <si>
    <t>EMI.ktCO2.SE.ES.Tr.Road</t>
  </si>
  <si>
    <t>EMI.ktCO2.SE.ES.Tr.Road.LPG</t>
  </si>
  <si>
    <t>EMI.ktCO2.SE.ES.Tr.Road.Gasoline</t>
  </si>
  <si>
    <t>EMI.ktCO2.SE.ES.Tr.Road.Diesel</t>
  </si>
  <si>
    <t>EMI.ktCO2.SE.ES.Tr.Road.NG</t>
  </si>
  <si>
    <t>EMI.ktCO2.SE.ES.Tr.Road.Biogas</t>
  </si>
  <si>
    <t>EMI.ktCO2.SE.ES.Tr.Road.Biogasoline</t>
  </si>
  <si>
    <t>EMI.ktCO2.SE.ES.Tr.Road.Biodiesel</t>
  </si>
  <si>
    <t>EMI.ktCO2.SE.ES.Tr.Road.OthLiqBio</t>
  </si>
  <si>
    <t>EMI.ktCO2.SE.ES.Tr.Road.Elec</t>
  </si>
  <si>
    <t>EMI.ktCO2.SE.Tr.Road</t>
  </si>
  <si>
    <t>EMI.ktCO2.SE.Tr.Road.Passenger.Car.ICE.Gasoline</t>
  </si>
  <si>
    <t>EMI.ktCO2.SE.Tr.Road.Passenger.Car.ICE.Diesel</t>
  </si>
  <si>
    <t>EMI.ktCO2.SE.Tr.Road.Passenger.Car.ICE.LPG</t>
  </si>
  <si>
    <t>EMI.ktCO2.SE.Tr.Road.Passenger.Car.ICE.NGas</t>
  </si>
  <si>
    <t>EMI.ktCO2.SE.Tr.Road.Passenger.Car.PHEV.Gasoline</t>
  </si>
  <si>
    <t>EMI.ktCO2.SE.Tr.Road.Passenger.Car.BEV</t>
  </si>
  <si>
    <t>EMI.ktCO2.SE.Tr.Road.Passenger.Bus.ICE.Gasoline</t>
  </si>
  <si>
    <t>EMI.ktCO2.SE.Tr.Road.Passenger.Bus.ICE.Diesel</t>
  </si>
  <si>
    <t>EMI.ktCO2.SE.Tr.Road.Passenger.Bus.ICE.LPG</t>
  </si>
  <si>
    <t>EMI.ktCO2.SE.Tr.Road.Passenger.Bus.ICE.NGas</t>
  </si>
  <si>
    <t>EMI.ktCO2.SE.Tr.Road.Passenger.Bus.BEV</t>
  </si>
  <si>
    <t>EMI.ktCO2.SE.Tr.Road.Freight.LCV.ICE.Gasoline</t>
  </si>
  <si>
    <t>EMI.ktCO2.SE.Tr.Road.Freight.LCV.ICE.Diesel</t>
  </si>
  <si>
    <t>EMI.ktCO2.SE.Tr.Road.Freight.LCV.ICE.LPG</t>
  </si>
  <si>
    <t>EMI.ktCO2.SE.Tr.Road.Freight.LCV.ICE.NGas</t>
  </si>
  <si>
    <t>EMI.ktCO2.SE.Tr.Road.Freight.LCV.BEV</t>
  </si>
  <si>
    <t>EMI.ktCO2.SE.Tr.Road.Freight.HGV_Domestic</t>
  </si>
  <si>
    <t>EMI.ktCO2.SE.Tr.Road.Freight.HGV_International</t>
  </si>
  <si>
    <t>EMIint.gCO2_per_km.SE.Tr.Road</t>
  </si>
  <si>
    <t>EMIint.gCO2_per_km.SE.Tr.Road.Passenger</t>
  </si>
  <si>
    <t>EMIint.gCO2_per_km.SE.Tr.Road.Passenger.P2W</t>
  </si>
  <si>
    <t>EMIint.gCO2_per_km.SE.Tr.Road.Passenger.Car</t>
  </si>
  <si>
    <t>EMIint.gCO2_per_km.SE.Tr.Road.Passenger.Car.ICE.Gasoline</t>
  </si>
  <si>
    <t>EMIint.gCO2_per_km.SE.Tr.Road.Passenger.Car.ICE.Diesel</t>
  </si>
  <si>
    <t>EMIint.gCO2_per_km.SE.Tr.Road.Passenger.Car.ICE.LPG</t>
  </si>
  <si>
    <t>EMIint.gCO2_per_km.SE.Tr.Road.Passenger.Car.ICE.NGas</t>
  </si>
  <si>
    <t>EMIint.gCO2_per_km.SE.Tr.Road.Passenger.Car.PHEV.Gasoline</t>
  </si>
  <si>
    <t>EMIint.gCO2_per_km.SE.Tr.Road.Passenger.Car.BEV</t>
  </si>
  <si>
    <t>EMIint.gCO2_per_km.SE.Tr.Road.Passenger.Bus</t>
  </si>
  <si>
    <t>EMIint.gCO2_per_km.SE.Tr.Road.Passenger.Bus.ICE.Gasoline</t>
  </si>
  <si>
    <t>EMIint.gCO2_per_km.SE.Tr.Road.Passenger.Bus.ICE.Diesel</t>
  </si>
  <si>
    <t>EMIint.gCO2_per_km.SE.Tr.Road.Passenger.Bus.ICE.LPG</t>
  </si>
  <si>
    <t>EMIint.gCO2_per_km.SE.Tr.Road.Passenger.Bus.ICE.NGas</t>
  </si>
  <si>
    <t>EMIint.gCO2_per_km.SE.Tr.Road.Passenger.Bus.BEV</t>
  </si>
  <si>
    <t>EMIint.gCO2_per_km.SE.Tr.Road.Freight</t>
  </si>
  <si>
    <t>EMIint.gCO2_per_km.SE.Tr.Road.Freight.LCV</t>
  </si>
  <si>
    <t>EMIint.gCO2_per_km.SE.Tr.Road.Freight.LCV.ICE.Gasoline</t>
  </si>
  <si>
    <t>EMIint.gCO2_per_km.SE.Tr.Road.Freight.LCV.ICE.Diesel</t>
  </si>
  <si>
    <t>EMIint.gCO2_per_km.SE.Tr.Road.Freight.LCV.ICE.LPG</t>
  </si>
  <si>
    <t>EMIint.gCO2_per_km.SE.Tr.Road.Freight.LCV.ICE.NGas</t>
  </si>
  <si>
    <t>EMIint.gCO2_per_km.SE.Tr.Road.Freight.LCV.BEV</t>
  </si>
  <si>
    <t>EMIint.gCO2_per_km.SE.Tr.Road.Freight.HGV_All</t>
  </si>
  <si>
    <t>EMIint.gCO2_per_km.SE.Tr.Road.Freight.HGV_Domestic</t>
  </si>
  <si>
    <t>EMIint.gCO2_per_km.SE.Tr.Road.Freight.HGV_International</t>
  </si>
  <si>
    <t>EMIint.gCO2_per_pkm.SE.Tr.Road.Passenger.Car.ICE.Gasoline</t>
  </si>
  <si>
    <t>EMIint.gCO2_per_pkm.SE.Tr.Road.Passenger.Car.ICE.Diesel</t>
  </si>
  <si>
    <t>EMIint.gCO2_per_pkm.SE.Tr.Road.Passenger.Car.ICE.LPG</t>
  </si>
  <si>
    <t>EMIint.gCO2_per_pkm.SE.Tr.Road.Passenger.Car.ICE.NGas</t>
  </si>
  <si>
    <t>EMIint.gCO2_per_pkm.SE.Tr.Road.Passenger.Car.PHEV.Gasoline</t>
  </si>
  <si>
    <t>EMIint.gCO2_per_pkm.SE.Tr.Road.Passenger.Car.BEV</t>
  </si>
  <si>
    <t>EMIint.gCO2_per_pkm.SE.Tr.Road.Passenger.Bus.ICE.Gasoline</t>
  </si>
  <si>
    <t>EMIint.gCO2_per_pkm.SE.Tr.Road.Passenger.Bus.ICE.Diesel</t>
  </si>
  <si>
    <t>EMIint.gCO2_per_pkm.SE.Tr.Road.Passenger.Bus.ICE.LPG</t>
  </si>
  <si>
    <t>EMIint.gCO2_per_pkm.SE.Tr.Road.Passenger.Bus.ICE.NGas</t>
  </si>
  <si>
    <t>EMIint.gCO2_per_pkm.SE.Tr.Road.Passenger.Bus.BEV</t>
  </si>
  <si>
    <t>EMIint.gCO2_per_tkm.SE.Tr.Road.Freight.LCV.ICE.Gasoline</t>
  </si>
  <si>
    <t>EMIint.gCO2_per_tkm.SE.Tr.Road.Freight.LCV.ICE.Diesel</t>
  </si>
  <si>
    <t>EMIint.gCO2_per_tkm.SE.Tr.Road.Freight.LCV.ICE.LPG</t>
  </si>
  <si>
    <t>EMIint.gCO2_per_tkm.SE.Tr.Road.Freight.LCV.ICE.NGas</t>
  </si>
  <si>
    <t>EMIint.gCO2_per_tkm.SE.Tr.Road.Freight.LCV.BEV</t>
  </si>
  <si>
    <t>EMIint.gCO2_per_tkm.SE.Tr.Road.Freight.HGV_Domestic</t>
  </si>
  <si>
    <t>EMIint.gCO2_per_tkm.SE.Tr.Road.Freight.HGV_International</t>
  </si>
  <si>
    <t>EMI_per_vehicle.kgCO2.SE.Tr.Road.Passenger.P2W</t>
  </si>
  <si>
    <t>EMI_per_vehicle.kgCO2.SE.Tr.Road.Passenger.Car</t>
  </si>
  <si>
    <t>EMI_per_vehicle.kgCO2.SE.Tr.Road.Passenger.Car.ICE.Gasoline</t>
  </si>
  <si>
    <t>EMI_per_vehicle.kgCO2.SE.Tr.Road.Passenger.Car.ICE.Diesel</t>
  </si>
  <si>
    <t>EMI_per_vehicle.kgCO2.SE.Tr.Road.Passenger.Car.ICE.LPG</t>
  </si>
  <si>
    <t>EMI_per_vehicle.kgCO2.SE.Tr.Road.Passenger.Car.ICE.NGas</t>
  </si>
  <si>
    <t>EMI_per_vehicle.kgCO2.SE.Tr.Road.Passenger.Car.PHEV.Gasoline</t>
  </si>
  <si>
    <t>EMI_per_vehicle.kgCO2.SE.Tr.Road.Passenger.Car.BEV</t>
  </si>
  <si>
    <t>EMI_per_vehicle.kgCO2.SE.Tr.Road.Passenger.Bus</t>
  </si>
  <si>
    <t>EMI_per_vehicle.kgCO2.SE.Tr.Road.Passenger.Bus.ICE.Gasoline</t>
  </si>
  <si>
    <t>EMI_per_vehicle.kgCO2.SE.Tr.Road.Passenger.Bus.ICE.Diesel</t>
  </si>
  <si>
    <t>EMI_per_vehicle.kgCO2.SE.Tr.Road.Passenger.Bus.ICE.LPG</t>
  </si>
  <si>
    <t>EMI_per_vehicle.kgCO2.SE.Tr.Road.Passenger.Bus.ICE.NGas</t>
  </si>
  <si>
    <t>EMI_per_vehicle.kgCO2.SE.Tr.Road.Passenger.Bus.BEV</t>
  </si>
  <si>
    <t>EMI_per_vehicle.kgCO2.SE.Tr.Road.Freight.LCV</t>
  </si>
  <si>
    <t>EMI_per_vehicle.kgCO2.SE.Tr.Road.Freight.LCV.ICE.Gasoline</t>
  </si>
  <si>
    <t>EMI_per_vehicle.kgCO2.SE.Tr.Road.Freight.LCV.ICE.Diesel</t>
  </si>
  <si>
    <t>EMI_per_vehicle.kgCO2.SE.Tr.Road.Freight.LCV.ICE.LPG</t>
  </si>
  <si>
    <t>EMI_per_vehicle.kgCO2.SE.Tr.Road.Freight.LCV.ICE.NGas</t>
  </si>
  <si>
    <t>EMI_per_vehicle.kgCO2.SE.Tr.Road.Freight.LCV.BEV</t>
  </si>
  <si>
    <t>EMI_per_vehicle.kgCO2.SE.Tr.Road.Freight.HGV_All</t>
  </si>
  <si>
    <t>EMI_per_vehicle.kgCO2.SE.Tr.Road.Freight.HGV_Domestic</t>
  </si>
  <si>
    <t>EMI_per_vehicle.kgCO2.SE.Tr.Road.Freight.HGV_International</t>
  </si>
  <si>
    <t>Road transport / technologies - SE - Sweden</t>
  </si>
  <si>
    <t>Stock.number.SE.Tr.Road.Freight.HGV_all</t>
  </si>
  <si>
    <t>StockVin.number.SE.Tr.Road</t>
  </si>
  <si>
    <t>StockVin.number.SE.Tr.Road.Passenger</t>
  </si>
  <si>
    <t>StockVin.number.SE.Tr.Road.Passenger.P2W</t>
  </si>
  <si>
    <t>StockVin.number.SE.Tr.Road.Passenger.Car</t>
  </si>
  <si>
    <t>StockVin.number.SE.Tr.Road.Passenger.Car.ICE.Gasoline</t>
  </si>
  <si>
    <t>StockVin.number.SE.Tr.Road.Passenger.Car.ICE.Diesel</t>
  </si>
  <si>
    <t>StockVin.number.SE.Tr.Road.Passenger.Car.ICE.LPG</t>
  </si>
  <si>
    <t>StockVin.number.SE.Tr.Road.Passenger.Car.ICE.NGas</t>
  </si>
  <si>
    <t>StockVin.number.SE.Tr.Road.Passenger.Car.PHEV.Gasoline</t>
  </si>
  <si>
    <t>StockVin.number.SE.Tr.Road.Passenger.Car.BEV</t>
  </si>
  <si>
    <t>StockVin.number.SE.Tr.Road.Passenger.Bus</t>
  </si>
  <si>
    <t>StockVin.number.SE.Tr.Road.Passenger.Bus.ICE.Gasoline</t>
  </si>
  <si>
    <t>StockVin.number.SE.Tr.Road.Passenger.Bus.ICE.Diesel</t>
  </si>
  <si>
    <t>StockVin.number.SE.Tr.Road.Passenger.Bus.ICE.LPG</t>
  </si>
  <si>
    <t>StockVin.number.SE.Tr.Road.Passenger.Bus.ICE.NGas</t>
  </si>
  <si>
    <t>StockVin.number.SE.Tr.Road.Passenger.Bus.BEV</t>
  </si>
  <si>
    <t>StockVin.number.SE.Tr.Road.Freight</t>
  </si>
  <si>
    <t>StockVin.number.SE.Tr.Road.Freight.LCV</t>
  </si>
  <si>
    <t>StockVin.number.SE.Tr.Road.Freight.LCV.ICE.Gasoline</t>
  </si>
  <si>
    <t>StockVin.number.SE.Tr.Road.Freight.LCV.ICE.Diesel</t>
  </si>
  <si>
    <t>StockVin.number.SE.Tr.Road.Freight.LCV.ICE.LPG</t>
  </si>
  <si>
    <t>StockVin.number.SE.Tr.Road.Freight.LCV.ICE.NGas</t>
  </si>
  <si>
    <t>StockVin.number.SE.Tr.Road.Freight.LCV.BEV</t>
  </si>
  <si>
    <t>StockVin.number.SE.Tr.Road.Freight.HGV_All</t>
  </si>
  <si>
    <t>StockVin.number.SE.Tr.Road.Freight.HGV_Domestic</t>
  </si>
  <si>
    <t>StockVin.number.SE.Tr.Road.Freight.HGV_International</t>
  </si>
  <si>
    <t>Eff_test_stock.kgoe_per_100km.SE.Tr.Road.Passenger.P2W</t>
  </si>
  <si>
    <t>Eff_test_stock.kgoe_per_100km.SE.Tr.Road.Passenger.Car</t>
  </si>
  <si>
    <t>Eff_test_stock.kgoe_per_100km.SE.Tr.Road.Passenger.Car.ICE.Gasoline</t>
  </si>
  <si>
    <t>Eff_test_stock.kgoe_per_100km.SE.Tr.Road.Passenger.Car.ICE.Diesel</t>
  </si>
  <si>
    <t>Eff_test_stock.kgoe_per_100km.SE.Tr.Road.Passenger.Car.ICE.LPG</t>
  </si>
  <si>
    <t>Eff_test_stock.kgoe_per_100km.SE.Tr.Road.Passenger.Car.ICE.NGas</t>
  </si>
  <si>
    <t>Eff_test_stock.kgoe_per_100km.SE.Tr.Road.Passenger.Car.PHEV.Gasoline</t>
  </si>
  <si>
    <t>Eff_test_stock.kgoe_per_100km.SE.Tr.Road.Passenger.Car.BEV</t>
  </si>
  <si>
    <t>Eff_test_stock.kgoe_per_100km.SE.Tr.Road.Passenger.Bus</t>
  </si>
  <si>
    <t>Eff_test_stock.kgoe_per_100km.SE.Tr.Road.Passenger.Bus.ICE.Gasoline</t>
  </si>
  <si>
    <t>Eff_test_stock.kgoe_per_100km.SE.Tr.Road.Passenger.Bus.ICE.Diesel</t>
  </si>
  <si>
    <t>Eff_test_stock.kgoe_per_100km.SE.Tr.Road.Passenger.Bus.ICE.LPG</t>
  </si>
  <si>
    <t>Eff_test_stock.kgoe_per_100km.SE.Tr.Road.Passenger.Bus.ICE.NGas</t>
  </si>
  <si>
    <t>Eff_test_stock.kgoe_per_100km.SE.Tr.Road.Passenger.Bus.BEV</t>
  </si>
  <si>
    <t>Eff_test_stock.kgoe_per_100km.SE.Tr.Road.Freight.LCV</t>
  </si>
  <si>
    <t>Eff_test_stock.kgoe_per_100km.SE.Tr.Road.Freight.LCV.ICE.Gasoline</t>
  </si>
  <si>
    <t>Eff_test_stock.kgoe_per_100km.SE.Tr.Road.Freight.LCV.ICE.Diesel</t>
  </si>
  <si>
    <t>Eff_test_stock.kgoe_per_100km.SE.Tr.Road.Freight.LCV.ICE.LPG</t>
  </si>
  <si>
    <t>Eff_test_stock.kgoe_per_100km.SE.Tr.Road.Freight.LCV.ICE.NGas</t>
  </si>
  <si>
    <t>Eff_test_stock.kgoe_per_100km.SE.Tr.Road.Freight.LCV.BEV</t>
  </si>
  <si>
    <t>Eff_test_stock.kgoe_per_100km.SE.Tr.Road.Freight.HGV_All</t>
  </si>
  <si>
    <t>Eff_test_stock.kgoe_per_100km.SE.Tr.Road.Freight.HGV_Domestic</t>
  </si>
  <si>
    <t>Eff_test_stock.kgoe_per_100km.SE.Tr.Road.Freight.HGV_International</t>
  </si>
  <si>
    <t>Eff_test_new.kgoe_per_100km.SE.Tr.Road.Passenger.P2W</t>
  </si>
  <si>
    <t>Eff_test_new.kgoe_per_100km.SE.Tr.Road.Passenger.Car</t>
  </si>
  <si>
    <t>Eff_test_new.kgoe_per_100km.SE.Tr.Road.Passenger.Car.ICE.Gasoline</t>
  </si>
  <si>
    <t>Eff_test_new.kgoe_per_100km.SE.Tr.Road.Passenger.Car.ICE.Diesel</t>
  </si>
  <si>
    <t>Eff_test_new.kgoe_per_100km.SE.Tr.Road.Passenger.Car.ICE.LPG</t>
  </si>
  <si>
    <t>Eff_test_new.kgoe_per_100km.SE.Tr.Road.Passenger.Car.ICE.NGas</t>
  </si>
  <si>
    <t>Eff_test_new.kgoe_per_100km.SE.Tr.Road.Passenger.Car.PHEV.Gasoline</t>
  </si>
  <si>
    <t>Eff_test_new.kgoe_per_100km.SE.Tr.Road.Passenger.Car.BEV</t>
  </si>
  <si>
    <t>Eff_test_new.kgoe_per_100km.SE.Tr.Road.Passenger.Bus</t>
  </si>
  <si>
    <t>Eff_test_new.kgoe_per_100km.SE.Tr.Road.Passenger.Bus.ICE.Gasoline</t>
  </si>
  <si>
    <t>Eff_test_new.kgoe_per_100km.SE.Tr.Road.Passenger.Bus.ICE.Diesel</t>
  </si>
  <si>
    <t>Eff_test_new.kgoe_per_100km.SE.Tr.Road.Passenger.Bus.ICE.LPG</t>
  </si>
  <si>
    <t>Eff_test_new.kgoe_per_100km.SE.Tr.Road.Passenger.Bus.ICE.NGas</t>
  </si>
  <si>
    <t>Eff_test_new.kgoe_per_100km.SE.Tr.Road.Passenger.Bus.BEV</t>
  </si>
  <si>
    <t>Eff_test_new.kgoe_per_100km.SE.Tr.Road.Freight.LCV</t>
  </si>
  <si>
    <t>Eff_test_new.kgoe_per_100km.SE.Tr.Road.Freight.LCV.ICE.Gasoline</t>
  </si>
  <si>
    <t>Eff_test_new.kgoe_per_100km.SE.Tr.Road.Freight.LCV.ICE.Diesel</t>
  </si>
  <si>
    <t>Eff_test_new.kgoe_per_100km.SE.Tr.Road.Freight.LCV.ICE.LPG</t>
  </si>
  <si>
    <t>Eff_test_new.kgoe_per_100km.SE.Tr.Road.Freight.LCV.ICE.NGas</t>
  </si>
  <si>
    <t>Eff_test_new.kgoe_per_100km.SE.Tr.Road.Freight.LCV.BEV</t>
  </si>
  <si>
    <t>Eff_test_new.kgoe_per_100km.SE.Tr.Road.Freight.HGV_All</t>
  </si>
  <si>
    <t>Eff_test_new.kgoe_per_100km.SE.Tr.Road.Freight.HGV_Domestic</t>
  </si>
  <si>
    <t>Eff_test_new.kgoe_per_100km.SE.Tr.Road.Freight.HGV_International</t>
  </si>
  <si>
    <t>EMIint_test_stock.gCO2_per_km.SE.Tr.Road.Passenger.P2W</t>
  </si>
  <si>
    <t>EMIint_test_stock.gCO2_per_km.SE.Tr.Road.Passenger.Car</t>
  </si>
  <si>
    <t>EMIint_test_stock.gCO2_per_km.SE.Tr.Road.Passenger.Car.ICE.Gasoline</t>
  </si>
  <si>
    <t>EMIint_test_stock.gCO2_per_km.SE.Tr.Road.Passenger.Car.ICE.Diesel</t>
  </si>
  <si>
    <t>EMIint_test_stock.gCO2_per_km.SE.Tr.Road.Passenger.Car.ICE.LPG</t>
  </si>
  <si>
    <t>EMIint_test_stock.gCO2_per_km.SE.Tr.Road.Passenger.Car.ICE.NGas</t>
  </si>
  <si>
    <t>EMIint_test_stock.gCO2_per_km.SE.Tr.Road.Passenger.Car.PHEV.Gasoline</t>
  </si>
  <si>
    <t>EMIint_test_stock.gCO2_per_km.SE.Tr.Road.Passenger.Car.BEV</t>
  </si>
  <si>
    <t>EMIint_test_stock.gCO2_per_km.SE.Tr.Road.Passenger.Bus</t>
  </si>
  <si>
    <t>EMIint_test_stock.gCO2_per_km.SE.Tr.Road.Passenger.Bus.ICE.Gasoline</t>
  </si>
  <si>
    <t>EMIint_test_stock.gCO2_per_km.SE.Tr.Road.Passenger.Bus.ICE.Diesel</t>
  </si>
  <si>
    <t>EMIint_test_stock.gCO2_per_km.SE.Tr.Road.Passenger.Bus.ICE.LPG</t>
  </si>
  <si>
    <t>EMIint_test_stock.gCO2_per_km.SE.Tr.Road.Passenger.Bus.ICE.NGas</t>
  </si>
  <si>
    <t>EMIint_test_stock.gCO2_per_km.SE.Tr.Road.Passenger.Bus.BEV</t>
  </si>
  <si>
    <t>EMIint_test_stock.gCO2_per_km.SE.Tr.Road.Freight.LCV</t>
  </si>
  <si>
    <t>EMIint_test_stock.gCO2_per_km.SE.Tr.Road.Freight.LCV.ICE.Gasoline</t>
  </si>
  <si>
    <t>EMIint_test_stock.gCO2_per_km.SE.Tr.Road.Freight.LCV.ICE.Diesel</t>
  </si>
  <si>
    <t>EMIint_test_stock.gCO2_per_km.SE.Tr.Road.Freight.LCV.ICE.LPG</t>
  </si>
  <si>
    <t>EMIint_test_stock.gCO2_per_km.SE.Tr.Road.Freight.LCV.ICE.NGas</t>
  </si>
  <si>
    <t>EMIint_test_stock.gCO2_per_km.SE.Tr.Road.Freight.LCV.BEV</t>
  </si>
  <si>
    <t>EMIint_test_stock.gCO2_per_km.SE.Tr.Road.Freight.HGV_All</t>
  </si>
  <si>
    <t>EMIint_test_stock.gCO2_per_km.SE.Tr.Road.Freight.HGV_Domestic</t>
  </si>
  <si>
    <t>EMIint_test_stock.gCO2_per_km.SE.Tr.Road.Freight.HGV_International</t>
  </si>
  <si>
    <t>EMIint_test_new.gCO2_per_km.SE.Tr.Road.Passenger.P2W</t>
  </si>
  <si>
    <t>EMIint_test_new.gCO2_per_km.SE.Tr.Road.Passenger.Car</t>
  </si>
  <si>
    <t>EMIint_test_new.gCO2_per_km.SE.Tr.Road.Passenger.Car.ICE.Gasoline</t>
  </si>
  <si>
    <t>EMIint_test_new.gCO2_per_km.SE.Tr.Road.Passenger.Car.ICE.Diesel</t>
  </si>
  <si>
    <t>EMIint_test_new.gCO2_per_km.SE.Tr.Road.Passenger.Car.ICE.LPG</t>
  </si>
  <si>
    <t>EMIint_test_new.gCO2_per_km.SE.Tr.Road.Passenger.Car.ICE.NGas</t>
  </si>
  <si>
    <t>EMIint_test_new.gCO2_per_km.SE.Tr.Road.Passenger.Car.PHEV.Gasoline</t>
  </si>
  <si>
    <t>EMIint_test_new.gCO2_per_km.SE.Tr.Road.Passenger.Car.BEV</t>
  </si>
  <si>
    <t>EMIint_test_new.gCO2_per_km.SE.Tr.Road.Passenger.Bus</t>
  </si>
  <si>
    <t>EMIint_test_new.gCO2_per_km.SE.Tr.Road.Passenger.Bus.ICE.Gasoline</t>
  </si>
  <si>
    <t>EMIint_test_new.gCO2_per_km.SE.Tr.Road.Passenger.Bus.ICE.Diesel</t>
  </si>
  <si>
    <t>EMIint_test_new.gCO2_per_km.SE.Tr.Road.Passenger.Bus.ICE.LPG</t>
  </si>
  <si>
    <t>EMIint_test_new.gCO2_per_km.SE.Tr.Road.Passenger.Bus.ICE.NGas</t>
  </si>
  <si>
    <t>EMIint_test_new.gCO2_per_km.SE.Tr.Road.Passenger.Bus.BEV</t>
  </si>
  <si>
    <t>EMIint_test_new.gCO2_per_km.SE.Tr.Road.Freight.LCV</t>
  </si>
  <si>
    <t>EMIint_test_new.gCO2_per_km.SE.Tr.Road.Freight.LCV.ICE.Gasoline</t>
  </si>
  <si>
    <t>EMIint_test_new.gCO2_per_km.SE.Tr.Road.Freight.LCV.ICE.Diesel</t>
  </si>
  <si>
    <t>EMIint_test_new.gCO2_per_km.SE.Tr.Road.Freight.LCV.ICE.LPG</t>
  </si>
  <si>
    <t>EMIint_test_new.gCO2_per_km.SE.Tr.Road.Freight.LCV.ICE.NGas</t>
  </si>
  <si>
    <t>EMIint_test_new.gCO2_per_km.SE.Tr.Road.Freight.LCV.BEV</t>
  </si>
  <si>
    <t>EMIint_test_new.gCO2_per_km.SE.Tr.Road.Freight.HGV_All</t>
  </si>
  <si>
    <t>EMIint_test_new.gCO2_per_km.SE.Tr.Road.Freight.HGV_Domestic</t>
  </si>
  <si>
    <t>EMIint_test_new.gCO2_per_km.SE.Tr.Road.Freight.HGV_International</t>
  </si>
  <si>
    <t>FEC.ktoe.SE.MBunk</t>
  </si>
  <si>
    <t>FEC.ktoe.SE.MBunk.IntraEEA</t>
  </si>
  <si>
    <t>FEC.ktoe.SE.MBunk.ExtraEEA</t>
  </si>
  <si>
    <t>EMI.ktCO2.SE.MBunk</t>
  </si>
  <si>
    <t>EMI.ktCO2.SE.MBunk.IntraEEA</t>
  </si>
  <si>
    <t>EMI.ktCO2.SE.MBunk.ExtraEEA</t>
  </si>
  <si>
    <t>International maritime bunkers - SE - Sweden</t>
  </si>
  <si>
    <t>VehicleKm.Mkm.SE.MBunk.Freight</t>
  </si>
  <si>
    <t>VehicleKm.Mkm.SE.MBunk.Freight.IntraEEA</t>
  </si>
  <si>
    <t>VehicleKm.Mkm.SE.MBunk.Freight.ExtraEEA</t>
  </si>
  <si>
    <t>Load.t_per_movement.SE.MBunk.Freight</t>
  </si>
  <si>
    <t>Load.t_per_movement.SE.MBunk.Freight.IntraEEA</t>
  </si>
  <si>
    <t>Load.t_per_movement.SE.MBunk.Freight.ExtraEEA</t>
  </si>
  <si>
    <t>International maritime bunkers / energy consumption - SE - Sweden</t>
  </si>
  <si>
    <t>FEC.ktoe.SE.ES.MBunk</t>
  </si>
  <si>
    <t>FEC.ktoe.SE.ES.MBunk.IntraEEA</t>
  </si>
  <si>
    <t>FEC.ktoe.SE.ES.MBunk.IntraEEA.Diesel</t>
  </si>
  <si>
    <t>FEC.ktoe.SE.ES.MBunk.IntraEEA.RFO_Other</t>
  </si>
  <si>
    <t>FEC.ktoe.SE.ES.MBunk.IntraEEA.LiqBio</t>
  </si>
  <si>
    <t>FEC.ktoe.SE.ES.MBunk.IntraEEA.NG</t>
  </si>
  <si>
    <t>FEC.ktoe.SE.ES.MBunk.IntraEEA.Biogas</t>
  </si>
  <si>
    <t>FEC.ktoe.SE.ES.MBunk.ExtraEEA</t>
  </si>
  <si>
    <t>FEC.ktoe.SE.ES.MBunk.ExtraEEA.Diesel</t>
  </si>
  <si>
    <t>FEC.ktoe.SE.ES.MBunk.ExtraEEA.RFO_Other</t>
  </si>
  <si>
    <t>FEC.ktoe.SE.ES.MBunk.ExtraEEA.LiqBio</t>
  </si>
  <si>
    <t>FEC.ktoe.SE.ES.MBunk.ExtraEEA.NG</t>
  </si>
  <si>
    <t>FEC.ktoe.SE.ES.MBunk.ExtraEEA.Biogas</t>
  </si>
  <si>
    <t>Eff.kgoe_per_100km.SE.MBunk.Freight</t>
  </si>
  <si>
    <t>Eff.kgoe_per_100km.SE.MBunk.Freight.IntraEEA</t>
  </si>
  <si>
    <t>Eff.kgoe_per_100km.SE.MBunk.Freight.ExtraEEA</t>
  </si>
  <si>
    <t>International maritime bunkers / CO2 emissions - SE - Sweden</t>
  </si>
  <si>
    <t>EMI.ktCO2.SE.ES.MBunk</t>
  </si>
  <si>
    <t>EMI.ktCO2.SE.ES.MBunk.IntraEEA</t>
  </si>
  <si>
    <t>EMI.ktCO2.SE.ES.MBunk.ExtraEEA</t>
  </si>
  <si>
    <t>EMIint.gCO2_per_km.SE.MBunk.Freight</t>
  </si>
  <si>
    <t>EMIint.gCO2_per_km.SE.MBunk.Freight.IntraEEA</t>
  </si>
  <si>
    <t>EMIint.gCO2_per_km.SE.MBunk.Freight.ExtraEEA</t>
  </si>
  <si>
    <t>FEC.ktoe.SE.Tr.DNavi</t>
  </si>
  <si>
    <t>FEC.ktoe.SE.Tr.Dnavi.DCS</t>
  </si>
  <si>
    <t>FEC.ktoe.SE.Tr.Dnavi.IWW</t>
  </si>
  <si>
    <t>EMI.ktCO2.SE.Tr.DNavi</t>
  </si>
  <si>
    <t>EMI.ktCO2.SE.Tr.Dnavi.DCS</t>
  </si>
  <si>
    <t>EMI.ktCO2.SE.Tr.Dnavi.IWW</t>
  </si>
  <si>
    <t>Domestic navigation - SE - Sweden</t>
  </si>
  <si>
    <t>VehicleKm.Mkm.SE.Tr.DNavi.Freight</t>
  </si>
  <si>
    <t>VehicleKm.Mkm.SE.Tr.DNavi.Freight.DCS</t>
  </si>
  <si>
    <t>VehicleKm.Mkm.SE.Tr.DNavi.Freight.IWW</t>
  </si>
  <si>
    <t>Load.t_per_movement.SE.Tr.DNavi.Freight</t>
  </si>
  <si>
    <t>Load.t_per_movement.SE.Tr.DNavi.Freight.DCS</t>
  </si>
  <si>
    <t>Load.t_per_movement.SE.Tr.DNavi.Freight.IWW</t>
  </si>
  <si>
    <t>Domestic navigation / energy consumption - SE - Sweden</t>
  </si>
  <si>
    <t>FEC.ktoe.SE.ES.Tr.DNavi</t>
  </si>
  <si>
    <t>FEC.ktoe.SE.ES.Tr.DNavi.DCS</t>
  </si>
  <si>
    <t>FEC.ktoe.SE.ES.Tr.DNavi.DCS.Diesel</t>
  </si>
  <si>
    <t>FEC.ktoe.SE.ES.Tr.DNavi.DCS.RFO_Other</t>
  </si>
  <si>
    <t>FEC.ktoe.SE.ES.Tr.DNavi.DCS.LiqBio</t>
  </si>
  <si>
    <t>FEC.ktoe.SE.ES.Tr.DNavi.DCS.NG</t>
  </si>
  <si>
    <t>FEC.ktoe.SE.ES.Tr.DNavi.DCS.Biogas</t>
  </si>
  <si>
    <t>FEC.ktoe.SE.ES.Tr.DNavi.IWW</t>
  </si>
  <si>
    <t>FEC.ktoe.SE.ES.Tr.DNavi.IWW.Diesel</t>
  </si>
  <si>
    <t>FEC.ktoe.SE.ES.Tr.DNavi.IWW.RFO_Other</t>
  </si>
  <si>
    <t>FEC.ktoe.SE.ES.Tr.DNavi.IWW.LiqBio</t>
  </si>
  <si>
    <t>FEC.ktoe.SE.ES.Tr.DNavi.IWW.NG</t>
  </si>
  <si>
    <t>FEC.ktoe.SE.ES.Tr.DNavi.IWW.Biogas</t>
  </si>
  <si>
    <t>Eff.kgoe_per_100km.SE.Tr.DNavi.Freight</t>
  </si>
  <si>
    <t>Eff.kgoe_per_100km.SE.Tr.DNavi.Freight.DCS</t>
  </si>
  <si>
    <t>Eff.kgoe_per_100km.SE.Tr.DNavi.Freight.IWW</t>
  </si>
  <si>
    <t>Domestic navigation / CO2 emissions - SE - Sweden</t>
  </si>
  <si>
    <t>EMI.ktCO2.SE.ES.Tr.DNavi</t>
  </si>
  <si>
    <t>EMI.ktCO2.SE.ES.Tr.DNavi.DCS</t>
  </si>
  <si>
    <t>EMI.ktCO2.SE.ES.Tr.DNavi.IWW</t>
  </si>
  <si>
    <t>EMIint.gCO2_per_km.SE.Tr.DNavi.Freight</t>
  </si>
  <si>
    <t>EMIint.gCO2_per_km.SE.Tr.DNavi.Freight.DCS</t>
  </si>
  <si>
    <t>EMIint.gCO2_per_km.SE.Tr.DNavi.Freight.IWW</t>
  </si>
  <si>
    <t>Rail, metro and tram - SE - Sweden</t>
  </si>
  <si>
    <t>Activity.Mpkm.SE.Tr.Rail.Passenger.CPT.Diesel</t>
  </si>
  <si>
    <t>Activity.Mpkm.SE.Tr.Rail.Passenger.CPT.Elc</t>
  </si>
  <si>
    <t>Activity.Mtkm.SE.Tr.Rail.Freight.Diesel</t>
  </si>
  <si>
    <t>Activity.Mtkm.SE.Tr.Rail.Freight.Elc</t>
  </si>
  <si>
    <t>VehicleKm.Mkm.SE.Tr.Rail</t>
  </si>
  <si>
    <t>VehicleKm.Mkm.SE.Tr.Rail.Passenger</t>
  </si>
  <si>
    <t>VehicleKm.Mkm.SE.Tr.Rail.Passenger.MTU</t>
  </si>
  <si>
    <t>VehicleKm.Mkm.SE.Tr.Rail.Passenger.CPT</t>
  </si>
  <si>
    <t>VehicleKm.Mkm.SE.Tr.Rail.Passenger.CPT.Diesel</t>
  </si>
  <si>
    <t>VehicleKm.Mkm.SE.Tr.Rail.Passenger.CPT.Elc</t>
  </si>
  <si>
    <t>VehicleKm.Mkm.SE.Tr.Rail.Passenger.HST</t>
  </si>
  <si>
    <t>VehicleKm.Mkm.SE.Tr.Rail.Freight</t>
  </si>
  <si>
    <t>VehicleKm.Mkm.SE.Tr.Rail.Freight.Diesel</t>
  </si>
  <si>
    <t>VehicleKm.Mkm.SE.Tr.Rail.Freight.Elc</t>
  </si>
  <si>
    <t>Stock.number.SE.Tr.Rail</t>
  </si>
  <si>
    <t>Stock.number.SE.Tr.Rail.Passenger</t>
  </si>
  <si>
    <t>Stock.number.SE.Tr.Rail.Passenger.MTU</t>
  </si>
  <si>
    <t>Stock.number.SE.Tr.Rail.Passenger.CPT</t>
  </si>
  <si>
    <t>Stock.number.SE.Tr.Rail.Passenger.CPT.Diesel</t>
  </si>
  <si>
    <t>Stock.number.SE.Tr.Rail.Passenger.CPT.Elc</t>
  </si>
  <si>
    <t>Stock.number.SE.Tr.Rail.Passenger.HST</t>
  </si>
  <si>
    <t>Stock.number.SE.Tr.Rail.Freight</t>
  </si>
  <si>
    <t>Stock.number.SE.Tr.Rail.Freight.Diesel</t>
  </si>
  <si>
    <t>Stock.number.SE.Tr.Rail.Freight.Elc</t>
  </si>
  <si>
    <t>StockNew.number.SE.Tr.Rail</t>
  </si>
  <si>
    <t>StockNew.number.SE.Tr.Rail.Passenger</t>
  </si>
  <si>
    <t>StockNew.number.SE.Tr.Rail.Passenger.MTU</t>
  </si>
  <si>
    <t>StockNew.number.SE.Tr.Rail.Passenger.CPT</t>
  </si>
  <si>
    <t>StockNew.number.SE.Tr.Rail.Passenger.CPT.Diesel</t>
  </si>
  <si>
    <t>StockNew.number.SE.Tr.Rail.Passenger.CPT.Elc</t>
  </si>
  <si>
    <t>StockNew.number.SE.Tr.Rail.Passenger.HST</t>
  </si>
  <si>
    <t>StockNew.number.SE.Tr.Rail.Freight</t>
  </si>
  <si>
    <t>StockNew.number.SE.Tr.Rail.Freight.Diesel</t>
  </si>
  <si>
    <t>StockNew.number.SE.Tr.Rail.Freight.Elc</t>
  </si>
  <si>
    <t>Load.passenger_per_movement.SE.Tr.Rail.Passenger</t>
  </si>
  <si>
    <t>Load.passenger_per_movement.SE.Tr.Rail.Passenger.MTU</t>
  </si>
  <si>
    <t>Load.passenger_per_movement.SE.Tr.Rail.Passenger.CPT</t>
  </si>
  <si>
    <t>Load.passenger_per_movement.SE.Tr.Rail.Passenger.CPT.Diesel</t>
  </si>
  <si>
    <t>Load.passenger_per_movement.SE.Tr.Rail.Passenger.CPT.Elc</t>
  </si>
  <si>
    <t>Load.passenger_per_movement.SE.Tr.Rail.Passenger.HST</t>
  </si>
  <si>
    <t>Load.t_per_movement.SE.Tr.Rail.Freight</t>
  </si>
  <si>
    <t>Load.t_per_movement.SE.Tr.Rail.Freight.Diesel</t>
  </si>
  <si>
    <t>Load.t_per_movement.SE.Tr.Rail.Freight.Elc</t>
  </si>
  <si>
    <t>TrCap.seats.SE.Tr.Rail.Passenger</t>
  </si>
  <si>
    <t>TrCap.seats.SE.Tr.Rail.Passenger.MTU</t>
  </si>
  <si>
    <t>TrCap.seats.SE.Tr.Rail.Passenger.CPT</t>
  </si>
  <si>
    <t>TrCap.seats.SE.Tr.Rail.Passenger.CPT.Diesel</t>
  </si>
  <si>
    <t>TrCap.seats.SE.Tr.Rail.Passenger.CPT.Elc</t>
  </si>
  <si>
    <t>TrCap.seats.SE.Tr.Rail.Passenger.HST</t>
  </si>
  <si>
    <t>TrCap.t.SE.Tr.Rail.Freight</t>
  </si>
  <si>
    <t>TrCap.t.SE.Tr.Rail.Freight.Diesel</t>
  </si>
  <si>
    <t>TrCap.t.SE.Tr.Rail.Freight.Elc</t>
  </si>
  <si>
    <t>VehicleKm_per_vehicle.km.SE.Tr.Rail</t>
  </si>
  <si>
    <t>VehicleKm_per_vehicle.km.SE.Tr.Rail.Passenger</t>
  </si>
  <si>
    <t>VehicleKm_per_vehicle.km.SE.Tr.Rail.Passenger.MTU</t>
  </si>
  <si>
    <t>VehicleKm_per_vehicle.km.SE.Tr.Rail.Passenger.CPT</t>
  </si>
  <si>
    <t>VehicleKm_per_vehicle.km.SE.Tr.Rail.Passenger.CPT.Diesel</t>
  </si>
  <si>
    <t>VehicleKm_per_vehicle.km.SE.Tr.Rail.Passenger.CPT.Elc</t>
  </si>
  <si>
    <t>VehicleKm_per_vehicle.km.SE.Tr.Rail.Passenger.HST</t>
  </si>
  <si>
    <t>VehicleKm_per_vehicle.km.SE.Tr.Rail.Freight</t>
  </si>
  <si>
    <t>VehicleKm_per_vehicle.km.SE.Tr.Rail.Freight.Diesel</t>
  </si>
  <si>
    <t>VehicleKm_per_vehicle.km.SE.Tr.Rail.Freight.Elc</t>
  </si>
  <si>
    <t>Activity_per_vehicle.pkm.SE.Tr.Rail.Passenger</t>
  </si>
  <si>
    <t>Activity_per_vehicle.pkm.SE.Tr.Rail.Passenger.MTU</t>
  </si>
  <si>
    <t>Activity_per_vehicle.pkm.SE.Tr.Rail.Passenger.CPT</t>
  </si>
  <si>
    <t>Activity_per_vehicle.pkm.SE.Tr.Rail.Passenger.CPT.Diesel</t>
  </si>
  <si>
    <t>Activity_per_vehicle.pkm.SE.Tr.Rail.Passenger.CPT.Elc</t>
  </si>
  <si>
    <t>Activity_per_vehicle.pkm.SE.Tr.Rail.Passenger.HST</t>
  </si>
  <si>
    <t>Activity_per_vehicle.tkm.SE.Tr.Rail.Freight</t>
  </si>
  <si>
    <t>Activity_per_vehicle.tkm.SE.Tr.Rail.Freight.Diesel</t>
  </si>
  <si>
    <t>Activity_per_vehicle.tkm.SE.Tr.Rail.Freight.Elc</t>
  </si>
  <si>
    <t>Rail, metro and tram / energy consumption - SE - Sweden</t>
  </si>
  <si>
    <t>FEC.ktoe.SE.ES.Tr.Rail</t>
  </si>
  <si>
    <t>FEC.ktoe.SE.ES.Tr.Rail.Diesel</t>
  </si>
  <si>
    <t>FEC.ktoe.SE.ES.Tr.Rail.LiqBio</t>
  </si>
  <si>
    <t>FEC.ktoe.SE.ES.Tr.Rail.Elec</t>
  </si>
  <si>
    <t>FEC.ktoe.SE.Tr.Rail</t>
  </si>
  <si>
    <t>FEC.ktoe.SE.Tr.Rail.Passenger.CPT.Diesel</t>
  </si>
  <si>
    <t>FEC.ktoe.SE.Tr.Rail.Passenger.CPT.Elc</t>
  </si>
  <si>
    <t>FEC.ktoe.SE.Tr.Rail.Freight.Diesel</t>
  </si>
  <si>
    <t>FEC.ktoe.SE.Tr.Rail.Freight.Elc</t>
  </si>
  <si>
    <t>Eff.kgoe_per_100km.SE.Tr.Rail</t>
  </si>
  <si>
    <t>Eff.kgoe_per_100km.SE.Tr.Rail.Passenger</t>
  </si>
  <si>
    <t>Eff.kgoe_per_100km.SE.Tr.Rail.Passenger.MTU</t>
  </si>
  <si>
    <t>Eff.kgoe_per_100km.SE.Tr.Rail.Passenger.CPT</t>
  </si>
  <si>
    <t>Eff.kgoe_per_100km.SE.Tr.Rail.Passenger.CPT.Diesel</t>
  </si>
  <si>
    <t>Eff.kgoe_per_100km.SE.Tr.Rail.Passenger.CPT.Elc</t>
  </si>
  <si>
    <t>Eff.kgoe_per_100km.SE.Tr.Rail.Passenger.HST</t>
  </si>
  <si>
    <t>Eff.kgoe_per_100km.SE.Tr.Rail.Freight</t>
  </si>
  <si>
    <t>Eff.kgoe_per_100km.SE.Tr.Rail.Freight.Diesel</t>
  </si>
  <si>
    <t>Eff.kgoe_per_100km.SE.Tr.Rail.Freight.Elc</t>
  </si>
  <si>
    <t>Eff.kgoe_per_kpkm.SE.Tr.Rail.Passenger.CPT.Diesel</t>
  </si>
  <si>
    <t>Eff.kgoe_per_kpkm.SE.Tr.Rail.Passenger.CPT.Elc</t>
  </si>
  <si>
    <t>Eff.kgoe_per_ktkm.SE.Tr.Rail.Freight.Diesel</t>
  </si>
  <si>
    <t>Eff.kgoe_per_ktkm.SE.Tr.Rail.Freight.Elc</t>
  </si>
  <si>
    <t>FEC_per_vehicle.kgoe.SE.Tr.Rail</t>
  </si>
  <si>
    <t>FEC_per_vehicle.kgoe.SE.Tr.Rail.Passenger</t>
  </si>
  <si>
    <t>FEC_per_vehicle.kgoe.SE.Tr.Rail.Passenger.MTU</t>
  </si>
  <si>
    <t>FEC_per_vehicle.kgoe.SE.Tr.Rail.Passenger.CPT</t>
  </si>
  <si>
    <t>FEC_per_vehicle.kgoe.SE.Tr.Rail.Passenger.CPT.Diesel</t>
  </si>
  <si>
    <t>FEC_per_vehicle.kgoe.SE.Tr.Rail.Passenger.CPT.Elc</t>
  </si>
  <si>
    <t>FEC_per_vehicle.kgoe.SE.Tr.Rail.Passenger.HST</t>
  </si>
  <si>
    <t>FEC_per_vehicle.kgoe.SE.Tr.Rail.Freight</t>
  </si>
  <si>
    <t>FEC_per_vehicle.kgoe.SE.Tr.Rail.Freight.Diesel</t>
  </si>
  <si>
    <t>FEC_per_vehicle.kgoe.SE.Tr.Rail.Freight.Elc</t>
  </si>
  <si>
    <t>Rail, metro and tram / CO2 emissions - SE - Sweden</t>
  </si>
  <si>
    <t>EMI.ktCO2.SE.ES.Tr.Rail</t>
  </si>
  <si>
    <t>EMI.ktCO2.SE.ES.Tr.Rail.Diesel</t>
  </si>
  <si>
    <t>EMI.ktCO2.SE.ES.Tr.Rail.Elec</t>
  </si>
  <si>
    <t>EMI.ktCO2.SE.Tr.Rail</t>
  </si>
  <si>
    <t>EMI.ktCO2.SE.Tr.Rail.Passenger.CPT.Diesel</t>
  </si>
  <si>
    <t>EMI.ktCO2.SE.Tr.Rail.Passenger.CPT.Elc</t>
  </si>
  <si>
    <t>EMI.ktCO2.SE.Tr.Rail.Freight.Diesel</t>
  </si>
  <si>
    <t>EMI.ktCO2.SE.Tr.Rail.Freight.Elc</t>
  </si>
  <si>
    <t>EMIint.gCO2_per_km.SE.Tr.Rail</t>
  </si>
  <si>
    <t>EMIint.gCO2_per_km.SE.Tr.Rail.Passenger</t>
  </si>
  <si>
    <t>EMIint.gCO2_per_km.SE.Tr.Rail.Passenger.MTU</t>
  </si>
  <si>
    <t>EMIint.gCO2_per_km.SE.Tr.Rail.Passenger.CPT</t>
  </si>
  <si>
    <t>EMIint.gCO2_per_km.SE.Tr.Rail.Passenger.CPT.Diesel</t>
  </si>
  <si>
    <t>EMIint.gCO2_per_km.SE.Tr.Rail.Passenger.CPT.Elc</t>
  </si>
  <si>
    <t>EMIint.gCO2_per_km.SE.Tr.Rail.Passenger.HST</t>
  </si>
  <si>
    <t>EMIint.gCO2_per_km.SE.Tr.Rail.Freight</t>
  </si>
  <si>
    <t>EMIint.gCO2_per_km.SE.Tr.Rail.Freight.Diesel</t>
  </si>
  <si>
    <t>EMIint.gCO2_per_km.SE.Tr.Rail.Freight.Elc</t>
  </si>
  <si>
    <t>EMIint.gCO2_per_pkm.SE.Tr.Rail.Passenger.CPT.Diesel</t>
  </si>
  <si>
    <t>EMIint.gCO2_per_pkm.SE.Tr.Rail.Passenger.CPT.Elc</t>
  </si>
  <si>
    <t>EMIint.gCO2_per_tkm.SE.Tr.Rail.Freight.Diesel</t>
  </si>
  <si>
    <t>EMIint.gCO2_per_tkm.SE.Tr.Rail.Freight.Elc</t>
  </si>
  <si>
    <t>EMI_per_vehicle.tCO2.SE.Tr.Rail</t>
  </si>
  <si>
    <t>EMI_per_vehicle.tCO2.SE.Tr.Rail.Passenger</t>
  </si>
  <si>
    <t>EMI_per_vehicle.tCO2.SE.Tr.Rail.Passenger.MTU</t>
  </si>
  <si>
    <t>EMI_per_vehicle.tCO2.SE.Tr.Rail.Passenger.CPT</t>
  </si>
  <si>
    <t>EMI_per_vehicle.tCO2.SE.Tr.Rail.Passenger.CPT.Diesel</t>
  </si>
  <si>
    <t>EMI_per_vehicle.tCO2.SE.Tr.Rail.Passenger.CPT.Elc</t>
  </si>
  <si>
    <t>EMI_per_vehicle.tCO2.SE.Tr.Rail.Passenger.HST</t>
  </si>
  <si>
    <t>EMI_per_vehicle.tCO2.SE.Tr.Rail.Freight</t>
  </si>
  <si>
    <t>EMI_per_vehicle.tCO2.SE.Tr.Rail.Freight.Diesel</t>
  </si>
  <si>
    <t>EMI_per_vehicle.tCO2.SE.Tr.Rail.Freight.Elc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</si>
</sst>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45967.479826388888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142415.01577419578</v>
      </c>
      <c r="C4" s="28">
        <f t="shared" si="0"/>
        <v>143928.49827371025</v>
      </c>
      <c r="D4" s="28">
        <f t="shared" si="0"/>
        <v>144071.68246530046</v>
      </c>
      <c r="E4" s="28">
        <f t="shared" si="0"/>
        <v>143598.45270382953</v>
      </c>
      <c r="F4" s="28">
        <f t="shared" si="0"/>
        <v>145720.55508207594</v>
      </c>
      <c r="G4" s="28">
        <f t="shared" si="0"/>
        <v>147382.99537255982</v>
      </c>
      <c r="H4" s="28">
        <f t="shared" si="0"/>
        <v>151143.08598023199</v>
      </c>
      <c r="I4" s="28">
        <f t="shared" si="0"/>
        <v>155366.92328150957</v>
      </c>
      <c r="J4" s="28">
        <f t="shared" si="0"/>
        <v>156180.76377095268</v>
      </c>
      <c r="K4" s="28">
        <f t="shared" si="0"/>
        <v>153725.53085539819</v>
      </c>
      <c r="L4" s="28">
        <f t="shared" si="0"/>
        <v>154020.98866238812</v>
      </c>
      <c r="M4" s="28">
        <f t="shared" si="0"/>
        <v>157628.36251081646</v>
      </c>
      <c r="N4" s="28">
        <f t="shared" si="0"/>
        <v>157822.05768343149</v>
      </c>
      <c r="O4" s="28">
        <f t="shared" si="0"/>
        <v>159693.04044151932</v>
      </c>
      <c r="P4" s="28">
        <f t="shared" si="0"/>
        <v>163835.00592715203</v>
      </c>
      <c r="Q4" s="28">
        <f t="shared" si="0"/>
        <v>166942.53239282116</v>
      </c>
      <c r="R4" s="28">
        <f t="shared" ref="R4:V4" si="1">R5+R9+R13</f>
        <v>150912.19790474119</v>
      </c>
      <c r="S4" s="28">
        <f t="shared" si="1"/>
        <v>156468.36138306666</v>
      </c>
      <c r="T4" s="28">
        <f t="shared" si="1"/>
        <v>158127.70418763565</v>
      </c>
      <c r="U4" s="28">
        <f t="shared" si="1"/>
        <v>156699.35007293796</v>
      </c>
      <c r="V4" s="28">
        <f t="shared" si="1"/>
        <v>117764.8017895228</v>
      </c>
      <c r="W4" s="28">
        <f t="shared" ref="W4:Y4" si="2">W5+W9+W13</f>
        <v>118012.1637201929</v>
      </c>
      <c r="X4" s="28">
        <f t="shared" si="2"/>
        <v>141960.53898458206</v>
      </c>
      <c r="Y4" s="28">
        <f t="shared" si="2"/>
        <v>154616.83470123122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113358.70175002411</v>
      </c>
      <c r="C5" s="137">
        <f t="shared" si="3"/>
        <v>114578.52902991697</v>
      </c>
      <c r="D5" s="137">
        <f t="shared" si="3"/>
        <v>116521.48028071393</v>
      </c>
      <c r="E5" s="137">
        <f t="shared" si="3"/>
        <v>117290.09589503679</v>
      </c>
      <c r="F5" s="137">
        <f t="shared" si="3"/>
        <v>118307.75167204757</v>
      </c>
      <c r="G5" s="137">
        <f t="shared" si="3"/>
        <v>117949.93380508521</v>
      </c>
      <c r="H5" s="137">
        <f t="shared" si="3"/>
        <v>118250.84095721069</v>
      </c>
      <c r="I5" s="137">
        <f t="shared" si="3"/>
        <v>120526.11563954814</v>
      </c>
      <c r="J5" s="137">
        <f t="shared" si="3"/>
        <v>119479.52527278037</v>
      </c>
      <c r="K5" s="137">
        <f t="shared" si="3"/>
        <v>118988.51717640864</v>
      </c>
      <c r="L5" s="137">
        <f t="shared" si="3"/>
        <v>118197.72333639748</v>
      </c>
      <c r="M5" s="137">
        <f t="shared" si="3"/>
        <v>119460.93172639134</v>
      </c>
      <c r="N5" s="137">
        <f t="shared" si="3"/>
        <v>118582.00070750105</v>
      </c>
      <c r="O5" s="137">
        <f t="shared" si="3"/>
        <v>118676.3551194254</v>
      </c>
      <c r="P5" s="137">
        <f t="shared" si="3"/>
        <v>120804.56715606133</v>
      </c>
      <c r="Q5" s="137">
        <f t="shared" si="3"/>
        <v>122497.68524191712</v>
      </c>
      <c r="R5" s="137">
        <f t="shared" ref="R5:V5" si="4">R6+R7+R8</f>
        <v>104438.13096999141</v>
      </c>
      <c r="S5" s="137">
        <f t="shared" si="4"/>
        <v>106220.97965655534</v>
      </c>
      <c r="T5" s="137">
        <f t="shared" si="4"/>
        <v>107075.02632764902</v>
      </c>
      <c r="U5" s="137">
        <f t="shared" si="4"/>
        <v>106422.29840767921</v>
      </c>
      <c r="V5" s="137">
        <f t="shared" si="4"/>
        <v>99829.798746301851</v>
      </c>
      <c r="W5" s="137">
        <f t="shared" ref="W5:Y5" si="5">W6+W7+W8</f>
        <v>99111.603577633214</v>
      </c>
      <c r="X5" s="137">
        <f t="shared" si="5"/>
        <v>104875.08289611879</v>
      </c>
      <c r="Y5" s="137">
        <f t="shared" si="5"/>
        <v>113042.63102535089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480.82362964602407</v>
      </c>
      <c r="C6" s="102">
        <f>TrRoad_act!C$5</f>
        <v>524.99179946654328</v>
      </c>
      <c r="D6" s="102">
        <f>TrRoad_act!D$5</f>
        <v>593.72315555625653</v>
      </c>
      <c r="E6" s="102">
        <f>TrRoad_act!E$5</f>
        <v>642.27130319275898</v>
      </c>
      <c r="F6" s="102">
        <f>TrRoad_act!F$5</f>
        <v>692.71812850835693</v>
      </c>
      <c r="G6" s="102">
        <f>TrRoad_act!G$5</f>
        <v>713.26806988406781</v>
      </c>
      <c r="H6" s="102">
        <f>TrRoad_act!H$5</f>
        <v>781.94219644661041</v>
      </c>
      <c r="I6" s="102">
        <f>TrRoad_act!I$5</f>
        <v>869.74720213495914</v>
      </c>
      <c r="J6" s="102">
        <f>TrRoad_act!J$5</f>
        <v>843.70830467751557</v>
      </c>
      <c r="K6" s="102">
        <f>TrRoad_act!K$5</f>
        <v>853.08251804833856</v>
      </c>
      <c r="L6" s="102">
        <f>TrRoad_act!L$5</f>
        <v>811.82174595235301</v>
      </c>
      <c r="M6" s="102">
        <f>TrRoad_act!M$5</f>
        <v>784.82459702528627</v>
      </c>
      <c r="N6" s="102">
        <f>TrRoad_act!N$5</f>
        <v>680.80931987115446</v>
      </c>
      <c r="O6" s="102">
        <f>TrRoad_act!O$5</f>
        <v>759.17402238984084</v>
      </c>
      <c r="P6" s="102">
        <f>TrRoad_act!P$5</f>
        <v>763.02130861332557</v>
      </c>
      <c r="Q6" s="102">
        <f>TrRoad_act!Q$5</f>
        <v>767.86439189501311</v>
      </c>
      <c r="R6" s="102">
        <f>TrRoad_act!R$5</f>
        <v>811.36093600889694</v>
      </c>
      <c r="S6" s="102">
        <f>TrRoad_act!S$5</f>
        <v>770.34673726856704</v>
      </c>
      <c r="T6" s="102">
        <f>TrRoad_act!T$5</f>
        <v>735.82351556089486</v>
      </c>
      <c r="U6" s="102">
        <f>TrRoad_act!U$5</f>
        <v>783.51778041331329</v>
      </c>
      <c r="V6" s="102">
        <f>TrRoad_act!V$5</f>
        <v>700.99868876193898</v>
      </c>
      <c r="W6" s="102">
        <f>TrRoad_act!W$5</f>
        <v>728.93317922037147</v>
      </c>
      <c r="X6" s="102">
        <f>TrRoad_act!X$5</f>
        <v>735.05364789224416</v>
      </c>
      <c r="Y6" s="102">
        <f>TrRoad_act!Y$5</f>
        <v>792.63102535087887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103654.83369766446</v>
      </c>
      <c r="C7" s="102">
        <f>TrRoad_act!C$6</f>
        <v>104834.27759943993</v>
      </c>
      <c r="D7" s="102">
        <f>TrRoad_act!D$6</f>
        <v>106622.51789890334</v>
      </c>
      <c r="E7" s="102">
        <f>TrRoad_act!E$6</f>
        <v>107322.08833613136</v>
      </c>
      <c r="F7" s="102">
        <f>TrRoad_act!F$6</f>
        <v>108359.85149670046</v>
      </c>
      <c r="G7" s="102">
        <f>TrRoad_act!G$6</f>
        <v>107983.11590611744</v>
      </c>
      <c r="H7" s="102">
        <f>TrRoad_act!H$6</f>
        <v>108137.03214573364</v>
      </c>
      <c r="I7" s="102">
        <f>TrRoad_act!I$6</f>
        <v>110238.56590007244</v>
      </c>
      <c r="J7" s="102">
        <f>TrRoad_act!J$6</f>
        <v>109468.45217694035</v>
      </c>
      <c r="K7" s="102">
        <f>TrRoad_act!K$6</f>
        <v>108897.03801054039</v>
      </c>
      <c r="L7" s="102">
        <f>TrRoad_act!L$6</f>
        <v>108012.82861161354</v>
      </c>
      <c r="M7" s="102">
        <f>TrRoad_act!M$6</f>
        <v>109028.98505595721</v>
      </c>
      <c r="N7" s="102">
        <f>TrRoad_act!N$6</f>
        <v>108372.33901934596</v>
      </c>
      <c r="O7" s="102">
        <f>TrRoad_act!O$6</f>
        <v>108205.78822350051</v>
      </c>
      <c r="P7" s="102">
        <f>TrRoad_act!P$6</f>
        <v>110340.47754415158</v>
      </c>
      <c r="Q7" s="102">
        <f>TrRoad_act!Q$6</f>
        <v>111895.51589094302</v>
      </c>
      <c r="R7" s="102">
        <f>TrRoad_act!R$6</f>
        <v>93771.22338657995</v>
      </c>
      <c r="S7" s="102">
        <f>TrRoad_act!S$6</f>
        <v>95468.791015657538</v>
      </c>
      <c r="T7" s="102">
        <f>TrRoad_act!T$6</f>
        <v>96353.880235559962</v>
      </c>
      <c r="U7" s="102">
        <f>TrRoad_act!U$6</f>
        <v>95581.544959925886</v>
      </c>
      <c r="V7" s="102">
        <f>TrRoad_act!V$6</f>
        <v>90135.371743355907</v>
      </c>
      <c r="W7" s="102">
        <f>TrRoad_act!W$6</f>
        <v>89500.984477118182</v>
      </c>
      <c r="X7" s="102">
        <f>TrRoad_act!X$6</f>
        <v>94777.908414058009</v>
      </c>
      <c r="Y7" s="102">
        <f>TrRoad_act!Y$6</f>
        <v>102650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9223.044422713614</v>
      </c>
      <c r="C8" s="102">
        <f>TrRoad_act!C$13</f>
        <v>9219.2596310105</v>
      </c>
      <c r="D8" s="102">
        <f>TrRoad_act!D$13</f>
        <v>9305.2392262543308</v>
      </c>
      <c r="E8" s="102">
        <f>TrRoad_act!E$13</f>
        <v>9325.7362557126689</v>
      </c>
      <c r="F8" s="102">
        <f>TrRoad_act!F$13</f>
        <v>9255.1820468387559</v>
      </c>
      <c r="G8" s="102">
        <f>TrRoad_act!G$13</f>
        <v>9253.5498290836967</v>
      </c>
      <c r="H8" s="102">
        <f>TrRoad_act!H$13</f>
        <v>9331.866615030438</v>
      </c>
      <c r="I8" s="102">
        <f>TrRoad_act!I$13</f>
        <v>9417.802537340749</v>
      </c>
      <c r="J8" s="102">
        <f>TrRoad_act!J$13</f>
        <v>9167.3647911625048</v>
      </c>
      <c r="K8" s="102">
        <f>TrRoad_act!K$13</f>
        <v>9238.3966478199072</v>
      </c>
      <c r="L8" s="102">
        <f>TrRoad_act!L$13</f>
        <v>9373.0729788315784</v>
      </c>
      <c r="M8" s="102">
        <f>TrRoad_act!M$13</f>
        <v>9647.1220734088474</v>
      </c>
      <c r="N8" s="102">
        <f>TrRoad_act!N$13</f>
        <v>9528.8523682839259</v>
      </c>
      <c r="O8" s="102">
        <f>TrRoad_act!O$13</f>
        <v>9711.3928735350564</v>
      </c>
      <c r="P8" s="102">
        <f>TrRoad_act!P$13</f>
        <v>9701.0683032964116</v>
      </c>
      <c r="Q8" s="102">
        <f>TrRoad_act!Q$13</f>
        <v>9834.3049590790852</v>
      </c>
      <c r="R8" s="102">
        <f>TrRoad_act!R$13</f>
        <v>9855.5466474025634</v>
      </c>
      <c r="S8" s="102">
        <f>TrRoad_act!S$13</f>
        <v>9981.8419036292398</v>
      </c>
      <c r="T8" s="102">
        <f>TrRoad_act!T$13</f>
        <v>9985.3225765281586</v>
      </c>
      <c r="U8" s="102">
        <f>TrRoad_act!U$13</f>
        <v>10057.235667340001</v>
      </c>
      <c r="V8" s="102">
        <f>TrRoad_act!V$13</f>
        <v>8993.4283141840006</v>
      </c>
      <c r="W8" s="102">
        <f>TrRoad_act!W$13</f>
        <v>8881.685921294662</v>
      </c>
      <c r="X8" s="102">
        <f>TrRoad_act!X$13</f>
        <v>9362.1208341685433</v>
      </c>
      <c r="Y8" s="102">
        <f>TrRoad_act!Y$13</f>
        <v>9600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10225</v>
      </c>
      <c r="C9" s="110">
        <f t="shared" si="6"/>
        <v>10723</v>
      </c>
      <c r="D9" s="110">
        <f t="shared" si="6"/>
        <v>10867</v>
      </c>
      <c r="E9" s="110">
        <f t="shared" si="6"/>
        <v>10828</v>
      </c>
      <c r="F9" s="110">
        <f t="shared" si="6"/>
        <v>10652</v>
      </c>
      <c r="G9" s="110">
        <f t="shared" si="6"/>
        <v>10924</v>
      </c>
      <c r="H9" s="110">
        <f t="shared" si="6"/>
        <v>11756</v>
      </c>
      <c r="I9" s="110">
        <f t="shared" si="6"/>
        <v>12465</v>
      </c>
      <c r="J9" s="110">
        <f t="shared" si="6"/>
        <v>13385</v>
      </c>
      <c r="K9" s="110">
        <f t="shared" si="6"/>
        <v>13560</v>
      </c>
      <c r="L9" s="110">
        <f t="shared" si="6"/>
        <v>13435</v>
      </c>
      <c r="M9" s="110">
        <f t="shared" si="6"/>
        <v>13719</v>
      </c>
      <c r="N9" s="110">
        <f t="shared" si="6"/>
        <v>14165</v>
      </c>
      <c r="O9" s="110">
        <f t="shared" si="6"/>
        <v>14291</v>
      </c>
      <c r="P9" s="110">
        <f t="shared" si="6"/>
        <v>14564</v>
      </c>
      <c r="Q9" s="110">
        <f t="shared" si="6"/>
        <v>15240.8</v>
      </c>
      <c r="R9" s="110">
        <f t="shared" ref="R9:V9" si="7">R10+R11+R12</f>
        <v>15408</v>
      </c>
      <c r="S9" s="110">
        <f t="shared" si="7"/>
        <v>15978</v>
      </c>
      <c r="T9" s="110">
        <f t="shared" si="7"/>
        <v>16284</v>
      </c>
      <c r="U9" s="110">
        <f t="shared" si="7"/>
        <v>17321</v>
      </c>
      <c r="V9" s="110">
        <f t="shared" si="7"/>
        <v>9817</v>
      </c>
      <c r="W9" s="110">
        <f t="shared" ref="W9:Y9" si="8">W10+W11+W12</f>
        <v>9619</v>
      </c>
      <c r="X9" s="110">
        <f t="shared" si="8"/>
        <v>15025</v>
      </c>
      <c r="Y9" s="110">
        <f t="shared" si="8"/>
        <v>15606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1982.0000000000002</v>
      </c>
      <c r="C10" s="102">
        <f>TrRail_act!C$5</f>
        <v>1990.9999999999998</v>
      </c>
      <c r="D10" s="102">
        <f>TrRail_act!D$5</f>
        <v>1993</v>
      </c>
      <c r="E10" s="102">
        <f>TrRail_act!E$5</f>
        <v>1994</v>
      </c>
      <c r="F10" s="102">
        <f>TrRail_act!F$5</f>
        <v>2018.0000000000002</v>
      </c>
      <c r="G10" s="102">
        <f>TrRail_act!G$5</f>
        <v>2013.9999999999998</v>
      </c>
      <c r="H10" s="102">
        <f>TrRail_act!H$5</f>
        <v>2139.0000000000005</v>
      </c>
      <c r="I10" s="102">
        <f>TrRail_act!I$5</f>
        <v>2203.9999999999995</v>
      </c>
      <c r="J10" s="102">
        <f>TrRail_act!J$5</f>
        <v>2239</v>
      </c>
      <c r="K10" s="102">
        <f>TrRail_act!K$5</f>
        <v>2239</v>
      </c>
      <c r="L10" s="102">
        <f>TrRail_act!L$5</f>
        <v>2280.0000000000005</v>
      </c>
      <c r="M10" s="102">
        <f>TrRail_act!M$5</f>
        <v>2340</v>
      </c>
      <c r="N10" s="102">
        <f>TrRail_act!N$5</f>
        <v>2373</v>
      </c>
      <c r="O10" s="102">
        <f>TrRail_act!O$5</f>
        <v>2449</v>
      </c>
      <c r="P10" s="102">
        <f>TrRail_act!P$5</f>
        <v>2443</v>
      </c>
      <c r="Q10" s="102">
        <f>TrRail_act!Q$5</f>
        <v>2499.8000000000002</v>
      </c>
      <c r="R10" s="102">
        <f>TrRail_act!R$5</f>
        <v>2608</v>
      </c>
      <c r="S10" s="102">
        <f>TrRail_act!S$5</f>
        <v>2647.0000000000005</v>
      </c>
      <c r="T10" s="102">
        <f>TrRail_act!T$5</f>
        <v>2737</v>
      </c>
      <c r="U10" s="102">
        <f>TrRail_act!U$5</f>
        <v>2704</v>
      </c>
      <c r="V10" s="102">
        <f>TrRail_act!V$5</f>
        <v>1688</v>
      </c>
      <c r="W10" s="102">
        <f>TrRail_act!W$5</f>
        <v>1592</v>
      </c>
      <c r="X10" s="102">
        <f>TrRail_act!X$5</f>
        <v>2146</v>
      </c>
      <c r="Y10" s="102">
        <f>TrRail_act!Y$5</f>
        <v>2298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6196</v>
      </c>
      <c r="C11" s="102">
        <f>TrRail_act!C$6</f>
        <v>6505</v>
      </c>
      <c r="D11" s="102">
        <f>TrRail_act!D$6</f>
        <v>6484</v>
      </c>
      <c r="E11" s="102">
        <f>TrRail_act!E$6</f>
        <v>6434</v>
      </c>
      <c r="F11" s="102">
        <f>TrRail_act!F$6</f>
        <v>6212</v>
      </c>
      <c r="G11" s="102">
        <f>TrRail_act!G$6</f>
        <v>6580</v>
      </c>
      <c r="H11" s="102">
        <f>TrRail_act!H$6</f>
        <v>7127</v>
      </c>
      <c r="I11" s="102">
        <f>TrRail_act!I$6</f>
        <v>7486</v>
      </c>
      <c r="J11" s="102">
        <f>TrRail_act!J$6</f>
        <v>8154</v>
      </c>
      <c r="K11" s="102">
        <f>TrRail_act!K$6</f>
        <v>8271</v>
      </c>
      <c r="L11" s="102">
        <f>TrRail_act!L$6</f>
        <v>8216.5</v>
      </c>
      <c r="M11" s="102">
        <f>TrRail_act!M$6</f>
        <v>8552</v>
      </c>
      <c r="N11" s="102">
        <f>TrRail_act!N$6</f>
        <v>8844</v>
      </c>
      <c r="O11" s="102">
        <f>TrRail_act!O$6</f>
        <v>8787</v>
      </c>
      <c r="P11" s="102">
        <f>TrRail_act!P$6</f>
        <v>8893</v>
      </c>
      <c r="Q11" s="102">
        <f>TrRail_act!Q$6</f>
        <v>9376</v>
      </c>
      <c r="R11" s="102">
        <f>TrRail_act!R$6</f>
        <v>9319</v>
      </c>
      <c r="S11" s="102">
        <f>TrRail_act!S$6</f>
        <v>9727</v>
      </c>
      <c r="T11" s="102">
        <f>TrRail_act!T$6</f>
        <v>10024</v>
      </c>
      <c r="U11" s="102">
        <f>TrRail_act!U$6</f>
        <v>10717</v>
      </c>
      <c r="V11" s="102">
        <f>TrRail_act!V$6</f>
        <v>6331</v>
      </c>
      <c r="W11" s="102">
        <f>TrRail_act!W$6</f>
        <v>6087.9999999999991</v>
      </c>
      <c r="X11" s="102">
        <f>TrRail_act!X$6</f>
        <v>9851</v>
      </c>
      <c r="Y11" s="102">
        <f>TrRail_act!Y$6</f>
        <v>10116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2047.0000000000002</v>
      </c>
      <c r="C12" s="102">
        <f>TrRail_act!C$9</f>
        <v>2227</v>
      </c>
      <c r="D12" s="102">
        <f>TrRail_act!D$9</f>
        <v>2390</v>
      </c>
      <c r="E12" s="102">
        <f>TrRail_act!E$9</f>
        <v>2400</v>
      </c>
      <c r="F12" s="102">
        <f>TrRail_act!F$9</f>
        <v>2422</v>
      </c>
      <c r="G12" s="102">
        <f>TrRail_act!G$9</f>
        <v>2330</v>
      </c>
      <c r="H12" s="102">
        <f>TrRail_act!H$9</f>
        <v>2490</v>
      </c>
      <c r="I12" s="102">
        <f>TrRail_act!I$9</f>
        <v>2775</v>
      </c>
      <c r="J12" s="102">
        <f>TrRail_act!J$9</f>
        <v>2992</v>
      </c>
      <c r="K12" s="102">
        <f>TrRail_act!K$9</f>
        <v>3050</v>
      </c>
      <c r="L12" s="102">
        <f>TrRail_act!L$9</f>
        <v>2938.5</v>
      </c>
      <c r="M12" s="102">
        <f>TrRail_act!M$9</f>
        <v>2827</v>
      </c>
      <c r="N12" s="102">
        <f>TrRail_act!N$9</f>
        <v>2948</v>
      </c>
      <c r="O12" s="102">
        <f>TrRail_act!O$9</f>
        <v>3055</v>
      </c>
      <c r="P12" s="102">
        <f>TrRail_act!P$9</f>
        <v>3228</v>
      </c>
      <c r="Q12" s="102">
        <f>TrRail_act!Q$9</f>
        <v>3365</v>
      </c>
      <c r="R12" s="102">
        <f>TrRail_act!R$9</f>
        <v>3481</v>
      </c>
      <c r="S12" s="102">
        <f>TrRail_act!S$9</f>
        <v>3604</v>
      </c>
      <c r="T12" s="102">
        <f>TrRail_act!T$9</f>
        <v>3523</v>
      </c>
      <c r="U12" s="102">
        <f>TrRail_act!U$9</f>
        <v>3900</v>
      </c>
      <c r="V12" s="102">
        <f>TrRail_act!V$9</f>
        <v>1798</v>
      </c>
      <c r="W12" s="102">
        <f>TrRail_act!W$9</f>
        <v>1939</v>
      </c>
      <c r="X12" s="102">
        <f>TrRail_act!X$9</f>
        <v>3028</v>
      </c>
      <c r="Y12" s="102">
        <f>TrRail_act!Y$9</f>
        <v>3192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18831.314024171672</v>
      </c>
      <c r="C13" s="110">
        <f t="shared" ref="C13:V13" si="10">C14+C15+C16</f>
        <v>18626.969243793272</v>
      </c>
      <c r="D13" s="110">
        <f t="shared" si="10"/>
        <v>16683.202184586531</v>
      </c>
      <c r="E13" s="110">
        <f t="shared" si="10"/>
        <v>15480.356808792734</v>
      </c>
      <c r="F13" s="110">
        <f t="shared" si="10"/>
        <v>16760.803410028373</v>
      </c>
      <c r="G13" s="110">
        <f t="shared" si="10"/>
        <v>18509.061567474615</v>
      </c>
      <c r="H13" s="110">
        <f t="shared" si="10"/>
        <v>21136.245023021293</v>
      </c>
      <c r="I13" s="110">
        <f t="shared" si="10"/>
        <v>22375.807641961437</v>
      </c>
      <c r="J13" s="110">
        <f t="shared" si="10"/>
        <v>23316.238498172293</v>
      </c>
      <c r="K13" s="110">
        <f t="shared" si="10"/>
        <v>21177.013678989537</v>
      </c>
      <c r="L13" s="110">
        <f t="shared" si="10"/>
        <v>22388.265325990615</v>
      </c>
      <c r="M13" s="110">
        <f t="shared" si="10"/>
        <v>24448.430784425123</v>
      </c>
      <c r="N13" s="110">
        <f t="shared" si="10"/>
        <v>25075.056975930427</v>
      </c>
      <c r="O13" s="110">
        <f t="shared" si="10"/>
        <v>26725.68532209393</v>
      </c>
      <c r="P13" s="110">
        <f t="shared" si="10"/>
        <v>28466.43877109071</v>
      </c>
      <c r="Q13" s="110">
        <f t="shared" si="10"/>
        <v>29204.047150904044</v>
      </c>
      <c r="R13" s="110">
        <f t="shared" si="10"/>
        <v>31066.066934749782</v>
      </c>
      <c r="S13" s="110">
        <f t="shared" si="10"/>
        <v>34269.38172651131</v>
      </c>
      <c r="T13" s="110">
        <f t="shared" si="10"/>
        <v>34768.677859986645</v>
      </c>
      <c r="U13" s="110">
        <f t="shared" si="10"/>
        <v>32956.051665258747</v>
      </c>
      <c r="V13" s="110">
        <f t="shared" si="10"/>
        <v>8118.0030432209505</v>
      </c>
      <c r="W13" s="110">
        <f t="shared" ref="W13:Y13" si="11">W14+W15+W16</f>
        <v>9281.5601425596869</v>
      </c>
      <c r="X13" s="110">
        <f t="shared" si="11"/>
        <v>22060.456088463256</v>
      </c>
      <c r="Y13" s="110">
        <f t="shared" si="11"/>
        <v>25968.20367588033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3801.1395656481068</v>
      </c>
      <c r="C14" s="102">
        <f>TrAvia_act!C$5</f>
        <v>3807.0084480390547</v>
      </c>
      <c r="D14" s="102">
        <f>TrAvia_act!D$5</f>
        <v>3542.0252043307332</v>
      </c>
      <c r="E14" s="102">
        <f>TrAvia_act!E$5</f>
        <v>3246.0611296523175</v>
      </c>
      <c r="F14" s="102">
        <f>TrAvia_act!F$5</f>
        <v>3330.077655152757</v>
      </c>
      <c r="G14" s="102">
        <f>TrAvia_act!G$5</f>
        <v>3484.4698847569025</v>
      </c>
      <c r="H14" s="102">
        <f>TrAvia_act!H$5</f>
        <v>3457.4560323985338</v>
      </c>
      <c r="I14" s="102">
        <f>TrAvia_act!I$5</f>
        <v>3401.9302261107655</v>
      </c>
      <c r="J14" s="102">
        <f>TrAvia_act!J$5</f>
        <v>3384.383043411407</v>
      </c>
      <c r="K14" s="102">
        <f>TrAvia_act!K$5</f>
        <v>3040.1297578433382</v>
      </c>
      <c r="L14" s="102">
        <f>TrAvia_act!L$5</f>
        <v>3108.8674286069954</v>
      </c>
      <c r="M14" s="102">
        <f>TrAvia_act!M$5</f>
        <v>3444.8090104102598</v>
      </c>
      <c r="N14" s="102">
        <f>TrAvia_act!N$5</f>
        <v>3624.4654815520748</v>
      </c>
      <c r="O14" s="102">
        <f>TrAvia_act!O$5</f>
        <v>3634.3524236877229</v>
      </c>
      <c r="P14" s="102">
        <f>TrAvia_act!P$5</f>
        <v>3793.699762896078</v>
      </c>
      <c r="Q14" s="102">
        <f>TrAvia_act!Q$5</f>
        <v>3797.5357989533477</v>
      </c>
      <c r="R14" s="102">
        <f>TrAvia_act!R$5</f>
        <v>3992.374010835988</v>
      </c>
      <c r="S14" s="102">
        <f>TrAvia_act!S$5</f>
        <v>4107.5734443686024</v>
      </c>
      <c r="T14" s="102">
        <f>TrAvia_act!T$5</f>
        <v>3976.5545698936676</v>
      </c>
      <c r="U14" s="102">
        <f>TrAvia_act!U$5</f>
        <v>3584.2012254829779</v>
      </c>
      <c r="V14" s="102">
        <f>TrAvia_act!V$5</f>
        <v>1092.9742101499157</v>
      </c>
      <c r="W14" s="102">
        <f>TrAvia_act!W$5</f>
        <v>1197.4753514580848</v>
      </c>
      <c r="X14" s="102">
        <f>TrAvia_act!X$5</f>
        <v>2314.9630115019645</v>
      </c>
      <c r="Y14" s="102">
        <f>TrAvia_act!Y$5</f>
        <v>2455.6452440119742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10891.479755029872</v>
      </c>
      <c r="C15" s="102">
        <f>TrAvia_act!C$6</f>
        <v>10987.280208490141</v>
      </c>
      <c r="D15" s="102">
        <f>TrAvia_act!D$6</f>
        <v>10031.302441573047</v>
      </c>
      <c r="E15" s="102">
        <f>TrAvia_act!E$6</f>
        <v>9050.4913434444406</v>
      </c>
      <c r="F15" s="102">
        <f>TrAvia_act!F$6</f>
        <v>9332.9531523549776</v>
      </c>
      <c r="G15" s="102">
        <f>TrAvia_act!G$6</f>
        <v>9673.2287858920281</v>
      </c>
      <c r="H15" s="102">
        <f>TrAvia_act!H$6</f>
        <v>11951.355957244214</v>
      </c>
      <c r="I15" s="102">
        <f>TrAvia_act!I$6</f>
        <v>12210.127210056256</v>
      </c>
      <c r="J15" s="102">
        <f>TrAvia_act!J$6</f>
        <v>12121.736468590061</v>
      </c>
      <c r="K15" s="102">
        <f>TrAvia_act!K$6</f>
        <v>10890.74484146851</v>
      </c>
      <c r="L15" s="102">
        <f>TrAvia_act!L$6</f>
        <v>11612.301527424632</v>
      </c>
      <c r="M15" s="102">
        <f>TrAvia_act!M$6</f>
        <v>13194.504849551882</v>
      </c>
      <c r="N15" s="102">
        <f>TrAvia_act!N$6</f>
        <v>13609.839297895254</v>
      </c>
      <c r="O15" s="102">
        <f>TrAvia_act!O$6</f>
        <v>14872.81395402682</v>
      </c>
      <c r="P15" s="102">
        <f>TrAvia_act!P$6</f>
        <v>15550.789095937122</v>
      </c>
      <c r="Q15" s="102">
        <f>TrAvia_act!Q$6</f>
        <v>15943.602551645163</v>
      </c>
      <c r="R15" s="102">
        <f>TrAvia_act!R$6</f>
        <v>17444.121245644885</v>
      </c>
      <c r="S15" s="102">
        <f>TrAvia_act!S$6</f>
        <v>19603.840616821239</v>
      </c>
      <c r="T15" s="102">
        <f>TrAvia_act!T$6</f>
        <v>19313.407015830351</v>
      </c>
      <c r="U15" s="102">
        <f>TrAvia_act!U$6</f>
        <v>18415.621462649367</v>
      </c>
      <c r="V15" s="102">
        <f>TrAvia_act!V$6</f>
        <v>4217.5216877365729</v>
      </c>
      <c r="W15" s="102">
        <f>TrAvia_act!W$6</f>
        <v>5668.118749040028</v>
      </c>
      <c r="X15" s="102">
        <f>TrAvia_act!X$6</f>
        <v>13438.298241494966</v>
      </c>
      <c r="Y15" s="102">
        <f>TrAvia_act!Y$6</f>
        <v>16160.54853601713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4138.6947034936939</v>
      </c>
      <c r="C16" s="102">
        <f>TrAvia_act!C$7</f>
        <v>3832.6805872640775</v>
      </c>
      <c r="D16" s="102">
        <f>TrAvia_act!D$7</f>
        <v>3109.8745386827486</v>
      </c>
      <c r="E16" s="102">
        <f>TrAvia_act!E$7</f>
        <v>3183.8043356959747</v>
      </c>
      <c r="F16" s="102">
        <f>TrAvia_act!F$7</f>
        <v>4097.7726025206384</v>
      </c>
      <c r="G16" s="102">
        <f>TrAvia_act!G$7</f>
        <v>5351.3628968256862</v>
      </c>
      <c r="H16" s="102">
        <f>TrAvia_act!H$7</f>
        <v>5727.4330333785465</v>
      </c>
      <c r="I16" s="102">
        <f>TrAvia_act!I$7</f>
        <v>6763.750205794413</v>
      </c>
      <c r="J16" s="102">
        <f>TrAvia_act!J$7</f>
        <v>7810.1189861708244</v>
      </c>
      <c r="K16" s="102">
        <f>TrAvia_act!K$7</f>
        <v>7246.1390796776896</v>
      </c>
      <c r="L16" s="102">
        <f>TrAvia_act!L$7</f>
        <v>7667.0963699589902</v>
      </c>
      <c r="M16" s="102">
        <f>TrAvia_act!M$7</f>
        <v>7809.1169244629828</v>
      </c>
      <c r="N16" s="102">
        <f>TrAvia_act!N$7</f>
        <v>7840.7521964830994</v>
      </c>
      <c r="O16" s="102">
        <f>TrAvia_act!O$7</f>
        <v>8218.5189443793843</v>
      </c>
      <c r="P16" s="102">
        <f>TrAvia_act!P$7</f>
        <v>9121.9499122575089</v>
      </c>
      <c r="Q16" s="102">
        <f>TrAvia_act!Q$7</f>
        <v>9462.9088003055349</v>
      </c>
      <c r="R16" s="102">
        <f>TrAvia_act!R$7</f>
        <v>9629.5716782689069</v>
      </c>
      <c r="S16" s="102">
        <f>TrAvia_act!S$7</f>
        <v>10557.967665321472</v>
      </c>
      <c r="T16" s="102">
        <f>TrAvia_act!T$7</f>
        <v>11478.716274262622</v>
      </c>
      <c r="U16" s="102">
        <f>TrAvia_act!U$7</f>
        <v>10956.228977126399</v>
      </c>
      <c r="V16" s="102">
        <f>TrAvia_act!V$7</f>
        <v>2807.5071453344617</v>
      </c>
      <c r="W16" s="102">
        <f>TrAvia_act!W$7</f>
        <v>2415.9660420615751</v>
      </c>
      <c r="X16" s="102">
        <f>TrAvia_act!X$7</f>
        <v>6307.1948354663255</v>
      </c>
      <c r="Y16" s="102">
        <f>TrAvia_act!Y$7</f>
        <v>7352.0098958512262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61404.474773275426</v>
      </c>
      <c r="C17" s="28">
        <f t="shared" si="12"/>
        <v>60069.066606528606</v>
      </c>
      <c r="D17" s="28">
        <f t="shared" si="12"/>
        <v>62699.932643479267</v>
      </c>
      <c r="E17" s="28">
        <f t="shared" si="12"/>
        <v>63611.198285015475</v>
      </c>
      <c r="F17" s="28">
        <f t="shared" si="12"/>
        <v>66990.779102929606</v>
      </c>
      <c r="G17" s="28">
        <f t="shared" si="12"/>
        <v>70507.910563960177</v>
      </c>
      <c r="H17" s="28">
        <f t="shared" si="12"/>
        <v>74024.577904504811</v>
      </c>
      <c r="I17" s="28">
        <f t="shared" si="12"/>
        <v>75031.791766031893</v>
      </c>
      <c r="J17" s="28">
        <f t="shared" si="12"/>
        <v>75823.496352161193</v>
      </c>
      <c r="K17" s="28">
        <f t="shared" si="12"/>
        <v>65052.556198746082</v>
      </c>
      <c r="L17" s="28">
        <f t="shared" si="12"/>
        <v>71006.546122880391</v>
      </c>
      <c r="M17" s="28">
        <f t="shared" si="12"/>
        <v>70854.299106580191</v>
      </c>
      <c r="N17" s="28">
        <f t="shared" si="12"/>
        <v>66485.801930645757</v>
      </c>
      <c r="O17" s="28">
        <f t="shared" si="12"/>
        <v>67304.308323013029</v>
      </c>
      <c r="P17" s="28">
        <f t="shared" si="12"/>
        <v>75162.997303837357</v>
      </c>
      <c r="Q17" s="28">
        <f t="shared" si="12"/>
        <v>75158.590344445634</v>
      </c>
      <c r="R17" s="28">
        <f t="shared" ref="R17:V17" si="13">R18+R21+R22+R26</f>
        <v>77782.258924208916</v>
      </c>
      <c r="S17" s="28">
        <f t="shared" si="13"/>
        <v>77923.336656711312</v>
      </c>
      <c r="T17" s="28">
        <f t="shared" si="13"/>
        <v>81483.107211605515</v>
      </c>
      <c r="U17" s="28">
        <f t="shared" si="13"/>
        <v>79398.0756819901</v>
      </c>
      <c r="V17" s="28">
        <f t="shared" si="13"/>
        <v>80170.148623845598</v>
      </c>
      <c r="W17" s="28">
        <f t="shared" ref="W17:Y17" si="14">W18+W21+W22+W26</f>
        <v>87634.561364329071</v>
      </c>
      <c r="X17" s="28">
        <f t="shared" si="14"/>
        <v>87209.335533299527</v>
      </c>
      <c r="Y17" s="28">
        <f t="shared" si="14"/>
        <v>79109.49731871672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39734.650838847811</v>
      </c>
      <c r="C18" s="137">
        <f t="shared" si="15"/>
        <v>38926.603432079391</v>
      </c>
      <c r="D18" s="137">
        <f t="shared" si="15"/>
        <v>41355.902301482914</v>
      </c>
      <c r="E18" s="137">
        <f t="shared" si="15"/>
        <v>41210.332322865659</v>
      </c>
      <c r="F18" s="137">
        <f t="shared" si="15"/>
        <v>43940.650468648564</v>
      </c>
      <c r="G18" s="137">
        <f t="shared" si="15"/>
        <v>46263.050020575662</v>
      </c>
      <c r="H18" s="137">
        <f t="shared" si="15"/>
        <v>48032.155245530594</v>
      </c>
      <c r="I18" s="137">
        <f t="shared" si="15"/>
        <v>49252.765012110256</v>
      </c>
      <c r="J18" s="137">
        <f t="shared" si="15"/>
        <v>50245.363820408558</v>
      </c>
      <c r="K18" s="137">
        <f t="shared" si="15"/>
        <v>42146.506947413924</v>
      </c>
      <c r="L18" s="137">
        <f t="shared" si="15"/>
        <v>43901.467897230657</v>
      </c>
      <c r="M18" s="137">
        <f t="shared" si="15"/>
        <v>44443.548531912602</v>
      </c>
      <c r="N18" s="137">
        <f t="shared" si="15"/>
        <v>41158.311646997099</v>
      </c>
      <c r="O18" s="137">
        <f t="shared" si="15"/>
        <v>42808.819648868906</v>
      </c>
      <c r="P18" s="137">
        <f t="shared" si="15"/>
        <v>50463.910641489143</v>
      </c>
      <c r="Q18" s="137">
        <f t="shared" si="15"/>
        <v>51143.753548470238</v>
      </c>
      <c r="R18" s="137">
        <f t="shared" ref="R18:V18" si="16">R19+R20</f>
        <v>53034.107485751811</v>
      </c>
      <c r="S18" s="137">
        <f t="shared" si="16"/>
        <v>52358.840858331358</v>
      </c>
      <c r="T18" s="137">
        <f t="shared" si="16"/>
        <v>54767.016052761428</v>
      </c>
      <c r="U18" s="137">
        <f t="shared" si="16"/>
        <v>53472.781482460407</v>
      </c>
      <c r="V18" s="137">
        <f t="shared" si="16"/>
        <v>54336.260329061603</v>
      </c>
      <c r="W18" s="137">
        <f t="shared" ref="W18:Y18" si="17">W19+W20</f>
        <v>59738.484782623433</v>
      </c>
      <c r="X18" s="137">
        <f t="shared" si="17"/>
        <v>59381.00852083254</v>
      </c>
      <c r="Y18" s="137">
        <f t="shared" si="17"/>
        <v>53733.532475376589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764.30791076663775</v>
      </c>
      <c r="C19" s="102">
        <f>TrRoad_act!C$20</f>
        <v>905.48954765468943</v>
      </c>
      <c r="D19" s="102">
        <f>TrRoad_act!D$20</f>
        <v>990.99035450251245</v>
      </c>
      <c r="E19" s="102">
        <f>TrRoad_act!E$20</f>
        <v>1077.2456284994621</v>
      </c>
      <c r="F19" s="102">
        <f>TrRoad_act!F$20</f>
        <v>1191.5074816826175</v>
      </c>
      <c r="G19" s="102">
        <f>TrRoad_act!G$20</f>
        <v>1147.7321029639274</v>
      </c>
      <c r="H19" s="102">
        <f>TrRoad_act!H$20</f>
        <v>1243.6807834190572</v>
      </c>
      <c r="I19" s="102">
        <f>TrRoad_act!I$20</f>
        <v>1317.6544423133651</v>
      </c>
      <c r="J19" s="102">
        <f>TrRoad_act!J$20</f>
        <v>1348.5109330993557</v>
      </c>
      <c r="K19" s="102">
        <f>TrRoad_act!K$20</f>
        <v>1359.4610530181164</v>
      </c>
      <c r="L19" s="102">
        <f>TrRoad_act!L$20</f>
        <v>1452.4581480056343</v>
      </c>
      <c r="M19" s="102">
        <f>TrRoad_act!M$20</f>
        <v>1539.9246788770386</v>
      </c>
      <c r="N19" s="102">
        <f>TrRoad_act!N$20</f>
        <v>1565.7230560979403</v>
      </c>
      <c r="O19" s="102">
        <f>TrRoad_act!O$20</f>
        <v>1592.7053660887259</v>
      </c>
      <c r="P19" s="102">
        <f>TrRoad_act!P$20</f>
        <v>1638.0443511460728</v>
      </c>
      <c r="Q19" s="102">
        <f>TrRoad_act!Q$20</f>
        <v>1736.5387449833015</v>
      </c>
      <c r="R19" s="102">
        <f>TrRoad_act!R$20</f>
        <v>1787.4320517653057</v>
      </c>
      <c r="S19" s="102">
        <f>TrRoad_act!S$20</f>
        <v>1915.2803405507757</v>
      </c>
      <c r="T19" s="102">
        <f>TrRoad_act!T$20</f>
        <v>1925.0160527614253</v>
      </c>
      <c r="U19" s="102">
        <f>TrRoad_act!U$20</f>
        <v>1968.7814824604031</v>
      </c>
      <c r="V19" s="102">
        <f>TrRoad_act!V$20</f>
        <v>2015.2603290616028</v>
      </c>
      <c r="W19" s="102">
        <f>TrRoad_act!W$20</f>
        <v>2074.4847826234345</v>
      </c>
      <c r="X19" s="102">
        <f>TrRoad_act!X$20</f>
        <v>2003.0085208325368</v>
      </c>
      <c r="Y19" s="102">
        <f>TrRoad_act!Y$20</f>
        <v>2018.5324753765881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38970.342928081176</v>
      </c>
      <c r="C20" s="102">
        <f>TrRoad_act!C$26</f>
        <v>38021.113884424703</v>
      </c>
      <c r="D20" s="102">
        <f>TrRoad_act!D$26</f>
        <v>40364.911946980399</v>
      </c>
      <c r="E20" s="102">
        <f>TrRoad_act!E$26</f>
        <v>40133.086694366197</v>
      </c>
      <c r="F20" s="102">
        <f>TrRoad_act!F$26</f>
        <v>42749.142986965948</v>
      </c>
      <c r="G20" s="102">
        <f>TrRoad_act!G$26</f>
        <v>45115.317917611734</v>
      </c>
      <c r="H20" s="102">
        <f>TrRoad_act!H$26</f>
        <v>46788.474462111539</v>
      </c>
      <c r="I20" s="102">
        <f>TrRoad_act!I$26</f>
        <v>47935.110569796889</v>
      </c>
      <c r="J20" s="102">
        <f>TrRoad_act!J$26</f>
        <v>48896.8528873092</v>
      </c>
      <c r="K20" s="102">
        <f>TrRoad_act!K$26</f>
        <v>40787.045894395807</v>
      </c>
      <c r="L20" s="102">
        <f>TrRoad_act!L$26</f>
        <v>42449.009749225021</v>
      </c>
      <c r="M20" s="102">
        <f>TrRoad_act!M$26</f>
        <v>42903.623853035562</v>
      </c>
      <c r="N20" s="102">
        <f>TrRoad_act!N$26</f>
        <v>39592.588590899162</v>
      </c>
      <c r="O20" s="102">
        <f>TrRoad_act!O$26</f>
        <v>41216.114282780181</v>
      </c>
      <c r="P20" s="102">
        <f>TrRoad_act!P$26</f>
        <v>48825.866290343067</v>
      </c>
      <c r="Q20" s="102">
        <f>TrRoad_act!Q$26</f>
        <v>49407.214803486939</v>
      </c>
      <c r="R20" s="102">
        <f>TrRoad_act!R$26</f>
        <v>51246.675433986507</v>
      </c>
      <c r="S20" s="102">
        <f>TrRoad_act!S$26</f>
        <v>50443.560517780585</v>
      </c>
      <c r="T20" s="102">
        <f>TrRoad_act!T$26</f>
        <v>52842</v>
      </c>
      <c r="U20" s="102">
        <f>TrRoad_act!U$26</f>
        <v>51504</v>
      </c>
      <c r="V20" s="102">
        <f>TrRoad_act!V$26</f>
        <v>52321</v>
      </c>
      <c r="W20" s="102">
        <f>TrRoad_act!W$26</f>
        <v>57664</v>
      </c>
      <c r="X20" s="102">
        <f>TrRoad_act!X$26</f>
        <v>57378</v>
      </c>
      <c r="Y20" s="102">
        <f>TrRoad_act!Y$26</f>
        <v>51715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19475</v>
      </c>
      <c r="C21" s="110">
        <f>TrRail_act!C$10</f>
        <v>18954</v>
      </c>
      <c r="D21" s="110">
        <f>TrRail_act!D$10</f>
        <v>19197</v>
      </c>
      <c r="E21" s="110">
        <f>TrRail_act!E$10</f>
        <v>20170</v>
      </c>
      <c r="F21" s="110">
        <f>TrRail_act!F$10</f>
        <v>20856</v>
      </c>
      <c r="G21" s="110">
        <f>TrRail_act!G$10</f>
        <v>21675</v>
      </c>
      <c r="H21" s="110">
        <f>TrRail_act!H$10</f>
        <v>22271</v>
      </c>
      <c r="I21" s="110">
        <f>TrRail_act!I$10</f>
        <v>23250</v>
      </c>
      <c r="J21" s="110">
        <f>TrRail_act!J$10</f>
        <v>22924</v>
      </c>
      <c r="K21" s="110">
        <f>TrRail_act!K$10</f>
        <v>20389</v>
      </c>
      <c r="L21" s="110">
        <f>TrRail_act!L$10</f>
        <v>23464</v>
      </c>
      <c r="M21" s="110">
        <f>TrRail_act!M$10</f>
        <v>22864</v>
      </c>
      <c r="N21" s="110">
        <f>TrRail_act!N$10</f>
        <v>22043</v>
      </c>
      <c r="O21" s="110">
        <f>TrRail_act!O$10</f>
        <v>20970</v>
      </c>
      <c r="P21" s="110">
        <f>TrRail_act!P$10</f>
        <v>21296</v>
      </c>
      <c r="Q21" s="110">
        <f>TrRail_act!Q$10</f>
        <v>20699</v>
      </c>
      <c r="R21" s="110">
        <f>TrRail_act!R$10</f>
        <v>21406</v>
      </c>
      <c r="S21" s="110">
        <f>TrRail_act!S$10</f>
        <v>21838</v>
      </c>
      <c r="T21" s="110">
        <f>TrRail_act!T$10</f>
        <v>22794</v>
      </c>
      <c r="U21" s="110">
        <f>TrRail_act!U$10</f>
        <v>22222</v>
      </c>
      <c r="V21" s="110">
        <f>TrRail_act!V$10</f>
        <v>22094</v>
      </c>
      <c r="W21" s="110">
        <f>TrRail_act!W$10</f>
        <v>23449</v>
      </c>
      <c r="X21" s="110">
        <f>TrRail_act!X$10</f>
        <v>23161</v>
      </c>
      <c r="Y21" s="110">
        <f>TrRail_act!Y$10</f>
        <v>21953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118.91793442761283</v>
      </c>
      <c r="C22" s="110">
        <f t="shared" ref="C22:V22" si="19">C23+C24+C25</f>
        <v>152.09817444921941</v>
      </c>
      <c r="D22" s="110">
        <f t="shared" si="19"/>
        <v>190.90234199635753</v>
      </c>
      <c r="E22" s="110">
        <f t="shared" si="19"/>
        <v>233.25596214981206</v>
      </c>
      <c r="F22" s="110">
        <f t="shared" si="19"/>
        <v>260.76963428104403</v>
      </c>
      <c r="G22" s="110">
        <f t="shared" si="19"/>
        <v>331.42754338450698</v>
      </c>
      <c r="H22" s="110">
        <f t="shared" si="19"/>
        <v>359.57965897422332</v>
      </c>
      <c r="I22" s="110">
        <f t="shared" si="19"/>
        <v>401.556753921628</v>
      </c>
      <c r="J22" s="110">
        <f t="shared" si="19"/>
        <v>421.77053175264609</v>
      </c>
      <c r="K22" s="110">
        <f t="shared" si="19"/>
        <v>343.2762513321548</v>
      </c>
      <c r="L22" s="110">
        <f t="shared" si="19"/>
        <v>403.48322564973301</v>
      </c>
      <c r="M22" s="110">
        <f t="shared" si="19"/>
        <v>368.38357466759714</v>
      </c>
      <c r="N22" s="110">
        <f t="shared" si="19"/>
        <v>320.87528364865943</v>
      </c>
      <c r="O22" s="110">
        <f t="shared" si="19"/>
        <v>233.28167414411922</v>
      </c>
      <c r="P22" s="110">
        <f t="shared" si="19"/>
        <v>238.30466234820972</v>
      </c>
      <c r="Q22" s="110">
        <f t="shared" si="19"/>
        <v>221.36579597538918</v>
      </c>
      <c r="R22" s="110">
        <f t="shared" si="19"/>
        <v>201.64843845710413</v>
      </c>
      <c r="S22" s="110">
        <f t="shared" si="19"/>
        <v>183.75679837995</v>
      </c>
      <c r="T22" s="110">
        <f t="shared" si="19"/>
        <v>159.05815884408204</v>
      </c>
      <c r="U22" s="110">
        <f t="shared" si="19"/>
        <v>139.22719952968814</v>
      </c>
      <c r="V22" s="110">
        <f t="shared" si="19"/>
        <v>107.61429478399637</v>
      </c>
      <c r="W22" s="110">
        <f t="shared" ref="W22:Y22" si="20">W23+W24+W25</f>
        <v>118.49558170563068</v>
      </c>
      <c r="X22" s="110">
        <f t="shared" si="20"/>
        <v>259.10801246698151</v>
      </c>
      <c r="Y22" s="110">
        <f t="shared" si="20"/>
        <v>237.12884334013822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2.9730829130285348</v>
      </c>
      <c r="C23" s="102">
        <f>TrAvia_act!C$9</f>
        <v>2.4351946783349034</v>
      </c>
      <c r="D23" s="102">
        <f>TrAvia_act!D$9</f>
        <v>3.1416062819923414</v>
      </c>
      <c r="E23" s="102">
        <f>TrAvia_act!E$9</f>
        <v>3.6895237215589116</v>
      </c>
      <c r="F23" s="102">
        <f>TrAvia_act!F$9</f>
        <v>5.3979427922883128</v>
      </c>
      <c r="G23" s="102">
        <f>TrAvia_act!G$9</f>
        <v>5.6975104075416905</v>
      </c>
      <c r="H23" s="102">
        <f>TrAvia_act!H$9</f>
        <v>6.7308438959998931</v>
      </c>
      <c r="I23" s="102">
        <f>TrAvia_act!I$9</f>
        <v>7.9912189714179922</v>
      </c>
      <c r="J23" s="102">
        <f>TrAvia_act!J$9</f>
        <v>8.4200401474431921</v>
      </c>
      <c r="K23" s="102">
        <f>TrAvia_act!K$9</f>
        <v>6.9948189184922018</v>
      </c>
      <c r="L23" s="102">
        <f>TrAvia_act!L$9</f>
        <v>6.389156378939151</v>
      </c>
      <c r="M23" s="102">
        <f>TrAvia_act!M$9</f>
        <v>5.9993007384337531</v>
      </c>
      <c r="N23" s="102">
        <f>TrAvia_act!N$9</f>
        <v>6.1546291897600103</v>
      </c>
      <c r="O23" s="102">
        <f>TrAvia_act!O$9</f>
        <v>5.9826138369544486</v>
      </c>
      <c r="P23" s="102">
        <f>TrAvia_act!P$9</f>
        <v>6.1867319330093826</v>
      </c>
      <c r="Q23" s="102">
        <f>TrAvia_act!Q$9</f>
        <v>5.9938887578484685</v>
      </c>
      <c r="R23" s="102">
        <f>TrAvia_act!R$9</f>
        <v>5.9306939865130008</v>
      </c>
      <c r="S23" s="102">
        <f>TrAvia_act!S$9</f>
        <v>5.9431117637790161</v>
      </c>
      <c r="T23" s="102">
        <f>TrAvia_act!T$9</f>
        <v>4.5222379892116047</v>
      </c>
      <c r="U23" s="102">
        <f>TrAvia_act!U$9</f>
        <v>3.1147211176581822</v>
      </c>
      <c r="V23" s="102">
        <f>TrAvia_act!V$9</f>
        <v>2.3514963612140067</v>
      </c>
      <c r="W23" s="102">
        <f>TrAvia_act!W$9</f>
        <v>2.9035602118859258</v>
      </c>
      <c r="X23" s="102">
        <f>TrAvia_act!X$9</f>
        <v>3.1830235553061894</v>
      </c>
      <c r="Y23" s="102">
        <f>TrAvia_act!Y$9</f>
        <v>2.9162865053420384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25.494963810534195</v>
      </c>
      <c r="C24" s="102">
        <f>TrAvia_act!C$10</f>
        <v>22.549153621171236</v>
      </c>
      <c r="D24" s="102">
        <f>TrAvia_act!D$10</f>
        <v>27.50525210211757</v>
      </c>
      <c r="E24" s="102">
        <f>TrAvia_act!E$10</f>
        <v>31.63433794749594</v>
      </c>
      <c r="F24" s="102">
        <f>TrAvia_act!F$10</f>
        <v>37.873078960040807</v>
      </c>
      <c r="G24" s="102">
        <f>TrAvia_act!G$10</f>
        <v>40.102089856957754</v>
      </c>
      <c r="H24" s="102">
        <f>TrAvia_act!H$10</f>
        <v>45.342512692345473</v>
      </c>
      <c r="I24" s="102">
        <f>TrAvia_act!I$10</f>
        <v>53.474679657952684</v>
      </c>
      <c r="J24" s="102">
        <f>TrAvia_act!J$10</f>
        <v>54.034919494630863</v>
      </c>
      <c r="K24" s="102">
        <f>TrAvia_act!K$10</f>
        <v>43.484680990866067</v>
      </c>
      <c r="L24" s="102">
        <f>TrAvia_act!L$10</f>
        <v>48.223263561060214</v>
      </c>
      <c r="M24" s="102">
        <f>TrAvia_act!M$10</f>
        <v>38.077347782103665</v>
      </c>
      <c r="N24" s="102">
        <f>TrAvia_act!N$10</f>
        <v>34.281548036159485</v>
      </c>
      <c r="O24" s="102">
        <f>TrAvia_act!O$10</f>
        <v>33.490613306083468</v>
      </c>
      <c r="P24" s="102">
        <f>TrAvia_act!P$10</f>
        <v>36.886072932835994</v>
      </c>
      <c r="Q24" s="102">
        <f>TrAvia_act!Q$10</f>
        <v>36.61490732960624</v>
      </c>
      <c r="R24" s="102">
        <f>TrAvia_act!R$10</f>
        <v>34.810135306480909</v>
      </c>
      <c r="S24" s="102">
        <f>TrAvia_act!S$10</f>
        <v>36.334325576144757</v>
      </c>
      <c r="T24" s="102">
        <f>TrAvia_act!T$10</f>
        <v>37.135375782250954</v>
      </c>
      <c r="U24" s="102">
        <f>TrAvia_act!U$10</f>
        <v>60.912140669596681</v>
      </c>
      <c r="V24" s="102">
        <f>TrAvia_act!V$10</f>
        <v>51.624833163975154</v>
      </c>
      <c r="W24" s="102">
        <f>TrAvia_act!W$10</f>
        <v>52.553159730658706</v>
      </c>
      <c r="X24" s="102">
        <f>TrAvia_act!X$10</f>
        <v>42.369197579820487</v>
      </c>
      <c r="Y24" s="102">
        <f>TrAvia_act!Y$10</f>
        <v>36.704470945036377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90.449887704050099</v>
      </c>
      <c r="C25" s="102">
        <f>TrAvia_act!C$11</f>
        <v>127.11382614971329</v>
      </c>
      <c r="D25" s="102">
        <f>TrAvia_act!D$11</f>
        <v>160.25548361224762</v>
      </c>
      <c r="E25" s="102">
        <f>TrAvia_act!E$11</f>
        <v>197.93210048075721</v>
      </c>
      <c r="F25" s="102">
        <f>TrAvia_act!F$11</f>
        <v>217.49861252871492</v>
      </c>
      <c r="G25" s="102">
        <f>TrAvia_act!G$11</f>
        <v>285.62794312000756</v>
      </c>
      <c r="H25" s="102">
        <f>TrAvia_act!H$11</f>
        <v>307.50630238587797</v>
      </c>
      <c r="I25" s="102">
        <f>TrAvia_act!I$11</f>
        <v>340.09085529225734</v>
      </c>
      <c r="J25" s="102">
        <f>TrAvia_act!J$11</f>
        <v>359.31557211057202</v>
      </c>
      <c r="K25" s="102">
        <f>TrAvia_act!K$11</f>
        <v>292.79675142279655</v>
      </c>
      <c r="L25" s="102">
        <f>TrAvia_act!L$11</f>
        <v>348.87080570973365</v>
      </c>
      <c r="M25" s="102">
        <f>TrAvia_act!M$11</f>
        <v>324.3069261470597</v>
      </c>
      <c r="N25" s="102">
        <f>TrAvia_act!N$11</f>
        <v>280.43910642273994</v>
      </c>
      <c r="O25" s="102">
        <f>TrAvia_act!O$11</f>
        <v>193.8084470010813</v>
      </c>
      <c r="P25" s="102">
        <f>TrAvia_act!P$11</f>
        <v>195.23185748236435</v>
      </c>
      <c r="Q25" s="102">
        <f>TrAvia_act!Q$11</f>
        <v>178.75699988793446</v>
      </c>
      <c r="R25" s="102">
        <f>TrAvia_act!R$11</f>
        <v>160.90760916411023</v>
      </c>
      <c r="S25" s="102">
        <f>TrAvia_act!S$11</f>
        <v>141.47936104002622</v>
      </c>
      <c r="T25" s="102">
        <f>TrAvia_act!T$11</f>
        <v>117.40054507261948</v>
      </c>
      <c r="U25" s="102">
        <f>TrAvia_act!U$11</f>
        <v>75.200337742433277</v>
      </c>
      <c r="V25" s="102">
        <f>TrAvia_act!V$11</f>
        <v>53.63796525880722</v>
      </c>
      <c r="W25" s="102">
        <f>TrAvia_act!W$11</f>
        <v>63.038861763086054</v>
      </c>
      <c r="X25" s="102">
        <f>TrAvia_act!X$11</f>
        <v>213.55579133185483</v>
      </c>
      <c r="Y25" s="102">
        <f>TrAvia_act!Y$11</f>
        <v>197.5080858897598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2075.9059999999999</v>
      </c>
      <c r="C26" s="110">
        <f t="shared" si="21"/>
        <v>2036.365</v>
      </c>
      <c r="D26" s="110">
        <f t="shared" si="21"/>
        <v>1956.1279999999999</v>
      </c>
      <c r="E26" s="110">
        <f t="shared" si="21"/>
        <v>1997.61</v>
      </c>
      <c r="F26" s="110">
        <f t="shared" si="21"/>
        <v>1933.3589999999999</v>
      </c>
      <c r="G26" s="110">
        <f t="shared" si="21"/>
        <v>2238.433</v>
      </c>
      <c r="H26" s="110">
        <f t="shared" si="21"/>
        <v>3361.8429999999998</v>
      </c>
      <c r="I26" s="110">
        <f t="shared" si="21"/>
        <v>2127.4699999999998</v>
      </c>
      <c r="J26" s="110">
        <f t="shared" si="21"/>
        <v>2232.3620000000001</v>
      </c>
      <c r="K26" s="110">
        <f t="shared" si="21"/>
        <v>2173.7730000000001</v>
      </c>
      <c r="L26" s="110">
        <f t="shared" si="21"/>
        <v>3237.5949999999998</v>
      </c>
      <c r="M26" s="110">
        <f t="shared" si="21"/>
        <v>3178.3670000000002</v>
      </c>
      <c r="N26" s="110">
        <f t="shared" si="21"/>
        <v>2963.6149999999998</v>
      </c>
      <c r="O26" s="110">
        <f t="shared" si="21"/>
        <v>3292.2069999999999</v>
      </c>
      <c r="P26" s="110">
        <f t="shared" si="21"/>
        <v>3164.7820000000002</v>
      </c>
      <c r="Q26" s="110">
        <f t="shared" si="21"/>
        <v>3094.471</v>
      </c>
      <c r="R26" s="110">
        <f t="shared" ref="R26:V26" si="22">R27+R28</f>
        <v>3140.5030000000002</v>
      </c>
      <c r="S26" s="110">
        <f t="shared" si="22"/>
        <v>3542.739</v>
      </c>
      <c r="T26" s="110">
        <f t="shared" si="22"/>
        <v>3763.0329999999999</v>
      </c>
      <c r="U26" s="110">
        <f t="shared" si="22"/>
        <v>3564.067</v>
      </c>
      <c r="V26" s="110">
        <f t="shared" si="22"/>
        <v>3632.2739999999999</v>
      </c>
      <c r="W26" s="110">
        <f t="shared" ref="W26:Y26" si="23">W27+W28</f>
        <v>4328.5810000000001</v>
      </c>
      <c r="X26" s="110">
        <f t="shared" si="23"/>
        <v>4408.2190000000001</v>
      </c>
      <c r="Y26" s="110">
        <f t="shared" si="23"/>
        <v>3185.8359999999998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2075.9059999999999</v>
      </c>
      <c r="C27" s="102">
        <f>TrNavi_act!C4</f>
        <v>2036.365</v>
      </c>
      <c r="D27" s="102">
        <f>TrNavi_act!D4</f>
        <v>1956.1279999999999</v>
      </c>
      <c r="E27" s="102">
        <f>TrNavi_act!E4</f>
        <v>1997.61</v>
      </c>
      <c r="F27" s="102">
        <f>TrNavi_act!F4</f>
        <v>1933.3589999999999</v>
      </c>
      <c r="G27" s="102">
        <f>TrNavi_act!G4</f>
        <v>2238.433</v>
      </c>
      <c r="H27" s="102">
        <f>TrNavi_act!H4</f>
        <v>3361.8429999999998</v>
      </c>
      <c r="I27" s="102">
        <f>TrNavi_act!I4</f>
        <v>2127.4699999999998</v>
      </c>
      <c r="J27" s="102">
        <f>TrNavi_act!J4</f>
        <v>2232.3620000000001</v>
      </c>
      <c r="K27" s="102">
        <f>TrNavi_act!K4</f>
        <v>2173.7730000000001</v>
      </c>
      <c r="L27" s="102">
        <f>TrNavi_act!L4</f>
        <v>3237.5949999999998</v>
      </c>
      <c r="M27" s="102">
        <f>TrNavi_act!M4</f>
        <v>3178.3670000000002</v>
      </c>
      <c r="N27" s="102">
        <f>TrNavi_act!N4</f>
        <v>2963.6149999999998</v>
      </c>
      <c r="O27" s="102">
        <f>TrNavi_act!O4</f>
        <v>3292.2069999999999</v>
      </c>
      <c r="P27" s="102">
        <f>TrNavi_act!P4</f>
        <v>3164.7820000000002</v>
      </c>
      <c r="Q27" s="102">
        <f>TrNavi_act!Q4</f>
        <v>3094.471</v>
      </c>
      <c r="R27" s="102">
        <f>TrNavi_act!R4</f>
        <v>3124.5030000000002</v>
      </c>
      <c r="S27" s="102">
        <f>TrNavi_act!S4</f>
        <v>3537.739</v>
      </c>
      <c r="T27" s="102">
        <f>TrNavi_act!T4</f>
        <v>3720.0329999999999</v>
      </c>
      <c r="U27" s="102">
        <f>TrNavi_act!U4</f>
        <v>3515.067</v>
      </c>
      <c r="V27" s="102">
        <f>TrNavi_act!V4</f>
        <v>3553.2739999999999</v>
      </c>
      <c r="W27" s="102">
        <f>TrNavi_act!W4</f>
        <v>4186.5810000000001</v>
      </c>
      <c r="X27" s="102">
        <f>TrNavi_act!X4</f>
        <v>4274.2190000000001</v>
      </c>
      <c r="Y27" s="102">
        <f>TrNavi_act!Y4</f>
        <v>3051.8359999999998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16</v>
      </c>
      <c r="S28" s="169">
        <f>TrNavi_act!S5</f>
        <v>5</v>
      </c>
      <c r="T28" s="169">
        <f>TrNavi_act!T5</f>
        <v>43</v>
      </c>
      <c r="U28" s="169">
        <f>TrNavi_act!U5</f>
        <v>49</v>
      </c>
      <c r="V28" s="169">
        <f>TrNavi_act!V5</f>
        <v>79</v>
      </c>
      <c r="W28" s="169">
        <f>TrNavi_act!W5</f>
        <v>142</v>
      </c>
      <c r="X28" s="169">
        <f>TrNavi_act!X5</f>
        <v>134</v>
      </c>
      <c r="Y28" s="169">
        <f>TrNavi_act!Y5</f>
        <v>134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89816.344649000006</v>
      </c>
      <c r="C29" s="28">
        <f t="shared" si="24"/>
        <v>87235.793468000003</v>
      </c>
      <c r="D29" s="28">
        <f t="shared" si="24"/>
        <v>90113.444034999993</v>
      </c>
      <c r="E29" s="28">
        <f t="shared" si="24"/>
        <v>93056.359414000006</v>
      </c>
      <c r="F29" s="28">
        <f t="shared" si="24"/>
        <v>94731.369028999994</v>
      </c>
      <c r="G29" s="28">
        <f t="shared" si="24"/>
        <v>107572.43254099999</v>
      </c>
      <c r="H29" s="28">
        <f t="shared" si="24"/>
        <v>101158.43492</v>
      </c>
      <c r="I29" s="28">
        <f t="shared" si="24"/>
        <v>101381.31027799999</v>
      </c>
      <c r="J29" s="28">
        <f t="shared" si="24"/>
        <v>111220.82791299999</v>
      </c>
      <c r="K29" s="28">
        <f t="shared" si="24"/>
        <v>96066.949261000002</v>
      </c>
      <c r="L29" s="28">
        <f t="shared" si="24"/>
        <v>118127.351946</v>
      </c>
      <c r="M29" s="28">
        <f t="shared" si="24"/>
        <v>106437.979131</v>
      </c>
      <c r="N29" s="28">
        <f t="shared" si="24"/>
        <v>99053.801480000009</v>
      </c>
      <c r="O29" s="28">
        <f t="shared" si="24"/>
        <v>105367.96379600001</v>
      </c>
      <c r="P29" s="28">
        <f t="shared" si="24"/>
        <v>114924.18195299999</v>
      </c>
      <c r="Q29" s="28">
        <f t="shared" si="24"/>
        <v>119802.55320200001</v>
      </c>
      <c r="R29" s="28">
        <f t="shared" si="24"/>
        <v>117921.328945</v>
      </c>
      <c r="S29" s="28">
        <f t="shared" si="24"/>
        <v>105275.663073</v>
      </c>
      <c r="T29" s="28">
        <f t="shared" si="24"/>
        <v>101821.72800999999</v>
      </c>
      <c r="U29" s="28">
        <f t="shared" si="24"/>
        <v>105332.52288199999</v>
      </c>
      <c r="V29" s="28">
        <f t="shared" si="24"/>
        <v>111126.582868</v>
      </c>
      <c r="W29" s="28">
        <f t="shared" si="24"/>
        <v>93371.044144999993</v>
      </c>
      <c r="X29" s="28">
        <f t="shared" ref="X29:Y29" si="25">X30+X31</f>
        <v>97501.538171000007</v>
      </c>
      <c r="Y29" s="28">
        <f t="shared" si="25"/>
        <v>98135.941747999997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39462.719531000002</v>
      </c>
      <c r="C30" s="102">
        <f>MBunk_act!C$4</f>
        <v>36394.281114000005</v>
      </c>
      <c r="D30" s="102">
        <f>MBunk_act!D$4</f>
        <v>38799.212320999999</v>
      </c>
      <c r="E30" s="102">
        <f>MBunk_act!E$4</f>
        <v>40164.920035999996</v>
      </c>
      <c r="F30" s="102">
        <f>MBunk_act!F$4</f>
        <v>42387.706074000002</v>
      </c>
      <c r="G30" s="102">
        <f>MBunk_act!G$4</f>
        <v>44408.550412999997</v>
      </c>
      <c r="H30" s="102">
        <f>MBunk_act!H$4</f>
        <v>44184.977018999998</v>
      </c>
      <c r="I30" s="102">
        <f>MBunk_act!I$4</f>
        <v>46832.666888</v>
      </c>
      <c r="J30" s="102">
        <f>MBunk_act!J$4</f>
        <v>48780.631793999994</v>
      </c>
      <c r="K30" s="102">
        <f>MBunk_act!K$4</f>
        <v>43067.462741999996</v>
      </c>
      <c r="L30" s="102">
        <f>MBunk_act!L$4</f>
        <v>47554.659224999996</v>
      </c>
      <c r="M30" s="102">
        <f>MBunk_act!M$4</f>
        <v>47464.70263</v>
      </c>
      <c r="N30" s="102">
        <f>MBunk_act!N$4</f>
        <v>43223.329148000004</v>
      </c>
      <c r="O30" s="102">
        <f>MBunk_act!O$4</f>
        <v>47094.360276000007</v>
      </c>
      <c r="P30" s="102">
        <f>MBunk_act!P$4</f>
        <v>47241.184694999996</v>
      </c>
      <c r="Q30" s="102">
        <f>MBunk_act!Q$4</f>
        <v>47024.223085000005</v>
      </c>
      <c r="R30" s="102">
        <f>MBunk_act!R$4</f>
        <v>50006.932348000002</v>
      </c>
      <c r="S30" s="102">
        <f>MBunk_act!S$4</f>
        <v>50727.973310999994</v>
      </c>
      <c r="T30" s="102">
        <f>MBunk_act!T$4</f>
        <v>50867.032173</v>
      </c>
      <c r="U30" s="102">
        <f>MBunk_act!U$4</f>
        <v>50182.785403000002</v>
      </c>
      <c r="V30" s="102">
        <f>MBunk_act!V$4</f>
        <v>50816.927985000002</v>
      </c>
      <c r="W30" s="102">
        <f>MBunk_act!W$4</f>
        <v>52294.386400999996</v>
      </c>
      <c r="X30" s="102">
        <f>MBunk_act!X$4</f>
        <v>52575.835399000003</v>
      </c>
      <c r="Y30" s="102">
        <f>MBunk_act!Y$4</f>
        <v>54507.729935999996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50353.625117999996</v>
      </c>
      <c r="C31" s="86">
        <f>MBunk_act!C$5</f>
        <v>50841.512353999999</v>
      </c>
      <c r="D31" s="86">
        <f>MBunk_act!D$5</f>
        <v>51314.231714000001</v>
      </c>
      <c r="E31" s="86">
        <f>MBunk_act!E$5</f>
        <v>52891.439378000003</v>
      </c>
      <c r="F31" s="86">
        <f>MBunk_act!F$5</f>
        <v>52343.662955</v>
      </c>
      <c r="G31" s="86">
        <f>MBunk_act!G$5</f>
        <v>63163.882127999997</v>
      </c>
      <c r="H31" s="86">
        <f>MBunk_act!H$5</f>
        <v>56973.457901000002</v>
      </c>
      <c r="I31" s="86">
        <f>MBunk_act!I$5</f>
        <v>54548.643389999997</v>
      </c>
      <c r="J31" s="86">
        <f>MBunk_act!J$5</f>
        <v>62440.196119</v>
      </c>
      <c r="K31" s="86">
        <f>MBunk_act!K$5</f>
        <v>52999.486518999998</v>
      </c>
      <c r="L31" s="86">
        <f>MBunk_act!L$5</f>
        <v>70572.692720999999</v>
      </c>
      <c r="M31" s="86">
        <f>MBunk_act!M$5</f>
        <v>58973.276501</v>
      </c>
      <c r="N31" s="86">
        <f>MBunk_act!N$5</f>
        <v>55830.472332000005</v>
      </c>
      <c r="O31" s="86">
        <f>MBunk_act!O$5</f>
        <v>58273.603520000004</v>
      </c>
      <c r="P31" s="86">
        <f>MBunk_act!P$5</f>
        <v>67682.997258000003</v>
      </c>
      <c r="Q31" s="86">
        <f>MBunk_act!Q$5</f>
        <v>72778.330117000005</v>
      </c>
      <c r="R31" s="86">
        <f>MBunk_act!R$5</f>
        <v>67914.396596999999</v>
      </c>
      <c r="S31" s="86">
        <f>MBunk_act!S$5</f>
        <v>54547.689762000002</v>
      </c>
      <c r="T31" s="86">
        <f>MBunk_act!T$5</f>
        <v>50954.695836999999</v>
      </c>
      <c r="U31" s="86">
        <f>MBunk_act!U$5</f>
        <v>55149.737478999996</v>
      </c>
      <c r="V31" s="86">
        <f>MBunk_act!V$5</f>
        <v>60309.654882999996</v>
      </c>
      <c r="W31" s="86">
        <f>MBunk_act!W$5</f>
        <v>41076.657743999996</v>
      </c>
      <c r="X31" s="86">
        <f>MBunk_act!X$5</f>
        <v>44925.702772000004</v>
      </c>
      <c r="Y31" s="86">
        <f>MBunk_act!Y$5</f>
        <v>43628.211812000001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6196.9449683165021</v>
      </c>
      <c r="C34" s="28">
        <f t="shared" si="26"/>
        <v>6136.2390369606383</v>
      </c>
      <c r="D34" s="28">
        <f t="shared" si="26"/>
        <v>6037.8023084133119</v>
      </c>
      <c r="E34" s="28">
        <f t="shared" si="26"/>
        <v>6048.7970099376626</v>
      </c>
      <c r="F34" s="28">
        <f t="shared" si="26"/>
        <v>6192.7948217979592</v>
      </c>
      <c r="G34" s="28">
        <f t="shared" si="26"/>
        <v>5948.1905174715603</v>
      </c>
      <c r="H34" s="28">
        <f t="shared" si="26"/>
        <v>5983.1707463975554</v>
      </c>
      <c r="I34" s="28">
        <f t="shared" si="26"/>
        <v>6032.2244887934712</v>
      </c>
      <c r="J34" s="28">
        <f t="shared" si="26"/>
        <v>6053.0161067412782</v>
      </c>
      <c r="K34" s="28">
        <f t="shared" si="26"/>
        <v>5993.0599571556504</v>
      </c>
      <c r="L34" s="28">
        <f t="shared" si="26"/>
        <v>5954.5465428392317</v>
      </c>
      <c r="M34" s="28">
        <f t="shared" si="26"/>
        <v>6054.6319850456566</v>
      </c>
      <c r="N34" s="28">
        <f t="shared" si="26"/>
        <v>5943.6775455393736</v>
      </c>
      <c r="O34" s="28">
        <f t="shared" si="26"/>
        <v>5935.4270046414595</v>
      </c>
      <c r="P34" s="28">
        <f t="shared" si="26"/>
        <v>5881.2608844500064</v>
      </c>
      <c r="Q34" s="28">
        <f t="shared" si="26"/>
        <v>6037.8211905969229</v>
      </c>
      <c r="R34" s="28">
        <f t="shared" ref="R34:V34" si="27">R35+R39+R43</f>
        <v>6152.958204286143</v>
      </c>
      <c r="S34" s="28">
        <f t="shared" si="27"/>
        <v>6225.7265454533881</v>
      </c>
      <c r="T34" s="28">
        <f t="shared" si="27"/>
        <v>6195.5260877611454</v>
      </c>
      <c r="U34" s="28">
        <f t="shared" si="27"/>
        <v>6085.2071277698979</v>
      </c>
      <c r="V34" s="28">
        <f t="shared" si="27"/>
        <v>5053.3116770825545</v>
      </c>
      <c r="W34" s="28">
        <f t="shared" ref="W34:Y34" si="28">W35+W39+W43</f>
        <v>5190.9340924498292</v>
      </c>
      <c r="X34" s="28">
        <f t="shared" si="28"/>
        <v>5233.2665564976132</v>
      </c>
      <c r="Y34" s="28">
        <f t="shared" si="28"/>
        <v>5201.9774265709057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5073.3366163679257</v>
      </c>
      <c r="C35" s="137">
        <f t="shared" si="29"/>
        <v>5007.180694927587</v>
      </c>
      <c r="D35" s="137">
        <f t="shared" si="29"/>
        <v>5138.0660742126074</v>
      </c>
      <c r="E35" s="137">
        <f t="shared" si="29"/>
        <v>5177.2892972733189</v>
      </c>
      <c r="F35" s="137">
        <f t="shared" si="29"/>
        <v>5180.6795370167365</v>
      </c>
      <c r="G35" s="137">
        <f t="shared" si="29"/>
        <v>4941.1376822584198</v>
      </c>
      <c r="H35" s="137">
        <f t="shared" si="29"/>
        <v>4958.0597220727641</v>
      </c>
      <c r="I35" s="137">
        <f t="shared" si="29"/>
        <v>5022.5403829291745</v>
      </c>
      <c r="J35" s="137">
        <f t="shared" si="29"/>
        <v>4946.0546062961448</v>
      </c>
      <c r="K35" s="137">
        <f t="shared" si="29"/>
        <v>4960.9927818476344</v>
      </c>
      <c r="L35" s="137">
        <f t="shared" si="29"/>
        <v>4967.1164290747156</v>
      </c>
      <c r="M35" s="137">
        <f t="shared" si="29"/>
        <v>4978.0553181772784</v>
      </c>
      <c r="N35" s="137">
        <f t="shared" si="29"/>
        <v>4892.310171430524</v>
      </c>
      <c r="O35" s="137">
        <f t="shared" si="29"/>
        <v>4777.7856785430586</v>
      </c>
      <c r="P35" s="137">
        <f t="shared" si="29"/>
        <v>4799.3045832575062</v>
      </c>
      <c r="Q35" s="137">
        <f t="shared" si="29"/>
        <v>4938.2418979152162</v>
      </c>
      <c r="R35" s="137">
        <f t="shared" ref="R35:V35" si="30">R36+R37+R38</f>
        <v>4949.3841236712924</v>
      </c>
      <c r="S35" s="137">
        <f t="shared" si="30"/>
        <v>4989.001495373509</v>
      </c>
      <c r="T35" s="137">
        <f t="shared" si="30"/>
        <v>4908.6888955833701</v>
      </c>
      <c r="U35" s="137">
        <f t="shared" si="30"/>
        <v>4870.570090539075</v>
      </c>
      <c r="V35" s="137">
        <f t="shared" si="30"/>
        <v>4506.3068464244634</v>
      </c>
      <c r="W35" s="137">
        <f t="shared" ref="W35:Y35" si="31">W36+W37+W38</f>
        <v>4602.3795624861559</v>
      </c>
      <c r="X35" s="137">
        <f t="shared" si="31"/>
        <v>4359.6330335575358</v>
      </c>
      <c r="Y35" s="137">
        <f t="shared" si="31"/>
        <v>4363.869730563586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22.71495622002292</v>
      </c>
      <c r="C36" s="102">
        <f>TrRoad_ene!C$19</f>
        <v>24.372989851088295</v>
      </c>
      <c r="D36" s="102">
        <f>TrRoad_ene!D$19</f>
        <v>27.053455862730857</v>
      </c>
      <c r="E36" s="102">
        <f>TrRoad_ene!E$19</f>
        <v>28.898930670990222</v>
      </c>
      <c r="F36" s="102">
        <f>TrRoad_ene!F$19</f>
        <v>30.80242978931955</v>
      </c>
      <c r="G36" s="102">
        <f>TrRoad_ene!G$19</f>
        <v>31.046985086873597</v>
      </c>
      <c r="H36" s="102">
        <f>TrRoad_ene!H$19</f>
        <v>33.073085821087801</v>
      </c>
      <c r="I36" s="102">
        <f>TrRoad_ene!I$19</f>
        <v>35.893984954148557</v>
      </c>
      <c r="J36" s="102">
        <f>TrRoad_ene!J$19</f>
        <v>34.946653659290796</v>
      </c>
      <c r="K36" s="102">
        <f>TrRoad_ene!K$19</f>
        <v>34.417445061474027</v>
      </c>
      <c r="L36" s="102">
        <f>TrRoad_ene!L$19</f>
        <v>31.970396595423107</v>
      </c>
      <c r="M36" s="102">
        <f>TrRoad_ene!M$19</f>
        <v>30.911432580460573</v>
      </c>
      <c r="N36" s="102">
        <f>TrRoad_ene!N$19</f>
        <v>26.542829413312393</v>
      </c>
      <c r="O36" s="102">
        <f>TrRoad_ene!O$19</f>
        <v>29.667572812420577</v>
      </c>
      <c r="P36" s="102">
        <f>TrRoad_ene!P$19</f>
        <v>29.166364794430848</v>
      </c>
      <c r="Q36" s="102">
        <f>TrRoad_ene!Q$19</f>
        <v>29.211937402695717</v>
      </c>
      <c r="R36" s="102">
        <f>TrRoad_ene!R$19</f>
        <v>30.381872327280867</v>
      </c>
      <c r="S36" s="102">
        <f>TrRoad_ene!S$19</f>
        <v>28.403431694414049</v>
      </c>
      <c r="T36" s="102">
        <f>TrRoad_ene!T$19</f>
        <v>26.813734359380508</v>
      </c>
      <c r="U36" s="102">
        <f>TrRoad_ene!U$19</f>
        <v>28.1356505613</v>
      </c>
      <c r="V36" s="102">
        <f>TrRoad_ene!V$19</f>
        <v>24.771481367591157</v>
      </c>
      <c r="W36" s="102">
        <f>TrRoad_ene!W$19</f>
        <v>25.45825394486177</v>
      </c>
      <c r="X36" s="102">
        <f>TrRoad_ene!X$19</f>
        <v>25.533212414257122</v>
      </c>
      <c r="Y36" s="102">
        <f>TrRoad_ene!Y$19</f>
        <v>27.193634964497114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4440.6558074213553</v>
      </c>
      <c r="C37" s="102">
        <f>TrRoad_ene!C$21</f>
        <v>4393.607188679568</v>
      </c>
      <c r="D37" s="102">
        <f>TrRoad_ene!D$21</f>
        <v>4535.3045660008256</v>
      </c>
      <c r="E37" s="102">
        <f>TrRoad_ene!E$21</f>
        <v>4566.0543518817349</v>
      </c>
      <c r="F37" s="102">
        <f>TrRoad_ene!F$21</f>
        <v>4576.1541404453919</v>
      </c>
      <c r="G37" s="102">
        <f>TrRoad_ene!G$21</f>
        <v>4398.6134687916829</v>
      </c>
      <c r="H37" s="102">
        <f>TrRoad_ene!H$21</f>
        <v>4389.7888767569229</v>
      </c>
      <c r="I37" s="102">
        <f>TrRoad_ene!I$21</f>
        <v>4476.3768409280801</v>
      </c>
      <c r="J37" s="102">
        <f>TrRoad_ene!J$21</f>
        <v>4400.6274971101111</v>
      </c>
      <c r="K37" s="102">
        <f>TrRoad_ene!K$21</f>
        <v>4438.0291188649126</v>
      </c>
      <c r="L37" s="102">
        <f>TrRoad_ene!L$21</f>
        <v>4426.2806709226797</v>
      </c>
      <c r="M37" s="102">
        <f>TrRoad_ene!M$21</f>
        <v>4413.5626036479262</v>
      </c>
      <c r="N37" s="102">
        <f>TrRoad_ene!N$21</f>
        <v>4326.2726615969159</v>
      </c>
      <c r="O37" s="102">
        <f>TrRoad_ene!O$21</f>
        <v>4320.6631942738622</v>
      </c>
      <c r="P37" s="102">
        <f>TrRoad_ene!P$21</f>
        <v>4365.2326725803778</v>
      </c>
      <c r="Q37" s="102">
        <f>TrRoad_ene!Q$21</f>
        <v>4504.0804115440578</v>
      </c>
      <c r="R37" s="102">
        <f>TrRoad_ene!R$21</f>
        <v>4518.4693531712055</v>
      </c>
      <c r="S37" s="102">
        <f>TrRoad_ene!S$21</f>
        <v>4562.9209613291414</v>
      </c>
      <c r="T37" s="102">
        <f>TrRoad_ene!T$21</f>
        <v>4480.7876669574562</v>
      </c>
      <c r="U37" s="102">
        <f>TrRoad_ene!U$21</f>
        <v>4379.7619336933085</v>
      </c>
      <c r="V37" s="102">
        <f>TrRoad_ene!V$21</f>
        <v>4069.8632380067161</v>
      </c>
      <c r="W37" s="102">
        <f>TrRoad_ene!W$21</f>
        <v>4181.2425935719066</v>
      </c>
      <c r="X37" s="102">
        <f>TrRoad_ene!X$21</f>
        <v>3929.7565910929297</v>
      </c>
      <c r="Y37" s="102">
        <f>TrRoad_ene!Y$21</f>
        <v>3914.5906318424668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609.9658527265475</v>
      </c>
      <c r="C38" s="102">
        <f>TrRoad_ene!C$33</f>
        <v>589.20051639693088</v>
      </c>
      <c r="D38" s="102">
        <f>TrRoad_ene!D$33</f>
        <v>575.7080523490514</v>
      </c>
      <c r="E38" s="102">
        <f>TrRoad_ene!E$33</f>
        <v>582.33601472059422</v>
      </c>
      <c r="F38" s="102">
        <f>TrRoad_ene!F$33</f>
        <v>573.72296678202474</v>
      </c>
      <c r="G38" s="102">
        <f>TrRoad_ene!G$33</f>
        <v>511.47722837986259</v>
      </c>
      <c r="H38" s="102">
        <f>TrRoad_ene!H$33</f>
        <v>535.19775949475309</v>
      </c>
      <c r="I38" s="102">
        <f>TrRoad_ene!I$33</f>
        <v>510.26955704694575</v>
      </c>
      <c r="J38" s="102">
        <f>TrRoad_ene!J$33</f>
        <v>510.48045552674307</v>
      </c>
      <c r="K38" s="102">
        <f>TrRoad_ene!K$33</f>
        <v>488.54621792124834</v>
      </c>
      <c r="L38" s="102">
        <f>TrRoad_ene!L$33</f>
        <v>508.86536155661253</v>
      </c>
      <c r="M38" s="102">
        <f>TrRoad_ene!M$33</f>
        <v>533.58128194889218</v>
      </c>
      <c r="N38" s="102">
        <f>TrRoad_ene!N$33</f>
        <v>539.49468042029559</v>
      </c>
      <c r="O38" s="102">
        <f>TrRoad_ene!O$33</f>
        <v>427.45491145677539</v>
      </c>
      <c r="P38" s="102">
        <f>TrRoad_ene!P$33</f>
        <v>404.90554588269811</v>
      </c>
      <c r="Q38" s="102">
        <f>TrRoad_ene!Q$33</f>
        <v>404.9495489684619</v>
      </c>
      <c r="R38" s="102">
        <f>TrRoad_ene!R$33</f>
        <v>400.53289817280643</v>
      </c>
      <c r="S38" s="102">
        <f>TrRoad_ene!S$33</f>
        <v>397.67710234995303</v>
      </c>
      <c r="T38" s="102">
        <f>TrRoad_ene!T$33</f>
        <v>401.08749426653338</v>
      </c>
      <c r="U38" s="102">
        <f>TrRoad_ene!U$33</f>
        <v>462.67250628446658</v>
      </c>
      <c r="V38" s="102">
        <f>TrRoad_ene!V$33</f>
        <v>411.67212705015584</v>
      </c>
      <c r="W38" s="102">
        <f>TrRoad_ene!W$33</f>
        <v>395.6787149693875</v>
      </c>
      <c r="X38" s="102">
        <f>TrRoad_ene!X$33</f>
        <v>404.34323005034912</v>
      </c>
      <c r="Y38" s="102">
        <f>TrRoad_ene!Y$33</f>
        <v>422.08546375662189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179.61328115939918</v>
      </c>
      <c r="C39" s="110">
        <f t="shared" si="32"/>
        <v>170.49190397181079</v>
      </c>
      <c r="D39" s="110">
        <f t="shared" si="32"/>
        <v>173.46237993055595</v>
      </c>
      <c r="E39" s="110">
        <f t="shared" si="32"/>
        <v>171.10540803084174</v>
      </c>
      <c r="F39" s="110">
        <f t="shared" si="32"/>
        <v>172.54025185948512</v>
      </c>
      <c r="G39" s="110">
        <f t="shared" si="32"/>
        <v>159.42725968409823</v>
      </c>
      <c r="H39" s="110">
        <f t="shared" si="32"/>
        <v>163.22168374972614</v>
      </c>
      <c r="I39" s="110">
        <f t="shared" si="32"/>
        <v>162.90648228914884</v>
      </c>
      <c r="J39" s="110">
        <f t="shared" si="32"/>
        <v>144.89010331474557</v>
      </c>
      <c r="K39" s="110">
        <f t="shared" si="32"/>
        <v>156.45676389808909</v>
      </c>
      <c r="L39" s="110">
        <f t="shared" si="32"/>
        <v>149.89605708713441</v>
      </c>
      <c r="M39" s="110">
        <f t="shared" si="32"/>
        <v>164.57416475219867</v>
      </c>
      <c r="N39" s="110">
        <f t="shared" si="32"/>
        <v>173.29095353031741</v>
      </c>
      <c r="O39" s="110">
        <f t="shared" si="32"/>
        <v>180.34599050560175</v>
      </c>
      <c r="P39" s="110">
        <f t="shared" si="32"/>
        <v>175.08396021453967</v>
      </c>
      <c r="Q39" s="110">
        <f t="shared" si="32"/>
        <v>175.81684023596983</v>
      </c>
      <c r="R39" s="110">
        <f t="shared" ref="R39:V39" si="33">R40+R41+R42</f>
        <v>181.89672012438925</v>
      </c>
      <c r="S39" s="110">
        <f t="shared" si="33"/>
        <v>164.32678345695481</v>
      </c>
      <c r="T39" s="110">
        <f t="shared" si="33"/>
        <v>177.1971860201823</v>
      </c>
      <c r="U39" s="110">
        <f t="shared" si="33"/>
        <v>172.18935924457222</v>
      </c>
      <c r="V39" s="110">
        <f t="shared" si="33"/>
        <v>155.20579298428947</v>
      </c>
      <c r="W39" s="110">
        <f t="shared" ref="W39:Y39" si="34">W40+W41+W42</f>
        <v>173.29089476865875</v>
      </c>
      <c r="X39" s="110">
        <f t="shared" si="34"/>
        <v>161.42487170451534</v>
      </c>
      <c r="Y39" s="110">
        <f t="shared" si="34"/>
        <v>163.02095526188711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13.159133621069508</v>
      </c>
      <c r="C40" s="102">
        <f>TrRail_ene!C$12</f>
        <v>13.060838119795735</v>
      </c>
      <c r="D40" s="102">
        <f>TrRail_ene!D$12</f>
        <v>12.061395205247324</v>
      </c>
      <c r="E40" s="102">
        <f>TrRail_ene!E$12</f>
        <v>11.956159866324967</v>
      </c>
      <c r="F40" s="102">
        <f>TrRail_ene!F$12</f>
        <v>11.880759165510957</v>
      </c>
      <c r="G40" s="102">
        <f>TrRail_ene!G$12</f>
        <v>11.500950285146017</v>
      </c>
      <c r="H40" s="102">
        <f>TrRail_ene!H$12</f>
        <v>12.073210807926676</v>
      </c>
      <c r="I40" s="102">
        <f>TrRail_ene!I$12</f>
        <v>12.487855243274488</v>
      </c>
      <c r="J40" s="102">
        <f>TrRail_ene!J$12</f>
        <v>12.326539414169222</v>
      </c>
      <c r="K40" s="102">
        <f>TrRail_ene!K$12</f>
        <v>12.254763308428476</v>
      </c>
      <c r="L40" s="102">
        <f>TrRail_ene!L$12</f>
        <v>12.377476769679815</v>
      </c>
      <c r="M40" s="102">
        <f>TrRail_ene!M$12</f>
        <v>12.646943657447071</v>
      </c>
      <c r="N40" s="102">
        <f>TrRail_ene!N$12</f>
        <v>12.761261139306418</v>
      </c>
      <c r="O40" s="102">
        <f>TrRail_ene!O$12</f>
        <v>13.074526339320876</v>
      </c>
      <c r="P40" s="102">
        <f>TrRail_ene!P$12</f>
        <v>12.859609085255608</v>
      </c>
      <c r="Q40" s="102">
        <f>TrRail_ene!Q$12</f>
        <v>13.075352244082447</v>
      </c>
      <c r="R40" s="102">
        <f>TrRail_ene!R$12</f>
        <v>13.546857326081748</v>
      </c>
      <c r="S40" s="102">
        <f>TrRail_ene!S$12</f>
        <v>13.609687246394479</v>
      </c>
      <c r="T40" s="102">
        <f>TrRail_ene!T$12</f>
        <v>13.298114716520246</v>
      </c>
      <c r="U40" s="102">
        <f>TrRail_ene!U$12</f>
        <v>13.07506667710912</v>
      </c>
      <c r="V40" s="102">
        <f>TrRail_ene!V$12</f>
        <v>12.991403951960494</v>
      </c>
      <c r="W40" s="102">
        <f>TrRail_ene!W$12</f>
        <v>13.027991914115624</v>
      </c>
      <c r="X40" s="102">
        <f>TrRail_ene!X$12</f>
        <v>11.774993648250192</v>
      </c>
      <c r="Y40" s="102">
        <f>TrRail_ene!Y$12</f>
        <v>11.773658725270806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136.40813675975343</v>
      </c>
      <c r="C41" s="102">
        <f>TrRail_ene!C$13</f>
        <v>125.62672829263209</v>
      </c>
      <c r="D41" s="102">
        <f>TrRail_ene!D$13</f>
        <v>128.02549618147046</v>
      </c>
      <c r="E41" s="102">
        <f>TrRail_ene!E$13</f>
        <v>126.1178673878287</v>
      </c>
      <c r="F41" s="102">
        <f>TrRail_ene!F$13</f>
        <v>127.90298973408284</v>
      </c>
      <c r="G41" s="102">
        <f>TrRail_ene!G$13</f>
        <v>116.95578138827294</v>
      </c>
      <c r="H41" s="102">
        <f>TrRail_ene!H$13</f>
        <v>122.41187642760896</v>
      </c>
      <c r="I41" s="102">
        <f>TrRail_ene!I$13</f>
        <v>122.03165154522459</v>
      </c>
      <c r="J41" s="102">
        <f>TrRail_ene!J$13</f>
        <v>103.66454637438703</v>
      </c>
      <c r="K41" s="102">
        <f>TrRail_ene!K$13</f>
        <v>114.70767237077079</v>
      </c>
      <c r="L41" s="102">
        <f>TrRail_ene!L$13</f>
        <v>109.20365583889358</v>
      </c>
      <c r="M41" s="102">
        <f>TrRail_ene!M$13</f>
        <v>123.07033726662617</v>
      </c>
      <c r="N41" s="102">
        <f>TrRail_ene!N$13</f>
        <v>131.60258486972634</v>
      </c>
      <c r="O41" s="102">
        <f>TrRail_ene!O$13</f>
        <v>136.70453323160919</v>
      </c>
      <c r="P41" s="102">
        <f>TrRail_ene!P$13</f>
        <v>128.27979982845633</v>
      </c>
      <c r="Q41" s="102">
        <f>TrRail_ene!Q$13</f>
        <v>130.6924872828705</v>
      </c>
      <c r="R41" s="102">
        <f>TrRail_ene!R$13</f>
        <v>135.35950614377327</v>
      </c>
      <c r="S41" s="102">
        <f>TrRail_ene!S$13</f>
        <v>115.74276775247688</v>
      </c>
      <c r="T41" s="102">
        <f>TrRail_ene!T$13</f>
        <v>130.67123755686626</v>
      </c>
      <c r="U41" s="102">
        <f>TrRail_ene!U$13</f>
        <v>122.76564198725336</v>
      </c>
      <c r="V41" s="102">
        <f>TrRail_ene!V$13</f>
        <v>113.14893264970146</v>
      </c>
      <c r="W41" s="102">
        <f>TrRail_ene!W$13</f>
        <v>130.60979187975175</v>
      </c>
      <c r="X41" s="102">
        <f>TrRail_ene!X$13</f>
        <v>120.1451930001009</v>
      </c>
      <c r="Y41" s="102">
        <f>TrRail_ene!Y$13</f>
        <v>121.85344316596814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30.046010778576221</v>
      </c>
      <c r="C42" s="102">
        <f>TrRail_ene!C$16</f>
        <v>31.804337559382969</v>
      </c>
      <c r="D42" s="102">
        <f>TrRail_ene!D$16</f>
        <v>33.375488543838173</v>
      </c>
      <c r="E42" s="102">
        <f>TrRail_ene!E$16</f>
        <v>33.031380776688081</v>
      </c>
      <c r="F42" s="102">
        <f>TrRail_ene!F$16</f>
        <v>32.756502959891314</v>
      </c>
      <c r="G42" s="102">
        <f>TrRail_ene!G$16</f>
        <v>30.970528010679278</v>
      </c>
      <c r="H42" s="102">
        <f>TrRail_ene!H$16</f>
        <v>28.736596514190499</v>
      </c>
      <c r="I42" s="102">
        <f>TrRail_ene!I$16</f>
        <v>28.386975500649765</v>
      </c>
      <c r="J42" s="102">
        <f>TrRail_ene!J$16</f>
        <v>28.899017526189329</v>
      </c>
      <c r="K42" s="102">
        <f>TrRail_ene!K$16</f>
        <v>29.494328218889827</v>
      </c>
      <c r="L42" s="102">
        <f>TrRail_ene!L$16</f>
        <v>28.314924478561011</v>
      </c>
      <c r="M42" s="102">
        <f>TrRail_ene!M$16</f>
        <v>28.856883828125444</v>
      </c>
      <c r="N42" s="102">
        <f>TrRail_ene!N$16</f>
        <v>28.927107521284654</v>
      </c>
      <c r="O42" s="102">
        <f>TrRail_ene!O$16</f>
        <v>30.566930934671696</v>
      </c>
      <c r="P42" s="102">
        <f>TrRail_ene!P$16</f>
        <v>33.944551300827733</v>
      </c>
      <c r="Q42" s="102">
        <f>TrRail_ene!Q$16</f>
        <v>32.049000709016894</v>
      </c>
      <c r="R42" s="102">
        <f>TrRail_ene!R$16</f>
        <v>32.990356654534224</v>
      </c>
      <c r="S42" s="102">
        <f>TrRail_ene!S$16</f>
        <v>34.974328458083448</v>
      </c>
      <c r="T42" s="102">
        <f>TrRail_ene!T$16</f>
        <v>33.22783374679581</v>
      </c>
      <c r="U42" s="102">
        <f>TrRail_ene!U$16</f>
        <v>36.34865058020975</v>
      </c>
      <c r="V42" s="102">
        <f>TrRail_ene!V$16</f>
        <v>29.065456382627524</v>
      </c>
      <c r="W42" s="102">
        <f>TrRail_ene!W$16</f>
        <v>29.653110974791371</v>
      </c>
      <c r="X42" s="102">
        <f>TrRail_ene!X$16</f>
        <v>29.504685056164242</v>
      </c>
      <c r="Y42" s="102">
        <f>TrRail_ene!Y$16</f>
        <v>29.393853370648149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943.99507078917725</v>
      </c>
      <c r="C43" s="110">
        <f t="shared" si="35"/>
        <v>958.566438061241</v>
      </c>
      <c r="D43" s="110">
        <f t="shared" si="35"/>
        <v>726.27385427014838</v>
      </c>
      <c r="E43" s="110">
        <f t="shared" si="35"/>
        <v>700.40230463350247</v>
      </c>
      <c r="F43" s="110">
        <f t="shared" si="35"/>
        <v>839.57503292173715</v>
      </c>
      <c r="G43" s="110">
        <f t="shared" si="35"/>
        <v>847.62557552904195</v>
      </c>
      <c r="H43" s="110">
        <f t="shared" si="35"/>
        <v>861.88934057506492</v>
      </c>
      <c r="I43" s="110">
        <f t="shared" si="35"/>
        <v>846.7776235751478</v>
      </c>
      <c r="J43" s="110">
        <f t="shared" si="35"/>
        <v>962.07139713038794</v>
      </c>
      <c r="K43" s="110">
        <f t="shared" si="35"/>
        <v>875.61041140992677</v>
      </c>
      <c r="L43" s="110">
        <f t="shared" si="35"/>
        <v>837.53405667738184</v>
      </c>
      <c r="M43" s="110">
        <f t="shared" si="35"/>
        <v>912.00250211617913</v>
      </c>
      <c r="N43" s="110">
        <f t="shared" si="35"/>
        <v>878.07642057853263</v>
      </c>
      <c r="O43" s="110">
        <f t="shared" si="35"/>
        <v>977.29533559279957</v>
      </c>
      <c r="P43" s="110">
        <f t="shared" si="35"/>
        <v>906.87234097796068</v>
      </c>
      <c r="Q43" s="110">
        <f t="shared" si="35"/>
        <v>923.76245244573727</v>
      </c>
      <c r="R43" s="110">
        <f t="shared" ref="R43:V43" si="36">R44+R45+R46</f>
        <v>1021.6773604904608</v>
      </c>
      <c r="S43" s="110">
        <f t="shared" si="36"/>
        <v>1072.3982666229235</v>
      </c>
      <c r="T43" s="110">
        <f t="shared" si="36"/>
        <v>1109.640006157593</v>
      </c>
      <c r="U43" s="110">
        <f t="shared" si="36"/>
        <v>1042.4476779862512</v>
      </c>
      <c r="V43" s="110">
        <f t="shared" si="36"/>
        <v>391.79903767380154</v>
      </c>
      <c r="W43" s="110">
        <f t="shared" ref="W43:Y43" si="37">W44+W45+W46</f>
        <v>415.26363519501376</v>
      </c>
      <c r="X43" s="110">
        <f t="shared" si="37"/>
        <v>712.208651235562</v>
      </c>
      <c r="Y43" s="110">
        <f t="shared" si="37"/>
        <v>675.08674074543228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243.12907724753327</v>
      </c>
      <c r="C44" s="102">
        <f>TrAvia_ene!C$7</f>
        <v>246.46845462909079</v>
      </c>
      <c r="D44" s="102">
        <f>TrAvia_ene!D$7</f>
        <v>204.20905236578014</v>
      </c>
      <c r="E44" s="102">
        <f>TrAvia_ene!E$7</f>
        <v>197.71902651633701</v>
      </c>
      <c r="F44" s="102">
        <f>TrAvia_ene!F$7</f>
        <v>225.20565389853633</v>
      </c>
      <c r="G44" s="102">
        <f>TrAvia_ene!G$7</f>
        <v>231.67042355775573</v>
      </c>
      <c r="H44" s="102">
        <f>TrAvia_ene!H$7</f>
        <v>218.37515175487957</v>
      </c>
      <c r="I44" s="102">
        <f>TrAvia_ene!I$7</f>
        <v>212.71921587524065</v>
      </c>
      <c r="J44" s="102">
        <f>TrAvia_ene!J$7</f>
        <v>198.95123713975275</v>
      </c>
      <c r="K44" s="102">
        <f>TrAvia_ene!K$7</f>
        <v>174.76676139809558</v>
      </c>
      <c r="L44" s="102">
        <f>TrAvia_ene!L$7</f>
        <v>164.60810198351476</v>
      </c>
      <c r="M44" s="102">
        <f>TrAvia_ene!M$7</f>
        <v>181.35926972033675</v>
      </c>
      <c r="N44" s="102">
        <f>TrAvia_ene!N$7</f>
        <v>178.18700242999819</v>
      </c>
      <c r="O44" s="102">
        <f>TrAvia_ene!O$7</f>
        <v>179.47774824142019</v>
      </c>
      <c r="P44" s="102">
        <f>TrAvia_ene!P$7</f>
        <v>178.66435960348784</v>
      </c>
      <c r="Q44" s="102">
        <f>TrAvia_ene!Q$7</f>
        <v>176.57362453433865</v>
      </c>
      <c r="R44" s="102">
        <f>TrAvia_ene!R$7</f>
        <v>188.37399115528578</v>
      </c>
      <c r="S44" s="102">
        <f>TrAvia_ene!S$7</f>
        <v>186.67284483087289</v>
      </c>
      <c r="T44" s="102">
        <f>TrAvia_ene!T$7</f>
        <v>176.53485705831486</v>
      </c>
      <c r="U44" s="102">
        <f>TrAvia_ene!U$7</f>
        <v>158.99431411642624</v>
      </c>
      <c r="V44" s="102">
        <f>TrAvia_ene!V$7</f>
        <v>61.184856703748778</v>
      </c>
      <c r="W44" s="102">
        <f>TrAvia_ene!W$7</f>
        <v>69.8591273825119</v>
      </c>
      <c r="X44" s="102">
        <f>TrAvia_ene!X$7</f>
        <v>105.59555361830616</v>
      </c>
      <c r="Y44" s="102">
        <f>TrAvia_ene!Y$7</f>
        <v>108.93336275691748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536.73199009770235</v>
      </c>
      <c r="C45" s="102">
        <f>TrAvia_ene!C$8</f>
        <v>559.54984849407981</v>
      </c>
      <c r="D45" s="102">
        <f>TrAvia_ene!D$8</f>
        <v>412.74281858077308</v>
      </c>
      <c r="E45" s="102">
        <f>TrAvia_ene!E$8</f>
        <v>392.94719785135794</v>
      </c>
      <c r="F45" s="102">
        <f>TrAvia_ene!F$8</f>
        <v>462.88780950989599</v>
      </c>
      <c r="G45" s="102">
        <f>TrAvia_ene!G$8</f>
        <v>463.99430933877682</v>
      </c>
      <c r="H45" s="102">
        <f>TrAvia_ene!H$8</f>
        <v>488.0731457124399</v>
      </c>
      <c r="I45" s="102">
        <f>TrAvia_ene!I$8</f>
        <v>483.59424789953988</v>
      </c>
      <c r="J45" s="102">
        <f>TrAvia_ene!J$8</f>
        <v>579.41746188135858</v>
      </c>
      <c r="K45" s="102">
        <f>TrAvia_ene!K$8</f>
        <v>522.66883274597649</v>
      </c>
      <c r="L45" s="102">
        <f>TrAvia_ene!L$8</f>
        <v>502.43959575619391</v>
      </c>
      <c r="M45" s="102">
        <f>TrAvia_ene!M$8</f>
        <v>549.72550937979611</v>
      </c>
      <c r="N45" s="102">
        <f>TrAvia_ene!N$8</f>
        <v>521.72502664613933</v>
      </c>
      <c r="O45" s="102">
        <f>TrAvia_ene!O$8</f>
        <v>595.09843090571871</v>
      </c>
      <c r="P45" s="102">
        <f>TrAvia_ene!P$8</f>
        <v>544.75604335594255</v>
      </c>
      <c r="Q45" s="102">
        <f>TrAvia_ene!Q$8</f>
        <v>559.32536510080581</v>
      </c>
      <c r="R45" s="102">
        <f>TrAvia_ene!R$8</f>
        <v>632.82495031429505</v>
      </c>
      <c r="S45" s="102">
        <f>TrAvia_ene!S$8</f>
        <v>679.2671890819754</v>
      </c>
      <c r="T45" s="102">
        <f>TrAvia_ene!T$8</f>
        <v>710.63911732826057</v>
      </c>
      <c r="U45" s="102">
        <f>TrAvia_ene!U$8</f>
        <v>663.52192972638943</v>
      </c>
      <c r="V45" s="102">
        <f>TrAvia_ene!V$8</f>
        <v>229.6449216961251</v>
      </c>
      <c r="W45" s="102">
        <f>TrAvia_ene!W$8</f>
        <v>250.13647632360656</v>
      </c>
      <c r="X45" s="102">
        <f>TrAvia_ene!X$8</f>
        <v>464.18555481769255</v>
      </c>
      <c r="Y45" s="102">
        <f>TrAvia_ene!Y$8</f>
        <v>430.06388974168806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164.13400344394162</v>
      </c>
      <c r="C46" s="102">
        <f>TrAvia_ene!C$9</f>
        <v>152.54813493807038</v>
      </c>
      <c r="D46" s="102">
        <f>TrAvia_ene!D$9</f>
        <v>109.32198332359519</v>
      </c>
      <c r="E46" s="102">
        <f>TrAvia_ene!E$9</f>
        <v>109.7360802658076</v>
      </c>
      <c r="F46" s="102">
        <f>TrAvia_ene!F$9</f>
        <v>151.48156951330481</v>
      </c>
      <c r="G46" s="102">
        <f>TrAvia_ene!G$9</f>
        <v>151.96084263250941</v>
      </c>
      <c r="H46" s="102">
        <f>TrAvia_ene!H$9</f>
        <v>155.44104310774546</v>
      </c>
      <c r="I46" s="102">
        <f>TrAvia_ene!I$9</f>
        <v>150.4641598003673</v>
      </c>
      <c r="J46" s="102">
        <f>TrAvia_ene!J$9</f>
        <v>183.70269810927664</v>
      </c>
      <c r="K46" s="102">
        <f>TrAvia_ene!K$9</f>
        <v>178.17481726585467</v>
      </c>
      <c r="L46" s="102">
        <f>TrAvia_ene!L$9</f>
        <v>170.48635893767326</v>
      </c>
      <c r="M46" s="102">
        <f>TrAvia_ene!M$9</f>
        <v>180.91772301604624</v>
      </c>
      <c r="N46" s="102">
        <f>TrAvia_ene!N$9</f>
        <v>178.16439150239509</v>
      </c>
      <c r="O46" s="102">
        <f>TrAvia_ene!O$9</f>
        <v>202.71915644566064</v>
      </c>
      <c r="P46" s="102">
        <f>TrAvia_ene!P$9</f>
        <v>183.45193801853034</v>
      </c>
      <c r="Q46" s="102">
        <f>TrAvia_ene!Q$9</f>
        <v>187.86346281059275</v>
      </c>
      <c r="R46" s="102">
        <f>TrAvia_ene!R$9</f>
        <v>200.47841902087993</v>
      </c>
      <c r="S46" s="102">
        <f>TrAvia_ene!S$9</f>
        <v>206.45823271007527</v>
      </c>
      <c r="T46" s="102">
        <f>TrAvia_ene!T$9</f>
        <v>222.46603177101753</v>
      </c>
      <c r="U46" s="102">
        <f>TrAvia_ene!U$9</f>
        <v>219.93143414343538</v>
      </c>
      <c r="V46" s="102">
        <f>TrAvia_ene!V$9</f>
        <v>100.96925927392766</v>
      </c>
      <c r="W46" s="102">
        <f>TrAvia_ene!W$9</f>
        <v>95.268031488895275</v>
      </c>
      <c r="X46" s="102">
        <f>TrAvia_ene!X$9</f>
        <v>142.42754279956333</v>
      </c>
      <c r="Y46" s="102">
        <f>TrAvia_ene!Y$9</f>
        <v>136.0894882468267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1968.7614737083609</v>
      </c>
      <c r="C47" s="28">
        <f t="shared" si="38"/>
        <v>2003.7483148220415</v>
      </c>
      <c r="D47" s="28">
        <f t="shared" si="38"/>
        <v>2003.975556594861</v>
      </c>
      <c r="E47" s="28">
        <f t="shared" si="38"/>
        <v>2103.2728378498873</v>
      </c>
      <c r="F47" s="28">
        <f t="shared" si="38"/>
        <v>2275.9895257980202</v>
      </c>
      <c r="G47" s="28">
        <f t="shared" si="38"/>
        <v>2173.5152092445728</v>
      </c>
      <c r="H47" s="28">
        <f t="shared" si="38"/>
        <v>2257.5631309408209</v>
      </c>
      <c r="I47" s="28">
        <f t="shared" si="38"/>
        <v>2305.0443330952098</v>
      </c>
      <c r="J47" s="28">
        <f t="shared" si="38"/>
        <v>2283.0181872032822</v>
      </c>
      <c r="K47" s="28">
        <f t="shared" si="38"/>
        <v>2113.3497043911589</v>
      </c>
      <c r="L47" s="28">
        <f t="shared" si="38"/>
        <v>2254.9831397084645</v>
      </c>
      <c r="M47" s="28">
        <f t="shared" si="38"/>
        <v>2215.9726588127451</v>
      </c>
      <c r="N47" s="28">
        <f t="shared" si="38"/>
        <v>2011.7789704304751</v>
      </c>
      <c r="O47" s="28">
        <f t="shared" si="38"/>
        <v>2028.9609936951008</v>
      </c>
      <c r="P47" s="28">
        <f t="shared" si="38"/>
        <v>2006.5264833640153</v>
      </c>
      <c r="Q47" s="28">
        <f t="shared" si="38"/>
        <v>2018.9852218598553</v>
      </c>
      <c r="R47" s="28">
        <f t="shared" ref="R47:V47" si="39">R48+R51+R52+R56</f>
        <v>1919.689631527348</v>
      </c>
      <c r="S47" s="28">
        <f t="shared" si="39"/>
        <v>1984.7932521784792</v>
      </c>
      <c r="T47" s="28">
        <f t="shared" si="39"/>
        <v>1886.6064311567509</v>
      </c>
      <c r="U47" s="28">
        <f t="shared" si="39"/>
        <v>1837.7637930549859</v>
      </c>
      <c r="V47" s="28">
        <f t="shared" si="39"/>
        <v>1909.0647372225649</v>
      </c>
      <c r="W47" s="28">
        <f t="shared" ref="W47:Y47" si="40">W48+W51+W52+W56</f>
        <v>2004.7409773588033</v>
      </c>
      <c r="X47" s="28">
        <f t="shared" si="40"/>
        <v>1969.6463385858983</v>
      </c>
      <c r="Y47" s="28">
        <f t="shared" si="40"/>
        <v>1860.4696204864274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1678.8343140490269</v>
      </c>
      <c r="C48" s="137">
        <f t="shared" si="41"/>
        <v>1731.2182647656691</v>
      </c>
      <c r="D48" s="137">
        <f t="shared" si="41"/>
        <v>1737.5657890758748</v>
      </c>
      <c r="E48" s="137">
        <f t="shared" si="41"/>
        <v>1808.0088394222284</v>
      </c>
      <c r="F48" s="137">
        <f t="shared" si="41"/>
        <v>1991.785464061616</v>
      </c>
      <c r="G48" s="137">
        <f t="shared" si="41"/>
        <v>1897.9486979400863</v>
      </c>
      <c r="H48" s="137">
        <f t="shared" si="41"/>
        <v>1974.3324527720606</v>
      </c>
      <c r="I48" s="137">
        <f t="shared" si="41"/>
        <v>2021.0200124762739</v>
      </c>
      <c r="J48" s="137">
        <f t="shared" si="41"/>
        <v>2024.5603411307889</v>
      </c>
      <c r="K48" s="137">
        <f t="shared" si="41"/>
        <v>1869.8062176183494</v>
      </c>
      <c r="L48" s="137">
        <f t="shared" si="41"/>
        <v>1993.9501408332562</v>
      </c>
      <c r="M48" s="137">
        <f t="shared" si="41"/>
        <v>1951.7101167387327</v>
      </c>
      <c r="N48" s="137">
        <f t="shared" si="41"/>
        <v>1770.703868185069</v>
      </c>
      <c r="O48" s="137">
        <f t="shared" si="41"/>
        <v>1789.8413567668467</v>
      </c>
      <c r="P48" s="137">
        <f t="shared" si="41"/>
        <v>1785.5415979701015</v>
      </c>
      <c r="Q48" s="137">
        <f t="shared" si="41"/>
        <v>1804.764772495131</v>
      </c>
      <c r="R48" s="137">
        <f t="shared" ref="R48:V48" si="42">R49+R50</f>
        <v>1700.5699890123617</v>
      </c>
      <c r="S48" s="137">
        <f t="shared" si="42"/>
        <v>1767.4598327828628</v>
      </c>
      <c r="T48" s="137">
        <f t="shared" si="42"/>
        <v>1672.2897110387394</v>
      </c>
      <c r="U48" s="137">
        <f t="shared" si="42"/>
        <v>1625.4116643356801</v>
      </c>
      <c r="V48" s="137">
        <f t="shared" si="42"/>
        <v>1725.6973408815156</v>
      </c>
      <c r="W48" s="137">
        <f t="shared" ref="W48:Y48" si="43">W49+W50</f>
        <v>1822.3297291625445</v>
      </c>
      <c r="X48" s="137">
        <f t="shared" si="43"/>
        <v>1725.5764221450643</v>
      </c>
      <c r="Y48" s="137">
        <f t="shared" si="43"/>
        <v>1641.6228023063006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431.52674557434216</v>
      </c>
      <c r="C49" s="102">
        <f>TrRoad_ene!C$43</f>
        <v>477.46225279152895</v>
      </c>
      <c r="D49" s="102">
        <f>TrRoad_ene!D$43</f>
        <v>499.99063842109632</v>
      </c>
      <c r="E49" s="102">
        <f>TrRoad_ene!E$43</f>
        <v>540.27149424666891</v>
      </c>
      <c r="F49" s="102">
        <f>TrRoad_ene!F$43</f>
        <v>601.07365881573639</v>
      </c>
      <c r="G49" s="102">
        <f>TrRoad_ene!G$43</f>
        <v>535.75718936705459</v>
      </c>
      <c r="H49" s="102">
        <f>TrRoad_ene!H$43</f>
        <v>576.78904790133663</v>
      </c>
      <c r="I49" s="102">
        <f>TrRoad_ene!I$43</f>
        <v>594.20283973444634</v>
      </c>
      <c r="J49" s="102">
        <f>TrRoad_ene!J$43</f>
        <v>597.71562276876205</v>
      </c>
      <c r="K49" s="102">
        <f>TrRoad_ene!K$43</f>
        <v>591.26788644342503</v>
      </c>
      <c r="L49" s="102">
        <f>TrRoad_ene!L$43</f>
        <v>639.83155009364566</v>
      </c>
      <c r="M49" s="102">
        <f>TrRoad_ene!M$43</f>
        <v>663.6514552496659</v>
      </c>
      <c r="N49" s="102">
        <f>TrRoad_ene!N$43</f>
        <v>642.42597199410113</v>
      </c>
      <c r="O49" s="102">
        <f>TrRoad_ene!O$43</f>
        <v>639.38933432921522</v>
      </c>
      <c r="P49" s="102">
        <f>TrRoad_ene!P$43</f>
        <v>615.71892319775509</v>
      </c>
      <c r="Q49" s="102">
        <f>TrRoad_ene!Q$43</f>
        <v>642.76149106285811</v>
      </c>
      <c r="R49" s="102">
        <f>TrRoad_ene!R$43</f>
        <v>627.41220952093636</v>
      </c>
      <c r="S49" s="102">
        <f>TrRoad_ene!S$43</f>
        <v>672.56188801111534</v>
      </c>
      <c r="T49" s="102">
        <f>TrRoad_ene!T$43</f>
        <v>645.1455290065345</v>
      </c>
      <c r="U49" s="102">
        <f>TrRoad_ene!U$43</f>
        <v>651.14585523954531</v>
      </c>
      <c r="V49" s="102">
        <f>TrRoad_ene!V$43</f>
        <v>680.54403733244487</v>
      </c>
      <c r="W49" s="102">
        <f>TrRoad_ene!W$43</f>
        <v>700.80604088434791</v>
      </c>
      <c r="X49" s="102">
        <f>TrRoad_ene!X$43</f>
        <v>651.15813088483969</v>
      </c>
      <c r="Y49" s="102">
        <f>TrRoad_ene!Y$43</f>
        <v>649.86281353383174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1247.3075684746848</v>
      </c>
      <c r="C50" s="102">
        <f>TrRoad_ene!C$52</f>
        <v>1253.7560119741402</v>
      </c>
      <c r="D50" s="102">
        <f>TrRoad_ene!D$52</f>
        <v>1237.5751506547786</v>
      </c>
      <c r="E50" s="102">
        <f>TrRoad_ene!E$52</f>
        <v>1267.7373451755595</v>
      </c>
      <c r="F50" s="102">
        <f>TrRoad_ene!F$52</f>
        <v>1390.7118052458795</v>
      </c>
      <c r="G50" s="102">
        <f>TrRoad_ene!G$52</f>
        <v>1362.1915085730318</v>
      </c>
      <c r="H50" s="102">
        <f>TrRoad_ene!H$52</f>
        <v>1397.5434048707239</v>
      </c>
      <c r="I50" s="102">
        <f>TrRoad_ene!I$52</f>
        <v>1426.8171727418276</v>
      </c>
      <c r="J50" s="102">
        <f>TrRoad_ene!J$52</f>
        <v>1426.8447183620269</v>
      </c>
      <c r="K50" s="102">
        <f>TrRoad_ene!K$52</f>
        <v>1278.5383311749242</v>
      </c>
      <c r="L50" s="102">
        <f>TrRoad_ene!L$52</f>
        <v>1354.1185907396107</v>
      </c>
      <c r="M50" s="102">
        <f>TrRoad_ene!M$52</f>
        <v>1288.0586614890667</v>
      </c>
      <c r="N50" s="102">
        <f>TrRoad_ene!N$52</f>
        <v>1128.277896190968</v>
      </c>
      <c r="O50" s="102">
        <f>TrRoad_ene!O$52</f>
        <v>1150.4520224376315</v>
      </c>
      <c r="P50" s="102">
        <f>TrRoad_ene!P$52</f>
        <v>1169.8226747723465</v>
      </c>
      <c r="Q50" s="102">
        <f>TrRoad_ene!Q$52</f>
        <v>1162.0032814322728</v>
      </c>
      <c r="R50" s="102">
        <f>TrRoad_ene!R$52</f>
        <v>1073.1577794914253</v>
      </c>
      <c r="S50" s="102">
        <f>TrRoad_ene!S$52</f>
        <v>1094.8979447717475</v>
      </c>
      <c r="T50" s="102">
        <f>TrRoad_ene!T$52</f>
        <v>1027.144182032205</v>
      </c>
      <c r="U50" s="102">
        <f>TrRoad_ene!U$52</f>
        <v>974.26580909613483</v>
      </c>
      <c r="V50" s="102">
        <f>TrRoad_ene!V$52</f>
        <v>1045.1533035490706</v>
      </c>
      <c r="W50" s="102">
        <f>TrRoad_ene!W$52</f>
        <v>1121.5236882781967</v>
      </c>
      <c r="X50" s="102">
        <f>TrRoad_ene!X$52</f>
        <v>1074.4182912602246</v>
      </c>
      <c r="Y50" s="102">
        <f>TrRoad_ene!Y$52</f>
        <v>991.75998877246889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119.67020981222595</v>
      </c>
      <c r="C51" s="110">
        <f>TrRail_ene!C$17</f>
        <v>100.24472543489598</v>
      </c>
      <c r="D51" s="110">
        <f>TrRail_ene!D$17</f>
        <v>100.78525549506746</v>
      </c>
      <c r="E51" s="110">
        <f>TrRail_ene!E$17</f>
        <v>98.59459196915823</v>
      </c>
      <c r="F51" s="110">
        <f>TrRail_ene!F$17</f>
        <v>106.03524255152088</v>
      </c>
      <c r="G51" s="110">
        <f>TrRail_ene!G$17</f>
        <v>104.043333609109</v>
      </c>
      <c r="H51" s="110">
        <f>TrRail_ene!H$17</f>
        <v>107.27315717890673</v>
      </c>
      <c r="I51" s="110">
        <f>TrRail_ene!I$17</f>
        <v>110.47399922417875</v>
      </c>
      <c r="J51" s="110">
        <f>TrRail_ene!J$17</f>
        <v>81.9865948795794</v>
      </c>
      <c r="K51" s="110">
        <f>TrRail_ene!K$17</f>
        <v>73.645471699503318</v>
      </c>
      <c r="L51" s="110">
        <f>TrRail_ene!L$17</f>
        <v>76.612025458007494</v>
      </c>
      <c r="M51" s="110">
        <f>TrRail_ene!M$17</f>
        <v>81.895568695780668</v>
      </c>
      <c r="N51" s="110">
        <f>TrRail_ene!N$17</f>
        <v>76.885830648530444</v>
      </c>
      <c r="O51" s="110">
        <f>TrRail_ene!O$17</f>
        <v>73.341025831457571</v>
      </c>
      <c r="P51" s="110">
        <f>TrRail_ene!P$17</f>
        <v>65.139255606612537</v>
      </c>
      <c r="Q51" s="110">
        <f>TrRail_ene!Q$17</f>
        <v>62.313942223187503</v>
      </c>
      <c r="R51" s="110">
        <f>TrRail_ene!R$17</f>
        <v>61.628817278878167</v>
      </c>
      <c r="S51" s="110">
        <f>TrRail_ene!S$17</f>
        <v>61.923345519829411</v>
      </c>
      <c r="T51" s="110">
        <f>TrRail_ene!T$17</f>
        <v>58.310638571391124</v>
      </c>
      <c r="U51" s="110">
        <f>TrRail_ene!U$17</f>
        <v>55.547614100225744</v>
      </c>
      <c r="V51" s="110">
        <f>TrRail_ene!V$17</f>
        <v>53.207706585787903</v>
      </c>
      <c r="W51" s="110">
        <f>TrRail_ene!W$17</f>
        <v>58.136448309587138</v>
      </c>
      <c r="X51" s="110">
        <f>TrRail_ene!X$17</f>
        <v>80.837553059027186</v>
      </c>
      <c r="Y51" s="110">
        <f>TrRail_ene!Y$17</f>
        <v>71.91799572693489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13.487990259833865</v>
      </c>
      <c r="C52" s="110">
        <f t="shared" si="44"/>
        <v>15.764774320530469</v>
      </c>
      <c r="D52" s="110">
        <f t="shared" si="44"/>
        <v>17.382379607753506</v>
      </c>
      <c r="E52" s="110">
        <f t="shared" si="44"/>
        <v>22.187721161853986</v>
      </c>
      <c r="F52" s="110">
        <f t="shared" si="44"/>
        <v>29.425139047308356</v>
      </c>
      <c r="G52" s="110">
        <f t="shared" si="44"/>
        <v>33.461870730631247</v>
      </c>
      <c r="H52" s="110">
        <f t="shared" si="44"/>
        <v>36.96672133379159</v>
      </c>
      <c r="I52" s="110">
        <f t="shared" si="44"/>
        <v>37.601740139383502</v>
      </c>
      <c r="J52" s="110">
        <f t="shared" si="44"/>
        <v>42.318886618537235</v>
      </c>
      <c r="K52" s="110">
        <f t="shared" si="44"/>
        <v>33.083741642523677</v>
      </c>
      <c r="L52" s="110">
        <f t="shared" si="44"/>
        <v>36.244361207398953</v>
      </c>
      <c r="M52" s="110">
        <f t="shared" si="44"/>
        <v>30.935675011937569</v>
      </c>
      <c r="N52" s="110">
        <f t="shared" si="44"/>
        <v>24.808016222843037</v>
      </c>
      <c r="O52" s="110">
        <f t="shared" si="44"/>
        <v>19.488069394303047</v>
      </c>
      <c r="P52" s="110">
        <f t="shared" si="44"/>
        <v>14.12310184233128</v>
      </c>
      <c r="Q52" s="110">
        <f t="shared" si="44"/>
        <v>12.981829583497195</v>
      </c>
      <c r="R52" s="110">
        <f t="shared" si="44"/>
        <v>10.93355954393277</v>
      </c>
      <c r="S52" s="110">
        <f t="shared" si="44"/>
        <v>10.563728218005451</v>
      </c>
      <c r="T52" s="110">
        <f t="shared" si="44"/>
        <v>9.9795983136022848</v>
      </c>
      <c r="U52" s="110">
        <f t="shared" si="44"/>
        <v>11.895142306096426</v>
      </c>
      <c r="V52" s="110">
        <f t="shared" si="44"/>
        <v>14.069491990858909</v>
      </c>
      <c r="W52" s="110">
        <f t="shared" ref="W52:Y52" si="45">W53+W54+W55</f>
        <v>14.310397479104884</v>
      </c>
      <c r="X52" s="110">
        <f t="shared" si="45"/>
        <v>22.507427870198942</v>
      </c>
      <c r="Y52" s="110">
        <f t="shared" si="45"/>
        <v>16.654617810027666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1.2628402073247793</v>
      </c>
      <c r="C53" s="102">
        <f>TrAvia_ene!C$11</f>
        <v>1.0785789048731036</v>
      </c>
      <c r="D53" s="102">
        <f>TrAvia_ene!D$11</f>
        <v>1.2055650030934626</v>
      </c>
      <c r="E53" s="102">
        <f>TrAvia_ene!E$11</f>
        <v>1.3757284277729698</v>
      </c>
      <c r="F53" s="102">
        <f>TrAvia_ene!F$11</f>
        <v>2.3284819570096826</v>
      </c>
      <c r="G53" s="102">
        <f>TrAvia_ene!G$11</f>
        <v>2.684434567781695</v>
      </c>
      <c r="H53" s="102">
        <f>TrAvia_ene!H$11</f>
        <v>3.2023203001505083</v>
      </c>
      <c r="I53" s="102">
        <f>TrAvia_ene!I$11</f>
        <v>3.8613516226096962</v>
      </c>
      <c r="J53" s="102">
        <f>TrAvia_ene!J$11</f>
        <v>3.8698290683298167</v>
      </c>
      <c r="K53" s="102">
        <f>TrAvia_ene!K$11</f>
        <v>2.9299711900385357</v>
      </c>
      <c r="L53" s="102">
        <f>TrAvia_ene!L$11</f>
        <v>2.3990347318764691</v>
      </c>
      <c r="M53" s="102">
        <f>TrAvia_ene!M$11</f>
        <v>2.1421060320277818</v>
      </c>
      <c r="N53" s="102">
        <f>TrAvia_ene!N$11</f>
        <v>2.1264971400791577</v>
      </c>
      <c r="O53" s="102">
        <f>TrAvia_ene!O$11</f>
        <v>2.0434039511851663</v>
      </c>
      <c r="P53" s="102">
        <f>TrAvia_ene!P$11</f>
        <v>1.8538691153427511</v>
      </c>
      <c r="Q53" s="102">
        <f>TrAvia_ene!Q$11</f>
        <v>1.787166523270902</v>
      </c>
      <c r="R53" s="102">
        <f>TrAvia_ene!R$11</f>
        <v>1.5886055773023449</v>
      </c>
      <c r="S53" s="102">
        <f>TrAvia_ene!S$11</f>
        <v>1.7061749455673527</v>
      </c>
      <c r="T53" s="102">
        <f>TrAvia_ene!T$11</f>
        <v>1.2436468109886434</v>
      </c>
      <c r="U53" s="102">
        <f>TrAvia_ene!U$11</f>
        <v>0.79648553963565771</v>
      </c>
      <c r="V53" s="102">
        <f>TrAvia_ene!V$11</f>
        <v>0.60043994285482727</v>
      </c>
      <c r="W53" s="102">
        <f>TrAvia_ene!W$11</f>
        <v>0.81585112135739479</v>
      </c>
      <c r="X53" s="102">
        <f>TrAvia_ene!X$11</f>
        <v>0.93135953732579668</v>
      </c>
      <c r="Y53" s="102">
        <f>TrAvia_ene!Y$11</f>
        <v>0.77600955606616828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5.0303443597018465</v>
      </c>
      <c r="C54" s="102">
        <f>TrAvia_ene!C$12</f>
        <v>4.5310588299722196</v>
      </c>
      <c r="D54" s="102">
        <f>TrAvia_ene!D$12</f>
        <v>4.8759236548274858</v>
      </c>
      <c r="E54" s="102">
        <f>TrAvia_ene!E$12</f>
        <v>5.4829475032977095</v>
      </c>
      <c r="F54" s="102">
        <f>TrAvia_ene!F$12</f>
        <v>7.6304027250192359</v>
      </c>
      <c r="G54" s="102">
        <f>TrAvia_ene!G$12</f>
        <v>8.9421216555020333</v>
      </c>
      <c r="H54" s="102">
        <f>TrAvia_ene!H$12</f>
        <v>10.385235871515107</v>
      </c>
      <c r="I54" s="102">
        <f>TrAvia_ene!I$12</f>
        <v>11.975483956931608</v>
      </c>
      <c r="J54" s="102">
        <f>TrAvia_ene!J$12</f>
        <v>14.04042338431514</v>
      </c>
      <c r="K54" s="102">
        <f>TrAvia_ene!K$12</f>
        <v>11.265864949190833</v>
      </c>
      <c r="L54" s="102">
        <f>TrAvia_ene!L$12</f>
        <v>10.993063150966101</v>
      </c>
      <c r="M54" s="102">
        <f>TrAvia_ene!M$12</f>
        <v>8.1047104305201589</v>
      </c>
      <c r="N54" s="102">
        <f>TrAvia_ene!N$12</f>
        <v>6.5139479493981476</v>
      </c>
      <c r="O54" s="102">
        <f>TrAvia_ene!O$12</f>
        <v>6.7121697771078903</v>
      </c>
      <c r="P54" s="102">
        <f>TrAvia_ene!P$12</f>
        <v>5.7788051601492771</v>
      </c>
      <c r="Q54" s="102">
        <f>TrAvia_ene!Q$12</f>
        <v>6.0230790398588381</v>
      </c>
      <c r="R54" s="102">
        <f>TrAvia_ene!R$12</f>
        <v>5.5713900452799638</v>
      </c>
      <c r="S54" s="102">
        <f>TrAvia_ene!S$12</f>
        <v>6.0049526617426441</v>
      </c>
      <c r="T54" s="102">
        <f>TrAvia_ene!T$12</f>
        <v>6.4470800637770145</v>
      </c>
      <c r="U54" s="102">
        <f>TrAvia_ene!U$12</f>
        <v>9.5348269652159576</v>
      </c>
      <c r="V54" s="102">
        <f>TrAvia_ene!V$12</f>
        <v>11.127947812791895</v>
      </c>
      <c r="W54" s="102">
        <f>TrAvia_ene!W$12</f>
        <v>10.659990422738264</v>
      </c>
      <c r="X54" s="102">
        <f>TrAvia_ene!X$12</f>
        <v>8.7890551741811862</v>
      </c>
      <c r="Y54" s="102">
        <f>TrAvia_ene!Y$12</f>
        <v>6.1389967019466116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7.1948056928072388</v>
      </c>
      <c r="C55" s="102">
        <f>TrAvia_ene!C$13</f>
        <v>10.155136585685145</v>
      </c>
      <c r="D55" s="102">
        <f>TrAvia_ene!D$13</f>
        <v>11.300890949832556</v>
      </c>
      <c r="E55" s="102">
        <f>TrAvia_ene!E$13</f>
        <v>15.329045230783308</v>
      </c>
      <c r="F55" s="102">
        <f>TrAvia_ene!F$13</f>
        <v>19.466254365279436</v>
      </c>
      <c r="G55" s="102">
        <f>TrAvia_ene!G$13</f>
        <v>21.835314507347515</v>
      </c>
      <c r="H55" s="102">
        <f>TrAvia_ene!H$13</f>
        <v>23.379165162125975</v>
      </c>
      <c r="I55" s="102">
        <f>TrAvia_ene!I$13</f>
        <v>21.764904559842197</v>
      </c>
      <c r="J55" s="102">
        <f>TrAvia_ene!J$13</f>
        <v>24.408634165892273</v>
      </c>
      <c r="K55" s="102">
        <f>TrAvia_ene!K$13</f>
        <v>18.887905503294306</v>
      </c>
      <c r="L55" s="102">
        <f>TrAvia_ene!L$13</f>
        <v>22.852263324556379</v>
      </c>
      <c r="M55" s="102">
        <f>TrAvia_ene!M$13</f>
        <v>20.688858549389629</v>
      </c>
      <c r="N55" s="102">
        <f>TrAvia_ene!N$13</f>
        <v>16.167571133365733</v>
      </c>
      <c r="O55" s="102">
        <f>TrAvia_ene!O$13</f>
        <v>10.732495666009989</v>
      </c>
      <c r="P55" s="102">
        <f>TrAvia_ene!P$13</f>
        <v>6.4904275668392533</v>
      </c>
      <c r="Q55" s="102">
        <f>TrAvia_ene!Q$13</f>
        <v>5.1715840203674537</v>
      </c>
      <c r="R55" s="102">
        <f>TrAvia_ene!R$13</f>
        <v>3.7735639213504601</v>
      </c>
      <c r="S55" s="102">
        <f>TrAvia_ene!S$13</f>
        <v>2.8526006106954536</v>
      </c>
      <c r="T55" s="102">
        <f>TrAvia_ene!T$13</f>
        <v>2.2888714388366278</v>
      </c>
      <c r="U55" s="102">
        <f>TrAvia_ene!U$13</f>
        <v>1.5638298012448113</v>
      </c>
      <c r="V55" s="102">
        <f>TrAvia_ene!V$13</f>
        <v>2.3411042352121876</v>
      </c>
      <c r="W55" s="102">
        <f>TrAvia_ene!W$13</f>
        <v>2.8345559350092233</v>
      </c>
      <c r="X55" s="102">
        <f>TrAvia_ene!X$13</f>
        <v>12.787013158691959</v>
      </c>
      <c r="Y55" s="102">
        <f>TrAvia_ene!Y$13</f>
        <v>9.7396115520148854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156.76895958727425</v>
      </c>
      <c r="C56" s="110">
        <f t="shared" si="46"/>
        <v>156.52055030094584</v>
      </c>
      <c r="D56" s="110">
        <f t="shared" si="46"/>
        <v>148.24213241616508</v>
      </c>
      <c r="E56" s="110">
        <f t="shared" si="46"/>
        <v>174.48168529664662</v>
      </c>
      <c r="F56" s="110">
        <f t="shared" si="46"/>
        <v>148.74368013757521</v>
      </c>
      <c r="G56" s="110">
        <f t="shared" si="46"/>
        <v>138.06130696474634</v>
      </c>
      <c r="H56" s="110">
        <f t="shared" si="46"/>
        <v>138.99079965606188</v>
      </c>
      <c r="I56" s="110">
        <f t="shared" si="46"/>
        <v>135.94858125537405</v>
      </c>
      <c r="J56" s="110">
        <f t="shared" si="46"/>
        <v>134.15236457437661</v>
      </c>
      <c r="K56" s="110">
        <f t="shared" si="46"/>
        <v>136.81427343078246</v>
      </c>
      <c r="L56" s="110">
        <f t="shared" si="46"/>
        <v>148.17661220980222</v>
      </c>
      <c r="M56" s="110">
        <f t="shared" si="46"/>
        <v>151.4312983662941</v>
      </c>
      <c r="N56" s="110">
        <f t="shared" si="46"/>
        <v>139.38125537403266</v>
      </c>
      <c r="O56" s="110">
        <f t="shared" si="46"/>
        <v>146.2905417024935</v>
      </c>
      <c r="P56" s="110">
        <f t="shared" si="46"/>
        <v>141.7225279449699</v>
      </c>
      <c r="Q56" s="110">
        <f t="shared" si="46"/>
        <v>138.92467755803955</v>
      </c>
      <c r="R56" s="110">
        <f t="shared" ref="R56:V56" si="47">R57+R58</f>
        <v>146.55726569217541</v>
      </c>
      <c r="S56" s="110">
        <f t="shared" si="47"/>
        <v>144.8463456577816</v>
      </c>
      <c r="T56" s="110">
        <f t="shared" si="47"/>
        <v>146.02648323301804</v>
      </c>
      <c r="U56" s="110">
        <f t="shared" si="47"/>
        <v>144.90937231298363</v>
      </c>
      <c r="V56" s="110">
        <f t="shared" si="47"/>
        <v>116.09019776440239</v>
      </c>
      <c r="W56" s="110">
        <f t="shared" ref="W56:Y56" si="48">W57+W58</f>
        <v>109.96440240756665</v>
      </c>
      <c r="X56" s="110">
        <f t="shared" si="48"/>
        <v>140.72493551160792</v>
      </c>
      <c r="Y56" s="110">
        <f t="shared" si="48"/>
        <v>130.27420464316424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156.76895958727425</v>
      </c>
      <c r="C57" s="102">
        <f>TrNavi_ene!C4</f>
        <v>156.52055030094584</v>
      </c>
      <c r="D57" s="102">
        <f>TrNavi_ene!D4</f>
        <v>148.24213241616508</v>
      </c>
      <c r="E57" s="102">
        <f>TrNavi_ene!E4</f>
        <v>174.48168529664662</v>
      </c>
      <c r="F57" s="102">
        <f>TrNavi_ene!F4</f>
        <v>148.74368013757521</v>
      </c>
      <c r="G57" s="102">
        <f>TrNavi_ene!G4</f>
        <v>138.06130696474634</v>
      </c>
      <c r="H57" s="102">
        <f>TrNavi_ene!H4</f>
        <v>138.99079965606188</v>
      </c>
      <c r="I57" s="102">
        <f>TrNavi_ene!I4</f>
        <v>135.94858125537405</v>
      </c>
      <c r="J57" s="102">
        <f>TrNavi_ene!J4</f>
        <v>134.15236457437661</v>
      </c>
      <c r="K57" s="102">
        <f>TrNavi_ene!K4</f>
        <v>136.81427343078246</v>
      </c>
      <c r="L57" s="102">
        <f>TrNavi_ene!L4</f>
        <v>148.17661220980222</v>
      </c>
      <c r="M57" s="102">
        <f>TrNavi_ene!M4</f>
        <v>151.4312983662941</v>
      </c>
      <c r="N57" s="102">
        <f>TrNavi_ene!N4</f>
        <v>139.38125537403266</v>
      </c>
      <c r="O57" s="102">
        <f>TrNavi_ene!O4</f>
        <v>146.2905417024935</v>
      </c>
      <c r="P57" s="102">
        <f>TrNavi_ene!P4</f>
        <v>141.7225279449699</v>
      </c>
      <c r="Q57" s="102">
        <f>TrNavi_ene!Q4</f>
        <v>138.92467755803955</v>
      </c>
      <c r="R57" s="102">
        <f>TrNavi_ene!R4</f>
        <v>146.32510387964712</v>
      </c>
      <c r="S57" s="102">
        <f>TrNavi_ene!S4</f>
        <v>144.78708506937809</v>
      </c>
      <c r="T57" s="102">
        <f>TrNavi_ene!T4</f>
        <v>145.53260670683977</v>
      </c>
      <c r="U57" s="102">
        <f>TrNavi_ene!U4</f>
        <v>144.33654957049313</v>
      </c>
      <c r="V57" s="102">
        <f>TrNavi_ene!V4</f>
        <v>115.34636543221148</v>
      </c>
      <c r="W57" s="102">
        <f>TrNavi_ene!W4</f>
        <v>108.87778579665512</v>
      </c>
      <c r="X57" s="102">
        <f>TrNavi_ene!X4</f>
        <v>139.49283865646225</v>
      </c>
      <c r="Y57" s="102">
        <f>TrNavi_ene!Y4</f>
        <v>128.55158950743237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0.23216181252828549</v>
      </c>
      <c r="S58" s="169">
        <f>TrNavi_ene!S10</f>
        <v>5.9260588403505447E-2</v>
      </c>
      <c r="T58" s="169">
        <f>TrNavi_ene!T10</f>
        <v>0.49387652617826272</v>
      </c>
      <c r="U58" s="169">
        <f>TrNavi_ene!U10</f>
        <v>0.57282274249049892</v>
      </c>
      <c r="V58" s="169">
        <f>TrNavi_ene!V10</f>
        <v>0.74383233219090505</v>
      </c>
      <c r="W58" s="169">
        <f>TrNavi_ene!W10</f>
        <v>1.0866166109115343</v>
      </c>
      <c r="X58" s="169">
        <f>TrNavi_ene!X10</f>
        <v>1.2320968551456699</v>
      </c>
      <c r="Y58" s="169">
        <f>TrNavi_ene!Y10</f>
        <v>1.7226151357318746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1357.3469475494408</v>
      </c>
      <c r="C59" s="28">
        <f t="shared" ref="C59:W59" si="49">C60+C61</f>
        <v>1388.1341358555455</v>
      </c>
      <c r="D59" s="28">
        <f t="shared" si="49"/>
        <v>1204.590627687016</v>
      </c>
      <c r="E59" s="28">
        <f t="shared" si="49"/>
        <v>1612.2098882201203</v>
      </c>
      <c r="F59" s="28">
        <f t="shared" si="49"/>
        <v>1894.3537403267414</v>
      </c>
      <c r="G59" s="28">
        <f t="shared" si="49"/>
        <v>1934.3508168529656</v>
      </c>
      <c r="H59" s="28">
        <f t="shared" si="49"/>
        <v>2077.6918314703353</v>
      </c>
      <c r="I59" s="28">
        <f t="shared" si="49"/>
        <v>2067.1730008598452</v>
      </c>
      <c r="J59" s="28">
        <f t="shared" si="49"/>
        <v>2031.6662080825447</v>
      </c>
      <c r="K59" s="28">
        <f t="shared" si="49"/>
        <v>2112.7018056749785</v>
      </c>
      <c r="L59" s="28">
        <f t="shared" si="49"/>
        <v>1957.3851246775575</v>
      </c>
      <c r="M59" s="28">
        <f t="shared" si="49"/>
        <v>1719.571023215821</v>
      </c>
      <c r="N59" s="28">
        <f t="shared" si="49"/>
        <v>1689.8442820292348</v>
      </c>
      <c r="O59" s="28">
        <f t="shared" si="49"/>
        <v>1597.463456577816</v>
      </c>
      <c r="P59" s="28">
        <f t="shared" si="49"/>
        <v>1718.692089423904</v>
      </c>
      <c r="Q59" s="28">
        <f t="shared" si="49"/>
        <v>1826.4450558899398</v>
      </c>
      <c r="R59" s="28">
        <f t="shared" si="49"/>
        <v>2003.229234737747</v>
      </c>
      <c r="S59" s="28">
        <f t="shared" si="49"/>
        <v>2381.9689595872742</v>
      </c>
      <c r="T59" s="28">
        <f t="shared" si="49"/>
        <v>1810.2397248495267</v>
      </c>
      <c r="U59" s="28">
        <f t="shared" si="49"/>
        <v>2063.4412725709376</v>
      </c>
      <c r="V59" s="28">
        <f t="shared" si="49"/>
        <v>2578.1041272570938</v>
      </c>
      <c r="W59" s="28">
        <f t="shared" si="49"/>
        <v>2561.7102321582115</v>
      </c>
      <c r="X59" s="28">
        <f t="shared" ref="X59:Y59" si="50">X60+X61</f>
        <v>2087.8403267411859</v>
      </c>
      <c r="Y59" s="28">
        <f t="shared" si="50"/>
        <v>1848.9746345657782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811.15204414602601</v>
      </c>
      <c r="C60" s="102">
        <f>MBunk_ene!C$4</f>
        <v>818.19154956991724</v>
      </c>
      <c r="D60" s="102">
        <f>MBunk_ene!D$4</f>
        <v>713.12374748589684</v>
      </c>
      <c r="E60" s="102">
        <f>MBunk_ene!E$4</f>
        <v>955.09543177286696</v>
      </c>
      <c r="F60" s="102">
        <f>MBunk_ene!F$4</f>
        <v>1140.6048071769433</v>
      </c>
      <c r="G60" s="102">
        <f>MBunk_ene!G$4</f>
        <v>1142.8159044129936</v>
      </c>
      <c r="H60" s="102">
        <f>MBunk_ene!H$4</f>
        <v>1238.5551018624988</v>
      </c>
      <c r="I60" s="102">
        <f>MBunk_ene!I$4</f>
        <v>1264.2808195658567</v>
      </c>
      <c r="J60" s="102">
        <f>MBunk_ene!J$4</f>
        <v>1231.3052036848824</v>
      </c>
      <c r="K60" s="102">
        <f>MBunk_ene!K$4</f>
        <v>1296.8234308803603</v>
      </c>
      <c r="L60" s="102">
        <f>MBunk_ene!L$4</f>
        <v>1162.7767701822918</v>
      </c>
      <c r="M60" s="102">
        <f>MBunk_ene!M$4</f>
        <v>1052.0534263405154</v>
      </c>
      <c r="N60" s="102">
        <f>MBunk_ene!N$4</f>
        <v>1031.1180051561373</v>
      </c>
      <c r="O60" s="102">
        <f>MBunk_ene!O$4</f>
        <v>979.90777835432016</v>
      </c>
      <c r="P60" s="102">
        <f>MBunk_ene!P$4</f>
        <v>1018.8267332297419</v>
      </c>
      <c r="Q60" s="102">
        <f>MBunk_ene!Q$4</f>
        <v>1075.3398113640114</v>
      </c>
      <c r="R60" s="102">
        <f>MBunk_ene!R$4</f>
        <v>1196.8108281710172</v>
      </c>
      <c r="S60" s="102">
        <f>MBunk_ene!S$4</f>
        <v>1482.5356186727547</v>
      </c>
      <c r="T60" s="102">
        <f>MBunk_ene!T$4</f>
        <v>1139.5652781848264</v>
      </c>
      <c r="U60" s="102">
        <f>MBunk_ene!U$4</f>
        <v>1295.0847740168658</v>
      </c>
      <c r="V60" s="102">
        <f>MBunk_ene!V$4</f>
        <v>1498.4607144199128</v>
      </c>
      <c r="W60" s="102">
        <f>MBunk_ene!W$4</f>
        <v>1524.0341900485334</v>
      </c>
      <c r="X60" s="102">
        <f>MBunk_ene!X$4</f>
        <v>1328.2550917097033</v>
      </c>
      <c r="Y60" s="102">
        <f>MBunk_ene!Y$4</f>
        <v>1197.3269951400368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546.19490340341486</v>
      </c>
      <c r="C61" s="86">
        <f>MBunk_ene!C$10</f>
        <v>569.94258628562841</v>
      </c>
      <c r="D61" s="86">
        <f>MBunk_ene!D$10</f>
        <v>491.46688020111924</v>
      </c>
      <c r="E61" s="86">
        <f>MBunk_ene!E$10</f>
        <v>657.11445644725347</v>
      </c>
      <c r="F61" s="86">
        <f>MBunk_ene!F$10</f>
        <v>753.74893314979818</v>
      </c>
      <c r="G61" s="86">
        <f>MBunk_ene!G$10</f>
        <v>791.53491243997212</v>
      </c>
      <c r="H61" s="86">
        <f>MBunk_ene!H$10</f>
        <v>839.13672960783629</v>
      </c>
      <c r="I61" s="86">
        <f>MBunk_ene!I$10</f>
        <v>802.89218129398853</v>
      </c>
      <c r="J61" s="86">
        <f>MBunk_ene!J$10</f>
        <v>800.36100439766233</v>
      </c>
      <c r="K61" s="86">
        <f>MBunk_ene!K$10</f>
        <v>815.87837479461803</v>
      </c>
      <c r="L61" s="86">
        <f>MBunk_ene!L$10</f>
        <v>794.60835449526587</v>
      </c>
      <c r="M61" s="86">
        <f>MBunk_ene!M$10</f>
        <v>667.51759687530557</v>
      </c>
      <c r="N61" s="86">
        <f>MBunk_ene!N$10</f>
        <v>658.72627687309739</v>
      </c>
      <c r="O61" s="86">
        <f>MBunk_ene!O$10</f>
        <v>617.55567822349599</v>
      </c>
      <c r="P61" s="86">
        <f>MBunk_ene!P$10</f>
        <v>699.86535619416213</v>
      </c>
      <c r="Q61" s="86">
        <f>MBunk_ene!Q$10</f>
        <v>751.10524452592824</v>
      </c>
      <c r="R61" s="86">
        <f>MBunk_ene!R$10</f>
        <v>806.4184065667298</v>
      </c>
      <c r="S61" s="86">
        <f>MBunk_ene!S$10</f>
        <v>899.43334091451925</v>
      </c>
      <c r="T61" s="86">
        <f>MBunk_ene!T$10</f>
        <v>670.67444666470033</v>
      </c>
      <c r="U61" s="86">
        <f>MBunk_ene!U$10</f>
        <v>768.35649855407166</v>
      </c>
      <c r="V61" s="86">
        <f>MBunk_ene!V$10</f>
        <v>1079.6434128371807</v>
      </c>
      <c r="W61" s="86">
        <f>MBunk_ene!W$10</f>
        <v>1037.6760421096778</v>
      </c>
      <c r="X61" s="86">
        <f>MBunk_ene!X$10</f>
        <v>759.58523503148274</v>
      </c>
      <c r="Y61" s="86">
        <f>MBunk_ene!Y$10</f>
        <v>651.64763942574132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17788.57679181507</v>
      </c>
      <c r="C64" s="28">
        <f t="shared" si="51"/>
        <v>17597.651126266512</v>
      </c>
      <c r="D64" s="28">
        <f t="shared" si="51"/>
        <v>17240.09025380763</v>
      </c>
      <c r="E64" s="28">
        <f t="shared" si="51"/>
        <v>17172.15434863562</v>
      </c>
      <c r="F64" s="28">
        <f t="shared" si="51"/>
        <v>17425.356185667504</v>
      </c>
      <c r="G64" s="28">
        <f t="shared" si="51"/>
        <v>16688.277695993129</v>
      </c>
      <c r="H64" s="28">
        <f t="shared" si="51"/>
        <v>16716.952499340463</v>
      </c>
      <c r="I64" s="28">
        <f t="shared" si="51"/>
        <v>16776.777748564346</v>
      </c>
      <c r="J64" s="28">
        <f t="shared" si="51"/>
        <v>16753.961141862994</v>
      </c>
      <c r="K64" s="28">
        <f t="shared" si="51"/>
        <v>16552.008751772431</v>
      </c>
      <c r="L64" s="28">
        <f t="shared" si="51"/>
        <v>16443.219816460722</v>
      </c>
      <c r="M64" s="28">
        <f t="shared" si="51"/>
        <v>16500.060835517521</v>
      </c>
      <c r="N64" s="28">
        <f t="shared" si="51"/>
        <v>16048.178426256007</v>
      </c>
      <c r="O64" s="28">
        <f t="shared" si="51"/>
        <v>15903.137974686861</v>
      </c>
      <c r="P64" s="28">
        <f t="shared" si="51"/>
        <v>15473.673476439502</v>
      </c>
      <c r="Q64" s="28">
        <f t="shared" si="51"/>
        <v>15703.446515527507</v>
      </c>
      <c r="R64" s="28">
        <f t="shared" ref="R64:V64" si="52">R65+R69+R73</f>
        <v>15655.209553568591</v>
      </c>
      <c r="S64" s="28">
        <f t="shared" si="52"/>
        <v>15453.744205250692</v>
      </c>
      <c r="T64" s="28">
        <f t="shared" si="52"/>
        <v>15040.147864438275</v>
      </c>
      <c r="U64" s="28">
        <f t="shared" si="52"/>
        <v>14886.790985730891</v>
      </c>
      <c r="V64" s="28">
        <f t="shared" si="52"/>
        <v>11893.81609704002</v>
      </c>
      <c r="W64" s="28">
        <f t="shared" ref="W64:Y64" si="53">W65+W69+W73</f>
        <v>12110.282196927625</v>
      </c>
      <c r="X64" s="28">
        <f t="shared" si="53"/>
        <v>11736.170713455478</v>
      </c>
      <c r="Y64" s="28">
        <f t="shared" si="53"/>
        <v>11627.285693973885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14918.167164672592</v>
      </c>
      <c r="C65" s="137">
        <f t="shared" si="54"/>
        <v>14679.472796958729</v>
      </c>
      <c r="D65" s="137">
        <f t="shared" si="54"/>
        <v>15008.411389583607</v>
      </c>
      <c r="E65" s="137">
        <f t="shared" si="54"/>
        <v>15027.686289493731</v>
      </c>
      <c r="F65" s="137">
        <f t="shared" si="54"/>
        <v>14878.488443795308</v>
      </c>
      <c r="G65" s="137">
        <f t="shared" si="54"/>
        <v>14120.987605097955</v>
      </c>
      <c r="H65" s="137">
        <f t="shared" si="54"/>
        <v>14099.785037684915</v>
      </c>
      <c r="I65" s="137">
        <f t="shared" si="54"/>
        <v>14206.390456188243</v>
      </c>
      <c r="J65" s="137">
        <f t="shared" si="54"/>
        <v>13830.804288607756</v>
      </c>
      <c r="K65" s="137">
        <f t="shared" si="54"/>
        <v>13889.291443675615</v>
      </c>
      <c r="L65" s="137">
        <f t="shared" si="54"/>
        <v>13898.720056279126</v>
      </c>
      <c r="M65" s="137">
        <f t="shared" si="54"/>
        <v>13736.442845429805</v>
      </c>
      <c r="N65" s="137">
        <f t="shared" si="54"/>
        <v>13379.828221688025</v>
      </c>
      <c r="O65" s="137">
        <f t="shared" si="54"/>
        <v>12942.574187531651</v>
      </c>
      <c r="P65" s="137">
        <f t="shared" si="54"/>
        <v>12723.987796375857</v>
      </c>
      <c r="Q65" s="137">
        <f t="shared" si="54"/>
        <v>12904.691961602559</v>
      </c>
      <c r="R65" s="137">
        <f t="shared" ref="R65:V65" si="55">R66+R67+R68</f>
        <v>12562.113686964363</v>
      </c>
      <c r="S65" s="137">
        <f t="shared" si="55"/>
        <v>12206.438871967423</v>
      </c>
      <c r="T65" s="137">
        <f t="shared" si="55"/>
        <v>11680.434880775938</v>
      </c>
      <c r="U65" s="137">
        <f t="shared" si="55"/>
        <v>11729.097310695348</v>
      </c>
      <c r="V65" s="137">
        <f t="shared" si="55"/>
        <v>10696.74541086614</v>
      </c>
      <c r="W65" s="137">
        <f t="shared" ref="W65:Y65" si="56">W66+W67+W68</f>
        <v>10847.783668343229</v>
      </c>
      <c r="X65" s="137">
        <f t="shared" si="56"/>
        <v>9580.0151819756738</v>
      </c>
      <c r="Y65" s="137">
        <f t="shared" si="56"/>
        <v>9620.7872729637893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65.906364240480428</v>
      </c>
      <c r="C66" s="102">
        <f>TrRoad_emi!C$19</f>
        <v>70.509937826087921</v>
      </c>
      <c r="D66" s="102">
        <f>TrRoad_emi!D$19</f>
        <v>77.953612656155045</v>
      </c>
      <c r="E66" s="102">
        <f>TrRoad_emi!E$19</f>
        <v>82.617361328482517</v>
      </c>
      <c r="F66" s="102">
        <f>TrRoad_emi!F$19</f>
        <v>86.863593560222597</v>
      </c>
      <c r="G66" s="102">
        <f>TrRoad_emi!G$19</f>
        <v>87.026962351315362</v>
      </c>
      <c r="H66" s="102">
        <f>TrRoad_emi!H$19</f>
        <v>92.239627768969441</v>
      </c>
      <c r="I66" s="102">
        <f>TrRoad_emi!I$19</f>
        <v>99.545378861159975</v>
      </c>
      <c r="J66" s="102">
        <f>TrRoad_emi!J$19</f>
        <v>95.84876397397106</v>
      </c>
      <c r="K66" s="102">
        <f>TrRoad_emi!K$19</f>
        <v>94.709408412501205</v>
      </c>
      <c r="L66" s="102">
        <f>TrRoad_emi!L$19</f>
        <v>87.56080519431319</v>
      </c>
      <c r="M66" s="102">
        <f>TrRoad_emi!M$19</f>
        <v>84.035623203028237</v>
      </c>
      <c r="N66" s="102">
        <f>TrRoad_emi!N$19</f>
        <v>71.897478226582919</v>
      </c>
      <c r="O66" s="102">
        <f>TrRoad_emi!O$19</f>
        <v>80.767912540899516</v>
      </c>
      <c r="P66" s="102">
        <f>TrRoad_emi!P$19</f>
        <v>79.613994393641548</v>
      </c>
      <c r="Q66" s="102">
        <f>TrRoad_emi!Q$19</f>
        <v>80.412785374261304</v>
      </c>
      <c r="R66" s="102">
        <f>TrRoad_emi!R$19</f>
        <v>84.432519382485651</v>
      </c>
      <c r="S66" s="102">
        <f>TrRoad_emi!S$19</f>
        <v>78.98272313753624</v>
      </c>
      <c r="T66" s="102">
        <f>TrRoad_emi!T$19</f>
        <v>73.520810044751329</v>
      </c>
      <c r="U66" s="102">
        <f>TrRoad_emi!U$19</f>
        <v>77.983202503317244</v>
      </c>
      <c r="V66" s="102">
        <f>TrRoad_emi!V$19</f>
        <v>68.218848808217544</v>
      </c>
      <c r="W66" s="102">
        <f>TrRoad_emi!W$19</f>
        <v>69.586696445418326</v>
      </c>
      <c r="X66" s="102">
        <f>TrRoad_emi!X$19</f>
        <v>68.24499537531365</v>
      </c>
      <c r="Y66" s="102">
        <f>TrRoad_emi!Y$19</f>
        <v>71.129102529088769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12969.783687060688</v>
      </c>
      <c r="C67" s="102">
        <f>TrRoad_emi!C$20</f>
        <v>12792.660243967972</v>
      </c>
      <c r="D67" s="102">
        <f>TrRoad_emi!D$20</f>
        <v>13155.822821024858</v>
      </c>
      <c r="E67" s="102">
        <f>TrRoad_emi!E$20</f>
        <v>13153.332615351253</v>
      </c>
      <c r="F67" s="102">
        <f>TrRoad_emi!F$20</f>
        <v>13025.634700468265</v>
      </c>
      <c r="G67" s="102">
        <f>TrRoad_emi!G$20</f>
        <v>12458.575678772531</v>
      </c>
      <c r="H67" s="102">
        <f>TrRoad_emi!H$20</f>
        <v>12382.246774714375</v>
      </c>
      <c r="I67" s="102">
        <f>TrRoad_emi!I$20</f>
        <v>12576.823672330107</v>
      </c>
      <c r="J67" s="102">
        <f>TrRoad_emi!J$20</f>
        <v>12259.416967054311</v>
      </c>
      <c r="K67" s="102">
        <f>TrRoad_emi!K$20</f>
        <v>12398.48828522871</v>
      </c>
      <c r="L67" s="102">
        <f>TrRoad_emi!L$20</f>
        <v>12350.757182214986</v>
      </c>
      <c r="M67" s="102">
        <f>TrRoad_emi!M$20</f>
        <v>12239.62965489861</v>
      </c>
      <c r="N67" s="102">
        <f>TrRoad_emi!N$20</f>
        <v>11917.504905122216</v>
      </c>
      <c r="O67" s="102">
        <f>TrRoad_emi!O$20</f>
        <v>11830.349543921215</v>
      </c>
      <c r="P67" s="102">
        <f>TrRoad_emi!P$20</f>
        <v>11730.406547790582</v>
      </c>
      <c r="Q67" s="102">
        <f>TrRoad_emi!Q$20</f>
        <v>11950.496347255355</v>
      </c>
      <c r="R67" s="102">
        <f>TrRoad_emi!R$20</f>
        <v>11659.624728852948</v>
      </c>
      <c r="S67" s="102">
        <f>TrRoad_emi!S$20</f>
        <v>11374.617082141054</v>
      </c>
      <c r="T67" s="102">
        <f>TrRoad_emi!T$20</f>
        <v>10883.744124403314</v>
      </c>
      <c r="U67" s="102">
        <f>TrRoad_emi!U$20</f>
        <v>10744.342606451673</v>
      </c>
      <c r="V67" s="102">
        <f>TrRoad_emi!V$20</f>
        <v>9837.8723659649986</v>
      </c>
      <c r="W67" s="102">
        <f>TrRoad_emi!W$20</f>
        <v>10016.926478376428</v>
      </c>
      <c r="X67" s="102">
        <f>TrRoad_emi!X$20</f>
        <v>8810.6713911211409</v>
      </c>
      <c r="Y67" s="102">
        <f>TrRoad_emi!Y$20</f>
        <v>8808.6169158244938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1882.4771133714237</v>
      </c>
      <c r="C68" s="102">
        <f>TrRoad_emi!C$27</f>
        <v>1816.3026151646691</v>
      </c>
      <c r="D68" s="102">
        <f>TrRoad_emi!D$27</f>
        <v>1774.634955902595</v>
      </c>
      <c r="E68" s="102">
        <f>TrRoad_emi!E$27</f>
        <v>1791.7363128139943</v>
      </c>
      <c r="F68" s="102">
        <f>TrRoad_emi!F$27</f>
        <v>1765.9901497668188</v>
      </c>
      <c r="G68" s="102">
        <f>TrRoad_emi!G$27</f>
        <v>1575.3849639741084</v>
      </c>
      <c r="H68" s="102">
        <f>TrRoad_emi!H$27</f>
        <v>1625.2986352015703</v>
      </c>
      <c r="I68" s="102">
        <f>TrRoad_emi!I$27</f>
        <v>1530.0214049969757</v>
      </c>
      <c r="J68" s="102">
        <f>TrRoad_emi!J$27</f>
        <v>1475.5385575794755</v>
      </c>
      <c r="K68" s="102">
        <f>TrRoad_emi!K$27</f>
        <v>1396.0937500344032</v>
      </c>
      <c r="L68" s="102">
        <f>TrRoad_emi!L$27</f>
        <v>1460.4020688698283</v>
      </c>
      <c r="M68" s="102">
        <f>TrRoad_emi!M$27</f>
        <v>1412.7775673281662</v>
      </c>
      <c r="N68" s="102">
        <f>TrRoad_emi!N$27</f>
        <v>1390.4258383392271</v>
      </c>
      <c r="O68" s="102">
        <f>TrRoad_emi!O$27</f>
        <v>1031.4567310695372</v>
      </c>
      <c r="P68" s="102">
        <f>TrRoad_emi!P$27</f>
        <v>913.96725419163386</v>
      </c>
      <c r="Q68" s="102">
        <f>TrRoad_emi!Q$27</f>
        <v>873.78282897294309</v>
      </c>
      <c r="R68" s="102">
        <f>TrRoad_emi!R$27</f>
        <v>818.05643872892904</v>
      </c>
      <c r="S68" s="102">
        <f>TrRoad_emi!S$27</f>
        <v>752.83906668883105</v>
      </c>
      <c r="T68" s="102">
        <f>TrRoad_emi!T$27</f>
        <v>723.16994632787248</v>
      </c>
      <c r="U68" s="102">
        <f>TrRoad_emi!U$27</f>
        <v>906.77150174035739</v>
      </c>
      <c r="V68" s="102">
        <f>TrRoad_emi!V$27</f>
        <v>790.65419609292383</v>
      </c>
      <c r="W68" s="102">
        <f>TrRoad_emi!W$27</f>
        <v>761.27049352138272</v>
      </c>
      <c r="X68" s="102">
        <f>TrRoad_emi!X$27</f>
        <v>701.09879547921912</v>
      </c>
      <c r="Y68" s="102">
        <f>TrRoad_emi!Y$27</f>
        <v>741.04125461020669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29.11125765569269</v>
      </c>
      <c r="C69" s="110">
        <f t="shared" si="57"/>
        <v>32.932173550249473</v>
      </c>
      <c r="D69" s="110">
        <f t="shared" si="57"/>
        <v>45.704701531075706</v>
      </c>
      <c r="E69" s="110">
        <f t="shared" si="57"/>
        <v>36.374909861770085</v>
      </c>
      <c r="F69" s="110">
        <f t="shared" si="57"/>
        <v>19.820529241525389</v>
      </c>
      <c r="G69" s="110">
        <f t="shared" si="57"/>
        <v>15.944440698074921</v>
      </c>
      <c r="H69" s="110">
        <f t="shared" si="57"/>
        <v>22.869047661461167</v>
      </c>
      <c r="I69" s="110">
        <f t="shared" si="57"/>
        <v>21.559852810310179</v>
      </c>
      <c r="J69" s="110">
        <f t="shared" si="57"/>
        <v>27.239226149455234</v>
      </c>
      <c r="K69" s="110">
        <f t="shared" si="57"/>
        <v>27.08067084677246</v>
      </c>
      <c r="L69" s="110">
        <f t="shared" si="57"/>
        <v>23.474583803245324</v>
      </c>
      <c r="M69" s="110">
        <f t="shared" si="57"/>
        <v>18.427915636195522</v>
      </c>
      <c r="N69" s="110">
        <f t="shared" si="57"/>
        <v>25.241270221560317</v>
      </c>
      <c r="O69" s="110">
        <f t="shared" si="57"/>
        <v>18.783909265395277</v>
      </c>
      <c r="P69" s="110">
        <f t="shared" si="57"/>
        <v>19.86173427012837</v>
      </c>
      <c r="Q69" s="110">
        <f t="shared" si="57"/>
        <v>18.064436135033073</v>
      </c>
      <c r="R69" s="110">
        <f t="shared" ref="R69:V69" si="58">R70+R71+R72</f>
        <v>17.643954314018227</v>
      </c>
      <c r="S69" s="110">
        <f t="shared" si="58"/>
        <v>19.166125210618624</v>
      </c>
      <c r="T69" s="110">
        <f t="shared" si="58"/>
        <v>19.442957818131479</v>
      </c>
      <c r="U69" s="110">
        <f t="shared" si="58"/>
        <v>19.674069615447991</v>
      </c>
      <c r="V69" s="110">
        <f t="shared" si="58"/>
        <v>17.706149851317605</v>
      </c>
      <c r="W69" s="110">
        <f t="shared" ref="W69:Y69" si="59">W70+W71+W72</f>
        <v>12.556872392551316</v>
      </c>
      <c r="X69" s="110">
        <f t="shared" si="59"/>
        <v>12.315774662427748</v>
      </c>
      <c r="Y69" s="110">
        <f t="shared" si="59"/>
        <v>12.100064129991994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29.11125765569269</v>
      </c>
      <c r="C71" s="102">
        <f>TrRail_emi!C$11</f>
        <v>32.932173550249473</v>
      </c>
      <c r="D71" s="102">
        <f>TrRail_emi!D$11</f>
        <v>45.704701531075706</v>
      </c>
      <c r="E71" s="102">
        <f>TrRail_emi!E$11</f>
        <v>36.374909861770085</v>
      </c>
      <c r="F71" s="102">
        <f>TrRail_emi!F$11</f>
        <v>19.820529241525389</v>
      </c>
      <c r="G71" s="102">
        <f>TrRail_emi!G$11</f>
        <v>15.944440698074921</v>
      </c>
      <c r="H71" s="102">
        <f>TrRail_emi!H$11</f>
        <v>22.869047661461167</v>
      </c>
      <c r="I71" s="102">
        <f>TrRail_emi!I$11</f>
        <v>21.559852810310179</v>
      </c>
      <c r="J71" s="102">
        <f>TrRail_emi!J$11</f>
        <v>27.239226149455234</v>
      </c>
      <c r="K71" s="102">
        <f>TrRail_emi!K$11</f>
        <v>27.08067084677246</v>
      </c>
      <c r="L71" s="102">
        <f>TrRail_emi!L$11</f>
        <v>23.474583803245324</v>
      </c>
      <c r="M71" s="102">
        <f>TrRail_emi!M$11</f>
        <v>18.427915636195522</v>
      </c>
      <c r="N71" s="102">
        <f>TrRail_emi!N$11</f>
        <v>25.241270221560317</v>
      </c>
      <c r="O71" s="102">
        <f>TrRail_emi!O$11</f>
        <v>18.783909265395277</v>
      </c>
      <c r="P71" s="102">
        <f>TrRail_emi!P$11</f>
        <v>19.86173427012837</v>
      </c>
      <c r="Q71" s="102">
        <f>TrRail_emi!Q$11</f>
        <v>18.064436135033073</v>
      </c>
      <c r="R71" s="102">
        <f>TrRail_emi!R$11</f>
        <v>17.643954314018227</v>
      </c>
      <c r="S71" s="102">
        <f>TrRail_emi!S$11</f>
        <v>19.166125210618624</v>
      </c>
      <c r="T71" s="102">
        <f>TrRail_emi!T$11</f>
        <v>19.442957818131479</v>
      </c>
      <c r="U71" s="102">
        <f>TrRail_emi!U$11</f>
        <v>19.674069615447991</v>
      </c>
      <c r="V71" s="102">
        <f>TrRail_emi!V$11</f>
        <v>17.706149851317605</v>
      </c>
      <c r="W71" s="102">
        <f>TrRail_emi!W$11</f>
        <v>12.556872392551316</v>
      </c>
      <c r="X71" s="102">
        <f>TrRail_emi!X$11</f>
        <v>12.315774662427748</v>
      </c>
      <c r="Y71" s="102">
        <f>TrRail_emi!Y$11</f>
        <v>12.100064129991994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2841.2983694867848</v>
      </c>
      <c r="C73" s="110">
        <f t="shared" si="60"/>
        <v>2885.2461557575339</v>
      </c>
      <c r="D73" s="110">
        <f t="shared" si="60"/>
        <v>2185.9741626929458</v>
      </c>
      <c r="E73" s="110">
        <f t="shared" si="60"/>
        <v>2108.0931492801201</v>
      </c>
      <c r="F73" s="110">
        <f t="shared" si="60"/>
        <v>2527.0472126306699</v>
      </c>
      <c r="G73" s="110">
        <f t="shared" si="60"/>
        <v>2551.3456501970991</v>
      </c>
      <c r="H73" s="110">
        <f t="shared" si="60"/>
        <v>2594.2984139940886</v>
      </c>
      <c r="I73" s="110">
        <f t="shared" si="60"/>
        <v>2548.8274395657932</v>
      </c>
      <c r="J73" s="110">
        <f t="shared" si="60"/>
        <v>2895.917627105784</v>
      </c>
      <c r="K73" s="110">
        <f t="shared" si="60"/>
        <v>2635.6366372500433</v>
      </c>
      <c r="L73" s="110">
        <f t="shared" si="60"/>
        <v>2521.0251763783508</v>
      </c>
      <c r="M73" s="110">
        <f t="shared" si="60"/>
        <v>2745.1900744515224</v>
      </c>
      <c r="N73" s="110">
        <f t="shared" si="60"/>
        <v>2643.1089343464214</v>
      </c>
      <c r="O73" s="110">
        <f t="shared" si="60"/>
        <v>2941.7798778898136</v>
      </c>
      <c r="P73" s="110">
        <f t="shared" si="60"/>
        <v>2729.8239457935156</v>
      </c>
      <c r="Q73" s="110">
        <f t="shared" si="60"/>
        <v>2780.6901177899153</v>
      </c>
      <c r="R73" s="110">
        <f t="shared" ref="R73:V73" si="61">R74+R75+R76</f>
        <v>3075.4519122902084</v>
      </c>
      <c r="S73" s="110">
        <f t="shared" si="61"/>
        <v>3228.1392080726505</v>
      </c>
      <c r="T73" s="110">
        <f t="shared" si="61"/>
        <v>3340.270025844206</v>
      </c>
      <c r="U73" s="110">
        <f t="shared" si="61"/>
        <v>3138.0196054200946</v>
      </c>
      <c r="V73" s="110">
        <f t="shared" si="61"/>
        <v>1179.364536322563</v>
      </c>
      <c r="W73" s="110">
        <f t="shared" ref="W73:Y73" si="62">W74+W75+W76</f>
        <v>1249.9416561918447</v>
      </c>
      <c r="X73" s="110">
        <f t="shared" si="62"/>
        <v>2143.8397568173764</v>
      </c>
      <c r="Y73" s="110">
        <f t="shared" si="62"/>
        <v>1994.3983568801038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731.47502116123292</v>
      </c>
      <c r="C74" s="102">
        <f>TrAvia_emi!C$7</f>
        <v>741.61104493028552</v>
      </c>
      <c r="D74" s="102">
        <f>TrAvia_emi!D$7</f>
        <v>614.39768652404871</v>
      </c>
      <c r="E74" s="102">
        <f>TrAvia_emi!E$7</f>
        <v>594.86105247785724</v>
      </c>
      <c r="F74" s="102">
        <f>TrAvia_emi!F$7</f>
        <v>677.60541875884053</v>
      </c>
      <c r="G74" s="102">
        <f>TrAvia_emi!G$7</f>
        <v>697.13018943053805</v>
      </c>
      <c r="H74" s="102">
        <f>TrAvia_emi!H$7</f>
        <v>657.12173105814827</v>
      </c>
      <c r="I74" s="102">
        <f>TrAvia_emi!I$7</f>
        <v>640.11558152941143</v>
      </c>
      <c r="J74" s="102">
        <f>TrAvia_emi!J$7</f>
        <v>598.68998878050309</v>
      </c>
      <c r="K74" s="102">
        <f>TrAvia_emi!K$7</f>
        <v>525.88054985784686</v>
      </c>
      <c r="L74" s="102">
        <f>TrAvia_emi!L$7</f>
        <v>495.30998404461934</v>
      </c>
      <c r="M74" s="102">
        <f>TrAvia_emi!M$7</f>
        <v>545.72803005257902</v>
      </c>
      <c r="N74" s="102">
        <f>TrAvia_emi!N$7</f>
        <v>536.22537991124079</v>
      </c>
      <c r="O74" s="102">
        <f>TrAvia_emi!O$7</f>
        <v>540.10225476415394</v>
      </c>
      <c r="P74" s="102">
        <f>TrAvia_emi!P$7</f>
        <v>537.69275994850955</v>
      </c>
      <c r="Q74" s="102">
        <f>TrAvia_emi!Q$7</f>
        <v>531.42071499101405</v>
      </c>
      <c r="R74" s="102">
        <f>TrAvia_emi!R$7</f>
        <v>566.95111318953309</v>
      </c>
      <c r="S74" s="102">
        <f>TrAvia_emi!S$7</f>
        <v>561.83182217816102</v>
      </c>
      <c r="T74" s="102">
        <f>TrAvia_emi!T$7</f>
        <v>531.33501094327767</v>
      </c>
      <c r="U74" s="102">
        <f>TrAvia_emi!U$7</f>
        <v>478.55181639181319</v>
      </c>
      <c r="V74" s="102">
        <f>TrAvia_emi!V$7</f>
        <v>184.11362569794855</v>
      </c>
      <c r="W74" s="102">
        <f>TrAvia_emi!W$7</f>
        <v>210.16728860239846</v>
      </c>
      <c r="X74" s="102">
        <f>TrAvia_emi!X$7</f>
        <v>317.74676821965244</v>
      </c>
      <c r="Y74" s="102">
        <f>TrAvia_emi!Y$7</f>
        <v>290.10163451019986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1615.7292477254225</v>
      </c>
      <c r="C75" s="102">
        <f>TrAvia_emi!C$8</f>
        <v>1684.4180567803339</v>
      </c>
      <c r="D75" s="102">
        <f>TrAvia_emi!D$8</f>
        <v>1242.4835040076321</v>
      </c>
      <c r="E75" s="102">
        <f>TrAvia_emi!E$8</f>
        <v>1182.8925648061636</v>
      </c>
      <c r="F75" s="102">
        <f>TrAvia_emi!F$8</f>
        <v>1393.4354315354881</v>
      </c>
      <c r="G75" s="102">
        <f>TrAvia_emi!G$8</f>
        <v>1396.7663381501657</v>
      </c>
      <c r="H75" s="102">
        <f>TrAvia_emi!H$8</f>
        <v>1469.2510808110981</v>
      </c>
      <c r="I75" s="102">
        <f>TrAvia_emi!I$8</f>
        <v>1455.7682135190657</v>
      </c>
      <c r="J75" s="102">
        <f>TrAvia_emi!J$8</f>
        <v>1744.225716142103</v>
      </c>
      <c r="K75" s="102">
        <f>TrAvia_emi!K$8</f>
        <v>1573.3947957684748</v>
      </c>
      <c r="L75" s="102">
        <f>TrAvia_emi!L$8</f>
        <v>1512.4985375491515</v>
      </c>
      <c r="M75" s="102">
        <f>TrAvia_emi!M$8</f>
        <v>1654.8437583606874</v>
      </c>
      <c r="N75" s="102">
        <f>TrAvia_emi!N$8</f>
        <v>1570.5536475831188</v>
      </c>
      <c r="O75" s="102">
        <f>TrAvia_emi!O$8</f>
        <v>1791.4302814610485</v>
      </c>
      <c r="P75" s="102">
        <f>TrAvia_emi!P$8</f>
        <v>1639.8841290699938</v>
      </c>
      <c r="Q75" s="102">
        <f>TrAvia_emi!Q$8</f>
        <v>1683.7422923563156</v>
      </c>
      <c r="R75" s="102">
        <f>TrAvia_emi!R$8</f>
        <v>1904.9987699206656</v>
      </c>
      <c r="S75" s="102">
        <f>TrAvia_emi!S$8</f>
        <v>2044.8042685516091</v>
      </c>
      <c r="T75" s="102">
        <f>TrAvia_emi!T$8</f>
        <v>2139.243472773142</v>
      </c>
      <c r="U75" s="102">
        <f>TrAvia_emi!U$8</f>
        <v>1997.4061694571039</v>
      </c>
      <c r="V75" s="102">
        <f>TrAvia_emi!V$8</f>
        <v>691.30222051512476</v>
      </c>
      <c r="W75" s="102">
        <f>TrAvia_emi!W$8</f>
        <v>752.9881359325351</v>
      </c>
      <c r="X75" s="102">
        <f>TrAvia_emi!X$8</f>
        <v>1397.3420461748044</v>
      </c>
      <c r="Y75" s="102">
        <f>TrAvia_emi!Y$8</f>
        <v>1294.6252838771895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494.09410060012925</v>
      </c>
      <c r="C76" s="102">
        <f>TrAvia_emi!C$9</f>
        <v>459.2170540469146</v>
      </c>
      <c r="D76" s="102">
        <f>TrAvia_emi!D$9</f>
        <v>329.09297216126515</v>
      </c>
      <c r="E76" s="102">
        <f>TrAvia_emi!E$9</f>
        <v>330.3395319960992</v>
      </c>
      <c r="F76" s="102">
        <f>TrAvia_emi!F$9</f>
        <v>456.00636233634123</v>
      </c>
      <c r="G76" s="102">
        <f>TrAvia_emi!G$9</f>
        <v>457.4491226163953</v>
      </c>
      <c r="H76" s="102">
        <f>TrAvia_emi!H$9</f>
        <v>467.92560212484267</v>
      </c>
      <c r="I76" s="102">
        <f>TrAvia_emi!I$9</f>
        <v>452.94364451731582</v>
      </c>
      <c r="J76" s="102">
        <f>TrAvia_emi!J$9</f>
        <v>553.00192218317807</v>
      </c>
      <c r="K76" s="102">
        <f>TrAvia_emi!K$9</f>
        <v>536.3612916237214</v>
      </c>
      <c r="L76" s="102">
        <f>TrAvia_emi!L$9</f>
        <v>513.21665478457999</v>
      </c>
      <c r="M76" s="102">
        <f>TrAvia_emi!M$9</f>
        <v>544.61828603825597</v>
      </c>
      <c r="N76" s="102">
        <f>TrAvia_emi!N$9</f>
        <v>536.32990685206187</v>
      </c>
      <c r="O76" s="102">
        <f>TrAvia_emi!O$9</f>
        <v>610.24734166461133</v>
      </c>
      <c r="P76" s="102">
        <f>TrAvia_emi!P$9</f>
        <v>552.24705677501197</v>
      </c>
      <c r="Q76" s="102">
        <f>TrAvia_emi!Q$9</f>
        <v>565.52711044258547</v>
      </c>
      <c r="R76" s="102">
        <f>TrAvia_emi!R$9</f>
        <v>603.50202918000991</v>
      </c>
      <c r="S76" s="102">
        <f>TrAvia_emi!S$9</f>
        <v>621.50311734288016</v>
      </c>
      <c r="T76" s="102">
        <f>TrAvia_emi!T$9</f>
        <v>669.69154212778642</v>
      </c>
      <c r="U76" s="102">
        <f>TrAvia_emi!U$9</f>
        <v>662.06161957117763</v>
      </c>
      <c r="V76" s="102">
        <f>TrAvia_emi!V$9</f>
        <v>303.94869010948969</v>
      </c>
      <c r="W76" s="102">
        <f>TrAvia_emi!W$9</f>
        <v>286.78623165691124</v>
      </c>
      <c r="X76" s="102">
        <f>TrAvia_emi!X$9</f>
        <v>428.75094242291937</v>
      </c>
      <c r="Y76" s="102">
        <f>TrAvia_emi!Y$9</f>
        <v>409.67143849271446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5755.1395451049311</v>
      </c>
      <c r="C77" s="28">
        <f t="shared" si="63"/>
        <v>5915.0245497734841</v>
      </c>
      <c r="D77" s="28">
        <f t="shared" si="63"/>
        <v>5911.5157333523703</v>
      </c>
      <c r="E77" s="28">
        <f t="shared" si="63"/>
        <v>6230.9685559643749</v>
      </c>
      <c r="F77" s="28">
        <f t="shared" si="63"/>
        <v>6738.4647488124992</v>
      </c>
      <c r="G77" s="28">
        <f t="shared" si="63"/>
        <v>6434.9594275268691</v>
      </c>
      <c r="H77" s="28">
        <f t="shared" si="63"/>
        <v>6617.2236772195329</v>
      </c>
      <c r="I77" s="28">
        <f t="shared" si="63"/>
        <v>6674.7963104356522</v>
      </c>
      <c r="J77" s="28">
        <f t="shared" si="63"/>
        <v>6655.6978528970021</v>
      </c>
      <c r="K77" s="28">
        <f t="shared" si="63"/>
        <v>6117.84790838757</v>
      </c>
      <c r="L77" s="28">
        <f t="shared" si="63"/>
        <v>6529.8148670592745</v>
      </c>
      <c r="M77" s="28">
        <f t="shared" si="63"/>
        <v>6340.6422328024801</v>
      </c>
      <c r="N77" s="28">
        <f t="shared" si="63"/>
        <v>5647.2414623039967</v>
      </c>
      <c r="O77" s="28">
        <f t="shared" si="63"/>
        <v>5568.5517325131377</v>
      </c>
      <c r="P77" s="28">
        <f t="shared" si="63"/>
        <v>5282.8094486004975</v>
      </c>
      <c r="Q77" s="28">
        <f t="shared" si="63"/>
        <v>5156.8883818724908</v>
      </c>
      <c r="R77" s="28">
        <f t="shared" si="63"/>
        <v>4632.4177267114082</v>
      </c>
      <c r="S77" s="28">
        <f t="shared" si="63"/>
        <v>4524.965524869307</v>
      </c>
      <c r="T77" s="28">
        <f t="shared" si="63"/>
        <v>4200.5743436417242</v>
      </c>
      <c r="U77" s="28">
        <f t="shared" si="63"/>
        <v>4133.2565132691116</v>
      </c>
      <c r="V77" s="28">
        <f t="shared" si="63"/>
        <v>4212.6229823999811</v>
      </c>
      <c r="W77" s="28">
        <f t="shared" si="63"/>
        <v>4379.0157913453941</v>
      </c>
      <c r="X77" s="28">
        <f t="shared" si="63"/>
        <v>3933.3407695069554</v>
      </c>
      <c r="Y77" s="28">
        <f t="shared" si="63"/>
        <v>3851.8077564208543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5175.6162158874085</v>
      </c>
      <c r="C78" s="137">
        <f t="shared" si="64"/>
        <v>5332.7049930412686</v>
      </c>
      <c r="D78" s="137">
        <f t="shared" si="64"/>
        <v>5353.0907123763918</v>
      </c>
      <c r="E78" s="137">
        <f t="shared" si="64"/>
        <v>5570.5154013462652</v>
      </c>
      <c r="F78" s="137">
        <f t="shared" si="64"/>
        <v>6132.1334799246933</v>
      </c>
      <c r="G78" s="137">
        <f t="shared" si="64"/>
        <v>5842.7575849020432</v>
      </c>
      <c r="H78" s="137">
        <f t="shared" si="64"/>
        <v>6014.6817180750841</v>
      </c>
      <c r="I78" s="137">
        <f t="shared" si="64"/>
        <v>6081.5435271717552</v>
      </c>
      <c r="J78" s="137">
        <f t="shared" si="64"/>
        <v>6055.4109777522417</v>
      </c>
      <c r="K78" s="137">
        <f t="shared" si="64"/>
        <v>5544.1264675243856</v>
      </c>
      <c r="L78" s="137">
        <f t="shared" si="64"/>
        <v>5909.1367172808705</v>
      </c>
      <c r="M78" s="137">
        <f t="shared" si="64"/>
        <v>5721.3896480101976</v>
      </c>
      <c r="N78" s="137">
        <f t="shared" si="64"/>
        <v>5092.1656777119779</v>
      </c>
      <c r="O78" s="137">
        <f t="shared" si="64"/>
        <v>5007.295971588348</v>
      </c>
      <c r="P78" s="137">
        <f t="shared" si="64"/>
        <v>4759.3485768641413</v>
      </c>
      <c r="Q78" s="137">
        <f t="shared" si="64"/>
        <v>4650.991568277439</v>
      </c>
      <c r="R78" s="137">
        <f t="shared" ref="R78:V78" si="65">R79+R80</f>
        <v>4109.7835027556348</v>
      </c>
      <c r="S78" s="137">
        <f t="shared" si="65"/>
        <v>4013.4817507125763</v>
      </c>
      <c r="T78" s="137">
        <f t="shared" si="65"/>
        <v>3679.2924459840619</v>
      </c>
      <c r="U78" s="137">
        <f t="shared" si="65"/>
        <v>3624.7074397046536</v>
      </c>
      <c r="V78" s="137">
        <f t="shared" si="65"/>
        <v>3797.4520084138617</v>
      </c>
      <c r="W78" s="137">
        <f t="shared" ref="W78:Y78" si="66">W79+W80</f>
        <v>3986.5717068897898</v>
      </c>
      <c r="X78" s="137">
        <f t="shared" si="66"/>
        <v>3417.5807599467589</v>
      </c>
      <c r="Y78" s="137">
        <f t="shared" si="66"/>
        <v>3389.09236491095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1305.9457660692585</v>
      </c>
      <c r="C79" s="102">
        <f>TrRoad_emi!C$34</f>
        <v>1447.0813859385389</v>
      </c>
      <c r="D79" s="102">
        <f>TrRoad_emi!D$34</f>
        <v>1517.5953291378351</v>
      </c>
      <c r="E79" s="102">
        <f>TrRoad_emi!E$34</f>
        <v>1642.680913084745</v>
      </c>
      <c r="F79" s="102">
        <f>TrRoad_emi!F$34</f>
        <v>1828.1442375018887</v>
      </c>
      <c r="G79" s="102">
        <f>TrRoad_emi!G$34</f>
        <v>1626.6749640218761</v>
      </c>
      <c r="H79" s="102">
        <f>TrRoad_emi!H$34</f>
        <v>1738.8236257429203</v>
      </c>
      <c r="I79" s="102">
        <f>TrRoad_emi!I$34</f>
        <v>1772.5703222139919</v>
      </c>
      <c r="J79" s="102">
        <f>TrRoad_emi!J$34</f>
        <v>1772.4013686842816</v>
      </c>
      <c r="K79" s="102">
        <f>TrRoad_emi!K$34</f>
        <v>1740.4903480185301</v>
      </c>
      <c r="L79" s="102">
        <f>TrRoad_emi!L$34</f>
        <v>1884.5186574423931</v>
      </c>
      <c r="M79" s="102">
        <f>TrRoad_emi!M$34</f>
        <v>1934.589822949524</v>
      </c>
      <c r="N79" s="102">
        <f>TrRoad_emi!N$34</f>
        <v>1839.1080030289183</v>
      </c>
      <c r="O79" s="102">
        <f>TrRoad_emi!O$34</f>
        <v>1783.4373923473081</v>
      </c>
      <c r="P79" s="102">
        <f>TrRoad_emi!P$34</f>
        <v>1639.3752984673827</v>
      </c>
      <c r="Q79" s="102">
        <f>TrRoad_emi!Q$34</f>
        <v>1656.3631182506215</v>
      </c>
      <c r="R79" s="102">
        <f>TrRoad_emi!R$34</f>
        <v>1519.2482045543368</v>
      </c>
      <c r="S79" s="102">
        <f>TrRoad_emi!S$34</f>
        <v>1530.5978161735827</v>
      </c>
      <c r="T79" s="102">
        <f>TrRoad_emi!T$34</f>
        <v>1419.7387376650618</v>
      </c>
      <c r="U79" s="102">
        <f>TrRoad_emi!U$34</f>
        <v>1451.4026622448839</v>
      </c>
      <c r="V79" s="102">
        <f>TrRoad_emi!V$34</f>
        <v>1496.5202083235149</v>
      </c>
      <c r="W79" s="102">
        <f>TrRoad_emi!W$34</f>
        <v>1531.6139921680856</v>
      </c>
      <c r="X79" s="102">
        <f>TrRoad_emi!X$34</f>
        <v>1290.663892934152</v>
      </c>
      <c r="Y79" s="102">
        <f>TrRoad_emi!Y$34</f>
        <v>1339.9101666900287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3869.6704498181498</v>
      </c>
      <c r="C80" s="102">
        <f>TrRoad_emi!C$40</f>
        <v>3885.6236071027297</v>
      </c>
      <c r="D80" s="102">
        <f>TrRoad_emi!D$40</f>
        <v>3835.4953832385572</v>
      </c>
      <c r="E80" s="102">
        <f>TrRoad_emi!E$40</f>
        <v>3927.8344882615206</v>
      </c>
      <c r="F80" s="102">
        <f>TrRoad_emi!F$40</f>
        <v>4303.9892424228046</v>
      </c>
      <c r="G80" s="102">
        <f>TrRoad_emi!G$40</f>
        <v>4216.0826208801673</v>
      </c>
      <c r="H80" s="102">
        <f>TrRoad_emi!H$40</f>
        <v>4275.8580923321633</v>
      </c>
      <c r="I80" s="102">
        <f>TrRoad_emi!I$40</f>
        <v>4308.9732049577633</v>
      </c>
      <c r="J80" s="102">
        <f>TrRoad_emi!J$40</f>
        <v>4283.0096090679599</v>
      </c>
      <c r="K80" s="102">
        <f>TrRoad_emi!K$40</f>
        <v>3803.6361195058553</v>
      </c>
      <c r="L80" s="102">
        <f>TrRoad_emi!L$40</f>
        <v>4024.6180598384772</v>
      </c>
      <c r="M80" s="102">
        <f>TrRoad_emi!M$40</f>
        <v>3786.7998250606734</v>
      </c>
      <c r="N80" s="102">
        <f>TrRoad_emi!N$40</f>
        <v>3253.0576746830593</v>
      </c>
      <c r="O80" s="102">
        <f>TrRoad_emi!O$40</f>
        <v>3223.8585792410404</v>
      </c>
      <c r="P80" s="102">
        <f>TrRoad_emi!P$40</f>
        <v>3119.9732783967588</v>
      </c>
      <c r="Q80" s="102">
        <f>TrRoad_emi!Q$40</f>
        <v>2994.628450026818</v>
      </c>
      <c r="R80" s="102">
        <f>TrRoad_emi!R$40</f>
        <v>2590.5352982012982</v>
      </c>
      <c r="S80" s="102">
        <f>TrRoad_emi!S$40</f>
        <v>2482.8839345389933</v>
      </c>
      <c r="T80" s="102">
        <f>TrRoad_emi!T$40</f>
        <v>2259.5537083190002</v>
      </c>
      <c r="U80" s="102">
        <f>TrRoad_emi!U$40</f>
        <v>2173.3047774597699</v>
      </c>
      <c r="V80" s="102">
        <f>TrRoad_emi!V$40</f>
        <v>2300.9318000903468</v>
      </c>
      <c r="W80" s="102">
        <f>TrRoad_emi!W$40</f>
        <v>2454.9577147217042</v>
      </c>
      <c r="X80" s="102">
        <f>TrRoad_emi!X$40</f>
        <v>2126.9168670126069</v>
      </c>
      <c r="Y80" s="102">
        <f>TrRoad_emi!Y$40</f>
        <v>2049.1821982209212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47.360031264307295</v>
      </c>
      <c r="C81" s="110">
        <f>TrRail_emi!C$15</f>
        <v>43.539115369750512</v>
      </c>
      <c r="D81" s="110">
        <f>TrRail_emi!D$15</f>
        <v>40.325398468924305</v>
      </c>
      <c r="E81" s="110">
        <f>TrRail_emi!E$15</f>
        <v>43.282560498229905</v>
      </c>
      <c r="F81" s="110">
        <f>TrRail_emi!F$15</f>
        <v>47.091681838474621</v>
      </c>
      <c r="G81" s="110">
        <f>TrRail_emi!G$15</f>
        <v>49.722001181925073</v>
      </c>
      <c r="H81" s="110">
        <f>TrRail_emi!H$15</f>
        <v>46.71663213853882</v>
      </c>
      <c r="I81" s="110">
        <f>TrRail_emi!I$15</f>
        <v>45.240852589689823</v>
      </c>
      <c r="J81" s="110">
        <f>TrRail_emi!J$15</f>
        <v>43.872587610544784</v>
      </c>
      <c r="K81" s="110">
        <f>TrRail_emi!K$15</f>
        <v>36.431950793227557</v>
      </c>
      <c r="L81" s="110">
        <f>TrRail_emi!L$15</f>
        <v>37.957309836754689</v>
      </c>
      <c r="M81" s="110">
        <f>TrRail_emi!M$15</f>
        <v>41.978019043804458</v>
      </c>
      <c r="N81" s="110">
        <f>TrRail_emi!N$15</f>
        <v>34.661288338439675</v>
      </c>
      <c r="O81" s="110">
        <f>TrRail_emi!O$15</f>
        <v>34.669459534604734</v>
      </c>
      <c r="P81" s="110">
        <f>TrRail_emi!P$15</f>
        <v>27.833886689871616</v>
      </c>
      <c r="Q81" s="110">
        <f>TrRail_emi!Q$15</f>
        <v>28.47478022496691</v>
      </c>
      <c r="R81" s="110">
        <f>TrRail_emi!R$15</f>
        <v>27.225611205981757</v>
      </c>
      <c r="S81" s="110">
        <f>TrRail_emi!S$15</f>
        <v>22.258768429381391</v>
      </c>
      <c r="T81" s="110">
        <f>TrRail_emi!T$15</f>
        <v>24.827464741868539</v>
      </c>
      <c r="U81" s="110">
        <f>TrRail_emi!U$15</f>
        <v>24.496317944551997</v>
      </c>
      <c r="V81" s="110">
        <f>TrRail_emi!V$15</f>
        <v>25.468689388682389</v>
      </c>
      <c r="W81" s="110">
        <f>TrRail_emi!W$15</f>
        <v>22.788827607448688</v>
      </c>
      <c r="X81" s="110">
        <f>TrRail_emi!X$15</f>
        <v>26.58610289757226</v>
      </c>
      <c r="Y81" s="110">
        <f>TrRail_emi!Y$15</f>
        <v>23.821570710008007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40.600846513215608</v>
      </c>
      <c r="C82" s="110">
        <f t="shared" si="67"/>
        <v>47.455378242465798</v>
      </c>
      <c r="D82" s="110">
        <f t="shared" si="67"/>
        <v>52.324361307053962</v>
      </c>
      <c r="E82" s="110">
        <f t="shared" si="67"/>
        <v>66.78957471987988</v>
      </c>
      <c r="F82" s="110">
        <f t="shared" si="67"/>
        <v>88.575321369331107</v>
      </c>
      <c r="G82" s="110">
        <f t="shared" si="67"/>
        <v>100.72745548290074</v>
      </c>
      <c r="H82" s="110">
        <f t="shared" si="67"/>
        <v>111.27752196591103</v>
      </c>
      <c r="I82" s="110">
        <f t="shared" si="67"/>
        <v>113.18859791420721</v>
      </c>
      <c r="J82" s="110">
        <f t="shared" si="67"/>
        <v>127.38875657421586</v>
      </c>
      <c r="K82" s="110">
        <f t="shared" si="67"/>
        <v>99.588579389957388</v>
      </c>
      <c r="L82" s="110">
        <f t="shared" si="67"/>
        <v>109.10365446164963</v>
      </c>
      <c r="M82" s="110">
        <f t="shared" si="67"/>
        <v>93.123355108478052</v>
      </c>
      <c r="N82" s="110">
        <f t="shared" si="67"/>
        <v>74.677739733578889</v>
      </c>
      <c r="O82" s="110">
        <f t="shared" si="67"/>
        <v>58.663050870185941</v>
      </c>
      <c r="P82" s="110">
        <f t="shared" si="67"/>
        <v>42.513427846485158</v>
      </c>
      <c r="Q82" s="110">
        <f t="shared" si="67"/>
        <v>39.078101490085245</v>
      </c>
      <c r="R82" s="110">
        <f t="shared" si="67"/>
        <v>32.912443229791045</v>
      </c>
      <c r="S82" s="110">
        <f t="shared" si="67"/>
        <v>31.799072247349581</v>
      </c>
      <c r="T82" s="110">
        <f t="shared" si="67"/>
        <v>30.041046155793982</v>
      </c>
      <c r="U82" s="110">
        <f t="shared" si="67"/>
        <v>35.807704499905995</v>
      </c>
      <c r="V82" s="110">
        <f t="shared" si="67"/>
        <v>42.352817437436968</v>
      </c>
      <c r="W82" s="110">
        <f t="shared" ref="W82:Y82" si="68">W83+W84+W85</f>
        <v>43.077199648155315</v>
      </c>
      <c r="X82" s="110">
        <f t="shared" si="68"/>
        <v>67.753183822624251</v>
      </c>
      <c r="Y82" s="110">
        <f t="shared" si="68"/>
        <v>49.866120079896405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3.7993648387670205</v>
      </c>
      <c r="C83" s="102">
        <f>TrAvia_emi!C$11</f>
        <v>3.2453890697146215</v>
      </c>
      <c r="D83" s="102">
        <f>TrAvia_emi!D$11</f>
        <v>3.6271474759514701</v>
      </c>
      <c r="E83" s="102">
        <f>TrAvia_emi!E$11</f>
        <v>4.1390415221426204</v>
      </c>
      <c r="F83" s="102">
        <f>TrAvia_emi!F$11</f>
        <v>7.0060052411597331</v>
      </c>
      <c r="G83" s="102">
        <f>TrAvia_emi!G$11</f>
        <v>8.0778562494620534</v>
      </c>
      <c r="H83" s="102">
        <f>TrAvia_emi!H$11</f>
        <v>9.6362349018517861</v>
      </c>
      <c r="I83" s="102">
        <f>TrAvia_emi!I$11</f>
        <v>11.619595950588662</v>
      </c>
      <c r="J83" s="102">
        <f>TrAvia_emi!J$11</f>
        <v>11.645204899497022</v>
      </c>
      <c r="K83" s="102">
        <f>TrAvia_emi!K$11</f>
        <v>8.8164067821531713</v>
      </c>
      <c r="L83" s="102">
        <f>TrAvia_emi!L$11</f>
        <v>7.218756795380731</v>
      </c>
      <c r="M83" s="102">
        <f>TrAvia_emi!M$11</f>
        <v>6.4458095074209556</v>
      </c>
      <c r="N83" s="102">
        <f>TrAvia_emi!N$11</f>
        <v>6.3993541687591931</v>
      </c>
      <c r="O83" s="102">
        <f>TrAvia_emi!O$11</f>
        <v>6.1492139958461323</v>
      </c>
      <c r="P83" s="102">
        <f>TrAvia_emi!P$11</f>
        <v>5.5792436914904773</v>
      </c>
      <c r="Q83" s="102">
        <f>TrAvia_emi!Q$11</f>
        <v>5.3787042889858672</v>
      </c>
      <c r="R83" s="102">
        <f>TrAvia_emi!R$11</f>
        <v>4.7812423304669824</v>
      </c>
      <c r="S83" s="102">
        <f>TrAvia_emi!S$11</f>
        <v>5.1350981418390811</v>
      </c>
      <c r="T83" s="102">
        <f>TrAvia_emi!T$11</f>
        <v>3.7431309767223082</v>
      </c>
      <c r="U83" s="102">
        <f>TrAvia_emi!U$11</f>
        <v>2.397315928186885</v>
      </c>
      <c r="V83" s="102">
        <f>TrAvia_emi!V$11</f>
        <v>1.8068061420514527</v>
      </c>
      <c r="W83" s="102">
        <f>TrAvia_emi!W$11</f>
        <v>2.4544425976015489</v>
      </c>
      <c r="X83" s="102">
        <f>TrAvia_emi!X$11</f>
        <v>2.802546820347545</v>
      </c>
      <c r="Y83" s="102">
        <f>TrAvia_emi!Y$11</f>
        <v>2.0665995698001556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15.14289190517858</v>
      </c>
      <c r="C84" s="102">
        <f>TrAvia_emi!C$12</f>
        <v>13.639888081606605</v>
      </c>
      <c r="D84" s="102">
        <f>TrAvia_emi!D$12</f>
        <v>14.678037836624803</v>
      </c>
      <c r="E84" s="102">
        <f>TrAvia_emi!E$12</f>
        <v>16.505367312294133</v>
      </c>
      <c r="F84" s="102">
        <f>TrAvia_emi!F$12</f>
        <v>22.969871522830491</v>
      </c>
      <c r="G84" s="102">
        <f>TrAvia_emi!G$12</f>
        <v>26.918551087076999</v>
      </c>
      <c r="H84" s="102">
        <f>TrAvia_emi!H$12</f>
        <v>31.26277108819194</v>
      </c>
      <c r="I84" s="102">
        <f>TrAvia_emi!I$12</f>
        <v>36.049909530003632</v>
      </c>
      <c r="J84" s="102">
        <f>TrAvia_emi!J$12</f>
        <v>42.266015685698996</v>
      </c>
      <c r="K84" s="102">
        <f>TrAvia_emi!K$12</f>
        <v>33.913736902506713</v>
      </c>
      <c r="L84" s="102">
        <f>TrAvia_emi!L$12</f>
        <v>33.09251913953424</v>
      </c>
      <c r="M84" s="102">
        <f>TrAvia_emi!M$12</f>
        <v>24.397684372330804</v>
      </c>
      <c r="N84" s="102">
        <f>TrAvia_emi!N$12</f>
        <v>19.608997440394383</v>
      </c>
      <c r="O84" s="102">
        <f>TrAvia_emi!O$12</f>
        <v>20.205706431989821</v>
      </c>
      <c r="P84" s="102">
        <f>TrAvia_emi!P$12</f>
        <v>17.39599033860485</v>
      </c>
      <c r="Q84" s="102">
        <f>TrAvia_emi!Q$12</f>
        <v>18.131330246014233</v>
      </c>
      <c r="R84" s="102">
        <f>TrAvia_emi!R$12</f>
        <v>16.771606710094694</v>
      </c>
      <c r="S84" s="102">
        <f>TrAvia_emi!S$12</f>
        <v>18.076764243208363</v>
      </c>
      <c r="T84" s="102">
        <f>TrAvia_emi!T$12</f>
        <v>19.407704429124536</v>
      </c>
      <c r="U84" s="102">
        <f>TrAvia_emi!U$12</f>
        <v>28.702777333797684</v>
      </c>
      <c r="V84" s="102">
        <f>TrAvia_emi!V$12</f>
        <v>33.498563677967311</v>
      </c>
      <c r="W84" s="102">
        <f>TrAvia_emi!W$12</f>
        <v>32.089867241480896</v>
      </c>
      <c r="X84" s="102">
        <f>TrAvia_emi!X$12</f>
        <v>26.457773650145231</v>
      </c>
      <c r="Y84" s="102">
        <f>TrAvia_emi!Y$12</f>
        <v>18.480278250639547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21.658589769270009</v>
      </c>
      <c r="C85" s="102">
        <f>TrAvia_emi!C$13</f>
        <v>30.570101091144576</v>
      </c>
      <c r="D85" s="102">
        <f>TrAvia_emi!D$13</f>
        <v>34.019175994477685</v>
      </c>
      <c r="E85" s="102">
        <f>TrAvia_emi!E$13</f>
        <v>46.145165885443134</v>
      </c>
      <c r="F85" s="102">
        <f>TrAvia_emi!F$13</f>
        <v>58.599444605340878</v>
      </c>
      <c r="G85" s="102">
        <f>TrAvia_emi!G$13</f>
        <v>65.731048146361687</v>
      </c>
      <c r="H85" s="102">
        <f>TrAvia_emi!H$13</f>
        <v>70.378515975867302</v>
      </c>
      <c r="I85" s="102">
        <f>TrAvia_emi!I$13</f>
        <v>65.519092433614915</v>
      </c>
      <c r="J85" s="102">
        <f>TrAvia_emi!J$13</f>
        <v>73.477535989019842</v>
      </c>
      <c r="K85" s="102">
        <f>TrAvia_emi!K$13</f>
        <v>56.858435705297502</v>
      </c>
      <c r="L85" s="102">
        <f>TrAvia_emi!L$13</f>
        <v>68.792378526734652</v>
      </c>
      <c r="M85" s="102">
        <f>TrAvia_emi!M$13</f>
        <v>62.279861228726283</v>
      </c>
      <c r="N85" s="102">
        <f>TrAvia_emi!N$13</f>
        <v>48.669388124425311</v>
      </c>
      <c r="O85" s="102">
        <f>TrAvia_emi!O$13</f>
        <v>32.308130442349984</v>
      </c>
      <c r="P85" s="102">
        <f>TrAvia_emi!P$13</f>
        <v>19.538193816389832</v>
      </c>
      <c r="Q85" s="102">
        <f>TrAvia_emi!Q$13</f>
        <v>15.56806695508514</v>
      </c>
      <c r="R85" s="102">
        <f>TrAvia_emi!R$13</f>
        <v>11.359594189229369</v>
      </c>
      <c r="S85" s="102">
        <f>TrAvia_emi!S$13</f>
        <v>8.5872098623021387</v>
      </c>
      <c r="T85" s="102">
        <f>TrAvia_emi!T$13</f>
        <v>6.890210749947137</v>
      </c>
      <c r="U85" s="102">
        <f>TrAvia_emi!U$13</f>
        <v>4.7076112379214274</v>
      </c>
      <c r="V85" s="102">
        <f>TrAvia_emi!V$13</f>
        <v>7.0474476174182108</v>
      </c>
      <c r="W85" s="102">
        <f>TrAvia_emi!W$13</f>
        <v>8.53288980907287</v>
      </c>
      <c r="X85" s="102">
        <f>TrAvia_emi!X$13</f>
        <v>38.492863352131479</v>
      </c>
      <c r="Y85" s="102">
        <f>TrAvia_emi!Y$13</f>
        <v>29.319242259456697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491.5624514399999</v>
      </c>
      <c r="C86" s="110">
        <f t="shared" si="69"/>
        <v>491.3250631200001</v>
      </c>
      <c r="D86" s="110">
        <f t="shared" si="69"/>
        <v>465.77526120000005</v>
      </c>
      <c r="E86" s="110">
        <f t="shared" si="69"/>
        <v>550.38101940000001</v>
      </c>
      <c r="F86" s="110">
        <f t="shared" si="69"/>
        <v>470.66426567999997</v>
      </c>
      <c r="G86" s="110">
        <f t="shared" si="69"/>
        <v>441.75238596000003</v>
      </c>
      <c r="H86" s="110">
        <f t="shared" si="69"/>
        <v>444.54780504000001</v>
      </c>
      <c r="I86" s="110">
        <f t="shared" si="69"/>
        <v>434.82333276000008</v>
      </c>
      <c r="J86" s="110">
        <f t="shared" si="69"/>
        <v>429.02553095999997</v>
      </c>
      <c r="K86" s="110">
        <f t="shared" si="69"/>
        <v>437.70091068000005</v>
      </c>
      <c r="L86" s="110">
        <f t="shared" si="69"/>
        <v>473.61718547999999</v>
      </c>
      <c r="M86" s="110">
        <f t="shared" si="69"/>
        <v>484.15121064000022</v>
      </c>
      <c r="N86" s="110">
        <f t="shared" si="69"/>
        <v>445.73675651999997</v>
      </c>
      <c r="O86" s="110">
        <f t="shared" si="69"/>
        <v>467.9232505199999</v>
      </c>
      <c r="P86" s="110">
        <f t="shared" si="69"/>
        <v>453.11355720000006</v>
      </c>
      <c r="Q86" s="110">
        <f t="shared" si="69"/>
        <v>438.34393188000001</v>
      </c>
      <c r="R86" s="110">
        <f t="shared" ref="R86:V86" si="70">R87+R88</f>
        <v>462.49616951999997</v>
      </c>
      <c r="S86" s="110">
        <f t="shared" si="70"/>
        <v>457.42593348000003</v>
      </c>
      <c r="T86" s="110">
        <f t="shared" si="70"/>
        <v>466.41338676000004</v>
      </c>
      <c r="U86" s="110">
        <f t="shared" si="70"/>
        <v>448.24505112000003</v>
      </c>
      <c r="V86" s="110">
        <f t="shared" si="70"/>
        <v>347.34946716000002</v>
      </c>
      <c r="W86" s="110">
        <f t="shared" ref="W86:Y86" si="71">W87+W88</f>
        <v>326.5780572000001</v>
      </c>
      <c r="X86" s="110">
        <f t="shared" si="71"/>
        <v>421.42072283999994</v>
      </c>
      <c r="Y86" s="110">
        <f t="shared" si="71"/>
        <v>389.02770071999993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491.5624514399999</v>
      </c>
      <c r="C87" s="102">
        <f>TrNavi_emi!C$4</f>
        <v>491.3250631200001</v>
      </c>
      <c r="D87" s="102">
        <f>TrNavi_emi!D$4</f>
        <v>465.77526120000005</v>
      </c>
      <c r="E87" s="102">
        <f>TrNavi_emi!E$4</f>
        <v>550.38101940000001</v>
      </c>
      <c r="F87" s="102">
        <f>TrNavi_emi!F$4</f>
        <v>470.66426567999997</v>
      </c>
      <c r="G87" s="102">
        <f>TrNavi_emi!G$4</f>
        <v>441.75238596000003</v>
      </c>
      <c r="H87" s="102">
        <f>TrNavi_emi!H$4</f>
        <v>444.54780504000001</v>
      </c>
      <c r="I87" s="102">
        <f>TrNavi_emi!I$4</f>
        <v>434.82333276000008</v>
      </c>
      <c r="J87" s="102">
        <f>TrNavi_emi!J$4</f>
        <v>429.02553095999997</v>
      </c>
      <c r="K87" s="102">
        <f>TrNavi_emi!K$4</f>
        <v>437.70091068000005</v>
      </c>
      <c r="L87" s="102">
        <f>TrNavi_emi!L$4</f>
        <v>473.61718547999999</v>
      </c>
      <c r="M87" s="102">
        <f>TrNavi_emi!M$4</f>
        <v>484.15121064000022</v>
      </c>
      <c r="N87" s="102">
        <f>TrNavi_emi!N$4</f>
        <v>445.73675651999997</v>
      </c>
      <c r="O87" s="102">
        <f>TrNavi_emi!O$4</f>
        <v>467.9232505199999</v>
      </c>
      <c r="P87" s="102">
        <f>TrNavi_emi!P$4</f>
        <v>453.11355720000006</v>
      </c>
      <c r="Q87" s="102">
        <f>TrNavi_emi!Q$4</f>
        <v>438.34393188000001</v>
      </c>
      <c r="R87" s="102">
        <f>TrNavi_emi!R$4</f>
        <v>461.76352792426582</v>
      </c>
      <c r="S87" s="102">
        <f>TrNavi_emi!S$4</f>
        <v>457.23878806155022</v>
      </c>
      <c r="T87" s="102">
        <f>TrNavi_emi!T$4</f>
        <v>464.83592890361592</v>
      </c>
      <c r="U87" s="102">
        <f>TrNavi_emi!U$4</f>
        <v>446.47315082540916</v>
      </c>
      <c r="V87" s="102">
        <f>TrNavi_emi!V$4</f>
        <v>345.12387215526729</v>
      </c>
      <c r="W87" s="102">
        <f>TrNavi_emi!W$4</f>
        <v>323.35096612376725</v>
      </c>
      <c r="X87" s="102">
        <f>TrNavi_emi!X$4</f>
        <v>417.73103454547913</v>
      </c>
      <c r="Y87" s="102">
        <f>TrNavi_emi!Y$4</f>
        <v>383.88358944091101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0.73264159573417198</v>
      </c>
      <c r="S88" s="169">
        <f>TrNavi_emi!S$5</f>
        <v>0.18714541844978366</v>
      </c>
      <c r="T88" s="169">
        <f>TrNavi_emi!T$5</f>
        <v>1.5774578563841137</v>
      </c>
      <c r="U88" s="169">
        <f>TrNavi_emi!U$5</f>
        <v>1.7719002945908597</v>
      </c>
      <c r="V88" s="169">
        <f>TrNavi_emi!V$5</f>
        <v>2.2255950047327495</v>
      </c>
      <c r="W88" s="169">
        <f>TrNavi_emi!W$5</f>
        <v>3.2270910762328571</v>
      </c>
      <c r="X88" s="169">
        <f>TrNavi_emi!X$5</f>
        <v>3.6896882945208347</v>
      </c>
      <c r="Y88" s="169">
        <f>TrNavi_emi!Y$5</f>
        <v>5.1441112790889401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4374.5458521599994</v>
      </c>
      <c r="C89" s="28">
        <f t="shared" si="72"/>
        <v>4476.7266026399984</v>
      </c>
      <c r="D89" s="28">
        <f t="shared" si="72"/>
        <v>3881.70500472</v>
      </c>
      <c r="E89" s="28">
        <f t="shared" si="72"/>
        <v>5200.001789760001</v>
      </c>
      <c r="F89" s="28">
        <f t="shared" si="72"/>
        <v>6118.0247404800011</v>
      </c>
      <c r="G89" s="28">
        <f t="shared" si="72"/>
        <v>6246.6452960399984</v>
      </c>
      <c r="H89" s="28">
        <f t="shared" si="72"/>
        <v>6712.1470785600013</v>
      </c>
      <c r="I89" s="28">
        <f t="shared" si="72"/>
        <v>6680.0465420399996</v>
      </c>
      <c r="J89" s="28">
        <f t="shared" si="72"/>
        <v>6569.1218455199996</v>
      </c>
      <c r="K89" s="28">
        <f t="shared" si="72"/>
        <v>6834.3244754400021</v>
      </c>
      <c r="L89" s="28">
        <f t="shared" si="72"/>
        <v>6317.3396105999991</v>
      </c>
      <c r="M89" s="28">
        <f t="shared" si="72"/>
        <v>5543.2776365999998</v>
      </c>
      <c r="N89" s="28">
        <f t="shared" si="72"/>
        <v>5442.2858699999997</v>
      </c>
      <c r="O89" s="28">
        <f t="shared" si="72"/>
        <v>5142.5153413200005</v>
      </c>
      <c r="P89" s="28">
        <f t="shared" si="72"/>
        <v>5525.1500122800016</v>
      </c>
      <c r="Q89" s="28">
        <f t="shared" si="72"/>
        <v>5808.9165638400009</v>
      </c>
      <c r="R89" s="28">
        <f t="shared" si="72"/>
        <v>6394.5714038400001</v>
      </c>
      <c r="S89" s="28">
        <f t="shared" si="72"/>
        <v>7601.1895486799986</v>
      </c>
      <c r="T89" s="28">
        <f t="shared" si="72"/>
        <v>5774.2459189199999</v>
      </c>
      <c r="U89" s="28">
        <f t="shared" si="72"/>
        <v>6604.9543227600025</v>
      </c>
      <c r="V89" s="28">
        <f t="shared" si="72"/>
        <v>8241.4572066000001</v>
      </c>
      <c r="W89" s="28">
        <f t="shared" si="72"/>
        <v>8172.6484934780601</v>
      </c>
      <c r="X89" s="28">
        <f t="shared" ref="X89:Y89" si="73">X90+X91</f>
        <v>6643.9517245183652</v>
      </c>
      <c r="Y89" s="28">
        <f t="shared" si="73"/>
        <v>5838.8975420827628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2607.483636070343</v>
      </c>
      <c r="C90" s="102">
        <f>MBunk_emi!C$4</f>
        <v>2632.4847609429439</v>
      </c>
      <c r="D90" s="102">
        <f>MBunk_emi!D$4</f>
        <v>2292.0050927421157</v>
      </c>
      <c r="E90" s="102">
        <f>MBunk_emi!E$4</f>
        <v>3073.6335432949463</v>
      </c>
      <c r="F90" s="102">
        <f>MBunk_emi!F$4</f>
        <v>3677.9188043647291</v>
      </c>
      <c r="G90" s="102">
        <f>MBunk_emi!G$4</f>
        <v>3684.3044775639055</v>
      </c>
      <c r="H90" s="102">
        <f>MBunk_emi!H$4</f>
        <v>3995.3949688793268</v>
      </c>
      <c r="I90" s="102">
        <f>MBunk_emi!I$4</f>
        <v>4080.3958107146755</v>
      </c>
      <c r="J90" s="102">
        <f>MBunk_emi!J$4</f>
        <v>3977.2100124584886</v>
      </c>
      <c r="K90" s="102">
        <f>MBunk_emi!K$4</f>
        <v>4191.7096241669688</v>
      </c>
      <c r="L90" s="102">
        <f>MBunk_emi!L$4</f>
        <v>3745.4435128915329</v>
      </c>
      <c r="M90" s="102">
        <f>MBunk_emi!M$4</f>
        <v>3383.4063304565848</v>
      </c>
      <c r="N90" s="102">
        <f>MBunk_emi!N$4</f>
        <v>3311.3533798619305</v>
      </c>
      <c r="O90" s="102">
        <f>MBunk_emi!O$4</f>
        <v>3144.9738162878639</v>
      </c>
      <c r="P90" s="102">
        <f>MBunk_emi!P$4</f>
        <v>3262.3798053144037</v>
      </c>
      <c r="Q90" s="102">
        <f>MBunk_emi!Q$4</f>
        <v>3387.8731122631666</v>
      </c>
      <c r="R90" s="102">
        <f>MBunk_emi!R$4</f>
        <v>3792.4042819320598</v>
      </c>
      <c r="S90" s="102">
        <f>MBunk_emi!S$4</f>
        <v>4703.3414503904824</v>
      </c>
      <c r="T90" s="102">
        <f>MBunk_emi!T$4</f>
        <v>3615.2566376116788</v>
      </c>
      <c r="U90" s="102">
        <f>MBunk_emi!U$4</f>
        <v>4127.4125280700682</v>
      </c>
      <c r="V90" s="102">
        <f>MBunk_emi!V$4</f>
        <v>4761.2419213200319</v>
      </c>
      <c r="W90" s="102">
        <f>MBunk_emi!W$4</f>
        <v>4829.0574850720013</v>
      </c>
      <c r="X90" s="102">
        <f>MBunk_emi!X$4</f>
        <v>4194.641579415701</v>
      </c>
      <c r="Y90" s="102">
        <f>MBunk_emi!Y$4</f>
        <v>3751.2592285746891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1767.0622160896564</v>
      </c>
      <c r="C91" s="86">
        <f>MBunk_emi!C$5</f>
        <v>1844.2418416970545</v>
      </c>
      <c r="D91" s="86">
        <f>MBunk_emi!D$5</f>
        <v>1589.6999119778843</v>
      </c>
      <c r="E91" s="86">
        <f>MBunk_emi!E$5</f>
        <v>2126.3682464650547</v>
      </c>
      <c r="F91" s="86">
        <f>MBunk_emi!F$5</f>
        <v>2440.1059361152725</v>
      </c>
      <c r="G91" s="86">
        <f>MBunk_emi!G$5</f>
        <v>2562.3408184760933</v>
      </c>
      <c r="H91" s="86">
        <f>MBunk_emi!H$5</f>
        <v>2716.7521096806749</v>
      </c>
      <c r="I91" s="86">
        <f>MBunk_emi!I$5</f>
        <v>2599.6507313253246</v>
      </c>
      <c r="J91" s="86">
        <f>MBunk_emi!J$5</f>
        <v>2591.9118330615115</v>
      </c>
      <c r="K91" s="86">
        <f>MBunk_emi!K$5</f>
        <v>2642.6148512730333</v>
      </c>
      <c r="L91" s="86">
        <f>MBunk_emi!L$5</f>
        <v>2571.8960977084662</v>
      </c>
      <c r="M91" s="86">
        <f>MBunk_emi!M$5</f>
        <v>2159.871306143415</v>
      </c>
      <c r="N91" s="86">
        <f>MBunk_emi!N$5</f>
        <v>2130.9324901380696</v>
      </c>
      <c r="O91" s="86">
        <f>MBunk_emi!O$5</f>
        <v>1997.5415250321369</v>
      </c>
      <c r="P91" s="86">
        <f>MBunk_emi!P$5</f>
        <v>2262.7702069655979</v>
      </c>
      <c r="Q91" s="86">
        <f>MBunk_emi!Q$5</f>
        <v>2421.0434515768347</v>
      </c>
      <c r="R91" s="86">
        <f>MBunk_emi!R$5</f>
        <v>2602.1671219079399</v>
      </c>
      <c r="S91" s="86">
        <f>MBunk_emi!S$5</f>
        <v>2897.8480982895167</v>
      </c>
      <c r="T91" s="86">
        <f>MBunk_emi!T$5</f>
        <v>2158.9892813083211</v>
      </c>
      <c r="U91" s="86">
        <f>MBunk_emi!U$5</f>
        <v>2477.5417946899338</v>
      </c>
      <c r="V91" s="86">
        <f>MBunk_emi!V$5</f>
        <v>3480.2152852799677</v>
      </c>
      <c r="W91" s="86">
        <f>MBunk_emi!W$5</f>
        <v>3343.5910084060588</v>
      </c>
      <c r="X91" s="86">
        <f>MBunk_emi!X$5</f>
        <v>2449.3101451026637</v>
      </c>
      <c r="Y91" s="86">
        <f>MBunk_emi!Y$5</f>
        <v>2087.6383135080737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0.79597436501891394</v>
      </c>
      <c r="C97" s="139">
        <f t="shared" si="75"/>
        <v>0.79607951451019687</v>
      </c>
      <c r="D97" s="139">
        <f t="shared" si="75"/>
        <v>0.80877434265250592</v>
      </c>
      <c r="E97" s="139">
        <f t="shared" si="75"/>
        <v>0.81679219856878627</v>
      </c>
      <c r="F97" s="139">
        <f t="shared" si="75"/>
        <v>0.81188101160753656</v>
      </c>
      <c r="G97" s="139">
        <f t="shared" si="75"/>
        <v>0.80029540386886089</v>
      </c>
      <c r="H97" s="139">
        <f t="shared" si="75"/>
        <v>0.78237678019010892</v>
      </c>
      <c r="I97" s="139">
        <f t="shared" si="75"/>
        <v>0.77575144756626657</v>
      </c>
      <c r="J97" s="139">
        <f t="shared" si="75"/>
        <v>0.76500794584410792</v>
      </c>
      <c r="K97" s="139">
        <f t="shared" si="75"/>
        <v>0.77403224119183633</v>
      </c>
      <c r="L97" s="139">
        <f t="shared" si="75"/>
        <v>0.76741309326020013</v>
      </c>
      <c r="M97" s="139">
        <f t="shared" si="75"/>
        <v>0.75786444662326513</v>
      </c>
      <c r="N97" s="139">
        <f t="shared" si="75"/>
        <v>0.7513651922176785</v>
      </c>
      <c r="O97" s="139">
        <f t="shared" si="75"/>
        <v>0.74315295639252033</v>
      </c>
      <c r="P97" s="139">
        <f t="shared" si="75"/>
        <v>0.73735503882348652</v>
      </c>
      <c r="Q97" s="139">
        <f t="shared" si="75"/>
        <v>0.73377157687818051</v>
      </c>
      <c r="R97" s="139">
        <f t="shared" si="75"/>
        <v>0.69204565581845712</v>
      </c>
      <c r="S97" s="139">
        <f t="shared" si="75"/>
        <v>0.6788655464762271</v>
      </c>
      <c r="T97" s="139">
        <f t="shared" si="75"/>
        <v>0.67714273648463841</v>
      </c>
      <c r="U97" s="139">
        <f t="shared" si="75"/>
        <v>0.67914958395260361</v>
      </c>
      <c r="V97" s="139">
        <f t="shared" si="75"/>
        <v>0.84770489339186772</v>
      </c>
      <c r="W97" s="139">
        <f t="shared" si="75"/>
        <v>0.83984227094273978</v>
      </c>
      <c r="X97" s="139">
        <f t="shared" si="75"/>
        <v>0.73876221974269196</v>
      </c>
      <c r="Y97" s="139">
        <f t="shared" si="75"/>
        <v>0.7311146373147861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3.3762144183474832E-3</v>
      </c>
      <c r="C98" s="140">
        <f t="shared" si="76"/>
        <v>3.6475875574562113E-3</v>
      </c>
      <c r="D98" s="140">
        <f t="shared" si="76"/>
        <v>4.12102604340207E-3</v>
      </c>
      <c r="E98" s="140">
        <f t="shared" si="76"/>
        <v>4.4726895805586257E-3</v>
      </c>
      <c r="F98" s="140">
        <f t="shared" si="76"/>
        <v>4.7537434105860291E-3</v>
      </c>
      <c r="G98" s="140">
        <f t="shared" si="76"/>
        <v>4.839554713086433E-3</v>
      </c>
      <c r="H98" s="140">
        <f t="shared" si="76"/>
        <v>5.1735227673522606E-3</v>
      </c>
      <c r="I98" s="140">
        <f t="shared" si="76"/>
        <v>5.5980203750257886E-3</v>
      </c>
      <c r="J98" s="140">
        <f t="shared" si="76"/>
        <v>5.402126896465036E-3</v>
      </c>
      <c r="K98" s="140">
        <f t="shared" si="76"/>
        <v>5.5493873613667337E-3</v>
      </c>
      <c r="L98" s="140">
        <f t="shared" si="76"/>
        <v>5.2708514144903656E-3</v>
      </c>
      <c r="M98" s="140">
        <f t="shared" si="76"/>
        <v>4.9789554654000269E-3</v>
      </c>
      <c r="N98" s="140">
        <f t="shared" si="76"/>
        <v>4.3137779969689713E-3</v>
      </c>
      <c r="O98" s="140">
        <f t="shared" si="76"/>
        <v>4.7539580954240488E-3</v>
      </c>
      <c r="P98" s="140">
        <f t="shared" si="76"/>
        <v>4.6572544389725671E-3</v>
      </c>
      <c r="Q98" s="140">
        <f t="shared" si="76"/>
        <v>4.599573163825043E-3</v>
      </c>
      <c r="R98" s="140">
        <f t="shared" si="76"/>
        <v>5.3763774384960206E-3</v>
      </c>
      <c r="S98" s="140">
        <f t="shared" si="76"/>
        <v>4.9233386894274433E-3</v>
      </c>
      <c r="T98" s="140">
        <f t="shared" si="76"/>
        <v>4.6533497677785831E-3</v>
      </c>
      <c r="U98" s="140">
        <f t="shared" si="76"/>
        <v>5.0001342063551238E-3</v>
      </c>
      <c r="V98" s="140">
        <f t="shared" si="76"/>
        <v>5.9525314704372461E-3</v>
      </c>
      <c r="W98" s="140">
        <f t="shared" si="76"/>
        <v>6.1767631084934061E-3</v>
      </c>
      <c r="X98" s="140">
        <f t="shared" si="76"/>
        <v>5.1778730423957904E-3</v>
      </c>
      <c r="Y98" s="140">
        <f t="shared" si="76"/>
        <v>5.1264212392039552E-3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0.72783640920289605</v>
      </c>
      <c r="C99" s="140">
        <f t="shared" si="77"/>
        <v>0.72837748504869093</v>
      </c>
      <c r="D99" s="140">
        <f t="shared" si="77"/>
        <v>0.74006575112068462</v>
      </c>
      <c r="E99" s="140">
        <f t="shared" si="77"/>
        <v>0.74737635618875475</v>
      </c>
      <c r="F99" s="140">
        <f t="shared" si="77"/>
        <v>0.74361404563458899</v>
      </c>
      <c r="G99" s="140">
        <f t="shared" si="77"/>
        <v>0.73267011321865183</v>
      </c>
      <c r="H99" s="140">
        <f t="shared" si="77"/>
        <v>0.71546132225907366</v>
      </c>
      <c r="I99" s="140">
        <f t="shared" si="77"/>
        <v>0.70953690510000644</v>
      </c>
      <c r="J99" s="140">
        <f t="shared" si="77"/>
        <v>0.70090867488317321</v>
      </c>
      <c r="K99" s="140">
        <f t="shared" si="77"/>
        <v>0.70838615683802264</v>
      </c>
      <c r="L99" s="140">
        <f t="shared" si="77"/>
        <v>0.70128642563369181</v>
      </c>
      <c r="M99" s="140">
        <f t="shared" si="77"/>
        <v>0.69168380181882327</v>
      </c>
      <c r="N99" s="140">
        <f t="shared" si="77"/>
        <v>0.6866742241868713</v>
      </c>
      <c r="O99" s="140">
        <f t="shared" si="77"/>
        <v>0.67758612350502656</v>
      </c>
      <c r="P99" s="140">
        <f t="shared" si="77"/>
        <v>0.67348535753838601</v>
      </c>
      <c r="Q99" s="140">
        <f t="shared" si="77"/>
        <v>0.67026367868704217</v>
      </c>
      <c r="R99" s="140">
        <f t="shared" si="77"/>
        <v>0.62136278371460885</v>
      </c>
      <c r="S99" s="140">
        <f t="shared" si="77"/>
        <v>0.61014757342495807</v>
      </c>
      <c r="T99" s="140">
        <f t="shared" si="77"/>
        <v>0.60934218156500675</v>
      </c>
      <c r="U99" s="140">
        <f t="shared" si="77"/>
        <v>0.60996771789695414</v>
      </c>
      <c r="V99" s="140">
        <f t="shared" si="77"/>
        <v>0.76538465121736399</v>
      </c>
      <c r="W99" s="140">
        <f t="shared" si="77"/>
        <v>0.75840474113605116</v>
      </c>
      <c r="X99" s="140">
        <f t="shared" si="77"/>
        <v>0.66763559149596896</v>
      </c>
      <c r="Y99" s="140">
        <f t="shared" si="77"/>
        <v>0.66389924614840534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6.4761741397670367E-2</v>
      </c>
      <c r="C100" s="140">
        <f t="shared" si="78"/>
        <v>6.4054441904049769E-2</v>
      </c>
      <c r="D100" s="140">
        <f t="shared" si="78"/>
        <v>6.4587565488419207E-2</v>
      </c>
      <c r="E100" s="140">
        <f t="shared" si="78"/>
        <v>6.4943152799472798E-2</v>
      </c>
      <c r="F100" s="140">
        <f t="shared" si="78"/>
        <v>6.3513222562361554E-2</v>
      </c>
      <c r="G100" s="140">
        <f t="shared" si="78"/>
        <v>6.2785735937122555E-2</v>
      </c>
      <c r="H100" s="140">
        <f t="shared" si="78"/>
        <v>6.1741935163682933E-2</v>
      </c>
      <c r="I100" s="140">
        <f t="shared" si="78"/>
        <v>6.0616522091234422E-2</v>
      </c>
      <c r="J100" s="140">
        <f t="shared" si="78"/>
        <v>5.869714406446961E-2</v>
      </c>
      <c r="K100" s="140">
        <f t="shared" si="78"/>
        <v>6.0096696992446873E-2</v>
      </c>
      <c r="L100" s="140">
        <f t="shared" si="78"/>
        <v>6.0855816212017862E-2</v>
      </c>
      <c r="M100" s="140">
        <f t="shared" si="78"/>
        <v>6.120168933904177E-2</v>
      </c>
      <c r="N100" s="140">
        <f t="shared" si="78"/>
        <v>6.0377190033838256E-2</v>
      </c>
      <c r="O100" s="140">
        <f t="shared" si="78"/>
        <v>6.0812874792069822E-2</v>
      </c>
      <c r="P100" s="140">
        <f t="shared" si="78"/>
        <v>5.9212426846127847E-2</v>
      </c>
      <c r="Q100" s="140">
        <f t="shared" si="78"/>
        <v>5.8908325027313281E-2</v>
      </c>
      <c r="R100" s="140">
        <f t="shared" si="78"/>
        <v>6.5306494665352252E-2</v>
      </c>
      <c r="S100" s="140">
        <f t="shared" si="78"/>
        <v>6.3794634361841643E-2</v>
      </c>
      <c r="T100" s="140">
        <f t="shared" si="78"/>
        <v>6.3147205151853028E-2</v>
      </c>
      <c r="U100" s="140">
        <f t="shared" si="78"/>
        <v>6.4181731849294307E-2</v>
      </c>
      <c r="V100" s="140">
        <f t="shared" si="78"/>
        <v>7.6367710704066422E-2</v>
      </c>
      <c r="W100" s="140">
        <f t="shared" si="78"/>
        <v>7.5260766698195272E-2</v>
      </c>
      <c r="X100" s="140">
        <f t="shared" si="78"/>
        <v>6.594875520432715E-2</v>
      </c>
      <c r="Y100" s="140">
        <f t="shared" si="78"/>
        <v>6.2088969927176725E-2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7.1797204419877414E-2</v>
      </c>
      <c r="C101" s="124">
        <f t="shared" si="79"/>
        <v>7.4502271118037824E-2</v>
      </c>
      <c r="D101" s="124">
        <f t="shared" si="79"/>
        <v>7.5427730238503382E-2</v>
      </c>
      <c r="E101" s="124">
        <f t="shared" si="79"/>
        <v>7.540471221046266E-2</v>
      </c>
      <c r="F101" s="124">
        <f t="shared" si="79"/>
        <v>7.3098815702426781E-2</v>
      </c>
      <c r="G101" s="124">
        <f t="shared" si="79"/>
        <v>7.4119812617364278E-2</v>
      </c>
      <c r="H101" s="124">
        <f t="shared" si="79"/>
        <v>7.7780600573006481E-2</v>
      </c>
      <c r="I101" s="124">
        <f t="shared" si="79"/>
        <v>8.0229431958401126E-2</v>
      </c>
      <c r="J101" s="124">
        <f t="shared" si="79"/>
        <v>8.5701975562302982E-2</v>
      </c>
      <c r="K101" s="124">
        <f t="shared" si="79"/>
        <v>8.8209160342761828E-2</v>
      </c>
      <c r="L101" s="124">
        <f t="shared" si="79"/>
        <v>8.7228371384171124E-2</v>
      </c>
      <c r="M101" s="124">
        <f t="shared" si="79"/>
        <v>8.7033829327882548E-2</v>
      </c>
      <c r="N101" s="124">
        <f t="shared" si="79"/>
        <v>8.9752980083512582E-2</v>
      </c>
      <c r="O101" s="124">
        <f t="shared" si="79"/>
        <v>8.9490437156736713E-2</v>
      </c>
      <c r="P101" s="124">
        <f t="shared" si="79"/>
        <v>8.8894311185704539E-2</v>
      </c>
      <c r="Q101" s="124">
        <f t="shared" si="79"/>
        <v>9.1293691197506854E-2</v>
      </c>
      <c r="R101" s="124">
        <f t="shared" si="79"/>
        <v>0.10209910274930752</v>
      </c>
      <c r="S101" s="124">
        <f t="shared" si="79"/>
        <v>0.10211649089161595</v>
      </c>
      <c r="T101" s="124">
        <f t="shared" si="79"/>
        <v>0.10298005705993979</v>
      </c>
      <c r="U101" s="124">
        <f t="shared" si="79"/>
        <v>0.11053651461820162</v>
      </c>
      <c r="V101" s="124">
        <f t="shared" si="79"/>
        <v>8.3361070972170492E-2</v>
      </c>
      <c r="W101" s="124">
        <f t="shared" si="79"/>
        <v>8.1508547057968284E-2</v>
      </c>
      <c r="X101" s="124">
        <f t="shared" si="79"/>
        <v>0.10583927130363899</v>
      </c>
      <c r="Y101" s="124">
        <f t="shared" si="79"/>
        <v>0.10093338173786667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1.3917071800508267E-2</v>
      </c>
      <c r="C102" s="140">
        <f t="shared" si="80"/>
        <v>1.3833257651404765E-2</v>
      </c>
      <c r="D102" s="140">
        <f t="shared" si="80"/>
        <v>1.3833391586025328E-2</v>
      </c>
      <c r="E102" s="140">
        <f t="shared" si="80"/>
        <v>1.3885943493504114E-2</v>
      </c>
      <c r="F102" s="140">
        <f t="shared" si="80"/>
        <v>1.3848423778398167E-2</v>
      </c>
      <c r="G102" s="140">
        <f t="shared" si="80"/>
        <v>1.3665077133959322E-2</v>
      </c>
      <c r="H102" s="140">
        <f t="shared" si="80"/>
        <v>1.4152152486020832E-2</v>
      </c>
      <c r="I102" s="140">
        <f t="shared" si="80"/>
        <v>1.4185773609010513E-2</v>
      </c>
      <c r="J102" s="140">
        <f t="shared" si="80"/>
        <v>1.4335952430631032E-2</v>
      </c>
      <c r="K102" s="140">
        <f t="shared" si="80"/>
        <v>1.4564919617068123E-2</v>
      </c>
      <c r="L102" s="140">
        <f t="shared" si="80"/>
        <v>1.480317727993377E-2</v>
      </c>
      <c r="M102" s="140">
        <f t="shared" si="80"/>
        <v>1.4845044145145068E-2</v>
      </c>
      <c r="N102" s="140">
        <f t="shared" si="80"/>
        <v>1.5035921054583505E-2</v>
      </c>
      <c r="O102" s="140">
        <f t="shared" si="80"/>
        <v>1.5335671443345338E-2</v>
      </c>
      <c r="P102" s="140">
        <f t="shared" si="80"/>
        <v>1.4911343190516079E-2</v>
      </c>
      <c r="Q102" s="140">
        <f t="shared" si="80"/>
        <v>1.4974015094714691E-2</v>
      </c>
      <c r="R102" s="140">
        <f t="shared" si="80"/>
        <v>1.7281571908761291E-2</v>
      </c>
      <c r="S102" s="140">
        <f t="shared" si="80"/>
        <v>1.6917158054206252E-2</v>
      </c>
      <c r="T102" s="140">
        <f t="shared" si="80"/>
        <v>1.7308794901317565E-2</v>
      </c>
      <c r="U102" s="140">
        <f t="shared" si="80"/>
        <v>1.7255974570037365E-2</v>
      </c>
      <c r="V102" s="140">
        <f t="shared" si="80"/>
        <v>1.433365466038747E-2</v>
      </c>
      <c r="W102" s="140">
        <f t="shared" si="80"/>
        <v>1.3490134828598139E-2</v>
      </c>
      <c r="X102" s="140">
        <f t="shared" si="80"/>
        <v>1.5116876952919087E-2</v>
      </c>
      <c r="Y102" s="140">
        <f t="shared" si="80"/>
        <v>1.4862547176317929E-2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4.3506648272426444E-2</v>
      </c>
      <c r="C103" s="140">
        <f t="shared" si="81"/>
        <v>4.5196052748562532E-2</v>
      </c>
      <c r="D103" s="140">
        <f t="shared" si="81"/>
        <v>4.5005374332056307E-2</v>
      </c>
      <c r="E103" s="140">
        <f t="shared" si="81"/>
        <v>4.4805496708728923E-2</v>
      </c>
      <c r="F103" s="140">
        <f t="shared" si="81"/>
        <v>4.2629538410014572E-2</v>
      </c>
      <c r="G103" s="140">
        <f t="shared" si="81"/>
        <v>4.4645584677980313E-2</v>
      </c>
      <c r="H103" s="140">
        <f t="shared" si="81"/>
        <v>4.7153992878854814E-2</v>
      </c>
      <c r="I103" s="140">
        <f t="shared" si="81"/>
        <v>4.8182713809915026E-2</v>
      </c>
      <c r="J103" s="140">
        <f t="shared" si="81"/>
        <v>5.2208734309676388E-2</v>
      </c>
      <c r="K103" s="140">
        <f t="shared" si="81"/>
        <v>5.3803684748892557E-2</v>
      </c>
      <c r="L103" s="140">
        <f t="shared" si="81"/>
        <v>5.3346625491480608E-2</v>
      </c>
      <c r="M103" s="140">
        <f t="shared" si="81"/>
        <v>5.4254195525333594E-2</v>
      </c>
      <c r="N103" s="140">
        <f t="shared" si="81"/>
        <v>5.6037794271696806E-2</v>
      </c>
      <c r="O103" s="140">
        <f t="shared" si="81"/>
        <v>5.5024313994559204E-2</v>
      </c>
      <c r="P103" s="140">
        <f t="shared" si="81"/>
        <v>5.4280218990282236E-2</v>
      </c>
      <c r="Q103" s="140">
        <f t="shared" si="81"/>
        <v>5.6163039254358317E-2</v>
      </c>
      <c r="R103" s="140">
        <f t="shared" si="81"/>
        <v>6.1751138273675794E-2</v>
      </c>
      <c r="S103" s="140">
        <f t="shared" si="81"/>
        <v>6.2165922324618123E-2</v>
      </c>
      <c r="T103" s="140">
        <f t="shared" si="81"/>
        <v>6.3391801275413689E-2</v>
      </c>
      <c r="U103" s="140">
        <f t="shared" si="81"/>
        <v>6.8392115187533437E-2</v>
      </c>
      <c r="V103" s="140">
        <f t="shared" si="81"/>
        <v>5.375969647802907E-2</v>
      </c>
      <c r="W103" s="140">
        <f t="shared" si="81"/>
        <v>5.1587902535493384E-2</v>
      </c>
      <c r="X103" s="140">
        <f t="shared" si="81"/>
        <v>6.9392523235417489E-2</v>
      </c>
      <c r="Y103" s="140">
        <f t="shared" si="81"/>
        <v>6.5426252060762483E-2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1.4373484346942696E-2</v>
      </c>
      <c r="C104" s="140">
        <f t="shared" si="82"/>
        <v>1.5472960718070524E-2</v>
      </c>
      <c r="D104" s="140">
        <f t="shared" si="82"/>
        <v>1.6588964320421742E-2</v>
      </c>
      <c r="E104" s="140">
        <f t="shared" si="82"/>
        <v>1.6713272008229627E-2</v>
      </c>
      <c r="F104" s="140">
        <f t="shared" si="82"/>
        <v>1.6620853514014051E-2</v>
      </c>
      <c r="G104" s="140">
        <f t="shared" si="82"/>
        <v>1.5809150805424641E-2</v>
      </c>
      <c r="H104" s="140">
        <f t="shared" si="82"/>
        <v>1.6474455208130838E-2</v>
      </c>
      <c r="I104" s="140">
        <f t="shared" si="82"/>
        <v>1.7860944539475582E-2</v>
      </c>
      <c r="J104" s="140">
        <f t="shared" si="82"/>
        <v>1.9157288821995556E-2</v>
      </c>
      <c r="K104" s="140">
        <f t="shared" si="82"/>
        <v>1.984055597680115E-2</v>
      </c>
      <c r="L104" s="140">
        <f t="shared" si="82"/>
        <v>1.9078568612756742E-2</v>
      </c>
      <c r="M104" s="140">
        <f t="shared" si="82"/>
        <v>1.7934589657403889E-2</v>
      </c>
      <c r="N104" s="140">
        <f t="shared" si="82"/>
        <v>1.8679264757232267E-2</v>
      </c>
      <c r="O104" s="140">
        <f t="shared" si="82"/>
        <v>1.9130451718832181E-2</v>
      </c>
      <c r="P104" s="140">
        <f t="shared" si="82"/>
        <v>1.9702749004906223E-2</v>
      </c>
      <c r="Q104" s="140">
        <f t="shared" si="82"/>
        <v>2.0156636848433846E-2</v>
      </c>
      <c r="R104" s="140">
        <f t="shared" si="82"/>
        <v>2.306639256687042E-2</v>
      </c>
      <c r="S104" s="140">
        <f t="shared" si="82"/>
        <v>2.3033410512791581E-2</v>
      </c>
      <c r="T104" s="140">
        <f t="shared" si="82"/>
        <v>2.2279460883208542E-2</v>
      </c>
      <c r="U104" s="140">
        <f t="shared" si="82"/>
        <v>2.4888424860630812E-2</v>
      </c>
      <c r="V104" s="140">
        <f t="shared" si="82"/>
        <v>1.526771983375395E-2</v>
      </c>
      <c r="W104" s="140">
        <f t="shared" si="82"/>
        <v>1.6430509693876754E-2</v>
      </c>
      <c r="X104" s="140">
        <f t="shared" si="82"/>
        <v>2.1329871115302421E-2</v>
      </c>
      <c r="Y104" s="140">
        <f t="shared" si="82"/>
        <v>2.0644582500786261E-2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0.13222843056120859</v>
      </c>
      <c r="C105" s="124">
        <f t="shared" si="83"/>
        <v>0.12941821437176521</v>
      </c>
      <c r="D105" s="124">
        <f t="shared" si="83"/>
        <v>0.1157979271089908</v>
      </c>
      <c r="E105" s="124">
        <f t="shared" si="83"/>
        <v>0.10780308922075105</v>
      </c>
      <c r="F105" s="124">
        <f t="shared" si="83"/>
        <v>0.11502017269003666</v>
      </c>
      <c r="G105" s="124">
        <f t="shared" si="83"/>
        <v>0.12558478351377492</v>
      </c>
      <c r="H105" s="124">
        <f t="shared" si="83"/>
        <v>0.1398426192368846</v>
      </c>
      <c r="I105" s="124">
        <f t="shared" si="83"/>
        <v>0.1440191204753323</v>
      </c>
      <c r="J105" s="124">
        <f t="shared" si="83"/>
        <v>0.14929007859358906</v>
      </c>
      <c r="K105" s="124">
        <f t="shared" si="83"/>
        <v>0.13775859846540181</v>
      </c>
      <c r="L105" s="124">
        <f t="shared" si="83"/>
        <v>0.14535853535562859</v>
      </c>
      <c r="M105" s="124">
        <f t="shared" si="83"/>
        <v>0.15510172404885239</v>
      </c>
      <c r="N105" s="124">
        <f t="shared" si="83"/>
        <v>0.15888182769880882</v>
      </c>
      <c r="O105" s="124">
        <f t="shared" si="83"/>
        <v>0.16735660645074296</v>
      </c>
      <c r="P105" s="124">
        <f t="shared" si="83"/>
        <v>0.173750649990809</v>
      </c>
      <c r="Q105" s="124">
        <f t="shared" si="83"/>
        <v>0.17493473192431261</v>
      </c>
      <c r="R105" s="124">
        <f t="shared" si="83"/>
        <v>0.20585524143223538</v>
      </c>
      <c r="S105" s="124">
        <f t="shared" si="83"/>
        <v>0.21901796263215687</v>
      </c>
      <c r="T105" s="124">
        <f t="shared" si="83"/>
        <v>0.21987720645542189</v>
      </c>
      <c r="U105" s="124">
        <f t="shared" si="83"/>
        <v>0.21031390142919471</v>
      </c>
      <c r="V105" s="124">
        <f t="shared" si="83"/>
        <v>6.8934035635961871E-2</v>
      </c>
      <c r="W105" s="124">
        <f t="shared" si="83"/>
        <v>7.8649181999291926E-2</v>
      </c>
      <c r="X105" s="124">
        <f t="shared" si="83"/>
        <v>0.15539850895366902</v>
      </c>
      <c r="Y105" s="124">
        <f t="shared" si="83"/>
        <v>0.16795198094734728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2.6690581361693999E-2</v>
      </c>
      <c r="C106" s="140">
        <f t="shared" si="84"/>
        <v>2.6450692487593588E-2</v>
      </c>
      <c r="D106" s="140">
        <f t="shared" si="84"/>
        <v>2.458515888563894E-2</v>
      </c>
      <c r="E106" s="140">
        <f t="shared" si="84"/>
        <v>2.2605126089675132E-2</v>
      </c>
      <c r="F106" s="140">
        <f t="shared" si="84"/>
        <v>2.2852490873899824E-2</v>
      </c>
      <c r="G106" s="140">
        <f t="shared" si="84"/>
        <v>2.3642278920636261E-2</v>
      </c>
      <c r="H106" s="140">
        <f t="shared" si="84"/>
        <v>2.2875383349329884E-2</v>
      </c>
      <c r="I106" s="140">
        <f t="shared" si="84"/>
        <v>2.1896103457920722E-2</v>
      </c>
      <c r="J106" s="140">
        <f t="shared" si="84"/>
        <v>2.1669653558454762E-2</v>
      </c>
      <c r="K106" s="140">
        <f t="shared" si="84"/>
        <v>1.977634906138678E-2</v>
      </c>
      <c r="L106" s="140">
        <f t="shared" si="84"/>
        <v>2.0184699862053151E-2</v>
      </c>
      <c r="M106" s="140">
        <f t="shared" si="84"/>
        <v>2.1853992235527264E-2</v>
      </c>
      <c r="N106" s="140">
        <f t="shared" si="84"/>
        <v>2.2965519109009687E-2</v>
      </c>
      <c r="O106" s="140">
        <f t="shared" si="84"/>
        <v>2.2758364507554401E-2</v>
      </c>
      <c r="P106" s="140">
        <f t="shared" si="84"/>
        <v>2.3155611594892715E-2</v>
      </c>
      <c r="Q106" s="140">
        <f t="shared" si="84"/>
        <v>2.2747563155551178E-2</v>
      </c>
      <c r="R106" s="140">
        <f t="shared" si="84"/>
        <v>2.6454945764927861E-2</v>
      </c>
      <c r="S106" s="140">
        <f t="shared" si="84"/>
        <v>2.6251782840061959E-2</v>
      </c>
      <c r="T106" s="140">
        <f t="shared" si="84"/>
        <v>2.5147741126849314E-2</v>
      </c>
      <c r="U106" s="140">
        <f t="shared" si="84"/>
        <v>2.2873108432259995E-2</v>
      </c>
      <c r="V106" s="140">
        <f t="shared" si="84"/>
        <v>9.2809922280797704E-3</v>
      </c>
      <c r="W106" s="140">
        <f t="shared" si="84"/>
        <v>1.0147050216766651E-2</v>
      </c>
      <c r="X106" s="140">
        <f t="shared" si="84"/>
        <v>1.6307088068701868E-2</v>
      </c>
      <c r="Y106" s="140">
        <f t="shared" si="84"/>
        <v>1.588213371950771E-2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7.647704629895706E-2</v>
      </c>
      <c r="C107" s="140">
        <f t="shared" si="85"/>
        <v>7.6338462085496939E-2</v>
      </c>
      <c r="D107" s="140">
        <f t="shared" si="85"/>
        <v>6.9627162464692374E-2</v>
      </c>
      <c r="E107" s="140">
        <f t="shared" si="85"/>
        <v>6.3026384846297717E-2</v>
      </c>
      <c r="F107" s="140">
        <f t="shared" si="85"/>
        <v>6.4046922873017234E-2</v>
      </c>
      <c r="G107" s="140">
        <f t="shared" si="85"/>
        <v>6.5633275816112349E-2</v>
      </c>
      <c r="H107" s="140">
        <f t="shared" si="85"/>
        <v>7.9073123853031113E-2</v>
      </c>
      <c r="I107" s="140">
        <f t="shared" si="85"/>
        <v>7.8588974745497836E-2</v>
      </c>
      <c r="J107" s="140">
        <f t="shared" si="85"/>
        <v>7.7613504863935909E-2</v>
      </c>
      <c r="K107" s="140">
        <f t="shared" si="85"/>
        <v>7.0845387756135844E-2</v>
      </c>
      <c r="L107" s="140">
        <f t="shared" si="85"/>
        <v>7.5394279885312498E-2</v>
      </c>
      <c r="M107" s="140">
        <f t="shared" si="85"/>
        <v>8.3706413232875365E-2</v>
      </c>
      <c r="N107" s="140">
        <f t="shared" si="85"/>
        <v>8.6235343130518852E-2</v>
      </c>
      <c r="O107" s="140">
        <f t="shared" si="85"/>
        <v>9.3133764082056827E-2</v>
      </c>
      <c r="P107" s="140">
        <f t="shared" si="85"/>
        <v>9.4917377442838194E-2</v>
      </c>
      <c r="Q107" s="140">
        <f t="shared" si="85"/>
        <v>9.5503538392057885E-2</v>
      </c>
      <c r="R107" s="140">
        <f t="shared" si="85"/>
        <v>0.11559119466708692</v>
      </c>
      <c r="S107" s="140">
        <f t="shared" si="85"/>
        <v>0.12528948628040537</v>
      </c>
      <c r="T107" s="140">
        <f t="shared" si="85"/>
        <v>0.12213803466666981</v>
      </c>
      <c r="U107" s="140">
        <f t="shared" si="85"/>
        <v>0.11752200282947921</v>
      </c>
      <c r="V107" s="140">
        <f t="shared" si="85"/>
        <v>3.5813092058477818E-2</v>
      </c>
      <c r="W107" s="140">
        <f t="shared" si="85"/>
        <v>4.8029953611215453E-2</v>
      </c>
      <c r="X107" s="140">
        <f t="shared" si="85"/>
        <v>9.4662209214029971E-2</v>
      </c>
      <c r="Y107" s="140">
        <f t="shared" si="85"/>
        <v>0.10451998042285911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2.9060802900557521E-2</v>
      </c>
      <c r="C108" s="140">
        <f t="shared" si="86"/>
        <v>2.6629059798674692E-2</v>
      </c>
      <c r="D108" s="140">
        <f t="shared" si="86"/>
        <v>2.1585605758659473E-2</v>
      </c>
      <c r="E108" s="140">
        <f t="shared" si="86"/>
        <v>2.2171578284778188E-2</v>
      </c>
      <c r="F108" s="140">
        <f t="shared" si="86"/>
        <v>2.8120758943119595E-2</v>
      </c>
      <c r="G108" s="140">
        <f t="shared" si="86"/>
        <v>3.6309228777026324E-2</v>
      </c>
      <c r="H108" s="140">
        <f t="shared" si="86"/>
        <v>3.7894112034523614E-2</v>
      </c>
      <c r="I108" s="140">
        <f t="shared" si="86"/>
        <v>4.3534042271913716E-2</v>
      </c>
      <c r="J108" s="140">
        <f t="shared" si="86"/>
        <v>5.0006920171198392E-2</v>
      </c>
      <c r="K108" s="140">
        <f t="shared" si="86"/>
        <v>4.7136861647879204E-2</v>
      </c>
      <c r="L108" s="140">
        <f t="shared" si="86"/>
        <v>4.9779555608262971E-2</v>
      </c>
      <c r="M108" s="140">
        <f t="shared" si="86"/>
        <v>4.9541318580449765E-2</v>
      </c>
      <c r="N108" s="140">
        <f t="shared" si="86"/>
        <v>4.9680965459280281E-2</v>
      </c>
      <c r="O108" s="140">
        <f t="shared" si="86"/>
        <v>5.1464477861131723E-2</v>
      </c>
      <c r="P108" s="140">
        <f t="shared" si="86"/>
        <v>5.5677660953078086E-2</v>
      </c>
      <c r="Q108" s="140">
        <f t="shared" si="86"/>
        <v>5.6683630376703556E-2</v>
      </c>
      <c r="R108" s="140">
        <f t="shared" si="86"/>
        <v>6.3809101000220581E-2</v>
      </c>
      <c r="S108" s="140">
        <f t="shared" si="86"/>
        <v>6.747669351168957E-2</v>
      </c>
      <c r="T108" s="140">
        <f t="shared" si="86"/>
        <v>7.2591430661902753E-2</v>
      </c>
      <c r="U108" s="140">
        <f t="shared" si="86"/>
        <v>6.9918790167455475E-2</v>
      </c>
      <c r="V108" s="140">
        <f t="shared" si="86"/>
        <v>2.3839951349404281E-2</v>
      </c>
      <c r="W108" s="140">
        <f t="shared" si="86"/>
        <v>2.0472178171309832E-2</v>
      </c>
      <c r="X108" s="140">
        <f t="shared" si="86"/>
        <v>4.4429211670937177E-2</v>
      </c>
      <c r="Y108" s="140">
        <f t="shared" si="86"/>
        <v>4.7549866804980467E-2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0.64709699066005533</v>
      </c>
      <c r="C110" s="139">
        <f t="shared" si="88"/>
        <v>0.64803076909886015</v>
      </c>
      <c r="D110" s="139">
        <f t="shared" si="88"/>
        <v>0.65958447733330838</v>
      </c>
      <c r="E110" s="139">
        <f t="shared" si="88"/>
        <v>0.64784713122710247</v>
      </c>
      <c r="F110" s="139">
        <f t="shared" si="88"/>
        <v>0.65592087533621435</v>
      </c>
      <c r="G110" s="139">
        <f t="shared" si="88"/>
        <v>0.65613985225968141</v>
      </c>
      <c r="H110" s="139">
        <f t="shared" si="88"/>
        <v>0.64886766808038177</v>
      </c>
      <c r="I110" s="139">
        <f t="shared" si="88"/>
        <v>0.65642528124202115</v>
      </c>
      <c r="J110" s="139">
        <f t="shared" si="88"/>
        <v>0.66266218570355362</v>
      </c>
      <c r="K110" s="139">
        <f t="shared" si="88"/>
        <v>0.64788394815185324</v>
      </c>
      <c r="L110" s="139">
        <f t="shared" si="88"/>
        <v>0.61827352961594506</v>
      </c>
      <c r="M110" s="139">
        <f t="shared" si="88"/>
        <v>0.62725267333545831</v>
      </c>
      <c r="N110" s="139">
        <f t="shared" si="88"/>
        <v>0.61905415068815939</v>
      </c>
      <c r="O110" s="139">
        <f t="shared" si="88"/>
        <v>0.63604872727339956</v>
      </c>
      <c r="P110" s="139">
        <f t="shared" si="88"/>
        <v>0.67139300522429768</v>
      </c>
      <c r="Q110" s="139">
        <f t="shared" si="88"/>
        <v>0.68047781782604788</v>
      </c>
      <c r="R110" s="139">
        <f t="shared" si="88"/>
        <v>0.68182781291333128</v>
      </c>
      <c r="S110" s="139">
        <f t="shared" si="88"/>
        <v>0.67192760352391612</v>
      </c>
      <c r="T110" s="139">
        <f t="shared" si="88"/>
        <v>0.67212724117816958</v>
      </c>
      <c r="U110" s="139">
        <f t="shared" si="88"/>
        <v>0.67347704617719928</v>
      </c>
      <c r="V110" s="139">
        <f t="shared" si="88"/>
        <v>0.6777617512473959</v>
      </c>
      <c r="W110" s="139">
        <f t="shared" si="88"/>
        <v>0.68167722702768607</v>
      </c>
      <c r="X110" s="139">
        <f t="shared" si="88"/>
        <v>0.68090197176377787</v>
      </c>
      <c r="Y110" s="139">
        <f t="shared" si="88"/>
        <v>0.67922985604237474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1.2447104442936809E-2</v>
      </c>
      <c r="C111" s="140">
        <f t="shared" si="89"/>
        <v>1.5074140465440099E-2</v>
      </c>
      <c r="D111" s="140">
        <f t="shared" si="89"/>
        <v>1.5805285790934171E-2</v>
      </c>
      <c r="E111" s="140">
        <f t="shared" si="89"/>
        <v>1.6934842567699636E-2</v>
      </c>
      <c r="F111" s="140">
        <f t="shared" si="89"/>
        <v>1.7786141580050846E-2</v>
      </c>
      <c r="G111" s="140">
        <f t="shared" si="89"/>
        <v>1.6278061479680066E-2</v>
      </c>
      <c r="H111" s="140">
        <f t="shared" si="89"/>
        <v>1.6800916920100023E-2</v>
      </c>
      <c r="I111" s="140">
        <f t="shared" si="89"/>
        <v>1.7561281841997654E-2</v>
      </c>
      <c r="J111" s="140">
        <f t="shared" si="89"/>
        <v>1.778486878046635E-2</v>
      </c>
      <c r="K111" s="140">
        <f t="shared" si="89"/>
        <v>2.089788829918909E-2</v>
      </c>
      <c r="L111" s="140">
        <f t="shared" si="89"/>
        <v>2.045527106039044E-2</v>
      </c>
      <c r="M111" s="140">
        <f t="shared" si="89"/>
        <v>2.1733680218340157E-2</v>
      </c>
      <c r="N111" s="140">
        <f t="shared" si="89"/>
        <v>2.3549735592137619E-2</v>
      </c>
      <c r="O111" s="140">
        <f t="shared" si="89"/>
        <v>2.3664240904829863E-2</v>
      </c>
      <c r="P111" s="140">
        <f t="shared" si="89"/>
        <v>2.1793228182804845E-2</v>
      </c>
      <c r="Q111" s="140">
        <f t="shared" si="89"/>
        <v>2.3104993547974854E-2</v>
      </c>
      <c r="R111" s="140">
        <f t="shared" si="89"/>
        <v>2.2979945253415443E-2</v>
      </c>
      <c r="S111" s="140">
        <f t="shared" si="89"/>
        <v>2.4579033993224392E-2</v>
      </c>
      <c r="T111" s="140">
        <f t="shared" si="89"/>
        <v>2.362472564727193E-2</v>
      </c>
      <c r="U111" s="140">
        <f t="shared" si="89"/>
        <v>2.4796337512585115E-2</v>
      </c>
      <c r="V111" s="140">
        <f t="shared" si="89"/>
        <v>2.5137290670584948E-2</v>
      </c>
      <c r="W111" s="140">
        <f t="shared" si="89"/>
        <v>2.3671993678373526E-2</v>
      </c>
      <c r="X111" s="140">
        <f t="shared" si="89"/>
        <v>2.2967822293150246E-2</v>
      </c>
      <c r="Y111" s="140">
        <f t="shared" si="89"/>
        <v>2.5515678190247054E-2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0.6346498862171186</v>
      </c>
      <c r="C112" s="140">
        <f t="shared" si="90"/>
        <v>0.63295662863342006</v>
      </c>
      <c r="D112" s="140">
        <f t="shared" si="90"/>
        <v>0.64377919154237417</v>
      </c>
      <c r="E112" s="140">
        <f t="shared" si="90"/>
        <v>0.63091228865940285</v>
      </c>
      <c r="F112" s="140">
        <f t="shared" si="90"/>
        <v>0.63813473375616359</v>
      </c>
      <c r="G112" s="140">
        <f t="shared" si="90"/>
        <v>0.63986179078000138</v>
      </c>
      <c r="H112" s="140">
        <f t="shared" si="90"/>
        <v>0.63206675116028188</v>
      </c>
      <c r="I112" s="140">
        <f t="shared" si="90"/>
        <v>0.63886399940002347</v>
      </c>
      <c r="J112" s="140">
        <f t="shared" si="90"/>
        <v>0.64487731692308725</v>
      </c>
      <c r="K112" s="140">
        <f t="shared" si="90"/>
        <v>0.62698605985266409</v>
      </c>
      <c r="L112" s="140">
        <f t="shared" si="90"/>
        <v>0.59781825855555459</v>
      </c>
      <c r="M112" s="140">
        <f t="shared" si="90"/>
        <v>0.60551899311711821</v>
      </c>
      <c r="N112" s="140">
        <f t="shared" si="90"/>
        <v>0.59550441509602181</v>
      </c>
      <c r="O112" s="140">
        <f t="shared" si="90"/>
        <v>0.61238448636856968</v>
      </c>
      <c r="P112" s="140">
        <f t="shared" si="90"/>
        <v>0.64959977704149274</v>
      </c>
      <c r="Q112" s="140">
        <f t="shared" si="90"/>
        <v>0.65737282427807309</v>
      </c>
      <c r="R112" s="140">
        <f t="shared" si="90"/>
        <v>0.65884786765991588</v>
      </c>
      <c r="S112" s="140">
        <f t="shared" si="90"/>
        <v>0.64734856953069175</v>
      </c>
      <c r="T112" s="140">
        <f t="shared" si="90"/>
        <v>0.64850251553089766</v>
      </c>
      <c r="U112" s="140">
        <f t="shared" si="90"/>
        <v>0.64868070866461414</v>
      </c>
      <c r="V112" s="140">
        <f t="shared" si="90"/>
        <v>0.65262446057681101</v>
      </c>
      <c r="W112" s="140">
        <f t="shared" si="90"/>
        <v>0.6580052333493126</v>
      </c>
      <c r="X112" s="140">
        <f t="shared" si="90"/>
        <v>0.65793414947062756</v>
      </c>
      <c r="Y112" s="140">
        <f t="shared" si="90"/>
        <v>0.65371417785212771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0.31715929615728833</v>
      </c>
      <c r="C113" s="124">
        <f t="shared" si="91"/>
        <v>0.31553678242005484</v>
      </c>
      <c r="D113" s="124">
        <f t="shared" si="91"/>
        <v>0.30617257771482581</v>
      </c>
      <c r="E113" s="124">
        <f t="shared" si="91"/>
        <v>0.31708253489623905</v>
      </c>
      <c r="F113" s="124">
        <f t="shared" si="91"/>
        <v>0.31132642849182712</v>
      </c>
      <c r="G113" s="124">
        <f t="shared" si="91"/>
        <v>0.30741231482583581</v>
      </c>
      <c r="H113" s="124">
        <f t="shared" si="91"/>
        <v>0.3008595338257874</v>
      </c>
      <c r="I113" s="124">
        <f t="shared" si="91"/>
        <v>0.30986864971183659</v>
      </c>
      <c r="J113" s="124">
        <f t="shared" si="91"/>
        <v>0.30233372375140544</v>
      </c>
      <c r="K113" s="124">
        <f t="shared" si="91"/>
        <v>0.31342350234029709</v>
      </c>
      <c r="L113" s="124">
        <f t="shared" si="91"/>
        <v>0.33044840625531019</v>
      </c>
      <c r="M113" s="124">
        <f t="shared" si="91"/>
        <v>0.32269037007348839</v>
      </c>
      <c r="N113" s="124">
        <f t="shared" si="91"/>
        <v>0.33154447054717057</v>
      </c>
      <c r="O113" s="124">
        <f t="shared" si="91"/>
        <v>0.31156995031222734</v>
      </c>
      <c r="P113" s="124">
        <f t="shared" si="91"/>
        <v>0.28333090435328817</v>
      </c>
      <c r="Q113" s="124">
        <f t="shared" si="91"/>
        <v>0.27540431380016822</v>
      </c>
      <c r="R113" s="124">
        <f t="shared" si="91"/>
        <v>0.27520414418483297</v>
      </c>
      <c r="S113" s="124">
        <f t="shared" si="91"/>
        <v>0.28024980624490692</v>
      </c>
      <c r="T113" s="124">
        <f t="shared" si="91"/>
        <v>0.27973896406289089</v>
      </c>
      <c r="U113" s="124">
        <f t="shared" si="91"/>
        <v>0.27988083853574586</v>
      </c>
      <c r="V113" s="124">
        <f t="shared" si="91"/>
        <v>0.27558886168047364</v>
      </c>
      <c r="W113" s="124">
        <f t="shared" si="91"/>
        <v>0.26757707957838567</v>
      </c>
      <c r="X113" s="124">
        <f t="shared" si="91"/>
        <v>0.26557936553886863</v>
      </c>
      <c r="Y113" s="124">
        <f t="shared" si="91"/>
        <v>0.27750144728585052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1.9366330363820411E-3</v>
      </c>
      <c r="C114" s="124">
        <f t="shared" si="92"/>
        <v>2.5320549001620184E-3</v>
      </c>
      <c r="D114" s="124">
        <f t="shared" si="92"/>
        <v>3.0446977205199786E-3</v>
      </c>
      <c r="E114" s="124">
        <f t="shared" si="92"/>
        <v>3.6669009300011697E-3</v>
      </c>
      <c r="F114" s="124">
        <f t="shared" si="92"/>
        <v>3.8926198168314809E-3</v>
      </c>
      <c r="G114" s="124">
        <f t="shared" si="92"/>
        <v>4.7005724709975275E-3</v>
      </c>
      <c r="H114" s="124">
        <f t="shared" si="92"/>
        <v>4.8575712169287612E-3</v>
      </c>
      <c r="I114" s="124">
        <f t="shared" si="92"/>
        <v>5.3518214675424992E-3</v>
      </c>
      <c r="J114" s="124">
        <f t="shared" si="92"/>
        <v>5.5625307727005706E-3</v>
      </c>
      <c r="K114" s="124">
        <f t="shared" si="92"/>
        <v>5.2769064183026152E-3</v>
      </c>
      <c r="L114" s="124">
        <f t="shared" si="92"/>
        <v>5.6823384276639089E-3</v>
      </c>
      <c r="M114" s="124">
        <f t="shared" si="92"/>
        <v>5.1991704005633953E-3</v>
      </c>
      <c r="N114" s="124">
        <f t="shared" si="92"/>
        <v>4.8262226570325263E-3</v>
      </c>
      <c r="O114" s="124">
        <f t="shared" si="92"/>
        <v>3.4660734202115614E-3</v>
      </c>
      <c r="P114" s="124">
        <f t="shared" si="92"/>
        <v>3.1705050476485371E-3</v>
      </c>
      <c r="Q114" s="124">
        <f t="shared" si="92"/>
        <v>2.9453159640287019E-3</v>
      </c>
      <c r="R114" s="124">
        <f t="shared" si="92"/>
        <v>2.5924734154814211E-3</v>
      </c>
      <c r="S114" s="124">
        <f t="shared" si="92"/>
        <v>2.3581741524940662E-3</v>
      </c>
      <c r="T114" s="124">
        <f t="shared" si="92"/>
        <v>1.952038456646234E-3</v>
      </c>
      <c r="U114" s="124">
        <f t="shared" si="92"/>
        <v>1.7535336761476336E-3</v>
      </c>
      <c r="V114" s="124">
        <f t="shared" si="92"/>
        <v>1.3423237530582283E-3</v>
      </c>
      <c r="W114" s="124">
        <f t="shared" si="92"/>
        <v>1.352155814564998E-3</v>
      </c>
      <c r="X114" s="124">
        <f t="shared" si="92"/>
        <v>2.9711040782789263E-3</v>
      </c>
      <c r="Y114" s="124">
        <f t="shared" si="92"/>
        <v>2.9974763002827893E-3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4.841801715601492E-5</v>
      </c>
      <c r="C115" s="140">
        <f t="shared" si="93"/>
        <v>4.0539912069654739E-5</v>
      </c>
      <c r="D115" s="140">
        <f t="shared" si="93"/>
        <v>5.0105417175740224E-5</v>
      </c>
      <c r="E115" s="140">
        <f t="shared" si="93"/>
        <v>5.80011667918545E-5</v>
      </c>
      <c r="F115" s="140">
        <f t="shared" si="93"/>
        <v>8.0577399823855052E-5</v>
      </c>
      <c r="G115" s="140">
        <f t="shared" si="93"/>
        <v>8.080668341991613E-5</v>
      </c>
      <c r="H115" s="140">
        <f t="shared" si="93"/>
        <v>9.092714996204367E-5</v>
      </c>
      <c r="I115" s="140">
        <f t="shared" si="93"/>
        <v>1.0650444009569483E-4</v>
      </c>
      <c r="J115" s="140">
        <f t="shared" si="93"/>
        <v>1.1104790140956347E-4</v>
      </c>
      <c r="K115" s="140">
        <f t="shared" si="93"/>
        <v>1.0752565813281647E-4</v>
      </c>
      <c r="L115" s="140">
        <f t="shared" si="93"/>
        <v>8.9979821971377058E-5</v>
      </c>
      <c r="M115" s="140">
        <f t="shared" si="93"/>
        <v>8.467094889202851E-5</v>
      </c>
      <c r="N115" s="140">
        <f t="shared" si="93"/>
        <v>9.2570579146810509E-5</v>
      </c>
      <c r="O115" s="140">
        <f t="shared" si="93"/>
        <v>8.888901744955372E-5</v>
      </c>
      <c r="P115" s="140">
        <f t="shared" si="93"/>
        <v>8.2310873101564385E-5</v>
      </c>
      <c r="Q115" s="140">
        <f t="shared" si="93"/>
        <v>7.9749882619923679E-5</v>
      </c>
      <c r="R115" s="140">
        <f t="shared" ref="R115:V116" si="94">IF(R23=0,0,R23/R$17)</f>
        <v>7.6247386853239537E-5</v>
      </c>
      <c r="S115" s="140">
        <f t="shared" si="94"/>
        <v>7.6268702275432572E-5</v>
      </c>
      <c r="T115" s="140">
        <f t="shared" si="94"/>
        <v>5.5499086178288367E-5</v>
      </c>
      <c r="U115" s="140">
        <f t="shared" si="94"/>
        <v>3.9229176411446655E-5</v>
      </c>
      <c r="V115" s="140">
        <f t="shared" si="94"/>
        <v>2.9331320966449898E-5</v>
      </c>
      <c r="W115" s="140">
        <f t="shared" ref="W115:Y120" si="95">IF(W23=0,0,W23/W$17)</f>
        <v>3.3132592514667349E-5</v>
      </c>
      <c r="X115" s="140">
        <f t="shared" si="95"/>
        <v>3.6498656202819034E-5</v>
      </c>
      <c r="Y115" s="140">
        <f t="shared" si="95"/>
        <v>3.686392410753022E-5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4.1519716445209562E-4</v>
      </c>
      <c r="C116" s="140">
        <f t="shared" si="96"/>
        <v>3.7538711511659283E-4</v>
      </c>
      <c r="D116" s="140">
        <f t="shared" si="96"/>
        <v>4.3868072807217107E-4</v>
      </c>
      <c r="E116" s="140">
        <f t="shared" si="96"/>
        <v>4.9730768796015369E-4</v>
      </c>
      <c r="F116" s="140">
        <f t="shared" si="96"/>
        <v>5.6534764137986513E-4</v>
      </c>
      <c r="G116" s="140">
        <f t="shared" si="96"/>
        <v>5.6876015097029082E-4</v>
      </c>
      <c r="H116" s="140">
        <f t="shared" si="96"/>
        <v>6.1253321499299125E-4</v>
      </c>
      <c r="I116" s="140">
        <f t="shared" si="96"/>
        <v>7.1269362491969089E-4</v>
      </c>
      <c r="J116" s="140">
        <f t="shared" si="96"/>
        <v>7.1264083159218114E-4</v>
      </c>
      <c r="K116" s="140">
        <f t="shared" si="96"/>
        <v>6.684546085785366E-4</v>
      </c>
      <c r="L116" s="140">
        <f t="shared" si="96"/>
        <v>6.791382794145125E-4</v>
      </c>
      <c r="M116" s="140">
        <f t="shared" si="96"/>
        <v>5.3740349226836744E-4</v>
      </c>
      <c r="N116" s="140">
        <f t="shared" si="96"/>
        <v>5.156220883357933E-4</v>
      </c>
      <c r="O116" s="140">
        <f t="shared" si="96"/>
        <v>4.9759984376263457E-4</v>
      </c>
      <c r="P116" s="140">
        <f t="shared" si="96"/>
        <v>4.9074776493716042E-4</v>
      </c>
      <c r="Q116" s="140">
        <f t="shared" si="96"/>
        <v>4.871686278548218E-4</v>
      </c>
      <c r="R116" s="140">
        <f t="shared" si="94"/>
        <v>4.4753309800889078E-4</v>
      </c>
      <c r="S116" s="140">
        <f t="shared" si="94"/>
        <v>4.6628297933665788E-4</v>
      </c>
      <c r="T116" s="140">
        <f t="shared" si="94"/>
        <v>4.55743246091649E-4</v>
      </c>
      <c r="U116" s="140">
        <f t="shared" si="94"/>
        <v>7.6717401708280199E-4</v>
      </c>
      <c r="V116" s="140">
        <f t="shared" si="94"/>
        <v>6.4394084394425082E-4</v>
      </c>
      <c r="W116" s="140">
        <f t="shared" si="95"/>
        <v>5.9968531721378635E-4</v>
      </c>
      <c r="X116" s="140">
        <f t="shared" si="95"/>
        <v>4.8583328058545371E-4</v>
      </c>
      <c r="Y116" s="140">
        <f t="shared" si="95"/>
        <v>4.6397047369876751E-4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1.4730178547739305E-3</v>
      </c>
      <c r="C117" s="140">
        <f t="shared" si="97"/>
        <v>2.1161278729757709E-3</v>
      </c>
      <c r="D117" s="140">
        <f t="shared" si="97"/>
        <v>2.5559115752720675E-3</v>
      </c>
      <c r="E117" s="140">
        <f t="shared" si="97"/>
        <v>3.1115920752491618E-3</v>
      </c>
      <c r="F117" s="140">
        <f t="shared" si="97"/>
        <v>3.2466947756277609E-3</v>
      </c>
      <c r="G117" s="140">
        <f t="shared" si="97"/>
        <v>4.0510056366073214E-3</v>
      </c>
      <c r="H117" s="140">
        <f t="shared" si="97"/>
        <v>4.1541108519737267E-3</v>
      </c>
      <c r="I117" s="140">
        <f t="shared" si="97"/>
        <v>4.5326234025271136E-3</v>
      </c>
      <c r="J117" s="140">
        <f t="shared" si="97"/>
        <v>4.7388420396988259E-3</v>
      </c>
      <c r="K117" s="140">
        <f t="shared" si="97"/>
        <v>4.5009261515912627E-3</v>
      </c>
      <c r="L117" s="140">
        <f t="shared" si="97"/>
        <v>4.9132203262780196E-3</v>
      </c>
      <c r="M117" s="140">
        <f t="shared" si="97"/>
        <v>4.5770959594029987E-3</v>
      </c>
      <c r="N117" s="140">
        <f t="shared" si="97"/>
        <v>4.2180299895499228E-3</v>
      </c>
      <c r="O117" s="140">
        <f t="shared" si="97"/>
        <v>2.879584558999373E-3</v>
      </c>
      <c r="P117" s="140">
        <f t="shared" si="97"/>
        <v>2.5974464096098124E-3</v>
      </c>
      <c r="Q117" s="140">
        <f t="shared" si="97"/>
        <v>2.3783974535539561E-3</v>
      </c>
      <c r="R117" s="140">
        <f t="shared" ref="R117:V120" si="98">IF(R25=0,0,R25/R$17)</f>
        <v>2.0686929306192908E-3</v>
      </c>
      <c r="S117" s="140">
        <f t="shared" si="98"/>
        <v>1.8156224708819756E-3</v>
      </c>
      <c r="T117" s="140">
        <f t="shared" si="98"/>
        <v>1.4407961243762964E-3</v>
      </c>
      <c r="U117" s="140">
        <f t="shared" si="98"/>
        <v>9.4713048265338505E-4</v>
      </c>
      <c r="V117" s="140">
        <f t="shared" si="98"/>
        <v>6.6905158814752758E-4</v>
      </c>
      <c r="W117" s="140">
        <f t="shared" si="95"/>
        <v>7.1933790483654436E-4</v>
      </c>
      <c r="X117" s="140">
        <f t="shared" si="95"/>
        <v>2.4487721414906535E-3</v>
      </c>
      <c r="Y117" s="140">
        <f t="shared" si="95"/>
        <v>2.4966419024764915E-3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3.3807080146274288E-2</v>
      </c>
      <c r="C118" s="124">
        <f t="shared" si="99"/>
        <v>3.3900393580923026E-2</v>
      </c>
      <c r="D118" s="124">
        <f t="shared" si="99"/>
        <v>3.1198247231345875E-2</v>
      </c>
      <c r="E118" s="124">
        <f t="shared" si="99"/>
        <v>3.1403432946657213E-2</v>
      </c>
      <c r="F118" s="124">
        <f t="shared" si="99"/>
        <v>2.8860076355127079E-2</v>
      </c>
      <c r="G118" s="124">
        <f t="shared" si="99"/>
        <v>3.174726044348513E-2</v>
      </c>
      <c r="H118" s="124">
        <f t="shared" si="99"/>
        <v>4.5415226876902096E-2</v>
      </c>
      <c r="I118" s="124">
        <f t="shared" si="99"/>
        <v>2.8354247578599608E-2</v>
      </c>
      <c r="J118" s="124">
        <f t="shared" si="99"/>
        <v>2.9441559772340559E-2</v>
      </c>
      <c r="K118" s="124">
        <f t="shared" si="99"/>
        <v>3.3415643089547045E-2</v>
      </c>
      <c r="L118" s="124">
        <f t="shared" si="99"/>
        <v>4.5595725701080843E-2</v>
      </c>
      <c r="M118" s="124">
        <f t="shared" si="99"/>
        <v>4.4857786190489989E-2</v>
      </c>
      <c r="N118" s="124">
        <f t="shared" si="99"/>
        <v>4.457515610763748E-2</v>
      </c>
      <c r="O118" s="124">
        <f t="shared" si="99"/>
        <v>4.8915248994161518E-2</v>
      </c>
      <c r="P118" s="124">
        <f t="shared" si="99"/>
        <v>4.2105585374765594E-2</v>
      </c>
      <c r="Q118" s="124">
        <f t="shared" si="99"/>
        <v>4.1172552409755078E-2</v>
      </c>
      <c r="R118" s="124">
        <f t="shared" si="98"/>
        <v>4.0375569486354318E-2</v>
      </c>
      <c r="S118" s="124">
        <f t="shared" si="98"/>
        <v>4.5464416078682818E-2</v>
      </c>
      <c r="T118" s="124">
        <f t="shared" si="98"/>
        <v>4.6181756302293257E-2</v>
      </c>
      <c r="U118" s="124">
        <f t="shared" si="98"/>
        <v>4.4888581610907211E-2</v>
      </c>
      <c r="V118" s="124">
        <f t="shared" si="98"/>
        <v>4.530706331907218E-2</v>
      </c>
      <c r="W118" s="124">
        <f t="shared" si="95"/>
        <v>4.9393537579363218E-2</v>
      </c>
      <c r="X118" s="124">
        <f t="shared" si="95"/>
        <v>5.0547558619074562E-2</v>
      </c>
      <c r="Y118" s="124">
        <f t="shared" si="95"/>
        <v>4.0271220371492042E-2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3.3807080146274288E-2</v>
      </c>
      <c r="C119" s="140">
        <f t="shared" si="100"/>
        <v>3.3900393580923026E-2</v>
      </c>
      <c r="D119" s="140">
        <f t="shared" si="100"/>
        <v>3.1198247231345875E-2</v>
      </c>
      <c r="E119" s="140">
        <f t="shared" si="100"/>
        <v>3.1403432946657213E-2</v>
      </c>
      <c r="F119" s="140">
        <f t="shared" si="100"/>
        <v>2.8860076355127079E-2</v>
      </c>
      <c r="G119" s="140">
        <f t="shared" si="100"/>
        <v>3.174726044348513E-2</v>
      </c>
      <c r="H119" s="140">
        <f t="shared" si="100"/>
        <v>4.5415226876902096E-2</v>
      </c>
      <c r="I119" s="140">
        <f t="shared" si="100"/>
        <v>2.8354247578599608E-2</v>
      </c>
      <c r="J119" s="140">
        <f t="shared" si="100"/>
        <v>2.9441559772340559E-2</v>
      </c>
      <c r="K119" s="140">
        <f t="shared" si="100"/>
        <v>3.3415643089547045E-2</v>
      </c>
      <c r="L119" s="140">
        <f t="shared" si="100"/>
        <v>4.5595725701080843E-2</v>
      </c>
      <c r="M119" s="140">
        <f t="shared" si="100"/>
        <v>4.4857786190489989E-2</v>
      </c>
      <c r="N119" s="140">
        <f t="shared" si="100"/>
        <v>4.457515610763748E-2</v>
      </c>
      <c r="O119" s="140">
        <f t="shared" si="100"/>
        <v>4.8915248994161518E-2</v>
      </c>
      <c r="P119" s="140">
        <f t="shared" si="100"/>
        <v>4.2105585374765594E-2</v>
      </c>
      <c r="Q119" s="140">
        <f t="shared" si="100"/>
        <v>4.1172552409755078E-2</v>
      </c>
      <c r="R119" s="140">
        <f t="shared" si="98"/>
        <v>4.0169867052132262E-2</v>
      </c>
      <c r="S119" s="140">
        <f t="shared" si="98"/>
        <v>4.5400250448532416E-2</v>
      </c>
      <c r="T119" s="140">
        <f t="shared" si="98"/>
        <v>4.5654039558645616E-2</v>
      </c>
      <c r="U119" s="140">
        <f t="shared" si="98"/>
        <v>4.4271438190501687E-2</v>
      </c>
      <c r="V119" s="140">
        <f t="shared" si="98"/>
        <v>4.4321659133648196E-2</v>
      </c>
      <c r="W119" s="140">
        <f t="shared" si="95"/>
        <v>4.7773172305785212E-2</v>
      </c>
      <c r="X119" s="140">
        <f t="shared" si="95"/>
        <v>4.9011025870824988E-2</v>
      </c>
      <c r="Y119" s="140">
        <f t="shared" si="95"/>
        <v>3.8577365593725724E-2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2.0570243422205584E-4</v>
      </c>
      <c r="S120" s="127">
        <f t="shared" si="98"/>
        <v>6.416563015040456E-5</v>
      </c>
      <c r="T120" s="127">
        <f t="shared" si="98"/>
        <v>5.2771674364764012E-4</v>
      </c>
      <c r="U120" s="127">
        <f t="shared" si="98"/>
        <v>6.1714342040552366E-4</v>
      </c>
      <c r="V120" s="127">
        <f t="shared" si="98"/>
        <v>9.8540418542398026E-4</v>
      </c>
      <c r="W120" s="127">
        <f t="shared" si="95"/>
        <v>1.6203652735780102E-3</v>
      </c>
      <c r="X120" s="127">
        <f t="shared" si="95"/>
        <v>1.5365327482495747E-3</v>
      </c>
      <c r="Y120" s="127">
        <f t="shared" si="95"/>
        <v>1.6938547777663176E-3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0.43937124902176</v>
      </c>
      <c r="C122" s="140">
        <f t="shared" si="103"/>
        <v>0.41719436102051644</v>
      </c>
      <c r="D122" s="140">
        <f t="shared" si="103"/>
        <v>0.4305596433083882</v>
      </c>
      <c r="E122" s="140">
        <f t="shared" si="103"/>
        <v>0.43161929274827532</v>
      </c>
      <c r="F122" s="140">
        <f t="shared" si="103"/>
        <v>0.44745163622647433</v>
      </c>
      <c r="G122" s="140">
        <f t="shared" si="103"/>
        <v>0.41282463698191629</v>
      </c>
      <c r="H122" s="140">
        <f t="shared" si="103"/>
        <v>0.43678984410882976</v>
      </c>
      <c r="I122" s="140">
        <f t="shared" si="103"/>
        <v>0.46194576455541048</v>
      </c>
      <c r="J122" s="140">
        <f t="shared" si="103"/>
        <v>0.43859259735197759</v>
      </c>
      <c r="K122" s="140">
        <f t="shared" si="103"/>
        <v>0.44830675974722517</v>
      </c>
      <c r="L122" s="140">
        <f t="shared" si="103"/>
        <v>0.4025711102602117</v>
      </c>
      <c r="M122" s="140">
        <f t="shared" si="103"/>
        <v>0.44593765324670592</v>
      </c>
      <c r="N122" s="140">
        <f t="shared" si="103"/>
        <v>0.43636214362481829</v>
      </c>
      <c r="O122" s="140">
        <f t="shared" si="103"/>
        <v>0.44695141273848749</v>
      </c>
      <c r="P122" s="140">
        <f t="shared" si="103"/>
        <v>0.41106391963981964</v>
      </c>
      <c r="Q122" s="140">
        <f t="shared" si="103"/>
        <v>0.39251436491267511</v>
      </c>
      <c r="R122" s="140">
        <f t="shared" si="103"/>
        <v>0.42407029156976228</v>
      </c>
      <c r="S122" s="140">
        <f t="shared" si="103"/>
        <v>0.4818585020530749</v>
      </c>
      <c r="T122" s="140">
        <f t="shared" si="103"/>
        <v>0.49956952378577102</v>
      </c>
      <c r="U122" s="140">
        <f t="shared" si="103"/>
        <v>0.47642251443286765</v>
      </c>
      <c r="V122" s="140">
        <f t="shared" si="103"/>
        <v>0.45728867633194575</v>
      </c>
      <c r="W122" s="140">
        <f t="shared" si="103"/>
        <v>0.5600707037161301</v>
      </c>
      <c r="X122" s="140">
        <f t="shared" si="103"/>
        <v>0.53923083045922338</v>
      </c>
      <c r="Y122" s="140">
        <f t="shared" si="103"/>
        <v>0.55543085402867554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0.56062875097823994</v>
      </c>
      <c r="C123" s="127">
        <f t="shared" si="104"/>
        <v>0.58280563897948356</v>
      </c>
      <c r="D123" s="127">
        <f t="shared" si="104"/>
        <v>0.56944035669161186</v>
      </c>
      <c r="E123" s="127">
        <f t="shared" si="104"/>
        <v>0.56838070725172463</v>
      </c>
      <c r="F123" s="127">
        <f t="shared" si="104"/>
        <v>0.55254836377352579</v>
      </c>
      <c r="G123" s="127">
        <f t="shared" si="104"/>
        <v>0.58717536301808382</v>
      </c>
      <c r="H123" s="127">
        <f t="shared" si="104"/>
        <v>0.56321015589117029</v>
      </c>
      <c r="I123" s="127">
        <f t="shared" si="104"/>
        <v>0.53805423544458963</v>
      </c>
      <c r="J123" s="127">
        <f t="shared" si="104"/>
        <v>0.56140740264802247</v>
      </c>
      <c r="K123" s="127">
        <f t="shared" si="104"/>
        <v>0.55169324025277477</v>
      </c>
      <c r="L123" s="127">
        <f t="shared" si="104"/>
        <v>0.59742888973978836</v>
      </c>
      <c r="M123" s="127">
        <f t="shared" si="104"/>
        <v>0.55406234675329402</v>
      </c>
      <c r="N123" s="127">
        <f t="shared" si="104"/>
        <v>0.56363785637518171</v>
      </c>
      <c r="O123" s="127">
        <f t="shared" si="104"/>
        <v>0.55304858726151251</v>
      </c>
      <c r="P123" s="127">
        <f t="shared" si="104"/>
        <v>0.58893608036018041</v>
      </c>
      <c r="Q123" s="127">
        <f t="shared" si="104"/>
        <v>0.60748563508732489</v>
      </c>
      <c r="R123" s="127">
        <f t="shared" si="104"/>
        <v>0.57592970843023772</v>
      </c>
      <c r="S123" s="127">
        <f t="shared" si="104"/>
        <v>0.51814149794692499</v>
      </c>
      <c r="T123" s="127">
        <f t="shared" si="104"/>
        <v>0.50043047621422909</v>
      </c>
      <c r="U123" s="127">
        <f t="shared" si="104"/>
        <v>0.52357748556713246</v>
      </c>
      <c r="V123" s="127">
        <f t="shared" si="104"/>
        <v>0.54271132366805419</v>
      </c>
      <c r="W123" s="127">
        <f t="shared" si="104"/>
        <v>0.4399292962838699</v>
      </c>
      <c r="X123" s="127">
        <f t="shared" si="104"/>
        <v>0.46076916954077662</v>
      </c>
      <c r="Y123" s="127">
        <f t="shared" si="104"/>
        <v>0.44456914597132441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0.81868350329181272</v>
      </c>
      <c r="C127" s="139">
        <f t="shared" ref="C127:Y127" si="107">IF(C35=0,0,C35/C$34)</f>
        <v>0.8160015711199724</v>
      </c>
      <c r="D127" s="139">
        <f t="shared" si="107"/>
        <v>0.85098282649185508</v>
      </c>
      <c r="E127" s="139">
        <f t="shared" si="107"/>
        <v>0.85592048944070531</v>
      </c>
      <c r="F127" s="139">
        <f t="shared" si="107"/>
        <v>0.83656566802137744</v>
      </c>
      <c r="G127" s="139">
        <f t="shared" si="107"/>
        <v>0.83069593479645043</v>
      </c>
      <c r="H127" s="139">
        <f t="shared" si="107"/>
        <v>0.82866759653449518</v>
      </c>
      <c r="I127" s="139">
        <f t="shared" si="107"/>
        <v>0.83261828074534283</v>
      </c>
      <c r="J127" s="139">
        <f t="shared" si="107"/>
        <v>0.8171223269648491</v>
      </c>
      <c r="K127" s="139">
        <f t="shared" si="107"/>
        <v>0.82778961287117803</v>
      </c>
      <c r="L127" s="139">
        <f t="shared" si="107"/>
        <v>0.83417207227106627</v>
      </c>
      <c r="M127" s="139">
        <f t="shared" si="107"/>
        <v>0.82218957823903804</v>
      </c>
      <c r="N127" s="139">
        <f t="shared" si="107"/>
        <v>0.82311163988061864</v>
      </c>
      <c r="O127" s="139">
        <f t="shared" si="107"/>
        <v>0.80496073404775526</v>
      </c>
      <c r="P127" s="139">
        <f t="shared" si="107"/>
        <v>0.81603327544044479</v>
      </c>
      <c r="Q127" s="139">
        <f t="shared" si="107"/>
        <v>0.81788475379261805</v>
      </c>
      <c r="R127" s="139">
        <f t="shared" si="107"/>
        <v>0.80439098712283752</v>
      </c>
      <c r="S127" s="139">
        <f t="shared" si="107"/>
        <v>0.80135249419474552</v>
      </c>
      <c r="T127" s="139">
        <f t="shared" si="107"/>
        <v>0.79229573502727435</v>
      </c>
      <c r="U127" s="139">
        <f t="shared" si="107"/>
        <v>0.80039512021081161</v>
      </c>
      <c r="V127" s="139">
        <f t="shared" si="107"/>
        <v>0.89175319758351113</v>
      </c>
      <c r="W127" s="139">
        <f t="shared" si="107"/>
        <v>0.88661876273487639</v>
      </c>
      <c r="X127" s="139">
        <f t="shared" si="107"/>
        <v>0.83306152791789756</v>
      </c>
      <c r="Y127" s="139">
        <f t="shared" si="107"/>
        <v>0.83888671032550166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3.665508784757499E-3</v>
      </c>
      <c r="C128" s="140">
        <f t="shared" ref="C128:Y128" si="108">IF(C36=0,0,C36/C$34)</f>
        <v>3.9719752937070335E-3</v>
      </c>
      <c r="D128" s="140">
        <f t="shared" si="108"/>
        <v>4.4806793069447643E-3</v>
      </c>
      <c r="E128" s="140">
        <f t="shared" si="108"/>
        <v>4.7776327463976255E-3</v>
      </c>
      <c r="F128" s="140">
        <f t="shared" si="108"/>
        <v>4.9739141495368736E-3</v>
      </c>
      <c r="G128" s="140">
        <f t="shared" si="108"/>
        <v>5.2195680342920422E-3</v>
      </c>
      <c r="H128" s="140">
        <f t="shared" si="108"/>
        <v>5.5276854401992426E-3</v>
      </c>
      <c r="I128" s="140">
        <f t="shared" si="108"/>
        <v>5.9503728717045564E-3</v>
      </c>
      <c r="J128" s="140">
        <f t="shared" si="108"/>
        <v>5.7734281625932745E-3</v>
      </c>
      <c r="K128" s="140">
        <f t="shared" si="108"/>
        <v>5.7428834864867257E-3</v>
      </c>
      <c r="L128" s="140">
        <f t="shared" si="108"/>
        <v>5.3690732561104586E-3</v>
      </c>
      <c r="M128" s="140">
        <f t="shared" si="108"/>
        <v>5.1054189018934198E-3</v>
      </c>
      <c r="N128" s="140">
        <f t="shared" si="108"/>
        <v>4.46572500105298E-3</v>
      </c>
      <c r="O128" s="140">
        <f t="shared" si="108"/>
        <v>4.9983889599216295E-3</v>
      </c>
      <c r="P128" s="140">
        <f t="shared" si="108"/>
        <v>4.959202689264545E-3</v>
      </c>
      <c r="Q128" s="140">
        <f t="shared" si="108"/>
        <v>4.8381587464347729E-3</v>
      </c>
      <c r="R128" s="140">
        <f t="shared" si="108"/>
        <v>4.9377667324502373E-3</v>
      </c>
      <c r="S128" s="140">
        <f t="shared" si="108"/>
        <v>4.5622677910832606E-3</v>
      </c>
      <c r="T128" s="140">
        <f t="shared" si="108"/>
        <v>4.32791888526614E-3</v>
      </c>
      <c r="U128" s="140">
        <f t="shared" si="108"/>
        <v>4.6236142781241911E-3</v>
      </c>
      <c r="V128" s="140">
        <f t="shared" si="108"/>
        <v>4.9020291940299558E-3</v>
      </c>
      <c r="W128" s="140">
        <f t="shared" si="108"/>
        <v>4.9043685570754189E-3</v>
      </c>
      <c r="X128" s="140">
        <f t="shared" si="108"/>
        <v>4.879020041995594E-3</v>
      </c>
      <c r="Y128" s="140">
        <f t="shared" si="108"/>
        <v>5.2275572795829877E-3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0.71658790422141339</v>
      </c>
      <c r="C129" s="140">
        <f t="shared" ref="C129:Y129" si="109">IF(C37=0,0,C37/C$34)</f>
        <v>0.71600978420419892</v>
      </c>
      <c r="D129" s="140">
        <f t="shared" si="109"/>
        <v>0.75115155057017247</v>
      </c>
      <c r="E129" s="140">
        <f t="shared" si="109"/>
        <v>0.75486982690609272</v>
      </c>
      <c r="F129" s="140">
        <f t="shared" si="109"/>
        <v>0.73894812796604059</v>
      </c>
      <c r="G129" s="140">
        <f t="shared" si="109"/>
        <v>0.73948765693897656</v>
      </c>
      <c r="H129" s="140">
        <f t="shared" si="109"/>
        <v>0.73368938691913455</v>
      </c>
      <c r="I129" s="140">
        <f t="shared" si="109"/>
        <v>0.74207729656682886</v>
      </c>
      <c r="J129" s="140">
        <f t="shared" si="109"/>
        <v>0.72701400748118072</v>
      </c>
      <c r="K129" s="140">
        <f t="shared" si="109"/>
        <v>0.74052806923213788</v>
      </c>
      <c r="L129" s="140">
        <f t="shared" si="109"/>
        <v>0.74334470963966159</v>
      </c>
      <c r="M129" s="140">
        <f t="shared" si="109"/>
        <v>0.72895637828178328</v>
      </c>
      <c r="N129" s="140">
        <f t="shared" si="109"/>
        <v>0.72787809036573803</v>
      </c>
      <c r="O129" s="140">
        <f t="shared" si="109"/>
        <v>0.72794479502403719</v>
      </c>
      <c r="P129" s="140">
        <f t="shared" si="109"/>
        <v>0.74222734858132344</v>
      </c>
      <c r="Q129" s="140">
        <f t="shared" si="109"/>
        <v>0.74597777399545129</v>
      </c>
      <c r="R129" s="140">
        <f t="shared" si="109"/>
        <v>0.73435723161968591</v>
      </c>
      <c r="S129" s="140">
        <f t="shared" si="109"/>
        <v>0.73291380982054477</v>
      </c>
      <c r="T129" s="140">
        <f t="shared" si="109"/>
        <v>0.72322956977115438</v>
      </c>
      <c r="U129" s="140">
        <f t="shared" si="109"/>
        <v>0.71973917103104434</v>
      </c>
      <c r="V129" s="140">
        <f t="shared" si="109"/>
        <v>0.80538535876662642</v>
      </c>
      <c r="W129" s="140">
        <f t="shared" si="109"/>
        <v>0.80548943968552589</v>
      </c>
      <c r="X129" s="140">
        <f t="shared" si="109"/>
        <v>0.75091848440507047</v>
      </c>
      <c r="Y129" s="140">
        <f t="shared" si="109"/>
        <v>0.75251972679607104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9.8430090285641883E-2</v>
      </c>
      <c r="C130" s="140">
        <f t="shared" ref="C130:Y130" si="110">IF(C38=0,0,C38/C$34)</f>
        <v>9.6019811622066437E-2</v>
      </c>
      <c r="D130" s="140">
        <f t="shared" si="110"/>
        <v>9.5350596614737965E-2</v>
      </c>
      <c r="E130" s="140">
        <f t="shared" si="110"/>
        <v>9.6273029788214975E-2</v>
      </c>
      <c r="F130" s="140">
        <f t="shared" si="110"/>
        <v>9.2643625905799873E-2</v>
      </c>
      <c r="G130" s="140">
        <f t="shared" si="110"/>
        <v>8.598870982318163E-2</v>
      </c>
      <c r="H130" s="140">
        <f t="shared" si="110"/>
        <v>8.9450524175161417E-2</v>
      </c>
      <c r="I130" s="140">
        <f t="shared" si="110"/>
        <v>8.4590611306809435E-2</v>
      </c>
      <c r="J130" s="140">
        <f t="shared" si="110"/>
        <v>8.4334891321075148E-2</v>
      </c>
      <c r="K130" s="140">
        <f t="shared" si="110"/>
        <v>8.1518660152553504E-2</v>
      </c>
      <c r="L130" s="140">
        <f t="shared" si="110"/>
        <v>8.5458289375294164E-2</v>
      </c>
      <c r="M130" s="140">
        <f t="shared" si="110"/>
        <v>8.8127781055361468E-2</v>
      </c>
      <c r="N130" s="140">
        <f t="shared" si="110"/>
        <v>9.076782451382763E-2</v>
      </c>
      <c r="O130" s="140">
        <f t="shared" si="110"/>
        <v>7.2017550063796398E-2</v>
      </c>
      <c r="P130" s="140">
        <f t="shared" si="110"/>
        <v>6.8846724169856877E-2</v>
      </c>
      <c r="Q130" s="140">
        <f t="shared" si="110"/>
        <v>6.7068821050731878E-2</v>
      </c>
      <c r="R130" s="140">
        <f t="shared" si="110"/>
        <v>6.5095988770701496E-2</v>
      </c>
      <c r="S130" s="140">
        <f t="shared" si="110"/>
        <v>6.3876416583117407E-2</v>
      </c>
      <c r="T130" s="140">
        <f t="shared" si="110"/>
        <v>6.4738246370853861E-2</v>
      </c>
      <c r="U130" s="140">
        <f t="shared" si="110"/>
        <v>7.60323349016431E-2</v>
      </c>
      <c r="V130" s="140">
        <f t="shared" si="110"/>
        <v>8.1465809622854671E-2</v>
      </c>
      <c r="W130" s="140">
        <f t="shared" si="110"/>
        <v>7.6224954492275079E-2</v>
      </c>
      <c r="X130" s="140">
        <f t="shared" si="110"/>
        <v>7.72640234708315E-2</v>
      </c>
      <c r="Y130" s="140">
        <f t="shared" si="110"/>
        <v>8.1139426249847574E-2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2.8984165920097553E-2</v>
      </c>
      <c r="C131" s="124">
        <f t="shared" ref="C131:Y131" si="111">IF(C39=0,0,C39/C$34)</f>
        <v>2.7784429997736483E-2</v>
      </c>
      <c r="D131" s="124">
        <f t="shared" si="111"/>
        <v>2.8729390442089605E-2</v>
      </c>
      <c r="E131" s="124">
        <f t="shared" si="111"/>
        <v>2.8287510351187189E-2</v>
      </c>
      <c r="F131" s="124">
        <f t="shared" si="111"/>
        <v>2.7861451384141186E-2</v>
      </c>
      <c r="G131" s="124">
        <f t="shared" si="111"/>
        <v>2.680264850559412E-2</v>
      </c>
      <c r="H131" s="124">
        <f t="shared" si="111"/>
        <v>2.7280131333039644E-2</v>
      </c>
      <c r="I131" s="124">
        <f t="shared" si="111"/>
        <v>2.7006037754694439E-2</v>
      </c>
      <c r="J131" s="124">
        <f t="shared" si="111"/>
        <v>2.3936844171516519E-2</v>
      </c>
      <c r="K131" s="124">
        <f t="shared" si="111"/>
        <v>2.6106323817314953E-2</v>
      </c>
      <c r="L131" s="124">
        <f t="shared" si="111"/>
        <v>2.5173379032093577E-2</v>
      </c>
      <c r="M131" s="124">
        <f t="shared" si="111"/>
        <v>2.7181530629554466E-2</v>
      </c>
      <c r="N131" s="124">
        <f t="shared" si="111"/>
        <v>2.915551057448755E-2</v>
      </c>
      <c r="O131" s="124">
        <f t="shared" si="111"/>
        <v>3.0384669942798141E-2</v>
      </c>
      <c r="P131" s="124">
        <f t="shared" si="111"/>
        <v>2.9769799989226776E-2</v>
      </c>
      <c r="Q131" s="124">
        <f t="shared" si="111"/>
        <v>2.9119252572398203E-2</v>
      </c>
      <c r="R131" s="124">
        <f t="shared" si="111"/>
        <v>2.9562482644149967E-2</v>
      </c>
      <c r="S131" s="124">
        <f t="shared" si="111"/>
        <v>2.6394796214903097E-2</v>
      </c>
      <c r="T131" s="124">
        <f t="shared" si="111"/>
        <v>2.8600829616426553E-2</v>
      </c>
      <c r="U131" s="124">
        <f t="shared" si="111"/>
        <v>2.8296384269121181E-2</v>
      </c>
      <c r="V131" s="124">
        <f t="shared" si="111"/>
        <v>3.0713679048962789E-2</v>
      </c>
      <c r="W131" s="124">
        <f t="shared" si="111"/>
        <v>3.3383374106157292E-2</v>
      </c>
      <c r="X131" s="124">
        <f t="shared" si="111"/>
        <v>3.0845910477097817E-2</v>
      </c>
      <c r="Y131" s="124">
        <f t="shared" si="111"/>
        <v>3.1338266565556584E-2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2.123487248692543E-3</v>
      </c>
      <c r="C132" s="140">
        <f t="shared" ref="C132:Y132" si="112">IF(C40=0,0,C40/C$34)</f>
        <v>2.1284760976757748E-3</v>
      </c>
      <c r="D132" s="140">
        <f t="shared" si="112"/>
        <v>1.9976465921119181E-3</v>
      </c>
      <c r="E132" s="140">
        <f t="shared" si="112"/>
        <v>1.9766178046117279E-3</v>
      </c>
      <c r="F132" s="140">
        <f t="shared" si="112"/>
        <v>1.9184809940242145E-3</v>
      </c>
      <c r="G132" s="140">
        <f t="shared" si="112"/>
        <v>1.93352083316168E-3</v>
      </c>
      <c r="H132" s="140">
        <f t="shared" si="112"/>
        <v>2.0178616522344632E-3</v>
      </c>
      <c r="I132" s="140">
        <f t="shared" si="112"/>
        <v>2.0701907341933545E-3</v>
      </c>
      <c r="J132" s="140">
        <f t="shared" si="112"/>
        <v>2.0364293100824703E-3</v>
      </c>
      <c r="K132" s="140">
        <f t="shared" si="112"/>
        <v>2.0448257477878921E-3</v>
      </c>
      <c r="L132" s="140">
        <f t="shared" si="112"/>
        <v>2.0786598409520563E-3</v>
      </c>
      <c r="M132" s="140">
        <f t="shared" si="112"/>
        <v>2.0888046851871055E-3</v>
      </c>
      <c r="N132" s="140">
        <f t="shared" si="112"/>
        <v>2.147031201058934E-3</v>
      </c>
      <c r="O132" s="140">
        <f t="shared" si="112"/>
        <v>2.2027945637435511E-3</v>
      </c>
      <c r="P132" s="140">
        <f t="shared" si="112"/>
        <v>2.1865394747674401E-3</v>
      </c>
      <c r="Q132" s="140">
        <f t="shared" si="112"/>
        <v>2.1655746056947682E-3</v>
      </c>
      <c r="R132" s="140">
        <f t="shared" si="112"/>
        <v>2.2016820001548236E-3</v>
      </c>
      <c r="S132" s="140">
        <f t="shared" si="112"/>
        <v>2.1860399982285691E-3</v>
      </c>
      <c r="T132" s="140">
        <f t="shared" si="112"/>
        <v>2.1464060562653101E-3</v>
      </c>
      <c r="U132" s="140">
        <f t="shared" si="112"/>
        <v>2.148664195412665E-3</v>
      </c>
      <c r="V132" s="140">
        <f t="shared" si="112"/>
        <v>2.5708693193966744E-3</v>
      </c>
      <c r="W132" s="140">
        <f t="shared" si="112"/>
        <v>2.5097586835218597E-3</v>
      </c>
      <c r="X132" s="140">
        <f t="shared" si="112"/>
        <v>2.2500274964267551E-3</v>
      </c>
      <c r="Y132" s="140">
        <f t="shared" si="112"/>
        <v>2.2633044628630559E-3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2.2012158806827498E-2</v>
      </c>
      <c r="C133" s="140">
        <f t="shared" ref="C133:Y133" si="113">IF(C41=0,0,C41/C$34)</f>
        <v>2.0472919574341861E-2</v>
      </c>
      <c r="D133" s="140">
        <f t="shared" si="113"/>
        <v>2.1203989405727094E-2</v>
      </c>
      <c r="E133" s="140">
        <f t="shared" si="113"/>
        <v>2.0850074350425001E-2</v>
      </c>
      <c r="F133" s="140">
        <f t="shared" si="113"/>
        <v>2.0653516451712293E-2</v>
      </c>
      <c r="G133" s="140">
        <f t="shared" si="113"/>
        <v>1.9662413475953721E-2</v>
      </c>
      <c r="H133" s="140">
        <f t="shared" si="113"/>
        <v>2.0459365379353864E-2</v>
      </c>
      <c r="I133" s="140">
        <f t="shared" si="113"/>
        <v>2.0229958578619249E-2</v>
      </c>
      <c r="J133" s="140">
        <f t="shared" si="113"/>
        <v>1.7126097890097343E-2</v>
      </c>
      <c r="K133" s="140">
        <f t="shared" si="113"/>
        <v>1.9140084229227684E-2</v>
      </c>
      <c r="L133" s="140">
        <f t="shared" si="113"/>
        <v>1.8339541903525599E-2</v>
      </c>
      <c r="M133" s="140">
        <f t="shared" si="113"/>
        <v>2.0326642076776549E-2</v>
      </c>
      <c r="N133" s="140">
        <f t="shared" si="113"/>
        <v>2.2141609106720771E-2</v>
      </c>
      <c r="O133" s="140">
        <f t="shared" si="113"/>
        <v>2.3031962675087617E-2</v>
      </c>
      <c r="P133" s="140">
        <f t="shared" si="113"/>
        <v>2.1811615289440197E-2</v>
      </c>
      <c r="Q133" s="140">
        <f t="shared" si="113"/>
        <v>2.1645637251796409E-2</v>
      </c>
      <c r="R133" s="140">
        <f t="shared" si="113"/>
        <v>2.1999094037317205E-2</v>
      </c>
      <c r="S133" s="140">
        <f t="shared" si="113"/>
        <v>1.8591045865482665E-2</v>
      </c>
      <c r="T133" s="140">
        <f t="shared" si="113"/>
        <v>2.1091225459448665E-2</v>
      </c>
      <c r="U133" s="140">
        <f t="shared" si="113"/>
        <v>2.0174439326314998E-2</v>
      </c>
      <c r="V133" s="140">
        <f t="shared" si="113"/>
        <v>2.2391045690462165E-2</v>
      </c>
      <c r="W133" s="140">
        <f t="shared" si="113"/>
        <v>2.5161134692448246E-2</v>
      </c>
      <c r="X133" s="140">
        <f t="shared" si="113"/>
        <v>2.2957973132656288E-2</v>
      </c>
      <c r="Y133" s="140">
        <f t="shared" si="113"/>
        <v>2.3424446738957262E-2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4.8485198645775119E-3</v>
      </c>
      <c r="C134" s="140">
        <f t="shared" ref="C134:Y134" si="114">IF(C42=0,0,C42/C$34)</f>
        <v>5.1830343257188499E-3</v>
      </c>
      <c r="D134" s="140">
        <f t="shared" si="114"/>
        <v>5.5277544442505931E-3</v>
      </c>
      <c r="E134" s="140">
        <f t="shared" si="114"/>
        <v>5.4608181961504597E-3</v>
      </c>
      <c r="F134" s="140">
        <f t="shared" si="114"/>
        <v>5.2894539384046781E-3</v>
      </c>
      <c r="G134" s="140">
        <f t="shared" si="114"/>
        <v>5.2067141964787199E-3</v>
      </c>
      <c r="H134" s="140">
        <f t="shared" si="114"/>
        <v>4.8029043014513155E-3</v>
      </c>
      <c r="I134" s="140">
        <f t="shared" si="114"/>
        <v>4.7058884418818359E-3</v>
      </c>
      <c r="J134" s="140">
        <f t="shared" si="114"/>
        <v>4.7743169713367079E-3</v>
      </c>
      <c r="K134" s="140">
        <f t="shared" si="114"/>
        <v>4.9214138402993799E-3</v>
      </c>
      <c r="L134" s="140">
        <f t="shared" si="114"/>
        <v>4.75517728761592E-3</v>
      </c>
      <c r="M134" s="140">
        <f t="shared" si="114"/>
        <v>4.7660838675908125E-3</v>
      </c>
      <c r="N134" s="140">
        <f t="shared" si="114"/>
        <v>4.8668702667078474E-3</v>
      </c>
      <c r="O134" s="140">
        <f t="shared" si="114"/>
        <v>5.1499127039669737E-3</v>
      </c>
      <c r="P134" s="140">
        <f t="shared" si="114"/>
        <v>5.7716452250191419E-3</v>
      </c>
      <c r="Q134" s="140">
        <f t="shared" si="114"/>
        <v>5.3080407149070285E-3</v>
      </c>
      <c r="R134" s="140">
        <f t="shared" si="114"/>
        <v>5.3617066066779361E-3</v>
      </c>
      <c r="S134" s="140">
        <f t="shared" si="114"/>
        <v>5.6177103511918618E-3</v>
      </c>
      <c r="T134" s="140">
        <f t="shared" si="114"/>
        <v>5.3631981007125793E-3</v>
      </c>
      <c r="U134" s="140">
        <f t="shared" si="114"/>
        <v>5.9732807473935196E-3</v>
      </c>
      <c r="V134" s="140">
        <f t="shared" si="114"/>
        <v>5.7517640391039531E-3</v>
      </c>
      <c r="W134" s="140">
        <f t="shared" si="114"/>
        <v>5.7124807301871883E-3</v>
      </c>
      <c r="X134" s="140">
        <f t="shared" si="114"/>
        <v>5.6379098480147704E-3</v>
      </c>
      <c r="Y134" s="140">
        <f t="shared" si="114"/>
        <v>5.6505153637362669E-3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0.15233233078808966</v>
      </c>
      <c r="C135" s="124">
        <f t="shared" ref="C135:Y135" si="115">IF(C43=0,0,C43/C$34)</f>
        <v>0.15621399888229123</v>
      </c>
      <c r="D135" s="124">
        <f t="shared" si="115"/>
        <v>0.1202877830660553</v>
      </c>
      <c r="E135" s="124">
        <f t="shared" si="115"/>
        <v>0.11579200020810761</v>
      </c>
      <c r="F135" s="124">
        <f t="shared" si="115"/>
        <v>0.13557288059448136</v>
      </c>
      <c r="G135" s="124">
        <f t="shared" si="115"/>
        <v>0.14250141669795544</v>
      </c>
      <c r="H135" s="124">
        <f t="shared" si="115"/>
        <v>0.1440522721324651</v>
      </c>
      <c r="I135" s="124">
        <f t="shared" si="115"/>
        <v>0.14037568149996274</v>
      </c>
      <c r="J135" s="124">
        <f t="shared" si="115"/>
        <v>0.15894082886363436</v>
      </c>
      <c r="K135" s="124">
        <f t="shared" si="115"/>
        <v>0.14610406331150702</v>
      </c>
      <c r="L135" s="124">
        <f t="shared" si="115"/>
        <v>0.14065454869684013</v>
      </c>
      <c r="M135" s="124">
        <f t="shared" si="115"/>
        <v>0.15062889113140737</v>
      </c>
      <c r="N135" s="124">
        <f t="shared" si="115"/>
        <v>0.14773284954489391</v>
      </c>
      <c r="O135" s="124">
        <f t="shared" si="115"/>
        <v>0.16465459600944665</v>
      </c>
      <c r="P135" s="124">
        <f t="shared" si="115"/>
        <v>0.15419692457032844</v>
      </c>
      <c r="Q135" s="124">
        <f t="shared" si="115"/>
        <v>0.15299599363498381</v>
      </c>
      <c r="R135" s="124">
        <f t="shared" si="115"/>
        <v>0.16604653023301241</v>
      </c>
      <c r="S135" s="124">
        <f t="shared" si="115"/>
        <v>0.1722527095903513</v>
      </c>
      <c r="T135" s="124">
        <f t="shared" si="115"/>
        <v>0.17910343535629911</v>
      </c>
      <c r="U135" s="124">
        <f t="shared" si="115"/>
        <v>0.1713084955200673</v>
      </c>
      <c r="V135" s="124">
        <f t="shared" si="115"/>
        <v>7.7533123367526019E-2</v>
      </c>
      <c r="W135" s="124">
        <f t="shared" si="115"/>
        <v>7.999786315896619E-2</v>
      </c>
      <c r="X135" s="124">
        <f t="shared" si="115"/>
        <v>0.13609256160500466</v>
      </c>
      <c r="Y135" s="124">
        <f t="shared" si="115"/>
        <v>0.12977502310894168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3.9233699587553884E-2</v>
      </c>
      <c r="C136" s="140">
        <f t="shared" ref="C136:Y136" si="116">IF(C44=0,0,C44/C$34)</f>
        <v>4.0166045218337831E-2</v>
      </c>
      <c r="D136" s="140">
        <f t="shared" si="116"/>
        <v>3.382175201086448E-2</v>
      </c>
      <c r="E136" s="140">
        <f t="shared" si="116"/>
        <v>3.2687330421487339E-2</v>
      </c>
      <c r="F136" s="140">
        <f t="shared" si="116"/>
        <v>3.6365754135085679E-2</v>
      </c>
      <c r="G136" s="140">
        <f t="shared" si="116"/>
        <v>3.8948050315011348E-2</v>
      </c>
      <c r="H136" s="140">
        <f t="shared" si="116"/>
        <v>3.6498231625156682E-2</v>
      </c>
      <c r="I136" s="140">
        <f t="shared" si="116"/>
        <v>3.5263809606294584E-2</v>
      </c>
      <c r="J136" s="140">
        <f t="shared" si="116"/>
        <v>3.2868116263259174E-2</v>
      </c>
      <c r="K136" s="140">
        <f t="shared" si="116"/>
        <v>2.9161523937271127E-2</v>
      </c>
      <c r="L136" s="140">
        <f t="shared" si="116"/>
        <v>2.7644103677628949E-2</v>
      </c>
      <c r="M136" s="140">
        <f t="shared" si="116"/>
        <v>2.9953805643064064E-2</v>
      </c>
      <c r="N136" s="140">
        <f t="shared" si="116"/>
        <v>2.9979251240458766E-2</v>
      </c>
      <c r="O136" s="140">
        <f t="shared" si="116"/>
        <v>3.0238388594631849E-2</v>
      </c>
      <c r="P136" s="140">
        <f t="shared" si="116"/>
        <v>3.0378580905308004E-2</v>
      </c>
      <c r="Q136" s="140">
        <f t="shared" si="116"/>
        <v>2.9244593200164294E-2</v>
      </c>
      <c r="R136" s="140">
        <f t="shared" si="116"/>
        <v>3.061519108386998E-2</v>
      </c>
      <c r="S136" s="140">
        <f t="shared" si="116"/>
        <v>2.9984106026500472E-2</v>
      </c>
      <c r="T136" s="140">
        <f t="shared" si="116"/>
        <v>2.8493925222435566E-2</v>
      </c>
      <c r="U136" s="140">
        <f t="shared" si="116"/>
        <v>2.6128003661675583E-2</v>
      </c>
      <c r="V136" s="140">
        <f t="shared" si="116"/>
        <v>1.2107873136191124E-2</v>
      </c>
      <c r="W136" s="140">
        <f t="shared" si="116"/>
        <v>1.3457910683959833E-2</v>
      </c>
      <c r="X136" s="140">
        <f t="shared" si="116"/>
        <v>2.0177751788163539E-2</v>
      </c>
      <c r="Y136" s="140">
        <f t="shared" si="116"/>
        <v>2.0940760373257775E-2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8.6612353803670147E-2</v>
      </c>
      <c r="C137" s="140">
        <f t="shared" ref="C137:Y137" si="117">IF(C45=0,0,C45/C$34)</f>
        <v>9.1187752811408132E-2</v>
      </c>
      <c r="D137" s="140">
        <f t="shared" si="117"/>
        <v>6.8359776868752553E-2</v>
      </c>
      <c r="E137" s="140">
        <f t="shared" si="117"/>
        <v>6.4962867361192458E-2</v>
      </c>
      <c r="F137" s="140">
        <f t="shared" si="117"/>
        <v>7.4746188567491628E-2</v>
      </c>
      <c r="G137" s="140">
        <f t="shared" si="117"/>
        <v>7.8005959623500792E-2</v>
      </c>
      <c r="H137" s="140">
        <f t="shared" si="117"/>
        <v>8.157433013361802E-2</v>
      </c>
      <c r="I137" s="140">
        <f t="shared" si="117"/>
        <v>8.0168476620515405E-2</v>
      </c>
      <c r="J137" s="140">
        <f t="shared" si="117"/>
        <v>9.5723760132747387E-2</v>
      </c>
      <c r="K137" s="140">
        <f t="shared" si="117"/>
        <v>8.7212348363362432E-2</v>
      </c>
      <c r="L137" s="140">
        <f t="shared" si="117"/>
        <v>8.4379153331232831E-2</v>
      </c>
      <c r="M137" s="140">
        <f t="shared" si="117"/>
        <v>9.0794206937360331E-2</v>
      </c>
      <c r="N137" s="140">
        <f t="shared" si="117"/>
        <v>8.7778151262207157E-2</v>
      </c>
      <c r="O137" s="140">
        <f t="shared" si="117"/>
        <v>0.10026210927037872</v>
      </c>
      <c r="P137" s="140">
        <f t="shared" si="117"/>
        <v>9.2625723303020269E-2</v>
      </c>
      <c r="Q137" s="140">
        <f t="shared" si="117"/>
        <v>9.2636954199948524E-2</v>
      </c>
      <c r="R137" s="140">
        <f t="shared" si="117"/>
        <v>0.10284889467857428</v>
      </c>
      <c r="S137" s="140">
        <f t="shared" si="117"/>
        <v>0.10910649289247057</v>
      </c>
      <c r="T137" s="140">
        <f t="shared" si="117"/>
        <v>0.11470198127840692</v>
      </c>
      <c r="U137" s="140">
        <f t="shared" si="117"/>
        <v>0.1090385118853886</v>
      </c>
      <c r="V137" s="140">
        <f t="shared" si="117"/>
        <v>4.5444440472095872E-2</v>
      </c>
      <c r="W137" s="140">
        <f t="shared" si="117"/>
        <v>4.8187180162319536E-2</v>
      </c>
      <c r="X137" s="140">
        <f t="shared" si="117"/>
        <v>8.8699008507671123E-2</v>
      </c>
      <c r="Y137" s="140">
        <f t="shared" si="117"/>
        <v>8.2673155701327619E-2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2.648627739686564E-2</v>
      </c>
      <c r="C138" s="140">
        <f t="shared" ref="C138:Y138" si="118">IF(C46=0,0,C46/C$34)</f>
        <v>2.4860200852545263E-2</v>
      </c>
      <c r="D138" s="140">
        <f t="shared" si="118"/>
        <v>1.8106254186438273E-2</v>
      </c>
      <c r="E138" s="140">
        <f t="shared" si="118"/>
        <v>1.8141802425427817E-2</v>
      </c>
      <c r="F138" s="140">
        <f t="shared" si="118"/>
        <v>2.4460937891904035E-2</v>
      </c>
      <c r="G138" s="140">
        <f t="shared" si="118"/>
        <v>2.5547406759443288E-2</v>
      </c>
      <c r="H138" s="140">
        <f t="shared" si="118"/>
        <v>2.5979710373690391E-2</v>
      </c>
      <c r="I138" s="140">
        <f t="shared" si="118"/>
        <v>2.4943395273152744E-2</v>
      </c>
      <c r="J138" s="140">
        <f t="shared" si="118"/>
        <v>3.0348952467627817E-2</v>
      </c>
      <c r="K138" s="140">
        <f t="shared" si="118"/>
        <v>2.9730191010873472E-2</v>
      </c>
      <c r="L138" s="140">
        <f t="shared" si="118"/>
        <v>2.8631291687978375E-2</v>
      </c>
      <c r="M138" s="140">
        <f t="shared" si="118"/>
        <v>2.9880878550982974E-2</v>
      </c>
      <c r="N138" s="140">
        <f t="shared" si="118"/>
        <v>2.9975447042227984E-2</v>
      </c>
      <c r="O138" s="140">
        <f t="shared" si="118"/>
        <v>3.4154098144436075E-2</v>
      </c>
      <c r="P138" s="140">
        <f t="shared" si="118"/>
        <v>3.119262036200016E-2</v>
      </c>
      <c r="Q138" s="140">
        <f t="shared" si="118"/>
        <v>3.1114446234870998E-2</v>
      </c>
      <c r="R138" s="140">
        <f t="shared" si="118"/>
        <v>3.2582444470568142E-2</v>
      </c>
      <c r="S138" s="140">
        <f t="shared" si="118"/>
        <v>3.3162110671380279E-2</v>
      </c>
      <c r="T138" s="140">
        <f t="shared" si="118"/>
        <v>3.5907528855456609E-2</v>
      </c>
      <c r="U138" s="140">
        <f t="shared" si="118"/>
        <v>3.6141979973003106E-2</v>
      </c>
      <c r="V138" s="140">
        <f t="shared" si="118"/>
        <v>1.9980809759239031E-2</v>
      </c>
      <c r="W138" s="140">
        <f t="shared" si="118"/>
        <v>1.8352772312686814E-2</v>
      </c>
      <c r="X138" s="140">
        <f t="shared" si="118"/>
        <v>2.721580130917E-2</v>
      </c>
      <c r="Y138" s="140">
        <f t="shared" si="118"/>
        <v>2.6161107034356281E-2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0.85273626920724588</v>
      </c>
      <c r="C140" s="139">
        <f t="shared" ref="C140:Y140" si="121">IF(C48=0,0,C48/C$47)</f>
        <v>0.86398987934740867</v>
      </c>
      <c r="D140" s="139">
        <f t="shared" si="121"/>
        <v>0.86705937273423261</v>
      </c>
      <c r="E140" s="139">
        <f t="shared" si="121"/>
        <v>0.85961688226359712</v>
      </c>
      <c r="F140" s="139">
        <f t="shared" si="121"/>
        <v>0.87512945094211059</v>
      </c>
      <c r="G140" s="139">
        <f t="shared" si="121"/>
        <v>0.87321620288994317</v>
      </c>
      <c r="H140" s="139">
        <f t="shared" si="121"/>
        <v>0.87454141401984797</v>
      </c>
      <c r="I140" s="139">
        <f t="shared" si="121"/>
        <v>0.87678140652611725</v>
      </c>
      <c r="J140" s="139">
        <f t="shared" si="121"/>
        <v>0.88679115763457561</v>
      </c>
      <c r="K140" s="139">
        <f t="shared" si="121"/>
        <v>0.88475949519061137</v>
      </c>
      <c r="L140" s="139">
        <f t="shared" si="121"/>
        <v>0.88424170705375837</v>
      </c>
      <c r="M140" s="139">
        <f t="shared" si="121"/>
        <v>0.88074647896802272</v>
      </c>
      <c r="N140" s="139">
        <f t="shared" si="121"/>
        <v>0.88016819651225331</v>
      </c>
      <c r="O140" s="139">
        <f t="shared" si="121"/>
        <v>0.88214675507744755</v>
      </c>
      <c r="P140" s="139">
        <f t="shared" si="121"/>
        <v>0.88986694806867206</v>
      </c>
      <c r="Q140" s="139">
        <f t="shared" si="121"/>
        <v>0.89389697009897473</v>
      </c>
      <c r="R140" s="139">
        <f t="shared" si="121"/>
        <v>0.88585673490320949</v>
      </c>
      <c r="S140" s="139">
        <f t="shared" si="121"/>
        <v>0.89050072638191691</v>
      </c>
      <c r="T140" s="139">
        <f t="shared" si="121"/>
        <v>0.88640093843706147</v>
      </c>
      <c r="U140" s="139">
        <f t="shared" si="121"/>
        <v>0.88445080400332377</v>
      </c>
      <c r="V140" s="139">
        <f t="shared" si="121"/>
        <v>0.90394909467144402</v>
      </c>
      <c r="W140" s="139">
        <f t="shared" si="121"/>
        <v>0.90901006650915017</v>
      </c>
      <c r="X140" s="139">
        <f t="shared" si="121"/>
        <v>0.8760843956300991</v>
      </c>
      <c r="Y140" s="139">
        <f t="shared" si="121"/>
        <v>0.88237012001146875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0.21918691082547342</v>
      </c>
      <c r="C141" s="140">
        <f t="shared" ref="C141:Y141" si="122">IF(C49=0,0,C49/C$47)</f>
        <v>0.23828454365234675</v>
      </c>
      <c r="D141" s="140">
        <f t="shared" si="122"/>
        <v>0.24949936977808071</v>
      </c>
      <c r="E141" s="140">
        <f t="shared" si="122"/>
        <v>0.2568718068926199</v>
      </c>
      <c r="F141" s="140">
        <f t="shared" si="122"/>
        <v>0.2640933325934286</v>
      </c>
      <c r="G141" s="140">
        <f t="shared" si="122"/>
        <v>0.24649341632776631</v>
      </c>
      <c r="H141" s="140">
        <f t="shared" si="122"/>
        <v>0.25549187971587956</v>
      </c>
      <c r="I141" s="140">
        <f t="shared" si="122"/>
        <v>0.2577836925750368</v>
      </c>
      <c r="J141" s="140">
        <f t="shared" si="122"/>
        <v>0.26180940043275303</v>
      </c>
      <c r="K141" s="140">
        <f t="shared" si="122"/>
        <v>0.27977758967901867</v>
      </c>
      <c r="L141" s="140">
        <f t="shared" si="122"/>
        <v>0.28374116809421746</v>
      </c>
      <c r="M141" s="140">
        <f t="shared" si="122"/>
        <v>0.29948539870759572</v>
      </c>
      <c r="N141" s="140">
        <f t="shared" si="122"/>
        <v>0.31933228323618301</v>
      </c>
      <c r="O141" s="140">
        <f t="shared" si="122"/>
        <v>0.31513140780729004</v>
      </c>
      <c r="P141" s="140">
        <f t="shared" si="122"/>
        <v>0.30685810942573738</v>
      </c>
      <c r="Q141" s="140">
        <f t="shared" si="122"/>
        <v>0.31835869034779612</v>
      </c>
      <c r="R141" s="140">
        <f t="shared" si="122"/>
        <v>0.3268300246127564</v>
      </c>
      <c r="S141" s="140">
        <f t="shared" si="122"/>
        <v>0.33885740354715616</v>
      </c>
      <c r="T141" s="140">
        <f t="shared" si="122"/>
        <v>0.34196084480162137</v>
      </c>
      <c r="U141" s="140">
        <f t="shared" si="122"/>
        <v>0.3543142256367563</v>
      </c>
      <c r="V141" s="140">
        <f t="shared" si="122"/>
        <v>0.35648033514177518</v>
      </c>
      <c r="W141" s="140">
        <f t="shared" si="122"/>
        <v>0.34957435838301792</v>
      </c>
      <c r="X141" s="140">
        <f t="shared" si="122"/>
        <v>0.3305964721323203</v>
      </c>
      <c r="Y141" s="140">
        <f t="shared" si="122"/>
        <v>0.34930041661412481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0.6335493583817724</v>
      </c>
      <c r="C142" s="140">
        <f t="shared" ref="C142:Y142" si="123">IF(C50=0,0,C50/C$47)</f>
        <v>0.62570533569506193</v>
      </c>
      <c r="D142" s="140">
        <f t="shared" si="123"/>
        <v>0.61756000295615188</v>
      </c>
      <c r="E142" s="140">
        <f t="shared" si="123"/>
        <v>0.60274507537097721</v>
      </c>
      <c r="F142" s="140">
        <f t="shared" si="123"/>
        <v>0.61103611834868199</v>
      </c>
      <c r="G142" s="140">
        <f t="shared" si="123"/>
        <v>0.62672278656217695</v>
      </c>
      <c r="H142" s="140">
        <f t="shared" si="123"/>
        <v>0.61904953430396836</v>
      </c>
      <c r="I142" s="140">
        <f t="shared" si="123"/>
        <v>0.61899771395108039</v>
      </c>
      <c r="J142" s="140">
        <f t="shared" si="123"/>
        <v>0.62498175720182259</v>
      </c>
      <c r="K142" s="140">
        <f t="shared" si="123"/>
        <v>0.60498190551159259</v>
      </c>
      <c r="L142" s="140">
        <f t="shared" si="123"/>
        <v>0.60050053895954092</v>
      </c>
      <c r="M142" s="140">
        <f t="shared" si="123"/>
        <v>0.581261080260427</v>
      </c>
      <c r="N142" s="140">
        <f t="shared" si="123"/>
        <v>0.56083591327607041</v>
      </c>
      <c r="O142" s="140">
        <f t="shared" si="123"/>
        <v>0.56701534727015757</v>
      </c>
      <c r="P142" s="140">
        <f t="shared" si="123"/>
        <v>0.58300883864293473</v>
      </c>
      <c r="Q142" s="140">
        <f t="shared" si="123"/>
        <v>0.57553827975117866</v>
      </c>
      <c r="R142" s="140">
        <f t="shared" si="123"/>
        <v>0.55902671029045303</v>
      </c>
      <c r="S142" s="140">
        <f t="shared" si="123"/>
        <v>0.5516433228347607</v>
      </c>
      <c r="T142" s="140">
        <f t="shared" si="123"/>
        <v>0.5444400936354401</v>
      </c>
      <c r="U142" s="140">
        <f t="shared" si="123"/>
        <v>0.53013657836656747</v>
      </c>
      <c r="V142" s="140">
        <f t="shared" si="123"/>
        <v>0.54746875952966878</v>
      </c>
      <c r="W142" s="140">
        <f t="shared" si="123"/>
        <v>0.5594357081261323</v>
      </c>
      <c r="X142" s="140">
        <f t="shared" si="123"/>
        <v>0.54548792349777875</v>
      </c>
      <c r="Y142" s="140">
        <f t="shared" si="123"/>
        <v>0.53306970339734394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6.0784514229047279E-2</v>
      </c>
      <c r="C143" s="124">
        <f t="shared" ref="C143:Y143" si="124">IF(C51=0,0,C51/C$47)</f>
        <v>5.0028601243664178E-2</v>
      </c>
      <c r="D143" s="124">
        <f t="shared" si="124"/>
        <v>5.0292657095239696E-2</v>
      </c>
      <c r="E143" s="124">
        <f t="shared" si="124"/>
        <v>4.6876748558189206E-2</v>
      </c>
      <c r="F143" s="124">
        <f t="shared" si="124"/>
        <v>4.6588633800650821E-2</v>
      </c>
      <c r="G143" s="124">
        <f t="shared" si="124"/>
        <v>4.7868693610508627E-2</v>
      </c>
      <c r="H143" s="124">
        <f t="shared" si="124"/>
        <v>4.751723471591314E-2</v>
      </c>
      <c r="I143" s="124">
        <f t="shared" si="124"/>
        <v>4.7927060507263412E-2</v>
      </c>
      <c r="J143" s="124">
        <f t="shared" si="124"/>
        <v>3.5911494415212575E-2</v>
      </c>
      <c r="K143" s="124">
        <f t="shared" si="124"/>
        <v>3.4847745049710104E-2</v>
      </c>
      <c r="L143" s="124">
        <f t="shared" si="124"/>
        <v>3.3974544691235377E-2</v>
      </c>
      <c r="M143" s="124">
        <f t="shared" si="124"/>
        <v>3.6956940046208864E-2</v>
      </c>
      <c r="N143" s="124">
        <f t="shared" si="124"/>
        <v>3.8217831967931659E-2</v>
      </c>
      <c r="O143" s="124">
        <f t="shared" si="124"/>
        <v>3.6147085162978147E-2</v>
      </c>
      <c r="P143" s="124">
        <f t="shared" si="124"/>
        <v>3.2463690933898955E-2</v>
      </c>
      <c r="Q143" s="124">
        <f t="shared" si="124"/>
        <v>3.0863991250904228E-2</v>
      </c>
      <c r="R143" s="124">
        <f t="shared" si="124"/>
        <v>3.2103531876579917E-2</v>
      </c>
      <c r="S143" s="124">
        <f t="shared" si="124"/>
        <v>3.1198889583014897E-2</v>
      </c>
      <c r="T143" s="124">
        <f t="shared" si="124"/>
        <v>3.0907685677525561E-2</v>
      </c>
      <c r="U143" s="124">
        <f t="shared" si="124"/>
        <v>3.0225654847561664E-2</v>
      </c>
      <c r="V143" s="124">
        <f t="shared" si="124"/>
        <v>2.7871085536469567E-2</v>
      </c>
      <c r="W143" s="124">
        <f t="shared" si="124"/>
        <v>2.8999481212869941E-2</v>
      </c>
      <c r="X143" s="124">
        <f t="shared" si="124"/>
        <v>4.1041658837628822E-2</v>
      </c>
      <c r="Y143" s="124">
        <f t="shared" si="124"/>
        <v>3.8655829117022422E-2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6.8510027445975331E-3</v>
      </c>
      <c r="C144" s="124">
        <f t="shared" ref="C144:Y144" si="125">IF(C52=0,0,C52/C$47)</f>
        <v>7.8676419607771868E-3</v>
      </c>
      <c r="D144" s="124">
        <f t="shared" si="125"/>
        <v>8.6739479184514134E-3</v>
      </c>
      <c r="E144" s="124">
        <f t="shared" si="125"/>
        <v>1.0549140730850604E-2</v>
      </c>
      <c r="F144" s="124">
        <f t="shared" si="125"/>
        <v>1.2928503718395254E-2</v>
      </c>
      <c r="G144" s="124">
        <f t="shared" si="125"/>
        <v>1.5395277929645249E-2</v>
      </c>
      <c r="H144" s="124">
        <f t="shared" si="125"/>
        <v>1.6374612442570328E-2</v>
      </c>
      <c r="I144" s="124">
        <f t="shared" si="125"/>
        <v>1.631280561484557E-2</v>
      </c>
      <c r="J144" s="124">
        <f t="shared" si="125"/>
        <v>1.8536377351587485E-2</v>
      </c>
      <c r="K144" s="124">
        <f t="shared" si="125"/>
        <v>1.5654646069120336E-2</v>
      </c>
      <c r="L144" s="124">
        <f t="shared" si="125"/>
        <v>1.6073007628821918E-2</v>
      </c>
      <c r="M144" s="124">
        <f t="shared" si="125"/>
        <v>1.3960314396889726E-2</v>
      </c>
      <c r="N144" s="124">
        <f t="shared" si="125"/>
        <v>1.2331382615822197E-2</v>
      </c>
      <c r="O144" s="124">
        <f t="shared" si="125"/>
        <v>9.6049502454020989E-3</v>
      </c>
      <c r="P144" s="124">
        <f t="shared" si="125"/>
        <v>7.0385823259373984E-3</v>
      </c>
      <c r="Q144" s="124">
        <f t="shared" si="125"/>
        <v>6.4298784572274139E-3</v>
      </c>
      <c r="R144" s="124">
        <f t="shared" si="125"/>
        <v>5.6954829386840966E-3</v>
      </c>
      <c r="S144" s="124">
        <f t="shared" si="125"/>
        <v>5.3223317876614417E-3</v>
      </c>
      <c r="T144" s="124">
        <f t="shared" si="125"/>
        <v>5.2897086264480763E-3</v>
      </c>
      <c r="U144" s="124">
        <f t="shared" si="125"/>
        <v>6.4726176187869452E-3</v>
      </c>
      <c r="V144" s="124">
        <f t="shared" si="125"/>
        <v>7.36983493358541E-3</v>
      </c>
      <c r="W144" s="124">
        <f t="shared" si="125"/>
        <v>7.1382775334689263E-3</v>
      </c>
      <c r="X144" s="124">
        <f t="shared" si="125"/>
        <v>1.1427141730610421E-2</v>
      </c>
      <c r="Y144" s="124">
        <f t="shared" si="125"/>
        <v>8.9518354003938257E-3</v>
      </c>
      <c r="DA144" s="176"/>
    </row>
    <row r="145" spans="1:105" ht="11.45" customHeight="1" x14ac:dyDescent="0.25">
      <c r="A145" s="128" t="s">
        <v>27</v>
      </c>
      <c r="B145" s="140">
        <f t="shared" si="119"/>
        <v>6.4143890673870835E-4</v>
      </c>
      <c r="C145" s="140">
        <f t="shared" ref="C145:Y145" si="126">IF(C53=0,0,C53/C$47)</f>
        <v>5.3828062980499389E-4</v>
      </c>
      <c r="D145" s="140">
        <f t="shared" si="126"/>
        <v>6.0158668059901333E-4</v>
      </c>
      <c r="E145" s="140">
        <f t="shared" si="126"/>
        <v>6.5408938061470691E-4</v>
      </c>
      <c r="F145" s="140">
        <f t="shared" si="126"/>
        <v>1.0230635644921332E-3</v>
      </c>
      <c r="G145" s="140">
        <f t="shared" si="126"/>
        <v>1.2350659228718705E-3</v>
      </c>
      <c r="H145" s="140">
        <f t="shared" si="126"/>
        <v>1.4184853819861807E-3</v>
      </c>
      <c r="I145" s="140">
        <f t="shared" si="126"/>
        <v>1.675174558323865E-3</v>
      </c>
      <c r="J145" s="140">
        <f t="shared" si="126"/>
        <v>1.6950496014534128E-3</v>
      </c>
      <c r="K145" s="140">
        <f t="shared" si="126"/>
        <v>1.3864109588444284E-3</v>
      </c>
      <c r="L145" s="140">
        <f t="shared" si="126"/>
        <v>1.0638814497684573E-3</v>
      </c>
      <c r="M145" s="140">
        <f t="shared" si="126"/>
        <v>9.6666627338960992E-4</v>
      </c>
      <c r="N145" s="140">
        <f t="shared" si="126"/>
        <v>1.0570232472527216E-3</v>
      </c>
      <c r="O145" s="140">
        <f t="shared" si="126"/>
        <v>1.0071184007651927E-3</v>
      </c>
      <c r="P145" s="140">
        <f t="shared" si="126"/>
        <v>9.2391958477152584E-4</v>
      </c>
      <c r="Q145" s="140">
        <f t="shared" si="126"/>
        <v>8.8518058672296476E-4</v>
      </c>
      <c r="R145" s="140">
        <f t="shared" si="126"/>
        <v>8.2753250901210251E-4</v>
      </c>
      <c r="S145" s="140">
        <f t="shared" si="126"/>
        <v>8.5962351176611506E-4</v>
      </c>
      <c r="T145" s="140">
        <f t="shared" si="126"/>
        <v>6.5919780111536874E-4</v>
      </c>
      <c r="U145" s="140">
        <f t="shared" si="126"/>
        <v>4.3339929899893661E-4</v>
      </c>
      <c r="V145" s="140">
        <f t="shared" si="126"/>
        <v>3.1452047232740125E-4</v>
      </c>
      <c r="W145" s="140">
        <f t="shared" si="126"/>
        <v>4.0696086455630718E-4</v>
      </c>
      <c r="X145" s="140">
        <f t="shared" si="126"/>
        <v>4.7285622757761855E-4</v>
      </c>
      <c r="Y145" s="140">
        <f t="shared" si="126"/>
        <v>4.171041265716972E-4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2.5550806569912634E-3</v>
      </c>
      <c r="C146" s="140">
        <f t="shared" ref="C146:Y146" si="127">IF(C54=0,0,C54/C$47)</f>
        <v>2.261291398952286E-3</v>
      </c>
      <c r="D146" s="140">
        <f t="shared" si="127"/>
        <v>2.4331253137202013E-3</v>
      </c>
      <c r="E146" s="140">
        <f t="shared" si="127"/>
        <v>2.6068645991276919E-3</v>
      </c>
      <c r="F146" s="140">
        <f t="shared" si="127"/>
        <v>3.3525649562661415E-3</v>
      </c>
      <c r="G146" s="140">
        <f t="shared" si="127"/>
        <v>4.1141288625304619E-3</v>
      </c>
      <c r="H146" s="140">
        <f t="shared" si="127"/>
        <v>4.6001973230255337E-3</v>
      </c>
      <c r="I146" s="140">
        <f t="shared" si="127"/>
        <v>5.1953378010959764E-3</v>
      </c>
      <c r="J146" s="140">
        <f t="shared" si="127"/>
        <v>6.1499393491537555E-3</v>
      </c>
      <c r="K146" s="140">
        <f t="shared" si="127"/>
        <v>5.3308096269076531E-3</v>
      </c>
      <c r="L146" s="140">
        <f t="shared" si="127"/>
        <v>4.8750090221904453E-3</v>
      </c>
      <c r="M146" s="140">
        <f t="shared" si="127"/>
        <v>3.657405427945321E-3</v>
      </c>
      <c r="N146" s="140">
        <f t="shared" si="127"/>
        <v>3.2379043846970479E-3</v>
      </c>
      <c r="O146" s="140">
        <f t="shared" si="127"/>
        <v>3.3081807870952852E-3</v>
      </c>
      <c r="P146" s="140">
        <f t="shared" si="127"/>
        <v>2.8800044295756804E-3</v>
      </c>
      <c r="Q146" s="140">
        <f t="shared" si="127"/>
        <v>2.9832209640001618E-3</v>
      </c>
      <c r="R146" s="140">
        <f t="shared" si="127"/>
        <v>2.9022347955524673E-3</v>
      </c>
      <c r="S146" s="140">
        <f t="shared" si="127"/>
        <v>3.025480188000286E-3</v>
      </c>
      <c r="T146" s="140">
        <f t="shared" si="127"/>
        <v>3.4172893494400216E-3</v>
      </c>
      <c r="U146" s="140">
        <f t="shared" si="127"/>
        <v>5.1882766442829121E-3</v>
      </c>
      <c r="V146" s="140">
        <f t="shared" si="127"/>
        <v>5.8290049550554154E-3</v>
      </c>
      <c r="W146" s="140">
        <f t="shared" si="127"/>
        <v>5.3173903976275966E-3</v>
      </c>
      <c r="X146" s="140">
        <f t="shared" si="127"/>
        <v>4.4622504060760782E-3</v>
      </c>
      <c r="Y146" s="140">
        <f t="shared" si="127"/>
        <v>3.2997027386781762E-3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3.6544831808675614E-3</v>
      </c>
      <c r="C147" s="140">
        <f t="shared" ref="C147:Y147" si="128">IF(C55=0,0,C55/C$47)</f>
        <v>5.0680699320199063E-3</v>
      </c>
      <c r="D147" s="140">
        <f t="shared" si="128"/>
        <v>5.6392359241321981E-3</v>
      </c>
      <c r="E147" s="140">
        <f t="shared" si="128"/>
        <v>7.2881867511082063E-3</v>
      </c>
      <c r="F147" s="140">
        <f t="shared" si="128"/>
        <v>8.5528751976369794E-3</v>
      </c>
      <c r="G147" s="140">
        <f t="shared" si="128"/>
        <v>1.0046083144242915E-2</v>
      </c>
      <c r="H147" s="140">
        <f t="shared" si="128"/>
        <v>1.0355929737558613E-2</v>
      </c>
      <c r="I147" s="140">
        <f t="shared" si="128"/>
        <v>9.4422932554257284E-3</v>
      </c>
      <c r="J147" s="140">
        <f t="shared" si="128"/>
        <v>1.0691388400980313E-2</v>
      </c>
      <c r="K147" s="140">
        <f t="shared" si="128"/>
        <v>8.9374254833682523E-3</v>
      </c>
      <c r="L147" s="140">
        <f t="shared" si="128"/>
        <v>1.0134117156863015E-2</v>
      </c>
      <c r="M147" s="140">
        <f t="shared" si="128"/>
        <v>9.3362426955547941E-3</v>
      </c>
      <c r="N147" s="140">
        <f t="shared" si="128"/>
        <v>8.0364549838724281E-3</v>
      </c>
      <c r="O147" s="140">
        <f t="shared" si="128"/>
        <v>5.289651057541621E-3</v>
      </c>
      <c r="P147" s="140">
        <f t="shared" si="128"/>
        <v>3.2346583115901929E-3</v>
      </c>
      <c r="Q147" s="140">
        <f t="shared" si="128"/>
        <v>2.561476906504287E-3</v>
      </c>
      <c r="R147" s="140">
        <f t="shared" si="128"/>
        <v>1.9657156341195262E-3</v>
      </c>
      <c r="S147" s="140">
        <f t="shared" si="128"/>
        <v>1.43722808789504E-3</v>
      </c>
      <c r="T147" s="140">
        <f t="shared" si="128"/>
        <v>1.2132214758926868E-3</v>
      </c>
      <c r="U147" s="140">
        <f t="shared" si="128"/>
        <v>8.5094167550509665E-4</v>
      </c>
      <c r="V147" s="140">
        <f t="shared" si="128"/>
        <v>1.2263095062025936E-3</v>
      </c>
      <c r="W147" s="140">
        <f t="shared" si="128"/>
        <v>1.4139262712850218E-3</v>
      </c>
      <c r="X147" s="140">
        <f t="shared" si="128"/>
        <v>6.4920350969567241E-3</v>
      </c>
      <c r="Y147" s="140">
        <f t="shared" si="128"/>
        <v>5.2350285351439518E-3</v>
      </c>
      <c r="DA147" s="175"/>
    </row>
    <row r="148" spans="1:105" ht="11.45" customHeight="1" x14ac:dyDescent="0.25">
      <c r="A148" s="109" t="s">
        <v>141</v>
      </c>
      <c r="B148" s="124">
        <f t="shared" si="119"/>
        <v>7.9628213819109381E-2</v>
      </c>
      <c r="C148" s="124">
        <f t="shared" ref="C148:Y148" si="129">IF(C56=0,0,C56/C$47)</f>
        <v>7.8113877448149904E-2</v>
      </c>
      <c r="D148" s="124">
        <f t="shared" si="129"/>
        <v>7.3974022252076221E-2</v>
      </c>
      <c r="E148" s="124">
        <f t="shared" si="129"/>
        <v>8.2957228447363016E-2</v>
      </c>
      <c r="F148" s="124">
        <f t="shared" si="129"/>
        <v>6.535341153884347E-2</v>
      </c>
      <c r="G148" s="124">
        <f t="shared" si="129"/>
        <v>6.3519825569902932E-2</v>
      </c>
      <c r="H148" s="124">
        <f t="shared" si="129"/>
        <v>6.1566738821668569E-2</v>
      </c>
      <c r="I148" s="124">
        <f t="shared" si="129"/>
        <v>5.8978727351773973E-2</v>
      </c>
      <c r="J148" s="124">
        <f t="shared" si="129"/>
        <v>5.8760970598624299E-2</v>
      </c>
      <c r="K148" s="124">
        <f t="shared" si="129"/>
        <v>6.4738113690558222E-2</v>
      </c>
      <c r="L148" s="124">
        <f t="shared" si="129"/>
        <v>6.5710740626184566E-2</v>
      </c>
      <c r="M148" s="124">
        <f t="shared" si="129"/>
        <v>6.8336266588878702E-2</v>
      </c>
      <c r="N148" s="124">
        <f t="shared" si="129"/>
        <v>6.9282588903992887E-2</v>
      </c>
      <c r="O148" s="124">
        <f t="shared" si="129"/>
        <v>7.2101209514172204E-2</v>
      </c>
      <c r="P148" s="124">
        <f t="shared" si="129"/>
        <v>7.0630778671491479E-2</v>
      </c>
      <c r="Q148" s="124">
        <f t="shared" si="129"/>
        <v>6.880916019289357E-2</v>
      </c>
      <c r="R148" s="124">
        <f t="shared" si="129"/>
        <v>7.6344250281526582E-2</v>
      </c>
      <c r="S148" s="124">
        <f t="shared" si="129"/>
        <v>7.2978052247406847E-2</v>
      </c>
      <c r="T148" s="124">
        <f t="shared" si="129"/>
        <v>7.7401667258964871E-2</v>
      </c>
      <c r="U148" s="124">
        <f t="shared" si="129"/>
        <v>7.8850923530327688E-2</v>
      </c>
      <c r="V148" s="124">
        <f t="shared" si="129"/>
        <v>6.0809984858501018E-2</v>
      </c>
      <c r="W148" s="124">
        <f t="shared" si="129"/>
        <v>5.4852174744510901E-2</v>
      </c>
      <c r="X148" s="124">
        <f t="shared" si="129"/>
        <v>7.1446803801661657E-2</v>
      </c>
      <c r="Y148" s="124">
        <f t="shared" si="129"/>
        <v>7.0022215471115035E-2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7.9628213819109381E-2</v>
      </c>
      <c r="C149" s="140">
        <f t="shared" ref="C149:Y149" si="130">IF(C57=0,0,C57/C$47)</f>
        <v>7.8113877448149904E-2</v>
      </c>
      <c r="D149" s="140">
        <f t="shared" si="130"/>
        <v>7.3974022252076221E-2</v>
      </c>
      <c r="E149" s="140">
        <f t="shared" si="130"/>
        <v>8.2957228447363016E-2</v>
      </c>
      <c r="F149" s="140">
        <f t="shared" si="130"/>
        <v>6.535341153884347E-2</v>
      </c>
      <c r="G149" s="140">
        <f t="shared" si="130"/>
        <v>6.3519825569902932E-2</v>
      </c>
      <c r="H149" s="140">
        <f t="shared" si="130"/>
        <v>6.1566738821668569E-2</v>
      </c>
      <c r="I149" s="140">
        <f t="shared" si="130"/>
        <v>5.8978727351773973E-2</v>
      </c>
      <c r="J149" s="140">
        <f t="shared" si="130"/>
        <v>5.8760970598624299E-2</v>
      </c>
      <c r="K149" s="140">
        <f t="shared" si="130"/>
        <v>6.4738113690558222E-2</v>
      </c>
      <c r="L149" s="140">
        <f t="shared" si="130"/>
        <v>6.5710740626184566E-2</v>
      </c>
      <c r="M149" s="140">
        <f t="shared" si="130"/>
        <v>6.8336266588878702E-2</v>
      </c>
      <c r="N149" s="140">
        <f t="shared" si="130"/>
        <v>6.9282588903992887E-2</v>
      </c>
      <c r="O149" s="140">
        <f t="shared" si="130"/>
        <v>7.2101209514172204E-2</v>
      </c>
      <c r="P149" s="140">
        <f t="shared" si="130"/>
        <v>7.0630778671491479E-2</v>
      </c>
      <c r="Q149" s="140">
        <f t="shared" si="130"/>
        <v>6.880916019289357E-2</v>
      </c>
      <c r="R149" s="140">
        <f t="shared" si="130"/>
        <v>7.6223313121313044E-2</v>
      </c>
      <c r="S149" s="140">
        <f t="shared" si="130"/>
        <v>7.2948194936909405E-2</v>
      </c>
      <c r="T149" s="140">
        <f t="shared" si="130"/>
        <v>7.7139886890774639E-2</v>
      </c>
      <c r="U149" s="140">
        <f t="shared" si="130"/>
        <v>7.8539228009578368E-2</v>
      </c>
      <c r="V149" s="140">
        <f t="shared" si="130"/>
        <v>6.0420353057290814E-2</v>
      </c>
      <c r="W149" s="140">
        <f t="shared" si="130"/>
        <v>5.4310151299495513E-2</v>
      </c>
      <c r="X149" s="140">
        <f t="shared" si="130"/>
        <v>7.0821261626394669E-2</v>
      </c>
      <c r="Y149" s="140">
        <f t="shared" si="130"/>
        <v>6.9096312077281882E-2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1.2093716021353533E-4</v>
      </c>
      <c r="S150" s="127">
        <f t="shared" si="131"/>
        <v>2.985731049743439E-5</v>
      </c>
      <c r="T150" s="127">
        <f t="shared" si="131"/>
        <v>2.6178036819022611E-4</v>
      </c>
      <c r="U150" s="127">
        <f t="shared" si="131"/>
        <v>3.1169552074930887E-4</v>
      </c>
      <c r="V150" s="127">
        <f t="shared" si="131"/>
        <v>3.896318012102E-4</v>
      </c>
      <c r="W150" s="127">
        <f t="shared" si="131"/>
        <v>5.4202344501538791E-4</v>
      </c>
      <c r="X150" s="127">
        <f t="shared" si="131"/>
        <v>6.2554217526698222E-4</v>
      </c>
      <c r="Y150" s="127">
        <f t="shared" si="131"/>
        <v>9.2590339383316015E-4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0.59760111120482717</v>
      </c>
      <c r="C152" s="140">
        <f t="shared" si="133"/>
        <v>0.58941821862599975</v>
      </c>
      <c r="D152" s="140">
        <f t="shared" si="133"/>
        <v>0.59200506055338908</v>
      </c>
      <c r="E152" s="140">
        <f t="shared" si="133"/>
        <v>0.59241382821891275</v>
      </c>
      <c r="F152" s="140">
        <f t="shared" si="133"/>
        <v>0.60210761216129027</v>
      </c>
      <c r="G152" s="140">
        <f t="shared" si="133"/>
        <v>0.59080074537475258</v>
      </c>
      <c r="H152" s="140">
        <f t="shared" si="133"/>
        <v>0.59612069658376698</v>
      </c>
      <c r="I152" s="140">
        <f t="shared" si="133"/>
        <v>0.61159894166573203</v>
      </c>
      <c r="J152" s="140">
        <f t="shared" si="133"/>
        <v>0.60605684082670708</v>
      </c>
      <c r="K152" s="140">
        <f t="shared" si="133"/>
        <v>0.61382227600550732</v>
      </c>
      <c r="L152" s="140">
        <f t="shared" si="133"/>
        <v>0.5940459828383734</v>
      </c>
      <c r="M152" s="140">
        <f t="shared" si="133"/>
        <v>0.61181155772969409</v>
      </c>
      <c r="N152" s="140">
        <f t="shared" si="133"/>
        <v>0.61018522009491205</v>
      </c>
      <c r="O152" s="140">
        <f t="shared" si="133"/>
        <v>0.613414832320195</v>
      </c>
      <c r="P152" s="140">
        <f t="shared" si="133"/>
        <v>0.59279189070524374</v>
      </c>
      <c r="Q152" s="140">
        <f t="shared" si="133"/>
        <v>0.58876110611498766</v>
      </c>
      <c r="R152" s="140">
        <f t="shared" si="133"/>
        <v>0.59744077583197708</v>
      </c>
      <c r="S152" s="140">
        <f t="shared" si="133"/>
        <v>0.622399218388486</v>
      </c>
      <c r="T152" s="140">
        <f t="shared" si="133"/>
        <v>0.62951070100925499</v>
      </c>
      <c r="U152" s="140">
        <f t="shared" si="133"/>
        <v>0.62763345447833341</v>
      </c>
      <c r="V152" s="140">
        <f t="shared" si="133"/>
        <v>0.58122583125227023</v>
      </c>
      <c r="W152" s="140">
        <f t="shared" si="133"/>
        <v>0.59492840795055579</v>
      </c>
      <c r="X152" s="140">
        <f t="shared" si="133"/>
        <v>0.63618614637208182</v>
      </c>
      <c r="Y152" s="140">
        <f t="shared" si="133"/>
        <v>0.64756269380689624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0.40239888879517294</v>
      </c>
      <c r="C153" s="127">
        <f t="shared" si="134"/>
        <v>0.41058178137400031</v>
      </c>
      <c r="D153" s="127">
        <f t="shared" si="134"/>
        <v>0.40799493944661103</v>
      </c>
      <c r="E153" s="127">
        <f t="shared" si="134"/>
        <v>0.40758617178108725</v>
      </c>
      <c r="F153" s="127">
        <f t="shared" si="134"/>
        <v>0.39789238783870973</v>
      </c>
      <c r="G153" s="127">
        <f t="shared" si="134"/>
        <v>0.40919925462524748</v>
      </c>
      <c r="H153" s="127">
        <f t="shared" si="134"/>
        <v>0.40387930341623296</v>
      </c>
      <c r="I153" s="127">
        <f t="shared" si="134"/>
        <v>0.38840105833426797</v>
      </c>
      <c r="J153" s="127">
        <f t="shared" si="134"/>
        <v>0.39394315917329292</v>
      </c>
      <c r="K153" s="127">
        <f t="shared" si="134"/>
        <v>0.38617772399449263</v>
      </c>
      <c r="L153" s="127">
        <f t="shared" si="134"/>
        <v>0.4059540171616266</v>
      </c>
      <c r="M153" s="127">
        <f t="shared" si="134"/>
        <v>0.38818844227030591</v>
      </c>
      <c r="N153" s="127">
        <f t="shared" si="134"/>
        <v>0.38981477990508784</v>
      </c>
      <c r="O153" s="127">
        <f t="shared" si="134"/>
        <v>0.38658516767980505</v>
      </c>
      <c r="P153" s="127">
        <f t="shared" si="134"/>
        <v>0.40720810929475626</v>
      </c>
      <c r="Q153" s="127">
        <f t="shared" si="134"/>
        <v>0.41123889388501228</v>
      </c>
      <c r="R153" s="127">
        <f t="shared" si="134"/>
        <v>0.40255922416802298</v>
      </c>
      <c r="S153" s="127">
        <f t="shared" si="134"/>
        <v>0.37760078161151389</v>
      </c>
      <c r="T153" s="127">
        <f t="shared" si="134"/>
        <v>0.37048929899074501</v>
      </c>
      <c r="U153" s="127">
        <f t="shared" si="134"/>
        <v>0.37236654552166659</v>
      </c>
      <c r="V153" s="127">
        <f t="shared" si="134"/>
        <v>0.41877416874772971</v>
      </c>
      <c r="W153" s="127">
        <f t="shared" si="134"/>
        <v>0.4050715920494441</v>
      </c>
      <c r="X153" s="127">
        <f t="shared" si="134"/>
        <v>0.36381385362791824</v>
      </c>
      <c r="Y153" s="127">
        <f t="shared" si="134"/>
        <v>0.35243730619310376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0.83863747725657178</v>
      </c>
      <c r="C157" s="139">
        <f t="shared" ref="C157:W157" si="138">IF(C65=0,0,C65/C$64)</f>
        <v>0.8341722819500571</v>
      </c>
      <c r="D157" s="139">
        <f t="shared" si="138"/>
        <v>0.87055294773000758</v>
      </c>
      <c r="E157" s="139">
        <f t="shared" si="138"/>
        <v>0.87511945119965251</v>
      </c>
      <c r="F157" s="139">
        <f t="shared" si="138"/>
        <v>0.85384128079017318</v>
      </c>
      <c r="G157" s="139">
        <f t="shared" si="138"/>
        <v>0.84616207030689672</v>
      </c>
      <c r="H157" s="139">
        <f t="shared" si="138"/>
        <v>0.8434423103278661</v>
      </c>
      <c r="I157" s="139">
        <f t="shared" si="138"/>
        <v>0.84678897635178718</v>
      </c>
      <c r="J157" s="139">
        <f t="shared" si="138"/>
        <v>0.82552443398288855</v>
      </c>
      <c r="K157" s="139">
        <f t="shared" si="138"/>
        <v>0.83913026219179065</v>
      </c>
      <c r="L157" s="139">
        <f t="shared" si="138"/>
        <v>0.84525538254774235</v>
      </c>
      <c r="M157" s="139">
        <f t="shared" si="138"/>
        <v>0.83250861814164723</v>
      </c>
      <c r="N157" s="139">
        <f t="shared" si="138"/>
        <v>0.83372878007124074</v>
      </c>
      <c r="O157" s="139">
        <f t="shared" si="138"/>
        <v>0.81383776007807007</v>
      </c>
      <c r="P157" s="139">
        <f t="shared" si="138"/>
        <v>0.82229910148676932</v>
      </c>
      <c r="Q157" s="139">
        <f t="shared" si="138"/>
        <v>0.8217745033768511</v>
      </c>
      <c r="R157" s="139">
        <f t="shared" si="138"/>
        <v>0.8024238605034093</v>
      </c>
      <c r="S157" s="139">
        <f t="shared" si="138"/>
        <v>0.78986934880286563</v>
      </c>
      <c r="T157" s="139">
        <f t="shared" si="138"/>
        <v>0.77661702438403413</v>
      </c>
      <c r="U157" s="139">
        <f t="shared" si="138"/>
        <v>0.7878862087831946</v>
      </c>
      <c r="V157" s="139">
        <f t="shared" si="138"/>
        <v>0.8993535231748041</v>
      </c>
      <c r="W157" s="139">
        <f t="shared" si="138"/>
        <v>0.8957498670918923</v>
      </c>
      <c r="X157" s="139">
        <f t="shared" ref="X157:Y157" si="139">IF(X65=0,0,X65/X$64)</f>
        <v>0.81628117176177584</v>
      </c>
      <c r="Y157" s="139">
        <f t="shared" si="139"/>
        <v>0.82743191542545391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3.7049824171883974E-3</v>
      </c>
      <c r="C158" s="140">
        <f t="shared" ref="C158:W158" si="140">IF(C66=0,0,C66/C$64)</f>
        <v>4.0067812073421409E-3</v>
      </c>
      <c r="D158" s="140">
        <f t="shared" si="140"/>
        <v>4.5216475963017816E-3</v>
      </c>
      <c r="E158" s="140">
        <f t="shared" si="140"/>
        <v>4.8111238491777659E-3</v>
      </c>
      <c r="F158" s="140">
        <f t="shared" si="140"/>
        <v>4.9848962990879124E-3</v>
      </c>
      <c r="G158" s="140">
        <f t="shared" si="140"/>
        <v>5.2148558369334071E-3</v>
      </c>
      <c r="H158" s="140">
        <f t="shared" si="140"/>
        <v>5.5177298477463877E-3</v>
      </c>
      <c r="I158" s="140">
        <f t="shared" si="140"/>
        <v>5.933521940450005E-3</v>
      </c>
      <c r="J158" s="140">
        <f t="shared" si="140"/>
        <v>5.7209613393739162E-3</v>
      </c>
      <c r="K158" s="140">
        <f t="shared" si="140"/>
        <v>5.7219283672961738E-3</v>
      </c>
      <c r="L158" s="140">
        <f t="shared" si="140"/>
        <v>5.3250401181561286E-3</v>
      </c>
      <c r="M158" s="140">
        <f t="shared" si="140"/>
        <v>5.0930492948326441E-3</v>
      </c>
      <c r="N158" s="140">
        <f t="shared" si="140"/>
        <v>4.4801021223040069E-3</v>
      </c>
      <c r="O158" s="140">
        <f t="shared" si="140"/>
        <v>5.0787406026067553E-3</v>
      </c>
      <c r="P158" s="140">
        <f t="shared" si="140"/>
        <v>5.1451256558349423E-3</v>
      </c>
      <c r="Q158" s="140">
        <f t="shared" si="140"/>
        <v>5.1207093484063803E-3</v>
      </c>
      <c r="R158" s="140">
        <f t="shared" si="140"/>
        <v>5.393253861826419E-3</v>
      </c>
      <c r="S158" s="140">
        <f t="shared" si="140"/>
        <v>5.1109117692462137E-3</v>
      </c>
      <c r="T158" s="140">
        <f t="shared" si="140"/>
        <v>4.8883036727709198E-3</v>
      </c>
      <c r="U158" s="140">
        <f t="shared" si="140"/>
        <v>5.2384158935303632E-3</v>
      </c>
      <c r="V158" s="140">
        <f t="shared" si="140"/>
        <v>5.7356569373218213E-3</v>
      </c>
      <c r="W158" s="140">
        <f t="shared" si="140"/>
        <v>5.7460838082759504E-3</v>
      </c>
      <c r="X158" s="140">
        <f t="shared" ref="X158:Y158" si="141">IF(X66=0,0,X66/X$64)</f>
        <v>5.8149286544606077E-3</v>
      </c>
      <c r="Y158" s="140">
        <f t="shared" si="141"/>
        <v>6.1174296737159474E-3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0.72910744006391681</v>
      </c>
      <c r="C159" s="140">
        <f t="shared" ref="C159:W159" si="142">IF(C67=0,0,C67/C$64)</f>
        <v>0.72695271386949245</v>
      </c>
      <c r="D159" s="140">
        <f t="shared" si="142"/>
        <v>0.76309477661343883</v>
      </c>
      <c r="E159" s="140">
        <f t="shared" si="142"/>
        <v>0.76596869258843614</v>
      </c>
      <c r="F159" s="140">
        <f t="shared" si="142"/>
        <v>0.74751038438927031</v>
      </c>
      <c r="G159" s="140">
        <f t="shared" si="142"/>
        <v>0.74654652239900388</v>
      </c>
      <c r="H159" s="140">
        <f t="shared" si="142"/>
        <v>0.74070000349662379</v>
      </c>
      <c r="I159" s="140">
        <f t="shared" si="142"/>
        <v>0.74965668978993028</v>
      </c>
      <c r="J159" s="140">
        <f t="shared" si="142"/>
        <v>0.73173244603163123</v>
      </c>
      <c r="K159" s="140">
        <f t="shared" si="142"/>
        <v>0.74906245345605249</v>
      </c>
      <c r="L159" s="140">
        <f t="shared" si="142"/>
        <v>0.75111549441497361</v>
      </c>
      <c r="M159" s="140">
        <f t="shared" si="142"/>
        <v>0.74179300166893702</v>
      </c>
      <c r="N159" s="140">
        <f t="shared" si="142"/>
        <v>0.74260795141860436</v>
      </c>
      <c r="O159" s="140">
        <f t="shared" si="142"/>
        <v>0.74390032726570487</v>
      </c>
      <c r="P159" s="140">
        <f t="shared" si="142"/>
        <v>0.75808802387174024</v>
      </c>
      <c r="Q159" s="140">
        <f t="shared" si="142"/>
        <v>0.76101105164644911</v>
      </c>
      <c r="R159" s="140">
        <f t="shared" si="142"/>
        <v>0.74477602416986788</v>
      </c>
      <c r="S159" s="140">
        <f t="shared" si="142"/>
        <v>0.73604279526487304</v>
      </c>
      <c r="T159" s="140">
        <f t="shared" si="142"/>
        <v>0.72364608529796559</v>
      </c>
      <c r="U159" s="140">
        <f t="shared" si="142"/>
        <v>0.72173664671924342</v>
      </c>
      <c r="V159" s="140">
        <f t="shared" si="142"/>
        <v>0.82714179248267694</v>
      </c>
      <c r="W159" s="140">
        <f t="shared" si="142"/>
        <v>0.82714228417548519</v>
      </c>
      <c r="X159" s="140">
        <f t="shared" ref="X159:Y159" si="143">IF(X67=0,0,X67/X$64)</f>
        <v>0.75072795089966926</v>
      </c>
      <c r="Y159" s="140">
        <f t="shared" si="143"/>
        <v>0.75758153258328964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0.1058250547754666</v>
      </c>
      <c r="C160" s="140">
        <f t="shared" ref="C160:W160" si="144">IF(C68=0,0,C68/C$64)</f>
        <v>0.10321278687322248</v>
      </c>
      <c r="D160" s="140">
        <f t="shared" si="144"/>
        <v>0.102936523520267</v>
      </c>
      <c r="E160" s="140">
        <f t="shared" si="144"/>
        <v>0.10433963476203865</v>
      </c>
      <c r="F160" s="140">
        <f t="shared" si="144"/>
        <v>0.10134600010181484</v>
      </c>
      <c r="G160" s="140">
        <f t="shared" si="144"/>
        <v>9.4400692070959469E-2</v>
      </c>
      <c r="H160" s="140">
        <f t="shared" si="144"/>
        <v>9.7224576983495861E-2</v>
      </c>
      <c r="I160" s="140">
        <f t="shared" si="144"/>
        <v>9.1198764621406844E-2</v>
      </c>
      <c r="J160" s="140">
        <f t="shared" si="144"/>
        <v>8.807102661188336E-2</v>
      </c>
      <c r="K160" s="140">
        <f t="shared" si="144"/>
        <v>8.4345880368442039E-2</v>
      </c>
      <c r="L160" s="140">
        <f t="shared" si="144"/>
        <v>8.8814848014612799E-2</v>
      </c>
      <c r="M160" s="140">
        <f t="shared" si="144"/>
        <v>8.5622567177877612E-2</v>
      </c>
      <c r="N160" s="140">
        <f t="shared" si="144"/>
        <v>8.6640726530332418E-2</v>
      </c>
      <c r="O160" s="140">
        <f t="shared" si="144"/>
        <v>6.4858692209758498E-2</v>
      </c>
      <c r="P160" s="140">
        <f t="shared" si="144"/>
        <v>5.9065951959194243E-2</v>
      </c>
      <c r="Q160" s="140">
        <f t="shared" si="144"/>
        <v>5.5642742381995576E-2</v>
      </c>
      <c r="R160" s="140">
        <f t="shared" si="144"/>
        <v>5.2254582471714904E-2</v>
      </c>
      <c r="S160" s="140">
        <f t="shared" si="144"/>
        <v>4.8715641768746258E-2</v>
      </c>
      <c r="T160" s="140">
        <f t="shared" si="144"/>
        <v>4.8082635413297624E-2</v>
      </c>
      <c r="U160" s="140">
        <f t="shared" si="144"/>
        <v>6.0911146170420823E-2</v>
      </c>
      <c r="V160" s="140">
        <f t="shared" si="144"/>
        <v>6.6476073754805381E-2</v>
      </c>
      <c r="W160" s="140">
        <f t="shared" si="144"/>
        <v>6.2861499108131172E-2</v>
      </c>
      <c r="X160" s="140">
        <f t="shared" ref="X160:Y160" si="145">IF(X68=0,0,X68/X$64)</f>
        <v>5.9738292207645878E-2</v>
      </c>
      <c r="Y160" s="140">
        <f t="shared" si="145"/>
        <v>6.373295316844832E-2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1.636514151547382E-3</v>
      </c>
      <c r="C161" s="124">
        <f t="shared" ref="C161:W161" si="146">IF(C69=0,0,C69/C$64)</f>
        <v>1.8713959785857119E-3</v>
      </c>
      <c r="D161" s="124">
        <f t="shared" si="146"/>
        <v>2.6510708968580606E-3</v>
      </c>
      <c r="E161" s="124">
        <f t="shared" si="146"/>
        <v>2.1182496455175517E-3</v>
      </c>
      <c r="F161" s="124">
        <f t="shared" si="146"/>
        <v>1.1374533197678872E-3</v>
      </c>
      <c r="G161" s="124">
        <f t="shared" si="146"/>
        <v>9.5542757548331043E-4</v>
      </c>
      <c r="H161" s="124">
        <f t="shared" si="146"/>
        <v>1.3680153522218493E-3</v>
      </c>
      <c r="I161" s="124">
        <f t="shared" si="146"/>
        <v>1.2851009373450835E-3</v>
      </c>
      <c r="J161" s="124">
        <f t="shared" si="146"/>
        <v>1.6258379686337452E-3</v>
      </c>
      <c r="K161" s="124">
        <f t="shared" si="146"/>
        <v>1.6360957303066066E-3</v>
      </c>
      <c r="L161" s="124">
        <f t="shared" si="146"/>
        <v>1.4276147898811006E-3</v>
      </c>
      <c r="M161" s="124">
        <f t="shared" si="146"/>
        <v>1.1168392541031219E-3</v>
      </c>
      <c r="N161" s="124">
        <f t="shared" si="146"/>
        <v>1.5728433191061568E-3</v>
      </c>
      <c r="O161" s="124">
        <f t="shared" si="146"/>
        <v>1.1811448341386311E-3</v>
      </c>
      <c r="P161" s="124">
        <f t="shared" si="146"/>
        <v>1.283582356857291E-3</v>
      </c>
      <c r="Q161" s="124">
        <f t="shared" si="146"/>
        <v>1.1503484994310662E-3</v>
      </c>
      <c r="R161" s="124">
        <f t="shared" si="146"/>
        <v>1.1270340555739353E-3</v>
      </c>
      <c r="S161" s="124">
        <f t="shared" si="146"/>
        <v>1.2402253431958957E-3</v>
      </c>
      <c r="T161" s="124">
        <f t="shared" si="146"/>
        <v>1.2927371454973153E-3</v>
      </c>
      <c r="U161" s="124">
        <f t="shared" si="146"/>
        <v>1.3215789510516904E-3</v>
      </c>
      <c r="V161" s="124">
        <f t="shared" si="146"/>
        <v>1.4886853560586062E-3</v>
      </c>
      <c r="W161" s="124">
        <f t="shared" si="146"/>
        <v>1.0368769437707234E-3</v>
      </c>
      <c r="X161" s="124">
        <f t="shared" ref="X161:Y161" si="147">IF(X69=0,0,X69/X$64)</f>
        <v>1.0493861211738984E-3</v>
      </c>
      <c r="Y161" s="124">
        <f t="shared" si="147"/>
        <v>1.0406611180340342E-3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1.636514151547382E-3</v>
      </c>
      <c r="C163" s="140">
        <f t="shared" ref="C163:W163" si="150">IF(C71=0,0,C71/C$64)</f>
        <v>1.8713959785857119E-3</v>
      </c>
      <c r="D163" s="140">
        <f t="shared" si="150"/>
        <v>2.6510708968580606E-3</v>
      </c>
      <c r="E163" s="140">
        <f t="shared" si="150"/>
        <v>2.1182496455175517E-3</v>
      </c>
      <c r="F163" s="140">
        <f t="shared" si="150"/>
        <v>1.1374533197678872E-3</v>
      </c>
      <c r="G163" s="140">
        <f t="shared" si="150"/>
        <v>9.5542757548331043E-4</v>
      </c>
      <c r="H163" s="140">
        <f t="shared" si="150"/>
        <v>1.3680153522218493E-3</v>
      </c>
      <c r="I163" s="140">
        <f t="shared" si="150"/>
        <v>1.2851009373450835E-3</v>
      </c>
      <c r="J163" s="140">
        <f t="shared" si="150"/>
        <v>1.6258379686337452E-3</v>
      </c>
      <c r="K163" s="140">
        <f t="shared" si="150"/>
        <v>1.6360957303066066E-3</v>
      </c>
      <c r="L163" s="140">
        <f t="shared" si="150"/>
        <v>1.4276147898811006E-3</v>
      </c>
      <c r="M163" s="140">
        <f t="shared" si="150"/>
        <v>1.1168392541031219E-3</v>
      </c>
      <c r="N163" s="140">
        <f t="shared" si="150"/>
        <v>1.5728433191061568E-3</v>
      </c>
      <c r="O163" s="140">
        <f t="shared" si="150"/>
        <v>1.1811448341386311E-3</v>
      </c>
      <c r="P163" s="140">
        <f t="shared" si="150"/>
        <v>1.283582356857291E-3</v>
      </c>
      <c r="Q163" s="140">
        <f t="shared" si="150"/>
        <v>1.1503484994310662E-3</v>
      </c>
      <c r="R163" s="140">
        <f t="shared" si="150"/>
        <v>1.1270340555739353E-3</v>
      </c>
      <c r="S163" s="140">
        <f t="shared" si="150"/>
        <v>1.2402253431958957E-3</v>
      </c>
      <c r="T163" s="140">
        <f t="shared" si="150"/>
        <v>1.2927371454973153E-3</v>
      </c>
      <c r="U163" s="140">
        <f t="shared" si="150"/>
        <v>1.3215789510516904E-3</v>
      </c>
      <c r="V163" s="140">
        <f t="shared" si="150"/>
        <v>1.4886853560586062E-3</v>
      </c>
      <c r="W163" s="140">
        <f t="shared" si="150"/>
        <v>1.0368769437707234E-3</v>
      </c>
      <c r="X163" s="140">
        <f t="shared" ref="X163:Y163" si="151">IF(X71=0,0,X71/X$64)</f>
        <v>1.0493861211738984E-3</v>
      </c>
      <c r="Y163" s="140">
        <f t="shared" si="151"/>
        <v>1.0406611180340342E-3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0.15972600859188077</v>
      </c>
      <c r="C165" s="124">
        <f t="shared" ref="C165:W165" si="154">IF(C73=0,0,C73/C$64)</f>
        <v>0.16395632207135719</v>
      </c>
      <c r="D165" s="124">
        <f t="shared" si="154"/>
        <v>0.12679598137313428</v>
      </c>
      <c r="E165" s="124">
        <f t="shared" si="154"/>
        <v>0.12276229915482995</v>
      </c>
      <c r="F165" s="124">
        <f t="shared" si="154"/>
        <v>0.14502126589005893</v>
      </c>
      <c r="G165" s="124">
        <f t="shared" si="154"/>
        <v>0.15288250211761995</v>
      </c>
      <c r="H165" s="124">
        <f t="shared" si="154"/>
        <v>0.15518967431991218</v>
      </c>
      <c r="I165" s="124">
        <f t="shared" si="154"/>
        <v>0.15192592271086777</v>
      </c>
      <c r="J165" s="124">
        <f t="shared" si="154"/>
        <v>0.17284972804847787</v>
      </c>
      <c r="K165" s="124">
        <f t="shared" si="154"/>
        <v>0.15923364207790264</v>
      </c>
      <c r="L165" s="124">
        <f t="shared" si="154"/>
        <v>0.15331700266237652</v>
      </c>
      <c r="M165" s="124">
        <f t="shared" si="154"/>
        <v>0.16637454260424975</v>
      </c>
      <c r="N165" s="124">
        <f t="shared" si="154"/>
        <v>0.16469837660965309</v>
      </c>
      <c r="O165" s="124">
        <f t="shared" si="154"/>
        <v>0.18498109508779123</v>
      </c>
      <c r="P165" s="124">
        <f t="shared" si="154"/>
        <v>0.17641731615637329</v>
      </c>
      <c r="Q165" s="124">
        <f t="shared" si="154"/>
        <v>0.17707514812371791</v>
      </c>
      <c r="R165" s="124">
        <f t="shared" si="154"/>
        <v>0.19644910544101671</v>
      </c>
      <c r="S165" s="124">
        <f t="shared" si="154"/>
        <v>0.20889042585393844</v>
      </c>
      <c r="T165" s="124">
        <f t="shared" si="154"/>
        <v>0.22209023847046863</v>
      </c>
      <c r="U165" s="124">
        <f t="shared" si="154"/>
        <v>0.21079221226575368</v>
      </c>
      <c r="V165" s="124">
        <f t="shared" si="154"/>
        <v>9.9157791469137321E-2</v>
      </c>
      <c r="W165" s="124">
        <f t="shared" si="154"/>
        <v>0.10321325596433703</v>
      </c>
      <c r="X165" s="124">
        <f t="shared" ref="X165:Y165" si="155">IF(X73=0,0,X73/X$64)</f>
        <v>0.1826694421170503</v>
      </c>
      <c r="Y165" s="124">
        <f t="shared" si="155"/>
        <v>0.17152742345651212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4.112049152227857E-2</v>
      </c>
      <c r="C166" s="140">
        <f t="shared" ref="C166:W166" si="156">IF(C74=0,0,C74/C$64)</f>
        <v>4.2142615489367555E-2</v>
      </c>
      <c r="D166" s="140">
        <f t="shared" si="156"/>
        <v>3.5637730283247994E-2</v>
      </c>
      <c r="E166" s="140">
        <f t="shared" si="156"/>
        <v>3.4641026419909904E-2</v>
      </c>
      <c r="F166" s="140">
        <f t="shared" si="156"/>
        <v>3.8886173202942985E-2</v>
      </c>
      <c r="G166" s="140">
        <f t="shared" si="156"/>
        <v>4.1773645077701441E-2</v>
      </c>
      <c r="H166" s="140">
        <f t="shared" si="156"/>
        <v>3.9308703609947676E-2</v>
      </c>
      <c r="I166" s="140">
        <f t="shared" si="156"/>
        <v>3.8154858526643388E-2</v>
      </c>
      <c r="J166" s="140">
        <f t="shared" si="156"/>
        <v>3.5734235248078797E-2</v>
      </c>
      <c r="K166" s="140">
        <f t="shared" si="156"/>
        <v>3.1771403564629833E-2</v>
      </c>
      <c r="L166" s="140">
        <f t="shared" si="156"/>
        <v>3.0122444969614904E-2</v>
      </c>
      <c r="M166" s="140">
        <f t="shared" si="156"/>
        <v>3.3074304118798262E-2</v>
      </c>
      <c r="N166" s="140">
        <f t="shared" si="156"/>
        <v>3.341347320976544E-2</v>
      </c>
      <c r="O166" s="140">
        <f t="shared" si="156"/>
        <v>3.3961992634651009E-2</v>
      </c>
      <c r="P166" s="140">
        <f t="shared" si="156"/>
        <v>3.4748875938684524E-2</v>
      </c>
      <c r="Q166" s="140">
        <f t="shared" si="156"/>
        <v>3.3841024291422099E-2</v>
      </c>
      <c r="R166" s="140">
        <f t="shared" si="156"/>
        <v>3.6214853033397887E-2</v>
      </c>
      <c r="S166" s="140">
        <f t="shared" si="156"/>
        <v>3.6355708669441308E-2</v>
      </c>
      <c r="T166" s="140">
        <f t="shared" si="156"/>
        <v>3.5327778405662778E-2</v>
      </c>
      <c r="U166" s="140">
        <f t="shared" si="156"/>
        <v>3.2146069414859722E-2</v>
      </c>
      <c r="V166" s="140">
        <f t="shared" si="156"/>
        <v>1.5479777406661633E-2</v>
      </c>
      <c r="W166" s="140">
        <f t="shared" si="156"/>
        <v>1.7354450142847856E-2</v>
      </c>
      <c r="X166" s="140">
        <f t="shared" ref="X166:Y166" si="157">IF(X74=0,0,X74/X$64)</f>
        <v>2.707414334518472E-2</v>
      </c>
      <c r="Y166" s="140">
        <f t="shared" si="157"/>
        <v>2.4950073658253007E-2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9.0829596242283775E-2</v>
      </c>
      <c r="C167" s="140">
        <f t="shared" ref="C167:W167" si="158">IF(C75=0,0,C75/C$64)</f>
        <v>9.5718345857314271E-2</v>
      </c>
      <c r="D167" s="140">
        <f t="shared" si="158"/>
        <v>7.2069431523609243E-2</v>
      </c>
      <c r="E167" s="140">
        <f t="shared" si="158"/>
        <v>6.8884342685875524E-2</v>
      </c>
      <c r="F167" s="140">
        <f t="shared" si="158"/>
        <v>7.9965965498117048E-2</v>
      </c>
      <c r="G167" s="140">
        <f t="shared" si="158"/>
        <v>8.3697453002326935E-2</v>
      </c>
      <c r="H167" s="140">
        <f t="shared" si="158"/>
        <v>8.7889887876935982E-2</v>
      </c>
      <c r="I167" s="140">
        <f t="shared" si="158"/>
        <v>8.6772813906033988E-2</v>
      </c>
      <c r="J167" s="140">
        <f t="shared" si="158"/>
        <v>0.10410825842157528</v>
      </c>
      <c r="K167" s="140">
        <f t="shared" si="158"/>
        <v>9.5057634355104587E-2</v>
      </c>
      <c r="L167" s="140">
        <f t="shared" si="158"/>
        <v>9.1983112458001878E-2</v>
      </c>
      <c r="M167" s="140">
        <f t="shared" si="158"/>
        <v>0.10029319133166599</v>
      </c>
      <c r="N167" s="140">
        <f t="shared" si="158"/>
        <v>9.7864916868918711E-2</v>
      </c>
      <c r="O167" s="140">
        <f t="shared" si="158"/>
        <v>0.11264633962885066</v>
      </c>
      <c r="P167" s="140">
        <f t="shared" si="158"/>
        <v>0.10597897981800582</v>
      </c>
      <c r="Q167" s="140">
        <f t="shared" si="158"/>
        <v>0.10722119444871149</v>
      </c>
      <c r="R167" s="140">
        <f t="shared" si="158"/>
        <v>0.12168465477272535</v>
      </c>
      <c r="S167" s="140">
        <f t="shared" si="158"/>
        <v>0.132317724519916</v>
      </c>
      <c r="T167" s="140">
        <f t="shared" si="158"/>
        <v>0.14223553465396993</v>
      </c>
      <c r="U167" s="140">
        <f t="shared" si="158"/>
        <v>0.13417305122182704</v>
      </c>
      <c r="V167" s="140">
        <f t="shared" si="158"/>
        <v>5.8122827431909524E-2</v>
      </c>
      <c r="W167" s="140">
        <f t="shared" si="158"/>
        <v>6.2177587911499535E-2</v>
      </c>
      <c r="X167" s="140">
        <f t="shared" ref="X167:Y167" si="159">IF(X75=0,0,X75/X$64)</f>
        <v>0.1190628596236042</v>
      </c>
      <c r="Y167" s="140">
        <f t="shared" si="159"/>
        <v>0.11134372354402194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2.7775920827318418E-2</v>
      </c>
      <c r="C168" s="140">
        <f t="shared" ref="C168:W168" si="160">IF(C76=0,0,C76/C$64)</f>
        <v>2.609536072467538E-2</v>
      </c>
      <c r="D168" s="140">
        <f t="shared" si="160"/>
        <v>1.9088819566277039E-2</v>
      </c>
      <c r="E168" s="140">
        <f t="shared" si="160"/>
        <v>1.9236930049044525E-2</v>
      </c>
      <c r="F168" s="140">
        <f t="shared" si="160"/>
        <v>2.6169127188998876E-2</v>
      </c>
      <c r="G168" s="140">
        <f t="shared" si="160"/>
        <v>2.7411404037591566E-2</v>
      </c>
      <c r="H168" s="140">
        <f t="shared" si="160"/>
        <v>2.7991082833028556E-2</v>
      </c>
      <c r="I168" s="140">
        <f t="shared" si="160"/>
        <v>2.6998250278190399E-2</v>
      </c>
      <c r="J168" s="140">
        <f t="shared" si="160"/>
        <v>3.3007234378823788E-2</v>
      </c>
      <c r="K168" s="140">
        <f t="shared" si="160"/>
        <v>3.2404604158168204E-2</v>
      </c>
      <c r="L168" s="140">
        <f t="shared" si="160"/>
        <v>3.1211445234759744E-2</v>
      </c>
      <c r="M168" s="140">
        <f t="shared" si="160"/>
        <v>3.3007047153785489E-2</v>
      </c>
      <c r="N168" s="140">
        <f t="shared" si="160"/>
        <v>3.3419986530968927E-2</v>
      </c>
      <c r="O168" s="140">
        <f t="shared" si="160"/>
        <v>3.8372762824289544E-2</v>
      </c>
      <c r="P168" s="140">
        <f t="shared" si="160"/>
        <v>3.5689460399682946E-2</v>
      </c>
      <c r="Q168" s="140">
        <f t="shared" si="160"/>
        <v>3.601292938358433E-2</v>
      </c>
      <c r="R168" s="140">
        <f t="shared" si="160"/>
        <v>3.8549597634893504E-2</v>
      </c>
      <c r="S168" s="140">
        <f t="shared" si="160"/>
        <v>4.0216992664581126E-2</v>
      </c>
      <c r="T168" s="140">
        <f t="shared" si="160"/>
        <v>4.452692541083593E-2</v>
      </c>
      <c r="U168" s="140">
        <f t="shared" si="160"/>
        <v>4.4473091629066937E-2</v>
      </c>
      <c r="V168" s="140">
        <f t="shared" si="160"/>
        <v>2.5555186630566159E-2</v>
      </c>
      <c r="W168" s="140">
        <f t="shared" si="160"/>
        <v>2.3681217909989647E-2</v>
      </c>
      <c r="X168" s="140">
        <f t="shared" ref="X168:Y168" si="161">IF(X76=0,0,X76/X$64)</f>
        <v>3.6532439148261361E-2</v>
      </c>
      <c r="Y168" s="140">
        <f t="shared" si="161"/>
        <v>3.5233626254237163E-2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0.89930334014047675</v>
      </c>
      <c r="C170" s="139">
        <f t="shared" ref="C170:W170" si="165">IF(C78=0,0,C78/C$77)</f>
        <v>0.90155247001392147</v>
      </c>
      <c r="D170" s="139">
        <f t="shared" si="165"/>
        <v>0.90553606787758634</v>
      </c>
      <c r="E170" s="139">
        <f t="shared" si="165"/>
        <v>0.89400473639272116</v>
      </c>
      <c r="F170" s="139">
        <f t="shared" si="165"/>
        <v>0.91001937511142161</v>
      </c>
      <c r="G170" s="139">
        <f t="shared" si="165"/>
        <v>0.90797116138890321</v>
      </c>
      <c r="H170" s="139">
        <f t="shared" si="165"/>
        <v>0.90894338947332842</v>
      </c>
      <c r="I170" s="139">
        <f t="shared" si="165"/>
        <v>0.9111204663524517</v>
      </c>
      <c r="J170" s="139">
        <f t="shared" si="165"/>
        <v>0.90980857478626742</v>
      </c>
      <c r="K170" s="139">
        <f t="shared" si="165"/>
        <v>0.90622168948060766</v>
      </c>
      <c r="L170" s="139">
        <f t="shared" si="165"/>
        <v>0.9049470524946247</v>
      </c>
      <c r="M170" s="139">
        <f t="shared" si="165"/>
        <v>0.90233598394991277</v>
      </c>
      <c r="N170" s="139">
        <f t="shared" si="165"/>
        <v>0.90170850878305542</v>
      </c>
      <c r="O170" s="139">
        <f t="shared" si="165"/>
        <v>0.89920974287662947</v>
      </c>
      <c r="P170" s="139">
        <f t="shared" si="165"/>
        <v>0.90091240715202603</v>
      </c>
      <c r="Q170" s="139">
        <f t="shared" si="165"/>
        <v>0.90189882422637224</v>
      </c>
      <c r="R170" s="139">
        <f t="shared" si="165"/>
        <v>0.88717895172920946</v>
      </c>
      <c r="S170" s="139">
        <f t="shared" si="165"/>
        <v>0.88696405058876027</v>
      </c>
      <c r="T170" s="139">
        <f t="shared" si="165"/>
        <v>0.87590223264427869</v>
      </c>
      <c r="U170" s="139">
        <f t="shared" si="165"/>
        <v>0.87696164708581514</v>
      </c>
      <c r="V170" s="139">
        <f t="shared" si="165"/>
        <v>0.90144596947776423</v>
      </c>
      <c r="W170" s="139">
        <f t="shared" si="165"/>
        <v>0.91038075605225643</v>
      </c>
      <c r="X170" s="139">
        <f t="shared" ref="X170:Y170" si="166">IF(X78=0,0,X78/X$77)</f>
        <v>0.86887482173967678</v>
      </c>
      <c r="Y170" s="139">
        <f t="shared" si="166"/>
        <v>0.87987059044196303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0.22691817562964892</v>
      </c>
      <c r="C171" s="140">
        <f t="shared" ref="C171:W171" si="167">IF(C79=0,0,C79/C$77)</f>
        <v>0.24464503465060933</v>
      </c>
      <c r="D171" s="140">
        <f t="shared" si="167"/>
        <v>0.25671847925155056</v>
      </c>
      <c r="E171" s="140">
        <f t="shared" si="167"/>
        <v>0.26363171284379966</v>
      </c>
      <c r="F171" s="140">
        <f t="shared" si="167"/>
        <v>0.27129981466832742</v>
      </c>
      <c r="G171" s="140">
        <f t="shared" si="167"/>
        <v>0.2527871360095042</v>
      </c>
      <c r="H171" s="140">
        <f t="shared" si="167"/>
        <v>0.26277238167556555</v>
      </c>
      <c r="I171" s="140">
        <f t="shared" si="167"/>
        <v>0.26556171001693074</v>
      </c>
      <c r="J171" s="140">
        <f t="shared" si="167"/>
        <v>0.26629835185694534</v>
      </c>
      <c r="K171" s="140">
        <f t="shared" si="167"/>
        <v>0.28449388969482514</v>
      </c>
      <c r="L171" s="140">
        <f t="shared" si="167"/>
        <v>0.28860215730604516</v>
      </c>
      <c r="M171" s="140">
        <f t="shared" si="167"/>
        <v>0.30510944347895508</v>
      </c>
      <c r="N171" s="140">
        <f t="shared" si="167"/>
        <v>0.32566484279186242</v>
      </c>
      <c r="O171" s="140">
        <f t="shared" si="167"/>
        <v>0.32026952033763845</v>
      </c>
      <c r="P171" s="140">
        <f t="shared" si="167"/>
        <v>0.3103226255684236</v>
      </c>
      <c r="Q171" s="140">
        <f t="shared" si="167"/>
        <v>0.32119429306887348</v>
      </c>
      <c r="R171" s="140">
        <f t="shared" si="167"/>
        <v>0.32796010510754686</v>
      </c>
      <c r="S171" s="140">
        <f t="shared" si="167"/>
        <v>0.33825623814400008</v>
      </c>
      <c r="T171" s="140">
        <f t="shared" si="167"/>
        <v>0.33798681359230676</v>
      </c>
      <c r="U171" s="140">
        <f t="shared" si="167"/>
        <v>0.35115233172328031</v>
      </c>
      <c r="V171" s="140">
        <f t="shared" si="167"/>
        <v>0.35524665145109419</v>
      </c>
      <c r="W171" s="140">
        <f t="shared" si="167"/>
        <v>0.34976215322062532</v>
      </c>
      <c r="X171" s="140">
        <f t="shared" ref="X171:Y171" si="168">IF(X79=0,0,X79/X$77)</f>
        <v>0.32813426767900838</v>
      </c>
      <c r="Y171" s="140">
        <f t="shared" si="168"/>
        <v>0.34786527558558356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0.67238516451082775</v>
      </c>
      <c r="C172" s="140">
        <f t="shared" ref="C172:W172" si="169">IF(C80=0,0,C80/C$77)</f>
        <v>0.6569074353633122</v>
      </c>
      <c r="D172" s="140">
        <f t="shared" si="169"/>
        <v>0.64881758862603589</v>
      </c>
      <c r="E172" s="140">
        <f t="shared" si="169"/>
        <v>0.63037302354892155</v>
      </c>
      <c r="F172" s="140">
        <f t="shared" si="169"/>
        <v>0.63871956044309419</v>
      </c>
      <c r="G172" s="140">
        <f t="shared" si="169"/>
        <v>0.65518402537939902</v>
      </c>
      <c r="H172" s="140">
        <f t="shared" si="169"/>
        <v>0.64617100779776282</v>
      </c>
      <c r="I172" s="140">
        <f t="shared" si="169"/>
        <v>0.64555875633552096</v>
      </c>
      <c r="J172" s="140">
        <f t="shared" si="169"/>
        <v>0.64351022292932203</v>
      </c>
      <c r="K172" s="140">
        <f t="shared" si="169"/>
        <v>0.62172779978578252</v>
      </c>
      <c r="L172" s="140">
        <f t="shared" si="169"/>
        <v>0.6163448951885796</v>
      </c>
      <c r="M172" s="140">
        <f t="shared" si="169"/>
        <v>0.59722654047095758</v>
      </c>
      <c r="N172" s="140">
        <f t="shared" si="169"/>
        <v>0.57604366599119294</v>
      </c>
      <c r="O172" s="140">
        <f t="shared" si="169"/>
        <v>0.57894022253899113</v>
      </c>
      <c r="P172" s="140">
        <f t="shared" si="169"/>
        <v>0.59058978158360242</v>
      </c>
      <c r="Q172" s="140">
        <f t="shared" si="169"/>
        <v>0.58070453115749887</v>
      </c>
      <c r="R172" s="140">
        <f t="shared" si="169"/>
        <v>0.55921884662166266</v>
      </c>
      <c r="S172" s="140">
        <f t="shared" si="169"/>
        <v>0.54870781244476019</v>
      </c>
      <c r="T172" s="140">
        <f t="shared" si="169"/>
        <v>0.53791541905197193</v>
      </c>
      <c r="U172" s="140">
        <f t="shared" si="169"/>
        <v>0.52580931536253495</v>
      </c>
      <c r="V172" s="140">
        <f t="shared" si="169"/>
        <v>0.5461993180266701</v>
      </c>
      <c r="W172" s="140">
        <f t="shared" si="169"/>
        <v>0.56061860283163112</v>
      </c>
      <c r="X172" s="140">
        <f t="shared" ref="X172:Y172" si="170">IF(X80=0,0,X80/X$77)</f>
        <v>0.54074055406066834</v>
      </c>
      <c r="Y172" s="140">
        <f t="shared" si="170"/>
        <v>0.53200531485637947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8.2291716635419648E-3</v>
      </c>
      <c r="C173" s="124">
        <f t="shared" ref="C173:W173" si="171">IF(C81=0,0,C81/C$77)</f>
        <v>7.3607666381397931E-3</v>
      </c>
      <c r="D173" s="124">
        <f t="shared" si="171"/>
        <v>6.8214989670772842E-3</v>
      </c>
      <c r="E173" s="124">
        <f t="shared" si="171"/>
        <v>6.9463615663409506E-3</v>
      </c>
      <c r="F173" s="124">
        <f t="shared" si="171"/>
        <v>6.9884882675647231E-3</v>
      </c>
      <c r="G173" s="124">
        <f t="shared" si="171"/>
        <v>7.7268554280589454E-3</v>
      </c>
      <c r="H173" s="124">
        <f t="shared" si="171"/>
        <v>7.0598538627862301E-3</v>
      </c>
      <c r="I173" s="124">
        <f t="shared" si="171"/>
        <v>6.7778626471280334E-3</v>
      </c>
      <c r="J173" s="124">
        <f t="shared" si="171"/>
        <v>6.5917336664326667E-3</v>
      </c>
      <c r="K173" s="124">
        <f t="shared" si="171"/>
        <v>5.9550272152531529E-3</v>
      </c>
      <c r="L173" s="124">
        <f t="shared" si="171"/>
        <v>5.8129228178024749E-3</v>
      </c>
      <c r="M173" s="124">
        <f t="shared" si="171"/>
        <v>6.6204680066376696E-3</v>
      </c>
      <c r="N173" s="124">
        <f t="shared" si="171"/>
        <v>6.1377379681403508E-3</v>
      </c>
      <c r="O173" s="124">
        <f t="shared" si="171"/>
        <v>6.2259383049599673E-3</v>
      </c>
      <c r="P173" s="124">
        <f t="shared" si="171"/>
        <v>5.2687659777782194E-3</v>
      </c>
      <c r="Q173" s="124">
        <f t="shared" si="171"/>
        <v>5.5216979923516556E-3</v>
      </c>
      <c r="R173" s="124">
        <f t="shared" si="171"/>
        <v>5.8771926048451252E-3</v>
      </c>
      <c r="S173" s="124">
        <f t="shared" si="171"/>
        <v>4.9191023239948959E-3</v>
      </c>
      <c r="T173" s="124">
        <f t="shared" si="171"/>
        <v>5.9104928780629919E-3</v>
      </c>
      <c r="U173" s="124">
        <f t="shared" si="171"/>
        <v>5.9266386845120223E-3</v>
      </c>
      <c r="V173" s="124">
        <f t="shared" si="171"/>
        <v>6.0458031718216036E-3</v>
      </c>
      <c r="W173" s="124">
        <f t="shared" si="171"/>
        <v>5.204098065252038E-3</v>
      </c>
      <c r="X173" s="124">
        <f t="shared" ref="X173:Y173" si="172">IF(X81=0,0,X81/X$77)</f>
        <v>6.7591659242137898E-3</v>
      </c>
      <c r="Y173" s="124">
        <f t="shared" si="172"/>
        <v>6.1845170414588126E-3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7.0547110447997568E-3</v>
      </c>
      <c r="C174" s="124">
        <f t="shared" ref="C174:W174" si="173">IF(C82=0,0,C82/C$77)</f>
        <v>8.0228539785660059E-3</v>
      </c>
      <c r="D174" s="124">
        <f t="shared" si="173"/>
        <v>8.8512597559105653E-3</v>
      </c>
      <c r="E174" s="124">
        <f t="shared" si="173"/>
        <v>1.0718971556347835E-2</v>
      </c>
      <c r="F174" s="124">
        <f t="shared" si="173"/>
        <v>1.3144733210178252E-2</v>
      </c>
      <c r="G174" s="124">
        <f t="shared" si="173"/>
        <v>1.5653160927793612E-2</v>
      </c>
      <c r="H174" s="124">
        <f t="shared" si="173"/>
        <v>1.6816345856494962E-2</v>
      </c>
      <c r="I174" s="124">
        <f t="shared" si="173"/>
        <v>1.6957610786900491E-2</v>
      </c>
      <c r="J174" s="124">
        <f t="shared" si="173"/>
        <v>1.9139804629016897E-2</v>
      </c>
      <c r="K174" s="124">
        <f t="shared" si="173"/>
        <v>1.6278367962273374E-2</v>
      </c>
      <c r="L174" s="124">
        <f t="shared" si="173"/>
        <v>1.6708537176458243E-2</v>
      </c>
      <c r="M174" s="124">
        <f t="shared" si="173"/>
        <v>1.4686738612488905E-2</v>
      </c>
      <c r="N174" s="124">
        <f t="shared" si="173"/>
        <v>1.3223755391382078E-2</v>
      </c>
      <c r="O174" s="124">
        <f t="shared" si="173"/>
        <v>1.0534705195907514E-2</v>
      </c>
      <c r="P174" s="124">
        <f t="shared" si="173"/>
        <v>8.0475035603920289E-3</v>
      </c>
      <c r="Q174" s="124">
        <f t="shared" si="173"/>
        <v>7.5778451260362168E-3</v>
      </c>
      <c r="R174" s="124">
        <f t="shared" si="173"/>
        <v>7.1048090158216063E-3</v>
      </c>
      <c r="S174" s="124">
        <f t="shared" si="173"/>
        <v>7.0274728221864239E-3</v>
      </c>
      <c r="T174" s="124">
        <f t="shared" si="173"/>
        <v>7.1516520595013766E-3</v>
      </c>
      <c r="U174" s="124">
        <f t="shared" si="173"/>
        <v>8.6633153265352619E-3</v>
      </c>
      <c r="V174" s="124">
        <f t="shared" si="173"/>
        <v>1.0053787774121687E-2</v>
      </c>
      <c r="W174" s="124">
        <f t="shared" si="173"/>
        <v>9.8371875555443977E-3</v>
      </c>
      <c r="X174" s="124">
        <f t="shared" ref="X174:Y174" si="174">IF(X82=0,0,X82/X$77)</f>
        <v>1.7225353152179875E-2</v>
      </c>
      <c r="Y174" s="124">
        <f t="shared" si="174"/>
        <v>1.2946160149548221E-2</v>
      </c>
      <c r="DA174" s="176"/>
    </row>
    <row r="175" spans="1:105" ht="11.45" customHeight="1" x14ac:dyDescent="0.25">
      <c r="A175" s="128" t="s">
        <v>27</v>
      </c>
      <c r="B175" s="140">
        <f t="shared" si="162"/>
        <v>6.6016902092297543E-4</v>
      </c>
      <c r="C175" s="140">
        <f t="shared" ref="C175:W175" si="175">IF(C83=0,0,C83/C$77)</f>
        <v>5.4866874049388408E-4</v>
      </c>
      <c r="D175" s="140">
        <f t="shared" si="175"/>
        <v>6.1357317472528249E-4</v>
      </c>
      <c r="E175" s="140">
        <f t="shared" si="175"/>
        <v>6.6426936438006398E-4</v>
      </c>
      <c r="F175" s="140">
        <f t="shared" si="175"/>
        <v>1.0397034788071544E-3</v>
      </c>
      <c r="G175" s="140">
        <f t="shared" si="175"/>
        <v>1.2553080311442763E-3</v>
      </c>
      <c r="H175" s="140">
        <f t="shared" si="175"/>
        <v>1.4562353294819861E-3</v>
      </c>
      <c r="I175" s="140">
        <f t="shared" si="175"/>
        <v>1.7408165598135341E-3</v>
      </c>
      <c r="J175" s="140">
        <f t="shared" si="175"/>
        <v>1.7496594882876564E-3</v>
      </c>
      <c r="K175" s="140">
        <f t="shared" si="175"/>
        <v>1.4410961034297496E-3</v>
      </c>
      <c r="L175" s="140">
        <f t="shared" si="175"/>
        <v>1.105507115032761E-3</v>
      </c>
      <c r="M175" s="140">
        <f t="shared" si="175"/>
        <v>1.0165862180449808E-3</v>
      </c>
      <c r="N175" s="140">
        <f t="shared" si="175"/>
        <v>1.133182317681232E-3</v>
      </c>
      <c r="O175" s="140">
        <f t="shared" si="175"/>
        <v>1.104275275013192E-3</v>
      </c>
      <c r="P175" s="140">
        <f t="shared" si="175"/>
        <v>1.0561129917280112E-3</v>
      </c>
      <c r="Q175" s="140">
        <f t="shared" si="175"/>
        <v>1.0430135172002373E-3</v>
      </c>
      <c r="R175" s="140">
        <f t="shared" si="175"/>
        <v>1.0321267667415706E-3</v>
      </c>
      <c r="S175" s="140">
        <f t="shared" si="175"/>
        <v>1.1348369647495593E-3</v>
      </c>
      <c r="T175" s="140">
        <f t="shared" si="175"/>
        <v>8.9109980457509732E-4</v>
      </c>
      <c r="U175" s="140">
        <f t="shared" si="175"/>
        <v>5.8000656878921331E-4</v>
      </c>
      <c r="V175" s="140">
        <f t="shared" si="175"/>
        <v>4.2890288297817099E-4</v>
      </c>
      <c r="W175" s="140">
        <f t="shared" si="175"/>
        <v>5.6050096975043199E-4</v>
      </c>
      <c r="X175" s="140">
        <f t="shared" ref="X175:Y175" si="176">IF(X83=0,0,X83/X$77)</f>
        <v>7.1251055643949319E-4</v>
      </c>
      <c r="Y175" s="140">
        <f t="shared" si="176"/>
        <v>5.3652718424360428E-4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2.6311945673078352E-3</v>
      </c>
      <c r="C176" s="140">
        <f t="shared" ref="C176:W176" si="177">IF(C84=0,0,C84/C$77)</f>
        <v>2.3059731987298254E-3</v>
      </c>
      <c r="D176" s="140">
        <f t="shared" si="177"/>
        <v>2.4829567404874371E-3</v>
      </c>
      <c r="E176" s="140">
        <f t="shared" si="177"/>
        <v>2.6489248283069816E-3</v>
      </c>
      <c r="F176" s="140">
        <f t="shared" si="177"/>
        <v>3.408769264078796E-3</v>
      </c>
      <c r="G176" s="140">
        <f t="shared" si="177"/>
        <v>4.1831733968558269E-3</v>
      </c>
      <c r="H176" s="140">
        <f t="shared" si="177"/>
        <v>4.724454335103892E-3</v>
      </c>
      <c r="I176" s="140">
        <f t="shared" si="177"/>
        <v>5.4009003201553451E-3</v>
      </c>
      <c r="J176" s="140">
        <f t="shared" si="177"/>
        <v>6.3503507250260794E-3</v>
      </c>
      <c r="K176" s="140">
        <f t="shared" si="177"/>
        <v>5.5434096123917979E-3</v>
      </c>
      <c r="L176" s="140">
        <f t="shared" si="177"/>
        <v>5.0679107774517307E-3</v>
      </c>
      <c r="M176" s="140">
        <f t="shared" si="177"/>
        <v>3.8478254215499794E-3</v>
      </c>
      <c r="N176" s="140">
        <f t="shared" si="177"/>
        <v>3.4723143274971958E-3</v>
      </c>
      <c r="O176" s="140">
        <f t="shared" si="177"/>
        <v>3.6285388737640053E-3</v>
      </c>
      <c r="P176" s="140">
        <f t="shared" si="177"/>
        <v>3.2929429894946018E-3</v>
      </c>
      <c r="Q176" s="140">
        <f t="shared" si="177"/>
        <v>3.515943899377295E-3</v>
      </c>
      <c r="R176" s="140">
        <f t="shared" si="177"/>
        <v>3.6204866874130102E-3</v>
      </c>
      <c r="S176" s="140">
        <f t="shared" si="177"/>
        <v>3.9948954624865274E-3</v>
      </c>
      <c r="T176" s="140">
        <f t="shared" si="177"/>
        <v>4.620250194714768E-3</v>
      </c>
      <c r="U176" s="140">
        <f t="shared" si="177"/>
        <v>6.9443493868944104E-3</v>
      </c>
      <c r="V176" s="140">
        <f t="shared" si="177"/>
        <v>7.951949134285638E-3</v>
      </c>
      <c r="W176" s="140">
        <f t="shared" si="177"/>
        <v>7.3281003701568554E-3</v>
      </c>
      <c r="X176" s="140">
        <f t="shared" ref="X176:Y176" si="178">IF(X84=0,0,X84/X$77)</f>
        <v>6.7265399060406645E-3</v>
      </c>
      <c r="Y176" s="140">
        <f t="shared" si="178"/>
        <v>4.7978194705676699E-3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3.7633474565689469E-3</v>
      </c>
      <c r="C177" s="140">
        <f t="shared" ref="C177:W177" si="179">IF(C85=0,0,C85/C$77)</f>
        <v>5.1682120393422978E-3</v>
      </c>
      <c r="D177" s="140">
        <f t="shared" si="179"/>
        <v>5.7547298406978439E-3</v>
      </c>
      <c r="E177" s="140">
        <f t="shared" si="179"/>
        <v>7.4057773636607913E-3</v>
      </c>
      <c r="F177" s="140">
        <f t="shared" si="179"/>
        <v>8.6962604672923011E-3</v>
      </c>
      <c r="G177" s="140">
        <f t="shared" si="179"/>
        <v>1.0214679499793509E-2</v>
      </c>
      <c r="H177" s="140">
        <f t="shared" si="179"/>
        <v>1.0635656191909081E-2</v>
      </c>
      <c r="I177" s="140">
        <f t="shared" si="179"/>
        <v>9.8158939069316106E-3</v>
      </c>
      <c r="J177" s="140">
        <f t="shared" si="179"/>
        <v>1.1039794415703161E-2</v>
      </c>
      <c r="K177" s="140">
        <f t="shared" si="179"/>
        <v>9.2938622464518259E-3</v>
      </c>
      <c r="L177" s="140">
        <f t="shared" si="179"/>
        <v>1.053511928397375E-2</v>
      </c>
      <c r="M177" s="140">
        <f t="shared" si="179"/>
        <v>9.8223269728939435E-3</v>
      </c>
      <c r="N177" s="140">
        <f t="shared" si="179"/>
        <v>8.6182587462036494E-3</v>
      </c>
      <c r="O177" s="140">
        <f t="shared" si="179"/>
        <v>5.8018910471303161E-3</v>
      </c>
      <c r="P177" s="140">
        <f t="shared" si="179"/>
        <v>3.698447579169417E-3</v>
      </c>
      <c r="Q177" s="140">
        <f t="shared" si="179"/>
        <v>3.0188877094586833E-3</v>
      </c>
      <c r="R177" s="140">
        <f t="shared" si="179"/>
        <v>2.4521955616670262E-3</v>
      </c>
      <c r="S177" s="140">
        <f t="shared" si="179"/>
        <v>1.8977403949503372E-3</v>
      </c>
      <c r="T177" s="140">
        <f t="shared" si="179"/>
        <v>1.6403020602115113E-3</v>
      </c>
      <c r="U177" s="140">
        <f t="shared" si="179"/>
        <v>1.1389593708516393E-3</v>
      </c>
      <c r="V177" s="140">
        <f t="shared" si="179"/>
        <v>1.6729357568578797E-3</v>
      </c>
      <c r="W177" s="140">
        <f t="shared" si="179"/>
        <v>1.948586215637111E-3</v>
      </c>
      <c r="X177" s="140">
        <f t="shared" ref="X177:Y177" si="180">IF(X85=0,0,X85/X$77)</f>
        <v>9.7863026896997194E-3</v>
      </c>
      <c r="Y177" s="140">
        <f t="shared" si="180"/>
        <v>7.6118134947369461E-3</v>
      </c>
      <c r="DA177" s="175"/>
    </row>
    <row r="178" spans="1:105" ht="11.45" customHeight="1" x14ac:dyDescent="0.25">
      <c r="A178" s="109" t="s">
        <v>141</v>
      </c>
      <c r="B178" s="124">
        <f t="shared" si="162"/>
        <v>8.5412777151181563E-2</v>
      </c>
      <c r="C178" s="124">
        <f t="shared" ref="C178:W178" si="181">IF(C86=0,0,C86/C$77)</f>
        <v>8.3063909369372843E-2</v>
      </c>
      <c r="D178" s="124">
        <f t="shared" si="181"/>
        <v>7.8791173399425748E-2</v>
      </c>
      <c r="E178" s="124">
        <f t="shared" si="181"/>
        <v>8.8329930484590105E-2</v>
      </c>
      <c r="F178" s="124">
        <f t="shared" si="181"/>
        <v>6.9847403410835354E-2</v>
      </c>
      <c r="G178" s="124">
        <f t="shared" si="181"/>
        <v>6.8648822255244199E-2</v>
      </c>
      <c r="H178" s="124">
        <f t="shared" si="181"/>
        <v>6.7180410807390595E-2</v>
      </c>
      <c r="I178" s="124">
        <f t="shared" si="181"/>
        <v>6.5144060213519817E-2</v>
      </c>
      <c r="J178" s="124">
        <f t="shared" si="181"/>
        <v>6.4459886918283041E-2</v>
      </c>
      <c r="K178" s="124">
        <f t="shared" si="181"/>
        <v>7.1544915341865897E-2</v>
      </c>
      <c r="L178" s="124">
        <f t="shared" si="181"/>
        <v>7.2531487511114559E-2</v>
      </c>
      <c r="M178" s="124">
        <f t="shared" si="181"/>
        <v>7.6356809430960709E-2</v>
      </c>
      <c r="N178" s="124">
        <f t="shared" si="181"/>
        <v>7.8929997857422149E-2</v>
      </c>
      <c r="O178" s="124">
        <f t="shared" si="181"/>
        <v>8.4029613622503233E-2</v>
      </c>
      <c r="P178" s="124">
        <f t="shared" si="181"/>
        <v>8.5771323309803887E-2</v>
      </c>
      <c r="Q178" s="124">
        <f t="shared" si="181"/>
        <v>8.5001632655239912E-2</v>
      </c>
      <c r="R178" s="124">
        <f t="shared" si="181"/>
        <v>9.9839046650123636E-2</v>
      </c>
      <c r="S178" s="124">
        <f t="shared" si="181"/>
        <v>0.10108937426505844</v>
      </c>
      <c r="T178" s="124">
        <f t="shared" si="181"/>
        <v>0.11103562241815697</v>
      </c>
      <c r="U178" s="124">
        <f t="shared" si="181"/>
        <v>0.10844839890313754</v>
      </c>
      <c r="V178" s="124">
        <f t="shared" si="181"/>
        <v>8.2454439576292421E-2</v>
      </c>
      <c r="W178" s="124">
        <f t="shared" si="181"/>
        <v>7.4577958326947108E-2</v>
      </c>
      <c r="X178" s="124">
        <f t="shared" ref="X178:Y178" si="182">IF(X86=0,0,X86/X$77)</f>
        <v>0.10714065918392955</v>
      </c>
      <c r="Y178" s="124">
        <f t="shared" si="182"/>
        <v>0.10099873236702994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8.5412777151181563E-2</v>
      </c>
      <c r="C179" s="140">
        <f t="shared" ref="C179:W179" si="183">IF(C87=0,0,C87/C$77)</f>
        <v>8.3063909369372843E-2</v>
      </c>
      <c r="D179" s="140">
        <f t="shared" si="183"/>
        <v>7.8791173399425748E-2</v>
      </c>
      <c r="E179" s="140">
        <f t="shared" si="183"/>
        <v>8.8329930484590105E-2</v>
      </c>
      <c r="F179" s="140">
        <f t="shared" si="183"/>
        <v>6.9847403410835354E-2</v>
      </c>
      <c r="G179" s="140">
        <f t="shared" si="183"/>
        <v>6.8648822255244199E-2</v>
      </c>
      <c r="H179" s="140">
        <f t="shared" si="183"/>
        <v>6.7180410807390595E-2</v>
      </c>
      <c r="I179" s="140">
        <f t="shared" si="183"/>
        <v>6.5144060213519817E-2</v>
      </c>
      <c r="J179" s="140">
        <f t="shared" si="183"/>
        <v>6.4459886918283041E-2</v>
      </c>
      <c r="K179" s="140">
        <f t="shared" si="183"/>
        <v>7.1544915341865897E-2</v>
      </c>
      <c r="L179" s="140">
        <f t="shared" si="183"/>
        <v>7.2531487511114559E-2</v>
      </c>
      <c r="M179" s="140">
        <f t="shared" si="183"/>
        <v>7.6356809430960709E-2</v>
      </c>
      <c r="N179" s="140">
        <f t="shared" si="183"/>
        <v>7.8929997857422149E-2</v>
      </c>
      <c r="O179" s="140">
        <f t="shared" si="183"/>
        <v>8.4029613622503233E-2</v>
      </c>
      <c r="P179" s="140">
        <f t="shared" si="183"/>
        <v>8.5771323309803887E-2</v>
      </c>
      <c r="Q179" s="140">
        <f t="shared" si="183"/>
        <v>8.5001632655239912E-2</v>
      </c>
      <c r="R179" s="140">
        <f t="shared" si="183"/>
        <v>9.9680891311171888E-2</v>
      </c>
      <c r="S179" s="140">
        <f t="shared" si="183"/>
        <v>0.10104801584643155</v>
      </c>
      <c r="T179" s="140">
        <f t="shared" si="183"/>
        <v>0.1106600885679415</v>
      </c>
      <c r="U179" s="140">
        <f t="shared" si="183"/>
        <v>0.10801970538051138</v>
      </c>
      <c r="V179" s="140">
        <f t="shared" si="183"/>
        <v>8.1926123841883927E-2</v>
      </c>
      <c r="W179" s="140">
        <f t="shared" si="183"/>
        <v>7.3841013947205242E-2</v>
      </c>
      <c r="X179" s="140">
        <f t="shared" ref="X179:Y179" si="184">IF(X87=0,0,X87/X$77)</f>
        <v>0.10620260461130647</v>
      </c>
      <c r="Y179" s="140">
        <f t="shared" si="184"/>
        <v>9.9663226650132775E-2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1.5815533895175733E-4</v>
      </c>
      <c r="S180" s="127">
        <f t="shared" si="185"/>
        <v>4.1358418626888633E-5</v>
      </c>
      <c r="T180" s="127">
        <f t="shared" si="185"/>
        <v>3.7553385021547387E-4</v>
      </c>
      <c r="U180" s="127">
        <f t="shared" si="185"/>
        <v>4.2869352262616111E-4</v>
      </c>
      <c r="V180" s="127">
        <f t="shared" si="185"/>
        <v>5.2831573440849475E-4</v>
      </c>
      <c r="W180" s="127">
        <f t="shared" si="185"/>
        <v>7.3694437974186351E-4</v>
      </c>
      <c r="X180" s="127">
        <f t="shared" ref="X180:Y180" si="186">IF(X88=0,0,X88/X$77)</f>
        <v>9.3805457262309295E-4</v>
      </c>
      <c r="Y180" s="127">
        <f t="shared" si="186"/>
        <v>1.3355057168971771E-3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0.59605813361925508</v>
      </c>
      <c r="C182" s="140">
        <f t="shared" ref="C182:W182" si="189">IF(C90=0,0,C90/C$89)</f>
        <v>0.58803786663910296</v>
      </c>
      <c r="D182" s="140">
        <f t="shared" si="189"/>
        <v>0.5904634921909645</v>
      </c>
      <c r="E182" s="140">
        <f t="shared" si="189"/>
        <v>0.59108317026883284</v>
      </c>
      <c r="F182" s="140">
        <f t="shared" si="189"/>
        <v>0.60116115255790403</v>
      </c>
      <c r="G182" s="140">
        <f t="shared" si="189"/>
        <v>0.58980529595614073</v>
      </c>
      <c r="H182" s="140">
        <f t="shared" si="189"/>
        <v>0.59524842380785314</v>
      </c>
      <c r="I182" s="140">
        <f t="shared" si="189"/>
        <v>0.61083344031141662</v>
      </c>
      <c r="J182" s="140">
        <f t="shared" si="189"/>
        <v>0.60544013431123378</v>
      </c>
      <c r="K182" s="140">
        <f t="shared" si="189"/>
        <v>0.61333195976140731</v>
      </c>
      <c r="L182" s="140">
        <f t="shared" si="189"/>
        <v>0.5928830399757159</v>
      </c>
      <c r="M182" s="140">
        <f t="shared" si="189"/>
        <v>0.61036205513455322</v>
      </c>
      <c r="N182" s="140">
        <f t="shared" si="189"/>
        <v>0.60844899716043965</v>
      </c>
      <c r="O182" s="140">
        <f t="shared" si="189"/>
        <v>0.61156333186175771</v>
      </c>
      <c r="P182" s="140">
        <f t="shared" si="189"/>
        <v>0.5904599509630607</v>
      </c>
      <c r="Q182" s="140">
        <f t="shared" si="189"/>
        <v>0.5832194480727062</v>
      </c>
      <c r="R182" s="140">
        <f t="shared" si="189"/>
        <v>0.59306621858263797</v>
      </c>
      <c r="S182" s="140">
        <f t="shared" si="189"/>
        <v>0.6187638685062461</v>
      </c>
      <c r="T182" s="140">
        <f t="shared" si="189"/>
        <v>0.62610021955695772</v>
      </c>
      <c r="U182" s="140">
        <f t="shared" si="189"/>
        <v>0.62489645293191864</v>
      </c>
      <c r="V182" s="140">
        <f t="shared" si="189"/>
        <v>0.57771845463288818</v>
      </c>
      <c r="W182" s="140">
        <f t="shared" si="189"/>
        <v>0.5908803601336442</v>
      </c>
      <c r="X182" s="140">
        <f t="shared" ref="X182:Y182" si="190">IF(X90=0,0,X90/X$89)</f>
        <v>0.63134738982766769</v>
      </c>
      <c r="Y182" s="140">
        <f t="shared" si="190"/>
        <v>0.64246019073604033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0.40394186638074492</v>
      </c>
      <c r="C183" s="127">
        <f t="shared" ref="C183:W183" si="191">IF(C91=0,0,C91/C$89)</f>
        <v>0.41196213336089704</v>
      </c>
      <c r="D183" s="127">
        <f t="shared" si="191"/>
        <v>0.40953650780903544</v>
      </c>
      <c r="E183" s="127">
        <f t="shared" si="191"/>
        <v>0.40891682973116711</v>
      </c>
      <c r="F183" s="127">
        <f t="shared" si="191"/>
        <v>0.39883884744209608</v>
      </c>
      <c r="G183" s="127">
        <f t="shared" si="191"/>
        <v>0.41019470404385933</v>
      </c>
      <c r="H183" s="127">
        <f t="shared" si="191"/>
        <v>0.40475157619214697</v>
      </c>
      <c r="I183" s="127">
        <f t="shared" si="191"/>
        <v>0.38916655968858338</v>
      </c>
      <c r="J183" s="127">
        <f t="shared" si="191"/>
        <v>0.39455986568876628</v>
      </c>
      <c r="K183" s="127">
        <f t="shared" si="191"/>
        <v>0.38666804023859264</v>
      </c>
      <c r="L183" s="127">
        <f t="shared" si="191"/>
        <v>0.4071169600242841</v>
      </c>
      <c r="M183" s="127">
        <f t="shared" si="191"/>
        <v>0.38963794486544684</v>
      </c>
      <c r="N183" s="127">
        <f t="shared" si="191"/>
        <v>0.39155100283956046</v>
      </c>
      <c r="O183" s="127">
        <f t="shared" si="191"/>
        <v>0.38843666813824229</v>
      </c>
      <c r="P183" s="127">
        <f t="shared" si="191"/>
        <v>0.40954004903693936</v>
      </c>
      <c r="Q183" s="127">
        <f t="shared" si="191"/>
        <v>0.41678055192729385</v>
      </c>
      <c r="R183" s="127">
        <f t="shared" si="191"/>
        <v>0.40693378141736192</v>
      </c>
      <c r="S183" s="127">
        <f t="shared" si="191"/>
        <v>0.38123613149375402</v>
      </c>
      <c r="T183" s="127">
        <f t="shared" si="191"/>
        <v>0.37389978044304234</v>
      </c>
      <c r="U183" s="127">
        <f t="shared" si="191"/>
        <v>0.3751035470680813</v>
      </c>
      <c r="V183" s="127">
        <f t="shared" si="191"/>
        <v>0.42228154536711171</v>
      </c>
      <c r="W183" s="127">
        <f t="shared" si="191"/>
        <v>0.40911963986635574</v>
      </c>
      <c r="X183" s="127">
        <f t="shared" ref="X183:Y183" si="192">IF(X91=0,0,X91/X$89)</f>
        <v>0.36865261017233231</v>
      </c>
      <c r="Y183" s="127">
        <f t="shared" si="192"/>
        <v>0.35753980926395962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43.513283586205439</v>
      </c>
      <c r="C186" s="32">
        <f t="shared" si="193"/>
        <v>42.633940536858042</v>
      </c>
      <c r="D186" s="32">
        <f t="shared" si="193"/>
        <v>41.908320948965887</v>
      </c>
      <c r="E186" s="32">
        <f t="shared" si="193"/>
        <v>42.122995729022584</v>
      </c>
      <c r="F186" s="32">
        <f t="shared" si="193"/>
        <v>42.497743837922641</v>
      </c>
      <c r="G186" s="32">
        <f t="shared" si="193"/>
        <v>40.358730004336792</v>
      </c>
      <c r="H186" s="32">
        <f t="shared" si="193"/>
        <v>39.586135929367586</v>
      </c>
      <c r="I186" s="32">
        <f t="shared" si="193"/>
        <v>38.825667403245632</v>
      </c>
      <c r="J186" s="32">
        <f t="shared" si="193"/>
        <v>38.75647653777866</v>
      </c>
      <c r="K186" s="32">
        <f t="shared" si="193"/>
        <v>38.985456246646613</v>
      </c>
      <c r="L186" s="32">
        <f t="shared" si="193"/>
        <v>38.660617585642925</v>
      </c>
      <c r="M186" s="32">
        <f t="shared" si="193"/>
        <v>38.410803034448747</v>
      </c>
      <c r="N186" s="32">
        <f t="shared" si="193"/>
        <v>37.660626358462153</v>
      </c>
      <c r="O186" s="32">
        <f t="shared" si="193"/>
        <v>37.167724956774514</v>
      </c>
      <c r="P186" s="32">
        <f t="shared" si="193"/>
        <v>35.897461907896925</v>
      </c>
      <c r="Q186" s="32">
        <f t="shared" si="193"/>
        <v>36.16706362396453</v>
      </c>
      <c r="R186" s="32">
        <f t="shared" si="193"/>
        <v>40.771775175986861</v>
      </c>
      <c r="S186" s="32">
        <f t="shared" si="193"/>
        <v>39.789044190291811</v>
      </c>
      <c r="T186" s="32">
        <f t="shared" si="193"/>
        <v>39.180522600957282</v>
      </c>
      <c r="U186" s="32">
        <f t="shared" si="193"/>
        <v>38.8336462463785</v>
      </c>
      <c r="V186" s="32">
        <f t="shared" si="193"/>
        <v>42.910204070263489</v>
      </c>
      <c r="W186" s="32">
        <f t="shared" si="193"/>
        <v>43.986432659243043</v>
      </c>
      <c r="X186" s="32">
        <f t="shared" si="193"/>
        <v>36.864234201491612</v>
      </c>
      <c r="Y186" s="32">
        <f t="shared" si="193"/>
        <v>33.644314583355538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44.754717000513345</v>
      </c>
      <c r="C187" s="141">
        <f t="shared" si="194"/>
        <v>43.700863829559111</v>
      </c>
      <c r="D187" s="141">
        <f t="shared" si="194"/>
        <v>44.095441130977761</v>
      </c>
      <c r="E187" s="141">
        <f t="shared" si="194"/>
        <v>44.14089065036223</v>
      </c>
      <c r="F187" s="141">
        <f t="shared" si="194"/>
        <v>43.789857078661477</v>
      </c>
      <c r="G187" s="141">
        <f t="shared" si="194"/>
        <v>41.891822427164357</v>
      </c>
      <c r="H187" s="141">
        <f t="shared" si="194"/>
        <v>41.928325261271063</v>
      </c>
      <c r="I187" s="141">
        <f t="shared" si="194"/>
        <v>41.671801636334592</v>
      </c>
      <c r="J187" s="141">
        <f t="shared" si="194"/>
        <v>41.396671061455471</v>
      </c>
      <c r="K187" s="141">
        <f t="shared" si="194"/>
        <v>41.693038114699945</v>
      </c>
      <c r="L187" s="141">
        <f t="shared" si="194"/>
        <v>42.023791058462422</v>
      </c>
      <c r="M187" s="141">
        <f t="shared" si="194"/>
        <v>41.670990224476249</v>
      </c>
      <c r="N187" s="141">
        <f t="shared" si="194"/>
        <v>41.25676866844308</v>
      </c>
      <c r="O187" s="141">
        <f t="shared" si="194"/>
        <v>40.258951951592351</v>
      </c>
      <c r="P187" s="141">
        <f t="shared" si="194"/>
        <v>39.727840562994004</v>
      </c>
      <c r="Q187" s="141">
        <f t="shared" si="194"/>
        <v>40.312940511184564</v>
      </c>
      <c r="R187" s="141">
        <f t="shared" si="194"/>
        <v>47.390585006671721</v>
      </c>
      <c r="S187" s="141">
        <f t="shared" si="194"/>
        <v>46.9681367231263</v>
      </c>
      <c r="T187" s="141">
        <f t="shared" si="194"/>
        <v>45.843452613897178</v>
      </c>
      <c r="U187" s="141">
        <f t="shared" si="194"/>
        <v>45.766443343302434</v>
      </c>
      <c r="V187" s="141">
        <f t="shared" si="194"/>
        <v>45.139897135086606</v>
      </c>
      <c r="W187" s="141">
        <f t="shared" si="194"/>
        <v>46.436334357976094</v>
      </c>
      <c r="X187" s="141">
        <f t="shared" si="194"/>
        <v>41.569769607484872</v>
      </c>
      <c r="Y187" s="141">
        <f t="shared" si="194"/>
        <v>38.603752327605918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47.241763547988199</v>
      </c>
      <c r="C188" s="97">
        <f t="shared" si="195"/>
        <v>46.425467742266214</v>
      </c>
      <c r="D188" s="97">
        <f t="shared" si="195"/>
        <v>45.565775243151158</v>
      </c>
      <c r="E188" s="97">
        <f t="shared" si="195"/>
        <v>44.994896280329456</v>
      </c>
      <c r="F188" s="97">
        <f t="shared" si="195"/>
        <v>44.466036792839546</v>
      </c>
      <c r="G188" s="97">
        <f t="shared" si="195"/>
        <v>43.527793262804927</v>
      </c>
      <c r="H188" s="97">
        <f t="shared" si="195"/>
        <v>42.296075044142945</v>
      </c>
      <c r="I188" s="97">
        <f t="shared" si="195"/>
        <v>41.269445726344358</v>
      </c>
      <c r="J188" s="97">
        <f t="shared" si="195"/>
        <v>41.420303042587925</v>
      </c>
      <c r="K188" s="97">
        <f t="shared" si="195"/>
        <v>40.34480174346254</v>
      </c>
      <c r="L188" s="97">
        <f t="shared" si="195"/>
        <v>39.381054714072043</v>
      </c>
      <c r="M188" s="97">
        <f t="shared" si="195"/>
        <v>39.386421752865424</v>
      </c>
      <c r="N188" s="97">
        <f t="shared" si="195"/>
        <v>38.987171060372255</v>
      </c>
      <c r="O188" s="97">
        <f t="shared" si="195"/>
        <v>39.078751297401588</v>
      </c>
      <c r="P188" s="97">
        <f t="shared" si="195"/>
        <v>38.224836534953724</v>
      </c>
      <c r="Q188" s="97">
        <f t="shared" si="195"/>
        <v>38.043094211731258</v>
      </c>
      <c r="R188" s="97">
        <f t="shared" si="195"/>
        <v>37.445569510321747</v>
      </c>
      <c r="S188" s="97">
        <f t="shared" si="195"/>
        <v>36.870970331002681</v>
      </c>
      <c r="T188" s="97">
        <f t="shared" si="195"/>
        <v>36.440442296739114</v>
      </c>
      <c r="U188" s="97">
        <f t="shared" si="195"/>
        <v>35.909396397434875</v>
      </c>
      <c r="V188" s="97">
        <f t="shared" si="195"/>
        <v>35.337414698080295</v>
      </c>
      <c r="W188" s="97">
        <f t="shared" si="195"/>
        <v>34.925360335621676</v>
      </c>
      <c r="X188" s="97">
        <f t="shared" si="195"/>
        <v>34.736529078487322</v>
      </c>
      <c r="Y188" s="97">
        <f t="shared" si="195"/>
        <v>34.308062761559377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42.840798147181935</v>
      </c>
      <c r="C189" s="97">
        <f t="shared" si="196"/>
        <v>41.91002493923839</v>
      </c>
      <c r="D189" s="97">
        <f t="shared" si="196"/>
        <v>42.536085766620907</v>
      </c>
      <c r="E189" s="97">
        <f t="shared" si="196"/>
        <v>42.545336404384095</v>
      </c>
      <c r="F189" s="97">
        <f t="shared" si="196"/>
        <v>42.231085381145391</v>
      </c>
      <c r="G189" s="97">
        <f t="shared" si="196"/>
        <v>40.734270648532878</v>
      </c>
      <c r="H189" s="97">
        <f t="shared" si="196"/>
        <v>40.594686109388604</v>
      </c>
      <c r="I189" s="97">
        <f t="shared" si="196"/>
        <v>40.606268816901746</v>
      </c>
      <c r="J189" s="97">
        <f t="shared" si="196"/>
        <v>40.199960898297121</v>
      </c>
      <c r="K189" s="97">
        <f t="shared" si="196"/>
        <v>40.754360264926085</v>
      </c>
      <c r="L189" s="97">
        <f t="shared" si="196"/>
        <v>40.979212634440401</v>
      </c>
      <c r="M189" s="97">
        <f t="shared" si="196"/>
        <v>40.48063550607889</v>
      </c>
      <c r="N189" s="97">
        <f t="shared" si="196"/>
        <v>39.920451110911394</v>
      </c>
      <c r="O189" s="97">
        <f t="shared" si="196"/>
        <v>39.930056101522723</v>
      </c>
      <c r="P189" s="97">
        <f t="shared" si="196"/>
        <v>39.561480698084488</v>
      </c>
      <c r="Q189" s="97">
        <f t="shared" si="196"/>
        <v>40.252555034769046</v>
      </c>
      <c r="R189" s="97">
        <f t="shared" si="196"/>
        <v>48.186097930528497</v>
      </c>
      <c r="S189" s="97">
        <f t="shared" si="196"/>
        <v>47.794896246049575</v>
      </c>
      <c r="T189" s="97">
        <f t="shared" si="196"/>
        <v>46.503448081209662</v>
      </c>
      <c r="U189" s="97">
        <f t="shared" si="196"/>
        <v>45.822255075805636</v>
      </c>
      <c r="V189" s="97">
        <f t="shared" si="196"/>
        <v>45.152786961315385</v>
      </c>
      <c r="W189" s="97">
        <f t="shared" si="196"/>
        <v>46.717280463444318</v>
      </c>
      <c r="X189" s="97">
        <f t="shared" si="196"/>
        <v>41.462790821727459</v>
      </c>
      <c r="Y189" s="97">
        <f t="shared" si="196"/>
        <v>38.135320329687936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66.134979381036374</v>
      </c>
      <c r="C190" s="97">
        <f t="shared" si="197"/>
        <v>63.909743295986353</v>
      </c>
      <c r="D190" s="97">
        <f t="shared" si="197"/>
        <v>61.869237141664883</v>
      </c>
      <c r="E190" s="97">
        <f t="shared" si="197"/>
        <v>62.443972116825897</v>
      </c>
      <c r="F190" s="97">
        <f t="shared" si="197"/>
        <v>61.989376748995262</v>
      </c>
      <c r="G190" s="97">
        <f t="shared" si="197"/>
        <v>55.273623401508175</v>
      </c>
      <c r="H190" s="97">
        <f t="shared" si="197"/>
        <v>57.3516298049881</v>
      </c>
      <c r="I190" s="97">
        <f t="shared" si="197"/>
        <v>54.181382018127088</v>
      </c>
      <c r="J190" s="97">
        <f t="shared" si="197"/>
        <v>55.684536085970414</v>
      </c>
      <c r="K190" s="97">
        <f t="shared" si="197"/>
        <v>52.882143573748408</v>
      </c>
      <c r="L190" s="97">
        <f t="shared" si="197"/>
        <v>54.290131177453638</v>
      </c>
      <c r="M190" s="97">
        <f t="shared" si="197"/>
        <v>55.309892202944752</v>
      </c>
      <c r="N190" s="97">
        <f t="shared" si="197"/>
        <v>56.61696283761971</v>
      </c>
      <c r="O190" s="97">
        <f t="shared" si="197"/>
        <v>44.015819051214741</v>
      </c>
      <c r="P190" s="97">
        <f t="shared" si="197"/>
        <v>41.738242967025776</v>
      </c>
      <c r="Q190" s="97">
        <f t="shared" si="197"/>
        <v>41.177241366163884</v>
      </c>
      <c r="R190" s="97">
        <f t="shared" si="197"/>
        <v>40.640353346444485</v>
      </c>
      <c r="S190" s="97">
        <f t="shared" si="197"/>
        <v>39.840052185695704</v>
      </c>
      <c r="T190" s="97">
        <f t="shared" si="197"/>
        <v>40.167705268665372</v>
      </c>
      <c r="U190" s="97">
        <f t="shared" si="197"/>
        <v>46.003943985021188</v>
      </c>
      <c r="V190" s="97">
        <f t="shared" si="197"/>
        <v>45.774771607495488</v>
      </c>
      <c r="W190" s="97">
        <f t="shared" si="197"/>
        <v>44.549955771427499</v>
      </c>
      <c r="X190" s="97">
        <f t="shared" si="197"/>
        <v>43.189277003842385</v>
      </c>
      <c r="Y190" s="97">
        <f t="shared" si="197"/>
        <v>43.967235807981446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17.566091066933904</v>
      </c>
      <c r="C191" s="130">
        <f t="shared" si="198"/>
        <v>15.899645991962212</v>
      </c>
      <c r="D191" s="130">
        <f t="shared" si="198"/>
        <v>15.962306057840797</v>
      </c>
      <c r="E191" s="130">
        <f t="shared" si="198"/>
        <v>15.802124864318593</v>
      </c>
      <c r="F191" s="130">
        <f t="shared" si="198"/>
        <v>16.197920752861915</v>
      </c>
      <c r="G191" s="130">
        <f t="shared" si="198"/>
        <v>14.594220036991782</v>
      </c>
      <c r="H191" s="130">
        <f t="shared" si="198"/>
        <v>13.884117365577248</v>
      </c>
      <c r="I191" s="130">
        <f t="shared" si="198"/>
        <v>13.069112097003517</v>
      </c>
      <c r="J191" s="130">
        <f t="shared" si="198"/>
        <v>10.824811603641807</v>
      </c>
      <c r="K191" s="130">
        <f t="shared" si="198"/>
        <v>11.538109432012471</v>
      </c>
      <c r="L191" s="130">
        <f t="shared" si="198"/>
        <v>11.157131156467019</v>
      </c>
      <c r="M191" s="130">
        <f t="shared" si="198"/>
        <v>11.996075862103556</v>
      </c>
      <c r="N191" s="130">
        <f t="shared" si="198"/>
        <v>12.233741865888982</v>
      </c>
      <c r="O191" s="130">
        <f t="shared" si="198"/>
        <v>12.619550101854436</v>
      </c>
      <c r="P191" s="130">
        <f t="shared" si="198"/>
        <v>12.021694604129339</v>
      </c>
      <c r="Q191" s="130">
        <f t="shared" si="198"/>
        <v>11.535932512464559</v>
      </c>
      <c r="R191" s="130">
        <f t="shared" si="198"/>
        <v>11.805342687200756</v>
      </c>
      <c r="S191" s="130">
        <f t="shared" si="198"/>
        <v>10.284565243269171</v>
      </c>
      <c r="T191" s="130">
        <f t="shared" si="198"/>
        <v>10.881674405562658</v>
      </c>
      <c r="U191" s="130">
        <f t="shared" si="198"/>
        <v>9.9410749520565904</v>
      </c>
      <c r="V191" s="130">
        <f t="shared" si="198"/>
        <v>15.809900477160992</v>
      </c>
      <c r="W191" s="130">
        <f t="shared" si="198"/>
        <v>18.015479235747868</v>
      </c>
      <c r="X191" s="130">
        <f t="shared" si="198"/>
        <v>10.743751860533466</v>
      </c>
      <c r="Y191" s="130">
        <f t="shared" si="198"/>
        <v>10.44604352568801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6.6393206968060063</v>
      </c>
      <c r="C192" s="97">
        <f t="shared" si="199"/>
        <v>6.5599387844277928</v>
      </c>
      <c r="D192" s="97">
        <f t="shared" si="199"/>
        <v>6.0518791797527962</v>
      </c>
      <c r="E192" s="97">
        <f t="shared" si="199"/>
        <v>5.9960681375752092</v>
      </c>
      <c r="F192" s="97">
        <f t="shared" si="199"/>
        <v>5.887393045347352</v>
      </c>
      <c r="G192" s="97">
        <f t="shared" si="199"/>
        <v>5.7105016311549237</v>
      </c>
      <c r="H192" s="97">
        <f t="shared" si="199"/>
        <v>5.644324828390217</v>
      </c>
      <c r="I192" s="97">
        <f t="shared" si="199"/>
        <v>5.6659960268940521</v>
      </c>
      <c r="J192" s="97">
        <f t="shared" si="199"/>
        <v>5.5053771389768746</v>
      </c>
      <c r="K192" s="97">
        <f t="shared" si="199"/>
        <v>5.4733199233713599</v>
      </c>
      <c r="L192" s="97">
        <f t="shared" si="199"/>
        <v>5.428717881438514</v>
      </c>
      <c r="M192" s="97">
        <f t="shared" si="199"/>
        <v>5.4046767766867827</v>
      </c>
      <c r="N192" s="97">
        <f t="shared" si="199"/>
        <v>5.377691167006498</v>
      </c>
      <c r="O192" s="97">
        <f t="shared" si="199"/>
        <v>5.33872043255242</v>
      </c>
      <c r="P192" s="97">
        <f t="shared" si="199"/>
        <v>5.2638596337517836</v>
      </c>
      <c r="Q192" s="97">
        <f t="shared" si="199"/>
        <v>5.2305593423803689</v>
      </c>
      <c r="R192" s="97">
        <f t="shared" si="199"/>
        <v>5.1943471342337988</v>
      </c>
      <c r="S192" s="97">
        <f t="shared" si="199"/>
        <v>5.1415516608970444</v>
      </c>
      <c r="T192" s="97">
        <f t="shared" si="199"/>
        <v>4.85864622452329</v>
      </c>
      <c r="U192" s="97">
        <f t="shared" si="199"/>
        <v>4.8354536527770415</v>
      </c>
      <c r="V192" s="97">
        <f t="shared" si="199"/>
        <v>7.6963293554268333</v>
      </c>
      <c r="W192" s="97">
        <f t="shared" si="199"/>
        <v>8.1834120063540343</v>
      </c>
      <c r="X192" s="97">
        <f t="shared" si="199"/>
        <v>5.4869495099022325</v>
      </c>
      <c r="Y192" s="97">
        <f t="shared" si="199"/>
        <v>5.1234372172631879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22.015515939275893</v>
      </c>
      <c r="C193" s="97">
        <f t="shared" si="200"/>
        <v>19.31233332707642</v>
      </c>
      <c r="D193" s="97">
        <f t="shared" si="200"/>
        <v>19.744832847234804</v>
      </c>
      <c r="E193" s="97">
        <f t="shared" si="200"/>
        <v>19.601782310821992</v>
      </c>
      <c r="F193" s="97">
        <f t="shared" si="200"/>
        <v>20.589663511603806</v>
      </c>
      <c r="G193" s="97">
        <f t="shared" si="200"/>
        <v>17.774434861439659</v>
      </c>
      <c r="H193" s="97">
        <f t="shared" si="200"/>
        <v>17.175792960236979</v>
      </c>
      <c r="I193" s="97">
        <f t="shared" si="200"/>
        <v>16.301315995888938</v>
      </c>
      <c r="J193" s="97">
        <f t="shared" si="200"/>
        <v>12.713336567866939</v>
      </c>
      <c r="K193" s="97">
        <f t="shared" si="200"/>
        <v>13.868658248188948</v>
      </c>
      <c r="L193" s="97">
        <f t="shared" si="200"/>
        <v>13.290775371373892</v>
      </c>
      <c r="M193" s="97">
        <f t="shared" si="200"/>
        <v>14.390825218267794</v>
      </c>
      <c r="N193" s="97">
        <f t="shared" si="200"/>
        <v>14.88043700471804</v>
      </c>
      <c r="O193" s="97">
        <f t="shared" si="200"/>
        <v>15.557588850757845</v>
      </c>
      <c r="P193" s="97">
        <f t="shared" si="200"/>
        <v>14.424806007922673</v>
      </c>
      <c r="Q193" s="97">
        <f t="shared" si="200"/>
        <v>13.939045145357348</v>
      </c>
      <c r="R193" s="97">
        <f t="shared" si="200"/>
        <v>14.52511064961619</v>
      </c>
      <c r="S193" s="97">
        <f t="shared" si="200"/>
        <v>11.899122828464776</v>
      </c>
      <c r="T193" s="97">
        <f t="shared" si="200"/>
        <v>13.035837745098389</v>
      </c>
      <c r="U193" s="97">
        <f t="shared" si="200"/>
        <v>11.455224595246184</v>
      </c>
      <c r="V193" s="97">
        <f t="shared" si="200"/>
        <v>17.872205441431287</v>
      </c>
      <c r="W193" s="97">
        <f t="shared" si="200"/>
        <v>21.453645183927691</v>
      </c>
      <c r="X193" s="97">
        <f t="shared" si="200"/>
        <v>12.196243325560948</v>
      </c>
      <c r="Y193" s="97">
        <f t="shared" si="200"/>
        <v>12.045615180502979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14.678070727198934</v>
      </c>
      <c r="C194" s="97">
        <f t="shared" si="201"/>
        <v>14.281247220198908</v>
      </c>
      <c r="D194" s="97">
        <f t="shared" si="201"/>
        <v>13.964639558091285</v>
      </c>
      <c r="E194" s="97">
        <f t="shared" si="201"/>
        <v>13.763075323620033</v>
      </c>
      <c r="F194" s="97">
        <f t="shared" si="201"/>
        <v>13.524567696074037</v>
      </c>
      <c r="G194" s="97">
        <f t="shared" si="201"/>
        <v>13.292072107587673</v>
      </c>
      <c r="H194" s="97">
        <f t="shared" si="201"/>
        <v>11.54080181292791</v>
      </c>
      <c r="I194" s="97">
        <f t="shared" si="201"/>
        <v>10.229540720954871</v>
      </c>
      <c r="J194" s="97">
        <f t="shared" si="201"/>
        <v>9.6587625421755785</v>
      </c>
      <c r="K194" s="97">
        <f t="shared" si="201"/>
        <v>9.6702715471769931</v>
      </c>
      <c r="L194" s="97">
        <f t="shared" si="201"/>
        <v>9.6358429397859489</v>
      </c>
      <c r="M194" s="97">
        <f t="shared" si="201"/>
        <v>10.207599514724246</v>
      </c>
      <c r="N194" s="97">
        <f t="shared" si="201"/>
        <v>9.8124516693638579</v>
      </c>
      <c r="O194" s="97">
        <f t="shared" si="201"/>
        <v>10.005542040809065</v>
      </c>
      <c r="P194" s="97">
        <f t="shared" si="201"/>
        <v>10.515660254283684</v>
      </c>
      <c r="Q194" s="97">
        <f t="shared" si="201"/>
        <v>9.524220121550341</v>
      </c>
      <c r="R194" s="97">
        <f t="shared" si="201"/>
        <v>9.4772641926268957</v>
      </c>
      <c r="S194" s="97">
        <f t="shared" si="201"/>
        <v>9.7043086731641104</v>
      </c>
      <c r="T194" s="97">
        <f t="shared" si="201"/>
        <v>9.4316871265386926</v>
      </c>
      <c r="U194" s="97">
        <f t="shared" si="201"/>
        <v>9.3201668154383963</v>
      </c>
      <c r="V194" s="97">
        <f t="shared" si="201"/>
        <v>16.165437365198844</v>
      </c>
      <c r="W194" s="97">
        <f t="shared" si="201"/>
        <v>15.292991735323037</v>
      </c>
      <c r="X194" s="97">
        <f t="shared" si="201"/>
        <v>9.7439514716526556</v>
      </c>
      <c r="Y194" s="97">
        <f t="shared" si="201"/>
        <v>9.2086006800276152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50.129006907190615</v>
      </c>
      <c r="C195" s="130">
        <f t="shared" si="202"/>
        <v>51.46121333617635</v>
      </c>
      <c r="D195" s="130">
        <f t="shared" si="202"/>
        <v>43.53324057543022</v>
      </c>
      <c r="E195" s="130">
        <f t="shared" si="202"/>
        <v>45.244584041866453</v>
      </c>
      <c r="F195" s="130">
        <f t="shared" si="202"/>
        <v>50.091574513629823</v>
      </c>
      <c r="G195" s="130">
        <f t="shared" si="202"/>
        <v>45.795167542072868</v>
      </c>
      <c r="H195" s="130">
        <f t="shared" si="202"/>
        <v>40.77778903661968</v>
      </c>
      <c r="I195" s="130">
        <f t="shared" si="202"/>
        <v>37.843444005443743</v>
      </c>
      <c r="J195" s="130">
        <f t="shared" si="202"/>
        <v>41.261861221989236</v>
      </c>
      <c r="K195" s="130">
        <f t="shared" si="202"/>
        <v>41.3472090391409</v>
      </c>
      <c r="L195" s="130">
        <f t="shared" si="202"/>
        <v>37.409510941657707</v>
      </c>
      <c r="M195" s="130">
        <f t="shared" si="202"/>
        <v>37.3031099688071</v>
      </c>
      <c r="N195" s="130">
        <f t="shared" si="202"/>
        <v>35.017923246252202</v>
      </c>
      <c r="O195" s="130">
        <f t="shared" si="202"/>
        <v>36.567643591346062</v>
      </c>
      <c r="P195" s="130">
        <f t="shared" si="202"/>
        <v>31.857597231268041</v>
      </c>
      <c r="Q195" s="130">
        <f t="shared" si="202"/>
        <v>31.631316292308519</v>
      </c>
      <c r="R195" s="130">
        <f t="shared" si="202"/>
        <v>32.887245193811005</v>
      </c>
      <c r="S195" s="130">
        <f t="shared" si="202"/>
        <v>31.293189797856787</v>
      </c>
      <c r="T195" s="130">
        <f t="shared" si="202"/>
        <v>31.914932475319013</v>
      </c>
      <c r="U195" s="130">
        <f t="shared" si="202"/>
        <v>31.631449318462117</v>
      </c>
      <c r="V195" s="130">
        <f t="shared" si="202"/>
        <v>48.262982360049577</v>
      </c>
      <c r="W195" s="130">
        <f t="shared" si="202"/>
        <v>44.740714795442948</v>
      </c>
      <c r="X195" s="130">
        <f t="shared" si="202"/>
        <v>32.28440284188045</v>
      </c>
      <c r="Y195" s="130">
        <f t="shared" si="202"/>
        <v>25.996666891998515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63.962154782411673</v>
      </c>
      <c r="C196" s="97">
        <f t="shared" si="203"/>
        <v>64.740716495137761</v>
      </c>
      <c r="D196" s="97">
        <f t="shared" si="203"/>
        <v>57.653190077840087</v>
      </c>
      <c r="E196" s="97">
        <f t="shared" si="203"/>
        <v>60.910444572408444</v>
      </c>
      <c r="F196" s="97">
        <f t="shared" si="203"/>
        <v>67.627748425045567</v>
      </c>
      <c r="G196" s="97">
        <f t="shared" si="203"/>
        <v>66.486562151452901</v>
      </c>
      <c r="H196" s="97">
        <f t="shared" si="203"/>
        <v>63.160644620948837</v>
      </c>
      <c r="I196" s="97">
        <f t="shared" si="203"/>
        <v>62.528976709328482</v>
      </c>
      <c r="J196" s="97">
        <f t="shared" si="203"/>
        <v>58.785082713100024</v>
      </c>
      <c r="K196" s="97">
        <f t="shared" si="203"/>
        <v>57.48661251948495</v>
      </c>
      <c r="L196" s="97">
        <f t="shared" si="203"/>
        <v>52.947932249806954</v>
      </c>
      <c r="M196" s="97">
        <f t="shared" si="203"/>
        <v>52.64711894687531</v>
      </c>
      <c r="N196" s="97">
        <f t="shared" si="203"/>
        <v>49.162284297350972</v>
      </c>
      <c r="O196" s="97">
        <f t="shared" si="203"/>
        <v>49.383694072053366</v>
      </c>
      <c r="P196" s="97">
        <f t="shared" si="203"/>
        <v>47.095018259193232</v>
      </c>
      <c r="Q196" s="97">
        <f t="shared" si="203"/>
        <v>46.496895324332357</v>
      </c>
      <c r="R196" s="97">
        <f t="shared" si="203"/>
        <v>47.183452913982123</v>
      </c>
      <c r="S196" s="97">
        <f t="shared" si="203"/>
        <v>45.446015113082758</v>
      </c>
      <c r="T196" s="97">
        <f t="shared" si="203"/>
        <v>44.393922918813452</v>
      </c>
      <c r="U196" s="97">
        <f t="shared" si="203"/>
        <v>44.359762221497888</v>
      </c>
      <c r="V196" s="97">
        <f t="shared" si="203"/>
        <v>55.980146773414234</v>
      </c>
      <c r="W196" s="97">
        <f t="shared" si="203"/>
        <v>58.338676697978933</v>
      </c>
      <c r="X196" s="97">
        <f t="shared" si="203"/>
        <v>45.614358887658867</v>
      </c>
      <c r="Y196" s="97">
        <f t="shared" si="203"/>
        <v>44.360382682534699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49.279987859301706</v>
      </c>
      <c r="C197" s="97">
        <f t="shared" si="204"/>
        <v>50.927057276804675</v>
      </c>
      <c r="D197" s="97">
        <f t="shared" si="204"/>
        <v>41.145486439550446</v>
      </c>
      <c r="E197" s="97">
        <f t="shared" si="204"/>
        <v>43.417222661174314</v>
      </c>
      <c r="F197" s="97">
        <f t="shared" si="204"/>
        <v>49.597142721443511</v>
      </c>
      <c r="G197" s="97">
        <f t="shared" si="204"/>
        <v>47.966849498638119</v>
      </c>
      <c r="H197" s="97">
        <f t="shared" si="204"/>
        <v>40.838307172718629</v>
      </c>
      <c r="I197" s="97">
        <f t="shared" si="204"/>
        <v>39.605995873757308</v>
      </c>
      <c r="J197" s="97">
        <f t="shared" si="204"/>
        <v>47.799872846827647</v>
      </c>
      <c r="K197" s="97">
        <f t="shared" si="204"/>
        <v>47.992018943995369</v>
      </c>
      <c r="L197" s="97">
        <f t="shared" si="204"/>
        <v>43.26787369149762</v>
      </c>
      <c r="M197" s="97">
        <f t="shared" si="204"/>
        <v>41.663216289504497</v>
      </c>
      <c r="N197" s="97">
        <f t="shared" si="204"/>
        <v>38.334400225197619</v>
      </c>
      <c r="O197" s="97">
        <f t="shared" si="204"/>
        <v>40.012497483342457</v>
      </c>
      <c r="P197" s="97">
        <f t="shared" si="204"/>
        <v>35.03076531970126</v>
      </c>
      <c r="Q197" s="97">
        <f t="shared" si="204"/>
        <v>35.081491983321612</v>
      </c>
      <c r="R197" s="97">
        <f t="shared" si="204"/>
        <v>36.277261628887537</v>
      </c>
      <c r="S197" s="97">
        <f t="shared" si="204"/>
        <v>34.649699635852194</v>
      </c>
      <c r="T197" s="97">
        <f t="shared" si="204"/>
        <v>36.795119408283632</v>
      </c>
      <c r="U197" s="97">
        <f t="shared" si="204"/>
        <v>36.030384913816086</v>
      </c>
      <c r="V197" s="97">
        <f t="shared" si="204"/>
        <v>54.450205286168703</v>
      </c>
      <c r="W197" s="97">
        <f t="shared" si="204"/>
        <v>44.130422702589023</v>
      </c>
      <c r="X197" s="97">
        <f t="shared" si="204"/>
        <v>34.541989355793127</v>
      </c>
      <c r="Y197" s="97">
        <f t="shared" si="204"/>
        <v>26.611961146195103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39.658398408896247</v>
      </c>
      <c r="C198" s="97">
        <f t="shared" si="205"/>
        <v>39.801943173919803</v>
      </c>
      <c r="D198" s="97">
        <f t="shared" si="205"/>
        <v>35.153181250167336</v>
      </c>
      <c r="E198" s="97">
        <f t="shared" si="205"/>
        <v>34.466967406092017</v>
      </c>
      <c r="F198" s="97">
        <f t="shared" si="205"/>
        <v>36.966807143013469</v>
      </c>
      <c r="G198" s="97">
        <f t="shared" si="205"/>
        <v>28.396661852749574</v>
      </c>
      <c r="H198" s="97">
        <f t="shared" si="205"/>
        <v>27.139739950141781</v>
      </c>
      <c r="I198" s="97">
        <f t="shared" si="205"/>
        <v>22.245670703726859</v>
      </c>
      <c r="J198" s="97">
        <f t="shared" si="205"/>
        <v>23.521113882458671</v>
      </c>
      <c r="K198" s="97">
        <f t="shared" si="205"/>
        <v>24.588931471872872</v>
      </c>
      <c r="L198" s="97">
        <f t="shared" si="205"/>
        <v>22.236104870895886</v>
      </c>
      <c r="M198" s="97">
        <f t="shared" si="205"/>
        <v>23.167500853944198</v>
      </c>
      <c r="N198" s="97">
        <f t="shared" si="205"/>
        <v>22.722869826482867</v>
      </c>
      <c r="O198" s="97">
        <f t="shared" si="205"/>
        <v>24.666142137969949</v>
      </c>
      <c r="P198" s="97">
        <f t="shared" si="205"/>
        <v>20.111044215669178</v>
      </c>
      <c r="Q198" s="97">
        <f t="shared" si="205"/>
        <v>19.852612634766921</v>
      </c>
      <c r="R198" s="97">
        <f t="shared" si="205"/>
        <v>20.819038033986534</v>
      </c>
      <c r="S198" s="97">
        <f t="shared" si="205"/>
        <v>19.554732430958715</v>
      </c>
      <c r="T198" s="97">
        <f t="shared" si="205"/>
        <v>19.380741404840453</v>
      </c>
      <c r="U198" s="97">
        <f t="shared" si="205"/>
        <v>20.073643459131048</v>
      </c>
      <c r="V198" s="97">
        <f t="shared" si="205"/>
        <v>35.964025752069482</v>
      </c>
      <c r="W198" s="97">
        <f t="shared" si="205"/>
        <v>39.432686482464725</v>
      </c>
      <c r="X198" s="97">
        <f t="shared" si="205"/>
        <v>22.581757265317279</v>
      </c>
      <c r="Y198" s="97">
        <f t="shared" si="205"/>
        <v>18.510514835354432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32.062182454579172</v>
      </c>
      <c r="C199" s="32">
        <f t="shared" si="206"/>
        <v>33.357407198404253</v>
      </c>
      <c r="D199" s="32">
        <f t="shared" si="206"/>
        <v>31.961366976097903</v>
      </c>
      <c r="E199" s="32">
        <f t="shared" si="206"/>
        <v>33.06450585046349</v>
      </c>
      <c r="F199" s="32">
        <f t="shared" si="206"/>
        <v>33.974668697329534</v>
      </c>
      <c r="G199" s="32">
        <f t="shared" si="206"/>
        <v>30.826544026898961</v>
      </c>
      <c r="H199" s="32">
        <f t="shared" si="206"/>
        <v>30.497480632083896</v>
      </c>
      <c r="I199" s="32">
        <f t="shared" si="206"/>
        <v>30.720902151489614</v>
      </c>
      <c r="J199" s="32">
        <f t="shared" si="206"/>
        <v>30.109640112081291</v>
      </c>
      <c r="K199" s="32">
        <f t="shared" si="206"/>
        <v>32.486804944828506</v>
      </c>
      <c r="L199" s="32">
        <f t="shared" si="206"/>
        <v>31.757397913793792</v>
      </c>
      <c r="M199" s="32">
        <f t="shared" si="206"/>
        <v>31.275062864984985</v>
      </c>
      <c r="N199" s="32">
        <f t="shared" si="206"/>
        <v>30.258775738751705</v>
      </c>
      <c r="O199" s="32">
        <f t="shared" si="206"/>
        <v>30.146078969529327</v>
      </c>
      <c r="P199" s="32">
        <f t="shared" si="206"/>
        <v>26.695668817634743</v>
      </c>
      <c r="Q199" s="32">
        <f t="shared" si="206"/>
        <v>26.863000125561328</v>
      </c>
      <c r="R199" s="32">
        <f t="shared" si="206"/>
        <v>24.680301884751056</v>
      </c>
      <c r="S199" s="32">
        <f t="shared" si="206"/>
        <v>25.471101948860586</v>
      </c>
      <c r="T199" s="32">
        <f t="shared" si="206"/>
        <v>23.153344241738054</v>
      </c>
      <c r="U199" s="32">
        <f t="shared" si="206"/>
        <v>23.146200676395569</v>
      </c>
      <c r="V199" s="32">
        <f t="shared" si="206"/>
        <v>23.812663067144893</v>
      </c>
      <c r="W199" s="32">
        <f t="shared" si="206"/>
        <v>22.876145508669328</v>
      </c>
      <c r="X199" s="32">
        <f t="shared" si="206"/>
        <v>22.585269415724643</v>
      </c>
      <c r="Y199" s="32">
        <f t="shared" si="206"/>
        <v>23.517651907089721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42.251140468250007</v>
      </c>
      <c r="C200" s="141">
        <f t="shared" si="207"/>
        <v>44.473910182951464</v>
      </c>
      <c r="D200" s="141">
        <f t="shared" si="207"/>
        <v>42.014940851951145</v>
      </c>
      <c r="E200" s="141">
        <f t="shared" si="207"/>
        <v>43.872707098240269</v>
      </c>
      <c r="F200" s="141">
        <f t="shared" si="207"/>
        <v>45.328993604287788</v>
      </c>
      <c r="G200" s="141">
        <f t="shared" si="207"/>
        <v>41.025152840030358</v>
      </c>
      <c r="H200" s="141">
        <f t="shared" si="207"/>
        <v>41.104390229413504</v>
      </c>
      <c r="I200" s="141">
        <f t="shared" si="207"/>
        <v>41.033635613743641</v>
      </c>
      <c r="J200" s="141">
        <f t="shared" si="207"/>
        <v>40.293475600398722</v>
      </c>
      <c r="K200" s="141">
        <f t="shared" si="207"/>
        <v>44.36444092392523</v>
      </c>
      <c r="L200" s="141">
        <f t="shared" si="207"/>
        <v>45.41875787618109</v>
      </c>
      <c r="M200" s="141">
        <f t="shared" si="207"/>
        <v>43.914362853751676</v>
      </c>
      <c r="N200" s="141">
        <f t="shared" si="207"/>
        <v>43.021780955737022</v>
      </c>
      <c r="O200" s="141">
        <f t="shared" si="207"/>
        <v>41.810107623795183</v>
      </c>
      <c r="P200" s="141">
        <f t="shared" si="207"/>
        <v>35.38254517481073</v>
      </c>
      <c r="Q200" s="141">
        <f t="shared" si="207"/>
        <v>35.288078157671976</v>
      </c>
      <c r="R200" s="141">
        <f t="shared" si="207"/>
        <v>32.065590798699468</v>
      </c>
      <c r="S200" s="141">
        <f t="shared" si="207"/>
        <v>33.756664658889669</v>
      </c>
      <c r="T200" s="141">
        <f t="shared" si="207"/>
        <v>30.534614290975604</v>
      </c>
      <c r="U200" s="141">
        <f t="shared" si="207"/>
        <v>30.396991128445993</v>
      </c>
      <c r="V200" s="141">
        <f t="shared" si="207"/>
        <v>31.75958982879304</v>
      </c>
      <c r="W200" s="141">
        <f t="shared" si="207"/>
        <v>30.505121376841796</v>
      </c>
      <c r="X200" s="141">
        <f t="shared" si="207"/>
        <v>29.059399042366941</v>
      </c>
      <c r="Y200" s="141">
        <f t="shared" si="207"/>
        <v>30.551179620632141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564.59803633525132</v>
      </c>
      <c r="C201" s="97">
        <f t="shared" si="208"/>
        <v>527.29736530720322</v>
      </c>
      <c r="D201" s="97">
        <f t="shared" si="208"/>
        <v>504.53633191222826</v>
      </c>
      <c r="E201" s="97">
        <f t="shared" si="208"/>
        <v>501.53045874898038</v>
      </c>
      <c r="F201" s="97">
        <f t="shared" si="208"/>
        <v>504.46486325617946</v>
      </c>
      <c r="G201" s="97">
        <f t="shared" si="208"/>
        <v>466.79637868759096</v>
      </c>
      <c r="H201" s="97">
        <f t="shared" si="208"/>
        <v>463.77579809158152</v>
      </c>
      <c r="I201" s="97">
        <f t="shared" si="208"/>
        <v>450.95498535353687</v>
      </c>
      <c r="J201" s="97">
        <f t="shared" si="208"/>
        <v>443.24121376976888</v>
      </c>
      <c r="K201" s="97">
        <f t="shared" si="208"/>
        <v>434.92815416135772</v>
      </c>
      <c r="L201" s="97">
        <f t="shared" si="208"/>
        <v>440.51634188027816</v>
      </c>
      <c r="M201" s="97">
        <f t="shared" si="208"/>
        <v>430.96358176012961</v>
      </c>
      <c r="N201" s="97">
        <f t="shared" si="208"/>
        <v>410.30626041564506</v>
      </c>
      <c r="O201" s="97">
        <f t="shared" si="208"/>
        <v>401.44859679815784</v>
      </c>
      <c r="P201" s="97">
        <f t="shared" si="208"/>
        <v>375.88660085238939</v>
      </c>
      <c r="Q201" s="97">
        <f t="shared" si="208"/>
        <v>370.1394471731403</v>
      </c>
      <c r="R201" s="97">
        <f t="shared" si="208"/>
        <v>351.01318055771168</v>
      </c>
      <c r="S201" s="97">
        <f t="shared" si="208"/>
        <v>351.15584584223694</v>
      </c>
      <c r="T201" s="97">
        <f t="shared" si="208"/>
        <v>335.13773980278074</v>
      </c>
      <c r="U201" s="97">
        <f t="shared" si="208"/>
        <v>330.73546304681958</v>
      </c>
      <c r="V201" s="97">
        <f t="shared" si="208"/>
        <v>337.69534760272745</v>
      </c>
      <c r="W201" s="97">
        <f t="shared" si="208"/>
        <v>337.82173133036662</v>
      </c>
      <c r="X201" s="97">
        <f t="shared" si="208"/>
        <v>325.0900453554687</v>
      </c>
      <c r="Y201" s="97">
        <f t="shared" si="208"/>
        <v>321.94815860596441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32.006584360229027</v>
      </c>
      <c r="C202" s="97">
        <f t="shared" si="209"/>
        <v>32.975257268507839</v>
      </c>
      <c r="D202" s="97">
        <f t="shared" si="209"/>
        <v>30.65967670833377</v>
      </c>
      <c r="E202" s="97">
        <f t="shared" si="209"/>
        <v>31.588333955721428</v>
      </c>
      <c r="F202" s="97">
        <f t="shared" si="209"/>
        <v>32.531922468478548</v>
      </c>
      <c r="G202" s="97">
        <f t="shared" si="209"/>
        <v>30.193547811424622</v>
      </c>
      <c r="H202" s="97">
        <f t="shared" si="209"/>
        <v>29.869394566442409</v>
      </c>
      <c r="I202" s="97">
        <f t="shared" si="209"/>
        <v>29.765596778258843</v>
      </c>
      <c r="J202" s="97">
        <f t="shared" si="209"/>
        <v>29.180706612149951</v>
      </c>
      <c r="K202" s="97">
        <f t="shared" si="209"/>
        <v>31.346676454216972</v>
      </c>
      <c r="L202" s="97">
        <f t="shared" si="209"/>
        <v>31.899886445863029</v>
      </c>
      <c r="M202" s="97">
        <f t="shared" si="209"/>
        <v>30.022141390695896</v>
      </c>
      <c r="N202" s="97">
        <f t="shared" si="209"/>
        <v>28.497199509968805</v>
      </c>
      <c r="O202" s="97">
        <f t="shared" si="209"/>
        <v>27.912675477956999</v>
      </c>
      <c r="P202" s="97">
        <f t="shared" si="209"/>
        <v>23.959076687262336</v>
      </c>
      <c r="Q202" s="97">
        <f t="shared" si="209"/>
        <v>23.518898728739188</v>
      </c>
      <c r="R202" s="97">
        <f t="shared" si="209"/>
        <v>20.941022425421828</v>
      </c>
      <c r="S202" s="97">
        <f t="shared" si="209"/>
        <v>21.705405675830768</v>
      </c>
      <c r="T202" s="97">
        <f t="shared" si="209"/>
        <v>19.438026229745372</v>
      </c>
      <c r="U202" s="97">
        <f t="shared" si="209"/>
        <v>18.916313472664935</v>
      </c>
      <c r="V202" s="97">
        <f t="shared" si="209"/>
        <v>19.975789903653801</v>
      </c>
      <c r="W202" s="97">
        <f t="shared" si="209"/>
        <v>19.449287046999803</v>
      </c>
      <c r="X202" s="97">
        <f t="shared" si="209"/>
        <v>18.725265628990634</v>
      </c>
      <c r="Y202" s="97">
        <f t="shared" si="209"/>
        <v>19.177414459488908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6.1448118003710368</v>
      </c>
      <c r="C203" s="130">
        <f t="shared" si="210"/>
        <v>5.2888427474356856</v>
      </c>
      <c r="D203" s="130">
        <f t="shared" si="210"/>
        <v>5.2500523777187826</v>
      </c>
      <c r="E203" s="130">
        <f t="shared" si="210"/>
        <v>4.8881800678809242</v>
      </c>
      <c r="F203" s="130">
        <f t="shared" si="210"/>
        <v>5.0841600763099777</v>
      </c>
      <c r="G203" s="130">
        <f t="shared" si="210"/>
        <v>4.8001537997282124</v>
      </c>
      <c r="H203" s="130">
        <f t="shared" si="210"/>
        <v>4.8167193740248182</v>
      </c>
      <c r="I203" s="130">
        <f t="shared" si="210"/>
        <v>4.7515698591044631</v>
      </c>
      <c r="J203" s="130">
        <f t="shared" si="210"/>
        <v>3.5764524027036906</v>
      </c>
      <c r="K203" s="130">
        <f t="shared" si="210"/>
        <v>3.6120197998677384</v>
      </c>
      <c r="L203" s="130">
        <f t="shared" si="210"/>
        <v>3.2650880266794875</v>
      </c>
      <c r="M203" s="130">
        <f t="shared" si="210"/>
        <v>3.5818565734683636</v>
      </c>
      <c r="N203" s="130">
        <f t="shared" si="210"/>
        <v>3.4879930430762802</v>
      </c>
      <c r="O203" s="130">
        <f t="shared" si="210"/>
        <v>3.4974261245330269</v>
      </c>
      <c r="P203" s="130">
        <f t="shared" si="210"/>
        <v>3.0587554285599428</v>
      </c>
      <c r="Q203" s="130">
        <f t="shared" si="210"/>
        <v>3.0104808069562541</v>
      </c>
      <c r="R203" s="130">
        <f t="shared" si="210"/>
        <v>2.8790440660972703</v>
      </c>
      <c r="S203" s="130">
        <f t="shared" si="210"/>
        <v>2.8355776865935258</v>
      </c>
      <c r="T203" s="130">
        <f t="shared" si="210"/>
        <v>2.5581573471699186</v>
      </c>
      <c r="U203" s="130">
        <f t="shared" si="210"/>
        <v>2.4996676311864703</v>
      </c>
      <c r="V203" s="130">
        <f t="shared" si="210"/>
        <v>2.4082423547473479</v>
      </c>
      <c r="W203" s="130">
        <f t="shared" si="210"/>
        <v>2.4792719650981763</v>
      </c>
      <c r="X203" s="130">
        <f t="shared" si="210"/>
        <v>3.4902445083989115</v>
      </c>
      <c r="Y203" s="130">
        <f t="shared" si="210"/>
        <v>3.2759985299018308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113.42267526555644</v>
      </c>
      <c r="C204" s="130">
        <f t="shared" si="211"/>
        <v>103.64867545332578</v>
      </c>
      <c r="D204" s="130">
        <f t="shared" si="211"/>
        <v>91.053778733029716</v>
      </c>
      <c r="E204" s="130">
        <f t="shared" si="211"/>
        <v>95.121775055008428</v>
      </c>
      <c r="F204" s="130">
        <f t="shared" si="211"/>
        <v>112.83959165120991</v>
      </c>
      <c r="G204" s="130">
        <f t="shared" si="211"/>
        <v>100.96285416993942</v>
      </c>
      <c r="H204" s="130">
        <f t="shared" si="211"/>
        <v>102.80537402823882</v>
      </c>
      <c r="I204" s="130">
        <f t="shared" si="211"/>
        <v>93.639914587820002</v>
      </c>
      <c r="J204" s="130">
        <f t="shared" si="211"/>
        <v>100.33628106421575</v>
      </c>
      <c r="K204" s="130">
        <f t="shared" si="211"/>
        <v>96.376435929183401</v>
      </c>
      <c r="L204" s="130">
        <f t="shared" si="211"/>
        <v>89.828669206840758</v>
      </c>
      <c r="M204" s="130">
        <f t="shared" si="211"/>
        <v>83.976803362776693</v>
      </c>
      <c r="N204" s="130">
        <f t="shared" si="211"/>
        <v>77.31357785103333</v>
      </c>
      <c r="O204" s="130">
        <f t="shared" si="211"/>
        <v>83.538792602557791</v>
      </c>
      <c r="P204" s="130">
        <f t="shared" si="211"/>
        <v>59.264899407191059</v>
      </c>
      <c r="Q204" s="130">
        <f t="shared" si="211"/>
        <v>58.644243236838982</v>
      </c>
      <c r="R204" s="130">
        <f t="shared" si="211"/>
        <v>54.220898647120556</v>
      </c>
      <c r="S204" s="130">
        <f t="shared" si="211"/>
        <v>57.487550453306532</v>
      </c>
      <c r="T204" s="130">
        <f t="shared" si="211"/>
        <v>62.741819634570653</v>
      </c>
      <c r="U204" s="130">
        <f t="shared" si="211"/>
        <v>85.436914240022219</v>
      </c>
      <c r="V204" s="130">
        <f t="shared" si="211"/>
        <v>130.73999155130107</v>
      </c>
      <c r="W204" s="130">
        <f t="shared" si="211"/>
        <v>120.76735075789649</v>
      </c>
      <c r="X204" s="130">
        <f t="shared" si="211"/>
        <v>86.865040011323842</v>
      </c>
      <c r="Y204" s="130">
        <f t="shared" si="211"/>
        <v>70.234466526445459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424.75781680719609</v>
      </c>
      <c r="C205" s="97">
        <f t="shared" si="212"/>
        <v>442.91280465945999</v>
      </c>
      <c r="D205" s="97">
        <f t="shared" si="212"/>
        <v>383.74159422959849</v>
      </c>
      <c r="E205" s="97">
        <f t="shared" si="212"/>
        <v>372.87426009330329</v>
      </c>
      <c r="F205" s="97">
        <f t="shared" si="212"/>
        <v>431.36469699831429</v>
      </c>
      <c r="G205" s="97">
        <f t="shared" si="212"/>
        <v>471.15922144316892</v>
      </c>
      <c r="H205" s="97">
        <f t="shared" si="212"/>
        <v>475.76802398487229</v>
      </c>
      <c r="I205" s="97">
        <f t="shared" si="212"/>
        <v>483.19932621299745</v>
      </c>
      <c r="J205" s="97">
        <f t="shared" si="212"/>
        <v>459.5974604117439</v>
      </c>
      <c r="K205" s="97">
        <f t="shared" si="212"/>
        <v>418.87734681630872</v>
      </c>
      <c r="L205" s="97">
        <f t="shared" si="212"/>
        <v>375.48536764329475</v>
      </c>
      <c r="M205" s="97">
        <f t="shared" si="212"/>
        <v>357.0592849771063</v>
      </c>
      <c r="N205" s="97">
        <f t="shared" si="212"/>
        <v>345.5118211861074</v>
      </c>
      <c r="O205" s="97">
        <f t="shared" si="212"/>
        <v>341.5570529662325</v>
      </c>
      <c r="P205" s="97">
        <f t="shared" si="212"/>
        <v>299.65240702468623</v>
      </c>
      <c r="Q205" s="97">
        <f t="shared" si="212"/>
        <v>298.16478007383188</v>
      </c>
      <c r="R205" s="97">
        <f t="shared" si="212"/>
        <v>267.86166693391954</v>
      </c>
      <c r="S205" s="97">
        <f t="shared" si="212"/>
        <v>287.08444555356232</v>
      </c>
      <c r="T205" s="97">
        <f t="shared" si="212"/>
        <v>275.00693549422363</v>
      </c>
      <c r="U205" s="97">
        <f t="shared" si="212"/>
        <v>255.71648617918612</v>
      </c>
      <c r="V205" s="97">
        <f t="shared" si="212"/>
        <v>255.34376865666857</v>
      </c>
      <c r="W205" s="97">
        <f t="shared" si="212"/>
        <v>280.98302147055585</v>
      </c>
      <c r="X205" s="97">
        <f t="shared" si="212"/>
        <v>292.60215048462152</v>
      </c>
      <c r="Y205" s="97">
        <f t="shared" si="212"/>
        <v>266.09510233122774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197.30737400079667</v>
      </c>
      <c r="C206" s="97">
        <f t="shared" si="213"/>
        <v>200.94141474640722</v>
      </c>
      <c r="D206" s="97">
        <f t="shared" si="213"/>
        <v>177.27245824633246</v>
      </c>
      <c r="E206" s="97">
        <f t="shared" si="213"/>
        <v>173.32265693051181</v>
      </c>
      <c r="F206" s="97">
        <f t="shared" si="213"/>
        <v>201.47299703491058</v>
      </c>
      <c r="G206" s="97">
        <f t="shared" si="213"/>
        <v>222.98393144592106</v>
      </c>
      <c r="H206" s="97">
        <f t="shared" si="213"/>
        <v>229.03970809867133</v>
      </c>
      <c r="I206" s="97">
        <f t="shared" si="213"/>
        <v>223.94681059394864</v>
      </c>
      <c r="J206" s="97">
        <f t="shared" si="213"/>
        <v>259.83981313621194</v>
      </c>
      <c r="K206" s="97">
        <f t="shared" si="213"/>
        <v>259.07663785224094</v>
      </c>
      <c r="L206" s="97">
        <f t="shared" si="213"/>
        <v>227.9618246294489</v>
      </c>
      <c r="M206" s="97">
        <f t="shared" si="213"/>
        <v>212.84860691713851</v>
      </c>
      <c r="N206" s="97">
        <f t="shared" si="213"/>
        <v>190.01323809903121</v>
      </c>
      <c r="O206" s="97">
        <f t="shared" si="213"/>
        <v>200.41943441772219</v>
      </c>
      <c r="P206" s="97">
        <f t="shared" si="213"/>
        <v>156.66631605569978</v>
      </c>
      <c r="Q206" s="97">
        <f t="shared" si="213"/>
        <v>164.49800038108171</v>
      </c>
      <c r="R206" s="97">
        <f t="shared" si="213"/>
        <v>160.05080118843117</v>
      </c>
      <c r="S206" s="97">
        <f t="shared" si="213"/>
        <v>165.26941305565848</v>
      </c>
      <c r="T206" s="97">
        <f t="shared" si="213"/>
        <v>173.61020126955145</v>
      </c>
      <c r="U206" s="97">
        <f t="shared" si="213"/>
        <v>156.53409747878246</v>
      </c>
      <c r="V206" s="97">
        <f t="shared" si="213"/>
        <v>215.55416513301586</v>
      </c>
      <c r="W206" s="97">
        <f t="shared" si="213"/>
        <v>202.8420456043367</v>
      </c>
      <c r="X206" s="97">
        <f t="shared" si="213"/>
        <v>207.43973632314481</v>
      </c>
      <c r="Y206" s="97">
        <f t="shared" si="213"/>
        <v>167.25473883384774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79.544661419022134</v>
      </c>
      <c r="C207" s="97">
        <f t="shared" si="214"/>
        <v>79.890102385278965</v>
      </c>
      <c r="D207" s="97">
        <f t="shared" si="214"/>
        <v>70.517967280146664</v>
      </c>
      <c r="E207" s="97">
        <f t="shared" si="214"/>
        <v>77.445978664150971</v>
      </c>
      <c r="F207" s="97">
        <f t="shared" si="214"/>
        <v>89.500591010480292</v>
      </c>
      <c r="G207" s="97">
        <f t="shared" si="214"/>
        <v>76.446702898999391</v>
      </c>
      <c r="H207" s="97">
        <f t="shared" si="214"/>
        <v>76.028247163495038</v>
      </c>
      <c r="I207" s="97">
        <f t="shared" si="214"/>
        <v>63.997323718506067</v>
      </c>
      <c r="J207" s="97">
        <f t="shared" si="214"/>
        <v>67.930911044347994</v>
      </c>
      <c r="K207" s="97">
        <f t="shared" si="214"/>
        <v>64.508589700916104</v>
      </c>
      <c r="L207" s="97">
        <f t="shared" si="214"/>
        <v>65.503512906636971</v>
      </c>
      <c r="M207" s="97">
        <f t="shared" si="214"/>
        <v>63.794069387244882</v>
      </c>
      <c r="N207" s="97">
        <f t="shared" si="214"/>
        <v>57.650915165142443</v>
      </c>
      <c r="O207" s="97">
        <f t="shared" si="214"/>
        <v>55.376820938821666</v>
      </c>
      <c r="P207" s="97">
        <f t="shared" si="214"/>
        <v>33.244715542521256</v>
      </c>
      <c r="Q207" s="97">
        <f t="shared" si="214"/>
        <v>28.930805638993718</v>
      </c>
      <c r="R207" s="97">
        <f t="shared" si="214"/>
        <v>23.451743152194805</v>
      </c>
      <c r="S207" s="97">
        <f t="shared" si="214"/>
        <v>20.162662523535275</v>
      </c>
      <c r="T207" s="97">
        <f t="shared" si="214"/>
        <v>19.49625904565281</v>
      </c>
      <c r="U207" s="97">
        <f t="shared" si="214"/>
        <v>20.795515661127006</v>
      </c>
      <c r="V207" s="97">
        <f t="shared" si="214"/>
        <v>43.646402765581868</v>
      </c>
      <c r="W207" s="97">
        <f t="shared" si="214"/>
        <v>44.965214404760509</v>
      </c>
      <c r="X207" s="97">
        <f t="shared" si="214"/>
        <v>59.876686457177797</v>
      </c>
      <c r="Y207" s="97">
        <f t="shared" si="214"/>
        <v>49.312469958577296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75.518332519523653</v>
      </c>
      <c r="C208" s="130">
        <f t="shared" si="215"/>
        <v>76.862718766501018</v>
      </c>
      <c r="D208" s="130">
        <f t="shared" si="215"/>
        <v>75.783452011404705</v>
      </c>
      <c r="E208" s="130">
        <f t="shared" si="215"/>
        <v>87.345220186446113</v>
      </c>
      <c r="F208" s="130">
        <f t="shared" si="215"/>
        <v>76.93536489476358</v>
      </c>
      <c r="G208" s="130">
        <f t="shared" si="215"/>
        <v>61.677658864369107</v>
      </c>
      <c r="H208" s="130">
        <f t="shared" si="215"/>
        <v>41.343631947137887</v>
      </c>
      <c r="I208" s="130">
        <f t="shared" si="215"/>
        <v>63.901526816065122</v>
      </c>
      <c r="J208" s="130">
        <f t="shared" si="215"/>
        <v>60.094359505481904</v>
      </c>
      <c r="K208" s="130">
        <f t="shared" si="215"/>
        <v>62.938620284078638</v>
      </c>
      <c r="L208" s="130">
        <f t="shared" si="215"/>
        <v>45.767494763799128</v>
      </c>
      <c r="M208" s="130">
        <f t="shared" si="215"/>
        <v>47.644371580215278</v>
      </c>
      <c r="N208" s="130">
        <f t="shared" si="215"/>
        <v>47.030823968036557</v>
      </c>
      <c r="O208" s="130">
        <f t="shared" si="215"/>
        <v>44.435402057796949</v>
      </c>
      <c r="P208" s="130">
        <f t="shared" si="215"/>
        <v>44.781134354584267</v>
      </c>
      <c r="Q208" s="130">
        <f t="shared" si="215"/>
        <v>44.894483599309716</v>
      </c>
      <c r="R208" s="130">
        <f t="shared" si="215"/>
        <v>46.666812829720399</v>
      </c>
      <c r="S208" s="130">
        <f t="shared" si="215"/>
        <v>40.885412574220567</v>
      </c>
      <c r="T208" s="130">
        <f t="shared" si="215"/>
        <v>38.805528209031927</v>
      </c>
      <c r="U208" s="130">
        <f t="shared" si="215"/>
        <v>40.658431032015848</v>
      </c>
      <c r="V208" s="130">
        <f t="shared" si="215"/>
        <v>31.960749041620314</v>
      </c>
      <c r="W208" s="130">
        <f t="shared" si="215"/>
        <v>25.404261213447697</v>
      </c>
      <c r="X208" s="130">
        <f t="shared" si="215"/>
        <v>31.923308599597238</v>
      </c>
      <c r="Y208" s="130">
        <f t="shared" si="215"/>
        <v>40.891685775151096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75.518332519523653</v>
      </c>
      <c r="C209" s="97">
        <f t="shared" si="216"/>
        <v>76.862718766501018</v>
      </c>
      <c r="D209" s="97">
        <f t="shared" si="216"/>
        <v>75.783452011404705</v>
      </c>
      <c r="E209" s="97">
        <f t="shared" si="216"/>
        <v>87.345220186446113</v>
      </c>
      <c r="F209" s="97">
        <f t="shared" si="216"/>
        <v>76.93536489476358</v>
      </c>
      <c r="G209" s="97">
        <f t="shared" si="216"/>
        <v>61.677658864369107</v>
      </c>
      <c r="H209" s="97">
        <f t="shared" si="216"/>
        <v>41.343631947137887</v>
      </c>
      <c r="I209" s="97">
        <f t="shared" si="216"/>
        <v>63.901526816065122</v>
      </c>
      <c r="J209" s="97">
        <f t="shared" si="216"/>
        <v>60.094359505481904</v>
      </c>
      <c r="K209" s="97">
        <f t="shared" si="216"/>
        <v>62.938620284078638</v>
      </c>
      <c r="L209" s="97">
        <f t="shared" si="216"/>
        <v>45.767494763799128</v>
      </c>
      <c r="M209" s="97">
        <f t="shared" si="216"/>
        <v>47.644371580215278</v>
      </c>
      <c r="N209" s="97">
        <f t="shared" si="216"/>
        <v>47.030823968036557</v>
      </c>
      <c r="O209" s="97">
        <f t="shared" si="216"/>
        <v>44.435402057796949</v>
      </c>
      <c r="P209" s="97">
        <f t="shared" si="216"/>
        <v>44.781134354584267</v>
      </c>
      <c r="Q209" s="97">
        <f t="shared" si="216"/>
        <v>44.894483599309716</v>
      </c>
      <c r="R209" s="97">
        <f t="shared" si="216"/>
        <v>46.831481320276254</v>
      </c>
      <c r="S209" s="97">
        <f t="shared" si="216"/>
        <v>40.926446261122742</v>
      </c>
      <c r="T209" s="97">
        <f t="shared" si="216"/>
        <v>39.121321425600193</v>
      </c>
      <c r="U209" s="97">
        <f t="shared" si="216"/>
        <v>41.062247055459579</v>
      </c>
      <c r="V209" s="97">
        <f t="shared" si="216"/>
        <v>32.461995734697489</v>
      </c>
      <c r="W209" s="97">
        <f t="shared" si="216"/>
        <v>26.006372693292001</v>
      </c>
      <c r="X209" s="97">
        <f t="shared" si="216"/>
        <v>32.635866027562521</v>
      </c>
      <c r="Y209" s="97">
        <f t="shared" si="216"/>
        <v>42.122705645857899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14.510113283017843</v>
      </c>
      <c r="S210" s="98">
        <f t="shared" si="217"/>
        <v>11.85211768070109</v>
      </c>
      <c r="T210" s="98">
        <f t="shared" si="217"/>
        <v>11.485500608796807</v>
      </c>
      <c r="U210" s="98">
        <f t="shared" si="217"/>
        <v>11.69026005082651</v>
      </c>
      <c r="V210" s="98">
        <f t="shared" si="217"/>
        <v>9.4155991416570259</v>
      </c>
      <c r="W210" s="98">
        <f t="shared" si="217"/>
        <v>7.6522296543065798</v>
      </c>
      <c r="X210" s="98">
        <f t="shared" si="217"/>
        <v>9.1947526503408206</v>
      </c>
      <c r="Y210" s="98">
        <f t="shared" si="217"/>
        <v>12.85533683381996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15.11247148672013</v>
      </c>
      <c r="C211" s="32">
        <f t="shared" si="218"/>
        <v>15.912437781227307</v>
      </c>
      <c r="D211" s="32">
        <f t="shared" si="218"/>
        <v>13.367490728898941</v>
      </c>
      <c r="E211" s="32">
        <f t="shared" si="218"/>
        <v>17.325090927397369</v>
      </c>
      <c r="F211" s="32">
        <f t="shared" si="218"/>
        <v>19.997111408226615</v>
      </c>
      <c r="G211" s="32">
        <f t="shared" si="218"/>
        <v>17.981845080204074</v>
      </c>
      <c r="H211" s="32">
        <f t="shared" si="218"/>
        <v>20.53898751115964</v>
      </c>
      <c r="I211" s="32">
        <f t="shared" si="218"/>
        <v>20.390079741437582</v>
      </c>
      <c r="J211" s="32">
        <f t="shared" si="218"/>
        <v>18.266958142694012</v>
      </c>
      <c r="K211" s="32">
        <f t="shared" si="218"/>
        <v>21.991973534363762</v>
      </c>
      <c r="L211" s="32">
        <f t="shared" si="218"/>
        <v>16.570126159878232</v>
      </c>
      <c r="M211" s="32">
        <f t="shared" si="218"/>
        <v>16.155615103321676</v>
      </c>
      <c r="N211" s="32">
        <f t="shared" si="218"/>
        <v>17.059862991431295</v>
      </c>
      <c r="O211" s="32">
        <f t="shared" si="218"/>
        <v>15.160807887211531</v>
      </c>
      <c r="P211" s="32">
        <f t="shared" si="218"/>
        <v>14.955008251673172</v>
      </c>
      <c r="Q211" s="32">
        <f t="shared" si="218"/>
        <v>15.245460193242765</v>
      </c>
      <c r="R211" s="32">
        <f t="shared" si="218"/>
        <v>16.987844800087679</v>
      </c>
      <c r="S211" s="32">
        <f t="shared" si="218"/>
        <v>22.626017163487965</v>
      </c>
      <c r="T211" s="32">
        <f t="shared" si="218"/>
        <v>17.778520952539143</v>
      </c>
      <c r="U211" s="32">
        <f t="shared" si="218"/>
        <v>19.589783061424743</v>
      </c>
      <c r="V211" s="32">
        <f t="shared" si="218"/>
        <v>23.199706683318567</v>
      </c>
      <c r="W211" s="32">
        <f t="shared" si="218"/>
        <v>27.435810058844574</v>
      </c>
      <c r="X211" s="32">
        <f t="shared" si="218"/>
        <v>21.413409120577082</v>
      </c>
      <c r="Y211" s="32">
        <f t="shared" si="218"/>
        <v>18.840952678822795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20.554894690134681</v>
      </c>
      <c r="C212" s="97">
        <f t="shared" si="219"/>
        <v>22.481321914480091</v>
      </c>
      <c r="D212" s="97">
        <f t="shared" si="219"/>
        <v>18.379851157440122</v>
      </c>
      <c r="E212" s="97">
        <f t="shared" si="219"/>
        <v>23.779343539506883</v>
      </c>
      <c r="F212" s="97">
        <f t="shared" si="219"/>
        <v>26.908859025909251</v>
      </c>
      <c r="G212" s="97">
        <f t="shared" si="219"/>
        <v>25.734141145900811</v>
      </c>
      <c r="H212" s="97">
        <f t="shared" si="219"/>
        <v>28.031136042684988</v>
      </c>
      <c r="I212" s="97">
        <f t="shared" si="219"/>
        <v>26.995704143634946</v>
      </c>
      <c r="J212" s="97">
        <f t="shared" si="219"/>
        <v>25.24168216772323</v>
      </c>
      <c r="K212" s="97">
        <f t="shared" si="219"/>
        <v>30.111442567422944</v>
      </c>
      <c r="L212" s="97">
        <f t="shared" si="219"/>
        <v>24.45137425295664</v>
      </c>
      <c r="M212" s="97">
        <f t="shared" si="219"/>
        <v>22.164964026880188</v>
      </c>
      <c r="N212" s="97">
        <f t="shared" si="219"/>
        <v>23.855589689204873</v>
      </c>
      <c r="O212" s="97">
        <f t="shared" si="219"/>
        <v>20.807327514621658</v>
      </c>
      <c r="P212" s="97">
        <f t="shared" si="219"/>
        <v>21.566494147162537</v>
      </c>
      <c r="Q212" s="97">
        <f t="shared" si="219"/>
        <v>22.867784746177509</v>
      </c>
      <c r="R212" s="97">
        <f t="shared" si="219"/>
        <v>23.932898339821538</v>
      </c>
      <c r="S212" s="97">
        <f t="shared" si="219"/>
        <v>29.225208931248147</v>
      </c>
      <c r="T212" s="97">
        <f t="shared" si="219"/>
        <v>22.402826143053474</v>
      </c>
      <c r="U212" s="97">
        <f t="shared" si="219"/>
        <v>25.807351338043578</v>
      </c>
      <c r="V212" s="97">
        <f t="shared" si="219"/>
        <v>29.487432118333171</v>
      </c>
      <c r="W212" s="97">
        <f t="shared" si="219"/>
        <v>29.143361170012508</v>
      </c>
      <c r="X212" s="97">
        <f t="shared" si="219"/>
        <v>25.263604118308823</v>
      </c>
      <c r="Y212" s="97">
        <f t="shared" si="219"/>
        <v>21.966187117788117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10.847181352354422</v>
      </c>
      <c r="C213" s="98">
        <f t="shared" si="220"/>
        <v>11.210181599579968</v>
      </c>
      <c r="D213" s="98">
        <f t="shared" si="220"/>
        <v>9.5775940472091854</v>
      </c>
      <c r="E213" s="98">
        <f t="shared" si="220"/>
        <v>12.423833878882444</v>
      </c>
      <c r="F213" s="98">
        <f t="shared" si="220"/>
        <v>14.400003564859386</v>
      </c>
      <c r="G213" s="98">
        <f t="shared" si="220"/>
        <v>12.531448127839052</v>
      </c>
      <c r="H213" s="98">
        <f t="shared" si="220"/>
        <v>14.728555375135617</v>
      </c>
      <c r="I213" s="98">
        <f t="shared" si="220"/>
        <v>14.718829495971972</v>
      </c>
      <c r="J213" s="98">
        <f t="shared" si="220"/>
        <v>12.818041168101322</v>
      </c>
      <c r="K213" s="98">
        <f t="shared" si="220"/>
        <v>15.394080742690413</v>
      </c>
      <c r="L213" s="98">
        <f t="shared" si="220"/>
        <v>11.259430862821787</v>
      </c>
      <c r="M213" s="98">
        <f t="shared" si="220"/>
        <v>11.318984402435001</v>
      </c>
      <c r="N213" s="98">
        <f t="shared" si="220"/>
        <v>11.798687157005107</v>
      </c>
      <c r="O213" s="98">
        <f t="shared" si="220"/>
        <v>10.597519990531314</v>
      </c>
      <c r="P213" s="98">
        <f t="shared" si="220"/>
        <v>10.340342250600306</v>
      </c>
      <c r="Q213" s="98">
        <f t="shared" si="220"/>
        <v>10.320451751482004</v>
      </c>
      <c r="R213" s="98">
        <f t="shared" si="220"/>
        <v>11.87404213206765</v>
      </c>
      <c r="S213" s="98">
        <f t="shared" si="220"/>
        <v>16.488935550504262</v>
      </c>
      <c r="T213" s="98">
        <f t="shared" si="220"/>
        <v>13.162171526057859</v>
      </c>
      <c r="U213" s="98">
        <f t="shared" si="220"/>
        <v>13.932187779618129</v>
      </c>
      <c r="V213" s="98">
        <f t="shared" si="220"/>
        <v>17.901667899305277</v>
      </c>
      <c r="W213" s="98">
        <f t="shared" si="220"/>
        <v>25.261939483410124</v>
      </c>
      <c r="X213" s="98">
        <f t="shared" si="220"/>
        <v>16.907587153091683</v>
      </c>
      <c r="Y213" s="98">
        <f t="shared" si="220"/>
        <v>14.93638204182608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124.90660970764144</v>
      </c>
      <c r="C216" s="32">
        <f t="shared" si="221"/>
        <v>122.26662083836158</v>
      </c>
      <c r="D216" s="32">
        <f t="shared" si="221"/>
        <v>119.66328121391858</v>
      </c>
      <c r="E216" s="32">
        <f t="shared" si="221"/>
        <v>119.58453608168765</v>
      </c>
      <c r="F216" s="32">
        <f t="shared" si="221"/>
        <v>119.58063277931389</v>
      </c>
      <c r="G216" s="32">
        <f t="shared" si="221"/>
        <v>113.23068617114156</v>
      </c>
      <c r="H216" s="32">
        <f t="shared" si="221"/>
        <v>110.60348801880937</v>
      </c>
      <c r="I216" s="32">
        <f t="shared" si="221"/>
        <v>107.98165654710479</v>
      </c>
      <c r="J216" s="32">
        <f t="shared" si="221"/>
        <v>107.27288519624325</v>
      </c>
      <c r="K216" s="32">
        <f t="shared" si="221"/>
        <v>107.67247743214539</v>
      </c>
      <c r="L216" s="32">
        <f t="shared" si="221"/>
        <v>106.75960438420528</v>
      </c>
      <c r="M216" s="32">
        <f t="shared" si="221"/>
        <v>104.67697927386187</v>
      </c>
      <c r="N216" s="32">
        <f t="shared" si="221"/>
        <v>101.68526923179751</v>
      </c>
      <c r="O216" s="32">
        <f t="shared" si="221"/>
        <v>99.585667169451241</v>
      </c>
      <c r="P216" s="32">
        <f t="shared" si="221"/>
        <v>94.446686706989539</v>
      </c>
      <c r="Q216" s="32">
        <f t="shared" si="221"/>
        <v>94.064983263682564</v>
      </c>
      <c r="R216" s="32">
        <f t="shared" si="221"/>
        <v>103.73720461914202</v>
      </c>
      <c r="S216" s="32">
        <f t="shared" si="221"/>
        <v>98.765936248394354</v>
      </c>
      <c r="T216" s="32">
        <f t="shared" si="221"/>
        <v>95.113933018286986</v>
      </c>
      <c r="U216" s="32">
        <f t="shared" si="221"/>
        <v>95.002250990840878</v>
      </c>
      <c r="V216" s="32">
        <f t="shared" si="221"/>
        <v>100.99635813337036</v>
      </c>
      <c r="W216" s="32">
        <f t="shared" si="221"/>
        <v>102.61893194027974</v>
      </c>
      <c r="X216" s="32">
        <f t="shared" si="221"/>
        <v>82.672063641080655</v>
      </c>
      <c r="Y216" s="32">
        <f t="shared" si="221"/>
        <v>75.200644977899657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131.60142921863888</v>
      </c>
      <c r="C217" s="141">
        <f t="shared" si="222"/>
        <v>128.11713434657423</v>
      </c>
      <c r="D217" s="141">
        <f t="shared" si="222"/>
        <v>128.80381671625335</v>
      </c>
      <c r="E217" s="141">
        <f t="shared" si="222"/>
        <v>128.12408562562729</v>
      </c>
      <c r="F217" s="141">
        <f t="shared" si="222"/>
        <v>125.76089253254428</v>
      </c>
      <c r="G217" s="141">
        <f t="shared" si="222"/>
        <v>119.72018253467772</v>
      </c>
      <c r="H217" s="141">
        <f t="shared" si="222"/>
        <v>119.23623480011403</v>
      </c>
      <c r="I217" s="141">
        <f t="shared" si="222"/>
        <v>117.86981087712671</v>
      </c>
      <c r="J217" s="141">
        <f t="shared" si="222"/>
        <v>115.75878174131536</v>
      </c>
      <c r="K217" s="141">
        <f t="shared" si="222"/>
        <v>116.72799840915563</v>
      </c>
      <c r="L217" s="141">
        <f t="shared" si="222"/>
        <v>117.58872898695836</v>
      </c>
      <c r="M217" s="141">
        <f t="shared" si="222"/>
        <v>114.98690531638593</v>
      </c>
      <c r="N217" s="141">
        <f t="shared" si="222"/>
        <v>112.83186437958007</v>
      </c>
      <c r="O217" s="141">
        <f t="shared" si="222"/>
        <v>109.05773247339276</v>
      </c>
      <c r="P217" s="141">
        <f t="shared" si="222"/>
        <v>105.32704264349857</v>
      </c>
      <c r="Q217" s="141">
        <f t="shared" si="222"/>
        <v>105.34641480055282</v>
      </c>
      <c r="R217" s="141">
        <f t="shared" si="222"/>
        <v>120.28282745287621</v>
      </c>
      <c r="S217" s="141">
        <f t="shared" si="222"/>
        <v>114.91551773891132</v>
      </c>
      <c r="T217" s="141">
        <f t="shared" si="222"/>
        <v>109.08645350255502</v>
      </c>
      <c r="U217" s="141">
        <f t="shared" si="222"/>
        <v>110.21277952261367</v>
      </c>
      <c r="V217" s="141">
        <f t="shared" si="222"/>
        <v>107.14982445321616</v>
      </c>
      <c r="W217" s="141">
        <f t="shared" si="222"/>
        <v>109.45018824003043</v>
      </c>
      <c r="X217" s="141">
        <f t="shared" si="222"/>
        <v>91.346914037387705</v>
      </c>
      <c r="Y217" s="141">
        <f t="shared" si="222"/>
        <v>85.107602200149046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137.06972822654291</v>
      </c>
      <c r="C218" s="97">
        <f t="shared" si="223"/>
        <v>134.30674135812171</v>
      </c>
      <c r="D218" s="97">
        <f t="shared" si="223"/>
        <v>131.29623112496037</v>
      </c>
      <c r="E218" s="97">
        <f t="shared" si="223"/>
        <v>128.63311955210824</v>
      </c>
      <c r="F218" s="97">
        <f t="shared" si="223"/>
        <v>125.39529425520826</v>
      </c>
      <c r="G218" s="97">
        <f t="shared" si="223"/>
        <v>122.01157745006086</v>
      </c>
      <c r="H218" s="97">
        <f t="shared" si="223"/>
        <v>117.96220767741545</v>
      </c>
      <c r="I218" s="97">
        <f t="shared" si="223"/>
        <v>114.45323263680181</v>
      </c>
      <c r="J218" s="97">
        <f t="shared" si="223"/>
        <v>113.60414901997039</v>
      </c>
      <c r="K218" s="97">
        <f t="shared" si="223"/>
        <v>111.02021950839537</v>
      </c>
      <c r="L218" s="97">
        <f t="shared" si="223"/>
        <v>107.85718124807691</v>
      </c>
      <c r="M218" s="97">
        <f t="shared" si="223"/>
        <v>107.0756746431594</v>
      </c>
      <c r="N218" s="97">
        <f t="shared" si="223"/>
        <v>105.60589599476954</v>
      </c>
      <c r="O218" s="97">
        <f t="shared" si="223"/>
        <v>106.38919425436382</v>
      </c>
      <c r="P218" s="97">
        <f t="shared" si="223"/>
        <v>104.34046008273059</v>
      </c>
      <c r="Q218" s="97">
        <f t="shared" si="223"/>
        <v>104.72263881882911</v>
      </c>
      <c r="R218" s="97">
        <f t="shared" si="223"/>
        <v>104.06283521340225</v>
      </c>
      <c r="S218" s="97">
        <f t="shared" si="223"/>
        <v>102.52879556235517</v>
      </c>
      <c r="T218" s="97">
        <f t="shared" si="223"/>
        <v>99.916363761096648</v>
      </c>
      <c r="U218" s="97">
        <f t="shared" si="223"/>
        <v>99.529588801648302</v>
      </c>
      <c r="V218" s="97">
        <f t="shared" si="223"/>
        <v>97.316656795323681</v>
      </c>
      <c r="W218" s="97">
        <f t="shared" si="223"/>
        <v>95.463752274035045</v>
      </c>
      <c r="X218" s="97">
        <f t="shared" si="223"/>
        <v>92.843557162127141</v>
      </c>
      <c r="Y218" s="97">
        <f t="shared" si="223"/>
        <v>89.737974232842589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125.12473586027201</v>
      </c>
      <c r="C219" s="97">
        <f t="shared" si="224"/>
        <v>122.0274564474732</v>
      </c>
      <c r="D219" s="97">
        <f t="shared" si="224"/>
        <v>123.38690813416038</v>
      </c>
      <c r="E219" s="97">
        <f t="shared" si="224"/>
        <v>122.5594173508364</v>
      </c>
      <c r="F219" s="97">
        <f t="shared" si="224"/>
        <v>120.20720331888691</v>
      </c>
      <c r="G219" s="97">
        <f t="shared" si="224"/>
        <v>115.3752193037683</v>
      </c>
      <c r="H219" s="97">
        <f t="shared" si="224"/>
        <v>114.50514711766014</v>
      </c>
      <c r="I219" s="97">
        <f t="shared" si="224"/>
        <v>114.08733023369132</v>
      </c>
      <c r="J219" s="97">
        <f t="shared" si="224"/>
        <v>111.99041114821546</v>
      </c>
      <c r="K219" s="97">
        <f t="shared" si="224"/>
        <v>113.85514713475156</v>
      </c>
      <c r="L219" s="97">
        <f t="shared" si="224"/>
        <v>114.34528047242559</v>
      </c>
      <c r="M219" s="97">
        <f t="shared" si="224"/>
        <v>112.26032828441754</v>
      </c>
      <c r="N219" s="97">
        <f t="shared" si="224"/>
        <v>109.96814328234419</v>
      </c>
      <c r="O219" s="97">
        <f t="shared" si="224"/>
        <v>109.33194737683966</v>
      </c>
      <c r="P219" s="97">
        <f t="shared" si="224"/>
        <v>106.31100035883733</v>
      </c>
      <c r="Q219" s="97">
        <f t="shared" si="224"/>
        <v>106.8004937651183</v>
      </c>
      <c r="R219" s="97">
        <f t="shared" si="224"/>
        <v>124.34118173744136</v>
      </c>
      <c r="S219" s="97">
        <f t="shared" si="224"/>
        <v>119.14487405916285</v>
      </c>
      <c r="T219" s="97">
        <f t="shared" si="224"/>
        <v>112.95595047958022</v>
      </c>
      <c r="U219" s="97">
        <f t="shared" si="224"/>
        <v>112.41022114631453</v>
      </c>
      <c r="V219" s="97">
        <f t="shared" si="224"/>
        <v>109.14552384580553</v>
      </c>
      <c r="W219" s="97">
        <f t="shared" si="224"/>
        <v>111.91973515036983</v>
      </c>
      <c r="X219" s="97">
        <f t="shared" si="224"/>
        <v>92.961234728137242</v>
      </c>
      <c r="Y219" s="97">
        <f t="shared" si="224"/>
        <v>85.812147255961946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204.10582743540112</v>
      </c>
      <c r="C220" s="97">
        <f t="shared" si="225"/>
        <v>197.01176535426291</v>
      </c>
      <c r="D220" s="97">
        <f t="shared" si="225"/>
        <v>190.71352307585377</v>
      </c>
      <c r="E220" s="97">
        <f t="shared" si="225"/>
        <v>192.12813483937313</v>
      </c>
      <c r="F220" s="97">
        <f t="shared" si="225"/>
        <v>190.81095766992706</v>
      </c>
      <c r="G220" s="97">
        <f t="shared" si="225"/>
        <v>170.24655327652846</v>
      </c>
      <c r="H220" s="97">
        <f t="shared" si="225"/>
        <v>174.16650947236766</v>
      </c>
      <c r="I220" s="97">
        <f t="shared" si="225"/>
        <v>162.4605526534005</v>
      </c>
      <c r="J220" s="97">
        <f t="shared" si="225"/>
        <v>160.95558442289979</v>
      </c>
      <c r="K220" s="97">
        <f t="shared" si="225"/>
        <v>151.11861974056458</v>
      </c>
      <c r="L220" s="97">
        <f t="shared" si="225"/>
        <v>155.80824689704679</v>
      </c>
      <c r="M220" s="97">
        <f t="shared" si="225"/>
        <v>146.44549499610051</v>
      </c>
      <c r="N220" s="97">
        <f t="shared" si="225"/>
        <v>145.91744992997852</v>
      </c>
      <c r="O220" s="97">
        <f t="shared" si="225"/>
        <v>106.21099820607662</v>
      </c>
      <c r="P220" s="97">
        <f t="shared" si="225"/>
        <v>94.213052172931185</v>
      </c>
      <c r="Q220" s="97">
        <f t="shared" si="225"/>
        <v>88.850491479447342</v>
      </c>
      <c r="R220" s="97">
        <f t="shared" si="225"/>
        <v>83.004674220128464</v>
      </c>
      <c r="S220" s="97">
        <f t="shared" si="225"/>
        <v>75.420856587110507</v>
      </c>
      <c r="T220" s="97">
        <f t="shared" si="225"/>
        <v>72.423293367385099</v>
      </c>
      <c r="U220" s="97">
        <f t="shared" si="225"/>
        <v>90.161107060961001</v>
      </c>
      <c r="V220" s="97">
        <f t="shared" si="225"/>
        <v>87.91466040218971</v>
      </c>
      <c r="W220" s="97">
        <f t="shared" si="225"/>
        <v>85.712386169405789</v>
      </c>
      <c r="X220" s="97">
        <f t="shared" si="225"/>
        <v>74.886749263099446</v>
      </c>
      <c r="Y220" s="97">
        <f t="shared" si="225"/>
        <v>77.191797355229866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2.8470667633929279</v>
      </c>
      <c r="C221" s="130">
        <f t="shared" si="226"/>
        <v>3.0711716450852813</v>
      </c>
      <c r="D221" s="130">
        <f t="shared" si="226"/>
        <v>4.2058251155862436</v>
      </c>
      <c r="E221" s="130">
        <f t="shared" si="226"/>
        <v>3.3593378150877435</v>
      </c>
      <c r="F221" s="130">
        <f t="shared" si="226"/>
        <v>1.860733124439109</v>
      </c>
      <c r="G221" s="130">
        <f t="shared" si="226"/>
        <v>1.4595789727274735</v>
      </c>
      <c r="H221" s="130">
        <f t="shared" si="226"/>
        <v>1.9453085795730833</v>
      </c>
      <c r="I221" s="130">
        <f t="shared" si="226"/>
        <v>1.7296311921628704</v>
      </c>
      <c r="J221" s="130">
        <f t="shared" si="226"/>
        <v>2.0350561187489902</v>
      </c>
      <c r="K221" s="130">
        <f t="shared" si="226"/>
        <v>1.9970996199684707</v>
      </c>
      <c r="L221" s="130">
        <f t="shared" si="226"/>
        <v>1.7472708450498937</v>
      </c>
      <c r="M221" s="130">
        <f t="shared" si="226"/>
        <v>1.3432404429036753</v>
      </c>
      <c r="N221" s="130">
        <f t="shared" si="226"/>
        <v>1.7819463622704073</v>
      </c>
      <c r="O221" s="130">
        <f t="shared" si="226"/>
        <v>1.3143873252673204</v>
      </c>
      <c r="P221" s="130">
        <f t="shared" si="226"/>
        <v>1.3637554428816514</v>
      </c>
      <c r="Q221" s="130">
        <f t="shared" si="226"/>
        <v>1.1852682362496112</v>
      </c>
      <c r="R221" s="130">
        <f t="shared" si="226"/>
        <v>1.1451164534020137</v>
      </c>
      <c r="S221" s="130">
        <f t="shared" si="226"/>
        <v>1.1995321824144838</v>
      </c>
      <c r="T221" s="130">
        <f t="shared" si="226"/>
        <v>1.1939915142551878</v>
      </c>
      <c r="U221" s="130">
        <f t="shared" si="226"/>
        <v>1.1358506792591647</v>
      </c>
      <c r="V221" s="130">
        <f t="shared" si="226"/>
        <v>1.8036212540814509</v>
      </c>
      <c r="W221" s="130">
        <f t="shared" si="226"/>
        <v>1.3054238894429062</v>
      </c>
      <c r="X221" s="130">
        <f t="shared" si="226"/>
        <v>0.81968550165908471</v>
      </c>
      <c r="Y221" s="130">
        <f t="shared" si="226"/>
        <v>0.77534692618172463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4.6983953608283873</v>
      </c>
      <c r="C223" s="97">
        <f t="shared" si="228"/>
        <v>5.0625939354726324</v>
      </c>
      <c r="D223" s="97">
        <f t="shared" si="228"/>
        <v>7.0488435427322189</v>
      </c>
      <c r="E223" s="97">
        <f t="shared" si="228"/>
        <v>5.6535452069894445</v>
      </c>
      <c r="F223" s="97">
        <f t="shared" si="228"/>
        <v>3.1906840375926251</v>
      </c>
      <c r="G223" s="97">
        <f t="shared" si="228"/>
        <v>2.4231672793426928</v>
      </c>
      <c r="H223" s="97">
        <f t="shared" si="228"/>
        <v>3.2087901868193023</v>
      </c>
      <c r="I223" s="97">
        <f t="shared" si="228"/>
        <v>2.8800230844656936</v>
      </c>
      <c r="J223" s="97">
        <f t="shared" si="228"/>
        <v>3.3405967806543089</v>
      </c>
      <c r="K223" s="97">
        <f t="shared" si="228"/>
        <v>3.2741713029588269</v>
      </c>
      <c r="L223" s="97">
        <f t="shared" si="228"/>
        <v>2.857005270278747</v>
      </c>
      <c r="M223" s="97">
        <f t="shared" si="228"/>
        <v>2.1548077217253887</v>
      </c>
      <c r="N223" s="97">
        <f t="shared" si="228"/>
        <v>2.8540558821302935</v>
      </c>
      <c r="O223" s="97">
        <f t="shared" si="228"/>
        <v>2.1376930995101033</v>
      </c>
      <c r="P223" s="97">
        <f t="shared" si="228"/>
        <v>2.2334121522690169</v>
      </c>
      <c r="Q223" s="97">
        <f t="shared" si="228"/>
        <v>1.9266676765180326</v>
      </c>
      <c r="R223" s="97">
        <f t="shared" si="228"/>
        <v>1.893331292415305</v>
      </c>
      <c r="S223" s="97">
        <f t="shared" si="228"/>
        <v>1.9704045657056257</v>
      </c>
      <c r="T223" s="97">
        <f t="shared" si="228"/>
        <v>1.9396406442669072</v>
      </c>
      <c r="U223" s="97">
        <f t="shared" si="228"/>
        <v>1.8357814328121667</v>
      </c>
      <c r="V223" s="97">
        <f t="shared" si="228"/>
        <v>2.7967382485101258</v>
      </c>
      <c r="W223" s="97">
        <f t="shared" si="228"/>
        <v>2.0625611682902956</v>
      </c>
      <c r="X223" s="97">
        <f t="shared" si="228"/>
        <v>1.2502055286192009</v>
      </c>
      <c r="Y223" s="97">
        <f t="shared" si="228"/>
        <v>1.1961312900347956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150.88157766578183</v>
      </c>
      <c r="C225" s="130">
        <f t="shared" si="230"/>
        <v>154.89616791625573</v>
      </c>
      <c r="D225" s="130">
        <f t="shared" si="230"/>
        <v>131.02845236225386</v>
      </c>
      <c r="E225" s="130">
        <f t="shared" si="230"/>
        <v>136.17858911900129</v>
      </c>
      <c r="F225" s="130">
        <f t="shared" si="230"/>
        <v>150.77124591287071</v>
      </c>
      <c r="G225" s="130">
        <f t="shared" si="230"/>
        <v>137.84305816349425</v>
      </c>
      <c r="H225" s="130">
        <f t="shared" si="230"/>
        <v>122.74168903551299</v>
      </c>
      <c r="I225" s="130">
        <f t="shared" si="230"/>
        <v>113.90996384800732</v>
      </c>
      <c r="J225" s="130">
        <f t="shared" si="230"/>
        <v>124.2017500950159</v>
      </c>
      <c r="K225" s="130">
        <f t="shared" si="230"/>
        <v>124.45742715201395</v>
      </c>
      <c r="L225" s="130">
        <f t="shared" si="230"/>
        <v>112.60475698631657</v>
      </c>
      <c r="M225" s="130">
        <f t="shared" si="230"/>
        <v>112.28491916955038</v>
      </c>
      <c r="N225" s="130">
        <f t="shared" si="230"/>
        <v>105.40789346494984</v>
      </c>
      <c r="O225" s="130">
        <f t="shared" si="230"/>
        <v>110.07313161237687</v>
      </c>
      <c r="P225" s="130">
        <f t="shared" si="230"/>
        <v>95.896222486593842</v>
      </c>
      <c r="Q225" s="130">
        <f t="shared" si="230"/>
        <v>95.215916596129588</v>
      </c>
      <c r="R225" s="130">
        <f t="shared" si="230"/>
        <v>98.997144335966112</v>
      </c>
      <c r="S225" s="130">
        <f t="shared" si="230"/>
        <v>94.198933433786266</v>
      </c>
      <c r="T225" s="130">
        <f t="shared" si="230"/>
        <v>96.071240882252198</v>
      </c>
      <c r="U225" s="130">
        <f t="shared" si="230"/>
        <v>95.218311868593716</v>
      </c>
      <c r="V225" s="130">
        <f t="shared" si="230"/>
        <v>145.27766619986764</v>
      </c>
      <c r="W225" s="130">
        <f t="shared" si="230"/>
        <v>134.66934836314417</v>
      </c>
      <c r="X225" s="130">
        <f t="shared" si="230"/>
        <v>97.180210065489973</v>
      </c>
      <c r="Y225" s="130">
        <f t="shared" si="230"/>
        <v>76.801552459037893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192.43571790201133</v>
      </c>
      <c r="C226" s="97">
        <f t="shared" si="231"/>
        <v>194.80152330953734</v>
      </c>
      <c r="D226" s="97">
        <f t="shared" si="231"/>
        <v>173.45943382131841</v>
      </c>
      <c r="E226" s="97">
        <f t="shared" si="231"/>
        <v>183.25626928090915</v>
      </c>
      <c r="F226" s="97">
        <f t="shared" si="231"/>
        <v>203.48036560359355</v>
      </c>
      <c r="G226" s="97">
        <f t="shared" si="231"/>
        <v>200.06779007624397</v>
      </c>
      <c r="H226" s="97">
        <f t="shared" si="231"/>
        <v>190.05931670583951</v>
      </c>
      <c r="I226" s="97">
        <f t="shared" si="231"/>
        <v>188.16246630114438</v>
      </c>
      <c r="J226" s="97">
        <f t="shared" si="231"/>
        <v>176.89782187805571</v>
      </c>
      <c r="K226" s="97">
        <f t="shared" si="231"/>
        <v>172.97963960291796</v>
      </c>
      <c r="L226" s="97">
        <f t="shared" si="231"/>
        <v>159.32168077895659</v>
      </c>
      <c r="M226" s="97">
        <f t="shared" si="231"/>
        <v>158.42040252547571</v>
      </c>
      <c r="N226" s="97">
        <f t="shared" si="231"/>
        <v>147.94605787819987</v>
      </c>
      <c r="O226" s="97">
        <f t="shared" si="231"/>
        <v>148.61031397063039</v>
      </c>
      <c r="P226" s="97">
        <f t="shared" si="231"/>
        <v>141.7330820976828</v>
      </c>
      <c r="Q226" s="97">
        <f t="shared" si="231"/>
        <v>139.9383029219845</v>
      </c>
      <c r="R226" s="97">
        <f t="shared" si="231"/>
        <v>142.00851715063033</v>
      </c>
      <c r="S226" s="97">
        <f t="shared" si="231"/>
        <v>136.77949519038322</v>
      </c>
      <c r="T226" s="97">
        <f t="shared" si="231"/>
        <v>133.61692933022806</v>
      </c>
      <c r="U226" s="97">
        <f t="shared" si="231"/>
        <v>133.51700596199854</v>
      </c>
      <c r="V226" s="97">
        <f t="shared" si="231"/>
        <v>168.45193965985251</v>
      </c>
      <c r="W226" s="97">
        <f t="shared" si="231"/>
        <v>175.50865522742657</v>
      </c>
      <c r="X226" s="97">
        <f t="shared" si="231"/>
        <v>137.25781649249595</v>
      </c>
      <c r="Y226" s="97">
        <f t="shared" si="231"/>
        <v>118.13662222489384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148.34800082874426</v>
      </c>
      <c r="C227" s="97">
        <f t="shared" si="232"/>
        <v>153.30618904929199</v>
      </c>
      <c r="D227" s="97">
        <f t="shared" si="232"/>
        <v>123.86063636745394</v>
      </c>
      <c r="E227" s="97">
        <f t="shared" si="232"/>
        <v>130.69926481538158</v>
      </c>
      <c r="F227" s="97">
        <f t="shared" si="232"/>
        <v>149.30273502807452</v>
      </c>
      <c r="G227" s="97">
        <f t="shared" si="232"/>
        <v>144.3950483407657</v>
      </c>
      <c r="H227" s="97">
        <f t="shared" si="232"/>
        <v>122.93593179446086</v>
      </c>
      <c r="I227" s="97">
        <f t="shared" si="232"/>
        <v>119.22629375393366</v>
      </c>
      <c r="J227" s="97">
        <f t="shared" si="232"/>
        <v>143.89239698963547</v>
      </c>
      <c r="K227" s="97">
        <f t="shared" si="232"/>
        <v>144.47081615368356</v>
      </c>
      <c r="L227" s="97">
        <f t="shared" si="232"/>
        <v>130.24967823795325</v>
      </c>
      <c r="M227" s="97">
        <f t="shared" si="232"/>
        <v>125.41916329788533</v>
      </c>
      <c r="N227" s="97">
        <f t="shared" si="232"/>
        <v>115.39839767439452</v>
      </c>
      <c r="O227" s="97">
        <f t="shared" si="232"/>
        <v>120.44998928908258</v>
      </c>
      <c r="P227" s="97">
        <f t="shared" si="232"/>
        <v>105.4534351249377</v>
      </c>
      <c r="Q227" s="97">
        <f t="shared" si="232"/>
        <v>105.60613806711937</v>
      </c>
      <c r="R227" s="97">
        <f t="shared" si="232"/>
        <v>109.20577443224715</v>
      </c>
      <c r="S227" s="97">
        <f t="shared" si="232"/>
        <v>104.30630959104246</v>
      </c>
      <c r="T227" s="97">
        <f t="shared" si="232"/>
        <v>110.76468646985475</v>
      </c>
      <c r="U227" s="97">
        <f t="shared" si="232"/>
        <v>108.46259918560177</v>
      </c>
      <c r="V227" s="97">
        <f t="shared" si="232"/>
        <v>163.91195391484223</v>
      </c>
      <c r="W227" s="97">
        <f t="shared" si="232"/>
        <v>132.84621746149264</v>
      </c>
      <c r="X227" s="97">
        <f t="shared" si="232"/>
        <v>103.98206834404613</v>
      </c>
      <c r="Y227" s="97">
        <f t="shared" si="232"/>
        <v>80.110231468433696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119.38404158756576</v>
      </c>
      <c r="C228" s="97">
        <f t="shared" si="233"/>
        <v>119.81615571432795</v>
      </c>
      <c r="D228" s="97">
        <f t="shared" si="233"/>
        <v>105.82194492664622</v>
      </c>
      <c r="E228" s="97">
        <f t="shared" si="233"/>
        <v>103.75622907865898</v>
      </c>
      <c r="F228" s="97">
        <f t="shared" si="233"/>
        <v>111.2815196372392</v>
      </c>
      <c r="G228" s="97">
        <f t="shared" si="233"/>
        <v>85.482732424621076</v>
      </c>
      <c r="H228" s="97">
        <f t="shared" si="233"/>
        <v>81.699008857519317</v>
      </c>
      <c r="I228" s="97">
        <f t="shared" si="233"/>
        <v>66.966347179599438</v>
      </c>
      <c r="J228" s="97">
        <f t="shared" si="233"/>
        <v>70.805825514613062</v>
      </c>
      <c r="K228" s="97">
        <f t="shared" si="233"/>
        <v>74.020286627948479</v>
      </c>
      <c r="L228" s="97">
        <f t="shared" si="233"/>
        <v>66.937551065022689</v>
      </c>
      <c r="M228" s="97">
        <f t="shared" si="233"/>
        <v>69.741340961636098</v>
      </c>
      <c r="N228" s="97">
        <f t="shared" si="233"/>
        <v>68.402864089063797</v>
      </c>
      <c r="O228" s="97">
        <f t="shared" si="233"/>
        <v>74.252714606438587</v>
      </c>
      <c r="P228" s="97">
        <f t="shared" si="233"/>
        <v>60.540461424035747</v>
      </c>
      <c r="Q228" s="97">
        <f t="shared" si="233"/>
        <v>59.762502458475126</v>
      </c>
      <c r="R228" s="97">
        <f t="shared" si="233"/>
        <v>62.671741728859587</v>
      </c>
      <c r="S228" s="97">
        <f t="shared" si="233"/>
        <v>58.865790940453358</v>
      </c>
      <c r="T228" s="97">
        <f t="shared" si="233"/>
        <v>58.34202415381214</v>
      </c>
      <c r="U228" s="97">
        <f t="shared" si="233"/>
        <v>60.427873582542013</v>
      </c>
      <c r="V228" s="97">
        <f t="shared" si="233"/>
        <v>108.26283759049166</v>
      </c>
      <c r="W228" s="97">
        <f t="shared" si="233"/>
        <v>118.70457889887923</v>
      </c>
      <c r="X228" s="97">
        <f t="shared" si="233"/>
        <v>67.978071647951467</v>
      </c>
      <c r="Y228" s="97">
        <f t="shared" si="233"/>
        <v>55.72237310560395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93.725083820922023</v>
      </c>
      <c r="C229" s="32">
        <f t="shared" si="234"/>
        <v>98.470392232307631</v>
      </c>
      <c r="D229" s="32">
        <f t="shared" si="234"/>
        <v>94.282648866085538</v>
      </c>
      <c r="E229" s="32">
        <f t="shared" si="234"/>
        <v>97.953956598113137</v>
      </c>
      <c r="F229" s="32">
        <f t="shared" si="234"/>
        <v>100.58794417749675</v>
      </c>
      <c r="G229" s="32">
        <f t="shared" si="234"/>
        <v>91.265779627514178</v>
      </c>
      <c r="H229" s="32">
        <f t="shared" si="234"/>
        <v>89.392251391910165</v>
      </c>
      <c r="I229" s="32">
        <f t="shared" si="234"/>
        <v>88.959575045859964</v>
      </c>
      <c r="J229" s="32">
        <f t="shared" si="234"/>
        <v>87.778830746404836</v>
      </c>
      <c r="K229" s="32">
        <f t="shared" si="234"/>
        <v>94.04469656344564</v>
      </c>
      <c r="L229" s="32">
        <f t="shared" si="234"/>
        <v>91.960744798924637</v>
      </c>
      <c r="M229" s="32">
        <f t="shared" si="234"/>
        <v>89.488461713025814</v>
      </c>
      <c r="N229" s="32">
        <f t="shared" si="234"/>
        <v>84.939059142204243</v>
      </c>
      <c r="O229" s="32">
        <f t="shared" si="234"/>
        <v>82.736928307591114</v>
      </c>
      <c r="P229" s="32">
        <f t="shared" si="234"/>
        <v>70.284709738827701</v>
      </c>
      <c r="Q229" s="32">
        <f t="shared" si="234"/>
        <v>68.613426066653133</v>
      </c>
      <c r="R229" s="32">
        <f t="shared" si="234"/>
        <v>59.556225169871176</v>
      </c>
      <c r="S229" s="32">
        <f t="shared" si="234"/>
        <v>58.069452862419041</v>
      </c>
      <c r="T229" s="32">
        <f t="shared" si="234"/>
        <v>51.551474745963574</v>
      </c>
      <c r="U229" s="32">
        <f t="shared" si="234"/>
        <v>52.05738902065935</v>
      </c>
      <c r="V229" s="32">
        <f t="shared" si="234"/>
        <v>52.546029347723938</v>
      </c>
      <c r="W229" s="32">
        <f t="shared" si="234"/>
        <v>49.969050146097224</v>
      </c>
      <c r="X229" s="32">
        <f t="shared" si="234"/>
        <v>45.102290316213569</v>
      </c>
      <c r="Y229" s="32">
        <f t="shared" si="234"/>
        <v>48.68957441231958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130.25447831108929</v>
      </c>
      <c r="C230" s="141">
        <f t="shared" si="235"/>
        <v>136.99384284441805</v>
      </c>
      <c r="D230" s="141">
        <f t="shared" si="235"/>
        <v>129.43958212669546</v>
      </c>
      <c r="E230" s="141">
        <f t="shared" si="235"/>
        <v>135.17278525452343</v>
      </c>
      <c r="F230" s="141">
        <f t="shared" si="235"/>
        <v>139.5549090539736</v>
      </c>
      <c r="G230" s="141">
        <f t="shared" si="235"/>
        <v>126.29425821046073</v>
      </c>
      <c r="H230" s="141">
        <f t="shared" si="235"/>
        <v>125.2219828015057</v>
      </c>
      <c r="I230" s="141">
        <f t="shared" si="235"/>
        <v>123.47618505634001</v>
      </c>
      <c r="J230" s="141">
        <f t="shared" si="235"/>
        <v>120.51681025529101</v>
      </c>
      <c r="K230" s="141">
        <f t="shared" si="235"/>
        <v>131.54415084604227</v>
      </c>
      <c r="L230" s="141">
        <f t="shared" si="235"/>
        <v>134.59998037226504</v>
      </c>
      <c r="M230" s="141">
        <f t="shared" si="235"/>
        <v>128.73386210153686</v>
      </c>
      <c r="N230" s="141">
        <f t="shared" si="235"/>
        <v>123.72144225414313</v>
      </c>
      <c r="O230" s="141">
        <f t="shared" si="235"/>
        <v>116.96879317532529</v>
      </c>
      <c r="P230" s="141">
        <f t="shared" si="235"/>
        <v>94.311925420841646</v>
      </c>
      <c r="Q230" s="141">
        <f t="shared" si="235"/>
        <v>90.939581973966298</v>
      </c>
      <c r="R230" s="141">
        <f t="shared" si="235"/>
        <v>77.493215170251958</v>
      </c>
      <c r="S230" s="141">
        <f t="shared" si="235"/>
        <v>76.653372857736784</v>
      </c>
      <c r="T230" s="141">
        <f t="shared" si="235"/>
        <v>67.180809019054578</v>
      </c>
      <c r="U230" s="141">
        <f t="shared" si="235"/>
        <v>67.786027567943009</v>
      </c>
      <c r="V230" s="141">
        <f t="shared" si="235"/>
        <v>69.887989814102184</v>
      </c>
      <c r="W230" s="141">
        <f t="shared" si="235"/>
        <v>66.733726531500395</v>
      </c>
      <c r="X230" s="141">
        <f t="shared" si="235"/>
        <v>57.553430719314484</v>
      </c>
      <c r="Y230" s="141">
        <f t="shared" si="235"/>
        <v>63.072204799935733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1708.6644631995655</v>
      </c>
      <c r="C231" s="97">
        <f t="shared" si="236"/>
        <v>1598.120474926108</v>
      </c>
      <c r="D231" s="97">
        <f t="shared" si="236"/>
        <v>1531.3926338866172</v>
      </c>
      <c r="E231" s="97">
        <f t="shared" si="236"/>
        <v>1524.8898390730999</v>
      </c>
      <c r="F231" s="97">
        <f t="shared" si="236"/>
        <v>1534.3120086163692</v>
      </c>
      <c r="G231" s="97">
        <f t="shared" si="236"/>
        <v>1417.2949940331168</v>
      </c>
      <c r="H231" s="97">
        <f t="shared" si="236"/>
        <v>1398.1269542194295</v>
      </c>
      <c r="I231" s="97">
        <f t="shared" si="236"/>
        <v>1345.2467242488442</v>
      </c>
      <c r="J231" s="97">
        <f t="shared" si="236"/>
        <v>1314.3396358015989</v>
      </c>
      <c r="K231" s="97">
        <f t="shared" si="236"/>
        <v>1280.2796697665572</v>
      </c>
      <c r="L231" s="97">
        <f t="shared" si="236"/>
        <v>1297.468474413545</v>
      </c>
      <c r="M231" s="97">
        <f t="shared" si="236"/>
        <v>1256.2886026089845</v>
      </c>
      <c r="N231" s="97">
        <f t="shared" si="236"/>
        <v>1174.6061960742288</v>
      </c>
      <c r="O231" s="97">
        <f t="shared" si="236"/>
        <v>1119.7534900801966</v>
      </c>
      <c r="P231" s="97">
        <f t="shared" si="236"/>
        <v>1000.8125221520277</v>
      </c>
      <c r="Q231" s="97">
        <f t="shared" si="236"/>
        <v>953.83021141088852</v>
      </c>
      <c r="R231" s="97">
        <f t="shared" si="236"/>
        <v>849.9613750653599</v>
      </c>
      <c r="S231" s="97">
        <f t="shared" si="236"/>
        <v>799.15079989461481</v>
      </c>
      <c r="T231" s="97">
        <f t="shared" si="236"/>
        <v>737.5204667142666</v>
      </c>
      <c r="U231" s="97">
        <f t="shared" si="236"/>
        <v>737.20861110043234</v>
      </c>
      <c r="V231" s="97">
        <f t="shared" si="236"/>
        <v>742.59398983969629</v>
      </c>
      <c r="W231" s="97">
        <f t="shared" si="236"/>
        <v>738.31054582679383</v>
      </c>
      <c r="X231" s="97">
        <f t="shared" si="236"/>
        <v>644.36265722808628</v>
      </c>
      <c r="Y231" s="97">
        <f t="shared" si="236"/>
        <v>663.80411662192751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99.297829042960515</v>
      </c>
      <c r="C232" s="97">
        <f t="shared" si="237"/>
        <v>102.19646954358352</v>
      </c>
      <c r="D232" s="97">
        <f t="shared" si="237"/>
        <v>95.020531403029139</v>
      </c>
      <c r="E232" s="97">
        <f t="shared" si="237"/>
        <v>97.870231566636576</v>
      </c>
      <c r="F232" s="97">
        <f t="shared" si="237"/>
        <v>100.68012927733018</v>
      </c>
      <c r="G232" s="97">
        <f t="shared" si="237"/>
        <v>93.451244842814873</v>
      </c>
      <c r="H232" s="97">
        <f t="shared" si="237"/>
        <v>91.386995226670109</v>
      </c>
      <c r="I232" s="97">
        <f t="shared" si="237"/>
        <v>89.891796508607101</v>
      </c>
      <c r="J232" s="97">
        <f t="shared" si="237"/>
        <v>87.592745875462711</v>
      </c>
      <c r="K232" s="97">
        <f t="shared" si="237"/>
        <v>93.255984494539717</v>
      </c>
      <c r="L232" s="97">
        <f t="shared" si="237"/>
        <v>94.81064655252537</v>
      </c>
      <c r="M232" s="97">
        <f t="shared" si="237"/>
        <v>88.262936437075481</v>
      </c>
      <c r="N232" s="97">
        <f t="shared" si="237"/>
        <v>82.16329849750754</v>
      </c>
      <c r="O232" s="97">
        <f t="shared" si="237"/>
        <v>78.218401597065323</v>
      </c>
      <c r="P232" s="97">
        <f t="shared" si="237"/>
        <v>63.900008652050005</v>
      </c>
      <c r="Q232" s="97">
        <f t="shared" si="237"/>
        <v>60.61115693199266</v>
      </c>
      <c r="R232" s="97">
        <f t="shared" si="237"/>
        <v>50.550309386182541</v>
      </c>
      <c r="S232" s="97">
        <f t="shared" si="237"/>
        <v>49.221028592218715</v>
      </c>
      <c r="T232" s="97">
        <f t="shared" si="237"/>
        <v>42.760563724291288</v>
      </c>
      <c r="U232" s="97">
        <f t="shared" si="237"/>
        <v>42.196815343658166</v>
      </c>
      <c r="V232" s="97">
        <f t="shared" si="237"/>
        <v>43.977213739996309</v>
      </c>
      <c r="W232" s="97">
        <f t="shared" si="237"/>
        <v>42.573489780828666</v>
      </c>
      <c r="X232" s="97">
        <f t="shared" si="237"/>
        <v>37.068508261225681</v>
      </c>
      <c r="Y232" s="97">
        <f t="shared" si="237"/>
        <v>39.624522831304674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2.4318372921338791</v>
      </c>
      <c r="C233" s="130">
        <f t="shared" si="238"/>
        <v>2.2970937728052396</v>
      </c>
      <c r="D233" s="130">
        <f t="shared" si="238"/>
        <v>2.1006093904737355</v>
      </c>
      <c r="E233" s="130">
        <f t="shared" si="238"/>
        <v>2.1458879771060935</v>
      </c>
      <c r="F233" s="130">
        <f t="shared" si="238"/>
        <v>2.2579440850822126</v>
      </c>
      <c r="G233" s="130">
        <f t="shared" si="238"/>
        <v>2.2939792932837406</v>
      </c>
      <c r="H233" s="130">
        <f t="shared" si="238"/>
        <v>2.0976441173965612</v>
      </c>
      <c r="I233" s="130">
        <f t="shared" si="238"/>
        <v>1.9458431221371966</v>
      </c>
      <c r="J233" s="130">
        <f t="shared" si="238"/>
        <v>1.9138277617581916</v>
      </c>
      <c r="K233" s="130">
        <f t="shared" si="238"/>
        <v>1.7868434348534776</v>
      </c>
      <c r="L233" s="130">
        <f t="shared" si="238"/>
        <v>1.6176828263192418</v>
      </c>
      <c r="M233" s="130">
        <f t="shared" si="238"/>
        <v>1.8359875369053735</v>
      </c>
      <c r="N233" s="130">
        <f t="shared" si="238"/>
        <v>1.5724397014217517</v>
      </c>
      <c r="O233" s="130">
        <f t="shared" si="238"/>
        <v>1.6532884851981275</v>
      </c>
      <c r="P233" s="130">
        <f t="shared" si="238"/>
        <v>1.3070006897948729</v>
      </c>
      <c r="Q233" s="130">
        <f t="shared" si="238"/>
        <v>1.3756597045735015</v>
      </c>
      <c r="R233" s="130">
        <f t="shared" si="238"/>
        <v>1.2718682241419115</v>
      </c>
      <c r="S233" s="130">
        <f t="shared" si="238"/>
        <v>1.0192677181693099</v>
      </c>
      <c r="T233" s="130">
        <f t="shared" si="238"/>
        <v>1.0892105265363052</v>
      </c>
      <c r="U233" s="130">
        <f t="shared" si="238"/>
        <v>1.1023453309581495</v>
      </c>
      <c r="V233" s="130">
        <f t="shared" si="238"/>
        <v>1.1527423458261243</v>
      </c>
      <c r="W233" s="130">
        <f t="shared" si="238"/>
        <v>0.97184645858879648</v>
      </c>
      <c r="X233" s="130">
        <f t="shared" si="238"/>
        <v>1.1478823408994543</v>
      </c>
      <c r="Y233" s="130">
        <f t="shared" si="238"/>
        <v>1.0851168728651213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341.41903581355899</v>
      </c>
      <c r="C234" s="130">
        <f t="shared" si="239"/>
        <v>312.00491665539084</v>
      </c>
      <c r="D234" s="130">
        <f t="shared" si="239"/>
        <v>274.08967726573161</v>
      </c>
      <c r="E234" s="130">
        <f t="shared" si="239"/>
        <v>286.33598088688211</v>
      </c>
      <c r="F234" s="130">
        <f t="shared" si="239"/>
        <v>339.66884838235882</v>
      </c>
      <c r="G234" s="130">
        <f t="shared" si="239"/>
        <v>303.9199894320231</v>
      </c>
      <c r="H234" s="130">
        <f t="shared" si="239"/>
        <v>309.46556399589895</v>
      </c>
      <c r="I234" s="130">
        <f t="shared" si="239"/>
        <v>281.87447181201759</v>
      </c>
      <c r="J234" s="130">
        <f t="shared" si="239"/>
        <v>302.03332614267367</v>
      </c>
      <c r="K234" s="130">
        <f t="shared" si="239"/>
        <v>290.11205699049447</v>
      </c>
      <c r="L234" s="130">
        <f t="shared" si="239"/>
        <v>270.40443697742069</v>
      </c>
      <c r="M234" s="130">
        <f t="shared" si="239"/>
        <v>252.78910763734746</v>
      </c>
      <c r="N234" s="130">
        <f t="shared" si="239"/>
        <v>232.73135557348459</v>
      </c>
      <c r="O234" s="130">
        <f t="shared" si="239"/>
        <v>251.46874946526859</v>
      </c>
      <c r="P234" s="130">
        <f t="shared" si="239"/>
        <v>178.39948000834633</v>
      </c>
      <c r="Q234" s="130">
        <f t="shared" si="239"/>
        <v>176.53179579030285</v>
      </c>
      <c r="R234" s="130">
        <f t="shared" si="239"/>
        <v>163.21695065738075</v>
      </c>
      <c r="S234" s="130">
        <f t="shared" si="239"/>
        <v>173.04977300267998</v>
      </c>
      <c r="T234" s="130">
        <f t="shared" si="239"/>
        <v>188.86831316362679</v>
      </c>
      <c r="U234" s="130">
        <f t="shared" si="239"/>
        <v>257.18900201156839</v>
      </c>
      <c r="V234" s="130">
        <f t="shared" si="239"/>
        <v>393.561259890683</v>
      </c>
      <c r="W234" s="130">
        <f t="shared" si="239"/>
        <v>363.53422657706034</v>
      </c>
      <c r="X234" s="130">
        <f t="shared" si="239"/>
        <v>261.48625500825892</v>
      </c>
      <c r="Y234" s="130">
        <f t="shared" si="239"/>
        <v>210.29124663830251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1277.9209157328185</v>
      </c>
      <c r="C235" s="97">
        <f t="shared" si="240"/>
        <v>1332.7021032805883</v>
      </c>
      <c r="D235" s="97">
        <f t="shared" si="240"/>
        <v>1154.5518917320246</v>
      </c>
      <c r="E235" s="97">
        <f t="shared" si="240"/>
        <v>1121.8362679055433</v>
      </c>
      <c r="F235" s="97">
        <f t="shared" si="240"/>
        <v>1297.9028327548699</v>
      </c>
      <c r="G235" s="97">
        <f t="shared" si="240"/>
        <v>1417.7870107564072</v>
      </c>
      <c r="H235" s="97">
        <f t="shared" si="240"/>
        <v>1431.6533039161036</v>
      </c>
      <c r="I235" s="97">
        <f t="shared" si="240"/>
        <v>1454.0454957057493</v>
      </c>
      <c r="J235" s="97">
        <f t="shared" si="240"/>
        <v>1383.0343674825799</v>
      </c>
      <c r="K235" s="97">
        <f t="shared" si="240"/>
        <v>1260.4195883963828</v>
      </c>
      <c r="L235" s="97">
        <f t="shared" si="240"/>
        <v>1129.8450636106243</v>
      </c>
      <c r="M235" s="97">
        <f t="shared" si="240"/>
        <v>1074.426802131572</v>
      </c>
      <c r="N235" s="97">
        <f t="shared" si="240"/>
        <v>1039.7627495424667</v>
      </c>
      <c r="O235" s="97">
        <f t="shared" si="240"/>
        <v>1027.8473863485219</v>
      </c>
      <c r="P235" s="97">
        <f t="shared" si="240"/>
        <v>901.80789339236685</v>
      </c>
      <c r="Q235" s="97">
        <f t="shared" si="240"/>
        <v>897.3647170116277</v>
      </c>
      <c r="R235" s="97">
        <f t="shared" si="240"/>
        <v>806.18597778607557</v>
      </c>
      <c r="S235" s="97">
        <f t="shared" si="240"/>
        <v>864.04199448772476</v>
      </c>
      <c r="T235" s="97">
        <f t="shared" si="240"/>
        <v>827.71649472054344</v>
      </c>
      <c r="U235" s="97">
        <f t="shared" si="240"/>
        <v>769.6727371821072</v>
      </c>
      <c r="V235" s="97">
        <f t="shared" si="240"/>
        <v>768.36442184356736</v>
      </c>
      <c r="W235" s="97">
        <f t="shared" si="240"/>
        <v>845.32174933177464</v>
      </c>
      <c r="X235" s="97">
        <f t="shared" si="240"/>
        <v>880.46688051542083</v>
      </c>
      <c r="Y235" s="97">
        <f t="shared" si="240"/>
        <v>708.6407888986796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593.95620318243914</v>
      </c>
      <c r="C236" s="97">
        <f t="shared" si="241"/>
        <v>604.89578947212522</v>
      </c>
      <c r="D236" s="97">
        <f t="shared" si="241"/>
        <v>533.64491196555048</v>
      </c>
      <c r="E236" s="97">
        <f t="shared" si="241"/>
        <v>521.7547887263637</v>
      </c>
      <c r="F236" s="97">
        <f t="shared" si="241"/>
        <v>606.4960165257645</v>
      </c>
      <c r="G236" s="97">
        <f t="shared" si="241"/>
        <v>671.25058028382534</v>
      </c>
      <c r="H236" s="97">
        <f t="shared" si="241"/>
        <v>689.48034045474469</v>
      </c>
      <c r="I236" s="97">
        <f t="shared" si="241"/>
        <v>674.14914424162123</v>
      </c>
      <c r="J236" s="97">
        <f t="shared" si="241"/>
        <v>782.19818001021952</v>
      </c>
      <c r="K236" s="97">
        <f t="shared" si="241"/>
        <v>779.90078643166953</v>
      </c>
      <c r="L236" s="97">
        <f t="shared" si="241"/>
        <v>686.23557793081648</v>
      </c>
      <c r="M236" s="97">
        <f t="shared" si="241"/>
        <v>640.74011960984592</v>
      </c>
      <c r="N236" s="97">
        <f t="shared" si="241"/>
        <v>571.99859877130416</v>
      </c>
      <c r="O236" s="97">
        <f t="shared" si="241"/>
        <v>603.32446728646551</v>
      </c>
      <c r="P236" s="97">
        <f t="shared" si="241"/>
        <v>471.61405255258097</v>
      </c>
      <c r="Q236" s="97">
        <f t="shared" si="241"/>
        <v>495.18984392877388</v>
      </c>
      <c r="R236" s="97">
        <f t="shared" si="241"/>
        <v>481.80239928490533</v>
      </c>
      <c r="S236" s="97">
        <f t="shared" si="241"/>
        <v>497.51203460004865</v>
      </c>
      <c r="T236" s="97">
        <f t="shared" si="241"/>
        <v>522.62038609558249</v>
      </c>
      <c r="U236" s="97">
        <f t="shared" si="241"/>
        <v>471.21603375407585</v>
      </c>
      <c r="V236" s="97">
        <f t="shared" si="241"/>
        <v>648.88468639823679</v>
      </c>
      <c r="W236" s="97">
        <f t="shared" si="241"/>
        <v>610.61727602955455</v>
      </c>
      <c r="X236" s="97">
        <f t="shared" si="241"/>
        <v>624.45774669913703</v>
      </c>
      <c r="Y236" s="97">
        <f t="shared" si="241"/>
        <v>503.48847905512918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239.45402608056742</v>
      </c>
      <c r="C237" s="97">
        <f t="shared" si="242"/>
        <v>240.49391019934714</v>
      </c>
      <c r="D237" s="97">
        <f t="shared" si="242"/>
        <v>212.28088566872447</v>
      </c>
      <c r="E237" s="97">
        <f t="shared" si="242"/>
        <v>233.13634207569746</v>
      </c>
      <c r="F237" s="97">
        <f t="shared" si="242"/>
        <v>269.42445252428621</v>
      </c>
      <c r="G237" s="97">
        <f t="shared" si="242"/>
        <v>230.12821304652454</v>
      </c>
      <c r="H237" s="97">
        <f t="shared" si="242"/>
        <v>228.86853189614297</v>
      </c>
      <c r="I237" s="97">
        <f t="shared" si="242"/>
        <v>192.65173236519703</v>
      </c>
      <c r="J237" s="97">
        <f t="shared" si="242"/>
        <v>204.49304648118238</v>
      </c>
      <c r="K237" s="97">
        <f t="shared" si="242"/>
        <v>194.19080105569307</v>
      </c>
      <c r="L237" s="97">
        <f t="shared" si="242"/>
        <v>197.18582753516802</v>
      </c>
      <c r="M237" s="97">
        <f t="shared" si="242"/>
        <v>192.03987398186172</v>
      </c>
      <c r="N237" s="97">
        <f t="shared" si="242"/>
        <v>173.54708031004787</v>
      </c>
      <c r="O237" s="97">
        <f t="shared" si="242"/>
        <v>166.70135353888742</v>
      </c>
      <c r="P237" s="97">
        <f t="shared" si="242"/>
        <v>100.0768730490348</v>
      </c>
      <c r="Q237" s="97">
        <f t="shared" si="242"/>
        <v>87.090670378474698</v>
      </c>
      <c r="R237" s="97">
        <f t="shared" si="242"/>
        <v>70.596998167089041</v>
      </c>
      <c r="S237" s="97">
        <f t="shared" si="242"/>
        <v>60.695848491093436</v>
      </c>
      <c r="T237" s="97">
        <f t="shared" si="242"/>
        <v>58.689767970711863</v>
      </c>
      <c r="U237" s="97">
        <f t="shared" si="242"/>
        <v>62.600932113434702</v>
      </c>
      <c r="V237" s="97">
        <f t="shared" si="242"/>
        <v>131.38916779213653</v>
      </c>
      <c r="W237" s="97">
        <f t="shared" si="242"/>
        <v>135.35919860262314</v>
      </c>
      <c r="X237" s="97">
        <f t="shared" si="242"/>
        <v>180.24734010755776</v>
      </c>
      <c r="Y237" s="97">
        <f t="shared" si="242"/>
        <v>148.44578199102892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236.79417634517168</v>
      </c>
      <c r="C238" s="130">
        <f t="shared" si="243"/>
        <v>241.27553907084442</v>
      </c>
      <c r="D238" s="130">
        <f t="shared" si="243"/>
        <v>238.11082976165162</v>
      </c>
      <c r="E238" s="130">
        <f t="shared" si="243"/>
        <v>275.51975580819084</v>
      </c>
      <c r="F238" s="130">
        <f t="shared" si="243"/>
        <v>243.44380204607626</v>
      </c>
      <c r="G238" s="130">
        <f t="shared" si="243"/>
        <v>197.34894274700204</v>
      </c>
      <c r="H238" s="130">
        <f t="shared" si="243"/>
        <v>132.23336278344945</v>
      </c>
      <c r="I238" s="130">
        <f t="shared" si="243"/>
        <v>204.38517711648115</v>
      </c>
      <c r="J238" s="130">
        <f t="shared" si="243"/>
        <v>192.1845699577398</v>
      </c>
      <c r="K238" s="130">
        <f t="shared" si="243"/>
        <v>201.35539022703844</v>
      </c>
      <c r="L238" s="130">
        <f t="shared" si="243"/>
        <v>146.28672995850314</v>
      </c>
      <c r="M238" s="130">
        <f t="shared" si="243"/>
        <v>152.32703166122735</v>
      </c>
      <c r="N238" s="130">
        <f t="shared" si="243"/>
        <v>150.40305725271332</v>
      </c>
      <c r="O238" s="130">
        <f t="shared" si="243"/>
        <v>142.13056788956462</v>
      </c>
      <c r="P238" s="130">
        <f t="shared" si="243"/>
        <v>143.17370270685311</v>
      </c>
      <c r="Q238" s="130">
        <f t="shared" si="243"/>
        <v>141.65391495993984</v>
      </c>
      <c r="R238" s="130">
        <f t="shared" si="243"/>
        <v>147.26818268283773</v>
      </c>
      <c r="S238" s="130">
        <f t="shared" si="243"/>
        <v>129.11646426112677</v>
      </c>
      <c r="T238" s="130">
        <f t="shared" si="243"/>
        <v>123.9461324840893</v>
      </c>
      <c r="U238" s="130">
        <f t="shared" si="243"/>
        <v>125.76785204094088</v>
      </c>
      <c r="V238" s="130">
        <f t="shared" si="243"/>
        <v>95.628652232733543</v>
      </c>
      <c r="W238" s="130">
        <f t="shared" si="243"/>
        <v>75.446909090993117</v>
      </c>
      <c r="X238" s="130">
        <f t="shared" si="243"/>
        <v>95.598862679009358</v>
      </c>
      <c r="Y238" s="130">
        <f t="shared" si="243"/>
        <v>122.11165317988747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236.79417634517168</v>
      </c>
      <c r="C239" s="97">
        <f t="shared" si="244"/>
        <v>241.27553907084442</v>
      </c>
      <c r="D239" s="97">
        <f t="shared" si="244"/>
        <v>238.11082976165162</v>
      </c>
      <c r="E239" s="97">
        <f t="shared" si="244"/>
        <v>275.51975580819084</v>
      </c>
      <c r="F239" s="97">
        <f t="shared" si="244"/>
        <v>243.44380204607626</v>
      </c>
      <c r="G239" s="97">
        <f t="shared" si="244"/>
        <v>197.34894274700204</v>
      </c>
      <c r="H239" s="97">
        <f t="shared" si="244"/>
        <v>132.23336278344945</v>
      </c>
      <c r="I239" s="97">
        <f t="shared" si="244"/>
        <v>204.38517711648115</v>
      </c>
      <c r="J239" s="97">
        <f t="shared" si="244"/>
        <v>192.1845699577398</v>
      </c>
      <c r="K239" s="97">
        <f t="shared" si="244"/>
        <v>201.35539022703844</v>
      </c>
      <c r="L239" s="97">
        <f t="shared" si="244"/>
        <v>146.28672995850314</v>
      </c>
      <c r="M239" s="97">
        <f t="shared" si="244"/>
        <v>152.32703166122735</v>
      </c>
      <c r="N239" s="97">
        <f t="shared" si="244"/>
        <v>150.40305725271332</v>
      </c>
      <c r="O239" s="97">
        <f t="shared" si="244"/>
        <v>142.13056788956462</v>
      </c>
      <c r="P239" s="97">
        <f t="shared" si="244"/>
        <v>143.17370270685311</v>
      </c>
      <c r="Q239" s="97">
        <f t="shared" si="244"/>
        <v>141.65391495993984</v>
      </c>
      <c r="R239" s="97">
        <f t="shared" si="244"/>
        <v>147.7878331127433</v>
      </c>
      <c r="S239" s="97">
        <f t="shared" si="244"/>
        <v>129.24604897691725</v>
      </c>
      <c r="T239" s="97">
        <f t="shared" si="244"/>
        <v>124.9547863966841</v>
      </c>
      <c r="U239" s="97">
        <f t="shared" si="244"/>
        <v>127.01696747897243</v>
      </c>
      <c r="V239" s="97">
        <f t="shared" si="244"/>
        <v>97.128415133554938</v>
      </c>
      <c r="W239" s="97">
        <f t="shared" si="244"/>
        <v>77.235091384537228</v>
      </c>
      <c r="X239" s="97">
        <f t="shared" si="244"/>
        <v>97.732716677708638</v>
      </c>
      <c r="Y239" s="97">
        <f t="shared" si="244"/>
        <v>125.78775184541732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45.790099733385752</v>
      </c>
      <c r="S240" s="98">
        <f t="shared" si="245"/>
        <v>37.429083689956734</v>
      </c>
      <c r="T240" s="98">
        <f t="shared" si="245"/>
        <v>36.685066427537528</v>
      </c>
      <c r="U240" s="98">
        <f t="shared" si="245"/>
        <v>36.161230501854284</v>
      </c>
      <c r="V240" s="98">
        <f t="shared" si="245"/>
        <v>28.172088667503157</v>
      </c>
      <c r="W240" s="98">
        <f t="shared" si="245"/>
        <v>22.725993494597585</v>
      </c>
      <c r="X240" s="98">
        <f t="shared" si="245"/>
        <v>27.534987272543543</v>
      </c>
      <c r="Y240" s="98">
        <f t="shared" si="245"/>
        <v>38.388890142454777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48.705454104769167</v>
      </c>
      <c r="C241" s="32">
        <f t="shared" si="246"/>
        <v>51.317543231634147</v>
      </c>
      <c r="D241" s="32">
        <f t="shared" si="246"/>
        <v>43.07575907555313</v>
      </c>
      <c r="E241" s="32">
        <f t="shared" si="246"/>
        <v>55.880133528818007</v>
      </c>
      <c r="F241" s="32">
        <f t="shared" si="246"/>
        <v>64.582881079308564</v>
      </c>
      <c r="G241" s="32">
        <f t="shared" si="246"/>
        <v>58.069201825097352</v>
      </c>
      <c r="H241" s="32">
        <f t="shared" si="246"/>
        <v>66.352816587842895</v>
      </c>
      <c r="I241" s="32">
        <f t="shared" si="246"/>
        <v>65.890315717191783</v>
      </c>
      <c r="J241" s="32">
        <f t="shared" si="246"/>
        <v>59.063774014149118</v>
      </c>
      <c r="K241" s="32">
        <f t="shared" si="246"/>
        <v>71.14126687704146</v>
      </c>
      <c r="L241" s="32">
        <f t="shared" si="246"/>
        <v>53.47905888458304</v>
      </c>
      <c r="M241" s="32">
        <f t="shared" si="246"/>
        <v>52.079884284326134</v>
      </c>
      <c r="N241" s="32">
        <f t="shared" si="246"/>
        <v>54.942725959880036</v>
      </c>
      <c r="O241" s="32">
        <f t="shared" si="246"/>
        <v>48.805302447300598</v>
      </c>
      <c r="P241" s="32">
        <f t="shared" si="246"/>
        <v>48.076478930601368</v>
      </c>
      <c r="Q241" s="32">
        <f t="shared" si="246"/>
        <v>48.487418745120912</v>
      </c>
      <c r="R241" s="32">
        <f t="shared" si="246"/>
        <v>54.22743672455141</v>
      </c>
      <c r="S241" s="32">
        <f t="shared" si="246"/>
        <v>72.20272308718873</v>
      </c>
      <c r="T241" s="32">
        <f t="shared" si="246"/>
        <v>56.709368734666398</v>
      </c>
      <c r="U241" s="32">
        <f t="shared" si="246"/>
        <v>62.705745025772153</v>
      </c>
      <c r="V241" s="32">
        <f t="shared" si="246"/>
        <v>74.162788001764511</v>
      </c>
      <c r="W241" s="32">
        <f t="shared" si="246"/>
        <v>87.528725509231705</v>
      </c>
      <c r="X241" s="32">
        <f t="shared" si="246"/>
        <v>68.142019594255828</v>
      </c>
      <c r="Y241" s="32">
        <f t="shared" si="246"/>
        <v>59.498053802512764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66.074605781338249</v>
      </c>
      <c r="C242" s="97">
        <f t="shared" si="247"/>
        <v>72.332374218274921</v>
      </c>
      <c r="D242" s="97">
        <f t="shared" si="247"/>
        <v>59.073495456029463</v>
      </c>
      <c r="E242" s="97">
        <f t="shared" si="247"/>
        <v>76.525324600174358</v>
      </c>
      <c r="F242" s="97">
        <f t="shared" si="247"/>
        <v>86.768526655909582</v>
      </c>
      <c r="G242" s="97">
        <f t="shared" si="247"/>
        <v>82.963853656555642</v>
      </c>
      <c r="H242" s="97">
        <f t="shared" si="247"/>
        <v>90.424285321258978</v>
      </c>
      <c r="I242" s="97">
        <f t="shared" si="247"/>
        <v>87.127129028823276</v>
      </c>
      <c r="J242" s="97">
        <f t="shared" si="247"/>
        <v>81.532564589450118</v>
      </c>
      <c r="K242" s="97">
        <f t="shared" si="247"/>
        <v>97.328919729444706</v>
      </c>
      <c r="L242" s="97">
        <f t="shared" si="247"/>
        <v>78.760810695127702</v>
      </c>
      <c r="M242" s="97">
        <f t="shared" si="247"/>
        <v>71.282577220195364</v>
      </c>
      <c r="N242" s="97">
        <f t="shared" si="247"/>
        <v>76.61032699548899</v>
      </c>
      <c r="O242" s="97">
        <f t="shared" si="247"/>
        <v>66.780264088024779</v>
      </c>
      <c r="P242" s="97">
        <f t="shared" si="247"/>
        <v>69.057959201850707</v>
      </c>
      <c r="Q242" s="97">
        <f t="shared" si="247"/>
        <v>72.045275604858318</v>
      </c>
      <c r="R242" s="97">
        <f t="shared" si="247"/>
        <v>75.837570989969649</v>
      </c>
      <c r="S242" s="97">
        <f t="shared" si="247"/>
        <v>92.716920140994404</v>
      </c>
      <c r="T242" s="97">
        <f t="shared" si="247"/>
        <v>71.072686633576424</v>
      </c>
      <c r="U242" s="97">
        <f t="shared" si="247"/>
        <v>82.247577429676213</v>
      </c>
      <c r="V242" s="97">
        <f t="shared" si="247"/>
        <v>93.694013198228788</v>
      </c>
      <c r="W242" s="97">
        <f t="shared" si="247"/>
        <v>92.343706799467455</v>
      </c>
      <c r="X242" s="97">
        <f t="shared" si="247"/>
        <v>79.782690043484948</v>
      </c>
      <c r="Y242" s="97">
        <f t="shared" si="247"/>
        <v>68.820683469651243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35.093048652379579</v>
      </c>
      <c r="C243" s="98">
        <f t="shared" si="248"/>
        <v>36.274330882526499</v>
      </c>
      <c r="D243" s="98">
        <f t="shared" si="248"/>
        <v>30.979707946093409</v>
      </c>
      <c r="E243" s="98">
        <f t="shared" si="248"/>
        <v>40.202502928092173</v>
      </c>
      <c r="F243" s="98">
        <f t="shared" si="248"/>
        <v>46.617026749026692</v>
      </c>
      <c r="G243" s="98">
        <f t="shared" si="248"/>
        <v>40.566550568940251</v>
      </c>
      <c r="H243" s="98">
        <f t="shared" si="248"/>
        <v>47.684522052381695</v>
      </c>
      <c r="I243" s="98">
        <f t="shared" si="248"/>
        <v>47.657477249047396</v>
      </c>
      <c r="J243" s="98">
        <f t="shared" si="248"/>
        <v>41.510308970231044</v>
      </c>
      <c r="K243" s="98">
        <f t="shared" si="248"/>
        <v>49.861140641913039</v>
      </c>
      <c r="L243" s="98">
        <f t="shared" si="248"/>
        <v>36.443219020650446</v>
      </c>
      <c r="M243" s="98">
        <f t="shared" si="248"/>
        <v>36.624576999834673</v>
      </c>
      <c r="N243" s="98">
        <f t="shared" si="248"/>
        <v>38.16791084027237</v>
      </c>
      <c r="O243" s="98">
        <f t="shared" si="248"/>
        <v>34.278668288405456</v>
      </c>
      <c r="P243" s="98">
        <f t="shared" si="248"/>
        <v>33.431885386815416</v>
      </c>
      <c r="Q243" s="98">
        <f t="shared" si="248"/>
        <v>33.265993430801629</v>
      </c>
      <c r="R243" s="98">
        <f t="shared" si="248"/>
        <v>38.31539779921841</v>
      </c>
      <c r="S243" s="98">
        <f t="shared" si="248"/>
        <v>53.125038125964188</v>
      </c>
      <c r="T243" s="98">
        <f t="shared" si="248"/>
        <v>42.370761827619489</v>
      </c>
      <c r="U243" s="98">
        <f t="shared" si="248"/>
        <v>44.923909123472001</v>
      </c>
      <c r="V243" s="98">
        <f t="shared" si="248"/>
        <v>57.705773512243489</v>
      </c>
      <c r="W243" s="98">
        <f t="shared" si="248"/>
        <v>81.398808764923245</v>
      </c>
      <c r="X243" s="98">
        <f t="shared" si="248"/>
        <v>54.51912811543594</v>
      </c>
      <c r="Y243" s="98">
        <f t="shared" si="248"/>
        <v>47.850650457644143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113358.70175002411</v>
      </c>
      <c r="C4" s="29">
        <f t="shared" si="0"/>
        <v>114578.52902991697</v>
      </c>
      <c r="D4" s="29">
        <f t="shared" si="0"/>
        <v>116521.48028071393</v>
      </c>
      <c r="E4" s="29">
        <f t="shared" si="0"/>
        <v>117290.09589503679</v>
      </c>
      <c r="F4" s="29">
        <f t="shared" si="0"/>
        <v>118307.75167204757</v>
      </c>
      <c r="G4" s="29">
        <f t="shared" si="0"/>
        <v>117949.93380508521</v>
      </c>
      <c r="H4" s="29">
        <f t="shared" si="0"/>
        <v>118250.84095721069</v>
      </c>
      <c r="I4" s="29">
        <f t="shared" si="0"/>
        <v>120526.11563954814</v>
      </c>
      <c r="J4" s="29">
        <f t="shared" si="0"/>
        <v>119479.52527278037</v>
      </c>
      <c r="K4" s="29">
        <f t="shared" si="0"/>
        <v>118988.51717640864</v>
      </c>
      <c r="L4" s="29">
        <f t="shared" ref="L4" si="1">L5+L6+L13</f>
        <v>118197.72333639748</v>
      </c>
      <c r="M4" s="29">
        <f t="shared" ref="M4:V4" si="2">M5+M6+M13</f>
        <v>119460.93172639134</v>
      </c>
      <c r="N4" s="29">
        <f t="shared" si="2"/>
        <v>118582.00070750105</v>
      </c>
      <c r="O4" s="29">
        <f t="shared" si="2"/>
        <v>118676.3551194254</v>
      </c>
      <c r="P4" s="29">
        <f t="shared" si="2"/>
        <v>120804.56715606133</v>
      </c>
      <c r="Q4" s="29">
        <f t="shared" si="2"/>
        <v>122497.68524191712</v>
      </c>
      <c r="R4" s="29">
        <f t="shared" si="2"/>
        <v>104438.13096999141</v>
      </c>
      <c r="S4" s="29">
        <f t="shared" si="2"/>
        <v>106220.97965655534</v>
      </c>
      <c r="T4" s="29">
        <f t="shared" si="2"/>
        <v>107075.02632764902</v>
      </c>
      <c r="U4" s="29">
        <f t="shared" si="2"/>
        <v>106422.29840767921</v>
      </c>
      <c r="V4" s="29">
        <f t="shared" si="2"/>
        <v>99829.798746301851</v>
      </c>
      <c r="W4" s="29">
        <f t="shared" ref="W4:Y4" si="3">W5+W6+W13</f>
        <v>99111.603577633214</v>
      </c>
      <c r="X4" s="29">
        <f t="shared" si="3"/>
        <v>104875.08289611879</v>
      </c>
      <c r="Y4" s="29">
        <f t="shared" si="3"/>
        <v>113042.63102535089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480.82362964602407</v>
      </c>
      <c r="C5" s="152">
        <f t="shared" si="4"/>
        <v>524.99179946654328</v>
      </c>
      <c r="D5" s="152">
        <f t="shared" si="4"/>
        <v>593.72315555625653</v>
      </c>
      <c r="E5" s="152">
        <f t="shared" si="4"/>
        <v>642.27130319275898</v>
      </c>
      <c r="F5" s="152">
        <f t="shared" si="4"/>
        <v>692.71812850835693</v>
      </c>
      <c r="G5" s="152">
        <f t="shared" si="4"/>
        <v>713.26806988406781</v>
      </c>
      <c r="H5" s="152">
        <f t="shared" si="4"/>
        <v>781.94219644661041</v>
      </c>
      <c r="I5" s="152">
        <f t="shared" si="4"/>
        <v>869.74720213495914</v>
      </c>
      <c r="J5" s="152">
        <f t="shared" si="4"/>
        <v>843.70830467751557</v>
      </c>
      <c r="K5" s="152">
        <f t="shared" si="4"/>
        <v>853.08251804833856</v>
      </c>
      <c r="L5" s="152">
        <f t="shared" ref="L5:L7" si="5">IF(L32=0,0,L32*L142)</f>
        <v>811.82174595235301</v>
      </c>
      <c r="M5" s="152">
        <f t="shared" ref="M5:V5" si="6">IF(M32=0,0,M32*M142)</f>
        <v>784.82459702528627</v>
      </c>
      <c r="N5" s="152">
        <f t="shared" si="6"/>
        <v>680.80931987115446</v>
      </c>
      <c r="O5" s="152">
        <f t="shared" si="6"/>
        <v>759.17402238984084</v>
      </c>
      <c r="P5" s="152">
        <f t="shared" si="6"/>
        <v>763.02130861332557</v>
      </c>
      <c r="Q5" s="152">
        <f t="shared" si="6"/>
        <v>767.86439189501311</v>
      </c>
      <c r="R5" s="152">
        <f t="shared" si="6"/>
        <v>811.36093600889694</v>
      </c>
      <c r="S5" s="152">
        <f t="shared" si="6"/>
        <v>770.34673726856704</v>
      </c>
      <c r="T5" s="152">
        <f t="shared" si="6"/>
        <v>735.82351556089486</v>
      </c>
      <c r="U5" s="152">
        <f t="shared" si="6"/>
        <v>783.51778041331329</v>
      </c>
      <c r="V5" s="152">
        <f t="shared" si="6"/>
        <v>700.99868876193898</v>
      </c>
      <c r="W5" s="152">
        <f t="shared" ref="W5:Y5" si="7">IF(W32=0,0,W32*W142)</f>
        <v>728.93317922037147</v>
      </c>
      <c r="X5" s="152">
        <f t="shared" si="7"/>
        <v>735.05364789224416</v>
      </c>
      <c r="Y5" s="152">
        <f t="shared" si="7"/>
        <v>792.63102535087887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103654.83369766446</v>
      </c>
      <c r="C6" s="116">
        <f t="shared" si="8"/>
        <v>104834.27759943993</v>
      </c>
      <c r="D6" s="116">
        <f t="shared" si="8"/>
        <v>106622.51789890334</v>
      </c>
      <c r="E6" s="116">
        <f t="shared" si="8"/>
        <v>107322.08833613136</v>
      </c>
      <c r="F6" s="116">
        <f t="shared" si="8"/>
        <v>108359.85149670046</v>
      </c>
      <c r="G6" s="116">
        <f t="shared" si="8"/>
        <v>107983.11590611744</v>
      </c>
      <c r="H6" s="116">
        <f t="shared" si="8"/>
        <v>108137.03214573364</v>
      </c>
      <c r="I6" s="116">
        <f t="shared" si="8"/>
        <v>110238.56590007244</v>
      </c>
      <c r="J6" s="116">
        <f t="shared" si="8"/>
        <v>109468.45217694035</v>
      </c>
      <c r="K6" s="116">
        <f t="shared" si="8"/>
        <v>108897.03801054039</v>
      </c>
      <c r="L6" s="116">
        <f t="shared" ref="L6" si="9">SUM(L7:L12)</f>
        <v>108012.82861161354</v>
      </c>
      <c r="M6" s="116">
        <f t="shared" ref="M6:V6" si="10">SUM(M7:M12)</f>
        <v>109028.98505595721</v>
      </c>
      <c r="N6" s="116">
        <f t="shared" si="10"/>
        <v>108372.33901934596</v>
      </c>
      <c r="O6" s="116">
        <f t="shared" si="10"/>
        <v>108205.78822350051</v>
      </c>
      <c r="P6" s="116">
        <f t="shared" si="10"/>
        <v>110340.47754415158</v>
      </c>
      <c r="Q6" s="116">
        <f t="shared" si="10"/>
        <v>111895.51589094302</v>
      </c>
      <c r="R6" s="116">
        <f t="shared" si="10"/>
        <v>93771.22338657995</v>
      </c>
      <c r="S6" s="116">
        <f t="shared" si="10"/>
        <v>95468.791015657538</v>
      </c>
      <c r="T6" s="116">
        <f t="shared" si="10"/>
        <v>96353.880235559962</v>
      </c>
      <c r="U6" s="116">
        <f t="shared" si="10"/>
        <v>95581.544959925886</v>
      </c>
      <c r="V6" s="116">
        <f t="shared" si="10"/>
        <v>90135.371743355907</v>
      </c>
      <c r="W6" s="116">
        <f t="shared" ref="W6:Y6" si="11">SUM(W7:W12)</f>
        <v>89500.984477118182</v>
      </c>
      <c r="X6" s="116">
        <f t="shared" si="11"/>
        <v>94777.908414058009</v>
      </c>
      <c r="Y6" s="116">
        <f t="shared" si="11"/>
        <v>102650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92252.344852041249</v>
      </c>
      <c r="C7" s="87">
        <f t="shared" si="12"/>
        <v>93850.911701768637</v>
      </c>
      <c r="D7" s="87">
        <f t="shared" si="12"/>
        <v>95413.343254419626</v>
      </c>
      <c r="E7" s="87">
        <f t="shared" si="12"/>
        <v>95773.800659195666</v>
      </c>
      <c r="F7" s="87">
        <f t="shared" si="12"/>
        <v>96302.157419907307</v>
      </c>
      <c r="G7" s="87">
        <f t="shared" si="12"/>
        <v>94938.468972764647</v>
      </c>
      <c r="H7" s="87">
        <f t="shared" si="12"/>
        <v>92989.490202641886</v>
      </c>
      <c r="I7" s="87">
        <f t="shared" si="12"/>
        <v>90518.878027792001</v>
      </c>
      <c r="J7" s="87">
        <f t="shared" si="12"/>
        <v>86485.894147468105</v>
      </c>
      <c r="K7" s="87">
        <f t="shared" si="12"/>
        <v>82326.161476893729</v>
      </c>
      <c r="L7" s="87">
        <f t="shared" si="5"/>
        <v>75958.769515742111</v>
      </c>
      <c r="M7" s="87">
        <f t="shared" ref="M7:V7" si="13">IF(M34=0,0,M34*M144)</f>
        <v>69797.020773872078</v>
      </c>
      <c r="N7" s="87">
        <f t="shared" si="13"/>
        <v>63203.10449112799</v>
      </c>
      <c r="O7" s="87">
        <f t="shared" si="13"/>
        <v>58627.735183172001</v>
      </c>
      <c r="P7" s="87">
        <f t="shared" si="13"/>
        <v>55488.53573782384</v>
      </c>
      <c r="Q7" s="87">
        <f t="shared" si="13"/>
        <v>52165.355345426949</v>
      </c>
      <c r="R7" s="87">
        <f t="shared" si="13"/>
        <v>40869.049200894042</v>
      </c>
      <c r="S7" s="87">
        <f t="shared" si="13"/>
        <v>39607.59845870913</v>
      </c>
      <c r="T7" s="87">
        <f t="shared" si="13"/>
        <v>38526.709535289614</v>
      </c>
      <c r="U7" s="87">
        <f t="shared" si="13"/>
        <v>38149.467824341613</v>
      </c>
      <c r="V7" s="87">
        <f t="shared" si="13"/>
        <v>35942.766980249253</v>
      </c>
      <c r="W7" s="87">
        <f t="shared" ref="W7:Y7" si="14">IF(W34=0,0,W34*W144)</f>
        <v>35619.468630013434</v>
      </c>
      <c r="X7" s="87">
        <f t="shared" si="14"/>
        <v>36659.672221738234</v>
      </c>
      <c r="Y7" s="87">
        <f t="shared" si="14"/>
        <v>40501.70480501507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11402.488845623213</v>
      </c>
      <c r="C8" s="87">
        <f t="shared" si="15"/>
        <v>10983.36589767129</v>
      </c>
      <c r="D8" s="87">
        <f t="shared" si="15"/>
        <v>11173.97324398403</v>
      </c>
      <c r="E8" s="87">
        <f t="shared" si="15"/>
        <v>11478.923900293346</v>
      </c>
      <c r="F8" s="87">
        <f t="shared" si="15"/>
        <v>11950.122491053247</v>
      </c>
      <c r="G8" s="87">
        <f t="shared" si="15"/>
        <v>12871.846691977817</v>
      </c>
      <c r="H8" s="87">
        <f t="shared" si="15"/>
        <v>14976.040473797795</v>
      </c>
      <c r="I8" s="87">
        <f t="shared" si="15"/>
        <v>19528.551263559493</v>
      </c>
      <c r="J8" s="87">
        <f t="shared" si="15"/>
        <v>22764.023160185796</v>
      </c>
      <c r="K8" s="87">
        <f t="shared" si="15"/>
        <v>26334.594711760641</v>
      </c>
      <c r="L8" s="87">
        <f t="shared" ref="L8" si="16">IF(L35=0,0,L35*L145)</f>
        <v>31584.878899955613</v>
      </c>
      <c r="M8" s="87">
        <f t="shared" ref="M8:V8" si="17">IF(M35=0,0,M35*M145)</f>
        <v>38566.34469240543</v>
      </c>
      <c r="N8" s="87">
        <f t="shared" si="17"/>
        <v>44363.024023160091</v>
      </c>
      <c r="O8" s="87">
        <f t="shared" si="17"/>
        <v>48699.259842825573</v>
      </c>
      <c r="P8" s="87">
        <f t="shared" si="17"/>
        <v>53787.884727981953</v>
      </c>
      <c r="Q8" s="87">
        <f t="shared" si="17"/>
        <v>58447.828791728782</v>
      </c>
      <c r="R8" s="87">
        <f t="shared" si="17"/>
        <v>51518.717477330145</v>
      </c>
      <c r="S8" s="87">
        <f t="shared" si="17"/>
        <v>54258.615417410831</v>
      </c>
      <c r="T8" s="87">
        <f t="shared" si="17"/>
        <v>55908.393531019094</v>
      </c>
      <c r="U8" s="87">
        <f t="shared" si="17"/>
        <v>55074.122265942715</v>
      </c>
      <c r="V8" s="87">
        <f t="shared" si="17"/>
        <v>50599.491133365707</v>
      </c>
      <c r="W8" s="87">
        <f t="shared" ref="W8:Y8" si="18">IF(W35=0,0,W35*W145)</f>
        <v>48347.076296637511</v>
      </c>
      <c r="X8" s="87">
        <f t="shared" si="18"/>
        <v>49468.082243903315</v>
      </c>
      <c r="Y8" s="87">
        <f t="shared" si="18"/>
        <v>51530.662023280966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14.357593445198711</v>
      </c>
      <c r="H9" s="87">
        <f t="shared" si="19"/>
        <v>13.117580654440069</v>
      </c>
      <c r="I9" s="87">
        <f t="shared" si="19"/>
        <v>12.746030628311079</v>
      </c>
      <c r="J9" s="87">
        <f t="shared" si="19"/>
        <v>13.126005829371305</v>
      </c>
      <c r="K9" s="87">
        <f t="shared" si="19"/>
        <v>16.700421505361653</v>
      </c>
      <c r="L9" s="87">
        <f t="shared" ref="L9" si="20">IF(L36=0,0,L36*L146)</f>
        <v>13.814667588612558</v>
      </c>
      <c r="M9" s="87">
        <f t="shared" ref="M9:V9" si="21">IF(M36=0,0,M36*M146)</f>
        <v>18.438270292949888</v>
      </c>
      <c r="N9" s="87">
        <f t="shared" si="21"/>
        <v>17.458158529544217</v>
      </c>
      <c r="O9" s="87">
        <f t="shared" si="21"/>
        <v>16.868310232565598</v>
      </c>
      <c r="P9" s="87">
        <f t="shared" si="21"/>
        <v>16.460642081017422</v>
      </c>
      <c r="Q9" s="87">
        <f t="shared" si="21"/>
        <v>15.889442020477478</v>
      </c>
      <c r="R9" s="87">
        <f t="shared" si="21"/>
        <v>12.072017513514009</v>
      </c>
      <c r="S9" s="87">
        <f t="shared" si="21"/>
        <v>0</v>
      </c>
      <c r="T9" s="87">
        <f t="shared" si="21"/>
        <v>0</v>
      </c>
      <c r="U9" s="87">
        <f t="shared" si="21"/>
        <v>0</v>
      </c>
      <c r="V9" s="87">
        <f t="shared" si="21"/>
        <v>0</v>
      </c>
      <c r="W9" s="87">
        <f t="shared" ref="W9:Y9" si="22">IF(W36=0,0,W36*W146)</f>
        <v>0</v>
      </c>
      <c r="X9" s="87">
        <f t="shared" si="22"/>
        <v>0</v>
      </c>
      <c r="Y9" s="87">
        <f t="shared" si="22"/>
        <v>0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35.201400499691175</v>
      </c>
      <c r="E10" s="87">
        <f t="shared" si="23"/>
        <v>69.363776642354196</v>
      </c>
      <c r="F10" s="87">
        <f t="shared" si="23"/>
        <v>107.57158573990461</v>
      </c>
      <c r="G10" s="87">
        <f t="shared" si="23"/>
        <v>158.442647929787</v>
      </c>
      <c r="H10" s="87">
        <f t="shared" si="23"/>
        <v>158.38388863952062</v>
      </c>
      <c r="I10" s="87">
        <f t="shared" si="23"/>
        <v>178.39057809262164</v>
      </c>
      <c r="J10" s="87">
        <f t="shared" si="23"/>
        <v>198.0945001472239</v>
      </c>
      <c r="K10" s="87">
        <f t="shared" si="23"/>
        <v>210.94332591862056</v>
      </c>
      <c r="L10" s="87">
        <f t="shared" ref="L10" si="24">IF(L37=0,0,L37*L147)</f>
        <v>445.38821140492985</v>
      </c>
      <c r="M10" s="87">
        <f t="shared" ref="M10:V10" si="25">IF(M37=0,0,M37*M147)</f>
        <v>628.38570071300512</v>
      </c>
      <c r="N10" s="87">
        <f t="shared" si="25"/>
        <v>751.335095401937</v>
      </c>
      <c r="O10" s="87">
        <f t="shared" si="25"/>
        <v>805.35449767514467</v>
      </c>
      <c r="P10" s="87">
        <f t="shared" si="25"/>
        <v>898.31390019505625</v>
      </c>
      <c r="Q10" s="87">
        <f t="shared" si="25"/>
        <v>971.45460683295153</v>
      </c>
      <c r="R10" s="87">
        <f t="shared" si="25"/>
        <v>949.58169739282175</v>
      </c>
      <c r="S10" s="87">
        <f t="shared" si="25"/>
        <v>932.32639630450058</v>
      </c>
      <c r="T10" s="87">
        <f t="shared" si="25"/>
        <v>902.48868507916416</v>
      </c>
      <c r="U10" s="87">
        <f t="shared" si="25"/>
        <v>856.59596061430466</v>
      </c>
      <c r="V10" s="87">
        <f t="shared" si="25"/>
        <v>834.19643704589748</v>
      </c>
      <c r="W10" s="87">
        <f t="shared" ref="W10:Y10" si="26">IF(W37=0,0,W37*W147)</f>
        <v>796.22875835303819</v>
      </c>
      <c r="X10" s="87">
        <f t="shared" si="26"/>
        <v>843.62653213702902</v>
      </c>
      <c r="Y10" s="87">
        <f t="shared" si="26"/>
        <v>709.16207607943409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2.9840712294497624</v>
      </c>
      <c r="K11" s="87">
        <f t="shared" si="27"/>
        <v>3.5391572528240589</v>
      </c>
      <c r="L11" s="87">
        <f t="shared" ref="L11" si="28">IF(L38=0,0,L38*L148)</f>
        <v>4.0110506125546541</v>
      </c>
      <c r="M11" s="87">
        <f t="shared" ref="M11:V11" si="29">IF(M38=0,0,M38*M148)</f>
        <v>7.5818579359211444</v>
      </c>
      <c r="N11" s="87">
        <f t="shared" si="29"/>
        <v>19.386037050470954</v>
      </c>
      <c r="O11" s="87">
        <f t="shared" si="29"/>
        <v>27.20778060499455</v>
      </c>
      <c r="P11" s="87">
        <f t="shared" si="29"/>
        <v>88.056664388921533</v>
      </c>
      <c r="Q11" s="87">
        <f t="shared" si="29"/>
        <v>167.17391214236935</v>
      </c>
      <c r="R11" s="87">
        <f t="shared" si="29"/>
        <v>259.95105960721611</v>
      </c>
      <c r="S11" s="87">
        <f t="shared" si="29"/>
        <v>436.93026152956617</v>
      </c>
      <c r="T11" s="87">
        <f t="shared" si="29"/>
        <v>666.53629411168095</v>
      </c>
      <c r="U11" s="87">
        <f t="shared" si="29"/>
        <v>869.01390010987791</v>
      </c>
      <c r="V11" s="87">
        <f t="shared" si="29"/>
        <v>1589.306445127226</v>
      </c>
      <c r="W11" s="87">
        <f t="shared" ref="W11:Y11" si="30">IF(W38=0,0,W38*W148)</f>
        <v>2435.2136005508942</v>
      </c>
      <c r="X11" s="87">
        <f t="shared" si="30"/>
        <v>3240.6770918984116</v>
      </c>
      <c r="Y11" s="87">
        <f t="shared" si="30"/>
        <v>3329.4488649870391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4.3302920804045772</v>
      </c>
      <c r="K12" s="87">
        <f t="shared" si="31"/>
        <v>5.0989172092275341</v>
      </c>
      <c r="L12" s="87">
        <f t="shared" ref="L12" si="32">IF(L39=0,0,L39*L149)</f>
        <v>5.9662663097276791</v>
      </c>
      <c r="M12" s="87">
        <f t="shared" ref="M12:V12" si="33">IF(M39=0,0,M39*M149)</f>
        <v>11.213760737832004</v>
      </c>
      <c r="N12" s="87">
        <f t="shared" si="33"/>
        <v>18.031214075933701</v>
      </c>
      <c r="O12" s="87">
        <f t="shared" si="33"/>
        <v>29.362608990232587</v>
      </c>
      <c r="P12" s="87">
        <f t="shared" si="33"/>
        <v>61.225871680790611</v>
      </c>
      <c r="Q12" s="87">
        <f t="shared" si="33"/>
        <v>127.81379279147944</v>
      </c>
      <c r="R12" s="87">
        <f t="shared" si="33"/>
        <v>161.85193384219806</v>
      </c>
      <c r="S12" s="87">
        <f t="shared" si="33"/>
        <v>233.32048170352166</v>
      </c>
      <c r="T12" s="87">
        <f t="shared" si="33"/>
        <v>349.75219006040442</v>
      </c>
      <c r="U12" s="87">
        <f t="shared" si="33"/>
        <v>632.34500891739253</v>
      </c>
      <c r="V12" s="87">
        <f t="shared" si="33"/>
        <v>1169.6107475678248</v>
      </c>
      <c r="W12" s="87">
        <f t="shared" ref="W12:Y12" si="34">IF(W39=0,0,W39*W149)</f>
        <v>2302.9971915633109</v>
      </c>
      <c r="X12" s="87">
        <f t="shared" si="34"/>
        <v>4565.8503243810319</v>
      </c>
      <c r="Y12" s="87">
        <f t="shared" si="34"/>
        <v>6579.0222306374944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9223.044422713614</v>
      </c>
      <c r="C13" s="116">
        <f t="shared" si="35"/>
        <v>9219.2596310105</v>
      </c>
      <c r="D13" s="116">
        <f t="shared" si="35"/>
        <v>9305.2392262543308</v>
      </c>
      <c r="E13" s="116">
        <f t="shared" si="35"/>
        <v>9325.7362557126689</v>
      </c>
      <c r="F13" s="116">
        <f t="shared" si="35"/>
        <v>9255.1820468387559</v>
      </c>
      <c r="G13" s="116">
        <f t="shared" si="35"/>
        <v>9253.5498290836967</v>
      </c>
      <c r="H13" s="116">
        <f t="shared" si="35"/>
        <v>9331.866615030438</v>
      </c>
      <c r="I13" s="116">
        <f t="shared" si="35"/>
        <v>9417.802537340749</v>
      </c>
      <c r="J13" s="116">
        <f t="shared" si="35"/>
        <v>9167.3647911625048</v>
      </c>
      <c r="K13" s="116">
        <f t="shared" si="35"/>
        <v>9238.3966478199072</v>
      </c>
      <c r="L13" s="116">
        <f t="shared" ref="L13" si="36">SUM(L14:L18)</f>
        <v>9373.0729788315784</v>
      </c>
      <c r="M13" s="116">
        <f t="shared" ref="M13:V13" si="37">SUM(M14:M18)</f>
        <v>9647.1220734088474</v>
      </c>
      <c r="N13" s="116">
        <f t="shared" si="37"/>
        <v>9528.8523682839259</v>
      </c>
      <c r="O13" s="116">
        <f t="shared" si="37"/>
        <v>9711.3928735350564</v>
      </c>
      <c r="P13" s="116">
        <f t="shared" si="37"/>
        <v>9701.0683032964116</v>
      </c>
      <c r="Q13" s="116">
        <f t="shared" si="37"/>
        <v>9834.3049590790852</v>
      </c>
      <c r="R13" s="116">
        <f t="shared" si="37"/>
        <v>9855.5466474025634</v>
      </c>
      <c r="S13" s="116">
        <f t="shared" si="37"/>
        <v>9981.8419036292398</v>
      </c>
      <c r="T13" s="116">
        <f t="shared" si="37"/>
        <v>9985.3225765281586</v>
      </c>
      <c r="U13" s="116">
        <f t="shared" si="37"/>
        <v>10057.235667340001</v>
      </c>
      <c r="V13" s="116">
        <f t="shared" si="37"/>
        <v>8993.4283141840006</v>
      </c>
      <c r="W13" s="116">
        <f t="shared" ref="W13:Y13" si="38">SUM(W14:W18)</f>
        <v>8881.685921294662</v>
      </c>
      <c r="X13" s="116">
        <f t="shared" si="38"/>
        <v>9362.1208341685433</v>
      </c>
      <c r="Y13" s="116">
        <f t="shared" si="38"/>
        <v>9600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190.18332630540067</v>
      </c>
      <c r="C14" s="101">
        <f t="shared" si="39"/>
        <v>157.19318478670255</v>
      </c>
      <c r="D14" s="101">
        <f t="shared" si="39"/>
        <v>129.16396042805701</v>
      </c>
      <c r="E14" s="101">
        <f t="shared" si="39"/>
        <v>102.16512724740001</v>
      </c>
      <c r="F14" s="101">
        <f t="shared" si="39"/>
        <v>77.187449005689444</v>
      </c>
      <c r="G14" s="101">
        <f t="shared" si="39"/>
        <v>54.877024616038561</v>
      </c>
      <c r="H14" s="101">
        <f t="shared" si="39"/>
        <v>45.45197460865154</v>
      </c>
      <c r="I14" s="101">
        <f t="shared" si="39"/>
        <v>38.018841455241251</v>
      </c>
      <c r="J14" s="101">
        <f t="shared" si="39"/>
        <v>31.169508352507226</v>
      </c>
      <c r="K14" s="101">
        <f t="shared" si="39"/>
        <v>28.649780928929356</v>
      </c>
      <c r="L14" s="101">
        <f t="shared" ref="L14" si="40">IF(L41=0,0,L41*L151)</f>
        <v>11.853456844486665</v>
      </c>
      <c r="M14" s="101">
        <f t="shared" ref="M14:V14" si="41">IF(M41=0,0,M41*M151)</f>
        <v>21.306507064733953</v>
      </c>
      <c r="N14" s="101">
        <f t="shared" si="41"/>
        <v>17.799356079276041</v>
      </c>
      <c r="O14" s="101">
        <f t="shared" si="41"/>
        <v>17.8261103566904</v>
      </c>
      <c r="P14" s="101">
        <f t="shared" si="41"/>
        <v>16.696378649154322</v>
      </c>
      <c r="Q14" s="101">
        <f t="shared" si="41"/>
        <v>15.491714202724266</v>
      </c>
      <c r="R14" s="101">
        <f t="shared" si="41"/>
        <v>17.239977366409494</v>
      </c>
      <c r="S14" s="101">
        <f t="shared" si="41"/>
        <v>16.403686119377554</v>
      </c>
      <c r="T14" s="101">
        <f t="shared" si="41"/>
        <v>16.115206579417304</v>
      </c>
      <c r="U14" s="101">
        <f t="shared" si="41"/>
        <v>14.378476273030719</v>
      </c>
      <c r="V14" s="101">
        <f t="shared" si="41"/>
        <v>14.121016285807576</v>
      </c>
      <c r="W14" s="101">
        <f t="shared" ref="W14:Y14" si="42">IF(W41=0,0,W41*W151)</f>
        <v>12.864197511424537</v>
      </c>
      <c r="X14" s="101">
        <f t="shared" si="42"/>
        <v>12.393405511876241</v>
      </c>
      <c r="Y14" s="101">
        <f t="shared" si="42"/>
        <v>12.854310968528381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8797.1195923640444</v>
      </c>
      <c r="C15" s="101">
        <f t="shared" si="43"/>
        <v>8790.9428044039723</v>
      </c>
      <c r="D15" s="101">
        <f t="shared" si="43"/>
        <v>8889.4073307615618</v>
      </c>
      <c r="E15" s="101">
        <f t="shared" si="43"/>
        <v>8919.7109944659787</v>
      </c>
      <c r="F15" s="101">
        <f t="shared" si="43"/>
        <v>8842.8006261521532</v>
      </c>
      <c r="G15" s="101">
        <f t="shared" si="43"/>
        <v>8457.1759410661925</v>
      </c>
      <c r="H15" s="101">
        <f t="shared" si="43"/>
        <v>8833.8434402004714</v>
      </c>
      <c r="I15" s="101">
        <f t="shared" si="43"/>
        <v>8827.7902126474964</v>
      </c>
      <c r="J15" s="101">
        <f t="shared" si="43"/>
        <v>8401.7402342367113</v>
      </c>
      <c r="K15" s="101">
        <f t="shared" si="43"/>
        <v>8252.5281460699407</v>
      </c>
      <c r="L15" s="101">
        <f t="shared" ref="L15" si="44">IF(L42=0,0,L42*L152)</f>
        <v>8222.6144618638282</v>
      </c>
      <c r="M15" s="101">
        <f t="shared" ref="M15:V15" si="45">IF(M42=0,0,M42*M152)</f>
        <v>8083.9849606055177</v>
      </c>
      <c r="N15" s="101">
        <f t="shared" si="45"/>
        <v>7907.3032329041289</v>
      </c>
      <c r="O15" s="101">
        <f t="shared" si="45"/>
        <v>5983.135335354983</v>
      </c>
      <c r="P15" s="101">
        <f t="shared" si="45"/>
        <v>5874.72329827873</v>
      </c>
      <c r="Q15" s="101">
        <f t="shared" si="45"/>
        <v>6021.4644093937886</v>
      </c>
      <c r="R15" s="101">
        <f t="shared" si="45"/>
        <v>6142.2746841566295</v>
      </c>
      <c r="S15" s="101">
        <f t="shared" si="45"/>
        <v>6181.9717137136058</v>
      </c>
      <c r="T15" s="101">
        <f t="shared" si="45"/>
        <v>6308.7363716137879</v>
      </c>
      <c r="U15" s="101">
        <f t="shared" si="45"/>
        <v>8132.5628325156849</v>
      </c>
      <c r="V15" s="101">
        <f t="shared" si="45"/>
        <v>6926.1728387689045</v>
      </c>
      <c r="W15" s="101">
        <f t="shared" ref="W15:Y15" si="46">IF(W42=0,0,W42*W152)</f>
        <v>6850.9229218993514</v>
      </c>
      <c r="X15" s="101">
        <f t="shared" si="46"/>
        <v>7310.8447317082437</v>
      </c>
      <c r="Y15" s="101">
        <f t="shared" si="46"/>
        <v>7473.1322383184897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0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227.80825587342267</v>
      </c>
      <c r="C17" s="101">
        <f t="shared" si="51"/>
        <v>263.01141474464919</v>
      </c>
      <c r="D17" s="101">
        <f t="shared" si="51"/>
        <v>279.92991958237718</v>
      </c>
      <c r="E17" s="101">
        <f t="shared" si="51"/>
        <v>296.02875807334493</v>
      </c>
      <c r="F17" s="101">
        <f t="shared" si="51"/>
        <v>327.18770622467247</v>
      </c>
      <c r="G17" s="101">
        <f t="shared" si="51"/>
        <v>734.90581192331376</v>
      </c>
      <c r="H17" s="101">
        <f t="shared" si="51"/>
        <v>446.39044819768168</v>
      </c>
      <c r="I17" s="101">
        <f t="shared" si="51"/>
        <v>546.70548428802749</v>
      </c>
      <c r="J17" s="101">
        <f t="shared" si="51"/>
        <v>730.29318637315146</v>
      </c>
      <c r="K17" s="101">
        <f t="shared" si="51"/>
        <v>953.02081295357141</v>
      </c>
      <c r="L17" s="101">
        <f t="shared" ref="L17" si="52">IF(L44=0,0,L44*L154)</f>
        <v>1136.5811025519452</v>
      </c>
      <c r="M17" s="101">
        <f t="shared" ref="M17:V17" si="53">IF(M44=0,0,M44*M154)</f>
        <v>1539.7909447017787</v>
      </c>
      <c r="N17" s="101">
        <f t="shared" si="53"/>
        <v>1600.8328261328907</v>
      </c>
      <c r="O17" s="101">
        <f t="shared" si="53"/>
        <v>3706.4684256275423</v>
      </c>
      <c r="P17" s="101">
        <f t="shared" si="53"/>
        <v>3804.1710183147429</v>
      </c>
      <c r="Q17" s="101">
        <f t="shared" si="53"/>
        <v>3787.4038739192169</v>
      </c>
      <c r="R17" s="101">
        <f t="shared" si="53"/>
        <v>3677.3158456731157</v>
      </c>
      <c r="S17" s="101">
        <f t="shared" si="53"/>
        <v>3757.0498798116396</v>
      </c>
      <c r="T17" s="101">
        <f t="shared" si="53"/>
        <v>3611.7886188079569</v>
      </c>
      <c r="U17" s="101">
        <f t="shared" si="53"/>
        <v>1779.0130287808006</v>
      </c>
      <c r="V17" s="101">
        <f t="shared" si="53"/>
        <v>1829.6555610412847</v>
      </c>
      <c r="W17" s="101">
        <f t="shared" ref="W17:Y17" si="54">IF(W44=0,0,W44*W154)</f>
        <v>1698.8703506603833</v>
      </c>
      <c r="X17" s="101">
        <f t="shared" si="54"/>
        <v>1595.5329293598752</v>
      </c>
      <c r="Y17" s="101">
        <f t="shared" si="54"/>
        <v>1521.6577781256469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7.9332481707460358</v>
      </c>
      <c r="C18" s="101">
        <f t="shared" si="55"/>
        <v>8.1122270751767545</v>
      </c>
      <c r="D18" s="101">
        <f t="shared" si="55"/>
        <v>6.7380154823342142</v>
      </c>
      <c r="E18" s="101">
        <f t="shared" si="55"/>
        <v>7.831375925944803</v>
      </c>
      <c r="F18" s="101">
        <f t="shared" si="55"/>
        <v>8.0062654562414206</v>
      </c>
      <c r="G18" s="101">
        <f t="shared" si="55"/>
        <v>6.5910514781515239</v>
      </c>
      <c r="H18" s="101">
        <f t="shared" si="55"/>
        <v>6.180752023632329</v>
      </c>
      <c r="I18" s="101">
        <f t="shared" si="55"/>
        <v>5.2879989499832298</v>
      </c>
      <c r="J18" s="101">
        <f t="shared" si="55"/>
        <v>4.1618622001355847</v>
      </c>
      <c r="K18" s="101">
        <f t="shared" si="55"/>
        <v>4.1979078674667125</v>
      </c>
      <c r="L18" s="101">
        <f t="shared" ref="L18" si="56">IF(L45=0,0,L45*L155)</f>
        <v>2.0239575713181654</v>
      </c>
      <c r="M18" s="101">
        <f t="shared" ref="M18:V18" si="57">IF(M45=0,0,M45*M155)</f>
        <v>2.0396610368166699</v>
      </c>
      <c r="N18" s="101">
        <f t="shared" si="57"/>
        <v>2.9169531676307168</v>
      </c>
      <c r="O18" s="101">
        <f t="shared" si="57"/>
        <v>3.9630021958404513</v>
      </c>
      <c r="P18" s="101">
        <f t="shared" si="57"/>
        <v>5.4776080537841212</v>
      </c>
      <c r="Q18" s="101">
        <f t="shared" si="57"/>
        <v>9.9449615633550366</v>
      </c>
      <c r="R18" s="101">
        <f t="shared" si="57"/>
        <v>18.716140206408202</v>
      </c>
      <c r="S18" s="101">
        <f t="shared" si="57"/>
        <v>26.416623984616425</v>
      </c>
      <c r="T18" s="101">
        <f t="shared" si="57"/>
        <v>48.68237952699598</v>
      </c>
      <c r="U18" s="101">
        <f t="shared" si="57"/>
        <v>131.28132977048375</v>
      </c>
      <c r="V18" s="101">
        <f t="shared" si="57"/>
        <v>223.4788980880042</v>
      </c>
      <c r="W18" s="101">
        <f t="shared" ref="W18:Y18" si="58">IF(W45=0,0,W45*W155)</f>
        <v>319.0284512235026</v>
      </c>
      <c r="X18" s="101">
        <f t="shared" si="58"/>
        <v>443.34976758854822</v>
      </c>
      <c r="Y18" s="101">
        <f t="shared" si="58"/>
        <v>592.35567258733488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39734.650838847811</v>
      </c>
      <c r="C19" s="29">
        <f t="shared" si="59"/>
        <v>38926.603432079391</v>
      </c>
      <c r="D19" s="29">
        <f t="shared" si="59"/>
        <v>41355.902301482914</v>
      </c>
      <c r="E19" s="29">
        <f t="shared" si="59"/>
        <v>41210.332322865659</v>
      </c>
      <c r="F19" s="29">
        <f t="shared" si="59"/>
        <v>43940.650468648564</v>
      </c>
      <c r="G19" s="29">
        <f t="shared" si="59"/>
        <v>46263.050020575662</v>
      </c>
      <c r="H19" s="29">
        <f t="shared" si="59"/>
        <v>48032.155245530594</v>
      </c>
      <c r="I19" s="29">
        <f t="shared" si="59"/>
        <v>49252.765012110256</v>
      </c>
      <c r="J19" s="29">
        <f t="shared" si="59"/>
        <v>50245.363820408558</v>
      </c>
      <c r="K19" s="29">
        <f t="shared" si="59"/>
        <v>42146.506947413924</v>
      </c>
      <c r="L19" s="29">
        <f t="shared" ref="L19" si="60">L20+L26</f>
        <v>43901.467897230657</v>
      </c>
      <c r="M19" s="29">
        <f t="shared" ref="M19:V19" si="61">M20+M26</f>
        <v>44443.548531912602</v>
      </c>
      <c r="N19" s="29">
        <f t="shared" si="61"/>
        <v>41158.311646997099</v>
      </c>
      <c r="O19" s="29">
        <f t="shared" si="61"/>
        <v>42808.819648868906</v>
      </c>
      <c r="P19" s="29">
        <f t="shared" si="61"/>
        <v>50463.910641489143</v>
      </c>
      <c r="Q19" s="29">
        <f t="shared" si="61"/>
        <v>51143.753548470238</v>
      </c>
      <c r="R19" s="29">
        <f t="shared" si="61"/>
        <v>53034.107485751811</v>
      </c>
      <c r="S19" s="29">
        <f t="shared" si="61"/>
        <v>52358.840858331358</v>
      </c>
      <c r="T19" s="29">
        <f t="shared" si="61"/>
        <v>54767.016052761428</v>
      </c>
      <c r="U19" s="29">
        <f t="shared" si="61"/>
        <v>53472.781482460407</v>
      </c>
      <c r="V19" s="29">
        <f t="shared" si="61"/>
        <v>54336.260329061603</v>
      </c>
      <c r="W19" s="29">
        <f t="shared" ref="W19:Y19" si="62">W20+W26</f>
        <v>59738.484782623433</v>
      </c>
      <c r="X19" s="29">
        <f t="shared" si="62"/>
        <v>59381.00852083254</v>
      </c>
      <c r="Y19" s="29">
        <f t="shared" si="62"/>
        <v>53733.532475376589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764.30791076663775</v>
      </c>
      <c r="C20" s="152">
        <f t="shared" si="63"/>
        <v>905.48954765468943</v>
      </c>
      <c r="D20" s="152">
        <f t="shared" si="63"/>
        <v>990.99035450251245</v>
      </c>
      <c r="E20" s="152">
        <f t="shared" si="63"/>
        <v>1077.2456284994621</v>
      </c>
      <c r="F20" s="152">
        <f t="shared" si="63"/>
        <v>1191.5074816826175</v>
      </c>
      <c r="G20" s="152">
        <f t="shared" si="63"/>
        <v>1147.7321029639274</v>
      </c>
      <c r="H20" s="152">
        <f t="shared" si="63"/>
        <v>1243.6807834190572</v>
      </c>
      <c r="I20" s="152">
        <f t="shared" si="63"/>
        <v>1317.6544423133651</v>
      </c>
      <c r="J20" s="152">
        <f t="shared" si="63"/>
        <v>1348.5109330993557</v>
      </c>
      <c r="K20" s="152">
        <f t="shared" si="63"/>
        <v>1359.4610530181164</v>
      </c>
      <c r="L20" s="152">
        <f t="shared" ref="L20" si="64">SUM(L21:L25)</f>
        <v>1452.4581480056343</v>
      </c>
      <c r="M20" s="152">
        <f t="shared" ref="M20:V20" si="65">SUM(M21:M25)</f>
        <v>1539.9246788770386</v>
      </c>
      <c r="N20" s="152">
        <f t="shared" si="65"/>
        <v>1565.7230560979403</v>
      </c>
      <c r="O20" s="152">
        <f t="shared" si="65"/>
        <v>1592.7053660887259</v>
      </c>
      <c r="P20" s="152">
        <f t="shared" si="65"/>
        <v>1638.0443511460728</v>
      </c>
      <c r="Q20" s="152">
        <f t="shared" si="65"/>
        <v>1736.5387449833015</v>
      </c>
      <c r="R20" s="152">
        <f t="shared" si="65"/>
        <v>1787.4320517653057</v>
      </c>
      <c r="S20" s="152">
        <f t="shared" si="65"/>
        <v>1915.2803405507757</v>
      </c>
      <c r="T20" s="152">
        <f t="shared" si="65"/>
        <v>1925.0160527614253</v>
      </c>
      <c r="U20" s="152">
        <f t="shared" si="65"/>
        <v>1968.7814824604031</v>
      </c>
      <c r="V20" s="152">
        <f t="shared" si="65"/>
        <v>2015.2603290616028</v>
      </c>
      <c r="W20" s="152">
        <f t="shared" ref="W20:Y20" si="66">SUM(W21:W25)</f>
        <v>2074.4847826234345</v>
      </c>
      <c r="X20" s="152">
        <f t="shared" si="66"/>
        <v>2003.0085208325368</v>
      </c>
      <c r="Y20" s="152">
        <f t="shared" si="66"/>
        <v>2018.5324753765881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244.61539888689708</v>
      </c>
      <c r="C21" s="87">
        <f t="shared" si="67"/>
        <v>240.27847991485322</v>
      </c>
      <c r="D21" s="87">
        <f t="shared" si="67"/>
        <v>225.35964183966522</v>
      </c>
      <c r="E21" s="87">
        <f t="shared" si="67"/>
        <v>203.78211644444045</v>
      </c>
      <c r="F21" s="87">
        <f t="shared" si="67"/>
        <v>185.04360411247748</v>
      </c>
      <c r="G21" s="87">
        <f t="shared" si="67"/>
        <v>172.62411509055059</v>
      </c>
      <c r="H21" s="87">
        <f t="shared" si="67"/>
        <v>154.38214665772034</v>
      </c>
      <c r="I21" s="87">
        <f t="shared" si="67"/>
        <v>143.16330671537207</v>
      </c>
      <c r="J21" s="87">
        <f t="shared" si="67"/>
        <v>128.60179915827968</v>
      </c>
      <c r="K21" s="87">
        <f t="shared" si="67"/>
        <v>118.04822375958835</v>
      </c>
      <c r="L21" s="87">
        <f t="shared" ref="L21" si="68">IF(L48=0,0,L48*L158)</f>
        <v>105.39148791129391</v>
      </c>
      <c r="M21" s="87">
        <f t="shared" ref="M21:V21" si="69">IF(M48=0,0,M48*M158)</f>
        <v>98.38938791292</v>
      </c>
      <c r="N21" s="87">
        <f t="shared" si="69"/>
        <v>86.230550023367641</v>
      </c>
      <c r="O21" s="87">
        <f t="shared" si="69"/>
        <v>75.649940602172407</v>
      </c>
      <c r="P21" s="87">
        <f t="shared" si="69"/>
        <v>69.833564952240991</v>
      </c>
      <c r="Q21" s="87">
        <f t="shared" si="69"/>
        <v>66.238092529706194</v>
      </c>
      <c r="R21" s="87">
        <f t="shared" si="69"/>
        <v>56.074733048855151</v>
      </c>
      <c r="S21" s="87">
        <f t="shared" si="69"/>
        <v>50.031192251251191</v>
      </c>
      <c r="T21" s="87">
        <f t="shared" si="69"/>
        <v>48.776904944937947</v>
      </c>
      <c r="U21" s="87">
        <f t="shared" si="69"/>
        <v>48.761152437185842</v>
      </c>
      <c r="V21" s="87">
        <f t="shared" si="69"/>
        <v>49.700254007243302</v>
      </c>
      <c r="W21" s="87">
        <f t="shared" ref="W21:Y21" si="70">IF(W48=0,0,W48*W158)</f>
        <v>52.487135647586761</v>
      </c>
      <c r="X21" s="87">
        <f t="shared" si="70"/>
        <v>57.87544066784325</v>
      </c>
      <c r="Y21" s="87">
        <f t="shared" si="70"/>
        <v>61.785870844841781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519.69251187974066</v>
      </c>
      <c r="C22" s="87">
        <f t="shared" si="71"/>
        <v>665.20624005993943</v>
      </c>
      <c r="D22" s="87">
        <f t="shared" si="71"/>
        <v>765.60239817140189</v>
      </c>
      <c r="E22" s="87">
        <f t="shared" si="71"/>
        <v>873.3860867054774</v>
      </c>
      <c r="F22" s="87">
        <f t="shared" si="71"/>
        <v>1006.3382957570706</v>
      </c>
      <c r="G22" s="87">
        <f t="shared" si="71"/>
        <v>974.85754398751794</v>
      </c>
      <c r="H22" s="87">
        <f t="shared" si="71"/>
        <v>1088.3709832483466</v>
      </c>
      <c r="I22" s="87">
        <f t="shared" si="71"/>
        <v>1172.8684788478624</v>
      </c>
      <c r="J22" s="87">
        <f t="shared" si="71"/>
        <v>1217.1370292522258</v>
      </c>
      <c r="K22" s="87">
        <f t="shared" si="71"/>
        <v>1237.19824021772</v>
      </c>
      <c r="L22" s="87">
        <f t="shared" ref="L22" si="72">IF(L49=0,0,L49*L159)</f>
        <v>1342.2653496208552</v>
      </c>
      <c r="M22" s="87">
        <f t="shared" ref="M22:V22" si="73">IF(M49=0,0,M49*M159)</f>
        <v>1436.1727962246373</v>
      </c>
      <c r="N22" s="87">
        <f t="shared" si="73"/>
        <v>1472.966953371445</v>
      </c>
      <c r="O22" s="87">
        <f t="shared" si="73"/>
        <v>1509.9659730155004</v>
      </c>
      <c r="P22" s="87">
        <f t="shared" si="73"/>
        <v>1560.3852039300905</v>
      </c>
      <c r="Q22" s="87">
        <f t="shared" si="73"/>
        <v>1661.1299209396784</v>
      </c>
      <c r="R22" s="87">
        <f t="shared" si="73"/>
        <v>1721.4300652662819</v>
      </c>
      <c r="S22" s="87">
        <f t="shared" si="73"/>
        <v>1853.7331716647459</v>
      </c>
      <c r="T22" s="87">
        <f t="shared" si="73"/>
        <v>1857.5814439968376</v>
      </c>
      <c r="U22" s="87">
        <f t="shared" si="73"/>
        <v>1898.9984807871353</v>
      </c>
      <c r="V22" s="87">
        <f t="shared" si="73"/>
        <v>1941.4269668248551</v>
      </c>
      <c r="W22" s="87">
        <f t="shared" ref="W22:Y22" si="74">IF(W49=0,0,W49*W159)</f>
        <v>1993.7651586742436</v>
      </c>
      <c r="X22" s="87">
        <f t="shared" si="74"/>
        <v>1909.0623793866748</v>
      </c>
      <c r="Y22" s="87">
        <f t="shared" si="74"/>
        <v>1911.9442199654443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:Y23" si="78">IF(W50=0,0,W50*W160)</f>
        <v>0</v>
      </c>
      <c r="X23" s="87">
        <f t="shared" si="78"/>
        <v>0</v>
      </c>
      <c r="Y23" s="87">
        <f t="shared" si="78"/>
        <v>0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4.8276798968855455E-3</v>
      </c>
      <c r="D24" s="87">
        <f t="shared" si="79"/>
        <v>2.831449144538704E-2</v>
      </c>
      <c r="E24" s="87">
        <f t="shared" si="79"/>
        <v>7.7425349544192265E-2</v>
      </c>
      <c r="F24" s="87">
        <f t="shared" si="79"/>
        <v>0.1255818130694549</v>
      </c>
      <c r="G24" s="87">
        <f t="shared" si="79"/>
        <v>0.24751583837525856</v>
      </c>
      <c r="H24" s="87">
        <f t="shared" si="79"/>
        <v>0.62422380066285377</v>
      </c>
      <c r="I24" s="87">
        <f t="shared" si="79"/>
        <v>1.3352349361201461</v>
      </c>
      <c r="J24" s="87">
        <f t="shared" si="79"/>
        <v>2.4860464444965213</v>
      </c>
      <c r="K24" s="87">
        <f t="shared" si="79"/>
        <v>3.928446696954178</v>
      </c>
      <c r="L24" s="87">
        <f t="shared" ref="L24" si="80">IF(L51=0,0,L51*L161)</f>
        <v>4.5219220592028897</v>
      </c>
      <c r="M24" s="87">
        <f t="shared" ref="M24:V24" si="81">IF(M51=0,0,M51*M161)</f>
        <v>5.0768696899113621</v>
      </c>
      <c r="N24" s="87">
        <f t="shared" si="81"/>
        <v>5.9864321520568895</v>
      </c>
      <c r="O24" s="87">
        <f t="shared" si="81"/>
        <v>6.2819638026173186</v>
      </c>
      <c r="P24" s="87">
        <f t="shared" si="81"/>
        <v>6.5981155765478086</v>
      </c>
      <c r="Q24" s="87">
        <f t="shared" si="81"/>
        <v>7.3352330325340809</v>
      </c>
      <c r="R24" s="87">
        <f t="shared" si="81"/>
        <v>7.6376829590849997</v>
      </c>
      <c r="S24" s="87">
        <f t="shared" si="81"/>
        <v>8.6478149727818856</v>
      </c>
      <c r="T24" s="87">
        <f t="shared" si="81"/>
        <v>14.743935713432128</v>
      </c>
      <c r="U24" s="87">
        <f t="shared" si="81"/>
        <v>15.219971070760693</v>
      </c>
      <c r="V24" s="87">
        <f t="shared" si="81"/>
        <v>15.510180859856598</v>
      </c>
      <c r="W24" s="87">
        <f t="shared" ref="W24:Y24" si="82">IF(W51=0,0,W51*W161)</f>
        <v>15.621943479591391</v>
      </c>
      <c r="X24" s="87">
        <f t="shared" si="82"/>
        <v>16.206643072663599</v>
      </c>
      <c r="Y24" s="87">
        <f t="shared" si="82"/>
        <v>14.157650563877676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2.928047483581647E-3</v>
      </c>
      <c r="H25" s="87">
        <f t="shared" si="83"/>
        <v>0.30342971232752441</v>
      </c>
      <c r="I25" s="87">
        <f t="shared" si="83"/>
        <v>0.28742181401054395</v>
      </c>
      <c r="J25" s="87">
        <f t="shared" si="83"/>
        <v>0.28605824435384458</v>
      </c>
      <c r="K25" s="87">
        <f t="shared" si="83"/>
        <v>0.28614234385399279</v>
      </c>
      <c r="L25" s="87">
        <f t="shared" ref="L25" si="84">IF(L52=0,0,L52*L162)</f>
        <v>0.27938841428216593</v>
      </c>
      <c r="M25" s="87">
        <f t="shared" ref="M25:V25" si="85">IF(M52=0,0,M52*M162)</f>
        <v>0.28562504957005302</v>
      </c>
      <c r="N25" s="87">
        <f t="shared" si="85"/>
        <v>0.53912055107064194</v>
      </c>
      <c r="O25" s="87">
        <f t="shared" si="85"/>
        <v>0.80748866843570277</v>
      </c>
      <c r="P25" s="87">
        <f t="shared" si="85"/>
        <v>1.2274666871936599</v>
      </c>
      <c r="Q25" s="87">
        <f t="shared" si="85"/>
        <v>1.8354984813829296</v>
      </c>
      <c r="R25" s="87">
        <f t="shared" si="85"/>
        <v>2.2895704910836598</v>
      </c>
      <c r="S25" s="87">
        <f t="shared" si="85"/>
        <v>2.8681616619967505</v>
      </c>
      <c r="T25" s="87">
        <f t="shared" si="85"/>
        <v>3.9137681062175456</v>
      </c>
      <c r="U25" s="87">
        <f t="shared" si="85"/>
        <v>5.8018781653212423</v>
      </c>
      <c r="V25" s="87">
        <f t="shared" si="85"/>
        <v>8.6229273696478259</v>
      </c>
      <c r="W25" s="87">
        <f t="shared" ref="W25:Y25" si="86">IF(W52=0,0,W52*W162)</f>
        <v>12.610544822012677</v>
      </c>
      <c r="X25" s="87">
        <f t="shared" si="86"/>
        <v>19.864057705354877</v>
      </c>
      <c r="Y25" s="87">
        <f t="shared" si="86"/>
        <v>30.644734002424325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38970.342928081176</v>
      </c>
      <c r="C26" s="116">
        <f t="shared" si="87"/>
        <v>38021.113884424703</v>
      </c>
      <c r="D26" s="116">
        <f t="shared" si="87"/>
        <v>40364.911946980399</v>
      </c>
      <c r="E26" s="116">
        <f t="shared" si="87"/>
        <v>40133.086694366197</v>
      </c>
      <c r="F26" s="116">
        <f t="shared" si="87"/>
        <v>42749.142986965948</v>
      </c>
      <c r="G26" s="116">
        <f t="shared" si="87"/>
        <v>45115.317917611734</v>
      </c>
      <c r="H26" s="116">
        <f t="shared" si="87"/>
        <v>46788.474462111539</v>
      </c>
      <c r="I26" s="116">
        <f t="shared" si="87"/>
        <v>47935.110569796889</v>
      </c>
      <c r="J26" s="116">
        <f t="shared" si="87"/>
        <v>48896.8528873092</v>
      </c>
      <c r="K26" s="116">
        <f t="shared" si="87"/>
        <v>40787.045894395807</v>
      </c>
      <c r="L26" s="116">
        <f t="shared" ref="L26" si="88">SUM(L27:L28)</f>
        <v>42449.009749225021</v>
      </c>
      <c r="M26" s="116">
        <f t="shared" ref="M26:V26" si="89">SUM(M27:M28)</f>
        <v>42903.623853035562</v>
      </c>
      <c r="N26" s="116">
        <f t="shared" si="89"/>
        <v>39592.588590899162</v>
      </c>
      <c r="O26" s="116">
        <f t="shared" si="89"/>
        <v>41216.114282780181</v>
      </c>
      <c r="P26" s="116">
        <f t="shared" si="89"/>
        <v>48825.866290343067</v>
      </c>
      <c r="Q26" s="116">
        <f t="shared" si="89"/>
        <v>49407.214803486939</v>
      </c>
      <c r="R26" s="116">
        <f t="shared" si="89"/>
        <v>51246.675433986507</v>
      </c>
      <c r="S26" s="116">
        <f t="shared" si="89"/>
        <v>50443.560517780585</v>
      </c>
      <c r="T26" s="116">
        <f t="shared" si="89"/>
        <v>52842</v>
      </c>
      <c r="U26" s="116">
        <f t="shared" si="89"/>
        <v>51504</v>
      </c>
      <c r="V26" s="116">
        <f t="shared" si="89"/>
        <v>52321</v>
      </c>
      <c r="W26" s="116">
        <f t="shared" ref="W26:Y26" si="90">SUM(W27:W28)</f>
        <v>57664</v>
      </c>
      <c r="X26" s="116">
        <f t="shared" si="90"/>
        <v>57378</v>
      </c>
      <c r="Y26" s="116">
        <f t="shared" si="90"/>
        <v>51715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31451</v>
      </c>
      <c r="C27" s="101">
        <f t="shared" si="91"/>
        <v>29967</v>
      </c>
      <c r="D27" s="101">
        <f t="shared" si="91"/>
        <v>31836</v>
      </c>
      <c r="E27" s="101">
        <f t="shared" si="91"/>
        <v>31467</v>
      </c>
      <c r="F27" s="101">
        <f t="shared" si="91"/>
        <v>32691.000000000004</v>
      </c>
      <c r="G27" s="101">
        <f t="shared" si="91"/>
        <v>34701</v>
      </c>
      <c r="H27" s="101">
        <f t="shared" si="91"/>
        <v>35474</v>
      </c>
      <c r="I27" s="101">
        <f t="shared" si="91"/>
        <v>36395</v>
      </c>
      <c r="J27" s="101">
        <f t="shared" si="91"/>
        <v>37952</v>
      </c>
      <c r="K27" s="101">
        <f t="shared" si="91"/>
        <v>32123</v>
      </c>
      <c r="L27" s="101">
        <f t="shared" ref="L27:V27" si="92">IF(L54=0,0,L54*L164)</f>
        <v>32732</v>
      </c>
      <c r="M27" s="101">
        <f t="shared" si="92"/>
        <v>33402</v>
      </c>
      <c r="N27" s="101">
        <f t="shared" si="92"/>
        <v>30369.999999999996</v>
      </c>
      <c r="O27" s="101">
        <f t="shared" si="92"/>
        <v>30715</v>
      </c>
      <c r="P27" s="101">
        <f t="shared" si="92"/>
        <v>38816</v>
      </c>
      <c r="Q27" s="101">
        <f t="shared" si="92"/>
        <v>38106</v>
      </c>
      <c r="R27" s="101">
        <f t="shared" si="92"/>
        <v>39260</v>
      </c>
      <c r="S27" s="101">
        <f t="shared" si="92"/>
        <v>38556</v>
      </c>
      <c r="T27" s="101">
        <f t="shared" si="92"/>
        <v>40662</v>
      </c>
      <c r="U27" s="101">
        <f t="shared" si="92"/>
        <v>40112</v>
      </c>
      <c r="V27" s="101">
        <f t="shared" si="92"/>
        <v>40714</v>
      </c>
      <c r="W27" s="101">
        <f t="shared" ref="W27:Y27" si="93">IF(W54=0,0,W54*W164)</f>
        <v>44776</v>
      </c>
      <c r="X27" s="101">
        <f t="shared" si="93"/>
        <v>45759</v>
      </c>
      <c r="Y27" s="101">
        <f t="shared" si="93"/>
        <v>40280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7519.3429280811761</v>
      </c>
      <c r="C28" s="88">
        <f t="shared" si="94"/>
        <v>8054.1138844247034</v>
      </c>
      <c r="D28" s="88">
        <f t="shared" si="94"/>
        <v>8528.9119469803991</v>
      </c>
      <c r="E28" s="88">
        <f t="shared" si="94"/>
        <v>8666.0866943661968</v>
      </c>
      <c r="F28" s="88">
        <f t="shared" si="94"/>
        <v>10058.142986965944</v>
      </c>
      <c r="G28" s="88">
        <f t="shared" si="94"/>
        <v>10414.317917611734</v>
      </c>
      <c r="H28" s="88">
        <f t="shared" si="94"/>
        <v>11314.474462111539</v>
      </c>
      <c r="I28" s="88">
        <f t="shared" si="94"/>
        <v>11540.110569796889</v>
      </c>
      <c r="J28" s="88">
        <f t="shared" si="94"/>
        <v>10944.8528873092</v>
      </c>
      <c r="K28" s="88">
        <f t="shared" si="94"/>
        <v>8664.045894395811</v>
      </c>
      <c r="L28" s="88">
        <f t="shared" ref="L28:V28" si="95">IF(L55=0,0,L55*L165)</f>
        <v>9717.0097492250206</v>
      </c>
      <c r="M28" s="88">
        <f t="shared" si="95"/>
        <v>9501.6238530355622</v>
      </c>
      <c r="N28" s="88">
        <f t="shared" si="95"/>
        <v>9222.5885908991695</v>
      </c>
      <c r="O28" s="88">
        <f t="shared" si="95"/>
        <v>10501.114282780181</v>
      </c>
      <c r="P28" s="88">
        <f t="shared" si="95"/>
        <v>10009.866290343067</v>
      </c>
      <c r="Q28" s="88">
        <f t="shared" si="95"/>
        <v>11301.214803486939</v>
      </c>
      <c r="R28" s="88">
        <f t="shared" si="95"/>
        <v>11986.675433986507</v>
      </c>
      <c r="S28" s="88">
        <f t="shared" si="95"/>
        <v>11887.560517780585</v>
      </c>
      <c r="T28" s="88">
        <f t="shared" si="95"/>
        <v>12180</v>
      </c>
      <c r="U28" s="88">
        <f t="shared" si="95"/>
        <v>11392</v>
      </c>
      <c r="V28" s="88">
        <f t="shared" si="95"/>
        <v>11607</v>
      </c>
      <c r="W28" s="88">
        <f t="shared" ref="W28:Y28" si="96">IF(W55=0,0,W55*W165)</f>
        <v>12888</v>
      </c>
      <c r="X28" s="88">
        <f t="shared" si="96"/>
        <v>11619</v>
      </c>
      <c r="Y28" s="88">
        <f t="shared" si="96"/>
        <v>11435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52574.491040567889</v>
      </c>
      <c r="C30" s="62">
        <f t="shared" ref="C30:V30" si="98">C31+C46</f>
        <v>53936.581630098968</v>
      </c>
      <c r="D30" s="62">
        <f t="shared" si="98"/>
        <v>56466.882153047292</v>
      </c>
      <c r="E30" s="62">
        <f t="shared" si="98"/>
        <v>57611.079039724507</v>
      </c>
      <c r="F30" s="62">
        <f t="shared" si="98"/>
        <v>58792.288994394774</v>
      </c>
      <c r="G30" s="62">
        <f t="shared" si="98"/>
        <v>57499.385160564518</v>
      </c>
      <c r="H30" s="62">
        <f t="shared" si="98"/>
        <v>58555.727875796554</v>
      </c>
      <c r="I30" s="62">
        <f t="shared" si="98"/>
        <v>60994.930349708477</v>
      </c>
      <c r="J30" s="62">
        <f t="shared" si="98"/>
        <v>61057.53410669561</v>
      </c>
      <c r="K30" s="62">
        <f t="shared" si="98"/>
        <v>62168.347695040524</v>
      </c>
      <c r="L30" s="62">
        <f t="shared" si="98"/>
        <v>64099.529336552136</v>
      </c>
      <c r="M30" s="62">
        <f t="shared" si="98"/>
        <v>66236.844973201078</v>
      </c>
      <c r="N30" s="62">
        <f t="shared" si="98"/>
        <v>67199.447544033756</v>
      </c>
      <c r="O30" s="62">
        <f t="shared" si="98"/>
        <v>68960.556575003342</v>
      </c>
      <c r="P30" s="62">
        <f t="shared" si="98"/>
        <v>72656.496586209047</v>
      </c>
      <c r="Q30" s="62">
        <f t="shared" si="98"/>
        <v>77242.15628095399</v>
      </c>
      <c r="R30" s="62">
        <f t="shared" si="98"/>
        <v>80500.960617436736</v>
      </c>
      <c r="S30" s="62">
        <f t="shared" si="98"/>
        <v>83392.066381020733</v>
      </c>
      <c r="T30" s="62">
        <f t="shared" si="98"/>
        <v>84667.235403928033</v>
      </c>
      <c r="U30" s="62">
        <f t="shared" si="98"/>
        <v>84707.360724116545</v>
      </c>
      <c r="V30" s="62">
        <f t="shared" si="98"/>
        <v>80846.679809777983</v>
      </c>
      <c r="W30" s="62">
        <f t="shared" ref="W30:Y30" si="99">W31+W46</f>
        <v>83912.216186534817</v>
      </c>
      <c r="X30" s="62">
        <f t="shared" si="99"/>
        <v>81663.505683992465</v>
      </c>
      <c r="Y30" s="62">
        <f t="shared" si="99"/>
        <v>84398.317565787132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46264.251078780042</v>
      </c>
      <c r="C31" s="29">
        <f t="shared" ref="C31:V31" si="101">C32+C33+C40</f>
        <v>47006.776694753898</v>
      </c>
      <c r="D31" s="29">
        <f t="shared" si="101"/>
        <v>49139.072598067418</v>
      </c>
      <c r="E31" s="29">
        <f t="shared" si="101"/>
        <v>50001.054742122054</v>
      </c>
      <c r="F31" s="29">
        <f t="shared" si="101"/>
        <v>50569.655861697625</v>
      </c>
      <c r="G31" s="29">
        <f t="shared" si="101"/>
        <v>49437.042210313957</v>
      </c>
      <c r="H31" s="29">
        <f t="shared" si="101"/>
        <v>50065.434504305646</v>
      </c>
      <c r="I31" s="29">
        <f t="shared" si="101"/>
        <v>52111.28180551187</v>
      </c>
      <c r="J31" s="29">
        <f t="shared" si="101"/>
        <v>52033.740260856022</v>
      </c>
      <c r="K31" s="29">
        <f t="shared" si="101"/>
        <v>53472.064411566753</v>
      </c>
      <c r="L31" s="29">
        <f t="shared" si="101"/>
        <v>54866.80672943742</v>
      </c>
      <c r="M31" s="29">
        <f t="shared" si="101"/>
        <v>56779.13844600325</v>
      </c>
      <c r="N31" s="29">
        <f t="shared" si="101"/>
        <v>57842.105372382226</v>
      </c>
      <c r="O31" s="29">
        <f t="shared" si="101"/>
        <v>59469.640053852854</v>
      </c>
      <c r="P31" s="29">
        <f t="shared" si="101"/>
        <v>62461.210048834349</v>
      </c>
      <c r="Q31" s="29">
        <f t="shared" si="101"/>
        <v>66536.597657297491</v>
      </c>
      <c r="R31" s="29">
        <f t="shared" si="101"/>
        <v>69566.510646773764</v>
      </c>
      <c r="S31" s="29">
        <f t="shared" si="101"/>
        <v>71878.669511421816</v>
      </c>
      <c r="T31" s="29">
        <f t="shared" si="101"/>
        <v>73028.204255468183</v>
      </c>
      <c r="U31" s="29">
        <f t="shared" si="101"/>
        <v>72955.261234625243</v>
      </c>
      <c r="V31" s="29">
        <f t="shared" si="101"/>
        <v>68858.823270397566</v>
      </c>
      <c r="W31" s="29">
        <f t="shared" ref="W31:Y31" si="102">W32+W33+W40</f>
        <v>71364.565105976973</v>
      </c>
      <c r="X31" s="29">
        <f t="shared" si="102"/>
        <v>69305.705439658894</v>
      </c>
      <c r="Y31" s="29">
        <f t="shared" si="102"/>
        <v>72243.715863515026</v>
      </c>
      <c r="DA31" s="173" t="s">
        <v>475</v>
      </c>
    </row>
    <row r="32" spans="1:105" ht="11.45" customHeight="1" x14ac:dyDescent="0.25">
      <c r="A32" s="136" t="s">
        <v>173</v>
      </c>
      <c r="B32" s="152">
        <v>435.24</v>
      </c>
      <c r="C32" s="152">
        <v>475.23</v>
      </c>
      <c r="D32" s="152">
        <v>537.54000000000008</v>
      </c>
      <c r="E32" s="152">
        <v>581.25</v>
      </c>
      <c r="F32" s="152">
        <v>626.82000000000005</v>
      </c>
      <c r="G32" s="152">
        <v>646</v>
      </c>
      <c r="H32" s="152">
        <v>708</v>
      </c>
      <c r="I32" s="152">
        <v>786.24</v>
      </c>
      <c r="J32" s="152">
        <v>762.30000000000007</v>
      </c>
      <c r="K32" s="152">
        <v>770.4</v>
      </c>
      <c r="L32" s="152">
        <v>734.4</v>
      </c>
      <c r="M32" s="152">
        <v>710.6</v>
      </c>
      <c r="N32" s="152">
        <v>620.25</v>
      </c>
      <c r="O32" s="152">
        <v>692</v>
      </c>
      <c r="P32" s="152">
        <v>694</v>
      </c>
      <c r="Q32" s="152">
        <v>697.2</v>
      </c>
      <c r="R32" s="152">
        <v>736.28787458748639</v>
      </c>
      <c r="S32" s="152">
        <v>699.43132708796827</v>
      </c>
      <c r="T32" s="152">
        <v>668.39258226345987</v>
      </c>
      <c r="U32" s="152">
        <v>711.26929839891227</v>
      </c>
      <c r="V32" s="152">
        <v>637.06790868456164</v>
      </c>
      <c r="W32" s="152">
        <v>662.1959749852449</v>
      </c>
      <c r="X32" s="152">
        <v>667.7916593482912</v>
      </c>
      <c r="Y32" s="152">
        <v>719.27673080225213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44884.011078780044</v>
      </c>
      <c r="C33" s="116">
        <f t="shared" ref="C33:V33" si="104">SUM(C34:C39)</f>
        <v>45607.219525374938</v>
      </c>
      <c r="D33" s="116">
        <f t="shared" si="104"/>
        <v>47674.532598067417</v>
      </c>
      <c r="E33" s="116">
        <f t="shared" si="104"/>
        <v>48506.804742122054</v>
      </c>
      <c r="F33" s="116">
        <f t="shared" si="104"/>
        <v>49057.250243635717</v>
      </c>
      <c r="G33" s="116">
        <f t="shared" si="104"/>
        <v>47915.042210313957</v>
      </c>
      <c r="H33" s="116">
        <f t="shared" si="104"/>
        <v>48485.434504305646</v>
      </c>
      <c r="I33" s="116">
        <f t="shared" si="104"/>
        <v>50466.766483028645</v>
      </c>
      <c r="J33" s="116">
        <f t="shared" si="104"/>
        <v>50419.440260856019</v>
      </c>
      <c r="K33" s="116">
        <f t="shared" si="104"/>
        <v>51849.664411566751</v>
      </c>
      <c r="L33" s="116">
        <f t="shared" si="104"/>
        <v>53233.729182152652</v>
      </c>
      <c r="M33" s="116">
        <f t="shared" si="104"/>
        <v>55146.38196400764</v>
      </c>
      <c r="N33" s="116">
        <f t="shared" si="104"/>
        <v>56262.800123034111</v>
      </c>
      <c r="O33" s="116">
        <f t="shared" si="104"/>
        <v>57814.640053852854</v>
      </c>
      <c r="P33" s="116">
        <f t="shared" si="104"/>
        <v>60809.210048834349</v>
      </c>
      <c r="Q33" s="116">
        <f t="shared" si="104"/>
        <v>64865.397657297493</v>
      </c>
      <c r="R33" s="116">
        <f t="shared" si="104"/>
        <v>67849.222772186273</v>
      </c>
      <c r="S33" s="116">
        <f t="shared" si="104"/>
        <v>70184.238184333852</v>
      </c>
      <c r="T33" s="116">
        <f t="shared" si="104"/>
        <v>71360.81167320472</v>
      </c>
      <c r="U33" s="116">
        <f t="shared" si="104"/>
        <v>71251.991936226332</v>
      </c>
      <c r="V33" s="116">
        <f t="shared" si="104"/>
        <v>67312.842361713003</v>
      </c>
      <c r="W33" s="116">
        <f t="shared" ref="W33:Y33" si="105">SUM(W34:W39)</f>
        <v>69815.300130991731</v>
      </c>
      <c r="X33" s="116">
        <f t="shared" si="105"/>
        <v>67709.043780310603</v>
      </c>
      <c r="Y33" s="116">
        <f t="shared" si="105"/>
        <v>70575.361132712787</v>
      </c>
      <c r="DA33" s="176" t="s">
        <v>477</v>
      </c>
    </row>
    <row r="34" spans="1:105" ht="11.45" customHeight="1" x14ac:dyDescent="0.25">
      <c r="A34" s="111" t="s">
        <v>110</v>
      </c>
      <c r="B34" s="87">
        <v>40126.993384852707</v>
      </c>
      <c r="C34" s="87">
        <v>41004.596528538117</v>
      </c>
      <c r="D34" s="87">
        <v>42845.686589619181</v>
      </c>
      <c r="E34" s="87">
        <v>43476.602926027292</v>
      </c>
      <c r="F34" s="87">
        <v>43794.691869941431</v>
      </c>
      <c r="G34" s="87">
        <v>42331.410641928815</v>
      </c>
      <c r="H34" s="87">
        <v>41929.531081410321</v>
      </c>
      <c r="I34" s="87">
        <v>41739.8183397787</v>
      </c>
      <c r="J34" s="87">
        <v>40173.713641513277</v>
      </c>
      <c r="K34" s="87">
        <v>39587.870968231589</v>
      </c>
      <c r="L34" s="87">
        <v>37885.697790087375</v>
      </c>
      <c r="M34" s="87">
        <v>35817.205574801585</v>
      </c>
      <c r="N34" s="87">
        <v>33367.218305835624</v>
      </c>
      <c r="O34" s="87">
        <v>31908.236465773836</v>
      </c>
      <c r="P34" s="87">
        <v>31197.200674233627</v>
      </c>
      <c r="Q34" s="87">
        <v>30893.747872634154</v>
      </c>
      <c r="R34" s="87">
        <v>30242.818646961976</v>
      </c>
      <c r="S34" s="87">
        <v>29800.581352620156</v>
      </c>
      <c r="T34" s="87">
        <v>29213.853993579192</v>
      </c>
      <c r="U34" s="87">
        <v>29103.868523796416</v>
      </c>
      <c r="V34" s="87">
        <v>27434.017278851483</v>
      </c>
      <c r="W34" s="87">
        <v>28334.072068771802</v>
      </c>
      <c r="X34" s="87">
        <v>26621.855284024827</v>
      </c>
      <c r="Y34" s="87">
        <v>28233.471252307725</v>
      </c>
      <c r="DA34" s="171" t="s">
        <v>478</v>
      </c>
    </row>
    <row r="35" spans="1:105" ht="11.45" customHeight="1" x14ac:dyDescent="0.25">
      <c r="A35" s="111" t="s">
        <v>111</v>
      </c>
      <c r="B35" s="87">
        <v>4757.0176939273379</v>
      </c>
      <c r="C35" s="87">
        <v>4602.6229968368234</v>
      </c>
      <c r="D35" s="87">
        <v>4812.6194761777815</v>
      </c>
      <c r="E35" s="87">
        <v>4997.8815781407111</v>
      </c>
      <c r="F35" s="87">
        <v>5212.3517939380499</v>
      </c>
      <c r="G35" s="87">
        <v>5504.7459416563324</v>
      </c>
      <c r="H35" s="87">
        <v>6476.778547132787</v>
      </c>
      <c r="I35" s="87">
        <v>8636.8886904206338</v>
      </c>
      <c r="J35" s="87">
        <v>10141.953680543191</v>
      </c>
      <c r="K35" s="87">
        <v>12145.81949699454</v>
      </c>
      <c r="L35" s="87">
        <v>15109.583395835407</v>
      </c>
      <c r="M35" s="87">
        <v>18981.878827619315</v>
      </c>
      <c r="N35" s="87">
        <v>22463.562809229032</v>
      </c>
      <c r="O35" s="87">
        <v>25421.311315238912</v>
      </c>
      <c r="P35" s="87">
        <v>29004.99076864637</v>
      </c>
      <c r="Q35" s="87">
        <v>33199.589562351393</v>
      </c>
      <c r="R35" s="87">
        <v>36565.261040104124</v>
      </c>
      <c r="S35" s="87">
        <v>39155.325376043402</v>
      </c>
      <c r="T35" s="87">
        <v>40661.168343934733</v>
      </c>
      <c r="U35" s="87">
        <v>40298.207087373456</v>
      </c>
      <c r="V35" s="87">
        <v>37042.471373693574</v>
      </c>
      <c r="W35" s="87">
        <v>36886.519462976394</v>
      </c>
      <c r="X35" s="87">
        <v>34454.878203439781</v>
      </c>
      <c r="Y35" s="87">
        <v>34453.440693270451</v>
      </c>
      <c r="DA35" s="171" t="s">
        <v>479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6.4059283240646483</v>
      </c>
      <c r="H36" s="87">
        <v>5.9139138341191648</v>
      </c>
      <c r="I36" s="87">
        <v>5.8672053124917367</v>
      </c>
      <c r="J36" s="87">
        <v>6.0789145530071771</v>
      </c>
      <c r="K36" s="87">
        <v>7.995428036885956</v>
      </c>
      <c r="L36" s="87">
        <v>6.8459921099265033</v>
      </c>
      <c r="M36" s="87">
        <v>9.3773394214612686</v>
      </c>
      <c r="N36" s="87">
        <v>9.1135112080389433</v>
      </c>
      <c r="O36" s="87">
        <v>9.062401858110281</v>
      </c>
      <c r="P36" s="87">
        <v>9.1214877190555708</v>
      </c>
      <c r="Q36" s="87">
        <v>9.2617584895384972</v>
      </c>
      <c r="R36" s="87">
        <v>8.7829327085010309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X36" s="87">
        <v>0</v>
      </c>
      <c r="Y36" s="87">
        <v>0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16.22653227045253</v>
      </c>
      <c r="E37" s="87">
        <v>32.32023795404983</v>
      </c>
      <c r="F37" s="87">
        <v>50.206579756240991</v>
      </c>
      <c r="G37" s="87">
        <v>72.479698404745392</v>
      </c>
      <c r="H37" s="87">
        <v>73.210961928413241</v>
      </c>
      <c r="I37" s="87">
        <v>84.192247516814362</v>
      </c>
      <c r="J37" s="87">
        <v>94.061029179129875</v>
      </c>
      <c r="K37" s="87">
        <v>103.5437614514816</v>
      </c>
      <c r="L37" s="87">
        <v>226.29686373154294</v>
      </c>
      <c r="M37" s="87">
        <v>327.66466863564767</v>
      </c>
      <c r="N37" s="87">
        <v>402.12848430971707</v>
      </c>
      <c r="O37" s="87">
        <v>443.61138888112635</v>
      </c>
      <c r="P37" s="87">
        <v>510.37675704464016</v>
      </c>
      <c r="Q37" s="87">
        <v>580.56544040076278</v>
      </c>
      <c r="R37" s="87">
        <v>708.33042420882032</v>
      </c>
      <c r="S37" s="87">
        <v>706.60126952550308</v>
      </c>
      <c r="T37" s="87">
        <v>689.06565483644874</v>
      </c>
      <c r="U37" s="87">
        <v>658.30514875942265</v>
      </c>
      <c r="V37" s="87">
        <v>642.2428405335819</v>
      </c>
      <c r="W37" s="87">
        <v>640.30799147422715</v>
      </c>
      <c r="X37" s="87">
        <v>621.32389455832924</v>
      </c>
      <c r="Y37" s="87">
        <v>502.65258907940012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1.416923795346519</v>
      </c>
      <c r="K38" s="87">
        <v>1.7372327506918628</v>
      </c>
      <c r="L38" s="87">
        <v>2.037970809838896</v>
      </c>
      <c r="M38" s="87">
        <v>3.953474697780853</v>
      </c>
      <c r="N38" s="87">
        <v>10.375766743209963</v>
      </c>
      <c r="O38" s="87">
        <v>14.986793241233183</v>
      </c>
      <c r="P38" s="87">
        <v>50.029365901192755</v>
      </c>
      <c r="Q38" s="87">
        <v>99.90728876448928</v>
      </c>
      <c r="R38" s="87">
        <v>193.90774362086356</v>
      </c>
      <c r="S38" s="87">
        <v>331.14527134987134</v>
      </c>
      <c r="T38" s="87">
        <v>508.91194046830367</v>
      </c>
      <c r="U38" s="87">
        <v>667.84849694548734</v>
      </c>
      <c r="V38" s="87">
        <v>1223.5975130887293</v>
      </c>
      <c r="W38" s="87">
        <v>1958.3401290412762</v>
      </c>
      <c r="X38" s="87">
        <v>2386.7316105430764</v>
      </c>
      <c r="Y38" s="87">
        <v>2359.9063580012253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2.2160712720645082</v>
      </c>
      <c r="K39" s="87">
        <v>2.6975241015709668</v>
      </c>
      <c r="L39" s="87">
        <v>3.2671695785597272</v>
      </c>
      <c r="M39" s="87">
        <v>6.3020788318516479</v>
      </c>
      <c r="N39" s="87">
        <v>10.401245708493086</v>
      </c>
      <c r="O39" s="87">
        <v>17.431688859645931</v>
      </c>
      <c r="P39" s="87">
        <v>37.49099528946077</v>
      </c>
      <c r="Q39" s="87">
        <v>82.325734657153191</v>
      </c>
      <c r="R39" s="87">
        <v>130.12198458198816</v>
      </c>
      <c r="S39" s="87">
        <v>190.58491479491613</v>
      </c>
      <c r="T39" s="87">
        <v>287.81174038605513</v>
      </c>
      <c r="U39" s="87">
        <v>523.76267935155852</v>
      </c>
      <c r="V39" s="87">
        <v>970.51335554564093</v>
      </c>
      <c r="W39" s="87">
        <v>1996.0604787280267</v>
      </c>
      <c r="X39" s="87">
        <v>3624.2547877445832</v>
      </c>
      <c r="Y39" s="87">
        <v>5025.8902400539782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945</v>
      </c>
      <c r="C40" s="116">
        <f t="shared" ref="C40:V40" si="107">SUM(C41:C45)</f>
        <v>924.32716937896066</v>
      </c>
      <c r="D40" s="116">
        <f t="shared" si="107"/>
        <v>927</v>
      </c>
      <c r="E40" s="116">
        <f t="shared" si="107"/>
        <v>913</v>
      </c>
      <c r="F40" s="116">
        <f t="shared" si="107"/>
        <v>885.58561806190846</v>
      </c>
      <c r="G40" s="116">
        <f t="shared" si="107"/>
        <v>875.99999999999989</v>
      </c>
      <c r="H40" s="116">
        <f t="shared" si="107"/>
        <v>872.00000000000011</v>
      </c>
      <c r="I40" s="116">
        <f t="shared" si="107"/>
        <v>858.27532248322871</v>
      </c>
      <c r="J40" s="116">
        <f t="shared" si="107"/>
        <v>852</v>
      </c>
      <c r="K40" s="116">
        <f t="shared" si="107"/>
        <v>852</v>
      </c>
      <c r="L40" s="116">
        <f t="shared" si="107"/>
        <v>898.67754728476302</v>
      </c>
      <c r="M40" s="116">
        <f t="shared" si="107"/>
        <v>922.15648199561213</v>
      </c>
      <c r="N40" s="116">
        <f t="shared" si="107"/>
        <v>959.05524934811524</v>
      </c>
      <c r="O40" s="116">
        <f t="shared" si="107"/>
        <v>963.00000000000011</v>
      </c>
      <c r="P40" s="116">
        <f t="shared" si="107"/>
        <v>958.00000000000011</v>
      </c>
      <c r="Q40" s="116">
        <f t="shared" si="107"/>
        <v>974</v>
      </c>
      <c r="R40" s="116">
        <f t="shared" si="107"/>
        <v>981.00000000000011</v>
      </c>
      <c r="S40" s="116">
        <f t="shared" si="107"/>
        <v>995</v>
      </c>
      <c r="T40" s="116">
        <f t="shared" si="107"/>
        <v>999.00000000000011</v>
      </c>
      <c r="U40" s="116">
        <f t="shared" si="107"/>
        <v>992</v>
      </c>
      <c r="V40" s="116">
        <f t="shared" si="107"/>
        <v>908.9129999999999</v>
      </c>
      <c r="W40" s="116">
        <f t="shared" ref="W40:Y40" si="108">SUM(W41:W45)</f>
        <v>887.06900000000007</v>
      </c>
      <c r="X40" s="116">
        <f t="shared" si="108"/>
        <v>928.87</v>
      </c>
      <c r="Y40" s="116">
        <f t="shared" si="108"/>
        <v>949.07799999999997</v>
      </c>
      <c r="DA40" s="176" t="s">
        <v>484</v>
      </c>
    </row>
    <row r="41" spans="1:105" ht="11.45" customHeight="1" x14ac:dyDescent="0.25">
      <c r="A41" s="111" t="s">
        <v>110</v>
      </c>
      <c r="B41" s="101">
        <v>29.830908512693121</v>
      </c>
      <c r="C41" s="101">
        <v>24.62447286820418</v>
      </c>
      <c r="D41" s="101">
        <v>20.225868069663331</v>
      </c>
      <c r="E41" s="101">
        <v>15.981127387283598</v>
      </c>
      <c r="F41" s="101">
        <v>12.05684959165176</v>
      </c>
      <c r="G41" s="101">
        <v>8.5661227391831734</v>
      </c>
      <c r="H41" s="101">
        <v>7.0890186971732403</v>
      </c>
      <c r="I41" s="101">
        <v>5.9200603719618918</v>
      </c>
      <c r="J41" s="101">
        <v>4.8597271675561986</v>
      </c>
      <c r="K41" s="101">
        <v>4.4646371878229747</v>
      </c>
      <c r="L41" s="101">
        <v>1.8517704364560768</v>
      </c>
      <c r="M41" s="101">
        <v>3.3279121509092127</v>
      </c>
      <c r="N41" s="101">
        <v>2.788931819101347</v>
      </c>
      <c r="O41" s="101">
        <v>2.7906205162584921</v>
      </c>
      <c r="P41" s="101">
        <v>2.6131060886928359</v>
      </c>
      <c r="Q41" s="101">
        <v>2.4249986459496067</v>
      </c>
      <c r="R41" s="101">
        <v>2.6994823964651227</v>
      </c>
      <c r="S41" s="101">
        <v>2.568756831148713</v>
      </c>
      <c r="T41" s="101">
        <v>2.524139694899961</v>
      </c>
      <c r="U41" s="101">
        <v>2.2501752315783539</v>
      </c>
      <c r="V41" s="101">
        <v>2.2131292123515394</v>
      </c>
      <c r="W41" s="101">
        <v>2.0147238626659569</v>
      </c>
      <c r="X41" s="101">
        <v>1.9402119445547037</v>
      </c>
      <c r="Y41" s="101">
        <v>2.011931035772184</v>
      </c>
      <c r="DA41" s="175" t="s">
        <v>485</v>
      </c>
    </row>
    <row r="42" spans="1:105" ht="11.45" customHeight="1" x14ac:dyDescent="0.25">
      <c r="A42" s="111" t="s">
        <v>111</v>
      </c>
      <c r="B42" s="101">
        <v>891.28481652953735</v>
      </c>
      <c r="C42" s="101">
        <v>872.78492084880907</v>
      </c>
      <c r="D42" s="101">
        <v>878.44578234294272</v>
      </c>
      <c r="E42" s="101">
        <v>867.46759892103239</v>
      </c>
      <c r="F42" s="101">
        <v>841.62620259271603</v>
      </c>
      <c r="G42" s="101">
        <v>797.51080108784163</v>
      </c>
      <c r="H42" s="101">
        <v>822.75975114032826</v>
      </c>
      <c r="I42" s="101">
        <v>802.19477170513619</v>
      </c>
      <c r="J42" s="101">
        <v>779.03900846890713</v>
      </c>
      <c r="K42" s="101">
        <v>759.44643620354191</v>
      </c>
      <c r="L42" s="101">
        <v>787.74486434859614</v>
      </c>
      <c r="M42" s="101">
        <v>771.65371482598778</v>
      </c>
      <c r="N42" s="101">
        <v>795.02109118848807</v>
      </c>
      <c r="O42" s="101">
        <v>592.66757098650669</v>
      </c>
      <c r="P42" s="101">
        <v>579.55577173223242</v>
      </c>
      <c r="Q42" s="101">
        <v>595.82600725835528</v>
      </c>
      <c r="R42" s="101">
        <v>610.77487257788835</v>
      </c>
      <c r="S42" s="101">
        <v>615.64596951648264</v>
      </c>
      <c r="T42" s="101">
        <v>630.59210928764628</v>
      </c>
      <c r="U42" s="101">
        <v>801.48532287806211</v>
      </c>
      <c r="V42" s="101">
        <v>699.38134531097398</v>
      </c>
      <c r="W42" s="101">
        <v>683.68029219193454</v>
      </c>
      <c r="X42" s="101">
        <v>724.79543488063291</v>
      </c>
      <c r="Y42" s="101">
        <v>738.23327623898172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DA43" s="175" t="s">
        <v>487</v>
      </c>
    </row>
    <row r="44" spans="1:105" ht="11.45" customHeight="1" x14ac:dyDescent="0.25">
      <c r="A44" s="111" t="s">
        <v>113</v>
      </c>
      <c r="B44" s="101">
        <v>23.080513730460048</v>
      </c>
      <c r="C44" s="101">
        <v>26.112375192026477</v>
      </c>
      <c r="D44" s="101">
        <v>27.662503028497362</v>
      </c>
      <c r="E44" s="101">
        <v>28.789649814526751</v>
      </c>
      <c r="F44" s="101">
        <v>31.14055810672691</v>
      </c>
      <c r="G44" s="101">
        <v>69.301540712322449</v>
      </c>
      <c r="H44" s="101">
        <v>41.575572009708324</v>
      </c>
      <c r="I44" s="101">
        <v>49.679961869738698</v>
      </c>
      <c r="J44" s="101">
        <v>67.715361811043309</v>
      </c>
      <c r="K44" s="101">
        <v>87.702610304948607</v>
      </c>
      <c r="L44" s="101">
        <v>108.88701283557604</v>
      </c>
      <c r="M44" s="101">
        <v>146.98015994893009</v>
      </c>
      <c r="N44" s="101">
        <v>160.95194818715672</v>
      </c>
      <c r="O44" s="101">
        <v>367.14924794936559</v>
      </c>
      <c r="P44" s="101">
        <v>375.29074279409377</v>
      </c>
      <c r="Q44" s="101">
        <v>374.76493667415042</v>
      </c>
      <c r="R44" s="101">
        <v>365.66455141822382</v>
      </c>
      <c r="S44" s="101">
        <v>374.15451297640436</v>
      </c>
      <c r="T44" s="101">
        <v>361.01768551990034</v>
      </c>
      <c r="U44" s="101">
        <v>175.32638371704937</v>
      </c>
      <c r="V44" s="101">
        <v>184.75238743308728</v>
      </c>
      <c r="W44" s="101">
        <v>169.53689174095902</v>
      </c>
      <c r="X44" s="101">
        <v>158.18076102562088</v>
      </c>
      <c r="Y44" s="101">
        <v>150.31694489498094</v>
      </c>
      <c r="DA44" s="175" t="s">
        <v>488</v>
      </c>
    </row>
    <row r="45" spans="1:105" ht="11.45" customHeight="1" x14ac:dyDescent="0.25">
      <c r="A45" s="111" t="s">
        <v>115</v>
      </c>
      <c r="B45" s="101">
        <v>0.80376122730946542</v>
      </c>
      <c r="C45" s="101">
        <v>0.80540046992101322</v>
      </c>
      <c r="D45" s="101">
        <v>0.66584655889661604</v>
      </c>
      <c r="E45" s="101">
        <v>0.76162387715724833</v>
      </c>
      <c r="F45" s="101">
        <v>0.76200777081387105</v>
      </c>
      <c r="G45" s="101">
        <v>0.62153546065273746</v>
      </c>
      <c r="H45" s="101">
        <v>0.57565815279022114</v>
      </c>
      <c r="I45" s="101">
        <v>0.48052853639196291</v>
      </c>
      <c r="J45" s="101">
        <v>0.38590255249332944</v>
      </c>
      <c r="K45" s="101">
        <v>0.38631630368648312</v>
      </c>
      <c r="L45" s="101">
        <v>0.19389966413479962</v>
      </c>
      <c r="M45" s="101">
        <v>0.19469506978492915</v>
      </c>
      <c r="N45" s="101">
        <v>0.29327815336908131</v>
      </c>
      <c r="O45" s="101">
        <v>0.39256054786927203</v>
      </c>
      <c r="P45" s="101">
        <v>0.54037938498102311</v>
      </c>
      <c r="Q45" s="101">
        <v>0.98405742154476805</v>
      </c>
      <c r="R45" s="101">
        <v>1.8610936074228095</v>
      </c>
      <c r="S45" s="101">
        <v>2.6307606759643267</v>
      </c>
      <c r="T45" s="101">
        <v>4.8660654975534063</v>
      </c>
      <c r="U45" s="101">
        <v>12.938118173310105</v>
      </c>
      <c r="V45" s="101">
        <v>22.56613804358707</v>
      </c>
      <c r="W45" s="101">
        <v>31.837092204440498</v>
      </c>
      <c r="X45" s="101">
        <v>43.953592149191486</v>
      </c>
      <c r="Y45" s="101">
        <v>58.515847830265187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6310.23996178785</v>
      </c>
      <c r="C46" s="29">
        <f t="shared" ref="C46:V46" si="110">C47+C53</f>
        <v>6929.804935345066</v>
      </c>
      <c r="D46" s="29">
        <f t="shared" si="110"/>
        <v>7327.8095549798745</v>
      </c>
      <c r="E46" s="29">
        <f t="shared" si="110"/>
        <v>7610.024297602451</v>
      </c>
      <c r="F46" s="29">
        <f t="shared" si="110"/>
        <v>8222.6331326971504</v>
      </c>
      <c r="G46" s="29">
        <f t="shared" si="110"/>
        <v>8062.3429502505578</v>
      </c>
      <c r="H46" s="29">
        <f t="shared" si="110"/>
        <v>8490.2933714909068</v>
      </c>
      <c r="I46" s="29">
        <f t="shared" si="110"/>
        <v>8883.648544196607</v>
      </c>
      <c r="J46" s="29">
        <f t="shared" si="110"/>
        <v>9023.7938458395893</v>
      </c>
      <c r="K46" s="29">
        <f t="shared" si="110"/>
        <v>8696.2832834737692</v>
      </c>
      <c r="L46" s="29">
        <f t="shared" si="110"/>
        <v>9232.7226071147197</v>
      </c>
      <c r="M46" s="29">
        <f t="shared" si="110"/>
        <v>9457.7065271978281</v>
      </c>
      <c r="N46" s="29">
        <f t="shared" si="110"/>
        <v>9357.3421716515222</v>
      </c>
      <c r="O46" s="29">
        <f t="shared" si="110"/>
        <v>9490.9165211504915</v>
      </c>
      <c r="P46" s="29">
        <f t="shared" si="110"/>
        <v>10195.286537374692</v>
      </c>
      <c r="Q46" s="29">
        <f t="shared" si="110"/>
        <v>10705.558623656503</v>
      </c>
      <c r="R46" s="29">
        <f t="shared" si="110"/>
        <v>10934.449970662978</v>
      </c>
      <c r="S46" s="29">
        <f t="shared" si="110"/>
        <v>11513.396869598919</v>
      </c>
      <c r="T46" s="29">
        <f t="shared" si="110"/>
        <v>11639.03114845985</v>
      </c>
      <c r="U46" s="29">
        <f t="shared" si="110"/>
        <v>11752.099489491306</v>
      </c>
      <c r="V46" s="29">
        <f t="shared" si="110"/>
        <v>11987.856539380417</v>
      </c>
      <c r="W46" s="29">
        <f t="shared" ref="W46:Y46" si="111">W47+W53</f>
        <v>12547.65108055784</v>
      </c>
      <c r="X46" s="29">
        <f t="shared" si="111"/>
        <v>12357.800244333572</v>
      </c>
      <c r="Y46" s="29">
        <f t="shared" si="111"/>
        <v>12154.601702272103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3512.8414641620147</v>
      </c>
      <c r="C47" s="152">
        <f t="shared" ref="C47:V47" si="113">SUM(C48:C52)</f>
        <v>4133.4078927242772</v>
      </c>
      <c r="D47" s="152">
        <f t="shared" si="113"/>
        <v>4473.98790207805</v>
      </c>
      <c r="E47" s="152">
        <f t="shared" si="113"/>
        <v>4809.0550270414506</v>
      </c>
      <c r="F47" s="152">
        <f t="shared" si="113"/>
        <v>5274.8420327099238</v>
      </c>
      <c r="G47" s="152">
        <f t="shared" si="113"/>
        <v>4913.4314144365899</v>
      </c>
      <c r="H47" s="152">
        <f t="shared" si="113"/>
        <v>5291.2132607721014</v>
      </c>
      <c r="I47" s="152">
        <f t="shared" si="113"/>
        <v>5544.0859298524019</v>
      </c>
      <c r="J47" s="152">
        <f t="shared" si="113"/>
        <v>5632.2684765483473</v>
      </c>
      <c r="K47" s="152">
        <f t="shared" si="113"/>
        <v>5639.3357811247843</v>
      </c>
      <c r="L47" s="152">
        <f t="shared" si="113"/>
        <v>6062.3981680618408</v>
      </c>
      <c r="M47" s="152">
        <f t="shared" si="113"/>
        <v>6366.4156528437579</v>
      </c>
      <c r="N47" s="152">
        <f t="shared" si="113"/>
        <v>6461.6275923417343</v>
      </c>
      <c r="O47" s="152">
        <f t="shared" si="113"/>
        <v>6514.4294245627252</v>
      </c>
      <c r="P47" s="152">
        <f t="shared" si="113"/>
        <v>6669.2856534138455</v>
      </c>
      <c r="Q47" s="152">
        <f t="shared" si="113"/>
        <v>7098.6492409015227</v>
      </c>
      <c r="R47" s="152">
        <f t="shared" si="113"/>
        <v>7265.1590688058368</v>
      </c>
      <c r="S47" s="152">
        <f t="shared" si="113"/>
        <v>7823.0148982428609</v>
      </c>
      <c r="T47" s="152">
        <f t="shared" si="113"/>
        <v>7820.0380126324335</v>
      </c>
      <c r="U47" s="152">
        <f t="shared" si="113"/>
        <v>7996.9750766265743</v>
      </c>
      <c r="V47" s="152">
        <f t="shared" si="113"/>
        <v>8201.5261009296501</v>
      </c>
      <c r="W47" s="152">
        <f t="shared" ref="W47:Y47" si="114">SUM(W48:W52)</f>
        <v>8475.1142821672893</v>
      </c>
      <c r="X47" s="152">
        <f t="shared" si="114"/>
        <v>8131.482214769746</v>
      </c>
      <c r="Y47" s="152">
        <f t="shared" si="114"/>
        <v>8217.2123834458525</v>
      </c>
      <c r="DA47" s="174" t="s">
        <v>491</v>
      </c>
    </row>
    <row r="48" spans="1:105" ht="11.45" customHeight="1" x14ac:dyDescent="0.25">
      <c r="A48" s="111" t="s">
        <v>110</v>
      </c>
      <c r="B48" s="87">
        <v>1318.5661464712628</v>
      </c>
      <c r="C48" s="87">
        <v>1299.978716874909</v>
      </c>
      <c r="D48" s="87">
        <v>1213.8302363190824</v>
      </c>
      <c r="E48" s="87">
        <v>1085.2672388798301</v>
      </c>
      <c r="F48" s="87">
        <v>976.56091120555027</v>
      </c>
      <c r="G48" s="87">
        <v>909.15714512201737</v>
      </c>
      <c r="H48" s="87">
        <v>805.94214984655764</v>
      </c>
      <c r="I48" s="87">
        <v>747.0587262197763</v>
      </c>
      <c r="J48" s="87">
        <v>668.69592332195805</v>
      </c>
      <c r="K48" s="87">
        <v>611.56814932936538</v>
      </c>
      <c r="L48" s="87">
        <v>541.59616964579664</v>
      </c>
      <c r="M48" s="87">
        <v>507.00074628381293</v>
      </c>
      <c r="N48" s="87">
        <v>443.6289104308907</v>
      </c>
      <c r="O48" s="87">
        <v>388.45742223186795</v>
      </c>
      <c r="P48" s="87">
        <v>357.83548703404256</v>
      </c>
      <c r="Q48" s="87">
        <v>342.43993379052995</v>
      </c>
      <c r="R48" s="87">
        <v>283.60751319090576</v>
      </c>
      <c r="S48" s="87">
        <v>249.64286868349947</v>
      </c>
      <c r="T48" s="87">
        <v>244.56600859146957</v>
      </c>
      <c r="U48" s="87">
        <v>245.52810244234021</v>
      </c>
      <c r="V48" s="87">
        <v>251.87259740955946</v>
      </c>
      <c r="W48" s="87">
        <v>271.37987615438016</v>
      </c>
      <c r="X48" s="87">
        <v>307.37460815831162</v>
      </c>
      <c r="Y48" s="87">
        <v>334.20227424755382</v>
      </c>
      <c r="DA48" s="171" t="s">
        <v>492</v>
      </c>
    </row>
    <row r="49" spans="1:105" ht="11.45" customHeight="1" x14ac:dyDescent="0.25">
      <c r="A49" s="111" t="s">
        <v>111</v>
      </c>
      <c r="B49" s="87">
        <v>2194.2753176907522</v>
      </c>
      <c r="C49" s="87">
        <v>2833.4047712460901</v>
      </c>
      <c r="D49" s="87">
        <v>3260.0132955084987</v>
      </c>
      <c r="E49" s="87">
        <v>3723.3897911390777</v>
      </c>
      <c r="F49" s="87">
        <v>4297.6287981772603</v>
      </c>
      <c r="G49" s="87">
        <v>4003.0042245420332</v>
      </c>
      <c r="H49" s="87">
        <v>4480.5184002036576</v>
      </c>
      <c r="I49" s="87">
        <v>4788.7424945999601</v>
      </c>
      <c r="J49" s="87">
        <v>4949.4079753141195</v>
      </c>
      <c r="K49" s="87">
        <v>5006.2734328249962</v>
      </c>
      <c r="L49" s="87">
        <v>5496.0516688813987</v>
      </c>
      <c r="M49" s="87">
        <v>5831.9498239358481</v>
      </c>
      <c r="N49" s="87">
        <v>5984.4855534589233</v>
      </c>
      <c r="O49" s="87">
        <v>6089.6164030487644</v>
      </c>
      <c r="P49" s="87">
        <v>6271.3081813459667</v>
      </c>
      <c r="Q49" s="87">
        <v>6708.7981487804891</v>
      </c>
      <c r="R49" s="87">
        <v>6930.1868658427657</v>
      </c>
      <c r="S49" s="87">
        <v>7513.4382355410253</v>
      </c>
      <c r="T49" s="87">
        <v>7479.0087136746561</v>
      </c>
      <c r="U49" s="87">
        <v>7642.9090143286749</v>
      </c>
      <c r="V49" s="87">
        <v>7825.4081813476623</v>
      </c>
      <c r="W49" s="87">
        <v>8058.3416329356169</v>
      </c>
      <c r="X49" s="87">
        <v>7637.5114263082805</v>
      </c>
      <c r="Y49" s="87">
        <v>7651.4258522954451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X50" s="87">
        <v>0</v>
      </c>
      <c r="Y50" s="87">
        <v>0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2.4404603278483848E-2</v>
      </c>
      <c r="D51" s="87">
        <v>0.14437025046893689</v>
      </c>
      <c r="E51" s="87">
        <v>0.39799702254270553</v>
      </c>
      <c r="F51" s="87">
        <v>0.65232332711380314</v>
      </c>
      <c r="G51" s="87">
        <v>1.2549367257962774</v>
      </c>
      <c r="H51" s="87">
        <v>3.186597269791609</v>
      </c>
      <c r="I51" s="87">
        <v>6.8010680740516296</v>
      </c>
      <c r="J51" s="87">
        <v>12.687842777294009</v>
      </c>
      <c r="K51" s="87">
        <v>20.016921125821</v>
      </c>
      <c r="L51" s="87">
        <v>23.307166935083046</v>
      </c>
      <c r="M51" s="87">
        <v>25.989246596052229</v>
      </c>
      <c r="N51" s="87">
        <v>30.7271339028288</v>
      </c>
      <c r="O51" s="87">
        <v>32.18240522078991</v>
      </c>
      <c r="P51" s="87">
        <v>33.798264135223917</v>
      </c>
      <c r="Q51" s="87">
        <v>37.921936125690252</v>
      </c>
      <c r="R51" s="87">
        <v>39.528476846067072</v>
      </c>
      <c r="S51" s="87">
        <v>45.111814126820363</v>
      </c>
      <c r="T51" s="87">
        <v>76.245866412136451</v>
      </c>
      <c r="U51" s="87">
        <v>78.569483706078415</v>
      </c>
      <c r="V51" s="87">
        <v>79.760787518216446</v>
      </c>
      <c r="W51" s="87">
        <v>80.257839175054627</v>
      </c>
      <c r="X51" s="87">
        <v>84.030117242524327</v>
      </c>
      <c r="Y51" s="87">
        <v>73.347496728105043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1.5108046743531589E-2</v>
      </c>
      <c r="H52" s="87">
        <v>1.5661134520951254</v>
      </c>
      <c r="I52" s="87">
        <v>1.4836409586137846</v>
      </c>
      <c r="J52" s="87">
        <v>1.4767351349756686</v>
      </c>
      <c r="K52" s="87">
        <v>1.477277844602169</v>
      </c>
      <c r="L52" s="87">
        <v>1.443162599562783</v>
      </c>
      <c r="M52" s="87">
        <v>1.4758360280447076</v>
      </c>
      <c r="N52" s="87">
        <v>2.7859945490917859</v>
      </c>
      <c r="O52" s="87">
        <v>4.1731940613027776</v>
      </c>
      <c r="P52" s="87">
        <v>6.3437208986125819</v>
      </c>
      <c r="Q52" s="87">
        <v>9.4892222048136432</v>
      </c>
      <c r="R52" s="87">
        <v>11.836212926098854</v>
      </c>
      <c r="S52" s="87">
        <v>14.821979891515111</v>
      </c>
      <c r="T52" s="87">
        <v>20.217423954171064</v>
      </c>
      <c r="U52" s="87">
        <v>29.968476149480999</v>
      </c>
      <c r="V52" s="87">
        <v>44.484534654211764</v>
      </c>
      <c r="W52" s="87">
        <v>65.13493390223752</v>
      </c>
      <c r="X52" s="87">
        <v>102.5660630606302</v>
      </c>
      <c r="Y52" s="87">
        <v>158.23676017474807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2797.3984976258353</v>
      </c>
      <c r="C53" s="116">
        <f t="shared" ref="C53:V53" si="116">SUM(C54:C55)</f>
        <v>2796.3970426207889</v>
      </c>
      <c r="D53" s="116">
        <f t="shared" si="116"/>
        <v>2853.821652901825</v>
      </c>
      <c r="E53" s="116">
        <f t="shared" si="116"/>
        <v>2800.9692705610005</v>
      </c>
      <c r="F53" s="116">
        <f t="shared" si="116"/>
        <v>2947.7910999872265</v>
      </c>
      <c r="G53" s="116">
        <f t="shared" si="116"/>
        <v>3148.9115358139679</v>
      </c>
      <c r="H53" s="116">
        <f t="shared" si="116"/>
        <v>3199.0801107188054</v>
      </c>
      <c r="I53" s="116">
        <f t="shared" si="116"/>
        <v>3339.5626143442041</v>
      </c>
      <c r="J53" s="116">
        <f t="shared" si="116"/>
        <v>3391.525369291242</v>
      </c>
      <c r="K53" s="116">
        <f t="shared" si="116"/>
        <v>3056.9475023489845</v>
      </c>
      <c r="L53" s="116">
        <f t="shared" si="116"/>
        <v>3170.3244390528794</v>
      </c>
      <c r="M53" s="116">
        <f t="shared" si="116"/>
        <v>3091.2908743540702</v>
      </c>
      <c r="N53" s="116">
        <f t="shared" si="116"/>
        <v>2895.714579309788</v>
      </c>
      <c r="O53" s="116">
        <f t="shared" si="116"/>
        <v>2976.4870965877672</v>
      </c>
      <c r="P53" s="116">
        <f t="shared" si="116"/>
        <v>3526.0008839608458</v>
      </c>
      <c r="Q53" s="116">
        <f t="shared" si="116"/>
        <v>3606.9093827549805</v>
      </c>
      <c r="R53" s="116">
        <f t="shared" si="116"/>
        <v>3669.2909018571413</v>
      </c>
      <c r="S53" s="116">
        <f t="shared" si="116"/>
        <v>3690.3819713560574</v>
      </c>
      <c r="T53" s="116">
        <f t="shared" si="116"/>
        <v>3818.9931358274152</v>
      </c>
      <c r="U53" s="116">
        <f t="shared" si="116"/>
        <v>3755.1244128647304</v>
      </c>
      <c r="V53" s="116">
        <f t="shared" si="116"/>
        <v>3786.3304384507669</v>
      </c>
      <c r="W53" s="116">
        <f t="shared" ref="W53:Y53" si="117">SUM(W54:W55)</f>
        <v>4072.5367983905498</v>
      </c>
      <c r="X53" s="116">
        <f t="shared" si="117"/>
        <v>4226.3180295638249</v>
      </c>
      <c r="Y53" s="116">
        <f t="shared" si="117"/>
        <v>3937.38931882625</v>
      </c>
      <c r="DA53" s="176" t="s">
        <v>497</v>
      </c>
    </row>
    <row r="54" spans="1:105" ht="11.45" customHeight="1" x14ac:dyDescent="0.25">
      <c r="A54" s="128" t="s">
        <v>27</v>
      </c>
      <c r="B54" s="101">
        <v>2270</v>
      </c>
      <c r="C54" s="101">
        <v>2231</v>
      </c>
      <c r="D54" s="101">
        <v>2259</v>
      </c>
      <c r="E54" s="101">
        <v>2193</v>
      </c>
      <c r="F54" s="101">
        <v>2229</v>
      </c>
      <c r="G54" s="101">
        <v>2405</v>
      </c>
      <c r="H54" s="101">
        <v>2396</v>
      </c>
      <c r="I54" s="101">
        <v>2522</v>
      </c>
      <c r="J54" s="101">
        <v>2605</v>
      </c>
      <c r="K54" s="101">
        <v>2426</v>
      </c>
      <c r="L54" s="101">
        <v>2485</v>
      </c>
      <c r="M54" s="101">
        <v>2419</v>
      </c>
      <c r="N54" s="101">
        <v>2241</v>
      </c>
      <c r="O54" s="101">
        <v>2232</v>
      </c>
      <c r="P54" s="101">
        <v>2818</v>
      </c>
      <c r="Q54" s="101">
        <v>2800</v>
      </c>
      <c r="R54" s="101">
        <v>2809</v>
      </c>
      <c r="S54" s="101">
        <v>2842</v>
      </c>
      <c r="T54" s="101">
        <v>2958</v>
      </c>
      <c r="U54" s="101">
        <v>2945</v>
      </c>
      <c r="V54" s="101">
        <v>2949</v>
      </c>
      <c r="W54" s="101">
        <v>3155</v>
      </c>
      <c r="X54" s="101">
        <v>3396</v>
      </c>
      <c r="Y54" s="101">
        <v>3111</v>
      </c>
      <c r="DA54" s="175" t="s">
        <v>498</v>
      </c>
    </row>
    <row r="55" spans="1:105" ht="11.45" customHeight="1" x14ac:dyDescent="0.25">
      <c r="A55" s="138" t="s">
        <v>116</v>
      </c>
      <c r="B55" s="88">
        <v>527.39849762583549</v>
      </c>
      <c r="C55" s="88">
        <v>565.39704262078897</v>
      </c>
      <c r="D55" s="88">
        <v>594.82165290182513</v>
      </c>
      <c r="E55" s="88">
        <v>607.96927056100071</v>
      </c>
      <c r="F55" s="88">
        <v>718.79109998722674</v>
      </c>
      <c r="G55" s="88">
        <v>743.91153581396782</v>
      </c>
      <c r="H55" s="88">
        <v>803.0801107188056</v>
      </c>
      <c r="I55" s="88">
        <v>817.56261434420412</v>
      </c>
      <c r="J55" s="88">
        <v>786.52536929124221</v>
      </c>
      <c r="K55" s="88">
        <v>630.94750234898436</v>
      </c>
      <c r="L55" s="88">
        <v>685.32443905287948</v>
      </c>
      <c r="M55" s="88">
        <v>672.29087435407007</v>
      </c>
      <c r="N55" s="88">
        <v>654.71457930978784</v>
      </c>
      <c r="O55" s="88">
        <v>744.48709658776716</v>
      </c>
      <c r="P55" s="88">
        <v>708.00088396084573</v>
      </c>
      <c r="Q55" s="88">
        <v>806.90938275498036</v>
      </c>
      <c r="R55" s="88">
        <v>860.29090185714119</v>
      </c>
      <c r="S55" s="88">
        <v>848.38197135605731</v>
      </c>
      <c r="T55" s="88">
        <v>860.99313582741502</v>
      </c>
      <c r="U55" s="88">
        <v>810.12441286473017</v>
      </c>
      <c r="V55" s="88">
        <v>837.33043845076679</v>
      </c>
      <c r="W55" s="88">
        <v>917.53679839055008</v>
      </c>
      <c r="X55" s="88">
        <v>830.31802956382444</v>
      </c>
      <c r="Y55" s="88">
        <v>826.38931882625025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4699201</v>
      </c>
      <c r="C57" s="54">
        <f t="shared" si="118"/>
        <v>4768816</v>
      </c>
      <c r="D57" s="54">
        <f t="shared" si="118"/>
        <v>4841844</v>
      </c>
      <c r="E57" s="54">
        <f t="shared" si="118"/>
        <v>4910424</v>
      </c>
      <c r="F57" s="54">
        <f t="shared" si="118"/>
        <v>4976169</v>
      </c>
      <c r="G57" s="54">
        <f t="shared" si="118"/>
        <v>5087748</v>
      </c>
      <c r="H57" s="54">
        <f t="shared" si="118"/>
        <v>5200434</v>
      </c>
      <c r="I57" s="54">
        <f t="shared" si="118"/>
        <v>5310587</v>
      </c>
      <c r="J57" s="54">
        <f t="shared" si="118"/>
        <v>5362737</v>
      </c>
      <c r="K57" s="54">
        <f t="shared" si="118"/>
        <v>5404851</v>
      </c>
      <c r="L57" s="54">
        <f t="shared" ref="L57" si="119">L58+L73</f>
        <v>5442756</v>
      </c>
      <c r="M57" s="54">
        <f t="shared" ref="M57:V57" si="120">M58+M73</f>
        <v>5550455</v>
      </c>
      <c r="N57" s="54">
        <f t="shared" si="120"/>
        <v>5633819</v>
      </c>
      <c r="O57" s="54">
        <f t="shared" si="120"/>
        <v>5680423</v>
      </c>
      <c r="P57" s="54">
        <f t="shared" si="120"/>
        <v>5798664</v>
      </c>
      <c r="Q57" s="54">
        <f t="shared" si="120"/>
        <v>5912127</v>
      </c>
      <c r="R57" s="54">
        <f t="shared" si="120"/>
        <v>6048026</v>
      </c>
      <c r="S57" s="54">
        <f t="shared" si="120"/>
        <v>6165303</v>
      </c>
      <c r="T57" s="54">
        <f t="shared" si="120"/>
        <v>6218762</v>
      </c>
      <c r="U57" s="54">
        <f t="shared" si="120"/>
        <v>6263361</v>
      </c>
      <c r="V57" s="54">
        <f t="shared" si="120"/>
        <v>6351581</v>
      </c>
      <c r="W57" s="54">
        <f t="shared" ref="W57:Y57" si="121">W58+W73</f>
        <v>6416029</v>
      </c>
      <c r="X57" s="54">
        <f t="shared" si="121"/>
        <v>6421299</v>
      </c>
      <c r="Y57" s="54">
        <f t="shared" si="121"/>
        <v>6432787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4322596</v>
      </c>
      <c r="C58" s="28">
        <f t="shared" si="122"/>
        <v>4369937</v>
      </c>
      <c r="D58" s="28">
        <f t="shared" si="122"/>
        <v>4429612</v>
      </c>
      <c r="E58" s="28">
        <f t="shared" si="122"/>
        <v>4485443</v>
      </c>
      <c r="F58" s="28">
        <f t="shared" si="122"/>
        <v>4530760</v>
      </c>
      <c r="G58" s="28">
        <f t="shared" si="122"/>
        <v>4620559</v>
      </c>
      <c r="H58" s="28">
        <f t="shared" si="122"/>
        <v>4714317</v>
      </c>
      <c r="I58" s="28">
        <f t="shared" si="122"/>
        <v>4800040</v>
      </c>
      <c r="J58" s="28">
        <f t="shared" si="122"/>
        <v>4846773</v>
      </c>
      <c r="K58" s="28">
        <f t="shared" si="122"/>
        <v>4885242</v>
      </c>
      <c r="L58" s="28">
        <f t="shared" ref="L58" si="123">L59+L60+L67</f>
        <v>4918498</v>
      </c>
      <c r="M58" s="28">
        <f t="shared" ref="M58:V58" si="124">M59+M60+M67</f>
        <v>4992987</v>
      </c>
      <c r="N58" s="28">
        <f t="shared" si="124"/>
        <v>5076071</v>
      </c>
      <c r="O58" s="28">
        <f t="shared" si="124"/>
        <v>5114232</v>
      </c>
      <c r="P58" s="28">
        <f t="shared" si="124"/>
        <v>5217251</v>
      </c>
      <c r="Q58" s="28">
        <f t="shared" si="124"/>
        <v>5314989</v>
      </c>
      <c r="R58" s="28">
        <f t="shared" si="124"/>
        <v>5430130</v>
      </c>
      <c r="S58" s="28">
        <f t="shared" si="124"/>
        <v>5525556</v>
      </c>
      <c r="T58" s="28">
        <f t="shared" si="124"/>
        <v>5560870</v>
      </c>
      <c r="U58" s="28">
        <f t="shared" si="124"/>
        <v>5592925</v>
      </c>
      <c r="V58" s="28">
        <f t="shared" si="124"/>
        <v>5670197</v>
      </c>
      <c r="W58" s="28">
        <f t="shared" ref="W58:Y58" si="125">W59+W60+W67</f>
        <v>5722924</v>
      </c>
      <c r="X58" s="28">
        <f t="shared" si="125"/>
        <v>5725091</v>
      </c>
      <c r="Y58" s="28">
        <f t="shared" si="125"/>
        <v>5731509</v>
      </c>
      <c r="DA58" s="173" t="s">
        <v>501</v>
      </c>
    </row>
    <row r="59" spans="1:105" ht="11.45" customHeight="1" x14ac:dyDescent="0.25">
      <c r="A59" s="136" t="s">
        <v>173</v>
      </c>
      <c r="B59" s="137">
        <v>310069</v>
      </c>
      <c r="C59" s="137">
        <v>336341</v>
      </c>
      <c r="D59" s="137">
        <v>372369</v>
      </c>
      <c r="E59" s="137">
        <v>395601</v>
      </c>
      <c r="F59" s="137">
        <v>403317</v>
      </c>
      <c r="G59" s="137">
        <v>453082</v>
      </c>
      <c r="H59" s="137">
        <v>497744</v>
      </c>
      <c r="I59" s="137">
        <v>528125</v>
      </c>
      <c r="J59" s="137">
        <v>553929</v>
      </c>
      <c r="K59" s="137">
        <v>571890</v>
      </c>
      <c r="L59" s="137">
        <v>570240</v>
      </c>
      <c r="M59" s="137">
        <v>578495</v>
      </c>
      <c r="N59" s="137">
        <v>615525</v>
      </c>
      <c r="O59" s="137">
        <v>605590</v>
      </c>
      <c r="P59" s="137">
        <v>618553</v>
      </c>
      <c r="Q59" s="137">
        <v>632618</v>
      </c>
      <c r="R59" s="137">
        <v>648982</v>
      </c>
      <c r="S59" s="137">
        <v>666315</v>
      </c>
      <c r="T59" s="137">
        <v>676514</v>
      </c>
      <c r="U59" s="137">
        <v>690896</v>
      </c>
      <c r="V59" s="137">
        <v>713416</v>
      </c>
      <c r="W59" s="137">
        <v>723352</v>
      </c>
      <c r="X59" s="137">
        <v>731092</v>
      </c>
      <c r="Y59" s="137">
        <v>740822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3998110</v>
      </c>
      <c r="C60" s="110">
        <f t="shared" si="126"/>
        <v>4019350</v>
      </c>
      <c r="D60" s="110">
        <f t="shared" si="126"/>
        <v>4043230</v>
      </c>
      <c r="E60" s="110">
        <f t="shared" si="126"/>
        <v>4076100</v>
      </c>
      <c r="F60" s="110">
        <f t="shared" si="126"/>
        <v>4114080</v>
      </c>
      <c r="G60" s="110">
        <f t="shared" si="126"/>
        <v>4154000</v>
      </c>
      <c r="H60" s="110">
        <f t="shared" si="126"/>
        <v>4202930</v>
      </c>
      <c r="I60" s="110">
        <f t="shared" si="126"/>
        <v>4258600</v>
      </c>
      <c r="J60" s="110">
        <f t="shared" si="126"/>
        <v>4279370</v>
      </c>
      <c r="K60" s="110">
        <f t="shared" si="126"/>
        <v>4299950</v>
      </c>
      <c r="L60" s="110">
        <f t="shared" ref="L60" si="127">SUM(L61:L66)</f>
        <v>4334390</v>
      </c>
      <c r="M60" s="110">
        <f t="shared" ref="M60:V60" si="128">SUM(M61:M66)</f>
        <v>4400550</v>
      </c>
      <c r="N60" s="110">
        <f t="shared" si="128"/>
        <v>4446349</v>
      </c>
      <c r="O60" s="110">
        <f t="shared" si="128"/>
        <v>4494661</v>
      </c>
      <c r="P60" s="110">
        <f t="shared" si="128"/>
        <v>4584711</v>
      </c>
      <c r="Q60" s="110">
        <f t="shared" si="128"/>
        <v>4668262</v>
      </c>
      <c r="R60" s="110">
        <f t="shared" si="128"/>
        <v>4767262</v>
      </c>
      <c r="S60" s="110">
        <f t="shared" si="128"/>
        <v>4844823</v>
      </c>
      <c r="T60" s="110">
        <f t="shared" si="128"/>
        <v>4869979</v>
      </c>
      <c r="U60" s="110">
        <f t="shared" si="128"/>
        <v>4887116</v>
      </c>
      <c r="V60" s="110">
        <f t="shared" si="128"/>
        <v>4943293</v>
      </c>
      <c r="W60" s="110">
        <f t="shared" ref="W60:Y60" si="129">SUM(W61:W66)</f>
        <v>4985979</v>
      </c>
      <c r="X60" s="110">
        <f t="shared" si="129"/>
        <v>4979761</v>
      </c>
      <c r="Y60" s="110">
        <f t="shared" si="129"/>
        <v>4976366</v>
      </c>
      <c r="DA60" s="176" t="s">
        <v>503</v>
      </c>
    </row>
    <row r="61" spans="1:105" ht="11.45" customHeight="1" x14ac:dyDescent="0.25">
      <c r="A61" s="111" t="s">
        <v>110</v>
      </c>
      <c r="B61" s="84">
        <v>3804105</v>
      </c>
      <c r="C61" s="84">
        <v>3834345</v>
      </c>
      <c r="D61" s="84">
        <v>3853307</v>
      </c>
      <c r="E61" s="84">
        <v>3878269</v>
      </c>
      <c r="F61" s="84">
        <v>3906270</v>
      </c>
      <c r="G61" s="84">
        <v>3931685</v>
      </c>
      <c r="H61" s="84">
        <v>3937982</v>
      </c>
      <c r="I61" s="84">
        <v>3902523</v>
      </c>
      <c r="J61" s="84">
        <v>3857952</v>
      </c>
      <c r="K61" s="84">
        <v>3789166</v>
      </c>
      <c r="L61" s="84">
        <v>3685570</v>
      </c>
      <c r="M61" s="84">
        <v>3579435</v>
      </c>
      <c r="N61" s="84">
        <v>3454210</v>
      </c>
      <c r="O61" s="84">
        <v>3341431</v>
      </c>
      <c r="P61" s="84">
        <v>3259599</v>
      </c>
      <c r="Q61" s="84">
        <v>3168166</v>
      </c>
      <c r="R61" s="84">
        <v>3096797</v>
      </c>
      <c r="S61" s="84">
        <v>3039616</v>
      </c>
      <c r="T61" s="84">
        <v>2983381</v>
      </c>
      <c r="U61" s="84">
        <v>2937692</v>
      </c>
      <c r="V61" s="84">
        <v>2902281</v>
      </c>
      <c r="W61" s="84">
        <v>2832051</v>
      </c>
      <c r="X61" s="84">
        <v>2734664</v>
      </c>
      <c r="Y61" s="84">
        <v>2750969</v>
      </c>
      <c r="DA61" s="171" t="s">
        <v>504</v>
      </c>
    </row>
    <row r="62" spans="1:105" ht="11.45" customHeight="1" x14ac:dyDescent="0.25">
      <c r="A62" s="111" t="s">
        <v>111</v>
      </c>
      <c r="B62" s="84">
        <v>194005</v>
      </c>
      <c r="C62" s="84">
        <v>185005</v>
      </c>
      <c r="D62" s="84">
        <v>189003</v>
      </c>
      <c r="E62" s="84">
        <v>196001</v>
      </c>
      <c r="F62" s="84">
        <v>204960</v>
      </c>
      <c r="G62" s="84">
        <v>217875</v>
      </c>
      <c r="H62" s="84">
        <v>260419</v>
      </c>
      <c r="I62" s="84">
        <v>350957</v>
      </c>
      <c r="J62" s="84">
        <v>415365</v>
      </c>
      <c r="K62" s="84">
        <v>503997</v>
      </c>
      <c r="L62" s="84">
        <v>634669</v>
      </c>
      <c r="M62" s="84">
        <v>800389</v>
      </c>
      <c r="N62" s="84">
        <v>965679</v>
      </c>
      <c r="O62" s="84">
        <v>1122665</v>
      </c>
      <c r="P62" s="84">
        <v>1285667</v>
      </c>
      <c r="Q62" s="84">
        <v>1449009</v>
      </c>
      <c r="R62" s="84">
        <v>1599960</v>
      </c>
      <c r="S62" s="84">
        <v>1718231</v>
      </c>
      <c r="T62" s="84">
        <v>1778077</v>
      </c>
      <c r="U62" s="84">
        <v>1810839</v>
      </c>
      <c r="V62" s="84">
        <v>1806424</v>
      </c>
      <c r="W62" s="84">
        <v>1784509</v>
      </c>
      <c r="X62" s="84">
        <v>1713071</v>
      </c>
      <c r="Y62" s="84">
        <v>1624849</v>
      </c>
      <c r="DA62" s="171" t="s">
        <v>505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300</v>
      </c>
      <c r="H63" s="84">
        <v>284</v>
      </c>
      <c r="I63" s="84">
        <v>282</v>
      </c>
      <c r="J63" s="84">
        <v>300</v>
      </c>
      <c r="K63" s="84">
        <v>400</v>
      </c>
      <c r="L63" s="84">
        <v>350</v>
      </c>
      <c r="M63" s="84">
        <v>486</v>
      </c>
      <c r="N63" s="84">
        <v>486</v>
      </c>
      <c r="O63" s="84">
        <v>491</v>
      </c>
      <c r="P63" s="84">
        <v>491</v>
      </c>
      <c r="Q63" s="84">
        <v>491</v>
      </c>
      <c r="R63" s="84">
        <v>465</v>
      </c>
      <c r="S63" s="84">
        <v>0</v>
      </c>
      <c r="T63" s="84">
        <v>0</v>
      </c>
      <c r="U63" s="84">
        <v>0</v>
      </c>
      <c r="V63" s="84">
        <v>0</v>
      </c>
      <c r="W63" s="84">
        <v>0</v>
      </c>
      <c r="X63" s="84">
        <v>0</v>
      </c>
      <c r="Y63" s="84">
        <v>0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920</v>
      </c>
      <c r="E64" s="84">
        <v>1830</v>
      </c>
      <c r="F64" s="84">
        <v>2850</v>
      </c>
      <c r="G64" s="84">
        <v>4140</v>
      </c>
      <c r="H64" s="84">
        <v>4245</v>
      </c>
      <c r="I64" s="84">
        <v>4838</v>
      </c>
      <c r="J64" s="84">
        <v>5494</v>
      </c>
      <c r="K64" s="84">
        <v>6070</v>
      </c>
      <c r="L64" s="84">
        <v>13421</v>
      </c>
      <c r="M64" s="84">
        <v>19504</v>
      </c>
      <c r="N64" s="84">
        <v>24381</v>
      </c>
      <c r="O64" s="84">
        <v>27595</v>
      </c>
      <c r="P64" s="84">
        <v>31860</v>
      </c>
      <c r="Q64" s="84">
        <v>36055</v>
      </c>
      <c r="R64" s="84">
        <v>43676</v>
      </c>
      <c r="S64" s="84">
        <v>43689</v>
      </c>
      <c r="T64" s="84">
        <v>42463</v>
      </c>
      <c r="U64" s="84">
        <v>41633</v>
      </c>
      <c r="V64" s="84">
        <v>43908</v>
      </c>
      <c r="W64" s="84">
        <v>43444</v>
      </c>
      <c r="X64" s="84">
        <v>45326</v>
      </c>
      <c r="Y64" s="84">
        <v>36528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130</v>
      </c>
      <c r="K65" s="84">
        <v>160</v>
      </c>
      <c r="L65" s="84">
        <v>190</v>
      </c>
      <c r="M65" s="84">
        <v>370</v>
      </c>
      <c r="N65" s="84">
        <v>990</v>
      </c>
      <c r="O65" s="84">
        <v>1469</v>
      </c>
      <c r="P65" s="84">
        <v>4922</v>
      </c>
      <c r="Q65" s="84">
        <v>9776</v>
      </c>
      <c r="R65" s="84">
        <v>18832</v>
      </c>
      <c r="S65" s="84">
        <v>32253</v>
      </c>
      <c r="T65" s="84">
        <v>49394</v>
      </c>
      <c r="U65" s="84">
        <v>66609</v>
      </c>
      <c r="V65" s="84">
        <v>132440</v>
      </c>
      <c r="W65" s="84">
        <v>210281</v>
      </c>
      <c r="X65" s="84">
        <v>276553</v>
      </c>
      <c r="Y65" s="84">
        <v>272342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129</v>
      </c>
      <c r="K66" s="84">
        <v>157</v>
      </c>
      <c r="L66" s="84">
        <v>190</v>
      </c>
      <c r="M66" s="84">
        <v>366</v>
      </c>
      <c r="N66" s="84">
        <v>603</v>
      </c>
      <c r="O66" s="84">
        <v>1010</v>
      </c>
      <c r="P66" s="84">
        <v>2172</v>
      </c>
      <c r="Q66" s="84">
        <v>4765</v>
      </c>
      <c r="R66" s="84">
        <v>7532</v>
      </c>
      <c r="S66" s="84">
        <v>11034</v>
      </c>
      <c r="T66" s="84">
        <v>16664</v>
      </c>
      <c r="U66" s="84">
        <v>30343</v>
      </c>
      <c r="V66" s="84">
        <v>58240</v>
      </c>
      <c r="W66" s="84">
        <v>115694</v>
      </c>
      <c r="X66" s="84">
        <v>210147</v>
      </c>
      <c r="Y66" s="84">
        <v>291678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14417</v>
      </c>
      <c r="C67" s="110">
        <f t="shared" si="130"/>
        <v>14246</v>
      </c>
      <c r="D67" s="110">
        <f t="shared" si="130"/>
        <v>14013</v>
      </c>
      <c r="E67" s="110">
        <f t="shared" si="130"/>
        <v>13742</v>
      </c>
      <c r="F67" s="110">
        <f t="shared" si="130"/>
        <v>13363</v>
      </c>
      <c r="G67" s="110">
        <f t="shared" si="130"/>
        <v>13477</v>
      </c>
      <c r="H67" s="110">
        <f t="shared" si="130"/>
        <v>13643</v>
      </c>
      <c r="I67" s="110">
        <f t="shared" si="130"/>
        <v>13315</v>
      </c>
      <c r="J67" s="110">
        <f t="shared" si="130"/>
        <v>13474</v>
      </c>
      <c r="K67" s="110">
        <f t="shared" si="130"/>
        <v>13402</v>
      </c>
      <c r="L67" s="110">
        <f t="shared" ref="L67" si="131">SUM(L68:L72)</f>
        <v>13868</v>
      </c>
      <c r="M67" s="110">
        <f t="shared" ref="M67:V67" si="132">SUM(M68:M72)</f>
        <v>13942</v>
      </c>
      <c r="N67" s="110">
        <f t="shared" si="132"/>
        <v>14197</v>
      </c>
      <c r="O67" s="110">
        <f t="shared" si="132"/>
        <v>13981</v>
      </c>
      <c r="P67" s="110">
        <f t="shared" si="132"/>
        <v>13987</v>
      </c>
      <c r="Q67" s="110">
        <f t="shared" si="132"/>
        <v>14109</v>
      </c>
      <c r="R67" s="110">
        <f t="shared" si="132"/>
        <v>13886</v>
      </c>
      <c r="S67" s="110">
        <f t="shared" si="132"/>
        <v>14418</v>
      </c>
      <c r="T67" s="110">
        <f t="shared" si="132"/>
        <v>14377</v>
      </c>
      <c r="U67" s="110">
        <f t="shared" si="132"/>
        <v>14913</v>
      </c>
      <c r="V67" s="110">
        <f t="shared" si="132"/>
        <v>13488</v>
      </c>
      <c r="W67" s="110">
        <f t="shared" ref="W67:Y67" si="133">SUM(W68:W72)</f>
        <v>13593</v>
      </c>
      <c r="X67" s="110">
        <f t="shared" si="133"/>
        <v>14238</v>
      </c>
      <c r="Y67" s="110">
        <f t="shared" si="133"/>
        <v>14321</v>
      </c>
      <c r="DA67" s="176" t="s">
        <v>510</v>
      </c>
    </row>
    <row r="68" spans="1:105" ht="11.45" customHeight="1" x14ac:dyDescent="0.25">
      <c r="A68" s="111" t="s">
        <v>110</v>
      </c>
      <c r="B68" s="102">
        <v>521</v>
      </c>
      <c r="C68" s="102">
        <v>426</v>
      </c>
      <c r="D68" s="102">
        <v>336</v>
      </c>
      <c r="E68" s="102">
        <v>259</v>
      </c>
      <c r="F68" s="102">
        <v>192</v>
      </c>
      <c r="G68" s="102">
        <v>142</v>
      </c>
      <c r="H68" s="102">
        <v>122</v>
      </c>
      <c r="I68" s="102">
        <v>103</v>
      </c>
      <c r="J68" s="102">
        <v>88</v>
      </c>
      <c r="K68" s="102">
        <v>82</v>
      </c>
      <c r="L68" s="102">
        <v>34</v>
      </c>
      <c r="M68" s="102">
        <v>61</v>
      </c>
      <c r="N68" s="102">
        <v>51</v>
      </c>
      <c r="O68" s="102">
        <v>51</v>
      </c>
      <c r="P68" s="102">
        <v>49</v>
      </c>
      <c r="Q68" s="102">
        <v>46</v>
      </c>
      <c r="R68" s="102">
        <v>49</v>
      </c>
      <c r="S68" s="102">
        <v>47</v>
      </c>
      <c r="T68" s="102">
        <v>45</v>
      </c>
      <c r="U68" s="102">
        <v>41</v>
      </c>
      <c r="V68" s="102">
        <v>39</v>
      </c>
      <c r="W68" s="102">
        <v>36</v>
      </c>
      <c r="X68" s="102">
        <v>34</v>
      </c>
      <c r="Y68" s="102">
        <v>34</v>
      </c>
      <c r="DA68" s="175" t="s">
        <v>511</v>
      </c>
    </row>
    <row r="69" spans="1:105" ht="11.45" customHeight="1" x14ac:dyDescent="0.25">
      <c r="A69" s="111" t="s">
        <v>111</v>
      </c>
      <c r="B69" s="102">
        <v>13539</v>
      </c>
      <c r="C69" s="102">
        <v>13428</v>
      </c>
      <c r="D69" s="102">
        <v>13287</v>
      </c>
      <c r="E69" s="102">
        <v>13091</v>
      </c>
      <c r="F69" s="102">
        <v>12733</v>
      </c>
      <c r="G69" s="102">
        <v>12398</v>
      </c>
      <c r="H69" s="102">
        <v>12965</v>
      </c>
      <c r="I69" s="102">
        <v>12580</v>
      </c>
      <c r="J69" s="102">
        <v>12544</v>
      </c>
      <c r="K69" s="102">
        <v>12200</v>
      </c>
      <c r="L69" s="102">
        <v>12523</v>
      </c>
      <c r="M69" s="102">
        <v>12209</v>
      </c>
      <c r="N69" s="102">
        <v>12289</v>
      </c>
      <c r="O69" s="102">
        <v>9636</v>
      </c>
      <c r="P69" s="102">
        <v>9367</v>
      </c>
      <c r="Q69" s="102">
        <v>9367</v>
      </c>
      <c r="R69" s="102">
        <v>9179</v>
      </c>
      <c r="S69" s="102">
        <v>9287</v>
      </c>
      <c r="T69" s="102">
        <v>9232</v>
      </c>
      <c r="U69" s="102">
        <v>11986</v>
      </c>
      <c r="V69" s="102">
        <v>10155</v>
      </c>
      <c r="W69" s="102">
        <v>10124</v>
      </c>
      <c r="X69" s="102">
        <v>10610</v>
      </c>
      <c r="Y69" s="102">
        <v>10476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513</v>
      </c>
    </row>
    <row r="71" spans="1:105" ht="11.45" customHeight="1" x14ac:dyDescent="0.25">
      <c r="A71" s="111" t="s">
        <v>113</v>
      </c>
      <c r="B71" s="102">
        <v>340</v>
      </c>
      <c r="C71" s="102">
        <v>375</v>
      </c>
      <c r="D71" s="102">
        <v>376</v>
      </c>
      <c r="E71" s="102">
        <v>376</v>
      </c>
      <c r="F71" s="102">
        <v>422</v>
      </c>
      <c r="G71" s="102">
        <v>924</v>
      </c>
      <c r="H71" s="102">
        <v>544</v>
      </c>
      <c r="I71" s="102">
        <v>622</v>
      </c>
      <c r="J71" s="102">
        <v>834</v>
      </c>
      <c r="K71" s="102">
        <v>1112</v>
      </c>
      <c r="L71" s="102">
        <v>1307</v>
      </c>
      <c r="M71" s="102">
        <v>1668</v>
      </c>
      <c r="N71" s="102">
        <v>1851</v>
      </c>
      <c r="O71" s="102">
        <v>4286</v>
      </c>
      <c r="P71" s="102">
        <v>4560</v>
      </c>
      <c r="Q71" s="102">
        <v>4676</v>
      </c>
      <c r="R71" s="102">
        <v>4620</v>
      </c>
      <c r="S71" s="102">
        <v>5030</v>
      </c>
      <c r="T71" s="102">
        <v>5000</v>
      </c>
      <c r="U71" s="102">
        <v>2618</v>
      </c>
      <c r="V71" s="102">
        <v>2822</v>
      </c>
      <c r="W71" s="102">
        <v>2771</v>
      </c>
      <c r="X71" s="102">
        <v>2680</v>
      </c>
      <c r="Y71" s="102">
        <v>2598</v>
      </c>
      <c r="DA71" s="175" t="s">
        <v>514</v>
      </c>
    </row>
    <row r="72" spans="1:105" ht="11.45" customHeight="1" x14ac:dyDescent="0.25">
      <c r="A72" s="111" t="s">
        <v>115</v>
      </c>
      <c r="B72" s="102">
        <v>17</v>
      </c>
      <c r="C72" s="102">
        <v>17</v>
      </c>
      <c r="D72" s="102">
        <v>14</v>
      </c>
      <c r="E72" s="102">
        <v>16</v>
      </c>
      <c r="F72" s="102">
        <v>16</v>
      </c>
      <c r="G72" s="102">
        <v>13</v>
      </c>
      <c r="H72" s="102">
        <v>12</v>
      </c>
      <c r="I72" s="102">
        <v>10</v>
      </c>
      <c r="J72" s="102">
        <v>8</v>
      </c>
      <c r="K72" s="102">
        <v>8</v>
      </c>
      <c r="L72" s="102">
        <v>4</v>
      </c>
      <c r="M72" s="102">
        <v>4</v>
      </c>
      <c r="N72" s="102">
        <v>6</v>
      </c>
      <c r="O72" s="102">
        <v>8</v>
      </c>
      <c r="P72" s="102">
        <v>11</v>
      </c>
      <c r="Q72" s="102">
        <v>20</v>
      </c>
      <c r="R72" s="102">
        <v>38</v>
      </c>
      <c r="S72" s="102">
        <v>54</v>
      </c>
      <c r="T72" s="102">
        <v>100</v>
      </c>
      <c r="U72" s="102">
        <v>268</v>
      </c>
      <c r="V72" s="102">
        <v>472</v>
      </c>
      <c r="W72" s="102">
        <v>662</v>
      </c>
      <c r="X72" s="102">
        <v>914</v>
      </c>
      <c r="Y72" s="102">
        <v>1213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376605</v>
      </c>
      <c r="C73" s="28">
        <f t="shared" si="134"/>
        <v>398879</v>
      </c>
      <c r="D73" s="28">
        <f t="shared" si="134"/>
        <v>412232</v>
      </c>
      <c r="E73" s="28">
        <f t="shared" si="134"/>
        <v>424981</v>
      </c>
      <c r="F73" s="28">
        <f t="shared" si="134"/>
        <v>445409</v>
      </c>
      <c r="G73" s="28">
        <f t="shared" si="134"/>
        <v>467189</v>
      </c>
      <c r="H73" s="28">
        <f t="shared" si="134"/>
        <v>486117</v>
      </c>
      <c r="I73" s="28">
        <f t="shared" si="134"/>
        <v>510547</v>
      </c>
      <c r="J73" s="28">
        <f t="shared" si="134"/>
        <v>515964</v>
      </c>
      <c r="K73" s="28">
        <f t="shared" si="134"/>
        <v>519609</v>
      </c>
      <c r="L73" s="28">
        <f t="shared" ref="L73" si="135">L74+L80</f>
        <v>524258</v>
      </c>
      <c r="M73" s="28">
        <f t="shared" ref="M73:V73" si="136">M74+M80</f>
        <v>557468</v>
      </c>
      <c r="N73" s="28">
        <f t="shared" si="136"/>
        <v>557748</v>
      </c>
      <c r="O73" s="28">
        <f t="shared" si="136"/>
        <v>566191</v>
      </c>
      <c r="P73" s="28">
        <f t="shared" si="136"/>
        <v>581413</v>
      </c>
      <c r="Q73" s="28">
        <f t="shared" si="136"/>
        <v>597138</v>
      </c>
      <c r="R73" s="28">
        <f t="shared" si="136"/>
        <v>617896</v>
      </c>
      <c r="S73" s="28">
        <f t="shared" si="136"/>
        <v>639747</v>
      </c>
      <c r="T73" s="28">
        <f t="shared" si="136"/>
        <v>657892</v>
      </c>
      <c r="U73" s="28">
        <f t="shared" si="136"/>
        <v>670436</v>
      </c>
      <c r="V73" s="28">
        <f t="shared" si="136"/>
        <v>681384</v>
      </c>
      <c r="W73" s="28">
        <f t="shared" ref="W73:Y73" si="137">W74+W80</f>
        <v>693105</v>
      </c>
      <c r="X73" s="28">
        <f t="shared" si="137"/>
        <v>696208</v>
      </c>
      <c r="Y73" s="28">
        <f t="shared" si="137"/>
        <v>701278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296574</v>
      </c>
      <c r="C74" s="137">
        <f t="shared" si="138"/>
        <v>318776</v>
      </c>
      <c r="D74" s="137">
        <f t="shared" si="138"/>
        <v>333289</v>
      </c>
      <c r="E74" s="137">
        <f t="shared" si="138"/>
        <v>347263</v>
      </c>
      <c r="F74" s="137">
        <f t="shared" si="138"/>
        <v>365812</v>
      </c>
      <c r="G74" s="137">
        <f t="shared" si="138"/>
        <v>386377</v>
      </c>
      <c r="H74" s="137">
        <f t="shared" si="138"/>
        <v>402748</v>
      </c>
      <c r="I74" s="137">
        <f t="shared" si="138"/>
        <v>425286</v>
      </c>
      <c r="J74" s="137">
        <f t="shared" si="138"/>
        <v>432123</v>
      </c>
      <c r="K74" s="137">
        <f t="shared" si="138"/>
        <v>437420</v>
      </c>
      <c r="L74" s="137">
        <f t="shared" ref="L74" si="139">SUM(L75:L79)</f>
        <v>441426</v>
      </c>
      <c r="M74" s="137">
        <f t="shared" ref="M74:V74" si="140">SUM(M75:M79)</f>
        <v>471383</v>
      </c>
      <c r="N74" s="137">
        <f t="shared" si="140"/>
        <v>470915</v>
      </c>
      <c r="O74" s="137">
        <f t="shared" si="140"/>
        <v>484387</v>
      </c>
      <c r="P74" s="137">
        <f t="shared" si="140"/>
        <v>499962</v>
      </c>
      <c r="Q74" s="137">
        <f t="shared" si="140"/>
        <v>514443</v>
      </c>
      <c r="R74" s="137">
        <f t="shared" si="140"/>
        <v>533005</v>
      </c>
      <c r="S74" s="137">
        <f t="shared" si="140"/>
        <v>553585</v>
      </c>
      <c r="T74" s="137">
        <f t="shared" si="140"/>
        <v>570252</v>
      </c>
      <c r="U74" s="137">
        <f t="shared" si="140"/>
        <v>583245</v>
      </c>
      <c r="V74" s="137">
        <f t="shared" si="140"/>
        <v>593686</v>
      </c>
      <c r="W74" s="137">
        <f t="shared" ref="W74:Y74" si="141">SUM(W75:W79)</f>
        <v>603714</v>
      </c>
      <c r="X74" s="137">
        <f t="shared" si="141"/>
        <v>606875</v>
      </c>
      <c r="Y74" s="137">
        <f t="shared" si="141"/>
        <v>612883</v>
      </c>
      <c r="DA74" s="174" t="s">
        <v>517</v>
      </c>
    </row>
    <row r="75" spans="1:105" ht="11.45" customHeight="1" x14ac:dyDescent="0.25">
      <c r="A75" s="111" t="s">
        <v>110</v>
      </c>
      <c r="B75" s="84">
        <v>178196</v>
      </c>
      <c r="C75" s="84">
        <v>172471</v>
      </c>
      <c r="D75" s="84">
        <v>164678</v>
      </c>
      <c r="E75" s="84">
        <v>155801</v>
      </c>
      <c r="F75" s="84">
        <v>146710</v>
      </c>
      <c r="G75" s="84">
        <v>137987</v>
      </c>
      <c r="H75" s="84">
        <v>127837</v>
      </c>
      <c r="I75" s="84">
        <v>118748</v>
      </c>
      <c r="J75" s="84">
        <v>108195</v>
      </c>
      <c r="K75" s="84">
        <v>100787</v>
      </c>
      <c r="L75" s="84">
        <v>92942</v>
      </c>
      <c r="M75" s="84">
        <v>85821</v>
      </c>
      <c r="N75" s="84">
        <v>75703</v>
      </c>
      <c r="O75" s="84">
        <v>66920</v>
      </c>
      <c r="P75" s="84">
        <v>62298</v>
      </c>
      <c r="Q75" s="84">
        <v>57028</v>
      </c>
      <c r="R75" s="84">
        <v>52705</v>
      </c>
      <c r="S75" s="84">
        <v>49638</v>
      </c>
      <c r="T75" s="84">
        <v>47465</v>
      </c>
      <c r="U75" s="84">
        <v>46650</v>
      </c>
      <c r="V75" s="84">
        <v>46340</v>
      </c>
      <c r="W75" s="84">
        <v>45169</v>
      </c>
      <c r="X75" s="84">
        <v>44739</v>
      </c>
      <c r="Y75" s="84">
        <v>44391</v>
      </c>
      <c r="DA75" s="171" t="s">
        <v>518</v>
      </c>
    </row>
    <row r="76" spans="1:105" ht="11.45" customHeight="1" x14ac:dyDescent="0.25">
      <c r="A76" s="111" t="s">
        <v>111</v>
      </c>
      <c r="B76" s="84">
        <v>118378</v>
      </c>
      <c r="C76" s="84">
        <v>146302</v>
      </c>
      <c r="D76" s="84">
        <v>168594</v>
      </c>
      <c r="E76" s="84">
        <v>191417</v>
      </c>
      <c r="F76" s="84">
        <v>219032</v>
      </c>
      <c r="G76" s="84">
        <v>248236</v>
      </c>
      <c r="H76" s="84">
        <v>274331</v>
      </c>
      <c r="I76" s="84">
        <v>305537</v>
      </c>
      <c r="J76" s="84">
        <v>322246</v>
      </c>
      <c r="K76" s="84">
        <v>334073</v>
      </c>
      <c r="L76" s="84">
        <v>345694</v>
      </c>
      <c r="M76" s="84">
        <v>382368</v>
      </c>
      <c r="N76" s="84">
        <v>391346</v>
      </c>
      <c r="O76" s="84">
        <v>413218</v>
      </c>
      <c r="P76" s="84">
        <v>432942</v>
      </c>
      <c r="Q76" s="84">
        <v>452004</v>
      </c>
      <c r="R76" s="84">
        <v>474428</v>
      </c>
      <c r="S76" s="84">
        <v>497261</v>
      </c>
      <c r="T76" s="84">
        <v>511760</v>
      </c>
      <c r="U76" s="84">
        <v>523952</v>
      </c>
      <c r="V76" s="84">
        <v>532452</v>
      </c>
      <c r="W76" s="84">
        <v>540867</v>
      </c>
      <c r="X76" s="84">
        <v>539506</v>
      </c>
      <c r="Y76" s="84">
        <v>539647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3</v>
      </c>
      <c r="D78" s="84">
        <v>17</v>
      </c>
      <c r="E78" s="84">
        <v>45</v>
      </c>
      <c r="F78" s="84">
        <v>70</v>
      </c>
      <c r="G78" s="84">
        <v>152</v>
      </c>
      <c r="H78" s="84">
        <v>373</v>
      </c>
      <c r="I78" s="84">
        <v>805</v>
      </c>
      <c r="J78" s="84">
        <v>1487</v>
      </c>
      <c r="K78" s="84">
        <v>2365</v>
      </c>
      <c r="L78" s="84">
        <v>2600</v>
      </c>
      <c r="M78" s="84">
        <v>3000</v>
      </c>
      <c r="N78" s="84">
        <v>3500</v>
      </c>
      <c r="O78" s="84">
        <v>3701</v>
      </c>
      <c r="P78" s="84">
        <v>3889</v>
      </c>
      <c r="Q78" s="84">
        <v>4167</v>
      </c>
      <c r="R78" s="84">
        <v>4320</v>
      </c>
      <c r="S78" s="84">
        <v>4739</v>
      </c>
      <c r="T78" s="84">
        <v>8366</v>
      </c>
      <c r="U78" s="84">
        <v>8697</v>
      </c>
      <c r="V78" s="84">
        <v>9000</v>
      </c>
      <c r="W78" s="84">
        <v>9100</v>
      </c>
      <c r="X78" s="84">
        <v>9100</v>
      </c>
      <c r="Y78" s="84">
        <v>7975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2</v>
      </c>
      <c r="H79" s="84">
        <v>207</v>
      </c>
      <c r="I79" s="84">
        <v>196</v>
      </c>
      <c r="J79" s="84">
        <v>195</v>
      </c>
      <c r="K79" s="84">
        <v>195</v>
      </c>
      <c r="L79" s="84">
        <v>190</v>
      </c>
      <c r="M79" s="84">
        <v>194</v>
      </c>
      <c r="N79" s="84">
        <v>366</v>
      </c>
      <c r="O79" s="84">
        <v>548</v>
      </c>
      <c r="P79" s="84">
        <v>833</v>
      </c>
      <c r="Q79" s="84">
        <v>1244</v>
      </c>
      <c r="R79" s="84">
        <v>1552</v>
      </c>
      <c r="S79" s="84">
        <v>1947</v>
      </c>
      <c r="T79" s="84">
        <v>2661</v>
      </c>
      <c r="U79" s="84">
        <v>3946</v>
      </c>
      <c r="V79" s="84">
        <v>5894</v>
      </c>
      <c r="W79" s="84">
        <v>8578</v>
      </c>
      <c r="X79" s="84">
        <v>13530</v>
      </c>
      <c r="Y79" s="84">
        <v>20870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80031</v>
      </c>
      <c r="C80" s="110">
        <f t="shared" si="142"/>
        <v>80103</v>
      </c>
      <c r="D80" s="110">
        <f t="shared" si="142"/>
        <v>78943</v>
      </c>
      <c r="E80" s="110">
        <f t="shared" si="142"/>
        <v>77718</v>
      </c>
      <c r="F80" s="110">
        <f t="shared" si="142"/>
        <v>79597</v>
      </c>
      <c r="G80" s="110">
        <f t="shared" si="142"/>
        <v>80812</v>
      </c>
      <c r="H80" s="110">
        <f t="shared" si="142"/>
        <v>83369</v>
      </c>
      <c r="I80" s="110">
        <f t="shared" si="142"/>
        <v>85261</v>
      </c>
      <c r="J80" s="110">
        <f t="shared" si="142"/>
        <v>83841</v>
      </c>
      <c r="K80" s="110">
        <f t="shared" si="142"/>
        <v>82189</v>
      </c>
      <c r="L80" s="110">
        <f t="shared" ref="L80" si="143">SUM(L81:L82)</f>
        <v>82832</v>
      </c>
      <c r="M80" s="110">
        <f t="shared" ref="M80:V80" si="144">SUM(M81:M82)</f>
        <v>86085</v>
      </c>
      <c r="N80" s="110">
        <f t="shared" si="144"/>
        <v>86833</v>
      </c>
      <c r="O80" s="110">
        <f t="shared" si="144"/>
        <v>81804</v>
      </c>
      <c r="P80" s="110">
        <f t="shared" si="144"/>
        <v>81451</v>
      </c>
      <c r="Q80" s="110">
        <f t="shared" si="144"/>
        <v>82695</v>
      </c>
      <c r="R80" s="110">
        <f t="shared" si="144"/>
        <v>84891</v>
      </c>
      <c r="S80" s="110">
        <f t="shared" si="144"/>
        <v>86162</v>
      </c>
      <c r="T80" s="110">
        <f t="shared" si="144"/>
        <v>87640</v>
      </c>
      <c r="U80" s="110">
        <f t="shared" si="144"/>
        <v>87191</v>
      </c>
      <c r="V80" s="110">
        <f t="shared" si="144"/>
        <v>87698</v>
      </c>
      <c r="W80" s="110">
        <f t="shared" ref="W80:Y80" si="145">SUM(W81:W82)</f>
        <v>89391</v>
      </c>
      <c r="X80" s="110">
        <f t="shared" si="145"/>
        <v>89333</v>
      </c>
      <c r="Y80" s="110">
        <f t="shared" si="145"/>
        <v>88395</v>
      </c>
      <c r="DA80" s="176" t="s">
        <v>523</v>
      </c>
    </row>
    <row r="81" spans="1:105" ht="11.45" customHeight="1" x14ac:dyDescent="0.25">
      <c r="A81" s="128" t="s">
        <v>27</v>
      </c>
      <c r="B81" s="102">
        <v>73826</v>
      </c>
      <c r="C81" s="102">
        <v>73451</v>
      </c>
      <c r="D81" s="102">
        <v>71945</v>
      </c>
      <c r="E81" s="102">
        <v>70565</v>
      </c>
      <c r="F81" s="102">
        <v>71141</v>
      </c>
      <c r="G81" s="102">
        <v>72060</v>
      </c>
      <c r="H81" s="102">
        <v>73921</v>
      </c>
      <c r="I81" s="102">
        <v>75643</v>
      </c>
      <c r="J81" s="102">
        <v>74588</v>
      </c>
      <c r="K81" s="102">
        <v>74766</v>
      </c>
      <c r="L81" s="102">
        <v>74769</v>
      </c>
      <c r="M81" s="102">
        <v>78176</v>
      </c>
      <c r="N81" s="102">
        <v>79130</v>
      </c>
      <c r="O81" s="102">
        <v>73045</v>
      </c>
      <c r="P81" s="102">
        <v>73122</v>
      </c>
      <c r="Q81" s="102">
        <v>73202</v>
      </c>
      <c r="R81" s="102">
        <v>74770</v>
      </c>
      <c r="S81" s="102">
        <v>76181</v>
      </c>
      <c r="T81" s="102">
        <v>77511</v>
      </c>
      <c r="U81" s="102">
        <v>77660</v>
      </c>
      <c r="V81" s="102">
        <v>77847</v>
      </c>
      <c r="W81" s="102">
        <v>78596</v>
      </c>
      <c r="X81" s="102">
        <v>79565</v>
      </c>
      <c r="Y81" s="102">
        <v>78673</v>
      </c>
      <c r="DA81" s="175" t="s">
        <v>524</v>
      </c>
    </row>
    <row r="82" spans="1:105" ht="11.45" customHeight="1" x14ac:dyDescent="0.25">
      <c r="A82" s="138" t="s">
        <v>116</v>
      </c>
      <c r="B82" s="86">
        <v>6205</v>
      </c>
      <c r="C82" s="86">
        <v>6652</v>
      </c>
      <c r="D82" s="86">
        <v>6998</v>
      </c>
      <c r="E82" s="86">
        <v>7153</v>
      </c>
      <c r="F82" s="86">
        <v>8456</v>
      </c>
      <c r="G82" s="86">
        <v>8752</v>
      </c>
      <c r="H82" s="86">
        <v>9448</v>
      </c>
      <c r="I82" s="86">
        <v>9618</v>
      </c>
      <c r="J82" s="86">
        <v>9253</v>
      </c>
      <c r="K82" s="86">
        <v>7423</v>
      </c>
      <c r="L82" s="86">
        <v>8063</v>
      </c>
      <c r="M82" s="86">
        <v>7909</v>
      </c>
      <c r="N82" s="86">
        <v>7703</v>
      </c>
      <c r="O82" s="86">
        <v>8759</v>
      </c>
      <c r="P82" s="86">
        <v>8329</v>
      </c>
      <c r="Q82" s="86">
        <v>9493</v>
      </c>
      <c r="R82" s="86">
        <v>10121</v>
      </c>
      <c r="S82" s="86">
        <v>9981</v>
      </c>
      <c r="T82" s="86">
        <v>10129</v>
      </c>
      <c r="U82" s="86">
        <v>9531</v>
      </c>
      <c r="V82" s="86">
        <v>9851</v>
      </c>
      <c r="W82" s="86">
        <v>10795</v>
      </c>
      <c r="X82" s="86">
        <v>9768</v>
      </c>
      <c r="Y82" s="86">
        <v>9722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4699201</v>
      </c>
      <c r="C84" s="54">
        <f t="shared" si="146"/>
        <v>4768816</v>
      </c>
      <c r="D84" s="54">
        <f t="shared" ref="D84:V84" si="147">D85+D100</f>
        <v>4841844</v>
      </c>
      <c r="E84" s="54">
        <f t="shared" si="147"/>
        <v>4910424</v>
      </c>
      <c r="F84" s="54">
        <f t="shared" si="147"/>
        <v>4976169</v>
      </c>
      <c r="G84" s="54">
        <f t="shared" si="147"/>
        <v>5087748</v>
      </c>
      <c r="H84" s="54">
        <f t="shared" si="147"/>
        <v>5200434</v>
      </c>
      <c r="I84" s="54">
        <f t="shared" si="147"/>
        <v>5310587</v>
      </c>
      <c r="J84" s="54">
        <f t="shared" si="147"/>
        <v>5362737</v>
      </c>
      <c r="K84" s="54">
        <f t="shared" si="147"/>
        <v>5404851</v>
      </c>
      <c r="L84" s="54">
        <f t="shared" si="147"/>
        <v>5442756</v>
      </c>
      <c r="M84" s="54">
        <f t="shared" si="147"/>
        <v>5550455</v>
      </c>
      <c r="N84" s="54">
        <f t="shared" si="147"/>
        <v>5633819</v>
      </c>
      <c r="O84" s="54">
        <f t="shared" si="147"/>
        <v>5680423</v>
      </c>
      <c r="P84" s="54">
        <f t="shared" si="147"/>
        <v>5798664</v>
      </c>
      <c r="Q84" s="54">
        <f t="shared" si="147"/>
        <v>5912127</v>
      </c>
      <c r="R84" s="54">
        <f t="shared" si="147"/>
        <v>6048026</v>
      </c>
      <c r="S84" s="54">
        <f t="shared" si="147"/>
        <v>6165303</v>
      </c>
      <c r="T84" s="54">
        <f t="shared" si="147"/>
        <v>6218762</v>
      </c>
      <c r="U84" s="54">
        <f t="shared" si="147"/>
        <v>6263361</v>
      </c>
      <c r="V84" s="54">
        <f t="shared" si="147"/>
        <v>6351581</v>
      </c>
      <c r="W84" s="54">
        <f t="shared" ref="W84:Y84" si="148">W85+W100</f>
        <v>6416029</v>
      </c>
      <c r="X84" s="54">
        <f t="shared" si="148"/>
        <v>6421299</v>
      </c>
      <c r="Y84" s="54">
        <f t="shared" si="148"/>
        <v>6432787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4322596</v>
      </c>
      <c r="C85" s="28">
        <f t="shared" si="149"/>
        <v>4369937</v>
      </c>
      <c r="D85" s="28">
        <f t="shared" ref="D85:V85" si="150">D86+D87+D94</f>
        <v>4429612</v>
      </c>
      <c r="E85" s="28">
        <f t="shared" si="150"/>
        <v>4485443</v>
      </c>
      <c r="F85" s="28">
        <f t="shared" si="150"/>
        <v>4530760</v>
      </c>
      <c r="G85" s="28">
        <f t="shared" si="150"/>
        <v>4620559</v>
      </c>
      <c r="H85" s="28">
        <f t="shared" si="150"/>
        <v>4714317</v>
      </c>
      <c r="I85" s="28">
        <f t="shared" si="150"/>
        <v>4800040</v>
      </c>
      <c r="J85" s="28">
        <f t="shared" si="150"/>
        <v>4846773</v>
      </c>
      <c r="K85" s="28">
        <f t="shared" si="150"/>
        <v>4885242</v>
      </c>
      <c r="L85" s="28">
        <f t="shared" si="150"/>
        <v>4918498</v>
      </c>
      <c r="M85" s="28">
        <f t="shared" si="150"/>
        <v>4992987</v>
      </c>
      <c r="N85" s="28">
        <f t="shared" si="150"/>
        <v>5076071</v>
      </c>
      <c r="O85" s="28">
        <f t="shared" si="150"/>
        <v>5114232</v>
      </c>
      <c r="P85" s="28">
        <f t="shared" si="150"/>
        <v>5217251</v>
      </c>
      <c r="Q85" s="28">
        <f t="shared" si="150"/>
        <v>5314989</v>
      </c>
      <c r="R85" s="28">
        <f t="shared" si="150"/>
        <v>5430130</v>
      </c>
      <c r="S85" s="28">
        <f t="shared" si="150"/>
        <v>5525556</v>
      </c>
      <c r="T85" s="28">
        <f t="shared" si="150"/>
        <v>5560870</v>
      </c>
      <c r="U85" s="28">
        <f t="shared" si="150"/>
        <v>5592925</v>
      </c>
      <c r="V85" s="28">
        <f t="shared" si="150"/>
        <v>5670197</v>
      </c>
      <c r="W85" s="28">
        <f t="shared" ref="W85:Y85" si="151">W86+W87+W94</f>
        <v>5722924</v>
      </c>
      <c r="X85" s="28">
        <f t="shared" si="151"/>
        <v>5725091</v>
      </c>
      <c r="Y85" s="28">
        <f t="shared" si="151"/>
        <v>5731509</v>
      </c>
      <c r="DA85" s="173"/>
    </row>
    <row r="86" spans="1:105" ht="11.45" hidden="1" customHeight="1" x14ac:dyDescent="0.25">
      <c r="A86" s="136" t="s">
        <v>173</v>
      </c>
      <c r="B86" s="137">
        <v>310069</v>
      </c>
      <c r="C86" s="137">
        <v>336341</v>
      </c>
      <c r="D86" s="137">
        <v>372369</v>
      </c>
      <c r="E86" s="137">
        <v>395601</v>
      </c>
      <c r="F86" s="137">
        <v>403317</v>
      </c>
      <c r="G86" s="137">
        <v>453082</v>
      </c>
      <c r="H86" s="137">
        <v>497744</v>
      </c>
      <c r="I86" s="137">
        <v>528125</v>
      </c>
      <c r="J86" s="137">
        <v>553929</v>
      </c>
      <c r="K86" s="137">
        <v>571890</v>
      </c>
      <c r="L86" s="137">
        <v>570240</v>
      </c>
      <c r="M86" s="137">
        <v>578495</v>
      </c>
      <c r="N86" s="137">
        <v>615525</v>
      </c>
      <c r="O86" s="137">
        <v>605590</v>
      </c>
      <c r="P86" s="137">
        <v>618553</v>
      </c>
      <c r="Q86" s="137">
        <v>632618</v>
      </c>
      <c r="R86" s="137">
        <v>648982</v>
      </c>
      <c r="S86" s="137">
        <v>666315</v>
      </c>
      <c r="T86" s="137">
        <v>676514</v>
      </c>
      <c r="U86" s="137">
        <v>690896</v>
      </c>
      <c r="V86" s="137">
        <v>713416</v>
      </c>
      <c r="W86" s="137">
        <v>723352</v>
      </c>
      <c r="X86" s="137">
        <v>731092</v>
      </c>
      <c r="Y86" s="137">
        <v>740822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3998110</v>
      </c>
      <c r="C87" s="110">
        <f t="shared" si="152"/>
        <v>4019350</v>
      </c>
      <c r="D87" s="110">
        <f t="shared" ref="D87:V87" si="153">SUM(D88:D93)</f>
        <v>4043230</v>
      </c>
      <c r="E87" s="110">
        <f t="shared" si="153"/>
        <v>4076100</v>
      </c>
      <c r="F87" s="110">
        <f t="shared" si="153"/>
        <v>4114080</v>
      </c>
      <c r="G87" s="110">
        <f t="shared" si="153"/>
        <v>4154000</v>
      </c>
      <c r="H87" s="110">
        <f t="shared" si="153"/>
        <v>4202930</v>
      </c>
      <c r="I87" s="110">
        <f t="shared" si="153"/>
        <v>4258600</v>
      </c>
      <c r="J87" s="110">
        <f t="shared" si="153"/>
        <v>4279370</v>
      </c>
      <c r="K87" s="110">
        <f t="shared" si="153"/>
        <v>4299950</v>
      </c>
      <c r="L87" s="110">
        <f t="shared" si="153"/>
        <v>4334390</v>
      </c>
      <c r="M87" s="110">
        <f t="shared" si="153"/>
        <v>4400550</v>
      </c>
      <c r="N87" s="110">
        <f t="shared" si="153"/>
        <v>4446349</v>
      </c>
      <c r="O87" s="110">
        <f t="shared" si="153"/>
        <v>4494661</v>
      </c>
      <c r="P87" s="110">
        <f t="shared" si="153"/>
        <v>4584711</v>
      </c>
      <c r="Q87" s="110">
        <f t="shared" si="153"/>
        <v>4668262</v>
      </c>
      <c r="R87" s="110">
        <f t="shared" si="153"/>
        <v>4767262</v>
      </c>
      <c r="S87" s="110">
        <f t="shared" si="153"/>
        <v>4844823</v>
      </c>
      <c r="T87" s="110">
        <f t="shared" si="153"/>
        <v>4869979</v>
      </c>
      <c r="U87" s="110">
        <f t="shared" si="153"/>
        <v>4887116</v>
      </c>
      <c r="V87" s="110">
        <f t="shared" si="153"/>
        <v>4943293</v>
      </c>
      <c r="W87" s="110">
        <f t="shared" ref="W87:Y87" si="154">SUM(W88:W93)</f>
        <v>4985979</v>
      </c>
      <c r="X87" s="110">
        <f t="shared" si="154"/>
        <v>4979761</v>
      </c>
      <c r="Y87" s="110">
        <f t="shared" si="154"/>
        <v>4976366</v>
      </c>
      <c r="DA87" s="176"/>
    </row>
    <row r="88" spans="1:105" ht="11.45" hidden="1" customHeight="1" x14ac:dyDescent="0.25">
      <c r="A88" s="111" t="s">
        <v>110</v>
      </c>
      <c r="B88" s="84">
        <v>3804105</v>
      </c>
      <c r="C88" s="84">
        <v>3834345</v>
      </c>
      <c r="D88" s="84">
        <v>3853307</v>
      </c>
      <c r="E88" s="84">
        <v>3878269</v>
      </c>
      <c r="F88" s="84">
        <v>3906270</v>
      </c>
      <c r="G88" s="84">
        <v>3931685</v>
      </c>
      <c r="H88" s="84">
        <v>3937982</v>
      </c>
      <c r="I88" s="84">
        <v>3902523</v>
      </c>
      <c r="J88" s="84">
        <v>3857952</v>
      </c>
      <c r="K88" s="84">
        <v>3789166</v>
      </c>
      <c r="L88" s="84">
        <v>3685570</v>
      </c>
      <c r="M88" s="84">
        <v>3579435</v>
      </c>
      <c r="N88" s="84">
        <v>3454210</v>
      </c>
      <c r="O88" s="84">
        <v>3341431</v>
      </c>
      <c r="P88" s="84">
        <v>3259599</v>
      </c>
      <c r="Q88" s="84">
        <v>3168166</v>
      </c>
      <c r="R88" s="84">
        <v>3096797</v>
      </c>
      <c r="S88" s="84">
        <v>3039616</v>
      </c>
      <c r="T88" s="84">
        <v>2983381</v>
      </c>
      <c r="U88" s="84">
        <v>2937692</v>
      </c>
      <c r="V88" s="84">
        <v>2902281</v>
      </c>
      <c r="W88" s="84">
        <v>2832051</v>
      </c>
      <c r="X88" s="84">
        <v>2734664</v>
      </c>
      <c r="Y88" s="84">
        <v>2750969</v>
      </c>
      <c r="DA88" s="171"/>
    </row>
    <row r="89" spans="1:105" ht="11.45" hidden="1" customHeight="1" x14ac:dyDescent="0.25">
      <c r="A89" s="111" t="s">
        <v>111</v>
      </c>
      <c r="B89" s="84">
        <v>194005</v>
      </c>
      <c r="C89" s="84">
        <v>185005</v>
      </c>
      <c r="D89" s="84">
        <v>189003</v>
      </c>
      <c r="E89" s="84">
        <v>196001</v>
      </c>
      <c r="F89" s="84">
        <v>204960</v>
      </c>
      <c r="G89" s="84">
        <v>217875</v>
      </c>
      <c r="H89" s="84">
        <v>260419</v>
      </c>
      <c r="I89" s="84">
        <v>350957</v>
      </c>
      <c r="J89" s="84">
        <v>415365</v>
      </c>
      <c r="K89" s="84">
        <v>503997</v>
      </c>
      <c r="L89" s="84">
        <v>634669</v>
      </c>
      <c r="M89" s="84">
        <v>800389</v>
      </c>
      <c r="N89" s="84">
        <v>965679</v>
      </c>
      <c r="O89" s="84">
        <v>1122665</v>
      </c>
      <c r="P89" s="84">
        <v>1285667</v>
      </c>
      <c r="Q89" s="84">
        <v>1449009</v>
      </c>
      <c r="R89" s="84">
        <v>1599960</v>
      </c>
      <c r="S89" s="84">
        <v>1718231</v>
      </c>
      <c r="T89" s="84">
        <v>1778077</v>
      </c>
      <c r="U89" s="84">
        <v>1810839</v>
      </c>
      <c r="V89" s="84">
        <v>1806424</v>
      </c>
      <c r="W89" s="84">
        <v>1784509</v>
      </c>
      <c r="X89" s="84">
        <v>1713071</v>
      </c>
      <c r="Y89" s="84">
        <v>1624849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300</v>
      </c>
      <c r="H90" s="84">
        <v>284</v>
      </c>
      <c r="I90" s="84">
        <v>282</v>
      </c>
      <c r="J90" s="84">
        <v>300</v>
      </c>
      <c r="K90" s="84">
        <v>400</v>
      </c>
      <c r="L90" s="84">
        <v>350</v>
      </c>
      <c r="M90" s="84">
        <v>486</v>
      </c>
      <c r="N90" s="84">
        <v>486</v>
      </c>
      <c r="O90" s="84">
        <v>491</v>
      </c>
      <c r="P90" s="84">
        <v>491</v>
      </c>
      <c r="Q90" s="84">
        <v>491</v>
      </c>
      <c r="R90" s="84">
        <v>465</v>
      </c>
      <c r="S90" s="84">
        <v>0</v>
      </c>
      <c r="T90" s="84">
        <v>0</v>
      </c>
      <c r="U90" s="84">
        <v>0</v>
      </c>
      <c r="V90" s="84">
        <v>0</v>
      </c>
      <c r="W90" s="84">
        <v>0</v>
      </c>
      <c r="X90" s="84">
        <v>0</v>
      </c>
      <c r="Y90" s="84">
        <v>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920</v>
      </c>
      <c r="E91" s="84">
        <v>1830</v>
      </c>
      <c r="F91" s="84">
        <v>2850</v>
      </c>
      <c r="G91" s="84">
        <v>4140</v>
      </c>
      <c r="H91" s="84">
        <v>4245</v>
      </c>
      <c r="I91" s="84">
        <v>4838</v>
      </c>
      <c r="J91" s="84">
        <v>5494</v>
      </c>
      <c r="K91" s="84">
        <v>6070</v>
      </c>
      <c r="L91" s="84">
        <v>13421</v>
      </c>
      <c r="M91" s="84">
        <v>19504</v>
      </c>
      <c r="N91" s="84">
        <v>24381</v>
      </c>
      <c r="O91" s="84">
        <v>27595</v>
      </c>
      <c r="P91" s="84">
        <v>31860</v>
      </c>
      <c r="Q91" s="84">
        <v>36055</v>
      </c>
      <c r="R91" s="84">
        <v>43676</v>
      </c>
      <c r="S91" s="84">
        <v>43689</v>
      </c>
      <c r="T91" s="84">
        <v>42463</v>
      </c>
      <c r="U91" s="84">
        <v>41633</v>
      </c>
      <c r="V91" s="84">
        <v>43908</v>
      </c>
      <c r="W91" s="84">
        <v>43444</v>
      </c>
      <c r="X91" s="84">
        <v>45326</v>
      </c>
      <c r="Y91" s="84">
        <v>36528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130</v>
      </c>
      <c r="K92" s="84">
        <v>160</v>
      </c>
      <c r="L92" s="84">
        <v>190</v>
      </c>
      <c r="M92" s="84">
        <v>370</v>
      </c>
      <c r="N92" s="84">
        <v>990</v>
      </c>
      <c r="O92" s="84">
        <v>1469</v>
      </c>
      <c r="P92" s="84">
        <v>4922</v>
      </c>
      <c r="Q92" s="84">
        <v>9776</v>
      </c>
      <c r="R92" s="84">
        <v>18832</v>
      </c>
      <c r="S92" s="84">
        <v>32253</v>
      </c>
      <c r="T92" s="84">
        <v>49394</v>
      </c>
      <c r="U92" s="84">
        <v>66609</v>
      </c>
      <c r="V92" s="84">
        <v>132440</v>
      </c>
      <c r="W92" s="84">
        <v>210281</v>
      </c>
      <c r="X92" s="84">
        <v>276553</v>
      </c>
      <c r="Y92" s="84">
        <v>272342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129</v>
      </c>
      <c r="K93" s="84">
        <v>157</v>
      </c>
      <c r="L93" s="84">
        <v>190</v>
      </c>
      <c r="M93" s="84">
        <v>366</v>
      </c>
      <c r="N93" s="84">
        <v>603</v>
      </c>
      <c r="O93" s="84">
        <v>1010</v>
      </c>
      <c r="P93" s="84">
        <v>2172</v>
      </c>
      <c r="Q93" s="84">
        <v>4765</v>
      </c>
      <c r="R93" s="84">
        <v>7532</v>
      </c>
      <c r="S93" s="84">
        <v>11034</v>
      </c>
      <c r="T93" s="84">
        <v>16664</v>
      </c>
      <c r="U93" s="84">
        <v>30343</v>
      </c>
      <c r="V93" s="84">
        <v>58240</v>
      </c>
      <c r="W93" s="84">
        <v>115694</v>
      </c>
      <c r="X93" s="84">
        <v>210147</v>
      </c>
      <c r="Y93" s="84">
        <v>291678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14417</v>
      </c>
      <c r="C94" s="110">
        <f t="shared" si="155"/>
        <v>14246</v>
      </c>
      <c r="D94" s="110">
        <f t="shared" ref="D94:V94" si="156">SUM(D95:D99)</f>
        <v>14013</v>
      </c>
      <c r="E94" s="110">
        <f t="shared" si="156"/>
        <v>13742</v>
      </c>
      <c r="F94" s="110">
        <f t="shared" si="156"/>
        <v>13363</v>
      </c>
      <c r="G94" s="110">
        <f t="shared" si="156"/>
        <v>13477</v>
      </c>
      <c r="H94" s="110">
        <f t="shared" si="156"/>
        <v>13643</v>
      </c>
      <c r="I94" s="110">
        <f t="shared" si="156"/>
        <v>13315</v>
      </c>
      <c r="J94" s="110">
        <f t="shared" si="156"/>
        <v>13474</v>
      </c>
      <c r="K94" s="110">
        <f t="shared" si="156"/>
        <v>13402</v>
      </c>
      <c r="L94" s="110">
        <f t="shared" si="156"/>
        <v>13868</v>
      </c>
      <c r="M94" s="110">
        <f t="shared" si="156"/>
        <v>13942</v>
      </c>
      <c r="N94" s="110">
        <f t="shared" si="156"/>
        <v>14197</v>
      </c>
      <c r="O94" s="110">
        <f t="shared" si="156"/>
        <v>13981</v>
      </c>
      <c r="P94" s="110">
        <f t="shared" si="156"/>
        <v>13987</v>
      </c>
      <c r="Q94" s="110">
        <f t="shared" si="156"/>
        <v>14109</v>
      </c>
      <c r="R94" s="110">
        <f t="shared" si="156"/>
        <v>13886</v>
      </c>
      <c r="S94" s="110">
        <f t="shared" si="156"/>
        <v>14418</v>
      </c>
      <c r="T94" s="110">
        <f t="shared" si="156"/>
        <v>14377</v>
      </c>
      <c r="U94" s="110">
        <f t="shared" si="156"/>
        <v>14913</v>
      </c>
      <c r="V94" s="110">
        <f t="shared" si="156"/>
        <v>13488</v>
      </c>
      <c r="W94" s="110">
        <f t="shared" ref="W94:Y94" si="157">SUM(W95:W99)</f>
        <v>13593</v>
      </c>
      <c r="X94" s="110">
        <f t="shared" si="157"/>
        <v>14238</v>
      </c>
      <c r="Y94" s="110">
        <f t="shared" si="157"/>
        <v>14321</v>
      </c>
      <c r="DA94" s="176"/>
    </row>
    <row r="95" spans="1:105" ht="11.45" hidden="1" customHeight="1" x14ac:dyDescent="0.25">
      <c r="A95" s="111" t="s">
        <v>110</v>
      </c>
      <c r="B95" s="102">
        <v>521</v>
      </c>
      <c r="C95" s="102">
        <v>426</v>
      </c>
      <c r="D95" s="102">
        <v>336</v>
      </c>
      <c r="E95" s="102">
        <v>259</v>
      </c>
      <c r="F95" s="102">
        <v>192</v>
      </c>
      <c r="G95" s="102">
        <v>142</v>
      </c>
      <c r="H95" s="102">
        <v>122</v>
      </c>
      <c r="I95" s="102">
        <v>103</v>
      </c>
      <c r="J95" s="102">
        <v>88</v>
      </c>
      <c r="K95" s="102">
        <v>82</v>
      </c>
      <c r="L95" s="102">
        <v>34</v>
      </c>
      <c r="M95" s="102">
        <v>61</v>
      </c>
      <c r="N95" s="102">
        <v>51</v>
      </c>
      <c r="O95" s="102">
        <v>51</v>
      </c>
      <c r="P95" s="102">
        <v>49</v>
      </c>
      <c r="Q95" s="102">
        <v>46</v>
      </c>
      <c r="R95" s="102">
        <v>49</v>
      </c>
      <c r="S95" s="102">
        <v>47</v>
      </c>
      <c r="T95" s="102">
        <v>45</v>
      </c>
      <c r="U95" s="102">
        <v>41</v>
      </c>
      <c r="V95" s="102">
        <v>39</v>
      </c>
      <c r="W95" s="102">
        <v>36</v>
      </c>
      <c r="X95" s="102">
        <v>34</v>
      </c>
      <c r="Y95" s="102">
        <v>34</v>
      </c>
      <c r="DA95" s="175"/>
    </row>
    <row r="96" spans="1:105" ht="11.45" hidden="1" customHeight="1" x14ac:dyDescent="0.25">
      <c r="A96" s="111" t="s">
        <v>111</v>
      </c>
      <c r="B96" s="102">
        <v>13539</v>
      </c>
      <c r="C96" s="102">
        <v>13428</v>
      </c>
      <c r="D96" s="102">
        <v>13287</v>
      </c>
      <c r="E96" s="102">
        <v>13091</v>
      </c>
      <c r="F96" s="102">
        <v>12733</v>
      </c>
      <c r="G96" s="102">
        <v>12398</v>
      </c>
      <c r="H96" s="102">
        <v>12965</v>
      </c>
      <c r="I96" s="102">
        <v>12580</v>
      </c>
      <c r="J96" s="102">
        <v>12544</v>
      </c>
      <c r="K96" s="102">
        <v>12200</v>
      </c>
      <c r="L96" s="102">
        <v>12523</v>
      </c>
      <c r="M96" s="102">
        <v>12209</v>
      </c>
      <c r="N96" s="102">
        <v>12289</v>
      </c>
      <c r="O96" s="102">
        <v>9636</v>
      </c>
      <c r="P96" s="102">
        <v>9367</v>
      </c>
      <c r="Q96" s="102">
        <v>9367</v>
      </c>
      <c r="R96" s="102">
        <v>9179</v>
      </c>
      <c r="S96" s="102">
        <v>9287</v>
      </c>
      <c r="T96" s="102">
        <v>9232</v>
      </c>
      <c r="U96" s="102">
        <v>11986</v>
      </c>
      <c r="V96" s="102">
        <v>10155</v>
      </c>
      <c r="W96" s="102">
        <v>10124</v>
      </c>
      <c r="X96" s="102">
        <v>10610</v>
      </c>
      <c r="Y96" s="102">
        <v>10476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DA97" s="175"/>
    </row>
    <row r="98" spans="1:105" ht="11.45" hidden="1" customHeight="1" x14ac:dyDescent="0.25">
      <c r="A98" s="111" t="s">
        <v>113</v>
      </c>
      <c r="B98" s="102">
        <v>340</v>
      </c>
      <c r="C98" s="102">
        <v>375</v>
      </c>
      <c r="D98" s="102">
        <v>376</v>
      </c>
      <c r="E98" s="102">
        <v>376</v>
      </c>
      <c r="F98" s="102">
        <v>422</v>
      </c>
      <c r="G98" s="102">
        <v>924</v>
      </c>
      <c r="H98" s="102">
        <v>544</v>
      </c>
      <c r="I98" s="102">
        <v>622</v>
      </c>
      <c r="J98" s="102">
        <v>834</v>
      </c>
      <c r="K98" s="102">
        <v>1112</v>
      </c>
      <c r="L98" s="102">
        <v>1307</v>
      </c>
      <c r="M98" s="102">
        <v>1668</v>
      </c>
      <c r="N98" s="102">
        <v>1851</v>
      </c>
      <c r="O98" s="102">
        <v>4286</v>
      </c>
      <c r="P98" s="102">
        <v>4560</v>
      </c>
      <c r="Q98" s="102">
        <v>4676</v>
      </c>
      <c r="R98" s="102">
        <v>4620</v>
      </c>
      <c r="S98" s="102">
        <v>5030</v>
      </c>
      <c r="T98" s="102">
        <v>5000</v>
      </c>
      <c r="U98" s="102">
        <v>2618</v>
      </c>
      <c r="V98" s="102">
        <v>2822</v>
      </c>
      <c r="W98" s="102">
        <v>2771</v>
      </c>
      <c r="X98" s="102">
        <v>2680</v>
      </c>
      <c r="Y98" s="102">
        <v>2598</v>
      </c>
      <c r="DA98" s="175"/>
    </row>
    <row r="99" spans="1:105" ht="11.45" hidden="1" customHeight="1" x14ac:dyDescent="0.25">
      <c r="A99" s="111" t="s">
        <v>115</v>
      </c>
      <c r="B99" s="102">
        <v>17</v>
      </c>
      <c r="C99" s="102">
        <v>17</v>
      </c>
      <c r="D99" s="102">
        <v>14</v>
      </c>
      <c r="E99" s="102">
        <v>16</v>
      </c>
      <c r="F99" s="102">
        <v>16</v>
      </c>
      <c r="G99" s="102">
        <v>13</v>
      </c>
      <c r="H99" s="102">
        <v>12</v>
      </c>
      <c r="I99" s="102">
        <v>10</v>
      </c>
      <c r="J99" s="102">
        <v>8</v>
      </c>
      <c r="K99" s="102">
        <v>8</v>
      </c>
      <c r="L99" s="102">
        <v>4</v>
      </c>
      <c r="M99" s="102">
        <v>4</v>
      </c>
      <c r="N99" s="102">
        <v>6</v>
      </c>
      <c r="O99" s="102">
        <v>8</v>
      </c>
      <c r="P99" s="102">
        <v>11</v>
      </c>
      <c r="Q99" s="102">
        <v>20</v>
      </c>
      <c r="R99" s="102">
        <v>38</v>
      </c>
      <c r="S99" s="102">
        <v>54</v>
      </c>
      <c r="T99" s="102">
        <v>100</v>
      </c>
      <c r="U99" s="102">
        <v>268</v>
      </c>
      <c r="V99" s="102">
        <v>472</v>
      </c>
      <c r="W99" s="102">
        <v>662</v>
      </c>
      <c r="X99" s="102">
        <v>914</v>
      </c>
      <c r="Y99" s="102">
        <v>1213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376605</v>
      </c>
      <c r="C100" s="28">
        <f t="shared" si="158"/>
        <v>398879</v>
      </c>
      <c r="D100" s="28">
        <f t="shared" ref="D100:V100" si="159">D101+D107</f>
        <v>412232</v>
      </c>
      <c r="E100" s="28">
        <f t="shared" si="159"/>
        <v>424981</v>
      </c>
      <c r="F100" s="28">
        <f t="shared" si="159"/>
        <v>445409</v>
      </c>
      <c r="G100" s="28">
        <f t="shared" si="159"/>
        <v>467189</v>
      </c>
      <c r="H100" s="28">
        <f t="shared" si="159"/>
        <v>486117</v>
      </c>
      <c r="I100" s="28">
        <f t="shared" si="159"/>
        <v>510547</v>
      </c>
      <c r="J100" s="28">
        <f t="shared" si="159"/>
        <v>515964</v>
      </c>
      <c r="K100" s="28">
        <f t="shared" si="159"/>
        <v>519609</v>
      </c>
      <c r="L100" s="28">
        <f t="shared" si="159"/>
        <v>524258</v>
      </c>
      <c r="M100" s="28">
        <f t="shared" si="159"/>
        <v>557468</v>
      </c>
      <c r="N100" s="28">
        <f t="shared" si="159"/>
        <v>557748</v>
      </c>
      <c r="O100" s="28">
        <f t="shared" si="159"/>
        <v>566191</v>
      </c>
      <c r="P100" s="28">
        <f t="shared" si="159"/>
        <v>581413</v>
      </c>
      <c r="Q100" s="28">
        <f t="shared" si="159"/>
        <v>597138</v>
      </c>
      <c r="R100" s="28">
        <f t="shared" si="159"/>
        <v>617896</v>
      </c>
      <c r="S100" s="28">
        <f t="shared" si="159"/>
        <v>639747</v>
      </c>
      <c r="T100" s="28">
        <f t="shared" si="159"/>
        <v>657892</v>
      </c>
      <c r="U100" s="28">
        <f t="shared" si="159"/>
        <v>670436</v>
      </c>
      <c r="V100" s="28">
        <f t="shared" si="159"/>
        <v>681384</v>
      </c>
      <c r="W100" s="28">
        <f t="shared" ref="W100:Y100" si="160">W101+W107</f>
        <v>693105</v>
      </c>
      <c r="X100" s="28">
        <f t="shared" si="160"/>
        <v>696208</v>
      </c>
      <c r="Y100" s="28">
        <f t="shared" si="160"/>
        <v>701278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296574</v>
      </c>
      <c r="C101" s="137">
        <f t="shared" si="161"/>
        <v>318776</v>
      </c>
      <c r="D101" s="137">
        <f t="shared" ref="D101:V101" si="162">SUM(D102:D106)</f>
        <v>333289</v>
      </c>
      <c r="E101" s="137">
        <f t="shared" si="162"/>
        <v>347263</v>
      </c>
      <c r="F101" s="137">
        <f t="shared" si="162"/>
        <v>365812</v>
      </c>
      <c r="G101" s="137">
        <f t="shared" si="162"/>
        <v>386377</v>
      </c>
      <c r="H101" s="137">
        <f t="shared" si="162"/>
        <v>402748</v>
      </c>
      <c r="I101" s="137">
        <f t="shared" si="162"/>
        <v>425286</v>
      </c>
      <c r="J101" s="137">
        <f t="shared" si="162"/>
        <v>432123</v>
      </c>
      <c r="K101" s="137">
        <f t="shared" si="162"/>
        <v>437420</v>
      </c>
      <c r="L101" s="137">
        <f t="shared" si="162"/>
        <v>441426</v>
      </c>
      <c r="M101" s="137">
        <f t="shared" si="162"/>
        <v>471383</v>
      </c>
      <c r="N101" s="137">
        <f t="shared" si="162"/>
        <v>470915</v>
      </c>
      <c r="O101" s="137">
        <f t="shared" si="162"/>
        <v>484387</v>
      </c>
      <c r="P101" s="137">
        <f t="shared" si="162"/>
        <v>499962</v>
      </c>
      <c r="Q101" s="137">
        <f t="shared" si="162"/>
        <v>514443</v>
      </c>
      <c r="R101" s="137">
        <f t="shared" si="162"/>
        <v>533005</v>
      </c>
      <c r="S101" s="137">
        <f t="shared" si="162"/>
        <v>553585</v>
      </c>
      <c r="T101" s="137">
        <f t="shared" si="162"/>
        <v>570252</v>
      </c>
      <c r="U101" s="137">
        <f t="shared" si="162"/>
        <v>583245</v>
      </c>
      <c r="V101" s="137">
        <f t="shared" si="162"/>
        <v>593686</v>
      </c>
      <c r="W101" s="137">
        <f t="shared" ref="W101:Y101" si="163">SUM(W102:W106)</f>
        <v>603714</v>
      </c>
      <c r="X101" s="137">
        <f t="shared" si="163"/>
        <v>606875</v>
      </c>
      <c r="Y101" s="137">
        <f t="shared" si="163"/>
        <v>612883</v>
      </c>
      <c r="DA101" s="174"/>
    </row>
    <row r="102" spans="1:105" ht="11.45" hidden="1" customHeight="1" x14ac:dyDescent="0.25">
      <c r="A102" s="111" t="s">
        <v>110</v>
      </c>
      <c r="B102" s="84">
        <v>178196</v>
      </c>
      <c r="C102" s="84">
        <v>172471</v>
      </c>
      <c r="D102" s="84">
        <v>164678</v>
      </c>
      <c r="E102" s="84">
        <v>155801</v>
      </c>
      <c r="F102" s="84">
        <v>146710</v>
      </c>
      <c r="G102" s="84">
        <v>137987</v>
      </c>
      <c r="H102" s="84">
        <v>127837</v>
      </c>
      <c r="I102" s="84">
        <v>118748</v>
      </c>
      <c r="J102" s="84">
        <v>108195</v>
      </c>
      <c r="K102" s="84">
        <v>100787</v>
      </c>
      <c r="L102" s="84">
        <v>92942</v>
      </c>
      <c r="M102" s="84">
        <v>85821</v>
      </c>
      <c r="N102" s="84">
        <v>75703</v>
      </c>
      <c r="O102" s="84">
        <v>66920</v>
      </c>
      <c r="P102" s="84">
        <v>62298</v>
      </c>
      <c r="Q102" s="84">
        <v>57028</v>
      </c>
      <c r="R102" s="84">
        <v>52705</v>
      </c>
      <c r="S102" s="84">
        <v>49638</v>
      </c>
      <c r="T102" s="84">
        <v>47465</v>
      </c>
      <c r="U102" s="84">
        <v>46650</v>
      </c>
      <c r="V102" s="84">
        <v>46340</v>
      </c>
      <c r="W102" s="84">
        <v>45169</v>
      </c>
      <c r="X102" s="84">
        <v>44739</v>
      </c>
      <c r="Y102" s="84">
        <v>44391</v>
      </c>
      <c r="DA102" s="171"/>
    </row>
    <row r="103" spans="1:105" ht="11.45" hidden="1" customHeight="1" x14ac:dyDescent="0.25">
      <c r="A103" s="111" t="s">
        <v>111</v>
      </c>
      <c r="B103" s="84">
        <v>118378</v>
      </c>
      <c r="C103" s="84">
        <v>146302</v>
      </c>
      <c r="D103" s="84">
        <v>168594</v>
      </c>
      <c r="E103" s="84">
        <v>191417</v>
      </c>
      <c r="F103" s="84">
        <v>219032</v>
      </c>
      <c r="G103" s="84">
        <v>248236</v>
      </c>
      <c r="H103" s="84">
        <v>274331</v>
      </c>
      <c r="I103" s="84">
        <v>305537</v>
      </c>
      <c r="J103" s="84">
        <v>322246</v>
      </c>
      <c r="K103" s="84">
        <v>334073</v>
      </c>
      <c r="L103" s="84">
        <v>345694</v>
      </c>
      <c r="M103" s="84">
        <v>382368</v>
      </c>
      <c r="N103" s="84">
        <v>391346</v>
      </c>
      <c r="O103" s="84">
        <v>413218</v>
      </c>
      <c r="P103" s="84">
        <v>432942</v>
      </c>
      <c r="Q103" s="84">
        <v>452004</v>
      </c>
      <c r="R103" s="84">
        <v>474428</v>
      </c>
      <c r="S103" s="84">
        <v>497261</v>
      </c>
      <c r="T103" s="84">
        <v>511760</v>
      </c>
      <c r="U103" s="84">
        <v>523952</v>
      </c>
      <c r="V103" s="84">
        <v>532452</v>
      </c>
      <c r="W103" s="84">
        <v>540867</v>
      </c>
      <c r="X103" s="84">
        <v>539506</v>
      </c>
      <c r="Y103" s="84">
        <v>539647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X104" s="84">
        <v>0</v>
      </c>
      <c r="Y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3</v>
      </c>
      <c r="D105" s="84">
        <v>17</v>
      </c>
      <c r="E105" s="84">
        <v>45</v>
      </c>
      <c r="F105" s="84">
        <v>70</v>
      </c>
      <c r="G105" s="84">
        <v>152</v>
      </c>
      <c r="H105" s="84">
        <v>373</v>
      </c>
      <c r="I105" s="84">
        <v>805</v>
      </c>
      <c r="J105" s="84">
        <v>1487</v>
      </c>
      <c r="K105" s="84">
        <v>2365</v>
      </c>
      <c r="L105" s="84">
        <v>2600</v>
      </c>
      <c r="M105" s="84">
        <v>3000</v>
      </c>
      <c r="N105" s="84">
        <v>3500</v>
      </c>
      <c r="O105" s="84">
        <v>3701</v>
      </c>
      <c r="P105" s="84">
        <v>3889</v>
      </c>
      <c r="Q105" s="84">
        <v>4167</v>
      </c>
      <c r="R105" s="84">
        <v>4320</v>
      </c>
      <c r="S105" s="84">
        <v>4739</v>
      </c>
      <c r="T105" s="84">
        <v>8366</v>
      </c>
      <c r="U105" s="84">
        <v>8697</v>
      </c>
      <c r="V105" s="84">
        <v>9000</v>
      </c>
      <c r="W105" s="84">
        <v>9100</v>
      </c>
      <c r="X105" s="84">
        <v>9100</v>
      </c>
      <c r="Y105" s="84">
        <v>7975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2</v>
      </c>
      <c r="H106" s="84">
        <v>207</v>
      </c>
      <c r="I106" s="84">
        <v>196</v>
      </c>
      <c r="J106" s="84">
        <v>195</v>
      </c>
      <c r="K106" s="84">
        <v>195</v>
      </c>
      <c r="L106" s="84">
        <v>190</v>
      </c>
      <c r="M106" s="84">
        <v>194</v>
      </c>
      <c r="N106" s="84">
        <v>366</v>
      </c>
      <c r="O106" s="84">
        <v>548</v>
      </c>
      <c r="P106" s="84">
        <v>833</v>
      </c>
      <c r="Q106" s="84">
        <v>1244</v>
      </c>
      <c r="R106" s="84">
        <v>1552</v>
      </c>
      <c r="S106" s="84">
        <v>1947</v>
      </c>
      <c r="T106" s="84">
        <v>2661</v>
      </c>
      <c r="U106" s="84">
        <v>3946</v>
      </c>
      <c r="V106" s="84">
        <v>5894</v>
      </c>
      <c r="W106" s="84">
        <v>8578</v>
      </c>
      <c r="X106" s="84">
        <v>13530</v>
      </c>
      <c r="Y106" s="84">
        <v>20870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80031</v>
      </c>
      <c r="C107" s="110">
        <f t="shared" si="164"/>
        <v>80103</v>
      </c>
      <c r="D107" s="110">
        <f t="shared" ref="D107:V107" si="165">SUM(D108:D109)</f>
        <v>78943</v>
      </c>
      <c r="E107" s="110">
        <f t="shared" si="165"/>
        <v>77718</v>
      </c>
      <c r="F107" s="110">
        <f t="shared" si="165"/>
        <v>79597</v>
      </c>
      <c r="G107" s="110">
        <f t="shared" si="165"/>
        <v>80812</v>
      </c>
      <c r="H107" s="110">
        <f t="shared" si="165"/>
        <v>83369</v>
      </c>
      <c r="I107" s="110">
        <f t="shared" si="165"/>
        <v>85261</v>
      </c>
      <c r="J107" s="110">
        <f t="shared" si="165"/>
        <v>83841</v>
      </c>
      <c r="K107" s="110">
        <f t="shared" si="165"/>
        <v>82189</v>
      </c>
      <c r="L107" s="110">
        <f t="shared" si="165"/>
        <v>82832</v>
      </c>
      <c r="M107" s="110">
        <f t="shared" si="165"/>
        <v>86085</v>
      </c>
      <c r="N107" s="110">
        <f t="shared" si="165"/>
        <v>86833</v>
      </c>
      <c r="O107" s="110">
        <f t="shared" si="165"/>
        <v>81804</v>
      </c>
      <c r="P107" s="110">
        <f t="shared" si="165"/>
        <v>81451</v>
      </c>
      <c r="Q107" s="110">
        <f t="shared" si="165"/>
        <v>82695</v>
      </c>
      <c r="R107" s="110">
        <f t="shared" si="165"/>
        <v>84891</v>
      </c>
      <c r="S107" s="110">
        <f t="shared" si="165"/>
        <v>86162</v>
      </c>
      <c r="T107" s="110">
        <f t="shared" si="165"/>
        <v>87640</v>
      </c>
      <c r="U107" s="110">
        <f t="shared" si="165"/>
        <v>87191</v>
      </c>
      <c r="V107" s="110">
        <f t="shared" si="165"/>
        <v>87698</v>
      </c>
      <c r="W107" s="110">
        <f t="shared" ref="W107:Y107" si="166">SUM(W108:W109)</f>
        <v>89391</v>
      </c>
      <c r="X107" s="110">
        <f t="shared" si="166"/>
        <v>89333</v>
      </c>
      <c r="Y107" s="110">
        <f t="shared" si="166"/>
        <v>88395</v>
      </c>
      <c r="DA107" s="176"/>
    </row>
    <row r="108" spans="1:105" ht="11.45" hidden="1" customHeight="1" x14ac:dyDescent="0.25">
      <c r="A108" s="128" t="s">
        <v>27</v>
      </c>
      <c r="B108" s="102">
        <v>73826</v>
      </c>
      <c r="C108" s="102">
        <v>73451</v>
      </c>
      <c r="D108" s="102">
        <v>71945</v>
      </c>
      <c r="E108" s="102">
        <v>70565</v>
      </c>
      <c r="F108" s="102">
        <v>71141</v>
      </c>
      <c r="G108" s="102">
        <v>72060</v>
      </c>
      <c r="H108" s="102">
        <v>73921</v>
      </c>
      <c r="I108" s="102">
        <v>75643</v>
      </c>
      <c r="J108" s="102">
        <v>74588</v>
      </c>
      <c r="K108" s="102">
        <v>74766</v>
      </c>
      <c r="L108" s="102">
        <v>74769</v>
      </c>
      <c r="M108" s="102">
        <v>78176</v>
      </c>
      <c r="N108" s="102">
        <v>79130</v>
      </c>
      <c r="O108" s="102">
        <v>73045</v>
      </c>
      <c r="P108" s="102">
        <v>73122</v>
      </c>
      <c r="Q108" s="102">
        <v>73202</v>
      </c>
      <c r="R108" s="102">
        <v>74770</v>
      </c>
      <c r="S108" s="102">
        <v>76181</v>
      </c>
      <c r="T108" s="102">
        <v>77511</v>
      </c>
      <c r="U108" s="102">
        <v>77660</v>
      </c>
      <c r="V108" s="102">
        <v>77847</v>
      </c>
      <c r="W108" s="102">
        <v>78596</v>
      </c>
      <c r="X108" s="102">
        <v>79565</v>
      </c>
      <c r="Y108" s="102">
        <v>78673</v>
      </c>
      <c r="DA108" s="175"/>
    </row>
    <row r="109" spans="1:105" ht="11.45" hidden="1" customHeight="1" x14ac:dyDescent="0.25">
      <c r="A109" s="138" t="s">
        <v>116</v>
      </c>
      <c r="B109" s="86">
        <v>6205</v>
      </c>
      <c r="C109" s="86">
        <v>6652</v>
      </c>
      <c r="D109" s="86">
        <v>6998</v>
      </c>
      <c r="E109" s="86">
        <v>7153</v>
      </c>
      <c r="F109" s="86">
        <v>8456</v>
      </c>
      <c r="G109" s="86">
        <v>8752</v>
      </c>
      <c r="H109" s="86">
        <v>9448</v>
      </c>
      <c r="I109" s="86">
        <v>9618</v>
      </c>
      <c r="J109" s="86">
        <v>9253</v>
      </c>
      <c r="K109" s="86">
        <v>7423</v>
      </c>
      <c r="L109" s="86">
        <v>8063</v>
      </c>
      <c r="M109" s="86">
        <v>7909</v>
      </c>
      <c r="N109" s="86">
        <v>7703</v>
      </c>
      <c r="O109" s="86">
        <v>8759</v>
      </c>
      <c r="P109" s="86">
        <v>8329</v>
      </c>
      <c r="Q109" s="86">
        <v>9493</v>
      </c>
      <c r="R109" s="86">
        <v>10121</v>
      </c>
      <c r="S109" s="86">
        <v>9981</v>
      </c>
      <c r="T109" s="86">
        <v>10129</v>
      </c>
      <c r="U109" s="86">
        <v>9531</v>
      </c>
      <c r="V109" s="86">
        <v>9851</v>
      </c>
      <c r="W109" s="86">
        <v>10795</v>
      </c>
      <c r="X109" s="86">
        <v>9768</v>
      </c>
      <c r="Y109" s="86">
        <v>9722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409026</v>
      </c>
      <c r="C111" s="54">
        <f t="shared" si="167"/>
        <v>369923</v>
      </c>
      <c r="D111" s="54">
        <f t="shared" si="167"/>
        <v>381028</v>
      </c>
      <c r="E111" s="54">
        <f t="shared" si="167"/>
        <v>374879</v>
      </c>
      <c r="F111" s="54">
        <f t="shared" si="167"/>
        <v>381020</v>
      </c>
      <c r="G111" s="54">
        <f t="shared" si="167"/>
        <v>430421</v>
      </c>
      <c r="H111" s="54">
        <f t="shared" si="167"/>
        <v>429651</v>
      </c>
      <c r="I111" s="54">
        <f t="shared" si="167"/>
        <v>436328</v>
      </c>
      <c r="J111" s="54">
        <f t="shared" si="167"/>
        <v>358326</v>
      </c>
      <c r="K111" s="54">
        <f t="shared" si="167"/>
        <v>258845</v>
      </c>
      <c r="L111" s="54">
        <f t="shared" ref="L111" si="168">L112+L127</f>
        <v>382338</v>
      </c>
      <c r="M111" s="54">
        <f t="shared" ref="M111:V111" si="169">M112+M127</f>
        <v>419948</v>
      </c>
      <c r="N111" s="54">
        <f t="shared" si="169"/>
        <v>412995</v>
      </c>
      <c r="O111" s="54">
        <f t="shared" si="169"/>
        <v>361870</v>
      </c>
      <c r="P111" s="54">
        <f t="shared" si="169"/>
        <v>406644</v>
      </c>
      <c r="Q111" s="54">
        <f t="shared" si="169"/>
        <v>451108</v>
      </c>
      <c r="R111" s="54">
        <f t="shared" si="169"/>
        <v>500677</v>
      </c>
      <c r="S111" s="54">
        <f t="shared" si="169"/>
        <v>510710</v>
      </c>
      <c r="T111" s="54">
        <f t="shared" si="169"/>
        <v>481577</v>
      </c>
      <c r="U111" s="54">
        <f t="shared" si="169"/>
        <v>492741</v>
      </c>
      <c r="V111" s="54">
        <f t="shared" si="169"/>
        <v>430978</v>
      </c>
      <c r="W111" s="54">
        <f t="shared" ref="W111:Y111" si="170">W112+W127</f>
        <v>449647</v>
      </c>
      <c r="X111" s="54">
        <f t="shared" si="170"/>
        <v>423041</v>
      </c>
      <c r="Y111" s="54">
        <f t="shared" si="170"/>
        <v>555616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371093</v>
      </c>
      <c r="C112" s="28">
        <f t="shared" si="171"/>
        <v>326542</v>
      </c>
      <c r="D112" s="28">
        <f t="shared" si="171"/>
        <v>342239</v>
      </c>
      <c r="E112" s="28">
        <f t="shared" si="171"/>
        <v>336001</v>
      </c>
      <c r="F112" s="28">
        <f t="shared" si="171"/>
        <v>336032</v>
      </c>
      <c r="G112" s="28">
        <f t="shared" si="171"/>
        <v>381802</v>
      </c>
      <c r="H112" s="28">
        <f t="shared" si="171"/>
        <v>379301</v>
      </c>
      <c r="I112" s="28">
        <f t="shared" si="171"/>
        <v>380912</v>
      </c>
      <c r="J112" s="28">
        <f t="shared" si="171"/>
        <v>312316</v>
      </c>
      <c r="K112" s="28">
        <f t="shared" si="171"/>
        <v>225311</v>
      </c>
      <c r="L112" s="28">
        <f t="shared" ref="L112" si="172">L113+L114+L121</f>
        <v>346640</v>
      </c>
      <c r="M112" s="28">
        <f t="shared" ref="M112:V112" si="173">M113+M114+M121</f>
        <v>355659</v>
      </c>
      <c r="N112" s="28">
        <f t="shared" si="173"/>
        <v>372850</v>
      </c>
      <c r="O112" s="28">
        <f t="shared" si="173"/>
        <v>314162</v>
      </c>
      <c r="P112" s="28">
        <f t="shared" si="173"/>
        <v>358222</v>
      </c>
      <c r="Q112" s="28">
        <f t="shared" si="173"/>
        <v>398592</v>
      </c>
      <c r="R112" s="28">
        <f t="shared" si="173"/>
        <v>438661</v>
      </c>
      <c r="S112" s="28">
        <f t="shared" si="173"/>
        <v>445243</v>
      </c>
      <c r="T112" s="28">
        <f t="shared" si="173"/>
        <v>411011</v>
      </c>
      <c r="U112" s="28">
        <f t="shared" si="173"/>
        <v>427307</v>
      </c>
      <c r="V112" s="28">
        <f t="shared" si="173"/>
        <v>389383</v>
      </c>
      <c r="W112" s="28">
        <f t="shared" ref="W112:Y112" si="174">W113+W114+W121</f>
        <v>402728</v>
      </c>
      <c r="X112" s="28">
        <f t="shared" si="174"/>
        <v>377911</v>
      </c>
      <c r="Y112" s="28">
        <f t="shared" si="174"/>
        <v>493873</v>
      </c>
      <c r="DA112" s="173" t="s">
        <v>527</v>
      </c>
    </row>
    <row r="113" spans="1:105" ht="11.45" customHeight="1" x14ac:dyDescent="0.25">
      <c r="A113" s="136" t="s">
        <v>173</v>
      </c>
      <c r="B113" s="137">
        <v>26681</v>
      </c>
      <c r="C113" s="137">
        <v>44838</v>
      </c>
      <c r="D113" s="137">
        <v>59556</v>
      </c>
      <c r="E113" s="137">
        <v>41786</v>
      </c>
      <c r="F113" s="137">
        <v>36685</v>
      </c>
      <c r="G113" s="137">
        <v>80932</v>
      </c>
      <c r="H113" s="137">
        <v>74614</v>
      </c>
      <c r="I113" s="137">
        <v>54878</v>
      </c>
      <c r="J113" s="137">
        <v>48903</v>
      </c>
      <c r="K113" s="137">
        <v>38092</v>
      </c>
      <c r="L113" s="137">
        <v>21476</v>
      </c>
      <c r="M113" s="137">
        <v>24373</v>
      </c>
      <c r="N113" s="137">
        <v>66275</v>
      </c>
      <c r="O113" s="137">
        <v>18836</v>
      </c>
      <c r="P113" s="137">
        <v>31968</v>
      </c>
      <c r="Q113" s="137">
        <v>33847</v>
      </c>
      <c r="R113" s="137">
        <v>37487</v>
      </c>
      <c r="S113" s="137">
        <v>39249</v>
      </c>
      <c r="T113" s="137">
        <v>29281</v>
      </c>
      <c r="U113" s="137">
        <v>35569</v>
      </c>
      <c r="V113" s="137">
        <v>47680</v>
      </c>
      <c r="W113" s="137">
        <v>29924</v>
      </c>
      <c r="X113" s="137">
        <v>26956</v>
      </c>
      <c r="Y113" s="137">
        <v>30009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342949</v>
      </c>
      <c r="C114" s="110">
        <f t="shared" si="175"/>
        <v>280525</v>
      </c>
      <c r="D114" s="110">
        <f t="shared" si="175"/>
        <v>281445</v>
      </c>
      <c r="E114" s="110">
        <f t="shared" si="175"/>
        <v>293032</v>
      </c>
      <c r="F114" s="110">
        <f t="shared" si="175"/>
        <v>298229</v>
      </c>
      <c r="G114" s="110">
        <f t="shared" si="175"/>
        <v>299283</v>
      </c>
      <c r="H114" s="110">
        <f t="shared" si="175"/>
        <v>303326</v>
      </c>
      <c r="I114" s="110">
        <f t="shared" si="175"/>
        <v>325072</v>
      </c>
      <c r="J114" s="110">
        <f t="shared" si="175"/>
        <v>262146</v>
      </c>
      <c r="K114" s="110">
        <f t="shared" si="175"/>
        <v>186031</v>
      </c>
      <c r="L114" s="110">
        <f t="shared" ref="L114" si="176">SUM(L115:L120)</f>
        <v>323507</v>
      </c>
      <c r="M114" s="110">
        <f t="shared" ref="M114:V114" si="177">SUM(M115:M120)</f>
        <v>329656</v>
      </c>
      <c r="N114" s="110">
        <f t="shared" si="177"/>
        <v>305057</v>
      </c>
      <c r="O114" s="110">
        <f t="shared" si="177"/>
        <v>291961</v>
      </c>
      <c r="P114" s="110">
        <f t="shared" si="177"/>
        <v>324616</v>
      </c>
      <c r="Q114" s="110">
        <f t="shared" si="177"/>
        <v>363247</v>
      </c>
      <c r="R114" s="110">
        <f t="shared" si="177"/>
        <v>399792</v>
      </c>
      <c r="S114" s="110">
        <f t="shared" si="177"/>
        <v>404486</v>
      </c>
      <c r="T114" s="110">
        <f t="shared" si="177"/>
        <v>380673</v>
      </c>
      <c r="U114" s="110">
        <f t="shared" si="177"/>
        <v>388527</v>
      </c>
      <c r="V114" s="110">
        <f t="shared" si="177"/>
        <v>340004</v>
      </c>
      <c r="W114" s="110">
        <f t="shared" ref="W114:Y114" si="178">SUM(W115:W120)</f>
        <v>371586</v>
      </c>
      <c r="X114" s="110">
        <f t="shared" si="178"/>
        <v>349689</v>
      </c>
      <c r="Y114" s="110">
        <f t="shared" si="178"/>
        <v>462467</v>
      </c>
      <c r="DA114" s="176" t="s">
        <v>529</v>
      </c>
    </row>
    <row r="115" spans="1:105" ht="11.45" customHeight="1" x14ac:dyDescent="0.25">
      <c r="A115" s="111" t="s">
        <v>110</v>
      </c>
      <c r="B115" s="84">
        <v>315229</v>
      </c>
      <c r="C115" s="84">
        <v>265142</v>
      </c>
      <c r="D115" s="84">
        <v>262364</v>
      </c>
      <c r="E115" s="84">
        <v>270998</v>
      </c>
      <c r="F115" s="84">
        <v>273807</v>
      </c>
      <c r="G115" s="84">
        <v>268256</v>
      </c>
      <c r="H115" s="84">
        <v>244199</v>
      </c>
      <c r="I115" s="84">
        <v>215950</v>
      </c>
      <c r="J115" s="84">
        <v>171565</v>
      </c>
      <c r="K115" s="84">
        <v>93981</v>
      </c>
      <c r="L115" s="84">
        <v>154339</v>
      </c>
      <c r="M115" s="84">
        <v>127369</v>
      </c>
      <c r="N115" s="84">
        <v>102549</v>
      </c>
      <c r="O115" s="84">
        <v>110654</v>
      </c>
      <c r="P115" s="84">
        <v>125853</v>
      </c>
      <c r="Q115" s="84">
        <v>142579</v>
      </c>
      <c r="R115" s="84">
        <v>176336</v>
      </c>
      <c r="S115" s="84">
        <v>188423</v>
      </c>
      <c r="T115" s="84">
        <v>210109</v>
      </c>
      <c r="U115" s="84">
        <v>219627</v>
      </c>
      <c r="V115" s="84">
        <v>164695</v>
      </c>
      <c r="W115" s="84">
        <v>163527</v>
      </c>
      <c r="X115" s="84">
        <v>135044</v>
      </c>
      <c r="Y115" s="84">
        <v>259590</v>
      </c>
      <c r="DA115" s="171" t="s">
        <v>530</v>
      </c>
    </row>
    <row r="116" spans="1:105" ht="11.45" customHeight="1" x14ac:dyDescent="0.25">
      <c r="A116" s="111" t="s">
        <v>111</v>
      </c>
      <c r="B116" s="84">
        <v>27720</v>
      </c>
      <c r="C116" s="84">
        <v>15383</v>
      </c>
      <c r="D116" s="84">
        <v>18161</v>
      </c>
      <c r="E116" s="84">
        <v>21096</v>
      </c>
      <c r="F116" s="84">
        <v>23402</v>
      </c>
      <c r="G116" s="84">
        <v>29437</v>
      </c>
      <c r="H116" s="84">
        <v>58780</v>
      </c>
      <c r="I116" s="84">
        <v>108458</v>
      </c>
      <c r="J116" s="84">
        <v>89538</v>
      </c>
      <c r="K116" s="84">
        <v>91175</v>
      </c>
      <c r="L116" s="84">
        <v>161565</v>
      </c>
      <c r="M116" s="84">
        <v>195145</v>
      </c>
      <c r="N116" s="84">
        <v>196136</v>
      </c>
      <c r="O116" s="84">
        <v>176485</v>
      </c>
      <c r="P116" s="84">
        <v>188998</v>
      </c>
      <c r="Q116" s="84">
        <v>207091</v>
      </c>
      <c r="R116" s="84">
        <v>202383</v>
      </c>
      <c r="S116" s="84">
        <v>192191</v>
      </c>
      <c r="T116" s="84">
        <v>138666</v>
      </c>
      <c r="U116" s="84">
        <v>123708</v>
      </c>
      <c r="V116" s="84">
        <v>77772</v>
      </c>
      <c r="W116" s="84">
        <v>70794</v>
      </c>
      <c r="X116" s="84">
        <v>47655</v>
      </c>
      <c r="Y116" s="84">
        <v>26002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300</v>
      </c>
      <c r="H117" s="84">
        <v>0</v>
      </c>
      <c r="I117" s="84">
        <v>0</v>
      </c>
      <c r="J117" s="84">
        <v>19</v>
      </c>
      <c r="K117" s="84">
        <v>101</v>
      </c>
      <c r="L117" s="84">
        <v>0</v>
      </c>
      <c r="M117" s="84">
        <v>138</v>
      </c>
      <c r="N117" s="84">
        <v>3</v>
      </c>
      <c r="O117" s="84">
        <v>9</v>
      </c>
      <c r="P117" s="84">
        <v>4</v>
      </c>
      <c r="Q117" s="84">
        <v>5</v>
      </c>
      <c r="R117" s="84">
        <v>0</v>
      </c>
      <c r="S117" s="84">
        <v>0</v>
      </c>
      <c r="T117" s="84">
        <v>0</v>
      </c>
      <c r="U117" s="84">
        <v>0</v>
      </c>
      <c r="V117" s="84">
        <v>0</v>
      </c>
      <c r="W117" s="84">
        <v>0</v>
      </c>
      <c r="X117" s="84">
        <v>0</v>
      </c>
      <c r="Y117" s="84">
        <v>0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920</v>
      </c>
      <c r="E118" s="84">
        <v>938</v>
      </c>
      <c r="F118" s="84">
        <v>1020</v>
      </c>
      <c r="G118" s="84">
        <v>1290</v>
      </c>
      <c r="H118" s="84">
        <v>347</v>
      </c>
      <c r="I118" s="84">
        <v>664</v>
      </c>
      <c r="J118" s="84">
        <v>765</v>
      </c>
      <c r="K118" s="84">
        <v>716</v>
      </c>
      <c r="L118" s="84">
        <v>7517</v>
      </c>
      <c r="M118" s="84">
        <v>6634</v>
      </c>
      <c r="N118" s="84">
        <v>5461</v>
      </c>
      <c r="O118" s="84">
        <v>3841</v>
      </c>
      <c r="P118" s="84">
        <v>4935</v>
      </c>
      <c r="Q118" s="84">
        <v>5061</v>
      </c>
      <c r="R118" s="84">
        <v>7827</v>
      </c>
      <c r="S118" s="84">
        <v>3921</v>
      </c>
      <c r="T118" s="84">
        <v>3260</v>
      </c>
      <c r="U118" s="84">
        <v>4966</v>
      </c>
      <c r="V118" s="84">
        <v>3524</v>
      </c>
      <c r="W118" s="84">
        <v>1494</v>
      </c>
      <c r="X118" s="84">
        <v>2434</v>
      </c>
      <c r="Y118" s="84">
        <v>2110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130</v>
      </c>
      <c r="K119" s="84">
        <v>30</v>
      </c>
      <c r="L119" s="84">
        <v>30</v>
      </c>
      <c r="M119" s="84">
        <v>185</v>
      </c>
      <c r="N119" s="84">
        <v>641</v>
      </c>
      <c r="O119" s="84">
        <v>519</v>
      </c>
      <c r="P119" s="84">
        <v>3456</v>
      </c>
      <c r="Q119" s="84">
        <v>5408</v>
      </c>
      <c r="R119" s="84">
        <v>10027</v>
      </c>
      <c r="S119" s="84">
        <v>15548</v>
      </c>
      <c r="T119" s="84">
        <v>21375</v>
      </c>
      <c r="U119" s="84">
        <v>24431</v>
      </c>
      <c r="V119" s="84">
        <v>66032</v>
      </c>
      <c r="W119" s="84">
        <v>78176</v>
      </c>
      <c r="X119" s="84">
        <v>66824</v>
      </c>
      <c r="Y119" s="84">
        <v>61186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129</v>
      </c>
      <c r="K120" s="84">
        <v>28</v>
      </c>
      <c r="L120" s="84">
        <v>56</v>
      </c>
      <c r="M120" s="84">
        <v>185</v>
      </c>
      <c r="N120" s="84">
        <v>267</v>
      </c>
      <c r="O120" s="84">
        <v>453</v>
      </c>
      <c r="P120" s="84">
        <v>1370</v>
      </c>
      <c r="Q120" s="84">
        <v>3103</v>
      </c>
      <c r="R120" s="84">
        <v>3219</v>
      </c>
      <c r="S120" s="84">
        <v>4403</v>
      </c>
      <c r="T120" s="84">
        <v>7263</v>
      </c>
      <c r="U120" s="84">
        <v>15795</v>
      </c>
      <c r="V120" s="84">
        <v>27981</v>
      </c>
      <c r="W120" s="84">
        <v>57595</v>
      </c>
      <c r="X120" s="84">
        <v>97732</v>
      </c>
      <c r="Y120" s="84">
        <v>113579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1463</v>
      </c>
      <c r="C121" s="110">
        <f t="shared" si="179"/>
        <v>1179</v>
      </c>
      <c r="D121" s="110">
        <f t="shared" si="179"/>
        <v>1238</v>
      </c>
      <c r="E121" s="110">
        <f t="shared" si="179"/>
        <v>1183</v>
      </c>
      <c r="F121" s="110">
        <f t="shared" si="179"/>
        <v>1118</v>
      </c>
      <c r="G121" s="110">
        <f t="shared" si="179"/>
        <v>1587</v>
      </c>
      <c r="H121" s="110">
        <f t="shared" si="179"/>
        <v>1361</v>
      </c>
      <c r="I121" s="110">
        <f t="shared" si="179"/>
        <v>962</v>
      </c>
      <c r="J121" s="110">
        <f t="shared" si="179"/>
        <v>1267</v>
      </c>
      <c r="K121" s="110">
        <f t="shared" si="179"/>
        <v>1188</v>
      </c>
      <c r="L121" s="110">
        <f t="shared" ref="L121" si="180">SUM(L122:L126)</f>
        <v>1657</v>
      </c>
      <c r="M121" s="110">
        <f t="shared" ref="M121:V121" si="181">SUM(M122:M126)</f>
        <v>1630</v>
      </c>
      <c r="N121" s="110">
        <f t="shared" si="181"/>
        <v>1518</v>
      </c>
      <c r="O121" s="110">
        <f t="shared" si="181"/>
        <v>3365</v>
      </c>
      <c r="P121" s="110">
        <f t="shared" si="181"/>
        <v>1638</v>
      </c>
      <c r="Q121" s="110">
        <f t="shared" si="181"/>
        <v>1498</v>
      </c>
      <c r="R121" s="110">
        <f t="shared" si="181"/>
        <v>1382</v>
      </c>
      <c r="S121" s="110">
        <f t="shared" si="181"/>
        <v>1508</v>
      </c>
      <c r="T121" s="110">
        <f t="shared" si="181"/>
        <v>1057</v>
      </c>
      <c r="U121" s="110">
        <f t="shared" si="181"/>
        <v>3211</v>
      </c>
      <c r="V121" s="110">
        <f t="shared" si="181"/>
        <v>1699</v>
      </c>
      <c r="W121" s="110">
        <f t="shared" ref="W121:Y121" si="182">SUM(W122:W126)</f>
        <v>1218</v>
      </c>
      <c r="X121" s="110">
        <f t="shared" si="182"/>
        <v>1266</v>
      </c>
      <c r="Y121" s="110">
        <f t="shared" si="182"/>
        <v>1397</v>
      </c>
      <c r="DA121" s="176" t="s">
        <v>536</v>
      </c>
    </row>
    <row r="122" spans="1:105" ht="11.45" customHeight="1" x14ac:dyDescent="0.25">
      <c r="A122" s="111" t="s">
        <v>110</v>
      </c>
      <c r="B122" s="102">
        <v>9</v>
      </c>
      <c r="C122" s="102">
        <v>4</v>
      </c>
      <c r="D122" s="102">
        <v>2</v>
      </c>
      <c r="E122" s="102">
        <v>3</v>
      </c>
      <c r="F122" s="102">
        <v>0</v>
      </c>
      <c r="G122" s="102">
        <v>0</v>
      </c>
      <c r="H122" s="102">
        <v>7</v>
      </c>
      <c r="I122" s="102">
        <v>1</v>
      </c>
      <c r="J122" s="102">
        <v>3</v>
      </c>
      <c r="K122" s="102">
        <v>6</v>
      </c>
      <c r="L122" s="102">
        <v>0</v>
      </c>
      <c r="M122" s="102">
        <v>27</v>
      </c>
      <c r="N122" s="102">
        <v>0</v>
      </c>
      <c r="O122" s="102">
        <v>4</v>
      </c>
      <c r="P122" s="102">
        <v>2</v>
      </c>
      <c r="Q122" s="102">
        <v>0</v>
      </c>
      <c r="R122" s="102">
        <v>7</v>
      </c>
      <c r="S122" s="102">
        <v>2</v>
      </c>
      <c r="T122" s="102">
        <v>2</v>
      </c>
      <c r="U122" s="102">
        <v>1</v>
      </c>
      <c r="V122" s="102">
        <v>2</v>
      </c>
      <c r="W122" s="102">
        <v>0</v>
      </c>
      <c r="X122" s="102">
        <v>1</v>
      </c>
      <c r="Y122" s="102">
        <v>1</v>
      </c>
      <c r="DA122" s="175" t="s">
        <v>537</v>
      </c>
    </row>
    <row r="123" spans="1:105" ht="11.45" customHeight="1" x14ac:dyDescent="0.25">
      <c r="A123" s="111" t="s">
        <v>111</v>
      </c>
      <c r="B123" s="102">
        <v>1449</v>
      </c>
      <c r="C123" s="102">
        <v>1140</v>
      </c>
      <c r="D123" s="102">
        <v>1235</v>
      </c>
      <c r="E123" s="102">
        <v>1174</v>
      </c>
      <c r="F123" s="102">
        <v>1072</v>
      </c>
      <c r="G123" s="102">
        <v>1085</v>
      </c>
      <c r="H123" s="102">
        <v>1212</v>
      </c>
      <c r="I123" s="102">
        <v>869</v>
      </c>
      <c r="J123" s="102">
        <v>1043</v>
      </c>
      <c r="K123" s="102">
        <v>894</v>
      </c>
      <c r="L123" s="102">
        <v>1289</v>
      </c>
      <c r="M123" s="102">
        <v>1226</v>
      </c>
      <c r="N123" s="102">
        <v>1204</v>
      </c>
      <c r="O123" s="102">
        <v>899</v>
      </c>
      <c r="P123" s="102">
        <v>864</v>
      </c>
      <c r="Q123" s="102">
        <v>888</v>
      </c>
      <c r="R123" s="102">
        <v>1290</v>
      </c>
      <c r="S123" s="102">
        <v>892</v>
      </c>
      <c r="T123" s="102">
        <v>858</v>
      </c>
      <c r="U123" s="102">
        <v>2756</v>
      </c>
      <c r="V123" s="102">
        <v>1029</v>
      </c>
      <c r="W123" s="102">
        <v>860</v>
      </c>
      <c r="X123" s="102">
        <v>910</v>
      </c>
      <c r="Y123" s="102">
        <v>937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35</v>
      </c>
      <c r="D125" s="102">
        <v>1</v>
      </c>
      <c r="E125" s="102">
        <v>0</v>
      </c>
      <c r="F125" s="102">
        <v>46</v>
      </c>
      <c r="G125" s="102">
        <v>502</v>
      </c>
      <c r="H125" s="102">
        <v>142</v>
      </c>
      <c r="I125" s="102">
        <v>92</v>
      </c>
      <c r="J125" s="102">
        <v>221</v>
      </c>
      <c r="K125" s="102">
        <v>288</v>
      </c>
      <c r="L125" s="102">
        <v>368</v>
      </c>
      <c r="M125" s="102">
        <v>377</v>
      </c>
      <c r="N125" s="102">
        <v>312</v>
      </c>
      <c r="O125" s="102">
        <v>2460</v>
      </c>
      <c r="P125" s="102">
        <v>768</v>
      </c>
      <c r="Q125" s="102">
        <v>600</v>
      </c>
      <c r="R125" s="102">
        <v>66</v>
      </c>
      <c r="S125" s="102">
        <v>598</v>
      </c>
      <c r="T125" s="102">
        <v>150</v>
      </c>
      <c r="U125" s="102">
        <v>284</v>
      </c>
      <c r="V125" s="102">
        <v>463</v>
      </c>
      <c r="W125" s="102">
        <v>166</v>
      </c>
      <c r="X125" s="102">
        <v>94</v>
      </c>
      <c r="Y125" s="102">
        <v>146</v>
      </c>
      <c r="DA125" s="175" t="s">
        <v>540</v>
      </c>
    </row>
    <row r="126" spans="1:105" ht="11.45" customHeight="1" x14ac:dyDescent="0.25">
      <c r="A126" s="111" t="s">
        <v>115</v>
      </c>
      <c r="B126" s="102">
        <v>5</v>
      </c>
      <c r="C126" s="102">
        <v>0</v>
      </c>
      <c r="D126" s="102">
        <v>0</v>
      </c>
      <c r="E126" s="102">
        <v>6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2</v>
      </c>
      <c r="O126" s="102">
        <v>2</v>
      </c>
      <c r="P126" s="102">
        <v>4</v>
      </c>
      <c r="Q126" s="102">
        <v>10</v>
      </c>
      <c r="R126" s="102">
        <v>19</v>
      </c>
      <c r="S126" s="102">
        <v>16</v>
      </c>
      <c r="T126" s="102">
        <v>47</v>
      </c>
      <c r="U126" s="102">
        <v>170</v>
      </c>
      <c r="V126" s="102">
        <v>205</v>
      </c>
      <c r="W126" s="102">
        <v>192</v>
      </c>
      <c r="X126" s="102">
        <v>261</v>
      </c>
      <c r="Y126" s="102">
        <v>313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37933</v>
      </c>
      <c r="C127" s="28">
        <f t="shared" si="183"/>
        <v>43381</v>
      </c>
      <c r="D127" s="28">
        <f t="shared" si="183"/>
        <v>38789</v>
      </c>
      <c r="E127" s="28">
        <f t="shared" si="183"/>
        <v>38878</v>
      </c>
      <c r="F127" s="28">
        <f t="shared" si="183"/>
        <v>44988</v>
      </c>
      <c r="G127" s="28">
        <f t="shared" si="183"/>
        <v>48619</v>
      </c>
      <c r="H127" s="28">
        <f t="shared" si="183"/>
        <v>50350</v>
      </c>
      <c r="I127" s="28">
        <f t="shared" si="183"/>
        <v>55416</v>
      </c>
      <c r="J127" s="28">
        <f t="shared" si="183"/>
        <v>46010</v>
      </c>
      <c r="K127" s="28">
        <f t="shared" si="183"/>
        <v>33534</v>
      </c>
      <c r="L127" s="28">
        <f t="shared" ref="L127" si="184">L128+L134</f>
        <v>35698</v>
      </c>
      <c r="M127" s="28">
        <f t="shared" ref="M127:V127" si="185">M128+M134</f>
        <v>64289</v>
      </c>
      <c r="N127" s="28">
        <f t="shared" si="185"/>
        <v>40145</v>
      </c>
      <c r="O127" s="28">
        <f t="shared" si="185"/>
        <v>47708</v>
      </c>
      <c r="P127" s="28">
        <f t="shared" si="185"/>
        <v>48422</v>
      </c>
      <c r="Q127" s="28">
        <f t="shared" si="185"/>
        <v>52516</v>
      </c>
      <c r="R127" s="28">
        <f t="shared" si="185"/>
        <v>62016</v>
      </c>
      <c r="S127" s="28">
        <f t="shared" si="185"/>
        <v>65467</v>
      </c>
      <c r="T127" s="28">
        <f t="shared" si="185"/>
        <v>70566</v>
      </c>
      <c r="U127" s="28">
        <f t="shared" si="185"/>
        <v>65434</v>
      </c>
      <c r="V127" s="28">
        <f t="shared" si="185"/>
        <v>41595</v>
      </c>
      <c r="W127" s="28">
        <f t="shared" ref="W127:Y127" si="186">W128+W134</f>
        <v>46919</v>
      </c>
      <c r="X127" s="28">
        <f t="shared" si="186"/>
        <v>45130</v>
      </c>
      <c r="Y127" s="28">
        <f t="shared" si="186"/>
        <v>61743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32247</v>
      </c>
      <c r="C128" s="137">
        <f t="shared" si="187"/>
        <v>37954</v>
      </c>
      <c r="D128" s="137">
        <f t="shared" si="187"/>
        <v>33785</v>
      </c>
      <c r="E128" s="137">
        <f t="shared" si="187"/>
        <v>34087</v>
      </c>
      <c r="F128" s="137">
        <f t="shared" si="187"/>
        <v>38910</v>
      </c>
      <c r="G128" s="137">
        <f t="shared" si="187"/>
        <v>41869</v>
      </c>
      <c r="H128" s="137">
        <f t="shared" si="187"/>
        <v>40419</v>
      </c>
      <c r="I128" s="137">
        <f t="shared" si="187"/>
        <v>46210</v>
      </c>
      <c r="J128" s="137">
        <f t="shared" si="187"/>
        <v>39542</v>
      </c>
      <c r="K128" s="137">
        <f t="shared" si="187"/>
        <v>27502</v>
      </c>
      <c r="L128" s="137">
        <f t="shared" ref="L128" si="188">SUM(L129:L133)</f>
        <v>26907</v>
      </c>
      <c r="M128" s="137">
        <f t="shared" ref="M128:V128" si="189">SUM(M129:M133)</f>
        <v>53795</v>
      </c>
      <c r="N128" s="137">
        <f t="shared" si="189"/>
        <v>32512</v>
      </c>
      <c r="O128" s="137">
        <f t="shared" si="189"/>
        <v>41465</v>
      </c>
      <c r="P128" s="137">
        <f t="shared" si="189"/>
        <v>43456</v>
      </c>
      <c r="Q128" s="137">
        <f t="shared" si="189"/>
        <v>45835</v>
      </c>
      <c r="R128" s="137">
        <f t="shared" si="189"/>
        <v>53227</v>
      </c>
      <c r="S128" s="137">
        <f t="shared" si="189"/>
        <v>57178</v>
      </c>
      <c r="T128" s="137">
        <f t="shared" si="189"/>
        <v>62595</v>
      </c>
      <c r="U128" s="137">
        <f t="shared" si="189"/>
        <v>58835</v>
      </c>
      <c r="V128" s="137">
        <f t="shared" si="189"/>
        <v>34158</v>
      </c>
      <c r="W128" s="137">
        <f t="shared" ref="W128:Y128" si="190">SUM(W129:W133)</f>
        <v>37729</v>
      </c>
      <c r="X128" s="137">
        <f t="shared" si="190"/>
        <v>37986</v>
      </c>
      <c r="Y128" s="137">
        <f t="shared" si="190"/>
        <v>54313</v>
      </c>
      <c r="DA128" s="174" t="s">
        <v>543</v>
      </c>
    </row>
    <row r="129" spans="1:105" ht="11.45" customHeight="1" x14ac:dyDescent="0.25">
      <c r="A129" s="111" t="s">
        <v>110</v>
      </c>
      <c r="B129" s="84">
        <v>8946</v>
      </c>
      <c r="C129" s="84">
        <v>7404</v>
      </c>
      <c r="D129" s="84">
        <v>6275</v>
      </c>
      <c r="E129" s="84">
        <v>5330</v>
      </c>
      <c r="F129" s="84">
        <v>4568</v>
      </c>
      <c r="G129" s="84">
        <v>4609</v>
      </c>
      <c r="H129" s="84">
        <v>4442</v>
      </c>
      <c r="I129" s="84">
        <v>4177</v>
      </c>
      <c r="J129" s="84">
        <v>2928</v>
      </c>
      <c r="K129" s="84">
        <v>2413</v>
      </c>
      <c r="L129" s="84">
        <v>2248</v>
      </c>
      <c r="M129" s="84">
        <v>2183</v>
      </c>
      <c r="N129" s="84">
        <v>1680</v>
      </c>
      <c r="O129" s="84">
        <v>1110</v>
      </c>
      <c r="P129" s="84">
        <v>1535</v>
      </c>
      <c r="Q129" s="84">
        <v>1242</v>
      </c>
      <c r="R129" s="84">
        <v>1430</v>
      </c>
      <c r="S129" s="84">
        <v>1504</v>
      </c>
      <c r="T129" s="84">
        <v>3440</v>
      </c>
      <c r="U129" s="84">
        <v>4868</v>
      </c>
      <c r="V129" s="84">
        <v>3355</v>
      </c>
      <c r="W129" s="84">
        <v>2274</v>
      </c>
      <c r="X129" s="84">
        <v>4400</v>
      </c>
      <c r="Y129" s="84">
        <v>4178</v>
      </c>
      <c r="DA129" s="171" t="s">
        <v>544</v>
      </c>
    </row>
    <row r="130" spans="1:105" ht="11.45" customHeight="1" x14ac:dyDescent="0.25">
      <c r="A130" s="111" t="s">
        <v>111</v>
      </c>
      <c r="B130" s="84">
        <v>23301</v>
      </c>
      <c r="C130" s="84">
        <v>30547</v>
      </c>
      <c r="D130" s="84">
        <v>27496</v>
      </c>
      <c r="E130" s="84">
        <v>28729</v>
      </c>
      <c r="F130" s="84">
        <v>34317</v>
      </c>
      <c r="G130" s="84">
        <v>37176</v>
      </c>
      <c r="H130" s="84">
        <v>35542</v>
      </c>
      <c r="I130" s="84">
        <v>41586</v>
      </c>
      <c r="J130" s="84">
        <v>35688</v>
      </c>
      <c r="K130" s="84">
        <v>24048</v>
      </c>
      <c r="L130" s="84">
        <v>23571</v>
      </c>
      <c r="M130" s="84">
        <v>50687</v>
      </c>
      <c r="N130" s="84">
        <v>29845</v>
      </c>
      <c r="O130" s="84">
        <v>39534</v>
      </c>
      <c r="P130" s="84">
        <v>40918</v>
      </c>
      <c r="Q130" s="84">
        <v>43429</v>
      </c>
      <c r="R130" s="84">
        <v>50921</v>
      </c>
      <c r="S130" s="84">
        <v>54199</v>
      </c>
      <c r="T130" s="84">
        <v>54584</v>
      </c>
      <c r="U130" s="84">
        <v>51492</v>
      </c>
      <c r="V130" s="84">
        <v>28144</v>
      </c>
      <c r="W130" s="84">
        <v>32304</v>
      </c>
      <c r="X130" s="84">
        <v>28455</v>
      </c>
      <c r="Y130" s="84">
        <v>37809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X131" s="84">
        <v>0</v>
      </c>
      <c r="Y131" s="84">
        <v>0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3</v>
      </c>
      <c r="D132" s="84">
        <v>14</v>
      </c>
      <c r="E132" s="84">
        <v>28</v>
      </c>
      <c r="F132" s="84">
        <v>25</v>
      </c>
      <c r="G132" s="84">
        <v>82</v>
      </c>
      <c r="H132" s="84">
        <v>230</v>
      </c>
      <c r="I132" s="84">
        <v>447</v>
      </c>
      <c r="J132" s="84">
        <v>926</v>
      </c>
      <c r="K132" s="84">
        <v>1038</v>
      </c>
      <c r="L132" s="84">
        <v>1088</v>
      </c>
      <c r="M132" s="84">
        <v>916</v>
      </c>
      <c r="N132" s="84">
        <v>721</v>
      </c>
      <c r="O132" s="84">
        <v>613</v>
      </c>
      <c r="P132" s="84">
        <v>715</v>
      </c>
      <c r="Q132" s="84">
        <v>711</v>
      </c>
      <c r="R132" s="84">
        <v>560</v>
      </c>
      <c r="S132" s="84">
        <v>1000</v>
      </c>
      <c r="T132" s="84">
        <v>3704</v>
      </c>
      <c r="U132" s="84">
        <v>1076</v>
      </c>
      <c r="V132" s="84">
        <v>691</v>
      </c>
      <c r="W132" s="84">
        <v>439</v>
      </c>
      <c r="X132" s="84">
        <v>140</v>
      </c>
      <c r="Y132" s="84">
        <v>255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2</v>
      </c>
      <c r="H133" s="84">
        <v>205</v>
      </c>
      <c r="I133" s="84">
        <v>0</v>
      </c>
      <c r="J133" s="84">
        <v>0</v>
      </c>
      <c r="K133" s="84">
        <v>3</v>
      </c>
      <c r="L133" s="84">
        <v>0</v>
      </c>
      <c r="M133" s="84">
        <v>9</v>
      </c>
      <c r="N133" s="84">
        <v>266</v>
      </c>
      <c r="O133" s="84">
        <v>208</v>
      </c>
      <c r="P133" s="84">
        <v>288</v>
      </c>
      <c r="Q133" s="84">
        <v>453</v>
      </c>
      <c r="R133" s="84">
        <v>316</v>
      </c>
      <c r="S133" s="84">
        <v>475</v>
      </c>
      <c r="T133" s="84">
        <v>867</v>
      </c>
      <c r="U133" s="84">
        <v>1399</v>
      </c>
      <c r="V133" s="84">
        <v>1968</v>
      </c>
      <c r="W133" s="84">
        <v>2712</v>
      </c>
      <c r="X133" s="84">
        <v>4991</v>
      </c>
      <c r="Y133" s="84">
        <v>12071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5686</v>
      </c>
      <c r="C134" s="110">
        <f t="shared" si="191"/>
        <v>5427</v>
      </c>
      <c r="D134" s="110">
        <f t="shared" si="191"/>
        <v>5004</v>
      </c>
      <c r="E134" s="110">
        <f t="shared" si="191"/>
        <v>4791</v>
      </c>
      <c r="F134" s="110">
        <f t="shared" si="191"/>
        <v>6078</v>
      </c>
      <c r="G134" s="110">
        <f t="shared" si="191"/>
        <v>6750</v>
      </c>
      <c r="H134" s="110">
        <f t="shared" si="191"/>
        <v>9931</v>
      </c>
      <c r="I134" s="110">
        <f t="shared" si="191"/>
        <v>9206</v>
      </c>
      <c r="J134" s="110">
        <f t="shared" si="191"/>
        <v>6468</v>
      </c>
      <c r="K134" s="110">
        <f t="shared" si="191"/>
        <v>6032</v>
      </c>
      <c r="L134" s="110">
        <f t="shared" ref="L134" si="192">SUM(L135:L136)</f>
        <v>8791</v>
      </c>
      <c r="M134" s="110">
        <f t="shared" ref="M134:V134" si="193">SUM(M135:M136)</f>
        <v>10494</v>
      </c>
      <c r="N134" s="110">
        <f t="shared" si="193"/>
        <v>7633</v>
      </c>
      <c r="O134" s="110">
        <f t="shared" si="193"/>
        <v>6243</v>
      </c>
      <c r="P134" s="110">
        <f t="shared" si="193"/>
        <v>4966</v>
      </c>
      <c r="Q134" s="110">
        <f t="shared" si="193"/>
        <v>6681</v>
      </c>
      <c r="R134" s="110">
        <f t="shared" si="193"/>
        <v>8789</v>
      </c>
      <c r="S134" s="110">
        <f t="shared" si="193"/>
        <v>8289</v>
      </c>
      <c r="T134" s="110">
        <f t="shared" si="193"/>
        <v>7971</v>
      </c>
      <c r="U134" s="110">
        <f t="shared" si="193"/>
        <v>6599</v>
      </c>
      <c r="V134" s="110">
        <f t="shared" si="193"/>
        <v>7437</v>
      </c>
      <c r="W134" s="110">
        <f t="shared" ref="W134:Y134" si="194">SUM(W135:W136)</f>
        <v>9190</v>
      </c>
      <c r="X134" s="110">
        <f t="shared" si="194"/>
        <v>7144</v>
      </c>
      <c r="Y134" s="110">
        <f t="shared" si="194"/>
        <v>7430</v>
      </c>
      <c r="DA134" s="176" t="s">
        <v>549</v>
      </c>
    </row>
    <row r="135" spans="1:105" ht="11.45" customHeight="1" x14ac:dyDescent="0.25">
      <c r="A135" s="128" t="s">
        <v>27</v>
      </c>
      <c r="B135" s="102">
        <v>5065</v>
      </c>
      <c r="C135" s="102">
        <v>4709</v>
      </c>
      <c r="D135" s="102">
        <v>4328</v>
      </c>
      <c r="E135" s="102">
        <v>4248</v>
      </c>
      <c r="F135" s="102">
        <v>4329</v>
      </c>
      <c r="G135" s="102">
        <v>5942</v>
      </c>
      <c r="H135" s="102">
        <v>8662</v>
      </c>
      <c r="I135" s="102">
        <v>8403</v>
      </c>
      <c r="J135" s="102">
        <v>6148</v>
      </c>
      <c r="K135" s="102">
        <v>6032</v>
      </c>
      <c r="L135" s="102">
        <v>7550</v>
      </c>
      <c r="M135" s="102">
        <v>10026</v>
      </c>
      <c r="N135" s="102">
        <v>7205</v>
      </c>
      <c r="O135" s="102">
        <v>4553</v>
      </c>
      <c r="P135" s="102">
        <v>4758</v>
      </c>
      <c r="Q135" s="102">
        <v>4858</v>
      </c>
      <c r="R135" s="102">
        <v>7474</v>
      </c>
      <c r="S135" s="102">
        <v>7707</v>
      </c>
      <c r="T135" s="102">
        <v>7076</v>
      </c>
      <c r="U135" s="102">
        <v>6420</v>
      </c>
      <c r="V135" s="102">
        <v>6328</v>
      </c>
      <c r="W135" s="102">
        <v>7452</v>
      </c>
      <c r="X135" s="102">
        <v>7144</v>
      </c>
      <c r="Y135" s="102">
        <v>6693</v>
      </c>
      <c r="DA135" s="175" t="s">
        <v>550</v>
      </c>
    </row>
    <row r="136" spans="1:105" ht="11.45" customHeight="1" x14ac:dyDescent="0.25">
      <c r="A136" s="138" t="s">
        <v>116</v>
      </c>
      <c r="B136" s="86">
        <v>621</v>
      </c>
      <c r="C136" s="86">
        <v>718</v>
      </c>
      <c r="D136" s="86">
        <v>676</v>
      </c>
      <c r="E136" s="86">
        <v>543</v>
      </c>
      <c r="F136" s="86">
        <v>1749</v>
      </c>
      <c r="G136" s="86">
        <v>808</v>
      </c>
      <c r="H136" s="86">
        <v>1269</v>
      </c>
      <c r="I136" s="86">
        <v>803</v>
      </c>
      <c r="J136" s="86">
        <v>320</v>
      </c>
      <c r="K136" s="86">
        <v>0</v>
      </c>
      <c r="L136" s="86">
        <v>1241</v>
      </c>
      <c r="M136" s="86">
        <v>468</v>
      </c>
      <c r="N136" s="86">
        <v>428</v>
      </c>
      <c r="O136" s="86">
        <v>1690</v>
      </c>
      <c r="P136" s="86">
        <v>208</v>
      </c>
      <c r="Q136" s="86">
        <v>1823</v>
      </c>
      <c r="R136" s="86">
        <v>1315</v>
      </c>
      <c r="S136" s="86">
        <v>582</v>
      </c>
      <c r="T136" s="86">
        <v>895</v>
      </c>
      <c r="U136" s="86">
        <v>179</v>
      </c>
      <c r="V136" s="86">
        <v>1109</v>
      </c>
      <c r="W136" s="86">
        <v>1738</v>
      </c>
      <c r="X136" s="86">
        <v>0</v>
      </c>
      <c r="Y136" s="86">
        <v>737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2.4502439595746139</v>
      </c>
      <c r="C141" s="32">
        <f t="shared" si="195"/>
        <v>2.4374895937654091</v>
      </c>
      <c r="D141" s="32">
        <f t="shared" si="195"/>
        <v>2.3712592468685822</v>
      </c>
      <c r="E141" s="32">
        <f t="shared" si="195"/>
        <v>2.3457524346227219</v>
      </c>
      <c r="F141" s="32">
        <f t="shared" si="195"/>
        <v>2.33950082625846</v>
      </c>
      <c r="G141" s="32">
        <f t="shared" si="195"/>
        <v>2.385861462004649</v>
      </c>
      <c r="H141" s="32">
        <f t="shared" si="195"/>
        <v>2.3619257902783422</v>
      </c>
      <c r="I141" s="32">
        <f t="shared" si="195"/>
        <v>2.3128603147658509</v>
      </c>
      <c r="J141" s="32">
        <f t="shared" si="195"/>
        <v>2.2961932906188278</v>
      </c>
      <c r="K141" s="32">
        <f t="shared" si="195"/>
        <v>2.2252463690305881</v>
      </c>
      <c r="L141" s="32">
        <f t="shared" ref="L141" si="196">IF(L4=0,0,L4/L31)</f>
        <v>2.1542664933875484</v>
      </c>
      <c r="M141" s="32">
        <f t="shared" ref="M141:V141" si="197">IF(M4=0,0,M4/M31)</f>
        <v>2.1039581613236038</v>
      </c>
      <c r="N141" s="32">
        <f t="shared" si="197"/>
        <v>2.0500982795159493</v>
      </c>
      <c r="O141" s="32">
        <f t="shared" si="197"/>
        <v>1.9955788367300993</v>
      </c>
      <c r="P141" s="32">
        <f t="shared" si="197"/>
        <v>1.9340734363233134</v>
      </c>
      <c r="Q141" s="32">
        <f t="shared" si="197"/>
        <v>1.8410572460114667</v>
      </c>
      <c r="R141" s="32">
        <f t="shared" si="197"/>
        <v>1.5012702232584216</v>
      </c>
      <c r="S141" s="32">
        <f t="shared" si="197"/>
        <v>1.4777816614938371</v>
      </c>
      <c r="T141" s="32">
        <f t="shared" si="197"/>
        <v>1.4662146963531761</v>
      </c>
      <c r="U141" s="32">
        <f t="shared" si="197"/>
        <v>1.4587337034600349</v>
      </c>
      <c r="V141" s="32">
        <f t="shared" si="197"/>
        <v>1.4497749744326334</v>
      </c>
      <c r="W141" s="32">
        <f t="shared" ref="W141:Y141" si="198">IF(W4=0,0,W4/W31)</f>
        <v>1.3888069440408086</v>
      </c>
      <c r="X141" s="32">
        <f t="shared" si="198"/>
        <v>1.5132243764177313</v>
      </c>
      <c r="Y141" s="32">
        <f t="shared" si="198"/>
        <v>1.5647399870587275</v>
      </c>
      <c r="DA141" s="173" t="s">
        <v>552</v>
      </c>
    </row>
    <row r="142" spans="1:105" ht="11.45" customHeight="1" x14ac:dyDescent="0.25">
      <c r="A142" s="136" t="s">
        <v>173</v>
      </c>
      <c r="B142" s="141">
        <v>1.1047321699430752</v>
      </c>
      <c r="C142" s="141">
        <v>1.1047109809282731</v>
      </c>
      <c r="D142" s="141">
        <v>1.1045190228750539</v>
      </c>
      <c r="E142" s="141">
        <v>1.1049828872133487</v>
      </c>
      <c r="F142" s="141">
        <v>1.1051308645358426</v>
      </c>
      <c r="G142" s="141">
        <v>1.1041301391394238</v>
      </c>
      <c r="H142" s="141">
        <v>1.1044381305743085</v>
      </c>
      <c r="I142" s="141">
        <v>1.10621082892623</v>
      </c>
      <c r="J142" s="141">
        <v>1.10679300101996</v>
      </c>
      <c r="K142" s="141">
        <v>1.1073241407688714</v>
      </c>
      <c r="L142" s="141">
        <v>1.1054217673643152</v>
      </c>
      <c r="M142" s="141">
        <v>1.1044534154591701</v>
      </c>
      <c r="N142" s="141">
        <v>1.0976369526338645</v>
      </c>
      <c r="O142" s="141">
        <v>1.0970722866905214</v>
      </c>
      <c r="P142" s="141">
        <v>1.0994543351777026</v>
      </c>
      <c r="Q142" s="141">
        <v>1.101354549476496</v>
      </c>
      <c r="R142" s="141">
        <v>1.1019615615203104</v>
      </c>
      <c r="S142" s="141">
        <v>1.1013900971176827</v>
      </c>
      <c r="T142" s="141">
        <v>1.1008852208818436</v>
      </c>
      <c r="U142" s="141">
        <v>1.1015768319777537</v>
      </c>
      <c r="V142" s="141">
        <v>1.1003515939287911</v>
      </c>
      <c r="W142" s="141">
        <v>1.100781651891819</v>
      </c>
      <c r="X142" s="141">
        <v>1.1007230138357749</v>
      </c>
      <c r="Y142" s="141">
        <v>1.1019834111230185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2.309393282960615</v>
      </c>
      <c r="C143" s="130">
        <f t="shared" si="199"/>
        <v>2.2986333894157318</v>
      </c>
      <c r="D143" s="130">
        <f t="shared" si="199"/>
        <v>2.2364669790852969</v>
      </c>
      <c r="E143" s="130">
        <f t="shared" si="199"/>
        <v>2.2125161388528984</v>
      </c>
      <c r="F143" s="130">
        <f t="shared" si="199"/>
        <v>2.2088447876419282</v>
      </c>
      <c r="G143" s="130">
        <f t="shared" si="199"/>
        <v>2.2536370819031339</v>
      </c>
      <c r="H143" s="130">
        <f t="shared" si="199"/>
        <v>2.2302993311554373</v>
      </c>
      <c r="I143" s="130">
        <f t="shared" si="199"/>
        <v>2.1843794160488628</v>
      </c>
      <c r="J143" s="130">
        <f t="shared" si="199"/>
        <v>2.1711556417639968</v>
      </c>
      <c r="K143" s="130">
        <f t="shared" si="199"/>
        <v>2.1002457633312543</v>
      </c>
      <c r="L143" s="130">
        <f t="shared" ref="L143" si="200">IF(L6=0,0,L6/L33)</f>
        <v>2.0290299077492837</v>
      </c>
      <c r="M143" s="130">
        <f t="shared" ref="M143:V143" si="201">IF(M6=0,0,M6/M33)</f>
        <v>1.9770831951789167</v>
      </c>
      <c r="N143" s="130">
        <f t="shared" si="201"/>
        <v>1.9261810429335189</v>
      </c>
      <c r="O143" s="130">
        <f t="shared" si="201"/>
        <v>1.8715984069555669</v>
      </c>
      <c r="P143" s="130">
        <f t="shared" si="201"/>
        <v>1.8145356181331729</v>
      </c>
      <c r="Q143" s="130">
        <f t="shared" si="201"/>
        <v>1.7250417006940917</v>
      </c>
      <c r="R143" s="130">
        <f t="shared" si="201"/>
        <v>1.3820530222052889</v>
      </c>
      <c r="S143" s="130">
        <f t="shared" si="201"/>
        <v>1.3602597033954493</v>
      </c>
      <c r="T143" s="130">
        <f t="shared" si="201"/>
        <v>1.3502352057990941</v>
      </c>
      <c r="U143" s="130">
        <f t="shared" si="201"/>
        <v>1.3414578647215305</v>
      </c>
      <c r="V143" s="130">
        <f t="shared" si="201"/>
        <v>1.3390516368184768</v>
      </c>
      <c r="W143" s="130">
        <f t="shared" ref="W143:Y143" si="202">IF(W6=0,0,W6/W33)</f>
        <v>1.2819680544120124</v>
      </c>
      <c r="X143" s="130">
        <f t="shared" si="202"/>
        <v>1.3997821136209705</v>
      </c>
      <c r="Y143" s="130">
        <f t="shared" si="202"/>
        <v>1.4544736059794685</v>
      </c>
      <c r="DA143" s="176" t="s">
        <v>554</v>
      </c>
    </row>
    <row r="144" spans="1:105" ht="11.45" customHeight="1" x14ac:dyDescent="0.25">
      <c r="A144" s="111" t="s">
        <v>110</v>
      </c>
      <c r="B144" s="96">
        <v>2.2990096458825402</v>
      </c>
      <c r="C144" s="96">
        <v>2.288790029587314</v>
      </c>
      <c r="D144" s="96">
        <v>2.2269066234904669</v>
      </c>
      <c r="E144" s="96">
        <v>2.2028814169807327</v>
      </c>
      <c r="F144" s="96">
        <v>2.1989458838048015</v>
      </c>
      <c r="G144" s="96">
        <v>2.2427428600437214</v>
      </c>
      <c r="H144" s="96">
        <v>2.2177565025016288</v>
      </c>
      <c r="I144" s="96">
        <v>2.1686457111751754</v>
      </c>
      <c r="J144" s="96">
        <v>2.1527980937788733</v>
      </c>
      <c r="K144" s="96">
        <v>2.0795804235837458</v>
      </c>
      <c r="L144" s="96">
        <v>2.0049457696834709</v>
      </c>
      <c r="M144" s="96">
        <v>1.9487009009707963</v>
      </c>
      <c r="N144" s="96">
        <v>1.8941676202020814</v>
      </c>
      <c r="O144" s="96">
        <v>1.8373856306994172</v>
      </c>
      <c r="P144" s="96">
        <v>1.7786382924943935</v>
      </c>
      <c r="Q144" s="96">
        <v>1.6885408517117892</v>
      </c>
      <c r="R144" s="96">
        <v>1.3513637626828647</v>
      </c>
      <c r="S144" s="96">
        <v>1.3290881137534154</v>
      </c>
      <c r="T144" s="96">
        <v>1.3187821621809044</v>
      </c>
      <c r="U144" s="96">
        <v>1.3108040188248231</v>
      </c>
      <c r="V144" s="96">
        <v>1.310153252981912</v>
      </c>
      <c r="W144" s="96">
        <v>1.257124939315418</v>
      </c>
      <c r="X144" s="96">
        <v>1.3770517430367399</v>
      </c>
      <c r="Y144" s="96">
        <v>1.4345279913713966</v>
      </c>
      <c r="DA144" s="171" t="s">
        <v>555</v>
      </c>
    </row>
    <row r="145" spans="1:105" ht="11.45" customHeight="1" x14ac:dyDescent="0.25">
      <c r="A145" s="111" t="s">
        <v>111</v>
      </c>
      <c r="B145" s="96">
        <v>2.3969826431756349</v>
      </c>
      <c r="C145" s="96">
        <v>2.3863275148148491</v>
      </c>
      <c r="D145" s="96">
        <v>2.3218069284917751</v>
      </c>
      <c r="E145" s="96">
        <v>2.2967578804785691</v>
      </c>
      <c r="F145" s="96">
        <v>2.2926546333559461</v>
      </c>
      <c r="G145" s="96">
        <v>2.3383180310960516</v>
      </c>
      <c r="H145" s="96">
        <v>2.312266872306072</v>
      </c>
      <c r="I145" s="96">
        <v>2.2610632096276806</v>
      </c>
      <c r="J145" s="96">
        <v>2.2445402411822672</v>
      </c>
      <c r="K145" s="96">
        <v>2.1682023776392434</v>
      </c>
      <c r="L145" s="96">
        <v>2.0903871451982736</v>
      </c>
      <c r="M145" s="96">
        <v>2.0317453842498465</v>
      </c>
      <c r="N145" s="96">
        <v>1.974888151087671</v>
      </c>
      <c r="O145" s="96">
        <v>1.9156863797829577</v>
      </c>
      <c r="P145" s="96">
        <v>1.8544355058414719</v>
      </c>
      <c r="Q145" s="96">
        <v>1.7604985351387927</v>
      </c>
      <c r="R145" s="96">
        <v>1.4089525416166273</v>
      </c>
      <c r="S145" s="96">
        <v>1.385727609113629</v>
      </c>
      <c r="T145" s="96">
        <v>1.3749824662713788</v>
      </c>
      <c r="U145" s="96">
        <v>1.3666643319027203</v>
      </c>
      <c r="V145" s="96">
        <v>1.3659858334749206</v>
      </c>
      <c r="W145" s="96">
        <v>1.3106977020470654</v>
      </c>
      <c r="X145" s="96">
        <v>1.4357352230885176</v>
      </c>
      <c r="Y145" s="96">
        <v>1.4956608392771085</v>
      </c>
      <c r="DA145" s="171" t="s">
        <v>556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2.2412978601809619</v>
      </c>
      <c r="H146" s="96">
        <v>2.2180878894042659</v>
      </c>
      <c r="I146" s="96">
        <v>2.1724193972168977</v>
      </c>
      <c r="J146" s="96">
        <v>2.1592680263745447</v>
      </c>
      <c r="K146" s="96">
        <v>2.0887463971054765</v>
      </c>
      <c r="L146" s="96">
        <v>2.0179204659879266</v>
      </c>
      <c r="M146" s="96">
        <v>1.966258174546982</v>
      </c>
      <c r="N146" s="96">
        <v>1.9156347242042715</v>
      </c>
      <c r="O146" s="96">
        <v>1.8613509416898699</v>
      </c>
      <c r="P146" s="96">
        <v>1.8046005857827039</v>
      </c>
      <c r="Q146" s="96">
        <v>1.7155966697280216</v>
      </c>
      <c r="R146" s="96">
        <v>1.3744859392842053</v>
      </c>
      <c r="S146" s="96">
        <v>0</v>
      </c>
      <c r="T146" s="96">
        <v>0</v>
      </c>
      <c r="U146" s="96">
        <v>0</v>
      </c>
      <c r="V146" s="96">
        <v>0</v>
      </c>
      <c r="W146" s="96">
        <v>0</v>
      </c>
      <c r="X146" s="96">
        <v>0</v>
      </c>
      <c r="Y146" s="96">
        <v>0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2.1693729697127377</v>
      </c>
      <c r="E147" s="96">
        <v>2.1461406546873114</v>
      </c>
      <c r="F147" s="96">
        <v>2.1425794440126702</v>
      </c>
      <c r="G147" s="96">
        <v>2.1860279694460405</v>
      </c>
      <c r="H147" s="96">
        <v>2.1633903512207739</v>
      </c>
      <c r="I147" s="96">
        <v>2.1188480335673967</v>
      </c>
      <c r="J147" s="96">
        <v>2.106020972511077</v>
      </c>
      <c r="K147" s="96">
        <v>2.0372383904313165</v>
      </c>
      <c r="L147" s="96">
        <v>1.9681590105168052</v>
      </c>
      <c r="M147" s="96">
        <v>1.9177706993235495</v>
      </c>
      <c r="N147" s="96">
        <v>1.8683956116455132</v>
      </c>
      <c r="O147" s="96">
        <v>1.8154504547468999</v>
      </c>
      <c r="P147" s="96">
        <v>1.7600995495891776</v>
      </c>
      <c r="Q147" s="96">
        <v>1.6732904496732686</v>
      </c>
      <c r="R147" s="96">
        <v>1.3405914315391301</v>
      </c>
      <c r="S147" s="96">
        <v>1.3194519122935859</v>
      </c>
      <c r="T147" s="96">
        <v>1.3097281496251207</v>
      </c>
      <c r="U147" s="96">
        <v>1.3012141287798848</v>
      </c>
      <c r="V147" s="96">
        <v>1.2988800877139224</v>
      </c>
      <c r="W147" s="96">
        <v>1.2435090127796522</v>
      </c>
      <c r="X147" s="96">
        <v>1.3577886502123415</v>
      </c>
      <c r="Y147" s="96">
        <v>1.4108393978000844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2.106020972511077</v>
      </c>
      <c r="K148" s="96">
        <v>2.0372383904313165</v>
      </c>
      <c r="L148" s="96">
        <v>1.9681590105168054</v>
      </c>
      <c r="M148" s="96">
        <v>1.9177706993235493</v>
      </c>
      <c r="N148" s="96">
        <v>1.8683956116455132</v>
      </c>
      <c r="O148" s="96">
        <v>1.8154504547468999</v>
      </c>
      <c r="P148" s="96">
        <v>1.7600995495891778</v>
      </c>
      <c r="Q148" s="96">
        <v>1.6732904496732683</v>
      </c>
      <c r="R148" s="96">
        <v>1.3405914315391301</v>
      </c>
      <c r="S148" s="96">
        <v>1.3194519122935859</v>
      </c>
      <c r="T148" s="96">
        <v>1.3097281496251207</v>
      </c>
      <c r="U148" s="96">
        <v>1.3012141287798848</v>
      </c>
      <c r="V148" s="96">
        <v>1.2988800877139224</v>
      </c>
      <c r="W148" s="96">
        <v>1.2435090127796522</v>
      </c>
      <c r="X148" s="96">
        <v>1.3577886502123415</v>
      </c>
      <c r="Y148" s="96">
        <v>1.4108393978000844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1.9540400775875975</v>
      </c>
      <c r="K149" s="96">
        <v>1.8902211869981289</v>
      </c>
      <c r="L149" s="96">
        <v>1.8261269169743555</v>
      </c>
      <c r="M149" s="96">
        <v>1.779374875661025</v>
      </c>
      <c r="N149" s="96">
        <v>1.733562938640167</v>
      </c>
      <c r="O149" s="96">
        <v>1.6844385662600103</v>
      </c>
      <c r="P149" s="96">
        <v>1.6330820563198556</v>
      </c>
      <c r="Q149" s="96">
        <v>1.5525375306246822</v>
      </c>
      <c r="R149" s="96">
        <v>1.24384771998476</v>
      </c>
      <c r="S149" s="96">
        <v>1.2242337330559045</v>
      </c>
      <c r="T149" s="96">
        <v>1.2152116852191843</v>
      </c>
      <c r="U149" s="96">
        <v>1.2073120782493776</v>
      </c>
      <c r="V149" s="96">
        <v>1.2051464731366293</v>
      </c>
      <c r="W149" s="96">
        <v>1.1537712489708114</v>
      </c>
      <c r="X149" s="96">
        <v>1.2598039022588736</v>
      </c>
      <c r="Y149" s="96">
        <v>1.3090262453815218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9.7598353679509149</v>
      </c>
      <c r="C150" s="130">
        <f t="shared" si="203"/>
        <v>9.9740221173037256</v>
      </c>
      <c r="D150" s="130">
        <f t="shared" si="203"/>
        <v>10.038014267804025</v>
      </c>
      <c r="E150" s="130">
        <f t="shared" si="203"/>
        <v>10.214388012828772</v>
      </c>
      <c r="F150" s="130">
        <f t="shared" si="203"/>
        <v>10.450917289164643</v>
      </c>
      <c r="G150" s="130">
        <f t="shared" si="203"/>
        <v>10.563413046899198</v>
      </c>
      <c r="H150" s="130">
        <f t="shared" si="203"/>
        <v>10.701681897970685</v>
      </c>
      <c r="I150" s="130">
        <f t="shared" si="203"/>
        <v>10.972938741955709</v>
      </c>
      <c r="J150" s="130">
        <f t="shared" si="203"/>
        <v>10.759817830002939</v>
      </c>
      <c r="K150" s="130">
        <f t="shared" si="203"/>
        <v>10.843188553779234</v>
      </c>
      <c r="L150" s="130">
        <f t="shared" ref="L150" si="204">IF(L13=0,0,L13/L40)</f>
        <v>10.429851070777383</v>
      </c>
      <c r="M150" s="130">
        <f t="shared" ref="M150:V150" si="205">IF(M13=0,0,M13/M40)</f>
        <v>10.461480520672358</v>
      </c>
      <c r="N150" s="130">
        <f t="shared" si="205"/>
        <v>9.935665723909894</v>
      </c>
      <c r="O150" s="130">
        <f t="shared" si="205"/>
        <v>10.084520117897254</v>
      </c>
      <c r="P150" s="130">
        <f t="shared" si="205"/>
        <v>10.126376099474333</v>
      </c>
      <c r="Q150" s="130">
        <f t="shared" si="205"/>
        <v>10.096822339916924</v>
      </c>
      <c r="R150" s="130">
        <f t="shared" si="205"/>
        <v>10.046428794498025</v>
      </c>
      <c r="S150" s="130">
        <f t="shared" si="205"/>
        <v>10.032001913195217</v>
      </c>
      <c r="T150" s="130">
        <f t="shared" si="205"/>
        <v>9.9953178944225805</v>
      </c>
      <c r="U150" s="130">
        <f t="shared" si="205"/>
        <v>10.138342406592743</v>
      </c>
      <c r="V150" s="130">
        <f t="shared" si="205"/>
        <v>9.8947075398679534</v>
      </c>
      <c r="W150" s="130">
        <f t="shared" ref="W150:Y150" si="206">IF(W13=0,0,W13/W40)</f>
        <v>10.012395790287634</v>
      </c>
      <c r="X150" s="130">
        <f t="shared" si="206"/>
        <v>10.07904317522209</v>
      </c>
      <c r="Y150" s="130">
        <f t="shared" si="206"/>
        <v>10.115080109327158</v>
      </c>
      <c r="DA150" s="176" t="s">
        <v>561</v>
      </c>
    </row>
    <row r="151" spans="1:105" ht="11.45" customHeight="1" x14ac:dyDescent="0.25">
      <c r="A151" s="111" t="s">
        <v>110</v>
      </c>
      <c r="B151" s="97">
        <v>6.3753782833827275</v>
      </c>
      <c r="C151" s="97">
        <v>6.3836162352809129</v>
      </c>
      <c r="D151" s="97">
        <v>6.3860774718386164</v>
      </c>
      <c r="E151" s="97">
        <v>6.3928610774164909</v>
      </c>
      <c r="F151" s="97">
        <v>6.4019583572755625</v>
      </c>
      <c r="G151" s="97">
        <v>6.406285117188431</v>
      </c>
      <c r="H151" s="97">
        <v>6.411603149921949</v>
      </c>
      <c r="I151" s="97">
        <v>6.4220361054598349</v>
      </c>
      <c r="J151" s="97">
        <v>6.4138391473078054</v>
      </c>
      <c r="K151" s="97">
        <v>6.4170457136068935</v>
      </c>
      <c r="L151" s="97">
        <v>6.4011481181068222</v>
      </c>
      <c r="M151" s="97">
        <v>6.4023646354104757</v>
      </c>
      <c r="N151" s="97">
        <v>6.38214098938115</v>
      </c>
      <c r="O151" s="97">
        <v>6.387866158380664</v>
      </c>
      <c r="P151" s="97">
        <v>6.3894760038259362</v>
      </c>
      <c r="Q151" s="97">
        <v>6.3883393207660353</v>
      </c>
      <c r="R151" s="97">
        <v>6.386401107480693</v>
      </c>
      <c r="S151" s="97">
        <v>6.3858462274305854</v>
      </c>
      <c r="T151" s="97">
        <v>6.3844353036316388</v>
      </c>
      <c r="U151" s="97">
        <v>6.3899362464074132</v>
      </c>
      <c r="V151" s="97">
        <v>6.3805656746103061</v>
      </c>
      <c r="W151" s="97">
        <v>6.3850921457802938</v>
      </c>
      <c r="X151" s="97">
        <v>6.3876555067393115</v>
      </c>
      <c r="Y151" s="97">
        <v>6.3890415426664289</v>
      </c>
      <c r="DA151" s="175" t="s">
        <v>562</v>
      </c>
    </row>
    <row r="152" spans="1:105" ht="11.45" customHeight="1" x14ac:dyDescent="0.25">
      <c r="A152" s="111" t="s">
        <v>111</v>
      </c>
      <c r="B152" s="97">
        <v>9.8701553411602472</v>
      </c>
      <c r="C152" s="97">
        <v>10.072289970196232</v>
      </c>
      <c r="D152" s="97">
        <v>10.119471809691223</v>
      </c>
      <c r="E152" s="97">
        <v>10.282471651460449</v>
      </c>
      <c r="F152" s="97">
        <v>10.506802900041606</v>
      </c>
      <c r="G152" s="97">
        <v>10.604465706959973</v>
      </c>
      <c r="H152" s="97">
        <v>10.736844416558958</v>
      </c>
      <c r="I152" s="97">
        <v>11.004547179836694</v>
      </c>
      <c r="J152" s="97">
        <v>10.784749085606334</v>
      </c>
      <c r="K152" s="97">
        <v>10.866504538916754</v>
      </c>
      <c r="L152" s="97">
        <v>10.43816955717419</v>
      </c>
      <c r="M152" s="97">
        <v>10.476182263216995</v>
      </c>
      <c r="N152" s="97">
        <v>9.9460295085799437</v>
      </c>
      <c r="O152" s="97">
        <v>10.095263564692662</v>
      </c>
      <c r="P152" s="97">
        <v>10.136597002079348</v>
      </c>
      <c r="Q152" s="97">
        <v>10.106078512922029</v>
      </c>
      <c r="R152" s="97">
        <v>10.056528125055346</v>
      </c>
      <c r="S152" s="97">
        <v>10.041439430796268</v>
      </c>
      <c r="T152" s="97">
        <v>10.004464500420891</v>
      </c>
      <c r="U152" s="97">
        <v>10.146864328484993</v>
      </c>
      <c r="V152" s="97">
        <v>9.9032850750247565</v>
      </c>
      <c r="W152" s="97">
        <v>10.020652928190655</v>
      </c>
      <c r="X152" s="97">
        <v>10.086769838599041</v>
      </c>
      <c r="Y152" s="97">
        <v>10.122995642232848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564</v>
      </c>
    </row>
    <row r="154" spans="1:105" ht="11.45" customHeight="1" x14ac:dyDescent="0.25">
      <c r="A154" s="111" t="s">
        <v>113</v>
      </c>
      <c r="B154" s="97">
        <v>9.8701553411602472</v>
      </c>
      <c r="C154" s="97">
        <v>10.072289970196232</v>
      </c>
      <c r="D154" s="97">
        <v>10.119471809691225</v>
      </c>
      <c r="E154" s="97">
        <v>10.282471651460451</v>
      </c>
      <c r="F154" s="97">
        <v>10.506802900041606</v>
      </c>
      <c r="G154" s="97">
        <v>10.604465706959973</v>
      </c>
      <c r="H154" s="97">
        <v>10.736844416558958</v>
      </c>
      <c r="I154" s="97">
        <v>11.004547179836694</v>
      </c>
      <c r="J154" s="97">
        <v>10.784749085606334</v>
      </c>
      <c r="K154" s="97">
        <v>10.866504538916756</v>
      </c>
      <c r="L154" s="97">
        <v>10.43816955717419</v>
      </c>
      <c r="M154" s="97">
        <v>10.476182263216996</v>
      </c>
      <c r="N154" s="97">
        <v>9.9460295085799419</v>
      </c>
      <c r="O154" s="97">
        <v>10.095263564692662</v>
      </c>
      <c r="P154" s="97">
        <v>10.136597002079348</v>
      </c>
      <c r="Q154" s="97">
        <v>10.10607851292203</v>
      </c>
      <c r="R154" s="97">
        <v>10.056528125055349</v>
      </c>
      <c r="S154" s="97">
        <v>10.041439430796265</v>
      </c>
      <c r="T154" s="97">
        <v>10.004464500420893</v>
      </c>
      <c r="U154" s="97">
        <v>10.146864328484995</v>
      </c>
      <c r="V154" s="97">
        <v>9.9032850750247565</v>
      </c>
      <c r="W154" s="97">
        <v>10.020652928190657</v>
      </c>
      <c r="X154" s="97">
        <v>10.086769838599039</v>
      </c>
      <c r="Y154" s="97">
        <v>10.122995642232846</v>
      </c>
      <c r="DA154" s="175" t="s">
        <v>565</v>
      </c>
    </row>
    <row r="155" spans="1:105" ht="11.45" customHeight="1" x14ac:dyDescent="0.25">
      <c r="A155" s="111" t="s">
        <v>115</v>
      </c>
      <c r="B155" s="97">
        <v>9.8701553411602472</v>
      </c>
      <c r="C155" s="97">
        <v>10.072289970196234</v>
      </c>
      <c r="D155" s="97">
        <v>10.119471809691225</v>
      </c>
      <c r="E155" s="97">
        <v>10.282471651460451</v>
      </c>
      <c r="F155" s="97">
        <v>10.506802900041606</v>
      </c>
      <c r="G155" s="97">
        <v>10.604465706959973</v>
      </c>
      <c r="H155" s="97">
        <v>10.736844416558958</v>
      </c>
      <c r="I155" s="97">
        <v>11.004547179836694</v>
      </c>
      <c r="J155" s="97">
        <v>10.784749085606332</v>
      </c>
      <c r="K155" s="97">
        <v>10.866504538916756</v>
      </c>
      <c r="L155" s="97">
        <v>10.43816955717419</v>
      </c>
      <c r="M155" s="97">
        <v>10.476182263216995</v>
      </c>
      <c r="N155" s="97">
        <v>9.9460295085799419</v>
      </c>
      <c r="O155" s="97">
        <v>10.095263564692662</v>
      </c>
      <c r="P155" s="97">
        <v>10.136597002079348</v>
      </c>
      <c r="Q155" s="97">
        <v>10.10607851292203</v>
      </c>
      <c r="R155" s="97">
        <v>10.056528125055349</v>
      </c>
      <c r="S155" s="97">
        <v>10.041439430796265</v>
      </c>
      <c r="T155" s="97">
        <v>10.004464500420893</v>
      </c>
      <c r="U155" s="97">
        <v>10.146864328484995</v>
      </c>
      <c r="V155" s="97">
        <v>9.9032850750247565</v>
      </c>
      <c r="W155" s="97">
        <v>10.020652928190657</v>
      </c>
      <c r="X155" s="97">
        <v>10.086769838599039</v>
      </c>
      <c r="Y155" s="97">
        <v>10.122995642232848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6.2968525887231053</v>
      </c>
      <c r="C156" s="32">
        <f t="shared" si="207"/>
        <v>5.6172726065544101</v>
      </c>
      <c r="D156" s="32">
        <f t="shared" si="207"/>
        <v>5.6436922918361105</v>
      </c>
      <c r="E156" s="32">
        <f t="shared" si="207"/>
        <v>5.4152694802628991</v>
      </c>
      <c r="F156" s="32">
        <f t="shared" si="207"/>
        <v>5.3438661022002032</v>
      </c>
      <c r="G156" s="32">
        <f t="shared" si="207"/>
        <v>5.7381644896584207</v>
      </c>
      <c r="H156" s="32">
        <f t="shared" si="207"/>
        <v>5.6573021854362713</v>
      </c>
      <c r="I156" s="32">
        <f t="shared" si="207"/>
        <v>5.5442045874592205</v>
      </c>
      <c r="J156" s="32">
        <f t="shared" si="207"/>
        <v>5.5680974852471978</v>
      </c>
      <c r="K156" s="32">
        <f t="shared" si="207"/>
        <v>4.846496551866962</v>
      </c>
      <c r="L156" s="32">
        <f t="shared" ref="L156" si="208">IF(L19=0,0,L19/L46)</f>
        <v>4.7549861254794186</v>
      </c>
      <c r="M156" s="32">
        <f t="shared" ref="M156:V156" si="209">IF(M19=0,0,M19/M46)</f>
        <v>4.6991887942499453</v>
      </c>
      <c r="N156" s="32">
        <f t="shared" si="209"/>
        <v>4.3985044996738507</v>
      </c>
      <c r="O156" s="32">
        <f t="shared" si="209"/>
        <v>4.5105042862266806</v>
      </c>
      <c r="P156" s="32">
        <f t="shared" si="209"/>
        <v>4.9497295104452954</v>
      </c>
      <c r="Q156" s="32">
        <f t="shared" si="209"/>
        <v>4.777308251384083</v>
      </c>
      <c r="R156" s="32">
        <f t="shared" si="209"/>
        <v>4.8501852062098969</v>
      </c>
      <c r="S156" s="32">
        <f t="shared" si="209"/>
        <v>4.5476449262844989</v>
      </c>
      <c r="T156" s="32">
        <f t="shared" si="209"/>
        <v>4.7054617651752348</v>
      </c>
      <c r="U156" s="32">
        <f t="shared" si="209"/>
        <v>4.5500620149000284</v>
      </c>
      <c r="V156" s="32">
        <f t="shared" si="209"/>
        <v>4.5326084901471413</v>
      </c>
      <c r="W156" s="32">
        <f t="shared" ref="W156:Y156" si="210">IF(W19=0,0,W19/W46)</f>
        <v>4.760929707009959</v>
      </c>
      <c r="X156" s="32">
        <f t="shared" si="210"/>
        <v>4.8051439048030042</v>
      </c>
      <c r="Y156" s="32">
        <f t="shared" si="210"/>
        <v>4.4208386084203806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0.21757540685058008</v>
      </c>
      <c r="C157" s="141">
        <f t="shared" si="211"/>
        <v>0.21906610021443895</v>
      </c>
      <c r="D157" s="141">
        <f t="shared" si="211"/>
        <v>0.22150045467092647</v>
      </c>
      <c r="E157" s="141">
        <f t="shared" si="211"/>
        <v>0.22400359788816721</v>
      </c>
      <c r="F157" s="141">
        <f t="shared" si="211"/>
        <v>0.22588496002229785</v>
      </c>
      <c r="G157" s="141">
        <f t="shared" si="211"/>
        <v>0.23359074466607466</v>
      </c>
      <c r="H157" s="141">
        <f t="shared" si="211"/>
        <v>0.23504642926404701</v>
      </c>
      <c r="I157" s="141">
        <f t="shared" si="211"/>
        <v>0.23766847393515136</v>
      </c>
      <c r="J157" s="141">
        <f t="shared" si="211"/>
        <v>0.23942589716990387</v>
      </c>
      <c r="K157" s="141">
        <f t="shared" si="211"/>
        <v>0.24106758415916979</v>
      </c>
      <c r="L157" s="141">
        <f t="shared" ref="L157" si="212">IF(L20=0,0,L20/L47)</f>
        <v>0.23958474975423588</v>
      </c>
      <c r="M157" s="141">
        <f t="shared" ref="M157:V157" si="213">IF(M20=0,0,M20/M47)</f>
        <v>0.24188252273305202</v>
      </c>
      <c r="N157" s="141">
        <f t="shared" si="213"/>
        <v>0.24231094004142578</v>
      </c>
      <c r="O157" s="141">
        <f t="shared" si="213"/>
        <v>0.2444888511775741</v>
      </c>
      <c r="P157" s="141">
        <f t="shared" si="213"/>
        <v>0.2456101652067636</v>
      </c>
      <c r="Q157" s="141">
        <f t="shared" si="213"/>
        <v>0.24462946203590172</v>
      </c>
      <c r="R157" s="141">
        <f t="shared" si="213"/>
        <v>0.24602793068082171</v>
      </c>
      <c r="S157" s="141">
        <f t="shared" si="213"/>
        <v>0.24482637007133523</v>
      </c>
      <c r="T157" s="141">
        <f t="shared" si="213"/>
        <v>0.24616453905361688</v>
      </c>
      <c r="U157" s="141">
        <f t="shared" si="213"/>
        <v>0.24619077383581262</v>
      </c>
      <c r="V157" s="141">
        <f t="shared" si="213"/>
        <v>0.24571772427001984</v>
      </c>
      <c r="W157" s="141">
        <f t="shared" ref="W157:Y157" si="214">IF(W20=0,0,W20/W47)</f>
        <v>0.24477366482106472</v>
      </c>
      <c r="X157" s="141">
        <f t="shared" si="214"/>
        <v>0.24632760275787613</v>
      </c>
      <c r="Y157" s="141">
        <f t="shared" si="214"/>
        <v>0.24564686674559641</v>
      </c>
      <c r="DA157" s="174" t="s">
        <v>568</v>
      </c>
    </row>
    <row r="158" spans="1:105" ht="11.45" customHeight="1" x14ac:dyDescent="0.25">
      <c r="A158" s="111" t="s">
        <v>110</v>
      </c>
      <c r="B158" s="96">
        <v>0.18551621360940826</v>
      </c>
      <c r="C158" s="96">
        <v>0.18483262594673242</v>
      </c>
      <c r="D158" s="96">
        <v>0.18565993422858221</v>
      </c>
      <c r="E158" s="96">
        <v>0.18777137016941217</v>
      </c>
      <c r="F158" s="96">
        <v>0.18948495888909156</v>
      </c>
      <c r="G158" s="96">
        <v>0.18987269254467865</v>
      </c>
      <c r="H158" s="96">
        <v>0.19155487361855061</v>
      </c>
      <c r="I158" s="96">
        <v>0.19163594733682962</v>
      </c>
      <c r="J158" s="96">
        <v>0.19231730697476015</v>
      </c>
      <c r="K158" s="96">
        <v>0.19302546067684836</v>
      </c>
      <c r="L158" s="96">
        <v>0.19459422687612402</v>
      </c>
      <c r="M158" s="96">
        <v>0.19406162344747871</v>
      </c>
      <c r="N158" s="96">
        <v>0.1943754070031484</v>
      </c>
      <c r="O158" s="96">
        <v>0.19474448491041421</v>
      </c>
      <c r="P158" s="96">
        <v>0.19515550436616533</v>
      </c>
      <c r="Q158" s="96">
        <v>0.19342981350482313</v>
      </c>
      <c r="R158" s="96">
        <v>0.19771949063672853</v>
      </c>
      <c r="S158" s="96">
        <v>0.20041106126961469</v>
      </c>
      <c r="T158" s="96">
        <v>0.19944269944077289</v>
      </c>
      <c r="U158" s="96">
        <v>0.19859703207960444</v>
      </c>
      <c r="V158" s="96">
        <v>0.1973229899496681</v>
      </c>
      <c r="W158" s="96">
        <v>0.19340835581238289</v>
      </c>
      <c r="X158" s="96">
        <v>0.18828959560002048</v>
      </c>
      <c r="Y158" s="96">
        <v>0.18487567442187752</v>
      </c>
      <c r="DA158" s="171" t="s">
        <v>569</v>
      </c>
    </row>
    <row r="159" spans="1:105" ht="11.45" customHeight="1" x14ac:dyDescent="0.25">
      <c r="A159" s="111" t="s">
        <v>111</v>
      </c>
      <c r="B159" s="96">
        <v>0.23684015751800155</v>
      </c>
      <c r="C159" s="96">
        <v>0.2347727535474543</v>
      </c>
      <c r="D159" s="96">
        <v>0.23484640361013706</v>
      </c>
      <c r="E159" s="96">
        <v>0.23456746021702091</v>
      </c>
      <c r="F159" s="96">
        <v>0.23416128823966501</v>
      </c>
      <c r="G159" s="96">
        <v>0.2435314801844975</v>
      </c>
      <c r="H159" s="96">
        <v>0.24291184323646028</v>
      </c>
      <c r="I159" s="96">
        <v>0.2449220187075106</v>
      </c>
      <c r="J159" s="96">
        <v>0.24591568028395941</v>
      </c>
      <c r="K159" s="96">
        <v>0.24712957788236106</v>
      </c>
      <c r="L159" s="96">
        <v>0.24422356820638189</v>
      </c>
      <c r="M159" s="96">
        <v>0.24625945688527845</v>
      </c>
      <c r="N159" s="96">
        <v>0.24613092306991985</v>
      </c>
      <c r="O159" s="96">
        <v>0.24795748583761967</v>
      </c>
      <c r="P159" s="96">
        <v>0.24881335102801405</v>
      </c>
      <c r="Q159" s="96">
        <v>0.24760469522274045</v>
      </c>
      <c r="R159" s="96">
        <v>0.2483959088824573</v>
      </c>
      <c r="S159" s="96">
        <v>0.24672235447361243</v>
      </c>
      <c r="T159" s="96">
        <v>0.24837268080734104</v>
      </c>
      <c r="U159" s="96">
        <v>0.24846540462891228</v>
      </c>
      <c r="V159" s="96">
        <v>0.24809274121346983</v>
      </c>
      <c r="W159" s="96">
        <v>0.24741631088528621</v>
      </c>
      <c r="X159" s="96">
        <v>0.2499586937193562</v>
      </c>
      <c r="Y159" s="96">
        <v>0.24988077475675421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X160" s="96">
        <v>0</v>
      </c>
      <c r="Y160" s="96">
        <v>0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0.19781841326393684</v>
      </c>
      <c r="D161" s="96">
        <v>0.19612414159715866</v>
      </c>
      <c r="E161" s="96">
        <v>0.19453750947567564</v>
      </c>
      <c r="F161" s="96">
        <v>0.19251467462476032</v>
      </c>
      <c r="G161" s="96">
        <v>0.19723371966678704</v>
      </c>
      <c r="H161" s="96">
        <v>0.19589039587160495</v>
      </c>
      <c r="I161" s="96">
        <v>0.19632724177758462</v>
      </c>
      <c r="J161" s="96">
        <v>0.19593925367246168</v>
      </c>
      <c r="K161" s="96">
        <v>0.19625629097806876</v>
      </c>
      <c r="L161" s="96">
        <v>0.19401423054967182</v>
      </c>
      <c r="M161" s="96">
        <v>0.19534501206674224</v>
      </c>
      <c r="N161" s="96">
        <v>0.19482559522109436</v>
      </c>
      <c r="O161" s="96">
        <v>0.19519870437027356</v>
      </c>
      <c r="P161" s="96">
        <v>0.19522054594725108</v>
      </c>
      <c r="Q161" s="96">
        <v>0.19342981350482313</v>
      </c>
      <c r="R161" s="96">
        <v>0.19321976378770889</v>
      </c>
      <c r="S161" s="96">
        <v>0.19169734447989076</v>
      </c>
      <c r="T161" s="96">
        <v>0.19337357429628813</v>
      </c>
      <c r="U161" s="96">
        <v>0.19371351767687919</v>
      </c>
      <c r="V161" s="96">
        <v>0.19445872266888353</v>
      </c>
      <c r="W161" s="96">
        <v>0.19464694838740351</v>
      </c>
      <c r="X161" s="96">
        <v>0.1928670767635447</v>
      </c>
      <c r="Y161" s="96">
        <v>0.19302159167557242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0.19380715014237504</v>
      </c>
      <c r="H162" s="96">
        <v>0.19374695487201149</v>
      </c>
      <c r="I162" s="96">
        <v>0.19372733837106504</v>
      </c>
      <c r="J162" s="96">
        <v>0.19370991965905776</v>
      </c>
      <c r="K162" s="96">
        <v>0.19369568487033725</v>
      </c>
      <c r="L162" s="96">
        <v>0.19359455016836546</v>
      </c>
      <c r="M162" s="96">
        <v>0.19353440635845526</v>
      </c>
      <c r="N162" s="96">
        <v>0.19351098559987898</v>
      </c>
      <c r="O162" s="96">
        <v>0.19349415737058318</v>
      </c>
      <c r="P162" s="96">
        <v>0.19349317329867333</v>
      </c>
      <c r="Q162" s="96">
        <v>0.19342981350482313</v>
      </c>
      <c r="R162" s="96">
        <v>0.19343775795340382</v>
      </c>
      <c r="S162" s="96">
        <v>0.19350732378463409</v>
      </c>
      <c r="T162" s="96">
        <v>0.19358391628376051</v>
      </c>
      <c r="U162" s="96">
        <v>0.19359937209959607</v>
      </c>
      <c r="V162" s="96">
        <v>0.19384101546022159</v>
      </c>
      <c r="W162" s="96">
        <v>0.19360647300172479</v>
      </c>
      <c r="X162" s="96">
        <v>0.19367086063947461</v>
      </c>
      <c r="Y162" s="96">
        <v>0.19366381091588294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13.930922949002612</v>
      </c>
      <c r="C163" s="130">
        <f t="shared" si="215"/>
        <v>13.596464774112063</v>
      </c>
      <c r="D163" s="130">
        <f t="shared" si="215"/>
        <v>14.144160657669872</v>
      </c>
      <c r="E163" s="130">
        <f t="shared" si="215"/>
        <v>14.32828525331448</v>
      </c>
      <c r="F163" s="130">
        <f t="shared" si="215"/>
        <v>14.502093783766153</v>
      </c>
      <c r="G163" s="130">
        <f t="shared" si="215"/>
        <v>14.327273854630468</v>
      </c>
      <c r="H163" s="130">
        <f t="shared" si="215"/>
        <v>14.6256026241239</v>
      </c>
      <c r="I163" s="130">
        <f t="shared" si="215"/>
        <v>14.353709184521456</v>
      </c>
      <c r="J163" s="130">
        <f t="shared" si="215"/>
        <v>14.417363151709999</v>
      </c>
      <c r="K163" s="130">
        <f t="shared" si="215"/>
        <v>13.342409662925089</v>
      </c>
      <c r="L163" s="130">
        <f t="shared" ref="L163" si="216">IF(L26=0,0,L26/L53)</f>
        <v>13.389484440875231</v>
      </c>
      <c r="M163" s="130">
        <f t="shared" ref="M163:V163" si="217">IF(M26=0,0,M26/M53)</f>
        <v>13.87886989508884</v>
      </c>
      <c r="N163" s="130">
        <f t="shared" si="217"/>
        <v>13.672821511413016</v>
      </c>
      <c r="O163" s="130">
        <f t="shared" si="217"/>
        <v>13.847234321973097</v>
      </c>
      <c r="P163" s="130">
        <f t="shared" si="217"/>
        <v>13.847377779297586</v>
      </c>
      <c r="Q163" s="130">
        <f t="shared" si="217"/>
        <v>13.697936255262778</v>
      </c>
      <c r="R163" s="130">
        <f t="shared" si="217"/>
        <v>13.966370289161043</v>
      </c>
      <c r="S163" s="130">
        <f t="shared" si="217"/>
        <v>13.668926661064502</v>
      </c>
      <c r="T163" s="130">
        <f t="shared" si="217"/>
        <v>13.836631311082826</v>
      </c>
      <c r="U163" s="130">
        <f t="shared" si="217"/>
        <v>13.715657415650934</v>
      </c>
      <c r="V163" s="130">
        <f t="shared" si="217"/>
        <v>13.818392464818235</v>
      </c>
      <c r="W163" s="130">
        <f t="shared" ref="W163:Y163" si="218">IF(W26=0,0,W26/W53)</f>
        <v>14.159233631182554</v>
      </c>
      <c r="X163" s="130">
        <f t="shared" si="218"/>
        <v>13.57635644043609</v>
      </c>
      <c r="Y163" s="130">
        <f t="shared" si="218"/>
        <v>13.134337453685283</v>
      </c>
      <c r="DA163" s="176" t="s">
        <v>574</v>
      </c>
    </row>
    <row r="164" spans="1:105" ht="11.45" customHeight="1" x14ac:dyDescent="0.25">
      <c r="A164" s="128" t="s">
        <v>27</v>
      </c>
      <c r="B164" s="97">
        <v>13.855066079295154</v>
      </c>
      <c r="C164" s="97">
        <v>13.432093231734648</v>
      </c>
      <c r="D164" s="97">
        <v>14.092961487383798</v>
      </c>
      <c r="E164" s="97">
        <v>14.348837209302326</v>
      </c>
      <c r="F164" s="97">
        <v>14.666218034993273</v>
      </c>
      <c r="G164" s="97">
        <v>14.428690228690229</v>
      </c>
      <c r="H164" s="97">
        <v>14.805509181969949</v>
      </c>
      <c r="I164" s="97">
        <v>14.431007137192704</v>
      </c>
      <c r="J164" s="97">
        <v>14.568905950095969</v>
      </c>
      <c r="K164" s="97">
        <v>13.24113767518549</v>
      </c>
      <c r="L164" s="97">
        <v>13.171830985915493</v>
      </c>
      <c r="M164" s="97">
        <v>13.808185200496073</v>
      </c>
      <c r="N164" s="97">
        <v>13.551985720660419</v>
      </c>
      <c r="O164" s="97">
        <v>13.761200716845877</v>
      </c>
      <c r="P164" s="97">
        <v>13.774308019872249</v>
      </c>
      <c r="Q164" s="97">
        <v>13.609285714285715</v>
      </c>
      <c r="R164" s="97">
        <v>13.976504093983625</v>
      </c>
      <c r="S164" s="97">
        <v>13.566502463054187</v>
      </c>
      <c r="T164" s="97">
        <v>13.746450304259636</v>
      </c>
      <c r="U164" s="97">
        <v>13.62037351443124</v>
      </c>
      <c r="V164" s="97">
        <v>13.806035944387927</v>
      </c>
      <c r="W164" s="97">
        <v>14.192076069730586</v>
      </c>
      <c r="X164" s="97">
        <v>13.474381625441696</v>
      </c>
      <c r="Y164" s="97">
        <v>12.947605271616844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14.257421972058399</v>
      </c>
      <c r="C165" s="98">
        <v>14.245058387803748</v>
      </c>
      <c r="D165" s="98">
        <v>14.338603689647609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14.086426180736332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13.861910981613581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11187.963877384238</v>
      </c>
      <c r="C167" s="54">
        <f t="shared" si="219"/>
        <v>11310.266873391418</v>
      </c>
      <c r="D167" s="54">
        <f t="shared" si="219"/>
        <v>11662.267960935398</v>
      </c>
      <c r="E167" s="54">
        <f t="shared" si="219"/>
        <v>11732.40417522489</v>
      </c>
      <c r="F167" s="54">
        <f t="shared" si="219"/>
        <v>11814.76935256716</v>
      </c>
      <c r="G167" s="54">
        <f t="shared" si="219"/>
        <v>11301.539533908621</v>
      </c>
      <c r="H167" s="54">
        <f t="shared" si="219"/>
        <v>11259.777140868735</v>
      </c>
      <c r="I167" s="54">
        <f t="shared" si="219"/>
        <v>11485.534527484151</v>
      </c>
      <c r="J167" s="54">
        <f t="shared" si="219"/>
        <v>11385.517154150131</v>
      </c>
      <c r="K167" s="54">
        <f t="shared" si="219"/>
        <v>11502.324059449655</v>
      </c>
      <c r="L167" s="54">
        <f t="shared" si="219"/>
        <v>11777.035262384008</v>
      </c>
      <c r="M167" s="54">
        <f>IF(M30=0,0,M30*1000000/M57)</f>
        <v>11933.588322615187</v>
      </c>
      <c r="N167" s="54">
        <f t="shared" ref="N167:V167" si="220">IF(N30=0,0,N30*1000000/N57)</f>
        <v>11927.867676266091</v>
      </c>
      <c r="O167" s="54">
        <f t="shared" si="220"/>
        <v>12140.03896804927</v>
      </c>
      <c r="P167" s="54">
        <f t="shared" si="220"/>
        <v>12529.868360403198</v>
      </c>
      <c r="Q167" s="54">
        <f t="shared" si="220"/>
        <v>13065.036708608255</v>
      </c>
      <c r="R167" s="54">
        <f t="shared" si="220"/>
        <v>13310.286797285054</v>
      </c>
      <c r="S167" s="54">
        <f t="shared" si="220"/>
        <v>13526.02887173927</v>
      </c>
      <c r="T167" s="54">
        <f t="shared" si="220"/>
        <v>13614.805551961636</v>
      </c>
      <c r="U167" s="54">
        <f t="shared" si="220"/>
        <v>13524.266080801754</v>
      </c>
      <c r="V167" s="54">
        <f t="shared" si="220"/>
        <v>12728.591481361567</v>
      </c>
      <c r="W167" s="54">
        <f t="shared" ref="W167:Y191" si="221">IF(W30=0,0,W30*1000000/W57)</f>
        <v>13078.528196573741</v>
      </c>
      <c r="X167" s="54">
        <f t="shared" si="221"/>
        <v>12717.598991106388</v>
      </c>
      <c r="Y167" s="54">
        <f t="shared" si="221"/>
        <v>13120.023648503695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10702.88573782515</v>
      </c>
      <c r="C168" s="28">
        <f t="shared" si="219"/>
        <v>10756.854548418867</v>
      </c>
      <c r="D168" s="28">
        <f t="shared" si="219"/>
        <v>11093.313048200931</v>
      </c>
      <c r="E168" s="28">
        <f t="shared" si="219"/>
        <v>11147.406118441824</v>
      </c>
      <c r="F168" s="28">
        <f t="shared" si="219"/>
        <v>11161.406885753742</v>
      </c>
      <c r="G168" s="28">
        <f t="shared" si="219"/>
        <v>10699.363910365382</v>
      </c>
      <c r="H168" s="28">
        <f t="shared" si="219"/>
        <v>10619.870175108217</v>
      </c>
      <c r="I168" s="28">
        <f t="shared" si="219"/>
        <v>10856.426572593535</v>
      </c>
      <c r="J168" s="28">
        <f t="shared" si="219"/>
        <v>10735.74938641773</v>
      </c>
      <c r="K168" s="28">
        <f t="shared" si="219"/>
        <v>10945.632664987068</v>
      </c>
      <c r="L168" s="28">
        <f t="shared" si="219"/>
        <v>11155.195494526462</v>
      </c>
      <c r="M168" s="28">
        <f t="shared" ref="M168:M192" si="222">IF(M31=0,0,M31*1000000/M58)</f>
        <v>11371.777744665318</v>
      </c>
      <c r="N168" s="28">
        <f t="shared" si="219"/>
        <v>11395.054437257128</v>
      </c>
      <c r="O168" s="28">
        <f t="shared" si="219"/>
        <v>11628.264039224825</v>
      </c>
      <c r="P168" s="28">
        <f t="shared" si="219"/>
        <v>11972.053874508692</v>
      </c>
      <c r="Q168" s="28">
        <f t="shared" si="219"/>
        <v>12518.670811416072</v>
      </c>
      <c r="R168" s="28">
        <f t="shared" si="219"/>
        <v>12811.205375704405</v>
      </c>
      <c r="S168" s="28">
        <f t="shared" si="219"/>
        <v>13008.404857614658</v>
      </c>
      <c r="T168" s="28">
        <f t="shared" si="219"/>
        <v>13132.514202897781</v>
      </c>
      <c r="U168" s="28">
        <f t="shared" si="219"/>
        <v>13044.205176115403</v>
      </c>
      <c r="V168" s="28">
        <f t="shared" si="219"/>
        <v>12143.991341111705</v>
      </c>
      <c r="W168" s="28">
        <f t="shared" si="221"/>
        <v>12469.94807304395</v>
      </c>
      <c r="X168" s="28">
        <f t="shared" si="221"/>
        <v>12105.607655783793</v>
      </c>
      <c r="Y168" s="28">
        <f t="shared" si="221"/>
        <v>12604.658888874645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1403.6875663158846</v>
      </c>
      <c r="C169" s="137">
        <f t="shared" si="219"/>
        <v>1412.9410330587114</v>
      </c>
      <c r="D169" s="137">
        <f t="shared" si="219"/>
        <v>1443.5680736044089</v>
      </c>
      <c r="E169" s="137">
        <f t="shared" si="219"/>
        <v>1469.2834446829002</v>
      </c>
      <c r="F169" s="137">
        <f t="shared" si="219"/>
        <v>1554.1621106970447</v>
      </c>
      <c r="G169" s="137">
        <f t="shared" si="219"/>
        <v>1425.790475013353</v>
      </c>
      <c r="H169" s="137">
        <f t="shared" si="219"/>
        <v>1422.4179497894499</v>
      </c>
      <c r="I169" s="137">
        <f t="shared" si="219"/>
        <v>1488.7384615384615</v>
      </c>
      <c r="J169" s="137">
        <f t="shared" si="219"/>
        <v>1376.1691480316072</v>
      </c>
      <c r="K169" s="137">
        <f t="shared" si="219"/>
        <v>1347.112206892934</v>
      </c>
      <c r="L169" s="137">
        <f t="shared" si="219"/>
        <v>1287.878787878788</v>
      </c>
      <c r="M169" s="137">
        <f t="shared" si="222"/>
        <v>1228.3597956767128</v>
      </c>
      <c r="N169" s="137">
        <f t="shared" si="219"/>
        <v>1007.6763738272207</v>
      </c>
      <c r="O169" s="137">
        <f t="shared" si="219"/>
        <v>1142.6872966858766</v>
      </c>
      <c r="P169" s="137">
        <f t="shared" si="219"/>
        <v>1121.9733798073892</v>
      </c>
      <c r="Q169" s="137">
        <f t="shared" si="219"/>
        <v>1102.086883395667</v>
      </c>
      <c r="R169" s="137">
        <f t="shared" si="219"/>
        <v>1134.5274207720497</v>
      </c>
      <c r="S169" s="137">
        <f t="shared" si="219"/>
        <v>1049.7007077552933</v>
      </c>
      <c r="T169" s="137">
        <f t="shared" si="219"/>
        <v>987.99519634990543</v>
      </c>
      <c r="U169" s="137">
        <f t="shared" si="219"/>
        <v>1029.4882274595775</v>
      </c>
      <c r="V169" s="137">
        <f t="shared" si="219"/>
        <v>892.98236748904094</v>
      </c>
      <c r="W169" s="137">
        <f t="shared" si="221"/>
        <v>915.45468179426462</v>
      </c>
      <c r="X169" s="137">
        <f t="shared" si="221"/>
        <v>913.41672367949741</v>
      </c>
      <c r="Y169" s="137">
        <f t="shared" si="221"/>
        <v>970.91707697969571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11226.307199846939</v>
      </c>
      <c r="C170" s="110">
        <f t="shared" si="219"/>
        <v>11346.914183978737</v>
      </c>
      <c r="D170" s="110">
        <f t="shared" si="219"/>
        <v>11791.199758130853</v>
      </c>
      <c r="E170" s="110">
        <f t="shared" si="219"/>
        <v>11900.298015780294</v>
      </c>
      <c r="F170" s="110">
        <f t="shared" si="219"/>
        <v>11924.233423665975</v>
      </c>
      <c r="G170" s="110">
        <f t="shared" si="219"/>
        <v>11534.675544129503</v>
      </c>
      <c r="H170" s="110">
        <f t="shared" si="219"/>
        <v>11536.10326707931</v>
      </c>
      <c r="I170" s="110">
        <f t="shared" si="219"/>
        <v>11850.553346881286</v>
      </c>
      <c r="J170" s="110">
        <f t="shared" si="219"/>
        <v>11781.97731461781</v>
      </c>
      <c r="K170" s="110">
        <f t="shared" si="219"/>
        <v>12058.201702709741</v>
      </c>
      <c r="L170" s="110">
        <f t="shared" si="219"/>
        <v>12281.711886136838</v>
      </c>
      <c r="M170" s="110">
        <f t="shared" si="222"/>
        <v>12531.702165412877</v>
      </c>
      <c r="N170" s="110">
        <f t="shared" si="219"/>
        <v>12653.707597634399</v>
      </c>
      <c r="O170" s="110">
        <f t="shared" si="219"/>
        <v>12862.958975961224</v>
      </c>
      <c r="P170" s="110">
        <f t="shared" si="219"/>
        <v>13263.477250547385</v>
      </c>
      <c r="Q170" s="110">
        <f t="shared" si="219"/>
        <v>13894.977971951337</v>
      </c>
      <c r="R170" s="110">
        <f t="shared" si="219"/>
        <v>14232.325131739408</v>
      </c>
      <c r="S170" s="110">
        <f t="shared" si="219"/>
        <v>14486.44009994459</v>
      </c>
      <c r="T170" s="110">
        <f t="shared" si="219"/>
        <v>14653.207267054895</v>
      </c>
      <c r="U170" s="110">
        <f t="shared" si="219"/>
        <v>14579.558155817527</v>
      </c>
      <c r="V170" s="110">
        <f t="shared" si="219"/>
        <v>13617.004365655243</v>
      </c>
      <c r="W170" s="110">
        <f t="shared" si="221"/>
        <v>14002.325346936224</v>
      </c>
      <c r="X170" s="110">
        <f t="shared" si="221"/>
        <v>13596.846069582576</v>
      </c>
      <c r="Y170" s="110">
        <f t="shared" si="221"/>
        <v>14182.108215656321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10548.340118070533</v>
      </c>
      <c r="C171" s="84">
        <f t="shared" si="219"/>
        <v>10694.028974580566</v>
      </c>
      <c r="D171" s="84">
        <f t="shared" si="219"/>
        <v>11119.198804979509</v>
      </c>
      <c r="E171" s="84">
        <f t="shared" si="219"/>
        <v>11210.311333748972</v>
      </c>
      <c r="F171" s="84">
        <f t="shared" si="219"/>
        <v>11211.383716420378</v>
      </c>
      <c r="G171" s="84">
        <f t="shared" si="219"/>
        <v>10766.7350364866</v>
      </c>
      <c r="H171" s="84">
        <f t="shared" si="219"/>
        <v>10647.466413358497</v>
      </c>
      <c r="I171" s="84">
        <f t="shared" si="219"/>
        <v>10695.598293662511</v>
      </c>
      <c r="J171" s="84">
        <f t="shared" si="219"/>
        <v>10413.222777658528</v>
      </c>
      <c r="K171" s="84">
        <f t="shared" si="219"/>
        <v>10447.647574223876</v>
      </c>
      <c r="L171" s="84">
        <f t="shared" si="219"/>
        <v>10279.467705154799</v>
      </c>
      <c r="M171" s="84">
        <f t="shared" si="222"/>
        <v>10006.385246498841</v>
      </c>
      <c r="N171" s="84">
        <f t="shared" si="219"/>
        <v>9659.8696390305231</v>
      </c>
      <c r="O171" s="84">
        <f t="shared" si="219"/>
        <v>9549.2728910978076</v>
      </c>
      <c r="P171" s="84">
        <f t="shared" si="219"/>
        <v>9570.8707341711743</v>
      </c>
      <c r="Q171" s="84">
        <f t="shared" si="219"/>
        <v>9751.3033952874175</v>
      </c>
      <c r="R171" s="84">
        <f t="shared" si="219"/>
        <v>9765.8382667517362</v>
      </c>
      <c r="S171" s="84">
        <f t="shared" si="219"/>
        <v>9804.061221095084</v>
      </c>
      <c r="T171" s="84">
        <f t="shared" si="219"/>
        <v>9792.1968376077984</v>
      </c>
      <c r="U171" s="84">
        <f t="shared" si="219"/>
        <v>9907.0523811878229</v>
      </c>
      <c r="V171" s="84">
        <f t="shared" si="219"/>
        <v>9452.5710221896097</v>
      </c>
      <c r="W171" s="84">
        <f t="shared" si="221"/>
        <v>10004.788779853117</v>
      </c>
      <c r="X171" s="84">
        <f t="shared" si="221"/>
        <v>9734.9638873458771</v>
      </c>
      <c r="Y171" s="84">
        <f t="shared" si="221"/>
        <v>10263.100475617037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24520.077801743962</v>
      </c>
      <c r="C172" s="84">
        <f t="shared" si="219"/>
        <v>24878.370837743973</v>
      </c>
      <c r="D172" s="84">
        <f t="shared" si="219"/>
        <v>25463.190934417871</v>
      </c>
      <c r="E172" s="84">
        <f t="shared" si="219"/>
        <v>25499.265708545929</v>
      </c>
      <c r="F172" s="84">
        <f t="shared" si="219"/>
        <v>25431.068471594703</v>
      </c>
      <c r="G172" s="84">
        <f t="shared" si="219"/>
        <v>25265.615337493204</v>
      </c>
      <c r="H172" s="84">
        <f t="shared" si="219"/>
        <v>24870.606780353148</v>
      </c>
      <c r="I172" s="84">
        <f t="shared" si="219"/>
        <v>24609.535328888251</v>
      </c>
      <c r="J172" s="84">
        <f t="shared" si="219"/>
        <v>24416.967439584918</v>
      </c>
      <c r="K172" s="84">
        <f t="shared" si="219"/>
        <v>24098.991654701396</v>
      </c>
      <c r="L172" s="84">
        <f t="shared" si="219"/>
        <v>23807.02916927628</v>
      </c>
      <c r="M172" s="84">
        <f t="shared" si="222"/>
        <v>23715.816718644703</v>
      </c>
      <c r="N172" s="84">
        <f t="shared" si="219"/>
        <v>23261.93570454471</v>
      </c>
      <c r="O172" s="84">
        <f t="shared" si="219"/>
        <v>22643.719466839095</v>
      </c>
      <c r="P172" s="84">
        <f t="shared" si="219"/>
        <v>22560.266980988366</v>
      </c>
      <c r="Q172" s="84">
        <f t="shared" si="219"/>
        <v>22911.927781229373</v>
      </c>
      <c r="R172" s="84">
        <f t="shared" si="219"/>
        <v>22853.859496552494</v>
      </c>
      <c r="S172" s="84">
        <f t="shared" si="219"/>
        <v>22788.161414875765</v>
      </c>
      <c r="T172" s="84">
        <f t="shared" si="219"/>
        <v>22868.058213415239</v>
      </c>
      <c r="U172" s="84">
        <f t="shared" si="219"/>
        <v>22253.887334751162</v>
      </c>
      <c r="V172" s="84">
        <f t="shared" si="219"/>
        <v>20505.967244508251</v>
      </c>
      <c r="W172" s="84">
        <f t="shared" si="221"/>
        <v>20670.402594201765</v>
      </c>
      <c r="X172" s="84">
        <f t="shared" si="221"/>
        <v>20112.930639442136</v>
      </c>
      <c r="Y172" s="84">
        <f t="shared" si="221"/>
        <v>21204.087698777214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21353.094413548828</v>
      </c>
      <c r="H173" s="84">
        <f t="shared" si="219"/>
        <v>20823.640260982975</v>
      </c>
      <c r="I173" s="84">
        <f t="shared" si="219"/>
        <v>20805.692597488425</v>
      </c>
      <c r="J173" s="84">
        <f t="shared" si="219"/>
        <v>20263.048510023924</v>
      </c>
      <c r="K173" s="84">
        <f t="shared" si="219"/>
        <v>19988.57009221489</v>
      </c>
      <c r="L173" s="84">
        <f t="shared" si="219"/>
        <v>19559.977456932866</v>
      </c>
      <c r="M173" s="84">
        <f t="shared" si="222"/>
        <v>19294.937081196029</v>
      </c>
      <c r="N173" s="84">
        <f t="shared" si="219"/>
        <v>18752.080674977249</v>
      </c>
      <c r="O173" s="84">
        <f t="shared" si="219"/>
        <v>18457.030260917069</v>
      </c>
      <c r="P173" s="84">
        <f t="shared" si="219"/>
        <v>18577.368063249636</v>
      </c>
      <c r="Q173" s="84">
        <f t="shared" si="219"/>
        <v>18863.051913520358</v>
      </c>
      <c r="R173" s="84">
        <f t="shared" si="219"/>
        <v>18888.027330109744</v>
      </c>
      <c r="S173" s="84">
        <f t="shared" si="219"/>
        <v>0</v>
      </c>
      <c r="T173" s="84">
        <f t="shared" si="219"/>
        <v>0</v>
      </c>
      <c r="U173" s="84">
        <f t="shared" si="219"/>
        <v>0</v>
      </c>
      <c r="V173" s="84">
        <f t="shared" si="219"/>
        <v>0</v>
      </c>
      <c r="W173" s="84">
        <f t="shared" si="221"/>
        <v>0</v>
      </c>
      <c r="X173" s="84">
        <f t="shared" si="221"/>
        <v>0</v>
      </c>
      <c r="Y173" s="84">
        <f t="shared" si="221"/>
        <v>0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17637.535076578839</v>
      </c>
      <c r="E174" s="84">
        <f t="shared" si="219"/>
        <v>17661.332215327777</v>
      </c>
      <c r="F174" s="84">
        <f t="shared" si="219"/>
        <v>17616.343774119647</v>
      </c>
      <c r="G174" s="84">
        <f t="shared" si="219"/>
        <v>17507.173527716277</v>
      </c>
      <c r="H174" s="84">
        <f t="shared" si="219"/>
        <v>17246.398569708654</v>
      </c>
      <c r="I174" s="84">
        <f t="shared" si="219"/>
        <v>17402.283488386598</v>
      </c>
      <c r="J174" s="84">
        <f t="shared" si="219"/>
        <v>17120.682413383667</v>
      </c>
      <c r="K174" s="84">
        <f t="shared" si="219"/>
        <v>17058.280305021679</v>
      </c>
      <c r="L174" s="84">
        <f t="shared" si="219"/>
        <v>16861.401067844643</v>
      </c>
      <c r="M174" s="84">
        <f t="shared" si="222"/>
        <v>16799.870213066431</v>
      </c>
      <c r="N174" s="84">
        <f t="shared" si="219"/>
        <v>16493.518900361636</v>
      </c>
      <c r="O174" s="84">
        <f t="shared" si="219"/>
        <v>16075.788689296116</v>
      </c>
      <c r="P174" s="84">
        <f t="shared" si="219"/>
        <v>16019.358350428129</v>
      </c>
      <c r="Q174" s="84">
        <f t="shared" si="219"/>
        <v>16102.217179330544</v>
      </c>
      <c r="R174" s="84">
        <f t="shared" si="219"/>
        <v>16217.841015862725</v>
      </c>
      <c r="S174" s="84">
        <f t="shared" si="219"/>
        <v>16173.436552118452</v>
      </c>
      <c r="T174" s="84">
        <f t="shared" si="219"/>
        <v>16227.436941253532</v>
      </c>
      <c r="U174" s="84">
        <f t="shared" si="219"/>
        <v>15812.099746821576</v>
      </c>
      <c r="V174" s="84">
        <f t="shared" si="219"/>
        <v>14627.01194619618</v>
      </c>
      <c r="W174" s="84">
        <f t="shared" si="221"/>
        <v>14738.697897850732</v>
      </c>
      <c r="X174" s="84">
        <f t="shared" si="221"/>
        <v>13707.8915977216</v>
      </c>
      <c r="Y174" s="84">
        <f t="shared" si="221"/>
        <v>13760.747620439119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10899.413810357839</v>
      </c>
      <c r="K175" s="84">
        <f t="shared" si="219"/>
        <v>10857.704691824143</v>
      </c>
      <c r="L175" s="84">
        <f t="shared" si="219"/>
        <v>10726.162157046821</v>
      </c>
      <c r="M175" s="84">
        <f t="shared" si="222"/>
        <v>10685.066750759062</v>
      </c>
      <c r="N175" s="84">
        <f t="shared" si="219"/>
        <v>10480.572467888853</v>
      </c>
      <c r="O175" s="84">
        <f t="shared" si="219"/>
        <v>10202.037604651588</v>
      </c>
      <c r="P175" s="84">
        <f t="shared" si="219"/>
        <v>10164.438419584063</v>
      </c>
      <c r="Q175" s="84">
        <f t="shared" si="219"/>
        <v>10219.649014370834</v>
      </c>
      <c r="R175" s="84">
        <f t="shared" si="219"/>
        <v>10296.7153579473</v>
      </c>
      <c r="S175" s="84">
        <f t="shared" si="219"/>
        <v>10267.115348955798</v>
      </c>
      <c r="T175" s="84">
        <f t="shared" si="219"/>
        <v>10303.112533269297</v>
      </c>
      <c r="U175" s="84">
        <f t="shared" si="219"/>
        <v>10026.400290433536</v>
      </c>
      <c r="V175" s="84">
        <f t="shared" si="219"/>
        <v>9238.8818566047212</v>
      </c>
      <c r="W175" s="84">
        <f t="shared" si="221"/>
        <v>9312.9675483818137</v>
      </c>
      <c r="X175" s="84">
        <f t="shared" si="221"/>
        <v>8630.2864570012862</v>
      </c>
      <c r="Y175" s="84">
        <f t="shared" si="221"/>
        <v>8665.2310624186703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17178.847070267504</v>
      </c>
      <c r="K176" s="84">
        <f t="shared" si="219"/>
        <v>17181.682175611251</v>
      </c>
      <c r="L176" s="84">
        <f t="shared" si="219"/>
        <v>17195.62936084067</v>
      </c>
      <c r="M176" s="84">
        <f t="shared" si="222"/>
        <v>17218.794622545487</v>
      </c>
      <c r="N176" s="84">
        <f t="shared" si="219"/>
        <v>17249.163695676758</v>
      </c>
      <c r="O176" s="84">
        <f t="shared" si="219"/>
        <v>17259.097880837555</v>
      </c>
      <c r="P176" s="84">
        <f t="shared" si="219"/>
        <v>17261.047555000354</v>
      </c>
      <c r="Q176" s="84">
        <f t="shared" si="219"/>
        <v>17277.174114827532</v>
      </c>
      <c r="R176" s="84">
        <f t="shared" si="219"/>
        <v>17275.887490970283</v>
      </c>
      <c r="S176" s="84">
        <f t="shared" si="219"/>
        <v>17272.513575758214</v>
      </c>
      <c r="T176" s="84">
        <f t="shared" si="219"/>
        <v>17271.467858020591</v>
      </c>
      <c r="U176" s="84">
        <f t="shared" si="219"/>
        <v>17261.400631168919</v>
      </c>
      <c r="V176" s="84">
        <f t="shared" si="219"/>
        <v>16664.034264176527</v>
      </c>
      <c r="W176" s="84">
        <f t="shared" si="221"/>
        <v>17252.929959444973</v>
      </c>
      <c r="X176" s="84">
        <f t="shared" si="221"/>
        <v>17246.283733503609</v>
      </c>
      <c r="Y176" s="84">
        <f t="shared" si="221"/>
        <v>17230.954134538697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65547.617396129572</v>
      </c>
      <c r="C177" s="110">
        <f t="shared" si="219"/>
        <v>64883.277367609197</v>
      </c>
      <c r="D177" s="110">
        <f t="shared" si="219"/>
        <v>66152.858060372513</v>
      </c>
      <c r="E177" s="110">
        <f t="shared" si="219"/>
        <v>66438.655217581138</v>
      </c>
      <c r="F177" s="110">
        <f t="shared" si="219"/>
        <v>66271.46733981205</v>
      </c>
      <c r="G177" s="110">
        <f t="shared" si="219"/>
        <v>64999.628997551372</v>
      </c>
      <c r="H177" s="110">
        <f t="shared" si="219"/>
        <v>63915.561093601122</v>
      </c>
      <c r="I177" s="110">
        <f t="shared" si="219"/>
        <v>64459.280697200804</v>
      </c>
      <c r="J177" s="110">
        <f t="shared" si="219"/>
        <v>63232.892979070806</v>
      </c>
      <c r="K177" s="110">
        <f t="shared" si="219"/>
        <v>63572.601104312787</v>
      </c>
      <c r="L177" s="110">
        <f t="shared" si="219"/>
        <v>64802.245982460554</v>
      </c>
      <c r="M177" s="110">
        <f t="shared" si="222"/>
        <v>66142.338401636211</v>
      </c>
      <c r="N177" s="110">
        <f t="shared" si="219"/>
        <v>67553.373906326349</v>
      </c>
      <c r="O177" s="110">
        <f t="shared" si="219"/>
        <v>68879.193190758902</v>
      </c>
      <c r="P177" s="110">
        <f t="shared" si="219"/>
        <v>68492.171301923227</v>
      </c>
      <c r="Q177" s="110">
        <f t="shared" si="219"/>
        <v>69033.949961017788</v>
      </c>
      <c r="R177" s="110">
        <f t="shared" si="219"/>
        <v>70646.694512458605</v>
      </c>
      <c r="S177" s="110">
        <f t="shared" si="219"/>
        <v>69010.958524067144</v>
      </c>
      <c r="T177" s="110">
        <f t="shared" si="219"/>
        <v>69485.984558670112</v>
      </c>
      <c r="U177" s="110">
        <f t="shared" si="219"/>
        <v>66519.144370683294</v>
      </c>
      <c r="V177" s="110">
        <f t="shared" si="219"/>
        <v>67386.788256227752</v>
      </c>
      <c r="W177" s="110">
        <f t="shared" si="221"/>
        <v>65259.25108511735</v>
      </c>
      <c r="X177" s="110">
        <f t="shared" si="221"/>
        <v>65238.797583930325</v>
      </c>
      <c r="Y177" s="110">
        <f t="shared" si="221"/>
        <v>66271.768731233853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57257.022097299661</v>
      </c>
      <c r="C178" s="102">
        <f t="shared" si="219"/>
        <v>57803.926920667087</v>
      </c>
      <c r="D178" s="102">
        <f t="shared" si="219"/>
        <v>60196.035921617055</v>
      </c>
      <c r="E178" s="102">
        <f t="shared" si="219"/>
        <v>61703.194545496517</v>
      </c>
      <c r="F178" s="102">
        <f t="shared" si="219"/>
        <v>62796.09162318625</v>
      </c>
      <c r="G178" s="102">
        <f t="shared" si="219"/>
        <v>60324.808022416706</v>
      </c>
      <c r="H178" s="102">
        <f t="shared" si="219"/>
        <v>58106.710632567549</v>
      </c>
      <c r="I178" s="102">
        <f t="shared" si="219"/>
        <v>57476.314290892151</v>
      </c>
      <c r="J178" s="102">
        <f t="shared" si="219"/>
        <v>55224.172358593161</v>
      </c>
      <c r="K178" s="102">
        <f t="shared" si="219"/>
        <v>54446.794973450909</v>
      </c>
      <c r="L178" s="102">
        <f t="shared" si="219"/>
        <v>54463.836366355201</v>
      </c>
      <c r="M178" s="102">
        <f t="shared" si="222"/>
        <v>54555.936900151028</v>
      </c>
      <c r="N178" s="102">
        <f t="shared" si="219"/>
        <v>54684.93762943818</v>
      </c>
      <c r="O178" s="102">
        <f t="shared" si="219"/>
        <v>54718.049338401805</v>
      </c>
      <c r="P178" s="102">
        <f t="shared" si="219"/>
        <v>53328.695687608895</v>
      </c>
      <c r="Q178" s="102">
        <f t="shared" si="219"/>
        <v>52717.361868469714</v>
      </c>
      <c r="R178" s="102">
        <f t="shared" si="219"/>
        <v>55091.477478880057</v>
      </c>
      <c r="S178" s="102">
        <f t="shared" si="219"/>
        <v>54654.400662738575</v>
      </c>
      <c r="T178" s="102">
        <f t="shared" si="219"/>
        <v>56091.993219999131</v>
      </c>
      <c r="U178" s="102">
        <f t="shared" si="219"/>
        <v>54882.322721423261</v>
      </c>
      <c r="V178" s="102">
        <f t="shared" si="219"/>
        <v>56746.902880808695</v>
      </c>
      <c r="W178" s="102">
        <f t="shared" si="221"/>
        <v>55964.551740721021</v>
      </c>
      <c r="X178" s="102">
        <f t="shared" si="221"/>
        <v>57065.057192785403</v>
      </c>
      <c r="Y178" s="102">
        <f t="shared" si="221"/>
        <v>59174.442228593645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65830.919309368299</v>
      </c>
      <c r="C179" s="102">
        <f t="shared" si="219"/>
        <v>64997.387611618193</v>
      </c>
      <c r="D179" s="102">
        <f t="shared" si="219"/>
        <v>66113.176965676423</v>
      </c>
      <c r="E179" s="102">
        <f t="shared" si="219"/>
        <v>66264.425859065959</v>
      </c>
      <c r="F179" s="102">
        <f t="shared" si="219"/>
        <v>66098.028947829735</v>
      </c>
      <c r="G179" s="102">
        <f t="shared" si="219"/>
        <v>64325.762307456171</v>
      </c>
      <c r="H179" s="102">
        <f t="shared" si="219"/>
        <v>63460.065649080469</v>
      </c>
      <c r="I179" s="102">
        <f t="shared" si="219"/>
        <v>63767.46992886615</v>
      </c>
      <c r="J179" s="102">
        <f t="shared" si="219"/>
        <v>62104.51279248303</v>
      </c>
      <c r="K179" s="102">
        <f t="shared" si="219"/>
        <v>62249.70788553622</v>
      </c>
      <c r="L179" s="102">
        <f t="shared" si="219"/>
        <v>62903.84607111683</v>
      </c>
      <c r="M179" s="102">
        <f t="shared" si="222"/>
        <v>63203.678829223347</v>
      </c>
      <c r="N179" s="102">
        <f t="shared" si="219"/>
        <v>64693.717242126142</v>
      </c>
      <c r="O179" s="102">
        <f t="shared" si="219"/>
        <v>61505.559463107791</v>
      </c>
      <c r="P179" s="102">
        <f t="shared" si="219"/>
        <v>61872.079826223169</v>
      </c>
      <c r="Q179" s="102">
        <f t="shared" si="219"/>
        <v>63609.053833495811</v>
      </c>
      <c r="R179" s="102">
        <f t="shared" si="219"/>
        <v>66540.458936473296</v>
      </c>
      <c r="S179" s="102">
        <f t="shared" si="219"/>
        <v>66291.156403196146</v>
      </c>
      <c r="T179" s="102">
        <f t="shared" si="219"/>
        <v>68305.037834450428</v>
      </c>
      <c r="U179" s="102">
        <f t="shared" si="219"/>
        <v>66868.456772740043</v>
      </c>
      <c r="V179" s="102">
        <f t="shared" si="219"/>
        <v>68870.639617033376</v>
      </c>
      <c r="W179" s="102">
        <f t="shared" si="221"/>
        <v>67530.649169491764</v>
      </c>
      <c r="X179" s="102">
        <f t="shared" si="221"/>
        <v>68312.48208111526</v>
      </c>
      <c r="Y179" s="102">
        <f t="shared" si="221"/>
        <v>70469.003077413305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0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67883.863913117792</v>
      </c>
      <c r="C181" s="102">
        <f t="shared" si="223"/>
        <v>69633.000512070605</v>
      </c>
      <c r="D181" s="102">
        <f t="shared" si="223"/>
        <v>73570.486777918515</v>
      </c>
      <c r="E181" s="102">
        <f t="shared" si="223"/>
        <v>76568.217591826469</v>
      </c>
      <c r="F181" s="102">
        <f t="shared" si="223"/>
        <v>73792.791722101683</v>
      </c>
      <c r="G181" s="102">
        <f t="shared" si="223"/>
        <v>75001.667437578406</v>
      </c>
      <c r="H181" s="102">
        <f t="shared" si="223"/>
        <v>76425.68384137559</v>
      </c>
      <c r="I181" s="102">
        <f t="shared" si="223"/>
        <v>79871.321333985048</v>
      </c>
      <c r="J181" s="102">
        <f t="shared" si="223"/>
        <v>81193.479389740183</v>
      </c>
      <c r="K181" s="102">
        <f t="shared" si="223"/>
        <v>78869.253871356661</v>
      </c>
      <c r="L181" s="102">
        <f t="shared" si="223"/>
        <v>83310.644862720772</v>
      </c>
      <c r="M181" s="102">
        <f t="shared" si="222"/>
        <v>88117.601887847777</v>
      </c>
      <c r="N181" s="102">
        <f t="shared" si="223"/>
        <v>86954.050884471479</v>
      </c>
      <c r="O181" s="102">
        <f t="shared" si="223"/>
        <v>85662.447025050307</v>
      </c>
      <c r="P181" s="102">
        <f t="shared" si="223"/>
        <v>82300.601489932844</v>
      </c>
      <c r="Q181" s="102">
        <f t="shared" si="223"/>
        <v>80146.479186088618</v>
      </c>
      <c r="R181" s="102">
        <f t="shared" si="223"/>
        <v>79148.171302645846</v>
      </c>
      <c r="S181" s="102">
        <f t="shared" si="223"/>
        <v>74384.595025130096</v>
      </c>
      <c r="T181" s="102">
        <f t="shared" si="223"/>
        <v>72203.537103980067</v>
      </c>
      <c r="U181" s="102">
        <f t="shared" si="223"/>
        <v>66969.588891157124</v>
      </c>
      <c r="V181" s="102">
        <f t="shared" si="223"/>
        <v>65468.599373879268</v>
      </c>
      <c r="W181" s="102">
        <f t="shared" si="221"/>
        <v>61182.566488978351</v>
      </c>
      <c r="X181" s="102">
        <f t="shared" si="221"/>
        <v>59022.6720244854</v>
      </c>
      <c r="Y181" s="102">
        <f t="shared" si="221"/>
        <v>57858.716279823304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47280.072194674438</v>
      </c>
      <c r="C182" s="102">
        <f t="shared" si="223"/>
        <v>47376.498230647834</v>
      </c>
      <c r="D182" s="102">
        <f t="shared" si="223"/>
        <v>47560.46849261543</v>
      </c>
      <c r="E182" s="102">
        <f t="shared" si="223"/>
        <v>47601.49232232802</v>
      </c>
      <c r="F182" s="102">
        <f t="shared" si="223"/>
        <v>47625.485675866941</v>
      </c>
      <c r="G182" s="102">
        <f t="shared" si="223"/>
        <v>47810.420050210567</v>
      </c>
      <c r="H182" s="102">
        <f t="shared" si="223"/>
        <v>47971.512732518429</v>
      </c>
      <c r="I182" s="102">
        <f t="shared" si="223"/>
        <v>48052.853639196292</v>
      </c>
      <c r="J182" s="102">
        <f t="shared" si="223"/>
        <v>48237.819061666181</v>
      </c>
      <c r="K182" s="102">
        <f t="shared" si="223"/>
        <v>48289.53796081039</v>
      </c>
      <c r="L182" s="102">
        <f t="shared" si="223"/>
        <v>48474.916033699905</v>
      </c>
      <c r="M182" s="102">
        <f t="shared" si="222"/>
        <v>48673.76744623229</v>
      </c>
      <c r="N182" s="102">
        <f t="shared" si="223"/>
        <v>48879.692228180218</v>
      </c>
      <c r="O182" s="102">
        <f t="shared" si="223"/>
        <v>49070.068483659001</v>
      </c>
      <c r="P182" s="102">
        <f t="shared" si="223"/>
        <v>49125.39863463847</v>
      </c>
      <c r="Q182" s="102">
        <f t="shared" si="223"/>
        <v>49202.8710772384</v>
      </c>
      <c r="R182" s="102">
        <f t="shared" si="223"/>
        <v>48976.147563758146</v>
      </c>
      <c r="S182" s="102">
        <f t="shared" si="223"/>
        <v>48717.790295635677</v>
      </c>
      <c r="T182" s="102">
        <f t="shared" si="223"/>
        <v>48660.65497553406</v>
      </c>
      <c r="U182" s="102">
        <f t="shared" si="223"/>
        <v>48276.560348172032</v>
      </c>
      <c r="V182" s="102">
        <f t="shared" si="223"/>
        <v>47809.614499125149</v>
      </c>
      <c r="W182" s="102">
        <f t="shared" si="221"/>
        <v>48092.284296737911</v>
      </c>
      <c r="X182" s="102">
        <f t="shared" si="221"/>
        <v>48089.269309837509</v>
      </c>
      <c r="Y182" s="102">
        <f t="shared" si="221"/>
        <v>48240.600024950691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16755.592628318398</v>
      </c>
      <c r="C183" s="28">
        <f t="shared" si="223"/>
        <v>17373.200733418071</v>
      </c>
      <c r="D183" s="28">
        <f t="shared" si="223"/>
        <v>17775.93577155552</v>
      </c>
      <c r="E183" s="28">
        <f t="shared" si="223"/>
        <v>17906.740060384938</v>
      </c>
      <c r="F183" s="28">
        <f t="shared" si="223"/>
        <v>18460.859867441275</v>
      </c>
      <c r="G183" s="28">
        <f t="shared" si="223"/>
        <v>17257.133516094254</v>
      </c>
      <c r="H183" s="28">
        <f t="shared" si="223"/>
        <v>17465.534781731367</v>
      </c>
      <c r="I183" s="28">
        <f t="shared" si="223"/>
        <v>17400.256086504491</v>
      </c>
      <c r="J183" s="28">
        <f t="shared" si="223"/>
        <v>17489.192745694643</v>
      </c>
      <c r="K183" s="28">
        <f t="shared" si="223"/>
        <v>16736.206038528529</v>
      </c>
      <c r="L183" s="28">
        <f t="shared" si="223"/>
        <v>17611.028552954307</v>
      </c>
      <c r="M183" s="28">
        <f t="shared" si="222"/>
        <v>16965.469815662655</v>
      </c>
      <c r="N183" s="28">
        <f t="shared" si="223"/>
        <v>16777.007128042631</v>
      </c>
      <c r="O183" s="28">
        <f t="shared" si="223"/>
        <v>16762.747060886682</v>
      </c>
      <c r="P183" s="28">
        <f t="shared" si="223"/>
        <v>17535.360470740576</v>
      </c>
      <c r="Q183" s="28">
        <f t="shared" si="223"/>
        <v>17928.114813755787</v>
      </c>
      <c r="R183" s="28">
        <f t="shared" si="223"/>
        <v>17696.26275402815</v>
      </c>
      <c r="S183" s="28">
        <f t="shared" si="223"/>
        <v>17996.796967549544</v>
      </c>
      <c r="T183" s="28">
        <f t="shared" si="223"/>
        <v>17691.400941886892</v>
      </c>
      <c r="U183" s="28">
        <f t="shared" si="223"/>
        <v>17529.040041840395</v>
      </c>
      <c r="V183" s="28">
        <f t="shared" si="223"/>
        <v>17593.393063794301</v>
      </c>
      <c r="W183" s="28">
        <f t="shared" si="221"/>
        <v>18103.535655575764</v>
      </c>
      <c r="X183" s="28">
        <f t="shared" si="221"/>
        <v>17750.155477003384</v>
      </c>
      <c r="Y183" s="28">
        <f t="shared" si="221"/>
        <v>17332.073303699963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11844.738460424767</v>
      </c>
      <c r="C184" s="137">
        <f t="shared" si="223"/>
        <v>12966.496513929145</v>
      </c>
      <c r="D184" s="137">
        <f t="shared" si="223"/>
        <v>13423.749064859776</v>
      </c>
      <c r="E184" s="137">
        <f t="shared" si="223"/>
        <v>13848.452115662914</v>
      </c>
      <c r="F184" s="137">
        <f t="shared" si="223"/>
        <v>14419.5434614226</v>
      </c>
      <c r="G184" s="137">
        <f t="shared" si="223"/>
        <v>12716.676754663426</v>
      </c>
      <c r="H184" s="137">
        <f t="shared" si="223"/>
        <v>13137.776626506156</v>
      </c>
      <c r="I184" s="137">
        <f t="shared" si="223"/>
        <v>13036.135517868921</v>
      </c>
      <c r="J184" s="137">
        <f t="shared" si="223"/>
        <v>13033.947456044569</v>
      </c>
      <c r="K184" s="137">
        <f t="shared" si="223"/>
        <v>12892.267800111527</v>
      </c>
      <c r="L184" s="137">
        <f t="shared" si="223"/>
        <v>13733.668084937999</v>
      </c>
      <c r="M184" s="137">
        <f t="shared" si="222"/>
        <v>13505.823614436154</v>
      </c>
      <c r="N184" s="137">
        <f t="shared" si="223"/>
        <v>13721.430815203878</v>
      </c>
      <c r="O184" s="137">
        <f t="shared" si="223"/>
        <v>13448.811434994592</v>
      </c>
      <c r="P184" s="137">
        <f t="shared" si="223"/>
        <v>13339.585115296453</v>
      </c>
      <c r="Q184" s="137">
        <f t="shared" si="223"/>
        <v>13798.70897436941</v>
      </c>
      <c r="R184" s="137">
        <f t="shared" si="223"/>
        <v>13630.56457032455</v>
      </c>
      <c r="S184" s="137">
        <f t="shared" si="223"/>
        <v>14131.551429758503</v>
      </c>
      <c r="T184" s="137">
        <f t="shared" si="223"/>
        <v>13713.302211359949</v>
      </c>
      <c r="U184" s="137">
        <f t="shared" si="223"/>
        <v>13711.176395213974</v>
      </c>
      <c r="V184" s="137">
        <f t="shared" si="223"/>
        <v>13814.585657956648</v>
      </c>
      <c r="W184" s="137">
        <f t="shared" si="221"/>
        <v>14038.293433922834</v>
      </c>
      <c r="X184" s="137">
        <f t="shared" si="221"/>
        <v>13398.940827632949</v>
      </c>
      <c r="Y184" s="137">
        <f t="shared" si="221"/>
        <v>13407.473177500195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7399.5271861953279</v>
      </c>
      <c r="C185" s="84">
        <f t="shared" si="223"/>
        <v>7537.3756566316015</v>
      </c>
      <c r="D185" s="84">
        <f t="shared" si="223"/>
        <v>7370.9313710336673</v>
      </c>
      <c r="E185" s="84">
        <f t="shared" si="223"/>
        <v>6965.7270420589739</v>
      </c>
      <c r="F185" s="84">
        <f t="shared" si="223"/>
        <v>6656.4031845514983</v>
      </c>
      <c r="G185" s="84">
        <f t="shared" si="223"/>
        <v>6588.7159306457661</v>
      </c>
      <c r="H185" s="84">
        <f t="shared" si="223"/>
        <v>6304.4513704683122</v>
      </c>
      <c r="I185" s="84">
        <f t="shared" si="223"/>
        <v>6291.1268081969911</v>
      </c>
      <c r="J185" s="84">
        <f t="shared" si="223"/>
        <v>6180.4697381760534</v>
      </c>
      <c r="K185" s="84">
        <f t="shared" si="223"/>
        <v>6067.9269085235728</v>
      </c>
      <c r="L185" s="84">
        <f t="shared" si="223"/>
        <v>5827.2489256288509</v>
      </c>
      <c r="M185" s="84">
        <f t="shared" si="222"/>
        <v>5907.6536778156042</v>
      </c>
      <c r="N185" s="84">
        <f t="shared" si="223"/>
        <v>5860.1232504774007</v>
      </c>
      <c r="O185" s="84">
        <f t="shared" si="223"/>
        <v>5804.8030817673034</v>
      </c>
      <c r="P185" s="84">
        <f t="shared" si="223"/>
        <v>5743.9321813548195</v>
      </c>
      <c r="Q185" s="84">
        <f t="shared" si="223"/>
        <v>6004.7684258702739</v>
      </c>
      <c r="R185" s="84">
        <f t="shared" si="223"/>
        <v>5381.036205121065</v>
      </c>
      <c r="S185" s="84">
        <f t="shared" si="223"/>
        <v>5029.2692832809435</v>
      </c>
      <c r="T185" s="84">
        <f t="shared" si="223"/>
        <v>5152.5546948587289</v>
      </c>
      <c r="U185" s="84">
        <f t="shared" si="223"/>
        <v>5263.1961938336599</v>
      </c>
      <c r="V185" s="84">
        <f t="shared" si="223"/>
        <v>5435.317164643061</v>
      </c>
      <c r="W185" s="84">
        <f t="shared" si="221"/>
        <v>6008.100160605286</v>
      </c>
      <c r="X185" s="84">
        <f t="shared" si="221"/>
        <v>6870.3951397731644</v>
      </c>
      <c r="Y185" s="84">
        <f t="shared" si="221"/>
        <v>7528.6043172614682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18536.174945435403</v>
      </c>
      <c r="C186" s="84">
        <f t="shared" si="223"/>
        <v>19366.821856475577</v>
      </c>
      <c r="D186" s="84">
        <f t="shared" si="223"/>
        <v>19336.472801573596</v>
      </c>
      <c r="E186" s="84">
        <f t="shared" si="223"/>
        <v>19451.719497949907</v>
      </c>
      <c r="F186" s="84">
        <f t="shared" si="223"/>
        <v>19621.008794044981</v>
      </c>
      <c r="G186" s="84">
        <f t="shared" si="223"/>
        <v>16125.80054682654</v>
      </c>
      <c r="H186" s="84">
        <f t="shared" si="223"/>
        <v>16332.526765854596</v>
      </c>
      <c r="I186" s="84">
        <f t="shared" si="223"/>
        <v>15673.199954833492</v>
      </c>
      <c r="J186" s="84">
        <f t="shared" si="223"/>
        <v>15359.098252000394</v>
      </c>
      <c r="K186" s="84">
        <f t="shared" si="223"/>
        <v>14985.567324581742</v>
      </c>
      <c r="L186" s="84">
        <f t="shared" si="223"/>
        <v>15898.603009833547</v>
      </c>
      <c r="M186" s="84">
        <f t="shared" si="222"/>
        <v>15252.191145534794</v>
      </c>
      <c r="N186" s="84">
        <f t="shared" si="223"/>
        <v>15292.05754871373</v>
      </c>
      <c r="O186" s="84">
        <f t="shared" si="223"/>
        <v>14737.055024342511</v>
      </c>
      <c r="P186" s="84">
        <f t="shared" si="223"/>
        <v>14485.331017424889</v>
      </c>
      <c r="Q186" s="84">
        <f t="shared" si="223"/>
        <v>14842.342432324689</v>
      </c>
      <c r="R186" s="84">
        <f t="shared" si="223"/>
        <v>14607.45754011729</v>
      </c>
      <c r="S186" s="84">
        <f t="shared" si="223"/>
        <v>15109.647117994424</v>
      </c>
      <c r="T186" s="84">
        <f t="shared" si="223"/>
        <v>14614.289342024886</v>
      </c>
      <c r="U186" s="84">
        <f t="shared" si="223"/>
        <v>14587.040443263268</v>
      </c>
      <c r="V186" s="84">
        <f t="shared" si="223"/>
        <v>14696.927011914055</v>
      </c>
      <c r="W186" s="84">
        <f t="shared" si="221"/>
        <v>14898.933809856428</v>
      </c>
      <c r="X186" s="84">
        <f t="shared" si="221"/>
        <v>14156.490245350897</v>
      </c>
      <c r="Y186" s="84">
        <f t="shared" si="221"/>
        <v>14178.575721342741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X187" s="84">
        <f t="shared" si="221"/>
        <v>0</v>
      </c>
      <c r="Y187" s="84">
        <f t="shared" si="221"/>
        <v>0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8134.8677594946157</v>
      </c>
      <c r="D188" s="84">
        <f t="shared" si="223"/>
        <v>8492.3676746433466</v>
      </c>
      <c r="E188" s="84">
        <f t="shared" si="223"/>
        <v>8844.3782787267901</v>
      </c>
      <c r="F188" s="84">
        <f t="shared" si="223"/>
        <v>9318.9046730543305</v>
      </c>
      <c r="G188" s="84">
        <f t="shared" si="223"/>
        <v>8256.162669712352</v>
      </c>
      <c r="H188" s="84">
        <f t="shared" si="223"/>
        <v>8543.156219280454</v>
      </c>
      <c r="I188" s="84">
        <f t="shared" si="223"/>
        <v>8448.5317690082356</v>
      </c>
      <c r="J188" s="84">
        <f t="shared" si="223"/>
        <v>8532.5102739031663</v>
      </c>
      <c r="K188" s="84">
        <f t="shared" si="223"/>
        <v>8463.8144295226211</v>
      </c>
      <c r="L188" s="84">
        <f t="shared" si="223"/>
        <v>8964.2949750319403</v>
      </c>
      <c r="M188" s="84">
        <f t="shared" si="222"/>
        <v>8663.0821986840765</v>
      </c>
      <c r="N188" s="84">
        <f t="shared" si="223"/>
        <v>8779.1811150939429</v>
      </c>
      <c r="O188" s="84">
        <f t="shared" si="223"/>
        <v>8695.5971955660389</v>
      </c>
      <c r="P188" s="84">
        <f t="shared" si="223"/>
        <v>8690.7338995175924</v>
      </c>
      <c r="Q188" s="84">
        <f t="shared" si="223"/>
        <v>9100.5366272354822</v>
      </c>
      <c r="R188" s="84">
        <f t="shared" si="223"/>
        <v>9150.1103810340446</v>
      </c>
      <c r="S188" s="84">
        <f t="shared" si="223"/>
        <v>9519.2686488331638</v>
      </c>
      <c r="T188" s="84">
        <f t="shared" si="223"/>
        <v>9113.7779598537472</v>
      </c>
      <c r="U188" s="84">
        <f t="shared" si="223"/>
        <v>9034.0903421959774</v>
      </c>
      <c r="V188" s="84">
        <f t="shared" si="223"/>
        <v>8862.3097242462718</v>
      </c>
      <c r="W188" s="84">
        <f t="shared" si="221"/>
        <v>8819.5427664895196</v>
      </c>
      <c r="X188" s="84">
        <f t="shared" si="221"/>
        <v>9234.0788178598159</v>
      </c>
      <c r="Y188" s="84">
        <f t="shared" si="221"/>
        <v>9197.1782731166186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7554.0233717657948</v>
      </c>
      <c r="H189" s="84">
        <f t="shared" si="223"/>
        <v>7565.7654690585769</v>
      </c>
      <c r="I189" s="84">
        <f t="shared" si="223"/>
        <v>7569.5967276213505</v>
      </c>
      <c r="J189" s="84">
        <f t="shared" si="223"/>
        <v>7573.0006921829154</v>
      </c>
      <c r="K189" s="84">
        <f t="shared" si="223"/>
        <v>7575.7838184726616</v>
      </c>
      <c r="L189" s="84">
        <f t="shared" si="223"/>
        <v>7595.5926292778058</v>
      </c>
      <c r="M189" s="84">
        <f t="shared" si="222"/>
        <v>7607.402206416019</v>
      </c>
      <c r="N189" s="84">
        <f t="shared" si="223"/>
        <v>7612.006964731655</v>
      </c>
      <c r="O189" s="84">
        <f t="shared" si="223"/>
        <v>7615.3176301145577</v>
      </c>
      <c r="P189" s="84">
        <f t="shared" si="223"/>
        <v>7615.5112828482379</v>
      </c>
      <c r="Q189" s="84">
        <f t="shared" si="223"/>
        <v>7627.9921260559822</v>
      </c>
      <c r="R189" s="84">
        <f t="shared" si="223"/>
        <v>7626.4258544451377</v>
      </c>
      <c r="S189" s="84">
        <f t="shared" si="223"/>
        <v>7612.7272170082751</v>
      </c>
      <c r="T189" s="84">
        <f t="shared" si="223"/>
        <v>7597.6790507970936</v>
      </c>
      <c r="U189" s="84">
        <f t="shared" si="223"/>
        <v>7594.6467687483528</v>
      </c>
      <c r="V189" s="84">
        <f t="shared" si="223"/>
        <v>7547.4269857841482</v>
      </c>
      <c r="W189" s="84">
        <f t="shared" si="221"/>
        <v>7593.2541270969359</v>
      </c>
      <c r="X189" s="84">
        <f t="shared" si="221"/>
        <v>7580.6402853385216</v>
      </c>
      <c r="Y189" s="84">
        <f t="shared" si="221"/>
        <v>7582.0201329539077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34953.936569902107</v>
      </c>
      <c r="C190" s="110">
        <f t="shared" si="223"/>
        <v>34910.016386662035</v>
      </c>
      <c r="D190" s="110">
        <f t="shared" si="223"/>
        <v>36150.407925995023</v>
      </c>
      <c r="E190" s="110">
        <f t="shared" si="223"/>
        <v>36040.161488471145</v>
      </c>
      <c r="F190" s="110">
        <f t="shared" si="223"/>
        <v>37033.94725915834</v>
      </c>
      <c r="G190" s="110">
        <f t="shared" si="223"/>
        <v>38965.890410012966</v>
      </c>
      <c r="H190" s="110">
        <f t="shared" si="223"/>
        <v>38372.537882411991</v>
      </c>
      <c r="I190" s="110">
        <f t="shared" si="223"/>
        <v>39168.700981037095</v>
      </c>
      <c r="J190" s="110">
        <f t="shared" si="223"/>
        <v>40451.871629527821</v>
      </c>
      <c r="K190" s="110">
        <f t="shared" si="223"/>
        <v>37194.119679628471</v>
      </c>
      <c r="L190" s="110">
        <f t="shared" si="223"/>
        <v>38274.150558393849</v>
      </c>
      <c r="M190" s="110">
        <f t="shared" si="222"/>
        <v>35909.750529756289</v>
      </c>
      <c r="N190" s="110">
        <f t="shared" si="223"/>
        <v>33348.088621950039</v>
      </c>
      <c r="O190" s="110">
        <f t="shared" si="223"/>
        <v>36385.593572291909</v>
      </c>
      <c r="P190" s="110">
        <f t="shared" si="223"/>
        <v>43289.841548425997</v>
      </c>
      <c r="Q190" s="110">
        <f t="shared" si="223"/>
        <v>43617.01895828019</v>
      </c>
      <c r="R190" s="110">
        <f t="shared" si="223"/>
        <v>43223.556111450467</v>
      </c>
      <c r="S190" s="110">
        <f t="shared" si="223"/>
        <v>42830.737115620082</v>
      </c>
      <c r="T190" s="110">
        <f t="shared" si="223"/>
        <v>43575.914375027562</v>
      </c>
      <c r="U190" s="110">
        <f t="shared" si="223"/>
        <v>43067.798429479306</v>
      </c>
      <c r="V190" s="110">
        <f t="shared" si="223"/>
        <v>43174.649803310989</v>
      </c>
      <c r="W190" s="110">
        <f t="shared" si="221"/>
        <v>45558.68933550972</v>
      </c>
      <c r="X190" s="110">
        <f t="shared" si="221"/>
        <v>47309.706710440994</v>
      </c>
      <c r="Y190" s="110">
        <f t="shared" si="221"/>
        <v>44543.122561527802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30747.974968168397</v>
      </c>
      <c r="C191" s="102">
        <f t="shared" si="223"/>
        <v>30373.990823814514</v>
      </c>
      <c r="D191" s="102">
        <f t="shared" si="223"/>
        <v>31398.985336020571</v>
      </c>
      <c r="E191" s="102">
        <f t="shared" si="223"/>
        <v>31077.729752710267</v>
      </c>
      <c r="F191" s="102">
        <f t="shared" si="223"/>
        <v>31332.143208557653</v>
      </c>
      <c r="G191" s="102">
        <f t="shared" si="223"/>
        <v>33374.965306688871</v>
      </c>
      <c r="H191" s="102">
        <f t="shared" si="223"/>
        <v>32412.981426117072</v>
      </c>
      <c r="I191" s="102">
        <f t="shared" si="223"/>
        <v>33340.824663220657</v>
      </c>
      <c r="J191" s="102">
        <f t="shared" si="223"/>
        <v>34925.189038451223</v>
      </c>
      <c r="K191" s="102">
        <f t="shared" si="223"/>
        <v>32447.904127544607</v>
      </c>
      <c r="L191" s="102">
        <f t="shared" si="223"/>
        <v>33235.699287137715</v>
      </c>
      <c r="M191" s="102">
        <f t="shared" si="222"/>
        <v>30943.000409332788</v>
      </c>
      <c r="N191" s="102">
        <f t="shared" si="223"/>
        <v>28320.485277391635</v>
      </c>
      <c r="O191" s="102">
        <f t="shared" si="223"/>
        <v>30556.506263262374</v>
      </c>
      <c r="P191" s="102">
        <f t="shared" si="223"/>
        <v>38538.333196575586</v>
      </c>
      <c r="Q191" s="102">
        <f t="shared" si="223"/>
        <v>38250.321029480066</v>
      </c>
      <c r="R191" s="102">
        <f t="shared" si="223"/>
        <v>37568.543533502743</v>
      </c>
      <c r="S191" s="102">
        <f t="shared" si="223"/>
        <v>37305.889920058806</v>
      </c>
      <c r="T191" s="102">
        <f t="shared" si="223"/>
        <v>38162.325347370053</v>
      </c>
      <c r="U191" s="102">
        <f t="shared" si="223"/>
        <v>37921.710018027297</v>
      </c>
      <c r="V191" s="102">
        <f t="shared" si="223"/>
        <v>37881.999306331651</v>
      </c>
      <c r="W191" s="102">
        <f t="shared" si="221"/>
        <v>40141.991958878316</v>
      </c>
      <c r="X191" s="102">
        <f t="shared" si="221"/>
        <v>42682.083830830139</v>
      </c>
      <c r="Y191" s="102">
        <f t="shared" si="221"/>
        <v>39543.426588537361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84995.728867983154</v>
      </c>
      <c r="C192" s="86">
        <f t="shared" si="223"/>
        <v>84996.548800479388</v>
      </c>
      <c r="D192" s="86">
        <f t="shared" si="223"/>
        <v>84998.807216608344</v>
      </c>
      <c r="E192" s="86">
        <f t="shared" si="223"/>
        <v>84995.004971480594</v>
      </c>
      <c r="F192" s="86">
        <f t="shared" si="223"/>
        <v>85003.677860362674</v>
      </c>
      <c r="G192" s="86">
        <f t="shared" si="223"/>
        <v>84999.032885508204</v>
      </c>
      <c r="H192" s="86">
        <f t="shared" si="223"/>
        <v>85000.011718755879</v>
      </c>
      <c r="I192" s="86">
        <f t="shared" si="223"/>
        <v>85003.390969453525</v>
      </c>
      <c r="J192" s="86">
        <f t="shared" si="223"/>
        <v>85002.201371581352</v>
      </c>
      <c r="K192" s="86">
        <f t="shared" si="223"/>
        <v>84998.989943282286</v>
      </c>
      <c r="L192" s="86">
        <f t="shared" si="223"/>
        <v>84996.209729986294</v>
      </c>
      <c r="M192" s="86">
        <f t="shared" si="222"/>
        <v>85003.27150765837</v>
      </c>
      <c r="N192" s="86">
        <f t="shared" si="223"/>
        <v>84994.752604152658</v>
      </c>
      <c r="O192" s="86">
        <f t="shared" si="223"/>
        <v>84996.814315306212</v>
      </c>
      <c r="P192" s="86">
        <f t="shared" si="223"/>
        <v>85004.308315625603</v>
      </c>
      <c r="Q192" s="86">
        <f t="shared" si="223"/>
        <v>85000.461682816851</v>
      </c>
      <c r="R192" s="86">
        <f t="shared" si="223"/>
        <v>85000.583129843013</v>
      </c>
      <c r="S192" s="86">
        <f t="shared" si="223"/>
        <v>84999.696559067961</v>
      </c>
      <c r="T192" s="86">
        <f t="shared" si="223"/>
        <v>85002.777749769477</v>
      </c>
      <c r="U192" s="86">
        <f t="shared" si="223"/>
        <v>84998.889189458627</v>
      </c>
      <c r="V192" s="86">
        <f t="shared" ref="V192:W192" si="224">IF(V55=0,0,V55*1000000/V82)</f>
        <v>84999.536945565604</v>
      </c>
      <c r="W192" s="86">
        <f t="shared" si="224"/>
        <v>84996.461175595177</v>
      </c>
      <c r="X192" s="86">
        <f t="shared" ref="X192:Y192" si="225">IF(X55=0,0,X55*1000000/X82)</f>
        <v>85003.893280489807</v>
      </c>
      <c r="Y192" s="86">
        <f t="shared" si="225"/>
        <v>85001.987124691441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26224.681129123357</v>
      </c>
      <c r="C195" s="28">
        <f t="shared" si="226"/>
        <v>26219.721023419097</v>
      </c>
      <c r="D195" s="28">
        <f t="shared" si="226"/>
        <v>26305.121143954351</v>
      </c>
      <c r="E195" s="28">
        <f t="shared" si="226"/>
        <v>26149.055042063133</v>
      </c>
      <c r="F195" s="28">
        <f t="shared" si="226"/>
        <v>26112.120631427744</v>
      </c>
      <c r="G195" s="28">
        <f t="shared" si="226"/>
        <v>25527.200021704128</v>
      </c>
      <c r="H195" s="28">
        <f t="shared" si="226"/>
        <v>25083.345255995871</v>
      </c>
      <c r="I195" s="28">
        <f t="shared" si="226"/>
        <v>25109.398179921031</v>
      </c>
      <c r="J195" s="28">
        <f t="shared" si="226"/>
        <v>24651.355710857591</v>
      </c>
      <c r="K195" s="28">
        <f t="shared" si="226"/>
        <v>24356.729344505071</v>
      </c>
      <c r="L195" s="28">
        <f t="shared" si="226"/>
        <v>24031.263881046099</v>
      </c>
      <c r="M195" s="28">
        <f>IF(M4=0,0,M4*1000000/M58)</f>
        <v>23925.74459464672</v>
      </c>
      <c r="N195" s="28">
        <f t="shared" ref="N195:V195" si="227">IF(N4=0,0,N4*1000000/N58)</f>
        <v>23360.981496811422</v>
      </c>
      <c r="O195" s="28">
        <f t="shared" si="227"/>
        <v>23205.117624586721</v>
      </c>
      <c r="P195" s="28">
        <f t="shared" si="227"/>
        <v>23154.831376918864</v>
      </c>
      <c r="Q195" s="28">
        <f t="shared" si="227"/>
        <v>23047.589607789803</v>
      </c>
      <c r="R195" s="28">
        <f t="shared" si="227"/>
        <v>19233.081154593245</v>
      </c>
      <c r="S195" s="28">
        <f t="shared" si="227"/>
        <v>19223.582143870291</v>
      </c>
      <c r="T195" s="28">
        <f t="shared" si="227"/>
        <v>19255.085324355543</v>
      </c>
      <c r="U195" s="28">
        <f t="shared" si="227"/>
        <v>19028.021725247378</v>
      </c>
      <c r="V195" s="28">
        <f t="shared" si="227"/>
        <v>17606.054736070342</v>
      </c>
      <c r="W195" s="28">
        <f t="shared" ref="W195:Y195" si="228">IF(W4=0,0,W4*1000000/W58)</f>
        <v>17318.350475671738</v>
      </c>
      <c r="X195" s="28">
        <f t="shared" si="228"/>
        <v>18318.500596081143</v>
      </c>
      <c r="Y195" s="28">
        <f t="shared" si="228"/>
        <v>19723.013786657386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1550.6988110582613</v>
      </c>
      <c r="C196" s="137">
        <f t="shared" si="229"/>
        <v>1560.8914746240966</v>
      </c>
      <c r="D196" s="137">
        <f t="shared" si="229"/>
        <v>1594.4483981111653</v>
      </c>
      <c r="E196" s="137">
        <f t="shared" si="229"/>
        <v>1623.5330628404859</v>
      </c>
      <c r="F196" s="137">
        <f t="shared" si="229"/>
        <v>1717.552517023475</v>
      </c>
      <c r="G196" s="137">
        <f t="shared" si="229"/>
        <v>1574.2582355601585</v>
      </c>
      <c r="H196" s="137">
        <f t="shared" si="229"/>
        <v>1570.9726213608008</v>
      </c>
      <c r="I196" s="137">
        <f t="shared" si="229"/>
        <v>1646.858607592822</v>
      </c>
      <c r="J196" s="137">
        <f t="shared" si="229"/>
        <v>1523.1343812609841</v>
      </c>
      <c r="K196" s="137">
        <f t="shared" si="229"/>
        <v>1491.6898670169762</v>
      </c>
      <c r="L196" s="137">
        <f t="shared" si="229"/>
        <v>1423.6492458479815</v>
      </c>
      <c r="M196" s="137">
        <f>IF(M5=0,0,M5*1000000/M59)</f>
        <v>1356.6661717478739</v>
      </c>
      <c r="N196" s="137">
        <f t="shared" ref="N196:V196" si="230">IF(N5=0,0,N5*1000000/N59)</f>
        <v>1106.0628242088533</v>
      </c>
      <c r="O196" s="137">
        <f t="shared" si="230"/>
        <v>1253.610565547385</v>
      </c>
      <c r="P196" s="137">
        <f t="shared" si="230"/>
        <v>1233.558496383213</v>
      </c>
      <c r="Q196" s="137">
        <f t="shared" si="230"/>
        <v>1213.7884029461904</v>
      </c>
      <c r="R196" s="137">
        <f t="shared" si="230"/>
        <v>1250.2056081815781</v>
      </c>
      <c r="S196" s="137">
        <f t="shared" si="230"/>
        <v>1156.1299644591029</v>
      </c>
      <c r="T196" s="137">
        <f t="shared" si="230"/>
        <v>1087.669309963866</v>
      </c>
      <c r="U196" s="137">
        <f t="shared" si="230"/>
        <v>1134.0603801633144</v>
      </c>
      <c r="V196" s="137">
        <f t="shared" si="230"/>
        <v>982.59457141687164</v>
      </c>
      <c r="W196" s="137">
        <f t="shared" ref="W196:Y196" si="231">IF(W5=0,0,W5*1000000/W59)</f>
        <v>1007.7157168575901</v>
      </c>
      <c r="X196" s="137">
        <f t="shared" si="231"/>
        <v>1005.4188089764956</v>
      </c>
      <c r="Y196" s="137">
        <f t="shared" si="231"/>
        <v>1069.9345124076754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25925.958439778911</v>
      </c>
      <c r="C197" s="110">
        <f t="shared" si="232"/>
        <v>26082.395810128484</v>
      </c>
      <c r="D197" s="110">
        <f t="shared" si="232"/>
        <v>26370.628902858196</v>
      </c>
      <c r="E197" s="110">
        <f t="shared" si="232"/>
        <v>26329.601417073027</v>
      </c>
      <c r="F197" s="110">
        <f t="shared" si="232"/>
        <v>26338.780844490251</v>
      </c>
      <c r="G197" s="110">
        <f t="shared" si="232"/>
        <v>25994.972533971461</v>
      </c>
      <c r="H197" s="110">
        <f t="shared" si="232"/>
        <v>25728.963400707042</v>
      </c>
      <c r="I197" s="110">
        <f t="shared" si="232"/>
        <v>25886.104799716439</v>
      </c>
      <c r="J197" s="110">
        <f t="shared" si="232"/>
        <v>25580.506517767884</v>
      </c>
      <c r="K197" s="110">
        <f t="shared" si="232"/>
        <v>25325.187039509852</v>
      </c>
      <c r="L197" s="110">
        <f t="shared" si="232"/>
        <v>24919.960735331508</v>
      </c>
      <c r="M197" s="110">
        <f>IF(M6=0,0,M6*1000000/M60)</f>
        <v>24776.217758225044</v>
      </c>
      <c r="N197" s="110">
        <f t="shared" ref="N197:V197" si="233">IF(N6=0,0,N6*1000000/N60)</f>
        <v>24373.331697387217</v>
      </c>
      <c r="O197" s="110">
        <f t="shared" si="233"/>
        <v>24074.293528143837</v>
      </c>
      <c r="P197" s="110">
        <f t="shared" si="233"/>
        <v>24067.051891417275</v>
      </c>
      <c r="Q197" s="110">
        <f t="shared" si="233"/>
        <v>23969.416431841877</v>
      </c>
      <c r="R197" s="110">
        <f t="shared" si="233"/>
        <v>19669.827961328738</v>
      </c>
      <c r="S197" s="110">
        <f t="shared" si="233"/>
        <v>19705.320713606572</v>
      </c>
      <c r="T197" s="110">
        <f t="shared" si="233"/>
        <v>19785.276329848642</v>
      </c>
      <c r="U197" s="110">
        <f t="shared" si="233"/>
        <v>19557.862952286356</v>
      </c>
      <c r="V197" s="110">
        <f t="shared" si="233"/>
        <v>18233.871984394998</v>
      </c>
      <c r="W197" s="110">
        <f t="shared" ref="W197:Y209" si="234">IF(W6=0,0,W6*1000000/W60)</f>
        <v>17950.533782255839</v>
      </c>
      <c r="X197" s="110">
        <f t="shared" si="234"/>
        <v>19032.621929859288</v>
      </c>
      <c r="Y197" s="110">
        <f t="shared" si="234"/>
        <v>20627.502076816698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24250.735679493926</v>
      </c>
      <c r="C198" s="84">
        <f t="shared" si="232"/>
        <v>24476.386893137846</v>
      </c>
      <c r="D198" s="84">
        <f t="shared" si="232"/>
        <v>24761.417466716157</v>
      </c>
      <c r="E198" s="84">
        <f t="shared" si="232"/>
        <v>24694.986515684101</v>
      </c>
      <c r="F198" s="84">
        <f t="shared" si="232"/>
        <v>24653.226074978767</v>
      </c>
      <c r="G198" s="84">
        <f t="shared" si="232"/>
        <v>24147.018129062893</v>
      </c>
      <c r="H198" s="84">
        <f t="shared" si="232"/>
        <v>23613.487873393504</v>
      </c>
      <c r="I198" s="84">
        <f t="shared" si="232"/>
        <v>23194.963368003726</v>
      </c>
      <c r="J198" s="84">
        <f t="shared" si="232"/>
        <v>22417.566145838027</v>
      </c>
      <c r="K198" s="84">
        <f t="shared" si="232"/>
        <v>21726.723367858183</v>
      </c>
      <c r="L198" s="84">
        <f t="shared" si="232"/>
        <v>20609.775290047975</v>
      </c>
      <c r="M198" s="84">
        <f t="shared" ref="M198:M219" si="235">IF(M7=0,0,M7*1000000/M61)</f>
        <v>19499.45194531318</v>
      </c>
      <c r="N198" s="84">
        <f t="shared" si="232"/>
        <v>18297.412285624785</v>
      </c>
      <c r="O198" s="84">
        <f t="shared" si="232"/>
        <v>17545.696793730589</v>
      </c>
      <c r="P198" s="84">
        <f t="shared" si="232"/>
        <v>17023.117180310779</v>
      </c>
      <c r="Q198" s="84">
        <f t="shared" si="232"/>
        <v>16465.474140378676</v>
      </c>
      <c r="R198" s="84">
        <f t="shared" si="232"/>
        <v>13197.199945909933</v>
      </c>
      <c r="S198" s="84">
        <f t="shared" si="232"/>
        <v>13030.461235468272</v>
      </c>
      <c r="T198" s="84">
        <f t="shared" si="232"/>
        <v>12913.774518001426</v>
      </c>
      <c r="U198" s="84">
        <f t="shared" si="232"/>
        <v>12986.20407596903</v>
      </c>
      <c r="V198" s="84">
        <f t="shared" si="232"/>
        <v>12384.316673764275</v>
      </c>
      <c r="W198" s="84">
        <f t="shared" si="234"/>
        <v>12577.269487736427</v>
      </c>
      <c r="X198" s="84">
        <f t="shared" si="234"/>
        <v>13405.548989469358</v>
      </c>
      <c r="Y198" s="84">
        <f t="shared" si="234"/>
        <v>14722.704910529732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58774.200900096454</v>
      </c>
      <c r="C199" s="84">
        <f t="shared" si="232"/>
        <v>59367.940853875793</v>
      </c>
      <c r="D199" s="84">
        <f t="shared" si="232"/>
        <v>59120.613133040373</v>
      </c>
      <c r="E199" s="84">
        <f t="shared" si="232"/>
        <v>58565.639462519815</v>
      </c>
      <c r="F199" s="84">
        <f t="shared" si="232"/>
        <v>58304.656962593908</v>
      </c>
      <c r="G199" s="84">
        <f t="shared" si="232"/>
        <v>59079.043910397326</v>
      </c>
      <c r="H199" s="84">
        <f t="shared" si="232"/>
        <v>57507.480152361364</v>
      </c>
      <c r="I199" s="84">
        <f t="shared" si="232"/>
        <v>55643.714938181867</v>
      </c>
      <c r="J199" s="84">
        <f t="shared" si="232"/>
        <v>54804.865985785502</v>
      </c>
      <c r="K199" s="84">
        <f t="shared" si="232"/>
        <v>52251.491004431853</v>
      </c>
      <c r="L199" s="84">
        <f t="shared" si="232"/>
        <v>49765.90774081547</v>
      </c>
      <c r="M199" s="84">
        <f t="shared" si="235"/>
        <v>48184.501151821707</v>
      </c>
      <c r="N199" s="84">
        <f t="shared" si="232"/>
        <v>45939.721194268583</v>
      </c>
      <c r="O199" s="84">
        <f t="shared" si="232"/>
        <v>43378.264970249875</v>
      </c>
      <c r="P199" s="84">
        <f t="shared" si="232"/>
        <v>41836.560110807819</v>
      </c>
      <c r="Q199" s="84">
        <f t="shared" si="232"/>
        <v>40336.41529606012</v>
      </c>
      <c r="R199" s="84">
        <f t="shared" si="232"/>
        <v>32200.003423416929</v>
      </c>
      <c r="S199" s="84">
        <f t="shared" si="232"/>
        <v>31578.184433531245</v>
      </c>
      <c r="T199" s="84">
        <f t="shared" si="232"/>
        <v>31443.179081119149</v>
      </c>
      <c r="U199" s="84">
        <f t="shared" si="232"/>
        <v>30413.594066586105</v>
      </c>
      <c r="V199" s="84">
        <f t="shared" si="232"/>
        <v>28010.860757699029</v>
      </c>
      <c r="W199" s="84">
        <f t="shared" si="234"/>
        <v>27092.64918060795</v>
      </c>
      <c r="X199" s="84">
        <f t="shared" si="234"/>
        <v>28876.842958583336</v>
      </c>
      <c r="Y199" s="84">
        <f t="shared" si="234"/>
        <v>31714.123603658536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0</v>
      </c>
      <c r="C200" s="84">
        <f t="shared" si="232"/>
        <v>0</v>
      </c>
      <c r="D200" s="84">
        <f t="shared" si="232"/>
        <v>0</v>
      </c>
      <c r="E200" s="84">
        <f t="shared" si="232"/>
        <v>0</v>
      </c>
      <c r="F200" s="84">
        <f t="shared" si="232"/>
        <v>0</v>
      </c>
      <c r="G200" s="84">
        <f t="shared" si="232"/>
        <v>47858.644817329034</v>
      </c>
      <c r="H200" s="84">
        <f t="shared" si="232"/>
        <v>46188.664276197422</v>
      </c>
      <c r="I200" s="84">
        <f t="shared" si="232"/>
        <v>45198.69017131588</v>
      </c>
      <c r="J200" s="84">
        <f t="shared" si="232"/>
        <v>43753.35276457102</v>
      </c>
      <c r="K200" s="84">
        <f t="shared" si="232"/>
        <v>41751.053763404132</v>
      </c>
      <c r="L200" s="84">
        <f t="shared" si="232"/>
        <v>39470.478824607308</v>
      </c>
      <c r="M200" s="84">
        <f t="shared" si="235"/>
        <v>37938.82776327138</v>
      </c>
      <c r="N200" s="84">
        <f t="shared" si="232"/>
        <v>35922.136892066286</v>
      </c>
      <c r="O200" s="84">
        <f t="shared" si="232"/>
        <v>34355.010656956409</v>
      </c>
      <c r="P200" s="84">
        <f t="shared" si="232"/>
        <v>33524.729289241186</v>
      </c>
      <c r="Q200" s="84">
        <f t="shared" si="232"/>
        <v>32361.389043742318</v>
      </c>
      <c r="R200" s="84">
        <f t="shared" si="232"/>
        <v>25961.32798605163</v>
      </c>
      <c r="S200" s="84">
        <f t="shared" si="232"/>
        <v>0</v>
      </c>
      <c r="T200" s="84">
        <f t="shared" si="232"/>
        <v>0</v>
      </c>
      <c r="U200" s="84">
        <f t="shared" si="232"/>
        <v>0</v>
      </c>
      <c r="V200" s="84">
        <f t="shared" si="232"/>
        <v>0</v>
      </c>
      <c r="W200" s="84">
        <f t="shared" si="234"/>
        <v>0</v>
      </c>
      <c r="X200" s="84">
        <f t="shared" si="234"/>
        <v>0</v>
      </c>
      <c r="Y200" s="84">
        <f t="shared" si="234"/>
        <v>0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38262.391847490406</v>
      </c>
      <c r="E201" s="84">
        <f t="shared" si="232"/>
        <v>37903.703083253655</v>
      </c>
      <c r="F201" s="84">
        <f t="shared" si="232"/>
        <v>37744.416049089341</v>
      </c>
      <c r="G201" s="84">
        <f t="shared" si="232"/>
        <v>38271.170997533096</v>
      </c>
      <c r="H201" s="84">
        <f t="shared" si="232"/>
        <v>37310.692259015457</v>
      </c>
      <c r="I201" s="84">
        <f t="shared" si="232"/>
        <v>36872.794148950314</v>
      </c>
      <c r="J201" s="84">
        <f t="shared" si="232"/>
        <v>36056.516226287567</v>
      </c>
      <c r="K201" s="84">
        <f t="shared" si="232"/>
        <v>34751.78351212859</v>
      </c>
      <c r="L201" s="84">
        <f t="shared" si="232"/>
        <v>33185.918441616115</v>
      </c>
      <c r="M201" s="84">
        <f t="shared" si="235"/>
        <v>32218.298847057275</v>
      </c>
      <c r="N201" s="84">
        <f t="shared" si="232"/>
        <v>30816.418334028014</v>
      </c>
      <c r="O201" s="84">
        <f t="shared" si="232"/>
        <v>29184.797886397704</v>
      </c>
      <c r="P201" s="84">
        <f t="shared" si="232"/>
        <v>28195.665417296175</v>
      </c>
      <c r="Q201" s="84">
        <f t="shared" si="232"/>
        <v>26943.686224738638</v>
      </c>
      <c r="R201" s="84">
        <f t="shared" si="232"/>
        <v>21741.498703929428</v>
      </c>
      <c r="S201" s="84">
        <f t="shared" si="232"/>
        <v>21340.071787051675</v>
      </c>
      <c r="T201" s="84">
        <f t="shared" si="232"/>
        <v>21253.530958226318</v>
      </c>
      <c r="U201" s="84">
        <f t="shared" si="232"/>
        <v>20574.927596241076</v>
      </c>
      <c r="V201" s="84">
        <f t="shared" si="232"/>
        <v>18998.734559667886</v>
      </c>
      <c r="W201" s="84">
        <f t="shared" si="234"/>
        <v>18327.703672613898</v>
      </c>
      <c r="X201" s="84">
        <f t="shared" si="234"/>
        <v>18612.419629727508</v>
      </c>
      <c r="Y201" s="84">
        <f t="shared" si="234"/>
        <v>19414.204886099269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22954.39407269048</v>
      </c>
      <c r="K202" s="84">
        <f t="shared" si="232"/>
        <v>22119.732830150366</v>
      </c>
      <c r="L202" s="84">
        <f t="shared" si="232"/>
        <v>21110.792697656074</v>
      </c>
      <c r="M202" s="84">
        <f t="shared" si="235"/>
        <v>20491.507934922014</v>
      </c>
      <c r="N202" s="84">
        <f t="shared" si="232"/>
        <v>19581.855606536315</v>
      </c>
      <c r="O202" s="84">
        <f t="shared" si="232"/>
        <v>18521.293808709699</v>
      </c>
      <c r="P202" s="84">
        <f t="shared" si="232"/>
        <v>17890.423484136842</v>
      </c>
      <c r="Q202" s="84">
        <f t="shared" si="232"/>
        <v>17100.44109475955</v>
      </c>
      <c r="R202" s="84">
        <f t="shared" si="232"/>
        <v>13803.688381861519</v>
      </c>
      <c r="S202" s="84">
        <f t="shared" si="232"/>
        <v>13546.964980918556</v>
      </c>
      <c r="T202" s="84">
        <f t="shared" si="232"/>
        <v>13494.276513578186</v>
      </c>
      <c r="U202" s="84">
        <f t="shared" si="232"/>
        <v>13046.493718714857</v>
      </c>
      <c r="V202" s="84">
        <f t="shared" si="232"/>
        <v>12000.199676285305</v>
      </c>
      <c r="W202" s="84">
        <f t="shared" si="234"/>
        <v>11580.759082137209</v>
      </c>
      <c r="X202" s="84">
        <f t="shared" si="234"/>
        <v>11718.104999397627</v>
      </c>
      <c r="Y202" s="84">
        <f t="shared" si="234"/>
        <v>12225.249373901341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33568.15566205098</v>
      </c>
      <c r="K203" s="84">
        <f t="shared" si="232"/>
        <v>32477.179676608495</v>
      </c>
      <c r="L203" s="84">
        <f t="shared" si="232"/>
        <v>31401.40163014568</v>
      </c>
      <c r="M203" s="84">
        <f t="shared" si="235"/>
        <v>30638.690540524603</v>
      </c>
      <c r="N203" s="84">
        <f t="shared" si="232"/>
        <v>29902.510905362691</v>
      </c>
      <c r="O203" s="84">
        <f t="shared" si="232"/>
        <v>29071.890089339195</v>
      </c>
      <c r="P203" s="84">
        <f t="shared" si="232"/>
        <v>28188.707035354793</v>
      </c>
      <c r="Q203" s="84">
        <f t="shared" si="232"/>
        <v>26823.461236407016</v>
      </c>
      <c r="R203" s="84">
        <f t="shared" si="232"/>
        <v>21488.573266356623</v>
      </c>
      <c r="S203" s="84">
        <f t="shared" si="232"/>
        <v>21145.593774109268</v>
      </c>
      <c r="T203" s="84">
        <f t="shared" si="232"/>
        <v>20988.489561954178</v>
      </c>
      <c r="U203" s="84">
        <f t="shared" si="232"/>
        <v>20839.897469511667</v>
      </c>
      <c r="V203" s="84">
        <f t="shared" si="232"/>
        <v>20082.602121700289</v>
      </c>
      <c r="W203" s="84">
        <f t="shared" si="234"/>
        <v>19905.934547714758</v>
      </c>
      <c r="X203" s="84">
        <f t="shared" si="234"/>
        <v>21726.935546931585</v>
      </c>
      <c r="Y203" s="84">
        <f t="shared" si="234"/>
        <v>22555.771195076399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639733.95454765996</v>
      </c>
      <c r="C204" s="110">
        <f t="shared" si="232"/>
        <v>647147.24350768642</v>
      </c>
      <c r="D204" s="110">
        <f t="shared" si="232"/>
        <v>664043.33306603378</v>
      </c>
      <c r="E204" s="110">
        <f t="shared" si="232"/>
        <v>678630.20344292454</v>
      </c>
      <c r="F204" s="110">
        <f t="shared" si="232"/>
        <v>692597.62379995186</v>
      </c>
      <c r="G204" s="110">
        <f t="shared" si="232"/>
        <v>686617.92899634165</v>
      </c>
      <c r="H204" s="110">
        <f t="shared" si="232"/>
        <v>684004.00315403042</v>
      </c>
      <c r="I204" s="110">
        <f t="shared" si="232"/>
        <v>707307.73844091245</v>
      </c>
      <c r="J204" s="110">
        <f t="shared" si="232"/>
        <v>680374.40931887366</v>
      </c>
      <c r="K204" s="110">
        <f t="shared" si="232"/>
        <v>689329.70062825759</v>
      </c>
      <c r="L204" s="110">
        <f t="shared" si="232"/>
        <v>675877.77464894566</v>
      </c>
      <c r="M204" s="110">
        <f t="shared" si="235"/>
        <v>691946.78478043666</v>
      </c>
      <c r="N204" s="110">
        <f t="shared" si="232"/>
        <v>671187.74165555579</v>
      </c>
      <c r="O204" s="110">
        <f t="shared" si="232"/>
        <v>694613.6094367397</v>
      </c>
      <c r="P204" s="110">
        <f t="shared" si="232"/>
        <v>693577.48647289712</v>
      </c>
      <c r="Q204" s="110">
        <f t="shared" si="232"/>
        <v>697023.52817911154</v>
      </c>
      <c r="R204" s="110">
        <f t="shared" si="232"/>
        <v>709746.98598606966</v>
      </c>
      <c r="S204" s="110">
        <f t="shared" si="232"/>
        <v>692318.0679448772</v>
      </c>
      <c r="T204" s="110">
        <f t="shared" si="232"/>
        <v>694534.5048708464</v>
      </c>
      <c r="U204" s="110">
        <f t="shared" si="232"/>
        <v>674393.86222356337</v>
      </c>
      <c r="V204" s="110">
        <f t="shared" si="232"/>
        <v>666772.56184638198</v>
      </c>
      <c r="W204" s="110">
        <f t="shared" si="234"/>
        <v>653401.4508419527</v>
      </c>
      <c r="X204" s="110">
        <f t="shared" si="234"/>
        <v>657544.65754800837</v>
      </c>
      <c r="Y204" s="110">
        <f t="shared" si="234"/>
        <v>670344.24970323301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365035.1752502892</v>
      </c>
      <c r="C205" s="102">
        <f t="shared" si="232"/>
        <v>368998.08635376184</v>
      </c>
      <c r="D205" s="102">
        <f t="shared" si="232"/>
        <v>384416.54889302683</v>
      </c>
      <c r="E205" s="102">
        <f t="shared" si="232"/>
        <v>394459.95076216216</v>
      </c>
      <c r="F205" s="102">
        <f t="shared" si="232"/>
        <v>402017.96357129916</v>
      </c>
      <c r="G205" s="102">
        <f t="shared" si="232"/>
        <v>386457.91983125749</v>
      </c>
      <c r="H205" s="102">
        <f t="shared" si="232"/>
        <v>372557.16892337328</v>
      </c>
      <c r="I205" s="102">
        <f t="shared" si="232"/>
        <v>369114.96558486647</v>
      </c>
      <c r="J205" s="102">
        <f t="shared" si="232"/>
        <v>354198.9585512185</v>
      </c>
      <c r="K205" s="102">
        <f t="shared" si="232"/>
        <v>349387.5723040165</v>
      </c>
      <c r="L205" s="102">
        <f t="shared" si="232"/>
        <v>348631.08366137248</v>
      </c>
      <c r="M205" s="102">
        <f t="shared" si="235"/>
        <v>349287.00106121233</v>
      </c>
      <c r="N205" s="102">
        <f t="shared" si="232"/>
        <v>349006.98194658902</v>
      </c>
      <c r="O205" s="102">
        <f t="shared" si="232"/>
        <v>349531.57562138035</v>
      </c>
      <c r="P205" s="102">
        <f t="shared" si="232"/>
        <v>340742.42141131271</v>
      </c>
      <c r="Q205" s="102">
        <f t="shared" si="232"/>
        <v>336776.39571139705</v>
      </c>
      <c r="R205" s="102">
        <f t="shared" si="232"/>
        <v>351836.27278386726</v>
      </c>
      <c r="S205" s="102">
        <f t="shared" si="232"/>
        <v>349014.59828462882</v>
      </c>
      <c r="T205" s="102">
        <f t="shared" si="232"/>
        <v>358115.70176482893</v>
      </c>
      <c r="U205" s="102">
        <f t="shared" si="232"/>
        <v>350694.54324465169</v>
      </c>
      <c r="V205" s="102">
        <f t="shared" si="232"/>
        <v>362077.34066173271</v>
      </c>
      <c r="W205" s="102">
        <f t="shared" si="234"/>
        <v>357338.81976179272</v>
      </c>
      <c r="X205" s="102">
        <f t="shared" si="234"/>
        <v>364511.9268198894</v>
      </c>
      <c r="Y205" s="102">
        <f t="shared" si="234"/>
        <v>378067.96966259944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649761.39983485069</v>
      </c>
      <c r="C206" s="102">
        <f t="shared" si="232"/>
        <v>654672.53532945877</v>
      </c>
      <c r="D206" s="102">
        <f t="shared" si="232"/>
        <v>669030.43055328983</v>
      </c>
      <c r="E206" s="102">
        <f t="shared" si="232"/>
        <v>681362.08039614838</v>
      </c>
      <c r="F206" s="102">
        <f t="shared" si="232"/>
        <v>694478.96223609149</v>
      </c>
      <c r="G206" s="102">
        <f t="shared" si="232"/>
        <v>682140.34046347742</v>
      </c>
      <c r="H206" s="102">
        <f t="shared" si="232"/>
        <v>681360.85153879458</v>
      </c>
      <c r="I206" s="102">
        <f t="shared" si="232"/>
        <v>701732.13137102523</v>
      </c>
      <c r="J206" s="102">
        <f t="shared" si="232"/>
        <v>669781.58755075827</v>
      </c>
      <c r="K206" s="102">
        <f t="shared" si="232"/>
        <v>676436.73328442138</v>
      </c>
      <c r="L206" s="102">
        <f t="shared" si="232"/>
        <v>656601.01108870306</v>
      </c>
      <c r="M206" s="102">
        <f t="shared" si="235"/>
        <v>662133.25912077294</v>
      </c>
      <c r="N206" s="102">
        <f t="shared" si="232"/>
        <v>643445.62070991367</v>
      </c>
      <c r="O206" s="102">
        <f t="shared" si="232"/>
        <v>620914.83347395016</v>
      </c>
      <c r="P206" s="102">
        <f t="shared" si="232"/>
        <v>627172.33887890796</v>
      </c>
      <c r="Q206" s="102">
        <f t="shared" si="232"/>
        <v>642838.09217399254</v>
      </c>
      <c r="R206" s="102">
        <f t="shared" si="232"/>
        <v>669165.99674873403</v>
      </c>
      <c r="S206" s="102">
        <f t="shared" si="232"/>
        <v>665658.63182013633</v>
      </c>
      <c r="T206" s="102">
        <f t="shared" si="232"/>
        <v>683355.32621466508</v>
      </c>
      <c r="U206" s="102">
        <f t="shared" si="232"/>
        <v>678505.15872815659</v>
      </c>
      <c r="V206" s="102">
        <f t="shared" si="232"/>
        <v>682045.57742677548</v>
      </c>
      <c r="W206" s="102">
        <f t="shared" si="234"/>
        <v>676701.19734288333</v>
      </c>
      <c r="X206" s="102">
        <f t="shared" si="234"/>
        <v>689052.2838556309</v>
      </c>
      <c r="Y206" s="102">
        <f t="shared" si="234"/>
        <v>713357.41106514796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0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670024.28198065481</v>
      </c>
      <c r="C208" s="102">
        <f t="shared" si="232"/>
        <v>701363.77265239786</v>
      </c>
      <c r="D208" s="102">
        <f t="shared" si="232"/>
        <v>744494.46697440743</v>
      </c>
      <c r="E208" s="102">
        <f t="shared" si="232"/>
        <v>787310.52679081098</v>
      </c>
      <c r="F208" s="102">
        <f t="shared" si="232"/>
        <v>775326.31806794426</v>
      </c>
      <c r="G208" s="102">
        <f t="shared" si="232"/>
        <v>795352.61030661664</v>
      </c>
      <c r="H208" s="102">
        <f t="shared" si="232"/>
        <v>820570.67683397362</v>
      </c>
      <c r="I208" s="102">
        <f t="shared" si="232"/>
        <v>878947.72393573553</v>
      </c>
      <c r="J208" s="102">
        <f t="shared" si="232"/>
        <v>875651.30260569719</v>
      </c>
      <c r="K208" s="102">
        <f t="shared" si="232"/>
        <v>857033.105174075</v>
      </c>
      <c r="L208" s="102">
        <f t="shared" si="232"/>
        <v>869610.63699460228</v>
      </c>
      <c r="M208" s="102">
        <f t="shared" si="235"/>
        <v>923136.05797468743</v>
      </c>
      <c r="N208" s="102">
        <f t="shared" si="232"/>
        <v>864847.55598751525</v>
      </c>
      <c r="O208" s="102">
        <f t="shared" si="232"/>
        <v>864784.98031440563</v>
      </c>
      <c r="P208" s="102">
        <f t="shared" si="232"/>
        <v>834248.03033218044</v>
      </c>
      <c r="Q208" s="102">
        <f t="shared" si="232"/>
        <v>809966.61118888308</v>
      </c>
      <c r="R208" s="102">
        <f t="shared" si="232"/>
        <v>795955.81075175665</v>
      </c>
      <c r="S208" s="102">
        <f t="shared" si="232"/>
        <v>746928.40552915307</v>
      </c>
      <c r="T208" s="102">
        <f t="shared" si="232"/>
        <v>722357.72376159148</v>
      </c>
      <c r="U208" s="102">
        <f t="shared" si="232"/>
        <v>679531.33261298726</v>
      </c>
      <c r="V208" s="102">
        <f t="shared" si="232"/>
        <v>648354.20306211372</v>
      </c>
      <c r="W208" s="102">
        <f t="shared" si="234"/>
        <v>613089.2640420004</v>
      </c>
      <c r="X208" s="102">
        <f t="shared" si="234"/>
        <v>595348.10797010269</v>
      </c>
      <c r="Y208" s="102">
        <f t="shared" si="234"/>
        <v>585703.53276583785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466661.65710270801</v>
      </c>
      <c r="C209" s="102">
        <f t="shared" si="232"/>
        <v>477189.82795157377</v>
      </c>
      <c r="D209" s="102">
        <f t="shared" si="232"/>
        <v>481286.82016672957</v>
      </c>
      <c r="E209" s="102">
        <f t="shared" si="232"/>
        <v>489460.99537155021</v>
      </c>
      <c r="F209" s="102">
        <f t="shared" si="232"/>
        <v>500391.59101508878</v>
      </c>
      <c r="G209" s="102">
        <f t="shared" si="232"/>
        <v>507003.95985780947</v>
      </c>
      <c r="H209" s="102">
        <f t="shared" si="232"/>
        <v>515062.66863602743</v>
      </c>
      <c r="I209" s="102">
        <f t="shared" si="232"/>
        <v>528799.89499832294</v>
      </c>
      <c r="J209" s="102">
        <f t="shared" si="232"/>
        <v>520232.77501694812</v>
      </c>
      <c r="K209" s="102">
        <f t="shared" si="232"/>
        <v>524738.48343333905</v>
      </c>
      <c r="L209" s="102">
        <f t="shared" si="232"/>
        <v>505989.39282954135</v>
      </c>
      <c r="M209" s="102">
        <f t="shared" si="235"/>
        <v>509915.25920416747</v>
      </c>
      <c r="N209" s="102">
        <f t="shared" si="232"/>
        <v>486158.8612717861</v>
      </c>
      <c r="O209" s="102">
        <f t="shared" si="232"/>
        <v>495375.27448005643</v>
      </c>
      <c r="P209" s="102">
        <f t="shared" si="232"/>
        <v>497964.36852582917</v>
      </c>
      <c r="Q209" s="102">
        <f t="shared" si="232"/>
        <v>497248.07816775178</v>
      </c>
      <c r="R209" s="102">
        <f t="shared" si="232"/>
        <v>492530.00543179479</v>
      </c>
      <c r="S209" s="102">
        <f t="shared" si="232"/>
        <v>489196.74045585975</v>
      </c>
      <c r="T209" s="102">
        <f t="shared" si="232"/>
        <v>486823.79526995978</v>
      </c>
      <c r="U209" s="102">
        <f t="shared" si="232"/>
        <v>489855.70809881995</v>
      </c>
      <c r="V209" s="102">
        <f t="shared" si="232"/>
        <v>473472.24171187333</v>
      </c>
      <c r="W209" s="102">
        <f t="shared" si="234"/>
        <v>481916.08946148423</v>
      </c>
      <c r="X209" s="102">
        <f t="shared" si="234"/>
        <v>485065.39123473549</v>
      </c>
      <c r="Y209" s="102">
        <f t="shared" si="234"/>
        <v>488339.38383127359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105507.49681721647</v>
      </c>
      <c r="C210" s="28">
        <f t="shared" si="232"/>
        <v>97590.004568000295</v>
      </c>
      <c r="D210" s="28">
        <f t="shared" si="232"/>
        <v>100321.91169410167</v>
      </c>
      <c r="E210" s="28">
        <f t="shared" si="232"/>
        <v>96969.822940003578</v>
      </c>
      <c r="F210" s="28">
        <f t="shared" ref="B210:V219" si="236">IF(F19=0,0,F19*1000000/F73)</f>
        <v>98652.363263087565</v>
      </c>
      <c r="G210" s="28">
        <f t="shared" si="236"/>
        <v>99024.270735346217</v>
      </c>
      <c r="H210" s="28">
        <f t="shared" si="236"/>
        <v>98807.808090502062</v>
      </c>
      <c r="I210" s="28">
        <f t="shared" si="236"/>
        <v>96470.579617763404</v>
      </c>
      <c r="J210" s="28">
        <f t="shared" si="236"/>
        <v>97381.530146305871</v>
      </c>
      <c r="K210" s="28">
        <f t="shared" si="236"/>
        <v>81111.964857063533</v>
      </c>
      <c r="L210" s="28">
        <f t="shared" si="236"/>
        <v>83740.196424719616</v>
      </c>
      <c r="M210" s="28">
        <f t="shared" si="235"/>
        <v>79723.945646947643</v>
      </c>
      <c r="N210" s="28">
        <f t="shared" si="236"/>
        <v>73793.741343755784</v>
      </c>
      <c r="O210" s="28">
        <f t="shared" si="236"/>
        <v>75608.442467063069</v>
      </c>
      <c r="P210" s="28">
        <f t="shared" si="236"/>
        <v>86795.291198320541</v>
      </c>
      <c r="Q210" s="28">
        <f t="shared" si="236"/>
        <v>85648.130831516726</v>
      </c>
      <c r="R210" s="28">
        <f t="shared" si="236"/>
        <v>85830.15181479053</v>
      </c>
      <c r="S210" s="28">
        <f t="shared" si="236"/>
        <v>81843.042418848956</v>
      </c>
      <c r="T210" s="28">
        <f t="shared" si="236"/>
        <v>83246.210704433906</v>
      </c>
      <c r="U210" s="28">
        <f t="shared" si="236"/>
        <v>79758.219252039577</v>
      </c>
      <c r="V210" s="28">
        <f t="shared" si="236"/>
        <v>79743.962771449878</v>
      </c>
      <c r="W210" s="28">
        <f t="shared" ref="W210:Y210" si="237">IF(W19=0,0,W19*1000000/W73)</f>
        <v>86189.660704544673</v>
      </c>
      <c r="X210" s="28">
        <f t="shared" si="237"/>
        <v>85292.051399628472</v>
      </c>
      <c r="Y210" s="28">
        <f t="shared" si="237"/>
        <v>76622.298824968966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2577.1237895656323</v>
      </c>
      <c r="C211" s="137">
        <f t="shared" si="236"/>
        <v>2840.5198247505755</v>
      </c>
      <c r="D211" s="137">
        <f t="shared" si="236"/>
        <v>2973.3665212548644</v>
      </c>
      <c r="E211" s="137">
        <f t="shared" si="236"/>
        <v>3102.1030990904937</v>
      </c>
      <c r="F211" s="137">
        <f t="shared" si="236"/>
        <v>3257.15799832323</v>
      </c>
      <c r="G211" s="137">
        <f t="shared" si="236"/>
        <v>2970.497992799591</v>
      </c>
      <c r="H211" s="137">
        <f t="shared" si="236"/>
        <v>3087.9874845289291</v>
      </c>
      <c r="I211" s="137">
        <f t="shared" si="236"/>
        <v>3098.2784345437303</v>
      </c>
      <c r="J211" s="137">
        <f t="shared" si="236"/>
        <v>3120.6645633288572</v>
      </c>
      <c r="K211" s="137">
        <f t="shared" si="236"/>
        <v>3107.9078529059407</v>
      </c>
      <c r="L211" s="137">
        <f t="shared" si="236"/>
        <v>3290.3774313376066</v>
      </c>
      <c r="M211" s="137">
        <f t="shared" si="235"/>
        <v>3266.822687447444</v>
      </c>
      <c r="N211" s="137">
        <f t="shared" si="236"/>
        <v>3324.8527995454392</v>
      </c>
      <c r="O211" s="137">
        <f t="shared" si="236"/>
        <v>3288.0844574456496</v>
      </c>
      <c r="P211" s="137">
        <f t="shared" si="236"/>
        <v>3276.3377039576467</v>
      </c>
      <c r="Q211" s="137">
        <f t="shared" si="236"/>
        <v>3375.5707531899575</v>
      </c>
      <c r="R211" s="137">
        <f t="shared" si="236"/>
        <v>3353.4995952482732</v>
      </c>
      <c r="S211" s="137">
        <f t="shared" si="236"/>
        <v>3459.7764400241622</v>
      </c>
      <c r="T211" s="137">
        <f t="shared" si="236"/>
        <v>3375.7287177623671</v>
      </c>
      <c r="U211" s="137">
        <f t="shared" si="236"/>
        <v>3375.565126937056</v>
      </c>
      <c r="V211" s="137">
        <f t="shared" si="236"/>
        <v>3394.4885496063625</v>
      </c>
      <c r="W211" s="137">
        <f t="shared" ref="W211:Y211" si="238">IF(W20=0,0,W20*1000000/W74)</f>
        <v>3436.204531654781</v>
      </c>
      <c r="X211" s="137">
        <f t="shared" si="238"/>
        <v>3300.5289735654569</v>
      </c>
      <c r="Y211" s="137">
        <f t="shared" si="238"/>
        <v>3293.5037770285489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1372.7322660828363</v>
      </c>
      <c r="C212" s="84">
        <f t="shared" si="236"/>
        <v>1393.1529353621954</v>
      </c>
      <c r="D212" s="84">
        <f t="shared" si="236"/>
        <v>1368.4866335495039</v>
      </c>
      <c r="E212" s="84">
        <f t="shared" si="236"/>
        <v>1307.96411091354</v>
      </c>
      <c r="F212" s="84">
        <f t="shared" si="236"/>
        <v>1261.2882837739587</v>
      </c>
      <c r="G212" s="84">
        <f t="shared" si="236"/>
        <v>1251.0172341637299</v>
      </c>
      <c r="H212" s="84">
        <f t="shared" si="236"/>
        <v>1207.6483855043557</v>
      </c>
      <c r="I212" s="84">
        <f t="shared" si="236"/>
        <v>1205.6060457049557</v>
      </c>
      <c r="J212" s="84">
        <f t="shared" si="236"/>
        <v>1188.6112958850194</v>
      </c>
      <c r="K212" s="84">
        <f t="shared" si="236"/>
        <v>1171.2643868712071</v>
      </c>
      <c r="L212" s="84">
        <f t="shared" si="236"/>
        <v>1133.9489994974706</v>
      </c>
      <c r="M212" s="84">
        <f t="shared" si="235"/>
        <v>1146.4488634823645</v>
      </c>
      <c r="N212" s="84">
        <f t="shared" si="236"/>
        <v>1139.0638419001577</v>
      </c>
      <c r="O212" s="84">
        <f t="shared" si="236"/>
        <v>1130.4533861651585</v>
      </c>
      <c r="P212" s="84">
        <f t="shared" si="236"/>
        <v>1120.9599818973481</v>
      </c>
      <c r="Q212" s="84">
        <f t="shared" si="236"/>
        <v>1161.5012367557374</v>
      </c>
      <c r="R212" s="84">
        <f t="shared" si="236"/>
        <v>1063.9357375743316</v>
      </c>
      <c r="S212" s="84">
        <f t="shared" si="236"/>
        <v>1007.9211944730084</v>
      </c>
      <c r="T212" s="84">
        <f t="shared" si="236"/>
        <v>1027.6394173588528</v>
      </c>
      <c r="U212" s="84">
        <f t="shared" si="236"/>
        <v>1045.2551433480351</v>
      </c>
      <c r="V212" s="84">
        <f t="shared" si="236"/>
        <v>1072.5130342521213</v>
      </c>
      <c r="W212" s="84">
        <f t="shared" ref="W212:Y212" si="239">IF(W21=0,0,W21*1000000/W75)</f>
        <v>1162.0167736187821</v>
      </c>
      <c r="X212" s="84">
        <f t="shared" si="239"/>
        <v>1293.6239224802355</v>
      </c>
      <c r="Y212" s="84">
        <f t="shared" si="239"/>
        <v>1391.8558006091725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4390.110593858155</v>
      </c>
      <c r="C213" s="84">
        <f t="shared" si="236"/>
        <v>4546.8020947077921</v>
      </c>
      <c r="D213" s="84">
        <f t="shared" si="236"/>
        <v>4541.1010959547903</v>
      </c>
      <c r="E213" s="84">
        <f t="shared" si="236"/>
        <v>4562.740439488015</v>
      </c>
      <c r="F213" s="84">
        <f t="shared" si="236"/>
        <v>4594.480695775369</v>
      </c>
      <c r="G213" s="84">
        <f t="shared" si="236"/>
        <v>3927.140076328647</v>
      </c>
      <c r="H213" s="84">
        <f t="shared" si="236"/>
        <v>3967.3641814025632</v>
      </c>
      <c r="I213" s="84">
        <f t="shared" si="236"/>
        <v>3838.7117725442827</v>
      </c>
      <c r="J213" s="84">
        <f t="shared" si="236"/>
        <v>3777.0430951888493</v>
      </c>
      <c r="K213" s="84">
        <f t="shared" si="236"/>
        <v>3703.3769272515888</v>
      </c>
      <c r="L213" s="84">
        <f t="shared" si="236"/>
        <v>3882.8135565582716</v>
      </c>
      <c r="M213" s="84">
        <f t="shared" si="235"/>
        <v>3755.9963078098513</v>
      </c>
      <c r="N213" s="84">
        <f t="shared" si="236"/>
        <v>3763.8482401032461</v>
      </c>
      <c r="O213" s="84">
        <f t="shared" si="236"/>
        <v>3654.1631124866299</v>
      </c>
      <c r="P213" s="84">
        <f t="shared" si="236"/>
        <v>3604.1437511955191</v>
      </c>
      <c r="Q213" s="84">
        <f t="shared" si="236"/>
        <v>3675.0336743473031</v>
      </c>
      <c r="R213" s="84">
        <f t="shared" si="236"/>
        <v>3628.4326921393381</v>
      </c>
      <c r="S213" s="84">
        <f t="shared" si="236"/>
        <v>3727.8877122170165</v>
      </c>
      <c r="T213" s="84">
        <f t="shared" si="236"/>
        <v>3629.790221972873</v>
      </c>
      <c r="U213" s="84">
        <f t="shared" si="236"/>
        <v>3624.3749060737155</v>
      </c>
      <c r="V213" s="84">
        <f t="shared" si="236"/>
        <v>3646.2009098000481</v>
      </c>
      <c r="W213" s="84">
        <f t="shared" ref="W213:Y213" si="240">IF(W22=0,0,W22*1000000/W76)</f>
        <v>3686.2392393587402</v>
      </c>
      <c r="X213" s="84">
        <f t="shared" si="240"/>
        <v>3538.5378093787185</v>
      </c>
      <c r="Y213" s="84">
        <f t="shared" si="240"/>
        <v>3542.9534861964289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0</v>
      </c>
      <c r="P214" s="84">
        <f t="shared" si="236"/>
        <v>0</v>
      </c>
      <c r="Q214" s="84">
        <f t="shared" si="236"/>
        <v>0</v>
      </c>
      <c r="R214" s="84">
        <f t="shared" si="236"/>
        <v>0</v>
      </c>
      <c r="S214" s="84">
        <f t="shared" si="236"/>
        <v>0</v>
      </c>
      <c r="T214" s="84">
        <f t="shared" si="236"/>
        <v>0</v>
      </c>
      <c r="U214" s="84">
        <f t="shared" si="236"/>
        <v>0</v>
      </c>
      <c r="V214" s="84">
        <f t="shared" si="236"/>
        <v>0</v>
      </c>
      <c r="W214" s="84">
        <f t="shared" ref="W214:Y214" si="241">IF(W23=0,0,W23*1000000/W77)</f>
        <v>0</v>
      </c>
      <c r="X214" s="84">
        <f t="shared" si="241"/>
        <v>0</v>
      </c>
      <c r="Y214" s="84">
        <f t="shared" si="241"/>
        <v>0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1609.2266322951818</v>
      </c>
      <c r="D215" s="84">
        <f t="shared" si="236"/>
        <v>1665.5583203168846</v>
      </c>
      <c r="E215" s="84">
        <f t="shared" si="236"/>
        <v>1720.5633232042726</v>
      </c>
      <c r="F215" s="84">
        <f t="shared" si="236"/>
        <v>1794.0259009922129</v>
      </c>
      <c r="G215" s="84">
        <f t="shared" si="236"/>
        <v>1628.3936735214379</v>
      </c>
      <c r="H215" s="84">
        <f t="shared" si="236"/>
        <v>1673.5222537878117</v>
      </c>
      <c r="I215" s="84">
        <f t="shared" si="236"/>
        <v>1658.6769392796848</v>
      </c>
      <c r="J215" s="84">
        <f t="shared" si="236"/>
        <v>1671.8536950211978</v>
      </c>
      <c r="K215" s="84">
        <f t="shared" si="236"/>
        <v>1661.0768274647687</v>
      </c>
      <c r="L215" s="84">
        <f t="shared" si="236"/>
        <v>1739.2007920011115</v>
      </c>
      <c r="M215" s="84">
        <f t="shared" si="235"/>
        <v>1692.2898966371206</v>
      </c>
      <c r="N215" s="84">
        <f t="shared" si="236"/>
        <v>1710.4091863019685</v>
      </c>
      <c r="O215" s="84">
        <f t="shared" si="236"/>
        <v>1697.3693063002754</v>
      </c>
      <c r="P215" s="84">
        <f t="shared" si="236"/>
        <v>1696.6098165461067</v>
      </c>
      <c r="Q215" s="84">
        <f t="shared" si="236"/>
        <v>1760.3151025999714</v>
      </c>
      <c r="R215" s="84">
        <f t="shared" si="236"/>
        <v>1767.982166454861</v>
      </c>
      <c r="S215" s="84">
        <f t="shared" si="236"/>
        <v>1824.8185213719953</v>
      </c>
      <c r="T215" s="84">
        <f t="shared" si="236"/>
        <v>1762.3638194396519</v>
      </c>
      <c r="U215" s="84">
        <f t="shared" si="236"/>
        <v>1750.0254191975041</v>
      </c>
      <c r="V215" s="84">
        <f t="shared" si="236"/>
        <v>1723.3534288729554</v>
      </c>
      <c r="W215" s="84">
        <f t="shared" ref="W215:Y215" si="242">IF(W24=0,0,W24*1000000/W78)</f>
        <v>1716.6970856693836</v>
      </c>
      <c r="X215" s="84">
        <f t="shared" si="242"/>
        <v>1780.9497882047913</v>
      </c>
      <c r="Y215" s="84">
        <f t="shared" si="242"/>
        <v>1775.2539892009625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1464.0237417908236</v>
      </c>
      <c r="H216" s="84">
        <f t="shared" si="236"/>
        <v>1465.8440209059152</v>
      </c>
      <c r="I216" s="84">
        <f t="shared" si="236"/>
        <v>1466.4378265844077</v>
      </c>
      <c r="J216" s="84">
        <f t="shared" si="236"/>
        <v>1466.9653556607416</v>
      </c>
      <c r="K216" s="84">
        <f t="shared" si="236"/>
        <v>1467.3966351486808</v>
      </c>
      <c r="L216" s="84">
        <f t="shared" si="236"/>
        <v>1470.4653383271891</v>
      </c>
      <c r="M216" s="84">
        <f t="shared" si="235"/>
        <v>1472.2940699487267</v>
      </c>
      <c r="N216" s="84">
        <f t="shared" si="236"/>
        <v>1473.0069701383661</v>
      </c>
      <c r="O216" s="84">
        <f t="shared" si="236"/>
        <v>1473.5194679483627</v>
      </c>
      <c r="P216" s="84">
        <f t="shared" si="236"/>
        <v>1473.549444410156</v>
      </c>
      <c r="Q216" s="84">
        <f t="shared" si="236"/>
        <v>1475.4810943592681</v>
      </c>
      <c r="R216" s="84">
        <f t="shared" si="236"/>
        <v>1475.2387184817394</v>
      </c>
      <c r="S216" s="84">
        <f t="shared" si="236"/>
        <v>1473.1184704657169</v>
      </c>
      <c r="T216" s="84">
        <f t="shared" si="236"/>
        <v>1470.7884653203853</v>
      </c>
      <c r="U216" s="84">
        <f t="shared" si="236"/>
        <v>1470.3188457479073</v>
      </c>
      <c r="V216" s="84">
        <f t="shared" si="236"/>
        <v>1463.0009110362785</v>
      </c>
      <c r="W216" s="84">
        <f t="shared" ref="W216:Y216" si="243">IF(W25=0,0,W25*1000000/W79)</f>
        <v>1470.1031501530283</v>
      </c>
      <c r="X216" s="84">
        <f t="shared" si="243"/>
        <v>1468.149128259784</v>
      </c>
      <c r="Y216" s="84">
        <f t="shared" si="243"/>
        <v>1468.3629133888032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486940.59711963084</v>
      </c>
      <c r="C217" s="110">
        <f t="shared" si="236"/>
        <v>474652.80806492525</v>
      </c>
      <c r="D217" s="110">
        <f t="shared" si="236"/>
        <v>511317.17754557595</v>
      </c>
      <c r="E217" s="110">
        <f t="shared" si="236"/>
        <v>516393.71438233351</v>
      </c>
      <c r="F217" s="110">
        <f t="shared" si="236"/>
        <v>537069.77633536374</v>
      </c>
      <c r="G217" s="110">
        <f t="shared" si="236"/>
        <v>558274.98289377487</v>
      </c>
      <c r="H217" s="110">
        <f t="shared" si="236"/>
        <v>561221.4907472987</v>
      </c>
      <c r="I217" s="110">
        <f t="shared" si="236"/>
        <v>562216.14301728678</v>
      </c>
      <c r="J217" s="110">
        <f t="shared" si="236"/>
        <v>583209.32344925753</v>
      </c>
      <c r="K217" s="110">
        <f t="shared" si="236"/>
        <v>496259.18181746715</v>
      </c>
      <c r="L217" s="110">
        <f t="shared" si="236"/>
        <v>512471.14338933048</v>
      </c>
      <c r="M217" s="110">
        <f t="shared" si="235"/>
        <v>498386.75556758506</v>
      </c>
      <c r="N217" s="110">
        <f t="shared" si="236"/>
        <v>455962.46347470616</v>
      </c>
      <c r="O217" s="110">
        <f t="shared" si="236"/>
        <v>503839.84013960417</v>
      </c>
      <c r="P217" s="110">
        <f t="shared" si="236"/>
        <v>599450.78992698761</v>
      </c>
      <c r="Q217" s="110">
        <f t="shared" si="236"/>
        <v>597463.14533511025</v>
      </c>
      <c r="R217" s="110">
        <f t="shared" si="236"/>
        <v>603676.18986684701</v>
      </c>
      <c r="S217" s="110">
        <f t="shared" si="236"/>
        <v>585450.20447274426</v>
      </c>
      <c r="T217" s="110">
        <f t="shared" si="236"/>
        <v>602943.86125057051</v>
      </c>
      <c r="U217" s="110">
        <f t="shared" si="236"/>
        <v>590703.16890504758</v>
      </c>
      <c r="V217" s="110">
        <f t="shared" si="236"/>
        <v>596604.2555132386</v>
      </c>
      <c r="W217" s="110">
        <f t="shared" ref="W217:Y217" si="244">IF(W26=0,0,W26*1000000/W80)</f>
        <v>645076.12623194733</v>
      </c>
      <c r="X217" s="110">
        <f t="shared" si="244"/>
        <v>642293.44139343803</v>
      </c>
      <c r="Y217" s="110">
        <f t="shared" si="244"/>
        <v>585044.40296396858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426015.22498848644</v>
      </c>
      <c r="C218" s="163">
        <f t="shared" si="236"/>
        <v>407986.27656532929</v>
      </c>
      <c r="D218" s="163">
        <f t="shared" si="236"/>
        <v>442504.69108346652</v>
      </c>
      <c r="E218" s="163">
        <f t="shared" si="236"/>
        <v>445929.28505633102</v>
      </c>
      <c r="F218" s="163">
        <f t="shared" si="236"/>
        <v>459524.04380034021</v>
      </c>
      <c r="G218" s="163">
        <f t="shared" si="236"/>
        <v>481557.03580349707</v>
      </c>
      <c r="H218" s="163">
        <f t="shared" si="236"/>
        <v>479890.69411939773</v>
      </c>
      <c r="I218" s="163">
        <f t="shared" si="236"/>
        <v>481141.6786748278</v>
      </c>
      <c r="J218" s="163">
        <f t="shared" si="236"/>
        <v>508821.79439051857</v>
      </c>
      <c r="K218" s="163">
        <f t="shared" si="236"/>
        <v>429647.16582403769</v>
      </c>
      <c r="L218" s="163">
        <f t="shared" si="236"/>
        <v>437775.01370889007</v>
      </c>
      <c r="M218" s="163">
        <f t="shared" si="235"/>
        <v>427266.68031109293</v>
      </c>
      <c r="N218" s="163">
        <f t="shared" si="236"/>
        <v>383798.812081385</v>
      </c>
      <c r="O218" s="163">
        <f t="shared" si="236"/>
        <v>420494.21589431172</v>
      </c>
      <c r="P218" s="163">
        <f t="shared" si="236"/>
        <v>530838.87202210003</v>
      </c>
      <c r="Q218" s="163">
        <f t="shared" si="236"/>
        <v>520559.54755334556</v>
      </c>
      <c r="R218" s="163">
        <f t="shared" si="236"/>
        <v>525076.90250100312</v>
      </c>
      <c r="S218" s="163">
        <f t="shared" si="236"/>
        <v>506110.4474869062</v>
      </c>
      <c r="T218" s="163">
        <f t="shared" si="236"/>
        <v>524596.50888261024</v>
      </c>
      <c r="U218" s="163">
        <f t="shared" si="236"/>
        <v>516507.8547514808</v>
      </c>
      <c r="V218" s="163">
        <f t="shared" si="236"/>
        <v>523000.24406849331</v>
      </c>
      <c r="W218" s="163">
        <f t="shared" ref="W218:Y218" si="245">IF(W27=0,0,W27*1000000/W81)</f>
        <v>569698.20347091451</v>
      </c>
      <c r="X218" s="163">
        <f t="shared" si="245"/>
        <v>575114.68610569974</v>
      </c>
      <c r="Y218" s="163">
        <f t="shared" si="245"/>
        <v>511992.67855554004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1211819.9722935013</v>
      </c>
      <c r="C219" s="86">
        <f t="shared" si="236"/>
        <v>1210780.8004246398</v>
      </c>
      <c r="D219" s="86">
        <f t="shared" si="236"/>
        <v>1218764.2107717062</v>
      </c>
      <c r="E219" s="86">
        <f t="shared" si="236"/>
        <v>1211531.7621090729</v>
      </c>
      <c r="F219" s="86">
        <f t="shared" si="236"/>
        <v>1189468.1867272877</v>
      </c>
      <c r="G219" s="86">
        <f t="shared" si="236"/>
        <v>1189935.7766923828</v>
      </c>
      <c r="H219" s="86">
        <f t="shared" si="236"/>
        <v>1197552.3351091805</v>
      </c>
      <c r="I219" s="86">
        <f t="shared" si="236"/>
        <v>1199845.1413804209</v>
      </c>
      <c r="J219" s="86">
        <f t="shared" si="236"/>
        <v>1182843.7141801794</v>
      </c>
      <c r="K219" s="86">
        <f t="shared" si="236"/>
        <v>1167189.2623461958</v>
      </c>
      <c r="L219" s="86">
        <f t="shared" si="236"/>
        <v>1205135.7744294954</v>
      </c>
      <c r="M219" s="86">
        <f t="shared" si="235"/>
        <v>1201368.5488728744</v>
      </c>
      <c r="N219" s="86">
        <f t="shared" si="236"/>
        <v>1197272.3083083434</v>
      </c>
      <c r="O219" s="86">
        <f t="shared" si="236"/>
        <v>1198894.1982852132</v>
      </c>
      <c r="P219" s="86">
        <f t="shared" si="236"/>
        <v>1201808.8954668108</v>
      </c>
      <c r="Q219" s="86">
        <f t="shared" si="236"/>
        <v>1190478.7531325123</v>
      </c>
      <c r="R219" s="86">
        <f t="shared" si="236"/>
        <v>1184337.0649132009</v>
      </c>
      <c r="S219" s="86">
        <f t="shared" si="236"/>
        <v>1191018.987854983</v>
      </c>
      <c r="T219" s="86">
        <f t="shared" si="236"/>
        <v>1202487.9060124396</v>
      </c>
      <c r="U219" s="86">
        <f t="shared" si="236"/>
        <v>1195257.5805267023</v>
      </c>
      <c r="V219" s="86">
        <f t="shared" si="236"/>
        <v>1178256.0146178054</v>
      </c>
      <c r="W219" s="86">
        <f t="shared" ref="W219:Y219" si="246">IF(W28=0,0,W28*1000000/W82)</f>
        <v>1193886.0583603519</v>
      </c>
      <c r="X219" s="86">
        <f t="shared" si="246"/>
        <v>1189496.3144963144</v>
      </c>
      <c r="Y219" s="86">
        <f t="shared" si="246"/>
        <v>1176198.3131042996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4.2416119999885392E-3</v>
      </c>
      <c r="C223" s="154">
        <f t="shared" si="251"/>
        <v>4.5819387271891542E-3</v>
      </c>
      <c r="D223" s="154">
        <f t="shared" si="251"/>
        <v>5.0953966094998771E-3</v>
      </c>
      <c r="E223" s="154">
        <f t="shared" si="251"/>
        <v>5.4759210340106571E-3</v>
      </c>
      <c r="F223" s="154">
        <f t="shared" si="251"/>
        <v>5.8552218152922997E-3</v>
      </c>
      <c r="G223" s="154">
        <f t="shared" si="251"/>
        <v>6.0472104296621192E-3</v>
      </c>
      <c r="H223" s="154">
        <f t="shared" si="251"/>
        <v>6.6125719708797484E-3</v>
      </c>
      <c r="I223" s="154">
        <f t="shared" si="251"/>
        <v>7.2162551453667668E-3</v>
      </c>
      <c r="J223" s="154">
        <f t="shared" si="251"/>
        <v>7.0615304400588191E-3</v>
      </c>
      <c r="K223" s="154">
        <f t="shared" si="251"/>
        <v>7.1694524672795542E-3</v>
      </c>
      <c r="L223" s="154">
        <f t="shared" ref="L223" si="252">IF(L5=0,0,L5/L$4)</f>
        <v>6.8683365722862688E-3</v>
      </c>
      <c r="M223" s="154">
        <f t="shared" ref="M223:V223" si="253">IF(M5=0,0,M5/M$4)</f>
        <v>6.5697176950102647E-3</v>
      </c>
      <c r="N223" s="154">
        <f t="shared" si="253"/>
        <v>5.7412534432646741E-3</v>
      </c>
      <c r="O223" s="154">
        <f t="shared" si="253"/>
        <v>6.3970116172330635E-3</v>
      </c>
      <c r="P223" s="154">
        <f t="shared" si="253"/>
        <v>6.3161627625188772E-3</v>
      </c>
      <c r="Q223" s="154">
        <f t="shared" si="253"/>
        <v>6.2683991977365129E-3</v>
      </c>
      <c r="R223" s="154">
        <f t="shared" si="253"/>
        <v>7.7688189981303685E-3</v>
      </c>
      <c r="S223" s="154">
        <f t="shared" si="253"/>
        <v>7.2523030738309117E-3</v>
      </c>
      <c r="T223" s="154">
        <f t="shared" si="253"/>
        <v>6.8720367465451631E-3</v>
      </c>
      <c r="U223" s="154">
        <f t="shared" si="253"/>
        <v>7.3623459757638189E-3</v>
      </c>
      <c r="V223" s="154">
        <f t="shared" si="253"/>
        <v>7.0219383146648603E-3</v>
      </c>
      <c r="W223" s="154">
        <f t="shared" ref="W223:Y223" si="254">IF(W5=0,0,W5/W$4)</f>
        <v>7.3546704211016499E-3</v>
      </c>
      <c r="X223" s="154">
        <f t="shared" si="254"/>
        <v>7.0088492670878919E-3</v>
      </c>
      <c r="Y223" s="154">
        <f t="shared" si="254"/>
        <v>7.0117885452712419E-3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0.91439679616516445</v>
      </c>
      <c r="C224" s="156">
        <f t="shared" si="255"/>
        <v>0.91495569446582115</v>
      </c>
      <c r="D224" s="156">
        <f t="shared" si="255"/>
        <v>0.91504602964223569</v>
      </c>
      <c r="E224" s="156">
        <f t="shared" si="255"/>
        <v>0.91501407273274094</v>
      </c>
      <c r="F224" s="156">
        <f t="shared" si="255"/>
        <v>0.91591506021580926</v>
      </c>
      <c r="G224" s="156">
        <f t="shared" si="255"/>
        <v>0.91549958887269789</v>
      </c>
      <c r="H224" s="156">
        <f t="shared" si="255"/>
        <v>0.91447156967672849</v>
      </c>
      <c r="I224" s="156">
        <f t="shared" si="255"/>
        <v>0.91464464207705665</v>
      </c>
      <c r="J224" s="156">
        <f t="shared" si="255"/>
        <v>0.9162109736125581</v>
      </c>
      <c r="K224" s="156">
        <f t="shared" si="255"/>
        <v>0.91518947033429332</v>
      </c>
      <c r="L224" s="156">
        <f t="shared" ref="L224" si="256">IF(L6=0,0,L6/L$4)</f>
        <v>0.91383171826586584</v>
      </c>
      <c r="M224" s="156">
        <f t="shared" ref="M224:V224" si="257">IF(M6=0,0,M6/M$4)</f>
        <v>0.91267482582232784</v>
      </c>
      <c r="N224" s="156">
        <f t="shared" si="257"/>
        <v>0.91390209620987395</v>
      </c>
      <c r="O224" s="156">
        <f t="shared" si="257"/>
        <v>0.91177208901142748</v>
      </c>
      <c r="P224" s="156">
        <f t="shared" si="257"/>
        <v>0.91338001651550382</v>
      </c>
      <c r="Q224" s="156">
        <f t="shared" si="257"/>
        <v>0.91345004332093149</v>
      </c>
      <c r="R224" s="156">
        <f t="shared" si="257"/>
        <v>0.89786385983414019</v>
      </c>
      <c r="S224" s="156">
        <f t="shared" si="257"/>
        <v>0.89877528266390605</v>
      </c>
      <c r="T224" s="156">
        <f t="shared" si="257"/>
        <v>0.89987258037852447</v>
      </c>
      <c r="U224" s="156">
        <f t="shared" si="257"/>
        <v>0.8981345675675515</v>
      </c>
      <c r="V224" s="156">
        <f t="shared" si="257"/>
        <v>0.90289044829607978</v>
      </c>
      <c r="W224" s="156">
        <f t="shared" ref="W224:Y224" si="258">IF(W6=0,0,W6/W$4)</f>
        <v>0.90303235187808129</v>
      </c>
      <c r="X224" s="156">
        <f t="shared" si="258"/>
        <v>0.90372189272010139</v>
      </c>
      <c r="Y224" s="156">
        <f t="shared" si="258"/>
        <v>0.90806449804746459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0.81380911591131233</v>
      </c>
      <c r="C225" s="103">
        <f t="shared" si="259"/>
        <v>0.81909684559891438</v>
      </c>
      <c r="D225" s="103">
        <f t="shared" si="259"/>
        <v>0.81884767533469083</v>
      </c>
      <c r="E225" s="103">
        <f t="shared" si="259"/>
        <v>0.81655488409612931</v>
      </c>
      <c r="F225" s="103">
        <f t="shared" si="259"/>
        <v>0.81399702098016036</v>
      </c>
      <c r="G225" s="103">
        <f t="shared" si="259"/>
        <v>0.80490480926977459</v>
      </c>
      <c r="H225" s="103">
        <f t="shared" si="259"/>
        <v>0.78637487437649867</v>
      </c>
      <c r="I225" s="103">
        <f t="shared" si="259"/>
        <v>0.75103123955726414</v>
      </c>
      <c r="J225" s="103">
        <f t="shared" si="259"/>
        <v>0.723855354714664</v>
      </c>
      <c r="K225" s="103">
        <f t="shared" si="259"/>
        <v>0.69188324579958871</v>
      </c>
      <c r="L225" s="103">
        <f t="shared" ref="L225" si="260">IF(L7=0,0,L7/L$4)</f>
        <v>0.64264156171231068</v>
      </c>
      <c r="M225" s="103">
        <f t="shared" ref="M225:V225" si="261">IF(M7=0,0,M7/M$4)</f>
        <v>0.58426650257284496</v>
      </c>
      <c r="N225" s="103">
        <f t="shared" si="261"/>
        <v>0.53299070781430991</v>
      </c>
      <c r="O225" s="103">
        <f t="shared" si="261"/>
        <v>0.49401361479440642</v>
      </c>
      <c r="P225" s="103">
        <f t="shared" si="261"/>
        <v>0.45932481729884433</v>
      </c>
      <c r="Q225" s="103">
        <f t="shared" si="261"/>
        <v>0.42584768228401298</v>
      </c>
      <c r="R225" s="103">
        <f t="shared" si="261"/>
        <v>0.39132306200153172</v>
      </c>
      <c r="S225" s="103">
        <f t="shared" si="261"/>
        <v>0.37287924275197343</v>
      </c>
      <c r="T225" s="103">
        <f t="shared" si="261"/>
        <v>0.35981041384382279</v>
      </c>
      <c r="U225" s="103">
        <f t="shared" si="261"/>
        <v>0.35847250430731936</v>
      </c>
      <c r="V225" s="103">
        <f t="shared" si="261"/>
        <v>0.36004046318465344</v>
      </c>
      <c r="W225" s="103">
        <f t="shared" ref="W225:Y225" si="262">IF(W7=0,0,W7/W$4)</f>
        <v>0.35938747174152047</v>
      </c>
      <c r="X225" s="103">
        <f t="shared" si="262"/>
        <v>0.34955559709116502</v>
      </c>
      <c r="Y225" s="103">
        <f t="shared" si="262"/>
        <v>0.35828699701736577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0.10058768025385213</v>
      </c>
      <c r="C226" s="103">
        <f t="shared" si="263"/>
        <v>9.5858848866906682E-2</v>
      </c>
      <c r="D226" s="103">
        <f t="shared" si="263"/>
        <v>9.5896252064980772E-2</v>
      </c>
      <c r="E226" s="103">
        <f t="shared" si="263"/>
        <v>9.7867802159236572E-2</v>
      </c>
      <c r="F226" s="103">
        <f t="shared" si="263"/>
        <v>0.10100878701658809</v>
      </c>
      <c r="G226" s="103">
        <f t="shared" si="263"/>
        <v>0.10912974918026506</v>
      </c>
      <c r="H226" s="103">
        <f t="shared" si="263"/>
        <v>0.12664637606439438</v>
      </c>
      <c r="I226" s="103">
        <f t="shared" si="263"/>
        <v>0.16202755029426671</v>
      </c>
      <c r="J226" s="103">
        <f t="shared" si="263"/>
        <v>0.19052656183738501</v>
      </c>
      <c r="K226" s="103">
        <f t="shared" si="263"/>
        <v>0.22132047139235964</v>
      </c>
      <c r="L226" s="103">
        <f t="shared" ref="L226" si="264">IF(L8=0,0,L8/L$4)</f>
        <v>0.26722070449752439</v>
      </c>
      <c r="M226" s="103">
        <f t="shared" ref="M226:V226" si="265">IF(M8=0,0,M8/M$4)</f>
        <v>0.32283646322746151</v>
      </c>
      <c r="N226" s="103">
        <f t="shared" si="265"/>
        <v>0.37411262888528624</v>
      </c>
      <c r="O226" s="103">
        <f t="shared" si="265"/>
        <v>0.41035351813610166</v>
      </c>
      <c r="P226" s="103">
        <f t="shared" si="265"/>
        <v>0.44524711270639378</v>
      </c>
      <c r="Q226" s="103">
        <f t="shared" si="265"/>
        <v>0.47713414891311506</v>
      </c>
      <c r="R226" s="103">
        <f t="shared" si="265"/>
        <v>0.49329413499493979</v>
      </c>
      <c r="S226" s="103">
        <f t="shared" si="265"/>
        <v>0.5108088401448132</v>
      </c>
      <c r="T226" s="103">
        <f t="shared" si="265"/>
        <v>0.52214223473492039</v>
      </c>
      <c r="U226" s="103">
        <f t="shared" si="265"/>
        <v>0.51750547667150071</v>
      </c>
      <c r="V226" s="103">
        <f t="shared" si="265"/>
        <v>0.50685758930511859</v>
      </c>
      <c r="W226" s="103">
        <f t="shared" ref="W226:Y226" si="266">IF(W8=0,0,W8/W$4)</f>
        <v>0.48780439980236712</v>
      </c>
      <c r="X226" s="103">
        <f t="shared" si="266"/>
        <v>0.47168575106541366</v>
      </c>
      <c r="Y226" s="103">
        <f t="shared" si="266"/>
        <v>0.45585158055746883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0</v>
      </c>
      <c r="C227" s="103">
        <f t="shared" si="267"/>
        <v>0</v>
      </c>
      <c r="D227" s="103">
        <f t="shared" si="267"/>
        <v>0</v>
      </c>
      <c r="E227" s="103">
        <f t="shared" si="267"/>
        <v>0</v>
      </c>
      <c r="F227" s="103">
        <f t="shared" si="267"/>
        <v>0</v>
      </c>
      <c r="G227" s="103">
        <f t="shared" si="267"/>
        <v>1.2172616789192049E-4</v>
      </c>
      <c r="H227" s="103">
        <f t="shared" si="267"/>
        <v>1.1093012572474383E-4</v>
      </c>
      <c r="I227" s="103">
        <f t="shared" si="267"/>
        <v>1.057532681666274E-4</v>
      </c>
      <c r="J227" s="103">
        <f t="shared" si="267"/>
        <v>1.0985987598631386E-4</v>
      </c>
      <c r="K227" s="103">
        <f t="shared" si="267"/>
        <v>1.4035321980357258E-4</v>
      </c>
      <c r="L227" s="103">
        <f t="shared" ref="L227" si="268">IF(L9=0,0,L9/L$4)</f>
        <v>1.1687761150267864E-4</v>
      </c>
      <c r="M227" s="103">
        <f t="shared" ref="M227:V227" si="269">IF(M9=0,0,M9/M$4)</f>
        <v>1.5434560928404763E-4</v>
      </c>
      <c r="N227" s="103">
        <f t="shared" si="269"/>
        <v>1.4722435466919795E-4</v>
      </c>
      <c r="O227" s="103">
        <f t="shared" si="269"/>
        <v>1.4213707705794319E-4</v>
      </c>
      <c r="P227" s="103">
        <f t="shared" si="269"/>
        <v>1.3625844178351924E-4</v>
      </c>
      <c r="Q227" s="103">
        <f t="shared" si="269"/>
        <v>1.2971218181876564E-4</v>
      </c>
      <c r="R227" s="103">
        <f t="shared" si="269"/>
        <v>1.155901336168368E-4</v>
      </c>
      <c r="S227" s="103">
        <f t="shared" si="269"/>
        <v>0</v>
      </c>
      <c r="T227" s="103">
        <f t="shared" si="269"/>
        <v>0</v>
      </c>
      <c r="U227" s="103">
        <f t="shared" si="269"/>
        <v>0</v>
      </c>
      <c r="V227" s="103">
        <f t="shared" si="269"/>
        <v>0</v>
      </c>
      <c r="W227" s="103">
        <f t="shared" ref="W227:Y227" si="270">IF(W9=0,0,W9/W$4)</f>
        <v>0</v>
      </c>
      <c r="X227" s="103">
        <f t="shared" si="270"/>
        <v>0</v>
      </c>
      <c r="Y227" s="103">
        <f t="shared" si="270"/>
        <v>0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3.0210224256409089E-4</v>
      </c>
      <c r="E228" s="103">
        <f t="shared" si="271"/>
        <v>5.9138647737510608E-4</v>
      </c>
      <c r="F228" s="103">
        <f t="shared" si="271"/>
        <v>9.0925221906081087E-4</v>
      </c>
      <c r="G228" s="103">
        <f t="shared" si="271"/>
        <v>1.3433042547664068E-3</v>
      </c>
      <c r="H228" s="103">
        <f t="shared" si="271"/>
        <v>1.3393891101107023E-3</v>
      </c>
      <c r="I228" s="103">
        <f t="shared" si="271"/>
        <v>1.4800989573589684E-3</v>
      </c>
      <c r="J228" s="103">
        <f t="shared" si="271"/>
        <v>1.6579786343723735E-3</v>
      </c>
      <c r="K228" s="103">
        <f t="shared" si="271"/>
        <v>1.7728040564274166E-3</v>
      </c>
      <c r="L228" s="103">
        <f t="shared" ref="L228" si="272">IF(L10=0,0,L10/L$4)</f>
        <v>3.768162354001773E-3</v>
      </c>
      <c r="M228" s="103">
        <f t="shared" ref="M228:V228" si="273">IF(M10=0,0,M10/M$4)</f>
        <v>5.2601774624714565E-3</v>
      </c>
      <c r="N228" s="103">
        <f t="shared" si="273"/>
        <v>6.3359961117135238E-3</v>
      </c>
      <c r="O228" s="103">
        <f t="shared" si="273"/>
        <v>6.786141155622003E-3</v>
      </c>
      <c r="P228" s="103">
        <f t="shared" si="273"/>
        <v>7.4360922053101674E-3</v>
      </c>
      <c r="Q228" s="103">
        <f t="shared" si="273"/>
        <v>7.9303915409867053E-3</v>
      </c>
      <c r="R228" s="103">
        <f t="shared" si="273"/>
        <v>9.0922892680420381E-3</v>
      </c>
      <c r="S228" s="103">
        <f t="shared" si="273"/>
        <v>8.7772340202377595E-3</v>
      </c>
      <c r="T228" s="103">
        <f t="shared" si="273"/>
        <v>8.4285637466719222E-3</v>
      </c>
      <c r="U228" s="103">
        <f t="shared" si="273"/>
        <v>8.0490270688656218E-3</v>
      </c>
      <c r="V228" s="103">
        <f t="shared" si="273"/>
        <v>8.3561867049922293E-3</v>
      </c>
      <c r="W228" s="103">
        <f t="shared" ref="W228:Y228" si="274">IF(W10=0,0,W10/W$4)</f>
        <v>8.0336583166002295E-3</v>
      </c>
      <c r="X228" s="103">
        <f t="shared" si="274"/>
        <v>8.0441083700754801E-3</v>
      </c>
      <c r="Y228" s="103">
        <f t="shared" si="274"/>
        <v>6.2734038446114878E-3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2.4975586592237563E-5</v>
      </c>
      <c r="K229" s="103">
        <f t="shared" si="275"/>
        <v>2.9743687347385087E-5</v>
      </c>
      <c r="L229" s="103">
        <f t="shared" ref="L229" si="276">IF(L11=0,0,L11/L$4)</f>
        <v>3.3935091974140441E-5</v>
      </c>
      <c r="M229" s="103">
        <f t="shared" ref="M229:V229" si="277">IF(M11=0,0,M11/M$4)</f>
        <v>6.3467259348741194E-5</v>
      </c>
      <c r="N229" s="103">
        <f t="shared" si="277"/>
        <v>1.6348212152609318E-4</v>
      </c>
      <c r="O229" s="103">
        <f t="shared" si="277"/>
        <v>2.2926033225080972E-4</v>
      </c>
      <c r="P229" s="103">
        <f t="shared" si="277"/>
        <v>7.2891833861848596E-4</v>
      </c>
      <c r="Q229" s="103">
        <f t="shared" si="277"/>
        <v>1.364710784634195E-3</v>
      </c>
      <c r="R229" s="103">
        <f t="shared" si="277"/>
        <v>2.4890435820027149E-3</v>
      </c>
      <c r="S229" s="103">
        <f t="shared" si="277"/>
        <v>4.1134083204871046E-3</v>
      </c>
      <c r="T229" s="103">
        <f t="shared" si="277"/>
        <v>6.2249463481062655E-3</v>
      </c>
      <c r="U229" s="103">
        <f t="shared" si="277"/>
        <v>8.1657125725746564E-3</v>
      </c>
      <c r="V229" s="103">
        <f t="shared" si="277"/>
        <v>1.5920160764484173E-2</v>
      </c>
      <c r="W229" s="103">
        <f t="shared" ref="W229:Y229" si="278">IF(W11=0,0,W11/W$4)</f>
        <v>2.4570418726435131E-2</v>
      </c>
      <c r="X229" s="103">
        <f t="shared" si="278"/>
        <v>3.0900353090622848E-2</v>
      </c>
      <c r="Y229" s="103">
        <f t="shared" si="278"/>
        <v>2.9453037626489591E-2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3.6242963558134401E-5</v>
      </c>
      <c r="K230" s="103">
        <f t="shared" si="279"/>
        <v>4.2852178766695947E-5</v>
      </c>
      <c r="L230" s="103">
        <f t="shared" ref="L230" si="280">IF(L12=0,0,L12/L$4)</f>
        <v>5.047699855222544E-5</v>
      </c>
      <c r="M230" s="103">
        <f t="shared" ref="M230:V230" si="281">IF(M12=0,0,M12/M$4)</f>
        <v>9.3869690917157449E-5</v>
      </c>
      <c r="N230" s="103">
        <f t="shared" si="281"/>
        <v>1.5205692236893684E-4</v>
      </c>
      <c r="O230" s="103">
        <f t="shared" si="281"/>
        <v>2.474175159886285E-4</v>
      </c>
      <c r="P230" s="103">
        <f t="shared" si="281"/>
        <v>5.0681752455348811E-4</v>
      </c>
      <c r="Q230" s="103">
        <f t="shared" si="281"/>
        <v>1.0433976163636374E-3</v>
      </c>
      <c r="R230" s="103">
        <f t="shared" si="281"/>
        <v>1.5497398540069965E-3</v>
      </c>
      <c r="S230" s="103">
        <f t="shared" si="281"/>
        <v>2.1965574263946501E-3</v>
      </c>
      <c r="T230" s="103">
        <f t="shared" si="281"/>
        <v>3.2664217050030375E-3</v>
      </c>
      <c r="U230" s="103">
        <f t="shared" si="281"/>
        <v>5.9418469472913007E-3</v>
      </c>
      <c r="V230" s="103">
        <f t="shared" si="281"/>
        <v>1.1716048336831417E-2</v>
      </c>
      <c r="W230" s="103">
        <f t="shared" ref="W230:Y230" si="282">IF(W12=0,0,W12/W$4)</f>
        <v>2.3236403291158478E-2</v>
      </c>
      <c r="X230" s="103">
        <f t="shared" si="282"/>
        <v>4.353608310282446E-2</v>
      </c>
      <c r="Y230" s="103">
        <f t="shared" si="282"/>
        <v>5.8199479001528956E-2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8.1361591834846966E-2</v>
      </c>
      <c r="C231" s="156">
        <f t="shared" si="283"/>
        <v>8.0462366806989719E-2</v>
      </c>
      <c r="D231" s="156">
        <f t="shared" si="283"/>
        <v>7.9858573748264411E-2</v>
      </c>
      <c r="E231" s="156">
        <f t="shared" si="283"/>
        <v>7.9510006233248318E-2</v>
      </c>
      <c r="F231" s="156">
        <f t="shared" si="283"/>
        <v>7.8229717968898452E-2</v>
      </c>
      <c r="G231" s="156">
        <f t="shared" si="283"/>
        <v>7.8453200697639947E-2</v>
      </c>
      <c r="H231" s="156">
        <f t="shared" si="283"/>
        <v>7.8915858352391705E-2</v>
      </c>
      <c r="I231" s="156">
        <f t="shared" si="283"/>
        <v>7.8139102777576727E-2</v>
      </c>
      <c r="J231" s="156">
        <f t="shared" si="283"/>
        <v>7.672749594738304E-2</v>
      </c>
      <c r="K231" s="156">
        <f t="shared" si="283"/>
        <v>7.7641077198427055E-2</v>
      </c>
      <c r="L231" s="156">
        <f t="shared" ref="L231" si="284">IF(L13=0,0,L13/L$4)</f>
        <v>7.9299945161847796E-2</v>
      </c>
      <c r="M231" s="156">
        <f t="shared" ref="M231:V231" si="285">IF(M13=0,0,M13/M$4)</f>
        <v>8.0755456482661955E-2</v>
      </c>
      <c r="N231" s="156">
        <f t="shared" si="285"/>
        <v>8.0356650346861333E-2</v>
      </c>
      <c r="O231" s="156">
        <f t="shared" si="285"/>
        <v>8.1830899371339541E-2</v>
      </c>
      <c r="P231" s="156">
        <f t="shared" si="285"/>
        <v>8.0303820721977268E-2</v>
      </c>
      <c r="Q231" s="156">
        <f t="shared" si="285"/>
        <v>8.0281557481332005E-2</v>
      </c>
      <c r="R231" s="156">
        <f t="shared" si="285"/>
        <v>9.4367321167729376E-2</v>
      </c>
      <c r="S231" s="156">
        <f t="shared" si="285"/>
        <v>9.3972414262263104E-2</v>
      </c>
      <c r="T231" s="156">
        <f t="shared" si="285"/>
        <v>9.3255382874930376E-2</v>
      </c>
      <c r="U231" s="156">
        <f t="shared" si="285"/>
        <v>9.4503086456684648E-2</v>
      </c>
      <c r="V231" s="156">
        <f t="shared" si="285"/>
        <v>9.0087613389255264E-2</v>
      </c>
      <c r="W231" s="156">
        <f t="shared" ref="W231:Y231" si="286">IF(W13=0,0,W13/W$4)</f>
        <v>8.9612977700817026E-2</v>
      </c>
      <c r="X231" s="156">
        <f t="shared" si="286"/>
        <v>8.9269258012810743E-2</v>
      </c>
      <c r="Y231" s="156">
        <f t="shared" si="286"/>
        <v>8.4923713407264109E-2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1.6777126358132469E-3</v>
      </c>
      <c r="C232" s="103">
        <f t="shared" si="287"/>
        <v>1.3719253172263949E-3</v>
      </c>
      <c r="D232" s="103">
        <f t="shared" si="287"/>
        <v>1.1084991378146403E-3</v>
      </c>
      <c r="E232" s="103">
        <f t="shared" si="287"/>
        <v>8.7104649772669503E-4</v>
      </c>
      <c r="F232" s="103">
        <f t="shared" si="287"/>
        <v>6.5242934562441217E-4</v>
      </c>
      <c r="G232" s="103">
        <f t="shared" si="287"/>
        <v>4.6525693441018811E-4</v>
      </c>
      <c r="H232" s="103">
        <f t="shared" si="287"/>
        <v>3.843691447834898E-4</v>
      </c>
      <c r="I232" s="103">
        <f t="shared" si="287"/>
        <v>3.1544069311038311E-4</v>
      </c>
      <c r="J232" s="103">
        <f t="shared" si="287"/>
        <v>2.6087740373377771E-4</v>
      </c>
      <c r="K232" s="103">
        <f t="shared" si="287"/>
        <v>2.4077769526662887E-4</v>
      </c>
      <c r="L232" s="103">
        <f t="shared" ref="L232" si="288">IF(L14=0,0,L14/L$4)</f>
        <v>1.002849844302927E-4</v>
      </c>
      <c r="M232" s="103">
        <f t="shared" ref="M232:V232" si="289">IF(M14=0,0,M14/M$4)</f>
        <v>1.7835544019975959E-4</v>
      </c>
      <c r="N232" s="103">
        <f t="shared" si="289"/>
        <v>1.5010166781702917E-4</v>
      </c>
      <c r="O232" s="103">
        <f t="shared" si="289"/>
        <v>1.5020776749295829E-4</v>
      </c>
      <c r="P232" s="103">
        <f t="shared" si="289"/>
        <v>1.3820982966302188E-4</v>
      </c>
      <c r="Q232" s="103">
        <f t="shared" si="289"/>
        <v>1.2646536277097914E-4</v>
      </c>
      <c r="R232" s="103">
        <f t="shared" si="289"/>
        <v>1.6507359147745684E-4</v>
      </c>
      <c r="S232" s="103">
        <f t="shared" si="289"/>
        <v>1.5442981388813818E-4</v>
      </c>
      <c r="T232" s="103">
        <f t="shared" si="289"/>
        <v>1.5050387688072902E-4</v>
      </c>
      <c r="U232" s="103">
        <f t="shared" si="289"/>
        <v>1.3510774046572555E-4</v>
      </c>
      <c r="V232" s="103">
        <f t="shared" si="289"/>
        <v>1.414509140872197E-4</v>
      </c>
      <c r="W232" s="103">
        <f t="shared" ref="W232:Y232" si="290">IF(W14=0,0,W14/W$4)</f>
        <v>1.2979506987139129E-4</v>
      </c>
      <c r="X232" s="103">
        <f t="shared" si="290"/>
        <v>1.1817302231982211E-4</v>
      </c>
      <c r="Y232" s="103">
        <f t="shared" si="290"/>
        <v>1.1371206466032871E-4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7.7604272601526803E-2</v>
      </c>
      <c r="C233" s="103">
        <f t="shared" si="291"/>
        <v>7.6724172310753069E-2</v>
      </c>
      <c r="D233" s="103">
        <f t="shared" si="291"/>
        <v>7.6289859254670772E-2</v>
      </c>
      <c r="E233" s="103">
        <f t="shared" si="291"/>
        <v>7.6048288019546426E-2</v>
      </c>
      <c r="F233" s="103">
        <f t="shared" si="291"/>
        <v>7.4744051012520685E-2</v>
      </c>
      <c r="G233" s="103">
        <f t="shared" si="291"/>
        <v>7.1701404725176499E-2</v>
      </c>
      <c r="H233" s="103">
        <f t="shared" si="291"/>
        <v>7.4704275831721276E-2</v>
      </c>
      <c r="I233" s="103">
        <f t="shared" si="291"/>
        <v>7.3243795884440174E-2</v>
      </c>
      <c r="J233" s="103">
        <f t="shared" si="291"/>
        <v>7.0319497964650701E-2</v>
      </c>
      <c r="K233" s="103">
        <f t="shared" si="291"/>
        <v>6.9355668445174434E-2</v>
      </c>
      <c r="L233" s="103">
        <f t="shared" ref="L233" si="292">IF(L15=0,0,L15/L$4)</f>
        <v>6.9566606105109119E-2</v>
      </c>
      <c r="M233" s="103">
        <f t="shared" ref="M233:V233" si="293">IF(M15=0,0,M15/M$4)</f>
        <v>6.7670533318129153E-2</v>
      </c>
      <c r="N233" s="103">
        <f t="shared" si="293"/>
        <v>6.6682154000830093E-2</v>
      </c>
      <c r="O233" s="103">
        <f t="shared" si="293"/>
        <v>5.0415563650687487E-2</v>
      </c>
      <c r="P233" s="103">
        <f t="shared" si="293"/>
        <v>4.862997680120381E-2</v>
      </c>
      <c r="Q233" s="103">
        <f t="shared" si="293"/>
        <v>4.9155740351355809E-2</v>
      </c>
      <c r="R233" s="103">
        <f t="shared" si="293"/>
        <v>5.8812568044917538E-2</v>
      </c>
      <c r="S233" s="103">
        <f t="shared" si="293"/>
        <v>5.8199159278155749E-2</v>
      </c>
      <c r="T233" s="103">
        <f t="shared" si="293"/>
        <v>5.8918840256075099E-2</v>
      </c>
      <c r="U233" s="103">
        <f t="shared" si="293"/>
        <v>7.6417846205141318E-2</v>
      </c>
      <c r="V233" s="103">
        <f t="shared" si="293"/>
        <v>6.9379813700420595E-2</v>
      </c>
      <c r="W233" s="103">
        <f t="shared" ref="W233:Y233" si="294">IF(W15=0,0,W15/W$4)</f>
        <v>6.9123318305843839E-2</v>
      </c>
      <c r="X233" s="103">
        <f t="shared" si="294"/>
        <v>6.971002577370837E-2</v>
      </c>
      <c r="Y233" s="103">
        <f t="shared" si="294"/>
        <v>6.6108972964744328E-2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2.0096230139948143E-3</v>
      </c>
      <c r="C235" s="103">
        <f t="shared" si="299"/>
        <v>2.2954685923396319E-3</v>
      </c>
      <c r="D235" s="103">
        <f t="shared" si="299"/>
        <v>2.4023889750455722E-3</v>
      </c>
      <c r="E235" s="103">
        <f t="shared" si="299"/>
        <v>2.523902430246641E-3</v>
      </c>
      <c r="F235" s="103">
        <f t="shared" si="299"/>
        <v>2.7655643996316154E-3</v>
      </c>
      <c r="G235" s="103">
        <f t="shared" si="299"/>
        <v>6.2306589602480096E-3</v>
      </c>
      <c r="H235" s="103">
        <f t="shared" si="299"/>
        <v>3.7749452315456174E-3</v>
      </c>
      <c r="I235" s="103">
        <f t="shared" si="299"/>
        <v>4.535991900071137E-3</v>
      </c>
      <c r="J235" s="103">
        <f t="shared" si="299"/>
        <v>6.1122873120381038E-3</v>
      </c>
      <c r="K235" s="103">
        <f t="shared" si="299"/>
        <v>8.0093511169708302E-3</v>
      </c>
      <c r="L235" s="103">
        <f t="shared" ref="L235" si="300">IF(L17=0,0,L17/L$4)</f>
        <v>9.6159305819890489E-3</v>
      </c>
      <c r="M235" s="103">
        <f t="shared" ref="M235:V235" si="301">IF(M17=0,0,M17/M$4)</f>
        <v>1.2889493849156107E-2</v>
      </c>
      <c r="N235" s="103">
        <f t="shared" si="301"/>
        <v>1.3499796061643173E-2</v>
      </c>
      <c r="O235" s="103">
        <f t="shared" si="301"/>
        <v>3.1231734593615383E-2</v>
      </c>
      <c r="P235" s="103">
        <f t="shared" si="301"/>
        <v>3.1490291367877891E-2</v>
      </c>
      <c r="Q235" s="103">
        <f t="shared" si="301"/>
        <v>3.091816687343588E-2</v>
      </c>
      <c r="R235" s="103">
        <f t="shared" si="301"/>
        <v>3.521047161146279E-2</v>
      </c>
      <c r="S235" s="103">
        <f t="shared" si="301"/>
        <v>3.5370130194235849E-2</v>
      </c>
      <c r="T235" s="103">
        <f t="shared" si="301"/>
        <v>3.3731382028857997E-2</v>
      </c>
      <c r="U235" s="103">
        <f t="shared" si="301"/>
        <v>1.6716543951774215E-2</v>
      </c>
      <c r="V235" s="103">
        <f t="shared" si="301"/>
        <v>1.832774967012606E-2</v>
      </c>
      <c r="W235" s="103">
        <f t="shared" ref="W235:Y235" si="302">IF(W17=0,0,W17/W$4)</f>
        <v>1.7140983389797276E-2</v>
      </c>
      <c r="X235" s="103">
        <f t="shared" si="302"/>
        <v>1.5213651186719801E-2</v>
      </c>
      <c r="Y235" s="103">
        <f t="shared" si="302"/>
        <v>1.346091969307049E-2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6.9983583512099883E-5</v>
      </c>
      <c r="C236" s="103">
        <f t="shared" si="303"/>
        <v>7.0800586670637173E-5</v>
      </c>
      <c r="D236" s="103">
        <f t="shared" si="303"/>
        <v>5.782638073341965E-5</v>
      </c>
      <c r="E236" s="103">
        <f t="shared" si="303"/>
        <v>6.6769285728550531E-5</v>
      </c>
      <c r="F236" s="103">
        <f t="shared" si="303"/>
        <v>6.7673211121744707E-5</v>
      </c>
      <c r="G236" s="103">
        <f t="shared" si="303"/>
        <v>5.5880077805243856E-5</v>
      </c>
      <c r="H236" s="103">
        <f t="shared" si="303"/>
        <v>5.2268144341306182E-5</v>
      </c>
      <c r="I236" s="103">
        <f t="shared" si="303"/>
        <v>4.387429995502222E-5</v>
      </c>
      <c r="J236" s="103">
        <f t="shared" si="303"/>
        <v>3.4833266960458314E-5</v>
      </c>
      <c r="K236" s="103">
        <f t="shared" si="303"/>
        <v>3.5279941015173978E-5</v>
      </c>
      <c r="L236" s="103">
        <f t="shared" ref="L236" si="304">IF(L18=0,0,L18/L$4)</f>
        <v>1.7123490319334378E-5</v>
      </c>
      <c r="M236" s="103">
        <f t="shared" ref="M236:V236" si="305">IF(M18=0,0,M18/M$4)</f>
        <v>1.7073875176934247E-5</v>
      </c>
      <c r="N236" s="103">
        <f t="shared" si="305"/>
        <v>2.4598616571040881E-5</v>
      </c>
      <c r="O236" s="103">
        <f t="shared" si="305"/>
        <v>3.3393359543713965E-5</v>
      </c>
      <c r="P236" s="103">
        <f t="shared" si="305"/>
        <v>4.5342723232540338E-5</v>
      </c>
      <c r="Q236" s="103">
        <f t="shared" si="305"/>
        <v>8.1184893769339572E-5</v>
      </c>
      <c r="R236" s="103">
        <f t="shared" si="305"/>
        <v>1.7920791987158387E-4</v>
      </c>
      <c r="S236" s="103">
        <f t="shared" si="305"/>
        <v>2.4869497598336399E-4</v>
      </c>
      <c r="T236" s="103">
        <f t="shared" si="305"/>
        <v>4.5465671311654087E-4</v>
      </c>
      <c r="U236" s="103">
        <f t="shared" si="305"/>
        <v>1.2335885593033834E-3</v>
      </c>
      <c r="V236" s="103">
        <f t="shared" si="305"/>
        <v>2.2385991046213831E-3</v>
      </c>
      <c r="W236" s="103">
        <f t="shared" ref="W236:Y236" si="306">IF(W18=0,0,W18/W$4)</f>
        <v>3.2188809353045178E-3</v>
      </c>
      <c r="X236" s="103">
        <f t="shared" si="306"/>
        <v>4.2274080300627407E-3</v>
      </c>
      <c r="Y236" s="103">
        <f t="shared" si="306"/>
        <v>5.2401086847889576E-3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1.9235299534062809E-2</v>
      </c>
      <c r="C238" s="154">
        <f t="shared" si="311"/>
        <v>2.3261457918737294E-2</v>
      </c>
      <c r="D238" s="154">
        <f t="shared" si="311"/>
        <v>2.3962489012529127E-2</v>
      </c>
      <c r="E238" s="154">
        <f t="shared" si="311"/>
        <v>2.6140183002158163E-2</v>
      </c>
      <c r="F238" s="154">
        <f t="shared" si="311"/>
        <v>2.7116291383368393E-2</v>
      </c>
      <c r="G238" s="154">
        <f t="shared" si="311"/>
        <v>2.4808829129369322E-2</v>
      </c>
      <c r="H238" s="154">
        <f t="shared" si="311"/>
        <v>2.5892670796503182E-2</v>
      </c>
      <c r="I238" s="154">
        <f t="shared" si="311"/>
        <v>2.6752902948481788E-2</v>
      </c>
      <c r="J238" s="154">
        <f t="shared" si="311"/>
        <v>2.6838514652203996E-2</v>
      </c>
      <c r="K238" s="154">
        <f t="shared" si="311"/>
        <v>3.2255604354456041E-2</v>
      </c>
      <c r="L238" s="154">
        <f t="shared" ref="L238" si="312">IF(L20=0,0,L20/L$19)</f>
        <v>3.3084500759876789E-2</v>
      </c>
      <c r="M238" s="154">
        <f t="shared" ref="M238:V238" si="313">IF(M20=0,0,M20/M$19)</f>
        <v>3.4649003730458171E-2</v>
      </c>
      <c r="N238" s="154">
        <f t="shared" si="313"/>
        <v>3.8041479192020625E-2</v>
      </c>
      <c r="O238" s="154">
        <f t="shared" si="313"/>
        <v>3.7205075476329057E-2</v>
      </c>
      <c r="P238" s="154">
        <f t="shared" si="313"/>
        <v>3.2459718843100262E-2</v>
      </c>
      <c r="Q238" s="154">
        <f t="shared" si="313"/>
        <v>3.3954073068523209E-2</v>
      </c>
      <c r="R238" s="154">
        <f t="shared" si="313"/>
        <v>3.3703443623436462E-2</v>
      </c>
      <c r="S238" s="154">
        <f t="shared" si="313"/>
        <v>3.6579884297534358E-2</v>
      </c>
      <c r="T238" s="154">
        <f t="shared" si="313"/>
        <v>3.5149186344330029E-2</v>
      </c>
      <c r="U238" s="154">
        <f t="shared" si="313"/>
        <v>3.6818385501531888E-2</v>
      </c>
      <c r="V238" s="154">
        <f t="shared" si="313"/>
        <v>3.7088682895310449E-2</v>
      </c>
      <c r="W238" s="154">
        <f t="shared" ref="W238:Y238" si="314">IF(W20=0,0,W20/W$19)</f>
        <v>3.4726103117145933E-2</v>
      </c>
      <c r="X238" s="154">
        <f t="shared" si="314"/>
        <v>3.3731466856609965E-2</v>
      </c>
      <c r="Y238" s="154">
        <f t="shared" si="314"/>
        <v>3.7565601634353393E-2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6.1562236919857688E-3</v>
      </c>
      <c r="C239" s="103">
        <f t="shared" si="315"/>
        <v>6.1726032771931977E-3</v>
      </c>
      <c r="D239" s="103">
        <f t="shared" si="315"/>
        <v>5.4492739681219439E-3</v>
      </c>
      <c r="E239" s="103">
        <f t="shared" si="315"/>
        <v>4.944927763452454E-3</v>
      </c>
      <c r="F239" s="103">
        <f t="shared" si="315"/>
        <v>4.2112167694127603E-3</v>
      </c>
      <c r="G239" s="103">
        <f t="shared" si="315"/>
        <v>3.7313604488630856E-3</v>
      </c>
      <c r="H239" s="103">
        <f t="shared" si="315"/>
        <v>3.2141415655522901E-3</v>
      </c>
      <c r="I239" s="103">
        <f t="shared" si="315"/>
        <v>2.9067059825000916E-3</v>
      </c>
      <c r="J239" s="103">
        <f t="shared" si="315"/>
        <v>2.5594759273301244E-3</v>
      </c>
      <c r="K239" s="103">
        <f t="shared" si="315"/>
        <v>2.8009017190173502E-3</v>
      </c>
      <c r="L239" s="103">
        <f t="shared" ref="L239" si="316">IF(L21=0,0,L21/L$19)</f>
        <v>2.4006369936879057E-3</v>
      </c>
      <c r="M239" s="103">
        <f t="shared" ref="M239:V239" si="317">IF(M21=0,0,M21/M$19)</f>
        <v>2.2138058540098725E-3</v>
      </c>
      <c r="N239" s="103">
        <f t="shared" si="317"/>
        <v>2.0950944432060786E-3</v>
      </c>
      <c r="O239" s="103">
        <f t="shared" si="317"/>
        <v>1.7671578245482232E-3</v>
      </c>
      <c r="P239" s="103">
        <f t="shared" si="317"/>
        <v>1.3838318129635199E-3</v>
      </c>
      <c r="Q239" s="103">
        <f t="shared" si="317"/>
        <v>1.2951355333536609E-3</v>
      </c>
      <c r="R239" s="103">
        <f t="shared" si="317"/>
        <v>1.0573333974540863E-3</v>
      </c>
      <c r="S239" s="103">
        <f t="shared" si="317"/>
        <v>9.5554430600596862E-4</v>
      </c>
      <c r="T239" s="103">
        <f t="shared" si="317"/>
        <v>8.9062557101791473E-4</v>
      </c>
      <c r="U239" s="103">
        <f t="shared" si="317"/>
        <v>9.1188733941547392E-4</v>
      </c>
      <c r="V239" s="103">
        <f t="shared" si="317"/>
        <v>9.1467932659070495E-4</v>
      </c>
      <c r="W239" s="103">
        <f t="shared" ref="W239:Y239" si="318">IF(W21=0,0,W21/W$19)</f>
        <v>8.7861511450411075E-4</v>
      </c>
      <c r="X239" s="103">
        <f t="shared" si="318"/>
        <v>9.7464563350315792E-4</v>
      </c>
      <c r="Y239" s="103">
        <f t="shared" si="318"/>
        <v>1.1498568584366788E-3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1.3079075842077043E-2</v>
      </c>
      <c r="C240" s="103">
        <f t="shared" si="319"/>
        <v>1.7088730621478865E-2</v>
      </c>
      <c r="D240" s="103">
        <f t="shared" si="319"/>
        <v>1.8512530390225566E-2</v>
      </c>
      <c r="E240" s="103">
        <f t="shared" si="319"/>
        <v>2.1193376453819007E-2</v>
      </c>
      <c r="F240" s="103">
        <f t="shared" si="319"/>
        <v>2.2902216626835961E-2</v>
      </c>
      <c r="G240" s="103">
        <f t="shared" si="319"/>
        <v>2.1072055205049095E-2</v>
      </c>
      <c r="H240" s="103">
        <f t="shared" si="319"/>
        <v>2.2659216054012481E-2</v>
      </c>
      <c r="I240" s="103">
        <f t="shared" si="319"/>
        <v>2.381325147043984E-2</v>
      </c>
      <c r="J240" s="103">
        <f t="shared" si="319"/>
        <v>2.4223867372174378E-2</v>
      </c>
      <c r="K240" s="103">
        <f t="shared" si="319"/>
        <v>2.935470409828669E-2</v>
      </c>
      <c r="L240" s="103">
        <f t="shared" ref="L240" si="320">IF(L22=0,0,L22/L$19)</f>
        <v>3.057449816400163E-2</v>
      </c>
      <c r="M240" s="103">
        <f t="shared" ref="M240:V240" si="321">IF(M22=0,0,M22/M$19)</f>
        <v>3.2314539312570785E-2</v>
      </c>
      <c r="N240" s="103">
        <f t="shared" si="321"/>
        <v>3.5787837120352634E-2</v>
      </c>
      <c r="O240" s="103">
        <f t="shared" si="321"/>
        <v>3.5272310365030042E-2</v>
      </c>
      <c r="P240" s="103">
        <f t="shared" si="321"/>
        <v>3.0920814183734949E-2</v>
      </c>
      <c r="Q240" s="103">
        <f t="shared" si="321"/>
        <v>3.2479624698750029E-2</v>
      </c>
      <c r="R240" s="103">
        <f t="shared" si="321"/>
        <v>3.2458924018449124E-2</v>
      </c>
      <c r="S240" s="103">
        <f t="shared" si="321"/>
        <v>3.5404396684037345E-2</v>
      </c>
      <c r="T240" s="103">
        <f t="shared" si="321"/>
        <v>3.3917886674842419E-2</v>
      </c>
      <c r="U240" s="103">
        <f t="shared" si="321"/>
        <v>3.5513366392021808E-2</v>
      </c>
      <c r="V240" s="103">
        <f t="shared" si="321"/>
        <v>3.572985985909833E-2</v>
      </c>
      <c r="W240" s="103">
        <f t="shared" ref="W240:Y240" si="322">IF(W22=0,0,W22/W$19)</f>
        <v>3.3374886656887294E-2</v>
      </c>
      <c r="X240" s="103">
        <f t="shared" si="322"/>
        <v>3.2149376154783929E-2</v>
      </c>
      <c r="Y240" s="103">
        <f t="shared" si="322"/>
        <v>3.5581956589985843E-2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0</v>
      </c>
      <c r="P241" s="103">
        <f t="shared" si="325"/>
        <v>0</v>
      </c>
      <c r="Q241" s="103">
        <f t="shared" si="325"/>
        <v>0</v>
      </c>
      <c r="R241" s="103">
        <f t="shared" si="325"/>
        <v>0</v>
      </c>
      <c r="S241" s="103">
        <f t="shared" si="325"/>
        <v>0</v>
      </c>
      <c r="T241" s="103">
        <f t="shared" si="325"/>
        <v>0</v>
      </c>
      <c r="U241" s="103">
        <f t="shared" si="325"/>
        <v>0</v>
      </c>
      <c r="V241" s="103">
        <f t="shared" si="325"/>
        <v>0</v>
      </c>
      <c r="W241" s="103">
        <f t="shared" ref="W241:Y241" si="326">IF(W23=0,0,W23/W$19)</f>
        <v>0</v>
      </c>
      <c r="X241" s="103">
        <f t="shared" si="326"/>
        <v>0</v>
      </c>
      <c r="Y241" s="103">
        <f t="shared" si="326"/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1.2402006523145704E-7</v>
      </c>
      <c r="D242" s="103">
        <f t="shared" si="327"/>
        <v>6.8465418162020748E-7</v>
      </c>
      <c r="E242" s="103">
        <f t="shared" si="327"/>
        <v>1.8787848867026148E-6</v>
      </c>
      <c r="F242" s="103">
        <f t="shared" si="327"/>
        <v>2.8579871196730896E-6</v>
      </c>
      <c r="G242" s="103">
        <f t="shared" si="327"/>
        <v>5.3501841807916902E-6</v>
      </c>
      <c r="H242" s="103">
        <f t="shared" si="327"/>
        <v>1.2995956510215893E-5</v>
      </c>
      <c r="I242" s="103">
        <f t="shared" si="327"/>
        <v>2.7109847250034366E-5</v>
      </c>
      <c r="J242" s="103">
        <f t="shared" si="327"/>
        <v>4.9478126049248428E-5</v>
      </c>
      <c r="K242" s="103">
        <f t="shared" si="327"/>
        <v>9.3209306808170119E-5</v>
      </c>
      <c r="L242" s="103">
        <f t="shared" ref="L242" si="328">IF(L24=0,0,L24/L$19)</f>
        <v>1.0300161420088043E-4</v>
      </c>
      <c r="M242" s="103">
        <f t="shared" ref="M242:V242" si="329">IF(M24=0,0,M24/M$19)</f>
        <v>1.1423187071270707E-4</v>
      </c>
      <c r="N242" s="103">
        <f t="shared" si="329"/>
        <v>1.4544892422703782E-4</v>
      </c>
      <c r="O242" s="103">
        <f t="shared" si="329"/>
        <v>1.467446160427668E-4</v>
      </c>
      <c r="P242" s="103">
        <f t="shared" si="329"/>
        <v>1.3074919269382061E-4</v>
      </c>
      <c r="Q242" s="103">
        <f t="shared" si="329"/>
        <v>1.4342383035266063E-4</v>
      </c>
      <c r="R242" s="103">
        <f t="shared" si="329"/>
        <v>1.4401454688639658E-4</v>
      </c>
      <c r="S242" s="103">
        <f t="shared" si="329"/>
        <v>1.6516437016206103E-4</v>
      </c>
      <c r="T242" s="103">
        <f t="shared" si="329"/>
        <v>2.6921195960773398E-4</v>
      </c>
      <c r="U242" s="103">
        <f t="shared" si="329"/>
        <v>2.8463024830217577E-4</v>
      </c>
      <c r="V242" s="103">
        <f t="shared" si="329"/>
        <v>2.8544807401036798E-4</v>
      </c>
      <c r="W242" s="103">
        <f t="shared" ref="W242:Y242" si="330">IF(W24=0,0,W24/W$19)</f>
        <v>2.6150551920485699E-4</v>
      </c>
      <c r="X242" s="103">
        <f t="shared" si="330"/>
        <v>2.7292636949703962E-4</v>
      </c>
      <c r="Y242" s="103">
        <f t="shared" si="330"/>
        <v>2.6347887272003609E-4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6.3291276348606219E-8</v>
      </c>
      <c r="H243" s="103">
        <f t="shared" si="331"/>
        <v>6.3172204281996823E-6</v>
      </c>
      <c r="I243" s="103">
        <f t="shared" si="331"/>
        <v>5.8356482918242812E-6</v>
      </c>
      <c r="J243" s="103">
        <f t="shared" si="331"/>
        <v>5.6932266502497501E-6</v>
      </c>
      <c r="K243" s="103">
        <f t="shared" si="331"/>
        <v>6.7892303438339927E-6</v>
      </c>
      <c r="L243" s="103">
        <f t="shared" ref="L243" si="332">IF(L25=0,0,L25/L$19)</f>
        <v>6.363987986374141E-6</v>
      </c>
      <c r="M243" s="103">
        <f t="shared" ref="M243:V243" si="333">IF(M25=0,0,M25/M$19)</f>
        <v>6.4266931648124477E-6</v>
      </c>
      <c r="N243" s="103">
        <f t="shared" si="333"/>
        <v>1.309870423487053E-5</v>
      </c>
      <c r="O243" s="103">
        <f t="shared" si="333"/>
        <v>1.8862670708021687E-5</v>
      </c>
      <c r="P243" s="103">
        <f t="shared" si="333"/>
        <v>2.4323653707972692E-5</v>
      </c>
      <c r="Q243" s="103">
        <f t="shared" si="333"/>
        <v>3.5889006066857819E-5</v>
      </c>
      <c r="R243" s="103">
        <f t="shared" si="333"/>
        <v>4.317166064685406E-5</v>
      </c>
      <c r="S243" s="103">
        <f t="shared" si="333"/>
        <v>5.4778937328983429E-5</v>
      </c>
      <c r="T243" s="103">
        <f t="shared" si="333"/>
        <v>7.1462138861958459E-5</v>
      </c>
      <c r="U243" s="103">
        <f t="shared" si="333"/>
        <v>1.0850152179243406E-4</v>
      </c>
      <c r="V243" s="103">
        <f t="shared" si="333"/>
        <v>1.5869563561104842E-4</v>
      </c>
      <c r="W243" s="103">
        <f t="shared" ref="W243:Y243" si="334">IF(W25=0,0,W25/W$19)</f>
        <v>2.1109582654966835E-4</v>
      </c>
      <c r="X243" s="103">
        <f t="shared" si="334"/>
        <v>3.345186988258376E-4</v>
      </c>
      <c r="Y243" s="103">
        <f t="shared" si="334"/>
        <v>5.7030931321083885E-4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0.98076470046593722</v>
      </c>
      <c r="C244" s="156">
        <f t="shared" si="335"/>
        <v>0.97673854208126276</v>
      </c>
      <c r="D244" s="156">
        <f t="shared" si="335"/>
        <v>0.97603751098747082</v>
      </c>
      <c r="E244" s="156">
        <f t="shared" si="335"/>
        <v>0.97385981699784185</v>
      </c>
      <c r="F244" s="156">
        <f t="shared" si="335"/>
        <v>0.97288370861663165</v>
      </c>
      <c r="G244" s="156">
        <f t="shared" si="335"/>
        <v>0.97519117087063067</v>
      </c>
      <c r="H244" s="156">
        <f t="shared" si="335"/>
        <v>0.97410732920349685</v>
      </c>
      <c r="I244" s="156">
        <f t="shared" si="335"/>
        <v>0.97324709705151813</v>
      </c>
      <c r="J244" s="156">
        <f t="shared" si="335"/>
        <v>0.97316148534779601</v>
      </c>
      <c r="K244" s="156">
        <f t="shared" si="335"/>
        <v>0.96774439564554393</v>
      </c>
      <c r="L244" s="156">
        <f t="shared" ref="L244" si="336">IF(L26=0,0,L26/L$19)</f>
        <v>0.9669154992401231</v>
      </c>
      <c r="M244" s="156">
        <f t="shared" ref="M244:V244" si="337">IF(M26=0,0,M26/M$19)</f>
        <v>0.96535099626954179</v>
      </c>
      <c r="N244" s="156">
        <f t="shared" si="337"/>
        <v>0.9619585208079795</v>
      </c>
      <c r="O244" s="156">
        <f t="shared" si="337"/>
        <v>0.96279492452367099</v>
      </c>
      <c r="P244" s="156">
        <f t="shared" si="337"/>
        <v>0.96754028115689972</v>
      </c>
      <c r="Q244" s="156">
        <f t="shared" si="337"/>
        <v>0.96604592693147684</v>
      </c>
      <c r="R244" s="156">
        <f t="shared" si="337"/>
        <v>0.96629655637656364</v>
      </c>
      <c r="S244" s="156">
        <f t="shared" si="337"/>
        <v>0.96342011570246566</v>
      </c>
      <c r="T244" s="156">
        <f t="shared" si="337"/>
        <v>0.96485081365566994</v>
      </c>
      <c r="U244" s="156">
        <f t="shared" si="337"/>
        <v>0.96318161449846806</v>
      </c>
      <c r="V244" s="156">
        <f t="shared" si="337"/>
        <v>0.96291131710468958</v>
      </c>
      <c r="W244" s="156">
        <f t="shared" ref="W244:Y244" si="338">IF(W26=0,0,W26/W$19)</f>
        <v>0.96527389688285414</v>
      </c>
      <c r="X244" s="156">
        <f t="shared" si="338"/>
        <v>0.96626853314339001</v>
      </c>
      <c r="Y244" s="156">
        <f t="shared" si="338"/>
        <v>0.96243439836564659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0.79152576746065062</v>
      </c>
      <c r="C245" s="103">
        <f t="shared" si="339"/>
        <v>0.76983341360074109</v>
      </c>
      <c r="D245" s="103">
        <f t="shared" si="339"/>
        <v>0.76980547463133076</v>
      </c>
      <c r="E245" s="103">
        <f t="shared" si="339"/>
        <v>0.76357064421294307</v>
      </c>
      <c r="F245" s="103">
        <f t="shared" si="339"/>
        <v>0.74398079344148238</v>
      </c>
      <c r="G245" s="103">
        <f t="shared" si="339"/>
        <v>0.75008024729382528</v>
      </c>
      <c r="H245" s="103">
        <f t="shared" si="339"/>
        <v>0.73854691338883582</v>
      </c>
      <c r="I245" s="103">
        <f t="shared" si="339"/>
        <v>0.73894328554044042</v>
      </c>
      <c r="J245" s="103">
        <f t="shared" si="339"/>
        <v>0.75533337037127268</v>
      </c>
      <c r="K245" s="103">
        <f t="shared" si="339"/>
        <v>0.76217466942348921</v>
      </c>
      <c r="L245" s="103">
        <f t="shared" ref="L245" si="340">IF(L27=0,0,L27/L$19)</f>
        <v>0.74557871451183899</v>
      </c>
      <c r="M245" s="103">
        <f t="shared" ref="M245:V245" si="341">IF(M27=0,0,M27/M$19)</f>
        <v>0.75156014997352794</v>
      </c>
      <c r="N245" s="103">
        <f t="shared" si="341"/>
        <v>0.73788255117155144</v>
      </c>
      <c r="O245" s="103">
        <f t="shared" si="341"/>
        <v>0.71749233573674465</v>
      </c>
      <c r="P245" s="103">
        <f t="shared" si="341"/>
        <v>0.76918335314440023</v>
      </c>
      <c r="Q245" s="103">
        <f t="shared" si="341"/>
        <v>0.74507632616143382</v>
      </c>
      <c r="R245" s="103">
        <f t="shared" si="341"/>
        <v>0.74027832014609896</v>
      </c>
      <c r="S245" s="103">
        <f t="shared" si="341"/>
        <v>0.73637993828629522</v>
      </c>
      <c r="T245" s="103">
        <f t="shared" si="341"/>
        <v>0.74245418010042863</v>
      </c>
      <c r="U245" s="103">
        <f t="shared" si="341"/>
        <v>0.75013864788681561</v>
      </c>
      <c r="V245" s="103">
        <f t="shared" si="341"/>
        <v>0.74929705786587275</v>
      </c>
      <c r="W245" s="103">
        <f t="shared" ref="W245:Y245" si="342">IF(W27=0,0,W27/W$19)</f>
        <v>0.74953357392526831</v>
      </c>
      <c r="X245" s="103">
        <f t="shared" si="342"/>
        <v>0.77059991299990205</v>
      </c>
      <c r="Y245" s="103">
        <f t="shared" si="342"/>
        <v>0.74962501336494725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0.1892389330052866</v>
      </c>
      <c r="C246" s="105">
        <f t="shared" si="343"/>
        <v>0.2069051284805217</v>
      </c>
      <c r="D246" s="105">
        <f t="shared" si="343"/>
        <v>0.20623203635614001</v>
      </c>
      <c r="E246" s="105">
        <f t="shared" si="343"/>
        <v>0.21028917278489881</v>
      </c>
      <c r="F246" s="105">
        <f t="shared" si="343"/>
        <v>0.22890291517514924</v>
      </c>
      <c r="G246" s="105">
        <f t="shared" si="343"/>
        <v>0.2251109235768054</v>
      </c>
      <c r="H246" s="105">
        <f t="shared" si="343"/>
        <v>0.23556041581466103</v>
      </c>
      <c r="I246" s="105">
        <f t="shared" si="343"/>
        <v>0.23430381151107779</v>
      </c>
      <c r="J246" s="105">
        <f t="shared" si="343"/>
        <v>0.21782811497652332</v>
      </c>
      <c r="K246" s="105">
        <f t="shared" si="343"/>
        <v>0.2055697262220548</v>
      </c>
      <c r="L246" s="105">
        <f t="shared" ref="L246" si="344">IF(L28=0,0,L28/L$19)</f>
        <v>0.22133678472828416</v>
      </c>
      <c r="M246" s="105">
        <f t="shared" ref="M246:V246" si="345">IF(M28=0,0,M28/M$19)</f>
        <v>0.21379084629601391</v>
      </c>
      <c r="N246" s="105">
        <f t="shared" si="345"/>
        <v>0.22407596963642817</v>
      </c>
      <c r="O246" s="105">
        <f t="shared" si="345"/>
        <v>0.24530258878692632</v>
      </c>
      <c r="P246" s="105">
        <f t="shared" si="345"/>
        <v>0.19835692801249946</v>
      </c>
      <c r="Q246" s="105">
        <f t="shared" si="345"/>
        <v>0.22096960077004299</v>
      </c>
      <c r="R246" s="105">
        <f t="shared" si="345"/>
        <v>0.22601823623046466</v>
      </c>
      <c r="S246" s="105">
        <f t="shared" si="345"/>
        <v>0.22704017741617044</v>
      </c>
      <c r="T246" s="105">
        <f t="shared" si="345"/>
        <v>0.22239663355524128</v>
      </c>
      <c r="U246" s="105">
        <f t="shared" si="345"/>
        <v>0.21304296661165245</v>
      </c>
      <c r="V246" s="105">
        <f t="shared" si="345"/>
        <v>0.21361425923881677</v>
      </c>
      <c r="W246" s="105">
        <f t="shared" ref="W246:Y246" si="346">IF(W28=0,0,W28/W$19)</f>
        <v>0.21574032295758572</v>
      </c>
      <c r="X246" s="105">
        <f t="shared" si="346"/>
        <v>0.1956686201434879</v>
      </c>
      <c r="Y246" s="105">
        <f t="shared" si="346"/>
        <v>0.21280938500069937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9.4076957878094971E-3</v>
      </c>
      <c r="C250" s="154">
        <f t="shared" si="351"/>
        <v>1.0109818911557855E-2</v>
      </c>
      <c r="D250" s="154">
        <f t="shared" si="351"/>
        <v>1.0939156389800097E-2</v>
      </c>
      <c r="E250" s="154">
        <f t="shared" si="351"/>
        <v>1.162475477762955E-2</v>
      </c>
      <c r="F250" s="154">
        <f t="shared" si="351"/>
        <v>1.2395180258182554E-2</v>
      </c>
      <c r="G250" s="154">
        <f t="shared" si="351"/>
        <v>1.3067124793829722E-2</v>
      </c>
      <c r="H250" s="154">
        <f t="shared" si="351"/>
        <v>1.414149316808809E-2</v>
      </c>
      <c r="I250" s="154">
        <f t="shared" si="351"/>
        <v>1.5087711772939704E-2</v>
      </c>
      <c r="J250" s="154">
        <f t="shared" si="351"/>
        <v>1.4650109643827847E-2</v>
      </c>
      <c r="K250" s="154">
        <f t="shared" si="351"/>
        <v>1.4407523039887566E-2</v>
      </c>
      <c r="L250" s="154">
        <f t="shared" ref="L250" si="352">IF(L32=0,0,L32/L$31)</f>
        <v>1.3385142015308427E-2</v>
      </c>
      <c r="M250" s="154">
        <f t="shared" ref="M250:V250" si="353">IF(M32=0,0,M32/M$31)</f>
        <v>1.2515159959247674E-2</v>
      </c>
      <c r="N250" s="154">
        <f t="shared" si="353"/>
        <v>1.0723157395583835E-2</v>
      </c>
      <c r="O250" s="154">
        <f t="shared" si="353"/>
        <v>1.1636189480436706E-2</v>
      </c>
      <c r="P250" s="154">
        <f t="shared" si="353"/>
        <v>1.1110895857723643E-2</v>
      </c>
      <c r="Q250" s="154">
        <f t="shared" si="353"/>
        <v>1.0478443812095548E-2</v>
      </c>
      <c r="R250" s="154">
        <f t="shared" si="353"/>
        <v>1.0583941435930461E-2</v>
      </c>
      <c r="S250" s="154">
        <f t="shared" si="353"/>
        <v>9.7307216708682372E-3</v>
      </c>
      <c r="T250" s="154">
        <f t="shared" si="353"/>
        <v>9.1525266036294756E-3</v>
      </c>
      <c r="U250" s="154">
        <f t="shared" si="353"/>
        <v>9.7493900557967892E-3</v>
      </c>
      <c r="V250" s="154">
        <f t="shared" si="353"/>
        <v>9.251797786071627E-3</v>
      </c>
      <c r="W250" s="154">
        <f t="shared" ref="W250:Y250" si="354">IF(W32=0,0,W32/W$31)</f>
        <v>9.279058507564341E-3</v>
      </c>
      <c r="X250" s="154">
        <f t="shared" si="354"/>
        <v>9.6354499981203563E-3</v>
      </c>
      <c r="Y250" s="154">
        <f t="shared" si="354"/>
        <v>9.956253249225595E-3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0.97016616571508552</v>
      </c>
      <c r="C251" s="156">
        <f t="shared" si="355"/>
        <v>0.97022648078026685</v>
      </c>
      <c r="D251" s="156">
        <f t="shared" si="355"/>
        <v>0.97019601871652739</v>
      </c>
      <c r="E251" s="156">
        <f t="shared" si="355"/>
        <v>0.97011563040606807</v>
      </c>
      <c r="F251" s="156">
        <f t="shared" si="355"/>
        <v>0.97009262585851541</v>
      </c>
      <c r="G251" s="156">
        <f t="shared" si="355"/>
        <v>0.96921336851980056</v>
      </c>
      <c r="H251" s="156">
        <f t="shared" si="355"/>
        <v>0.96844130055709154</v>
      </c>
      <c r="I251" s="156">
        <f t="shared" si="355"/>
        <v>0.96844224003890689</v>
      </c>
      <c r="J251" s="156">
        <f t="shared" si="355"/>
        <v>0.9689758992548454</v>
      </c>
      <c r="K251" s="156">
        <f t="shared" si="355"/>
        <v>0.96965892344247973</v>
      </c>
      <c r="L251" s="156">
        <f t="shared" ref="L251" si="356">IF(L33=0,0,L33/L$31)</f>
        <v>0.97023560063668546</v>
      </c>
      <c r="M251" s="156">
        <f t="shared" ref="M251:V251" si="357">IF(M33=0,0,M33/M$31)</f>
        <v>0.97124372565905781</v>
      </c>
      <c r="N251" s="156">
        <f t="shared" si="357"/>
        <v>0.97269626962606748</v>
      </c>
      <c r="O251" s="156">
        <f t="shared" si="357"/>
        <v>0.97217067400271284</v>
      </c>
      <c r="P251" s="156">
        <f t="shared" si="357"/>
        <v>0.97355158507642725</v>
      </c>
      <c r="Q251" s="156">
        <f t="shared" si="357"/>
        <v>0.97488299584226323</v>
      </c>
      <c r="R251" s="156">
        <f t="shared" si="357"/>
        <v>0.97531444572077108</v>
      </c>
      <c r="S251" s="156">
        <f t="shared" si="357"/>
        <v>0.97642650679811605</v>
      </c>
      <c r="T251" s="156">
        <f t="shared" si="357"/>
        <v>0.97716782715304662</v>
      </c>
      <c r="U251" s="156">
        <f t="shared" si="357"/>
        <v>0.97665323556417449</v>
      </c>
      <c r="V251" s="156">
        <f t="shared" si="357"/>
        <v>0.97754854301512317</v>
      </c>
      <c r="W251" s="156">
        <f t="shared" ref="W251:Y251" si="358">IF(W33=0,0,W33/W$31)</f>
        <v>0.97829083701856001</v>
      </c>
      <c r="X251" s="156">
        <f t="shared" si="358"/>
        <v>0.97696204592075864</v>
      </c>
      <c r="Y251" s="156">
        <f t="shared" si="358"/>
        <v>0.97690657642868006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0.86734341201208154</v>
      </c>
      <c r="C252" s="103">
        <f t="shared" si="359"/>
        <v>0.87231244964546473</v>
      </c>
      <c r="D252" s="103">
        <f t="shared" si="359"/>
        <v>0.87192704958180778</v>
      </c>
      <c r="E252" s="103">
        <f t="shared" si="359"/>
        <v>0.86951371626570084</v>
      </c>
      <c r="F252" s="103">
        <f t="shared" si="359"/>
        <v>0.86602708924330107</v>
      </c>
      <c r="G252" s="103">
        <f t="shared" si="359"/>
        <v>0.8562690798094974</v>
      </c>
      <c r="H252" s="103">
        <f t="shared" si="359"/>
        <v>0.83749460074703574</v>
      </c>
      <c r="I252" s="103">
        <f t="shared" si="359"/>
        <v>0.80097470055637421</v>
      </c>
      <c r="J252" s="103">
        <f t="shared" si="359"/>
        <v>0.77207045736312729</v>
      </c>
      <c r="K252" s="103">
        <f t="shared" si="359"/>
        <v>0.74034678488433636</v>
      </c>
      <c r="L252" s="103">
        <f t="shared" ref="L252" si="360">IF(L34=0,0,L34/L$31)</f>
        <v>0.69050305728400896</v>
      </c>
      <c r="M252" s="103">
        <f t="shared" ref="M252:V252" si="361">IF(M34=0,0,M34/M$31)</f>
        <v>0.63081629195313726</v>
      </c>
      <c r="N252" s="103">
        <f t="shared" si="361"/>
        <v>0.57686728536280796</v>
      </c>
      <c r="O252" s="103">
        <f t="shared" si="361"/>
        <v>0.53654665535017987</v>
      </c>
      <c r="P252" s="103">
        <f t="shared" si="361"/>
        <v>0.49946519847826465</v>
      </c>
      <c r="Q252" s="103">
        <f t="shared" si="361"/>
        <v>0.46431210732708456</v>
      </c>
      <c r="R252" s="103">
        <f t="shared" si="361"/>
        <v>0.43473243613612989</v>
      </c>
      <c r="S252" s="103">
        <f t="shared" si="361"/>
        <v>0.41459561724197913</v>
      </c>
      <c r="T252" s="103">
        <f t="shared" si="361"/>
        <v>0.40003522325953572</v>
      </c>
      <c r="U252" s="103">
        <f t="shared" si="361"/>
        <v>0.39892761716249536</v>
      </c>
      <c r="V252" s="103">
        <f t="shared" si="361"/>
        <v>0.39840961515015283</v>
      </c>
      <c r="W252" s="103">
        <f t="shared" ref="W252:Y252" si="362">IF(W34=0,0,W34/W$31)</f>
        <v>0.39703278548247956</v>
      </c>
      <c r="X252" s="103">
        <f t="shared" si="362"/>
        <v>0.38412213128979955</v>
      </c>
      <c r="Y252" s="103">
        <f t="shared" si="362"/>
        <v>0.39080868024074561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0.10282275370300401</v>
      </c>
      <c r="C253" s="103">
        <f t="shared" si="363"/>
        <v>9.7914031134802113E-2</v>
      </c>
      <c r="D253" s="103">
        <f t="shared" si="363"/>
        <v>9.7938752640745932E-2</v>
      </c>
      <c r="E253" s="103">
        <f t="shared" si="363"/>
        <v>9.9955523016805062E-2</v>
      </c>
      <c r="F253" s="103">
        <f t="shared" si="363"/>
        <v>0.10307271633790135</v>
      </c>
      <c r="G253" s="103">
        <f t="shared" si="363"/>
        <v>0.11134861018258668</v>
      </c>
      <c r="H253" s="103">
        <f t="shared" si="363"/>
        <v>0.12936627058686131</v>
      </c>
      <c r="I253" s="103">
        <f t="shared" si="363"/>
        <v>0.16573932536633748</v>
      </c>
      <c r="J253" s="103">
        <f t="shared" si="363"/>
        <v>0.19491110248272478</v>
      </c>
      <c r="K253" s="103">
        <f t="shared" si="363"/>
        <v>0.22714326874515114</v>
      </c>
      <c r="L253" s="103">
        <f t="shared" ref="L253" si="364">IF(L35=0,0,L35/L$31)</f>
        <v>0.27538660068818505</v>
      </c>
      <c r="M253" s="103">
        <f t="shared" ref="M253:V253" si="365">IF(M35=0,0,M35/M$31)</f>
        <v>0.334310793491011</v>
      </c>
      <c r="N253" s="103">
        <f t="shared" si="365"/>
        <v>0.38836004783385136</v>
      </c>
      <c r="O253" s="103">
        <f t="shared" si="365"/>
        <v>0.42746704523885787</v>
      </c>
      <c r="P253" s="103">
        <f t="shared" si="365"/>
        <v>0.4643680573266073</v>
      </c>
      <c r="Q253" s="103">
        <f t="shared" si="365"/>
        <v>0.4989673462618085</v>
      </c>
      <c r="R253" s="103">
        <f t="shared" si="365"/>
        <v>0.52561585596502658</v>
      </c>
      <c r="S253" s="103">
        <f t="shared" si="365"/>
        <v>0.54474193306849483</v>
      </c>
      <c r="T253" s="103">
        <f t="shared" si="365"/>
        <v>0.55678718597123544</v>
      </c>
      <c r="U253" s="103">
        <f t="shared" si="365"/>
        <v>0.55236875868038904</v>
      </c>
      <c r="V253" s="103">
        <f t="shared" si="365"/>
        <v>0.53794807425380653</v>
      </c>
      <c r="W253" s="103">
        <f t="shared" ref="W253:Y253" si="366">IF(W35=0,0,W35/W$31)</f>
        <v>0.51687443772969965</v>
      </c>
      <c r="X253" s="103">
        <f t="shared" si="366"/>
        <v>0.49714346004944671</v>
      </c>
      <c r="Y253" s="103">
        <f t="shared" si="366"/>
        <v>0.47690571119515662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0</v>
      </c>
      <c r="C254" s="103">
        <f t="shared" si="367"/>
        <v>0</v>
      </c>
      <c r="D254" s="103">
        <f t="shared" si="367"/>
        <v>0</v>
      </c>
      <c r="E254" s="103">
        <f t="shared" si="367"/>
        <v>0</v>
      </c>
      <c r="F254" s="103">
        <f t="shared" si="367"/>
        <v>0</v>
      </c>
      <c r="G254" s="103">
        <f t="shared" si="367"/>
        <v>1.2957749973820624E-4</v>
      </c>
      <c r="H254" s="103">
        <f t="shared" si="367"/>
        <v>1.181236893811551E-4</v>
      </c>
      <c r="I254" s="103">
        <f t="shared" si="367"/>
        <v>1.1258992504519733E-4</v>
      </c>
      <c r="J254" s="103">
        <f t="shared" si="367"/>
        <v>1.1682639999608536E-4</v>
      </c>
      <c r="K254" s="103">
        <f t="shared" si="367"/>
        <v>1.495253292512947E-4</v>
      </c>
      <c r="L254" s="103">
        <f t="shared" ref="L254" si="368">IF(L36=0,0,L36/L$31)</f>
        <v>1.2477475030916017E-4</v>
      </c>
      <c r="M254" s="103">
        <f t="shared" ref="M254:V254" si="369">IF(M36=0,0,M36/M$31)</f>
        <v>1.6515466204861638E-4</v>
      </c>
      <c r="N254" s="103">
        <f t="shared" si="369"/>
        <v>1.5755842823090524E-4</v>
      </c>
      <c r="O254" s="103">
        <f t="shared" si="369"/>
        <v>1.5238703059079902E-4</v>
      </c>
      <c r="P254" s="103">
        <f t="shared" si="369"/>
        <v>1.4603443820451244E-4</v>
      </c>
      <c r="Q254" s="103">
        <f t="shared" si="369"/>
        <v>1.3919795744955259E-4</v>
      </c>
      <c r="R254" s="103">
        <f t="shared" si="369"/>
        <v>1.2625231058514146E-4</v>
      </c>
      <c r="S254" s="103">
        <f t="shared" si="369"/>
        <v>0</v>
      </c>
      <c r="T254" s="103">
        <f t="shared" si="369"/>
        <v>0</v>
      </c>
      <c r="U254" s="103">
        <f t="shared" si="369"/>
        <v>0</v>
      </c>
      <c r="V254" s="103">
        <f t="shared" si="369"/>
        <v>0</v>
      </c>
      <c r="W254" s="103">
        <f t="shared" ref="W254:Y254" si="370">IF(W36=0,0,W36/W$31)</f>
        <v>0</v>
      </c>
      <c r="X254" s="103">
        <f t="shared" si="370"/>
        <v>0</v>
      </c>
      <c r="Y254" s="103">
        <f t="shared" si="370"/>
        <v>0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3.3021649397369174E-4</v>
      </c>
      <c r="E255" s="103">
        <f t="shared" si="371"/>
        <v>6.4639112356208977E-4</v>
      </c>
      <c r="F255" s="103">
        <f t="shared" si="371"/>
        <v>9.9282027731314591E-4</v>
      </c>
      <c r="G255" s="103">
        <f t="shared" si="371"/>
        <v>1.4661010279782493E-3</v>
      </c>
      <c r="H255" s="103">
        <f t="shared" si="371"/>
        <v>1.4623055338132953E-3</v>
      </c>
      <c r="I255" s="103">
        <f t="shared" si="371"/>
        <v>1.6156241911498951E-3</v>
      </c>
      <c r="J255" s="103">
        <f t="shared" si="371"/>
        <v>1.8076930220196023E-3</v>
      </c>
      <c r="K255" s="103">
        <f t="shared" si="371"/>
        <v>1.9364085264133479E-3</v>
      </c>
      <c r="L255" s="103">
        <f t="shared" ref="L255" si="372">IF(L37=0,0,L37/L$31)</f>
        <v>4.1244766594030523E-3</v>
      </c>
      <c r="M255" s="103">
        <f t="shared" ref="M255:V255" si="373">IF(M37=0,0,M37/M$31)</f>
        <v>5.7708636940177523E-3</v>
      </c>
      <c r="N255" s="103">
        <f t="shared" si="373"/>
        <v>6.9521757847652741E-3</v>
      </c>
      <c r="O255" s="103">
        <f t="shared" si="373"/>
        <v>7.4594597929197679E-3</v>
      </c>
      <c r="P255" s="103">
        <f t="shared" si="373"/>
        <v>8.1710994174722176E-3</v>
      </c>
      <c r="Q255" s="103">
        <f t="shared" si="373"/>
        <v>8.7255053736143128E-3</v>
      </c>
      <c r="R255" s="103">
        <f t="shared" si="373"/>
        <v>1.0182060557922637E-2</v>
      </c>
      <c r="S255" s="103">
        <f t="shared" si="373"/>
        <v>9.8304722990625367E-3</v>
      </c>
      <c r="T255" s="103">
        <f t="shared" si="373"/>
        <v>9.4356100065934884E-3</v>
      </c>
      <c r="U255" s="103">
        <f t="shared" si="373"/>
        <v>9.0234088346596852E-3</v>
      </c>
      <c r="V255" s="103">
        <f t="shared" si="373"/>
        <v>9.326950563932776E-3</v>
      </c>
      <c r="W255" s="103">
        <f t="shared" ref="W255:Y255" si="374">IF(W37=0,0,W37/W$31)</f>
        <v>8.9723519021430945E-3</v>
      </c>
      <c r="X255" s="103">
        <f t="shared" si="374"/>
        <v>8.9649746816196207E-3</v>
      </c>
      <c r="Y255" s="103">
        <f t="shared" si="374"/>
        <v>6.9577344281269576E-3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2.7230865746786291E-5</v>
      </c>
      <c r="K256" s="103">
        <f t="shared" si="375"/>
        <v>3.2488604466822778E-5</v>
      </c>
      <c r="L256" s="103">
        <f t="shared" ref="L256" si="376">IF(L38=0,0,L38/L$31)</f>
        <v>3.7143966112127927E-5</v>
      </c>
      <c r="M256" s="103">
        <f t="shared" ref="M256:V256" si="377">IF(M38=0,0,M38/M$31)</f>
        <v>6.9629001178673973E-5</v>
      </c>
      <c r="N256" s="103">
        <f t="shared" si="377"/>
        <v>1.7938086237372791E-4</v>
      </c>
      <c r="O256" s="103">
        <f t="shared" si="377"/>
        <v>2.5200746511433165E-4</v>
      </c>
      <c r="P256" s="103">
        <f t="shared" si="377"/>
        <v>8.0096696593098425E-4</v>
      </c>
      <c r="Q256" s="103">
        <f t="shared" si="377"/>
        <v>1.5015388865999796E-3</v>
      </c>
      <c r="R256" s="103">
        <f t="shared" si="377"/>
        <v>2.7873719957787805E-3</v>
      </c>
      <c r="S256" s="103">
        <f t="shared" si="377"/>
        <v>4.6070033516306388E-3</v>
      </c>
      <c r="T256" s="103">
        <f t="shared" si="377"/>
        <v>6.9687040186284946E-3</v>
      </c>
      <c r="U256" s="103">
        <f t="shared" si="377"/>
        <v>9.154219800511388E-3</v>
      </c>
      <c r="V256" s="103">
        <f t="shared" si="377"/>
        <v>1.7769654707630683E-2</v>
      </c>
      <c r="W256" s="103">
        <f t="shared" ref="W256:Y256" si="378">IF(W38=0,0,W38/W$31)</f>
        <v>2.7441351686696678E-2</v>
      </c>
      <c r="X256" s="103">
        <f t="shared" si="378"/>
        <v>3.4437736336456276E-2</v>
      </c>
      <c r="Y256" s="103">
        <f t="shared" si="378"/>
        <v>3.2665904982789512E-2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4.2589121230856735E-5</v>
      </c>
      <c r="K257" s="103">
        <f t="shared" si="379"/>
        <v>5.0447352860897863E-5</v>
      </c>
      <c r="L257" s="103">
        <f t="shared" ref="L257" si="380">IF(L39=0,0,L39/L$31)</f>
        <v>5.9547288667098767E-5</v>
      </c>
      <c r="M257" s="103">
        <f t="shared" ref="M257:V257" si="381">IF(M39=0,0,M39/M$31)</f>
        <v>1.1099285766452588E-4</v>
      </c>
      <c r="N257" s="103">
        <f t="shared" si="381"/>
        <v>1.7982135403839142E-4</v>
      </c>
      <c r="O257" s="103">
        <f t="shared" si="381"/>
        <v>2.931191250503724E-4</v>
      </c>
      <c r="P257" s="103">
        <f t="shared" si="381"/>
        <v>6.0022844994755953E-4</v>
      </c>
      <c r="Q257" s="103">
        <f t="shared" si="381"/>
        <v>1.2373000357063495E-3</v>
      </c>
      <c r="R257" s="103">
        <f t="shared" si="381"/>
        <v>1.8704687553280743E-3</v>
      </c>
      <c r="S257" s="103">
        <f t="shared" si="381"/>
        <v>2.6514808369488725E-3</v>
      </c>
      <c r="T257" s="103">
        <f t="shared" si="381"/>
        <v>3.9411038970536437E-3</v>
      </c>
      <c r="U257" s="103">
        <f t="shared" si="381"/>
        <v>7.1792310861190627E-3</v>
      </c>
      <c r="V257" s="103">
        <f t="shared" si="381"/>
        <v>1.4094248339600438E-2</v>
      </c>
      <c r="W257" s="103">
        <f t="shared" ref="W257:Y257" si="382">IF(W39=0,0,W39/W$31)</f>
        <v>2.7969910217540882E-2</v>
      </c>
      <c r="X257" s="103">
        <f t="shared" si="382"/>
        <v>5.2293743563436426E-2</v>
      </c>
      <c r="Y257" s="103">
        <f t="shared" si="382"/>
        <v>6.9568545581861263E-2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2.0426138497104989E-2</v>
      </c>
      <c r="C258" s="156">
        <f t="shared" si="383"/>
        <v>1.9663700308175318E-2</v>
      </c>
      <c r="D258" s="156">
        <f t="shared" si="383"/>
        <v>1.8864824893672451E-2</v>
      </c>
      <c r="E258" s="156">
        <f t="shared" si="383"/>
        <v>1.8259614816302415E-2</v>
      </c>
      <c r="F258" s="156">
        <f t="shared" si="383"/>
        <v>1.7512193883302003E-2</v>
      </c>
      <c r="G258" s="156">
        <f t="shared" si="383"/>
        <v>1.7719506686369714E-2</v>
      </c>
      <c r="H258" s="156">
        <f t="shared" si="383"/>
        <v>1.7417206274820362E-2</v>
      </c>
      <c r="I258" s="156">
        <f t="shared" si="383"/>
        <v>1.6470048188153529E-2</v>
      </c>
      <c r="J258" s="156">
        <f t="shared" si="383"/>
        <v>1.6373991101326674E-2</v>
      </c>
      <c r="K258" s="156">
        <f t="shared" si="383"/>
        <v>1.5933553517632669E-2</v>
      </c>
      <c r="L258" s="156">
        <f t="shared" ref="L258" si="384">IF(L40=0,0,L40/L$31)</f>
        <v>1.6379257348006004E-2</v>
      </c>
      <c r="M258" s="156">
        <f t="shared" ref="M258:V258" si="385">IF(M40=0,0,M40/M$31)</f>
        <v>1.62411143816946E-2</v>
      </c>
      <c r="N258" s="156">
        <f t="shared" si="385"/>
        <v>1.6580572978348636E-2</v>
      </c>
      <c r="O258" s="156">
        <f t="shared" si="385"/>
        <v>1.6193136516850507E-2</v>
      </c>
      <c r="P258" s="156">
        <f t="shared" si="385"/>
        <v>1.5337519065849067E-2</v>
      </c>
      <c r="Q258" s="156">
        <f t="shared" si="385"/>
        <v>1.4638560345641228E-2</v>
      </c>
      <c r="R258" s="156">
        <f t="shared" si="385"/>
        <v>1.4101612843298405E-2</v>
      </c>
      <c r="S258" s="156">
        <f t="shared" si="385"/>
        <v>1.3842771531015754E-2</v>
      </c>
      <c r="T258" s="156">
        <f t="shared" si="385"/>
        <v>1.3679646243323823E-2</v>
      </c>
      <c r="U258" s="156">
        <f t="shared" si="385"/>
        <v>1.3597374380028778E-2</v>
      </c>
      <c r="V258" s="156">
        <f t="shared" si="385"/>
        <v>1.3199659198805129E-2</v>
      </c>
      <c r="W258" s="156">
        <f t="shared" ref="W258:Y258" si="386">IF(W40=0,0,W40/W$31)</f>
        <v>1.2430104473875728E-2</v>
      </c>
      <c r="X258" s="156">
        <f t="shared" si="386"/>
        <v>1.3402504081121026E-2</v>
      </c>
      <c r="Y258" s="156">
        <f t="shared" si="386"/>
        <v>1.3137170322094539E-2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6.4479393521136284E-4</v>
      </c>
      <c r="C259" s="103">
        <f t="shared" si="387"/>
        <v>5.2384942341626988E-4</v>
      </c>
      <c r="D259" s="103">
        <f t="shared" si="387"/>
        <v>4.116045948831926E-4</v>
      </c>
      <c r="E259" s="103">
        <f t="shared" si="387"/>
        <v>3.1961580550061324E-4</v>
      </c>
      <c r="F259" s="103">
        <f t="shared" si="387"/>
        <v>2.3842063755833933E-4</v>
      </c>
      <c r="G259" s="103">
        <f t="shared" si="387"/>
        <v>1.7327336661326472E-4</v>
      </c>
      <c r="H259" s="103">
        <f t="shared" si="387"/>
        <v>1.4159506987927134E-4</v>
      </c>
      <c r="I259" s="103">
        <f t="shared" si="387"/>
        <v>1.1360419791738304E-4</v>
      </c>
      <c r="J259" s="103">
        <f t="shared" si="387"/>
        <v>9.3395691779859954E-5</v>
      </c>
      <c r="K259" s="103">
        <f t="shared" si="387"/>
        <v>8.3494760057500441E-5</v>
      </c>
      <c r="L259" s="103">
        <f t="shared" ref="L259" si="388">IF(L41=0,0,L41/L$31)</f>
        <v>3.3750286317693709E-5</v>
      </c>
      <c r="M259" s="103">
        <f t="shared" ref="M259:V259" si="389">IF(M41=0,0,M41/M$31)</f>
        <v>5.8611529551017137E-5</v>
      </c>
      <c r="N259" s="103">
        <f t="shared" si="389"/>
        <v>4.8216291594962823E-5</v>
      </c>
      <c r="O259" s="103">
        <f t="shared" si="389"/>
        <v>4.6925128750257108E-5</v>
      </c>
      <c r="P259" s="103">
        <f t="shared" si="389"/>
        <v>4.1835662271829487E-5</v>
      </c>
      <c r="Q259" s="103">
        <f t="shared" si="389"/>
        <v>3.6446087286274721E-5</v>
      </c>
      <c r="R259" s="103">
        <f t="shared" si="389"/>
        <v>3.8804338055301251E-5</v>
      </c>
      <c r="S259" s="103">
        <f t="shared" si="389"/>
        <v>3.5737400937012709E-5</v>
      </c>
      <c r="T259" s="103">
        <f t="shared" si="389"/>
        <v>3.456390199695975E-5</v>
      </c>
      <c r="U259" s="103">
        <f t="shared" si="389"/>
        <v>3.0843220810926241E-5</v>
      </c>
      <c r="V259" s="103">
        <f t="shared" si="389"/>
        <v>3.2140096319406092E-5</v>
      </c>
      <c r="W259" s="103">
        <f t="shared" ref="W259:Y259" si="390">IF(W41=0,0,W41/W$31)</f>
        <v>2.8231431939283526E-5</v>
      </c>
      <c r="X259" s="103">
        <f t="shared" si="390"/>
        <v>2.7994981542233227E-5</v>
      </c>
      <c r="Y259" s="103">
        <f t="shared" si="390"/>
        <v>2.7849218602946502E-5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1.926508688126893E-2</v>
      </c>
      <c r="C260" s="103">
        <f t="shared" si="391"/>
        <v>1.8567214819181901E-2</v>
      </c>
      <c r="D260" s="103">
        <f t="shared" si="391"/>
        <v>1.7876726928246729E-2</v>
      </c>
      <c r="E260" s="103">
        <f t="shared" si="391"/>
        <v>1.7348986004294374E-2</v>
      </c>
      <c r="F260" s="103">
        <f t="shared" si="391"/>
        <v>1.6642909433563675E-2</v>
      </c>
      <c r="G260" s="103">
        <f t="shared" si="391"/>
        <v>1.6131847000374518E-2</v>
      </c>
      <c r="H260" s="103">
        <f t="shared" si="391"/>
        <v>1.6433688417696057E-2</v>
      </c>
      <c r="I260" s="103">
        <f t="shared" si="391"/>
        <v>1.5393879097026684E-2</v>
      </c>
      <c r="J260" s="103">
        <f t="shared" si="391"/>
        <v>1.4971804920488545E-2</v>
      </c>
      <c r="K260" s="103">
        <f t="shared" si="391"/>
        <v>1.4202676566930209E-2</v>
      </c>
      <c r="L260" s="103">
        <f t="shared" ref="L260" si="392">IF(L42=0,0,L42/L$31)</f>
        <v>1.4357403160588008E-2</v>
      </c>
      <c r="M260" s="103">
        <f t="shared" ref="M260:V260" si="393">IF(M42=0,0,M42/M$31)</f>
        <v>1.3590444236131332E-2</v>
      </c>
      <c r="N260" s="103">
        <f t="shared" si="393"/>
        <v>1.3744677619706517E-2</v>
      </c>
      <c r="O260" s="103">
        <f t="shared" si="393"/>
        <v>9.965884616920757E-3</v>
      </c>
      <c r="P260" s="103">
        <f t="shared" si="393"/>
        <v>9.2786510424488332E-3</v>
      </c>
      <c r="Q260" s="103">
        <f t="shared" si="393"/>
        <v>8.9548613580635542E-3</v>
      </c>
      <c r="R260" s="103">
        <f t="shared" si="393"/>
        <v>8.7797255734029522E-3</v>
      </c>
      <c r="S260" s="103">
        <f t="shared" si="393"/>
        <v>8.5650718593038785E-3</v>
      </c>
      <c r="T260" s="103">
        <f t="shared" si="393"/>
        <v>8.6349118907771711E-3</v>
      </c>
      <c r="U260" s="103">
        <f t="shared" si="393"/>
        <v>1.0985983866200862E-2</v>
      </c>
      <c r="V260" s="103">
        <f t="shared" si="393"/>
        <v>1.0156742623448784E-2</v>
      </c>
      <c r="W260" s="103">
        <f t="shared" ref="W260:Y260" si="394">IF(W42=0,0,W42/W$31)</f>
        <v>9.5801087160926942E-3</v>
      </c>
      <c r="X260" s="103">
        <f t="shared" si="394"/>
        <v>1.0457947585739201E-2</v>
      </c>
      <c r="Y260" s="103">
        <f t="shared" si="394"/>
        <v>1.0218650403222253E-2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4.9888441274360872E-4</v>
      </c>
      <c r="C262" s="103">
        <f t="shared" si="399"/>
        <v>5.5550235578991948E-4</v>
      </c>
      <c r="D262" s="103">
        <f t="shared" si="399"/>
        <v>5.6294312378995322E-4</v>
      </c>
      <c r="E262" s="103">
        <f t="shared" si="399"/>
        <v>5.7578085028421762E-4</v>
      </c>
      <c r="F262" s="103">
        <f t="shared" si="399"/>
        <v>6.1579533370551042E-4</v>
      </c>
      <c r="G262" s="103">
        <f t="shared" si="399"/>
        <v>1.4018140571092701E-3</v>
      </c>
      <c r="H262" s="103">
        <f t="shared" si="399"/>
        <v>8.3042467165910265E-4</v>
      </c>
      <c r="I262" s="103">
        <f t="shared" si="399"/>
        <v>9.5334369350484854E-4</v>
      </c>
      <c r="J262" s="103">
        <f t="shared" si="399"/>
        <v>1.3013740982595532E-3</v>
      </c>
      <c r="K262" s="103">
        <f t="shared" si="399"/>
        <v>1.6401575527347193E-3</v>
      </c>
      <c r="L262" s="103">
        <f t="shared" ref="L262" si="400">IF(L44=0,0,L44/L$31)</f>
        <v>1.9845698943721365E-3</v>
      </c>
      <c r="M262" s="103">
        <f t="shared" ref="M262:V262" si="401">IF(M44=0,0,M44/M$31)</f>
        <v>2.5886296265081178E-3</v>
      </c>
      <c r="N262" s="103">
        <f t="shared" si="401"/>
        <v>2.782608744114044E-3</v>
      </c>
      <c r="O262" s="103">
        <f t="shared" si="401"/>
        <v>6.1737257467321619E-3</v>
      </c>
      <c r="P262" s="103">
        <f t="shared" si="401"/>
        <v>6.0083809215460025E-3</v>
      </c>
      <c r="Q262" s="103">
        <f t="shared" si="401"/>
        <v>5.6324631837114617E-3</v>
      </c>
      <c r="R262" s="103">
        <f t="shared" si="401"/>
        <v>5.2563302085812174E-3</v>
      </c>
      <c r="S262" s="103">
        <f t="shared" si="401"/>
        <v>5.2053622516892812E-3</v>
      </c>
      <c r="T262" s="103">
        <f t="shared" si="401"/>
        <v>4.9435377632590241E-3</v>
      </c>
      <c r="U262" s="103">
        <f t="shared" si="401"/>
        <v>2.4032041109851832E-3</v>
      </c>
      <c r="V262" s="103">
        <f t="shared" si="401"/>
        <v>2.68306048024658E-3</v>
      </c>
      <c r="W262" s="103">
        <f t="shared" ref="W262:Y262" si="402">IF(W44=0,0,W44/W$31)</f>
        <v>2.3756452728212569E-3</v>
      </c>
      <c r="X262" s="103">
        <f t="shared" si="402"/>
        <v>2.282362758190827E-3</v>
      </c>
      <c r="Y262" s="103">
        <f t="shared" si="402"/>
        <v>2.0806923217925855E-3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1.7373267881085954E-5</v>
      </c>
      <c r="C263" s="103">
        <f t="shared" si="403"/>
        <v>1.7133709787229432E-5</v>
      </c>
      <c r="D263" s="103">
        <f t="shared" si="403"/>
        <v>1.3550246752577154E-5</v>
      </c>
      <c r="E263" s="103">
        <f t="shared" si="403"/>
        <v>1.52321562232094E-5</v>
      </c>
      <c r="F263" s="103">
        <f t="shared" si="403"/>
        <v>1.5068478474480376E-5</v>
      </c>
      <c r="G263" s="103">
        <f t="shared" si="403"/>
        <v>1.2572262272662172E-5</v>
      </c>
      <c r="H263" s="103">
        <f t="shared" si="403"/>
        <v>1.1498115585928138E-5</v>
      </c>
      <c r="I263" s="103">
        <f t="shared" si="403"/>
        <v>9.2211997046124646E-6</v>
      </c>
      <c r="J263" s="103">
        <f t="shared" si="403"/>
        <v>7.4163907987148193E-6</v>
      </c>
      <c r="K263" s="103">
        <f t="shared" si="403"/>
        <v>7.2246379102378087E-6</v>
      </c>
      <c r="L263" s="103">
        <f t="shared" ref="L263" si="404">IF(L45=0,0,L45/L$31)</f>
        <v>3.5340067281657121E-6</v>
      </c>
      <c r="M263" s="103">
        <f t="shared" ref="M263:V263" si="405">IF(M45=0,0,M45/M$31)</f>
        <v>3.4289895041307016E-6</v>
      </c>
      <c r="N263" s="103">
        <f t="shared" si="405"/>
        <v>5.0703229331121883E-6</v>
      </c>
      <c r="O263" s="103">
        <f t="shared" si="405"/>
        <v>6.6010244473278808E-6</v>
      </c>
      <c r="P263" s="103">
        <f t="shared" si="405"/>
        <v>8.651439582398992E-6</v>
      </c>
      <c r="Q263" s="103">
        <f t="shared" si="405"/>
        <v>1.4789716579937571E-5</v>
      </c>
      <c r="R263" s="103">
        <f t="shared" si="405"/>
        <v>2.6752723258933789E-5</v>
      </c>
      <c r="S263" s="103">
        <f t="shared" si="405"/>
        <v>3.6600019085582658E-5</v>
      </c>
      <c r="T263" s="103">
        <f t="shared" si="405"/>
        <v>6.6632687290664778E-5</v>
      </c>
      <c r="U263" s="103">
        <f t="shared" si="405"/>
        <v>1.7734318203180602E-4</v>
      </c>
      <c r="V263" s="103">
        <f t="shared" si="405"/>
        <v>3.2771599879035778E-4</v>
      </c>
      <c r="W263" s="103">
        <f t="shared" ref="W263:Y263" si="406">IF(W45=0,0,W45/W$31)</f>
        <v>4.4611905302249306E-4</v>
      </c>
      <c r="X263" s="103">
        <f t="shared" si="406"/>
        <v>6.3419875564876458E-4</v>
      </c>
      <c r="Y263" s="103">
        <f t="shared" si="406"/>
        <v>8.0997837847675313E-4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0.55668904596882207</v>
      </c>
      <c r="C265" s="154">
        <f t="shared" si="411"/>
        <v>0.5964681446720197</v>
      </c>
      <c r="D265" s="154">
        <f t="shared" si="411"/>
        <v>0.61054915094478568</v>
      </c>
      <c r="E265" s="154">
        <f t="shared" si="411"/>
        <v>0.63193688206180243</v>
      </c>
      <c r="F265" s="154">
        <f t="shared" si="411"/>
        <v>0.64150278233071245</v>
      </c>
      <c r="G265" s="154">
        <f t="shared" si="411"/>
        <v>0.60942972095771397</v>
      </c>
      <c r="H265" s="154">
        <f t="shared" si="411"/>
        <v>0.62320735329820032</v>
      </c>
      <c r="I265" s="154">
        <f t="shared" si="411"/>
        <v>0.62407758504518618</v>
      </c>
      <c r="J265" s="154">
        <f t="shared" si="411"/>
        <v>0.62415748550650885</v>
      </c>
      <c r="K265" s="154">
        <f t="shared" si="411"/>
        <v>0.64847654995803294</v>
      </c>
      <c r="L265" s="154">
        <f t="shared" ref="L265" si="412">IF(L47=0,0,L47/L$46)</f>
        <v>0.6566208502127171</v>
      </c>
      <c r="M265" s="154">
        <f t="shared" ref="M265:V265" si="413">IF(M47=0,0,M47/M$46)</f>
        <v>0.673145823941106</v>
      </c>
      <c r="N265" s="154">
        <f t="shared" si="413"/>
        <v>0.69054091149060659</v>
      </c>
      <c r="O265" s="154">
        <f t="shared" si="413"/>
        <v>0.68638570469409677</v>
      </c>
      <c r="P265" s="154">
        <f t="shared" si="413"/>
        <v>0.6541538218631765</v>
      </c>
      <c r="Q265" s="154">
        <f t="shared" si="413"/>
        <v>0.66308069391309965</v>
      </c>
      <c r="R265" s="154">
        <f t="shared" si="413"/>
        <v>0.66442839724889569</v>
      </c>
      <c r="S265" s="154">
        <f t="shared" si="413"/>
        <v>0.67947061904028538</v>
      </c>
      <c r="T265" s="154">
        <f t="shared" si="413"/>
        <v>0.67188049528222382</v>
      </c>
      <c r="U265" s="154">
        <f t="shared" si="413"/>
        <v>0.68047203682860646</v>
      </c>
      <c r="V265" s="154">
        <f t="shared" si="413"/>
        <v>0.68415284033366819</v>
      </c>
      <c r="W265" s="154">
        <f t="shared" ref="W265:Y265" si="414">IF(W47=0,0,W47/W$46)</f>
        <v>0.67543432852537566</v>
      </c>
      <c r="X265" s="154">
        <f t="shared" si="414"/>
        <v>0.65800401802887842</v>
      </c>
      <c r="Y265" s="154">
        <f t="shared" si="414"/>
        <v>0.67605772568506128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0.20895657763507297</v>
      </c>
      <c r="C266" s="103">
        <f t="shared" si="415"/>
        <v>0.18759239675628434</v>
      </c>
      <c r="D266" s="103">
        <f t="shared" si="415"/>
        <v>0.16564707737173393</v>
      </c>
      <c r="E266" s="103">
        <f t="shared" si="415"/>
        <v>0.14261021994657036</v>
      </c>
      <c r="F266" s="103">
        <f t="shared" si="415"/>
        <v>0.11876498628186069</v>
      </c>
      <c r="G266" s="103">
        <f t="shared" si="415"/>
        <v>0.11276587348517134</v>
      </c>
      <c r="H266" s="103">
        <f t="shared" si="415"/>
        <v>9.4925123854116375E-2</v>
      </c>
      <c r="I266" s="103">
        <f t="shared" si="415"/>
        <v>8.4093683186938439E-2</v>
      </c>
      <c r="J266" s="103">
        <f t="shared" si="415"/>
        <v>7.4103634762252416E-2</v>
      </c>
      <c r="K266" s="103">
        <f t="shared" si="415"/>
        <v>7.0325233136272869E-2</v>
      </c>
      <c r="L266" s="103">
        <f t="shared" ref="L266" si="416">IF(L48=0,0,L48/L$46)</f>
        <v>5.866050489033902E-2</v>
      </c>
      <c r="M266" s="103">
        <f t="shared" ref="M266:V266" si="417">IF(M48=0,0,M48/M$46)</f>
        <v>5.3607155691056251E-2</v>
      </c>
      <c r="N266" s="103">
        <f t="shared" si="417"/>
        <v>4.7409713387940852E-2</v>
      </c>
      <c r="O266" s="103">
        <f t="shared" si="417"/>
        <v>4.0929389839873868E-2</v>
      </c>
      <c r="P266" s="103">
        <f t="shared" si="417"/>
        <v>3.5098129485842386E-2</v>
      </c>
      <c r="Q266" s="103">
        <f t="shared" si="417"/>
        <v>3.1987114902516781E-2</v>
      </c>
      <c r="R266" s="103">
        <f t="shared" si="417"/>
        <v>2.5937062582189498E-2</v>
      </c>
      <c r="S266" s="103">
        <f t="shared" si="417"/>
        <v>2.1682816245367213E-2</v>
      </c>
      <c r="T266" s="103">
        <f t="shared" si="417"/>
        <v>2.1012574455033749E-2</v>
      </c>
      <c r="U266" s="103">
        <f t="shared" si="417"/>
        <v>2.0892275687581674E-2</v>
      </c>
      <c r="V266" s="103">
        <f t="shared" si="417"/>
        <v>2.1010644945754189E-2</v>
      </c>
      <c r="W266" s="103">
        <f t="shared" ref="W266:Y266" si="418">IF(W48=0,0,W48/W$46)</f>
        <v>2.1627942505898501E-2</v>
      </c>
      <c r="X266" s="103">
        <f t="shared" si="418"/>
        <v>2.4872922533219637E-2</v>
      </c>
      <c r="Y266" s="103">
        <f t="shared" si="418"/>
        <v>2.7495946180209278E-2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0.34773246833374921</v>
      </c>
      <c r="C267" s="103">
        <f t="shared" si="419"/>
        <v>0.40887222622883285</v>
      </c>
      <c r="D267" s="103">
        <f t="shared" si="419"/>
        <v>0.4448823718805629</v>
      </c>
      <c r="E267" s="103">
        <f t="shared" si="419"/>
        <v>0.48927436306768912</v>
      </c>
      <c r="F267" s="103">
        <f t="shared" si="419"/>
        <v>0.52265846339268351</v>
      </c>
      <c r="G267" s="103">
        <f t="shared" si="419"/>
        <v>0.49650631947102047</v>
      </c>
      <c r="H267" s="103">
        <f t="shared" si="419"/>
        <v>0.52772244775999688</v>
      </c>
      <c r="I267" s="103">
        <f t="shared" si="419"/>
        <v>0.53905132230025998</v>
      </c>
      <c r="J267" s="103">
        <f t="shared" si="419"/>
        <v>0.54848415864420919</v>
      </c>
      <c r="K267" s="103">
        <f t="shared" si="419"/>
        <v>0.57567966332683884</v>
      </c>
      <c r="L267" s="103">
        <f t="shared" ref="L267" si="420">IF(L49=0,0,L49/L$46)</f>
        <v>0.59527962690508551</v>
      </c>
      <c r="M267" s="103">
        <f t="shared" ref="M267:V267" si="421">IF(M49=0,0,M49/M$46)</f>
        <v>0.61663467852007503</v>
      </c>
      <c r="N267" s="103">
        <f t="shared" si="421"/>
        <v>0.63954971867857779</v>
      </c>
      <c r="O267" s="103">
        <f t="shared" si="421"/>
        <v>0.64162574704751274</v>
      </c>
      <c r="P267" s="103">
        <f t="shared" si="421"/>
        <v>0.61511838420196496</v>
      </c>
      <c r="Q267" s="103">
        <f t="shared" si="421"/>
        <v>0.62666493030599901</v>
      </c>
      <c r="R267" s="103">
        <f t="shared" si="421"/>
        <v>0.6337938245121052</v>
      </c>
      <c r="S267" s="103">
        <f t="shared" si="421"/>
        <v>0.65258223273621629</v>
      </c>
      <c r="T267" s="103">
        <f t="shared" si="421"/>
        <v>0.64258000672713433</v>
      </c>
      <c r="U267" s="103">
        <f t="shared" si="421"/>
        <v>0.65034413818253856</v>
      </c>
      <c r="V267" s="103">
        <f t="shared" si="421"/>
        <v>0.6527779303698702</v>
      </c>
      <c r="W267" s="103">
        <f t="shared" ref="W267:Y267" si="422">IF(W49=0,0,W49/W$46)</f>
        <v>0.64221913577288936</v>
      </c>
      <c r="X267" s="103">
        <f t="shared" si="422"/>
        <v>0.61803162984531268</v>
      </c>
      <c r="Y267" s="103">
        <f t="shared" si="422"/>
        <v>0.62950856307081926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0</v>
      </c>
      <c r="P268" s="103">
        <f t="shared" si="425"/>
        <v>0</v>
      </c>
      <c r="Q268" s="103">
        <f t="shared" si="425"/>
        <v>0</v>
      </c>
      <c r="R268" s="103">
        <f t="shared" si="425"/>
        <v>0</v>
      </c>
      <c r="S268" s="103">
        <f t="shared" si="425"/>
        <v>0</v>
      </c>
      <c r="T268" s="103">
        <f t="shared" si="425"/>
        <v>0</v>
      </c>
      <c r="U268" s="103">
        <f t="shared" si="425"/>
        <v>0</v>
      </c>
      <c r="V268" s="103">
        <f t="shared" si="425"/>
        <v>0</v>
      </c>
      <c r="W268" s="103">
        <f t="shared" ref="W268:Y268" si="426">IF(W50=0,0,W50/W$46)</f>
        <v>0</v>
      </c>
      <c r="X268" s="103">
        <f t="shared" si="426"/>
        <v>0</v>
      </c>
      <c r="Y268" s="103">
        <f t="shared" si="426"/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3.5216869026153379E-6</v>
      </c>
      <c r="D269" s="103">
        <f t="shared" si="427"/>
        <v>1.97016924888318E-5</v>
      </c>
      <c r="E269" s="103">
        <f t="shared" si="427"/>
        <v>5.2299047542869878E-5</v>
      </c>
      <c r="F269" s="103">
        <f t="shared" si="427"/>
        <v>7.933265616823538E-5</v>
      </c>
      <c r="G269" s="103">
        <f t="shared" si="427"/>
        <v>1.5565409875764179E-4</v>
      </c>
      <c r="H269" s="103">
        <f t="shared" si="427"/>
        <v>3.7532239822144549E-4</v>
      </c>
      <c r="I269" s="103">
        <f t="shared" si="427"/>
        <v>7.6557149241282649E-4</v>
      </c>
      <c r="J269" s="103">
        <f t="shared" si="427"/>
        <v>1.4060430672564318E-3</v>
      </c>
      <c r="K269" s="103">
        <f t="shared" si="427"/>
        <v>2.301778871884352E-3</v>
      </c>
      <c r="L269" s="103">
        <f t="shared" ref="L269" si="428">IF(L51=0,0,L51/L$46)</f>
        <v>2.5244088799031591E-3</v>
      </c>
      <c r="M269" s="103">
        <f t="shared" ref="M269:V269" si="429">IF(M51=0,0,M51/M$46)</f>
        <v>2.7479438615814651E-3</v>
      </c>
      <c r="N269" s="103">
        <f t="shared" si="429"/>
        <v>3.2837458905711492E-3</v>
      </c>
      <c r="O269" s="103">
        <f t="shared" si="429"/>
        <v>3.3908637958274604E-3</v>
      </c>
      <c r="P269" s="103">
        <f t="shared" si="429"/>
        <v>3.3150872230342477E-3</v>
      </c>
      <c r="Q269" s="103">
        <f t="shared" si="429"/>
        <v>3.5422659815147455E-3</v>
      </c>
      <c r="R269" s="103">
        <f t="shared" si="429"/>
        <v>3.615040258277425E-3</v>
      </c>
      <c r="S269" s="103">
        <f t="shared" si="429"/>
        <v>3.9182019553184984E-3</v>
      </c>
      <c r="T269" s="103">
        <f t="shared" si="429"/>
        <v>6.55087742610138E-3</v>
      </c>
      <c r="U269" s="103">
        <f t="shared" si="429"/>
        <v>6.6855699933731014E-3</v>
      </c>
      <c r="V269" s="103">
        <f t="shared" si="429"/>
        <v>6.6534653010069155E-3</v>
      </c>
      <c r="W269" s="103">
        <f t="shared" ref="W269:Y269" si="430">IF(W51=0,0,W51/W$46)</f>
        <v>6.3962440985796476E-3</v>
      </c>
      <c r="X269" s="103">
        <f t="shared" si="430"/>
        <v>6.7997633544088637E-3</v>
      </c>
      <c r="Y269" s="103">
        <f t="shared" si="430"/>
        <v>6.0345454770758906E-3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1.8739027645880616E-6</v>
      </c>
      <c r="H270" s="103">
        <f t="shared" si="431"/>
        <v>1.8445928586565601E-4</v>
      </c>
      <c r="I270" s="103">
        <f t="shared" si="431"/>
        <v>1.670080655749262E-4</v>
      </c>
      <c r="J270" s="103">
        <f t="shared" si="431"/>
        <v>1.6364903279084947E-4</v>
      </c>
      <c r="K270" s="103">
        <f t="shared" si="431"/>
        <v>1.6987462303689625E-4</v>
      </c>
      <c r="L270" s="103">
        <f t="shared" ref="L270" si="432">IF(L52=0,0,L52/L$46)</f>
        <v>1.5630953738940282E-4</v>
      </c>
      <c r="M270" s="103">
        <f t="shared" ref="M270:V270" si="433">IF(M52=0,0,M52/M$46)</f>
        <v>1.5604586839320918E-4</v>
      </c>
      <c r="N270" s="103">
        <f t="shared" si="433"/>
        <v>2.9773353351682258E-4</v>
      </c>
      <c r="O270" s="103">
        <f t="shared" si="433"/>
        <v>4.3970401088270258E-4</v>
      </c>
      <c r="P270" s="103">
        <f t="shared" si="433"/>
        <v>6.2222095233491139E-4</v>
      </c>
      <c r="Q270" s="103">
        <f t="shared" si="433"/>
        <v>8.8638272306920327E-4</v>
      </c>
      <c r="R270" s="103">
        <f t="shared" si="433"/>
        <v>1.0824698963235735E-3</v>
      </c>
      <c r="S270" s="103">
        <f t="shared" si="433"/>
        <v>1.2873681033833285E-3</v>
      </c>
      <c r="T270" s="103">
        <f t="shared" si="433"/>
        <v>1.7370366739542888E-3</v>
      </c>
      <c r="U270" s="103">
        <f t="shared" si="433"/>
        <v>2.5500529651130612E-3</v>
      </c>
      <c r="V270" s="103">
        <f t="shared" si="433"/>
        <v>3.7107997170368967E-3</v>
      </c>
      <c r="W270" s="103">
        <f t="shared" ref="W270:Y270" si="434">IF(W52=0,0,W52/W$46)</f>
        <v>5.1910061480082027E-3</v>
      </c>
      <c r="X270" s="103">
        <f t="shared" si="434"/>
        <v>8.2997022959373258E-3</v>
      </c>
      <c r="Y270" s="103">
        <f t="shared" si="434"/>
        <v>1.3018670956956847E-2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0.44331095403117787</v>
      </c>
      <c r="C271" s="156">
        <f t="shared" si="435"/>
        <v>0.40353185532798025</v>
      </c>
      <c r="D271" s="156">
        <f t="shared" si="435"/>
        <v>0.38945084905521443</v>
      </c>
      <c r="E271" s="156">
        <f t="shared" si="435"/>
        <v>0.36806311793819763</v>
      </c>
      <c r="F271" s="156">
        <f t="shared" si="435"/>
        <v>0.3584972176692876</v>
      </c>
      <c r="G271" s="156">
        <f t="shared" si="435"/>
        <v>0.39057027904228603</v>
      </c>
      <c r="H271" s="156">
        <f t="shared" si="435"/>
        <v>0.37679264670179974</v>
      </c>
      <c r="I271" s="156">
        <f t="shared" si="435"/>
        <v>0.37592241495481377</v>
      </c>
      <c r="J271" s="156">
        <f t="shared" si="435"/>
        <v>0.37584251449349115</v>
      </c>
      <c r="K271" s="156">
        <f t="shared" si="435"/>
        <v>0.351523450041967</v>
      </c>
      <c r="L271" s="156">
        <f t="shared" ref="L271" si="436">IF(L53=0,0,L53/L$46)</f>
        <v>0.34337914978728301</v>
      </c>
      <c r="M271" s="156">
        <f t="shared" ref="M271:V271" si="437">IF(M53=0,0,M53/M$46)</f>
        <v>0.32685417605889405</v>
      </c>
      <c r="N271" s="156">
        <f t="shared" si="437"/>
        <v>0.30945908850939341</v>
      </c>
      <c r="O271" s="156">
        <f t="shared" si="437"/>
        <v>0.31361429530590335</v>
      </c>
      <c r="P271" s="156">
        <f t="shared" si="437"/>
        <v>0.3458461781368235</v>
      </c>
      <c r="Q271" s="156">
        <f t="shared" si="437"/>
        <v>0.33691930608690029</v>
      </c>
      <c r="R271" s="156">
        <f t="shared" si="437"/>
        <v>0.33557160275110437</v>
      </c>
      <c r="S271" s="156">
        <f t="shared" si="437"/>
        <v>0.32052938095971462</v>
      </c>
      <c r="T271" s="156">
        <f t="shared" si="437"/>
        <v>0.32811950471777618</v>
      </c>
      <c r="U271" s="156">
        <f t="shared" si="437"/>
        <v>0.31952796317139354</v>
      </c>
      <c r="V271" s="156">
        <f t="shared" si="437"/>
        <v>0.31584715966633187</v>
      </c>
      <c r="W271" s="156">
        <f t="shared" ref="W271:Y271" si="438">IF(W53=0,0,W53/W$46)</f>
        <v>0.32456567147462423</v>
      </c>
      <c r="X271" s="156">
        <f t="shared" si="438"/>
        <v>0.34199598197112147</v>
      </c>
      <c r="Y271" s="156">
        <f t="shared" si="438"/>
        <v>0.32394227431493866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0.35973275402301053</v>
      </c>
      <c r="C272" s="104">
        <f t="shared" si="439"/>
        <v>0.32194268393052661</v>
      </c>
      <c r="D272" s="104">
        <f t="shared" si="439"/>
        <v>0.30827766238340842</v>
      </c>
      <c r="E272" s="104">
        <f t="shared" si="439"/>
        <v>0.28817253588676556</v>
      </c>
      <c r="F272" s="104">
        <f t="shared" si="439"/>
        <v>0.27108104715707459</v>
      </c>
      <c r="G272" s="104">
        <f t="shared" si="439"/>
        <v>0.29830038424813704</v>
      </c>
      <c r="H272" s="104">
        <f t="shared" si="439"/>
        <v>0.28220461828155408</v>
      </c>
      <c r="I272" s="104">
        <f t="shared" si="439"/>
        <v>0.28389236555824116</v>
      </c>
      <c r="J272" s="104">
        <f t="shared" si="439"/>
        <v>0.28868124034117121</v>
      </c>
      <c r="K272" s="104">
        <f t="shared" si="439"/>
        <v>0.27896975304499549</v>
      </c>
      <c r="L272" s="104">
        <f t="shared" ref="L272" si="440">IF(L54=0,0,L54/L$46)</f>
        <v>0.26915137665731054</v>
      </c>
      <c r="M272" s="104">
        <f t="shared" ref="M272:V272" si="441">IF(M54=0,0,M54/M$46)</f>
        <v>0.25577025392399361</v>
      </c>
      <c r="N272" s="104">
        <f t="shared" si="441"/>
        <v>0.23949108185753937</v>
      </c>
      <c r="O272" s="104">
        <f t="shared" si="441"/>
        <v>0.23517222968150567</v>
      </c>
      <c r="P272" s="104">
        <f t="shared" si="441"/>
        <v>0.2764022364324486</v>
      </c>
      <c r="Q272" s="104">
        <f t="shared" si="441"/>
        <v>0.26154637029521538</v>
      </c>
      <c r="R272" s="104">
        <f t="shared" si="441"/>
        <v>0.25689449469671721</v>
      </c>
      <c r="S272" s="104">
        <f t="shared" si="441"/>
        <v>0.2468428763629516</v>
      </c>
      <c r="T272" s="104">
        <f t="shared" si="441"/>
        <v>0.25414486500376976</v>
      </c>
      <c r="U272" s="104">
        <f t="shared" si="441"/>
        <v>0.25059352183270833</v>
      </c>
      <c r="V272" s="104">
        <f t="shared" si="441"/>
        <v>0.24599893986989746</v>
      </c>
      <c r="W272" s="104">
        <f t="shared" ref="W272:Y272" si="442">IF(W54=0,0,W54/W$46)</f>
        <v>0.25144148332978156</v>
      </c>
      <c r="X272" s="104">
        <f t="shared" si="442"/>
        <v>0.27480618984411642</v>
      </c>
      <c r="Y272" s="104">
        <f t="shared" si="442"/>
        <v>0.2559524430503099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8.3578200008167389E-2</v>
      </c>
      <c r="C273" s="105">
        <f t="shared" si="443"/>
        <v>8.1589171397453669E-2</v>
      </c>
      <c r="D273" s="105">
        <f t="shared" si="443"/>
        <v>8.1173186671806022E-2</v>
      </c>
      <c r="E273" s="105">
        <f t="shared" si="443"/>
        <v>7.9890582051432124E-2</v>
      </c>
      <c r="F273" s="105">
        <f t="shared" si="443"/>
        <v>8.7416170512213065E-2</v>
      </c>
      <c r="G273" s="105">
        <f t="shared" si="443"/>
        <v>9.2269894794149002E-2</v>
      </c>
      <c r="H273" s="105">
        <f t="shared" si="443"/>
        <v>9.4588028420245704E-2</v>
      </c>
      <c r="I273" s="105">
        <f t="shared" si="443"/>
        <v>9.2030049396572611E-2</v>
      </c>
      <c r="J273" s="105">
        <f t="shared" si="443"/>
        <v>8.7161274152319973E-2</v>
      </c>
      <c r="K273" s="105">
        <f t="shared" si="443"/>
        <v>7.2553696996971506E-2</v>
      </c>
      <c r="L273" s="105">
        <f t="shared" ref="L273" si="444">IF(L55=0,0,L55/L$46)</f>
        <v>7.4227773129972488E-2</v>
      </c>
      <c r="M273" s="105">
        <f t="shared" ref="M273:V273" si="445">IF(M55=0,0,M55/M$46)</f>
        <v>7.1083922134900446E-2</v>
      </c>
      <c r="N273" s="105">
        <f t="shared" si="445"/>
        <v>6.9968006651854014E-2</v>
      </c>
      <c r="O273" s="105">
        <f t="shared" si="445"/>
        <v>7.8442065624397692E-2</v>
      </c>
      <c r="P273" s="105">
        <f t="shared" si="445"/>
        <v>6.9443941704374845E-2</v>
      </c>
      <c r="Q273" s="105">
        <f t="shared" si="445"/>
        <v>7.5372935791684914E-2</v>
      </c>
      <c r="R273" s="105">
        <f t="shared" si="445"/>
        <v>7.8677108054387129E-2</v>
      </c>
      <c r="S273" s="105">
        <f t="shared" si="445"/>
        <v>7.3686504596762986E-2</v>
      </c>
      <c r="T273" s="105">
        <f t="shared" si="445"/>
        <v>7.3974639714006363E-2</v>
      </c>
      <c r="U273" s="105">
        <f t="shared" si="445"/>
        <v>6.8934441338685162E-2</v>
      </c>
      <c r="V273" s="105">
        <f t="shared" si="445"/>
        <v>6.9848219796434394E-2</v>
      </c>
      <c r="W273" s="105">
        <f t="shared" ref="W273:Y273" si="446">IF(W55=0,0,W55/W$46)</f>
        <v>7.3124188144842686E-2</v>
      </c>
      <c r="X273" s="105">
        <f t="shared" si="446"/>
        <v>6.7189792127005016E-2</v>
      </c>
      <c r="Y273" s="105">
        <f t="shared" si="446"/>
        <v>6.7989831264628806E-2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6752.1709304169526</v>
      </c>
      <c r="C4" s="145">
        <f t="shared" si="0"/>
        <v>6738.3989596932579</v>
      </c>
      <c r="D4" s="145">
        <f t="shared" si="0"/>
        <v>6875.6318632884822</v>
      </c>
      <c r="E4" s="145">
        <f t="shared" si="0"/>
        <v>6985.2981366955482</v>
      </c>
      <c r="F4" s="145">
        <f t="shared" si="0"/>
        <v>7172.4650010783525</v>
      </c>
      <c r="G4" s="145">
        <f t="shared" si="0"/>
        <v>6839.0863801985051</v>
      </c>
      <c r="H4" s="145">
        <f t="shared" si="0"/>
        <v>6932.3921748448247</v>
      </c>
      <c r="I4" s="145">
        <f t="shared" si="0"/>
        <v>7043.5603954054477</v>
      </c>
      <c r="J4" s="145">
        <f t="shared" si="0"/>
        <v>6970.6149474269323</v>
      </c>
      <c r="K4" s="145">
        <f t="shared" si="0"/>
        <v>6830.7989994659856</v>
      </c>
      <c r="L4" s="145">
        <f t="shared" ref="L4" si="1">L5+L9+L10+L15</f>
        <v>6961.0665699079709</v>
      </c>
      <c r="M4" s="145">
        <f t="shared" ref="M4:V4" si="2">M5+M9+M10+M15</f>
        <v>6929.7654349160111</v>
      </c>
      <c r="N4" s="145">
        <f t="shared" si="2"/>
        <v>6663.0140396155912</v>
      </c>
      <c r="O4" s="145">
        <f t="shared" si="2"/>
        <v>6567.6270353099053</v>
      </c>
      <c r="P4" s="145">
        <f t="shared" si="2"/>
        <v>6584.8461812276064</v>
      </c>
      <c r="Q4" s="145">
        <f t="shared" si="2"/>
        <v>6743.0066704103465</v>
      </c>
      <c r="R4" s="145">
        <f t="shared" si="2"/>
        <v>6649.9541126836539</v>
      </c>
      <c r="S4" s="145">
        <f t="shared" si="2"/>
        <v>6756.4613281563707</v>
      </c>
      <c r="T4" s="145">
        <f t="shared" si="2"/>
        <v>6580.9786066221104</v>
      </c>
      <c r="U4" s="145">
        <f t="shared" si="2"/>
        <v>6495.9817548747533</v>
      </c>
      <c r="V4" s="145">
        <f t="shared" si="2"/>
        <v>6232.0041873059781</v>
      </c>
      <c r="W4" s="145">
        <f t="shared" ref="W4:Y4" si="3">W5+W9+W10+W15</f>
        <v>6424.7092916487009</v>
      </c>
      <c r="X4" s="145">
        <f t="shared" si="3"/>
        <v>6085.2094557026012</v>
      </c>
      <c r="Y4" s="145">
        <f t="shared" si="3"/>
        <v>6005.4925328698864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6741.7143594153049</v>
      </c>
      <c r="C5" s="97">
        <f t="shared" si="4"/>
        <v>6712.897678417884</v>
      </c>
      <c r="D5" s="97">
        <f t="shared" si="4"/>
        <v>6831.0308684436804</v>
      </c>
      <c r="E5" s="97">
        <f t="shared" si="4"/>
        <v>6900.809716251074</v>
      </c>
      <c r="F5" s="97">
        <f t="shared" si="4"/>
        <v>7029.7553740326739</v>
      </c>
      <c r="G5" s="97">
        <f t="shared" si="4"/>
        <v>6678.675838349096</v>
      </c>
      <c r="H5" s="97">
        <f t="shared" si="4"/>
        <v>6714.6476354256229</v>
      </c>
      <c r="I5" s="97">
        <f t="shared" si="4"/>
        <v>6764.6029234737725</v>
      </c>
      <c r="J5" s="97">
        <f t="shared" si="4"/>
        <v>6619.9196044711944</v>
      </c>
      <c r="K5" s="97">
        <f t="shared" si="4"/>
        <v>6471.6565778159929</v>
      </c>
      <c r="L5" s="97">
        <f t="shared" ref="L5" si="5">SUM(L6:L8)</f>
        <v>6569.8905417024926</v>
      </c>
      <c r="M5" s="97">
        <f t="shared" ref="M5:V5" si="6">SUM(M6:M8)</f>
        <v>6432.8177128116931</v>
      </c>
      <c r="N5" s="97">
        <f t="shared" si="6"/>
        <v>6090.4160791057611</v>
      </c>
      <c r="O5" s="97">
        <f t="shared" si="6"/>
        <v>5912.3528804815123</v>
      </c>
      <c r="P5" s="97">
        <f t="shared" si="6"/>
        <v>5756.6631986242464</v>
      </c>
      <c r="Q5" s="97">
        <f t="shared" si="6"/>
        <v>5788.1297506448827</v>
      </c>
      <c r="R5" s="97">
        <f t="shared" si="6"/>
        <v>5494.6525365434209</v>
      </c>
      <c r="S5" s="97">
        <f t="shared" si="6"/>
        <v>5359.3551160791048</v>
      </c>
      <c r="T5" s="97">
        <f t="shared" si="6"/>
        <v>5074.3538263112641</v>
      </c>
      <c r="U5" s="97">
        <f t="shared" si="6"/>
        <v>5071.3960447119516</v>
      </c>
      <c r="V5" s="97">
        <f t="shared" si="6"/>
        <v>4783.1301805674975</v>
      </c>
      <c r="W5" s="97">
        <f t="shared" ref="W5:Y5" si="7">SUM(W6:W8)</f>
        <v>4898.1809114359412</v>
      </c>
      <c r="X5" s="97">
        <f t="shared" si="7"/>
        <v>4299.066208082545</v>
      </c>
      <c r="Y5" s="97">
        <f t="shared" si="7"/>
        <v>4294.7566638005155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0.82132416165090272</v>
      </c>
      <c r="H6" s="97">
        <v>0.61117798796216671</v>
      </c>
      <c r="I6" s="97">
        <v>1.313929492691315</v>
      </c>
      <c r="J6" s="97">
        <v>0.84161650902837482</v>
      </c>
      <c r="K6" s="97">
        <v>1.0393809114359409</v>
      </c>
      <c r="L6" s="97">
        <v>1.096990541702493</v>
      </c>
      <c r="M6" s="97">
        <v>1.0178847807394671</v>
      </c>
      <c r="N6" s="97">
        <v>0.63379191745485808</v>
      </c>
      <c r="O6" s="97">
        <v>0.33104041272570928</v>
      </c>
      <c r="P6" s="97">
        <v>0.38865004299226141</v>
      </c>
      <c r="Q6" s="97">
        <v>2.1713671539122958</v>
      </c>
      <c r="R6" s="97">
        <v>0.7625967325881341</v>
      </c>
      <c r="S6" s="97">
        <v>0</v>
      </c>
      <c r="T6" s="97">
        <v>0</v>
      </c>
      <c r="U6" s="97">
        <v>0</v>
      </c>
      <c r="V6" s="97">
        <v>0</v>
      </c>
      <c r="W6" s="97">
        <v>0</v>
      </c>
      <c r="X6" s="97">
        <v>0</v>
      </c>
      <c r="Y6" s="97">
        <v>0</v>
      </c>
      <c r="DA6" s="175" t="s">
        <v>630</v>
      </c>
    </row>
    <row r="7" spans="1:105" ht="11.45" customHeight="1" x14ac:dyDescent="0.25">
      <c r="A7" s="128" t="s">
        <v>53</v>
      </c>
      <c r="B7" s="97">
        <v>4208.0132416165088</v>
      </c>
      <c r="C7" s="97">
        <v>4170.980223559759</v>
      </c>
      <c r="D7" s="97">
        <v>4276.788993981083</v>
      </c>
      <c r="E7" s="97">
        <v>4239.75588993981</v>
      </c>
      <c r="F7" s="97">
        <v>4154.0508168529659</v>
      </c>
      <c r="G7" s="97">
        <v>3941.0885640584688</v>
      </c>
      <c r="H7" s="97">
        <v>3831.3161650902839</v>
      </c>
      <c r="I7" s="97">
        <v>3746.2671539122948</v>
      </c>
      <c r="J7" s="97">
        <v>3521.2775580395519</v>
      </c>
      <c r="K7" s="97">
        <v>3446.9257953568358</v>
      </c>
      <c r="L7" s="97">
        <v>3227.968357695614</v>
      </c>
      <c r="M7" s="97">
        <v>2983.1798796216681</v>
      </c>
      <c r="N7" s="97">
        <v>2722.5591573516772</v>
      </c>
      <c r="O7" s="97">
        <v>2569.2011177987961</v>
      </c>
      <c r="P7" s="97">
        <v>2462.9426483233019</v>
      </c>
      <c r="Q7" s="97">
        <v>2395.445141874462</v>
      </c>
      <c r="R7" s="97">
        <v>2289.4173688736018</v>
      </c>
      <c r="S7" s="97">
        <v>2181.0630266552021</v>
      </c>
      <c r="T7" s="97">
        <v>2039.413413585555</v>
      </c>
      <c r="U7" s="97">
        <v>1990.431814273431</v>
      </c>
      <c r="V7" s="97">
        <v>1817.766294067068</v>
      </c>
      <c r="W7" s="97">
        <v>1907.730610490112</v>
      </c>
      <c r="X7" s="97">
        <v>1762.751332760103</v>
      </c>
      <c r="Y7" s="97">
        <v>1721.8342218400689</v>
      </c>
      <c r="DA7" s="175" t="s">
        <v>631</v>
      </c>
    </row>
    <row r="8" spans="1:105" ht="11.45" customHeight="1" x14ac:dyDescent="0.25">
      <c r="A8" s="128" t="s">
        <v>54</v>
      </c>
      <c r="B8" s="97">
        <v>2533.7011177987961</v>
      </c>
      <c r="C8" s="97">
        <v>2541.917454858125</v>
      </c>
      <c r="D8" s="97">
        <v>2554.241874462597</v>
      </c>
      <c r="E8" s="97">
        <v>2661.0538263112639</v>
      </c>
      <c r="F8" s="97">
        <v>2875.704557179708</v>
      </c>
      <c r="G8" s="97">
        <v>2736.7659501289768</v>
      </c>
      <c r="H8" s="97">
        <v>2882.7202923473769</v>
      </c>
      <c r="I8" s="97">
        <v>3017.0218400687868</v>
      </c>
      <c r="J8" s="97">
        <v>3097.8004299226141</v>
      </c>
      <c r="K8" s="97">
        <v>3023.6914015477209</v>
      </c>
      <c r="L8" s="97">
        <v>3340.8251934651762</v>
      </c>
      <c r="M8" s="97">
        <v>3448.6199484092858</v>
      </c>
      <c r="N8" s="97">
        <v>3367.2231298366291</v>
      </c>
      <c r="O8" s="97">
        <v>3342.8207222699912</v>
      </c>
      <c r="P8" s="97">
        <v>3293.3319002579528</v>
      </c>
      <c r="Q8" s="97">
        <v>3390.5132416165088</v>
      </c>
      <c r="R8" s="97">
        <v>3204.472570937231</v>
      </c>
      <c r="S8" s="97">
        <v>3178.2920894239028</v>
      </c>
      <c r="T8" s="97">
        <v>3034.9404127257089</v>
      </c>
      <c r="U8" s="97">
        <v>3080.9642304385211</v>
      </c>
      <c r="V8" s="97">
        <v>2965.36388650043</v>
      </c>
      <c r="W8" s="97">
        <v>2990.450300945829</v>
      </c>
      <c r="X8" s="97">
        <v>2536.3148753224418</v>
      </c>
      <c r="Y8" s="97">
        <v>2572.922441960447</v>
      </c>
      <c r="DA8" s="175" t="s">
        <v>632</v>
      </c>
    </row>
    <row r="9" spans="1:105" ht="11.45" customHeight="1" x14ac:dyDescent="0.25">
      <c r="A9" s="92" t="s">
        <v>55</v>
      </c>
      <c r="B9" s="97">
        <v>10.146173688736029</v>
      </c>
      <c r="C9" s="97">
        <v>10.29664660361135</v>
      </c>
      <c r="D9" s="97">
        <v>12.0378331900258</v>
      </c>
      <c r="E9" s="97">
        <v>17.476354256233879</v>
      </c>
      <c r="F9" s="97">
        <v>15.41272570937231</v>
      </c>
      <c r="G9" s="97">
        <v>15.36973344797936</v>
      </c>
      <c r="H9" s="97">
        <v>22.592433361994839</v>
      </c>
      <c r="I9" s="97">
        <v>23.32330180567498</v>
      </c>
      <c r="J9" s="97">
        <v>24.05417024935511</v>
      </c>
      <c r="K9" s="97">
        <v>20.786758383490969</v>
      </c>
      <c r="L9" s="97">
        <v>31.728288907996561</v>
      </c>
      <c r="M9" s="97">
        <v>42.798796216680998</v>
      </c>
      <c r="N9" s="97">
        <v>52.966466036113488</v>
      </c>
      <c r="O9" s="97">
        <v>52.687016337059333</v>
      </c>
      <c r="P9" s="97">
        <v>50.623387790197761</v>
      </c>
      <c r="Q9" s="97">
        <v>34.43680137575236</v>
      </c>
      <c r="R9" s="97">
        <v>36.457437661220979</v>
      </c>
      <c r="S9" s="97">
        <v>13.31616509028375</v>
      </c>
      <c r="T9" s="97">
        <v>11.414445399828031</v>
      </c>
      <c r="U9" s="97">
        <v>8.6087704213241611</v>
      </c>
      <c r="V9" s="97">
        <v>8.6147893379191736</v>
      </c>
      <c r="W9" s="97">
        <v>9.1692057360729038</v>
      </c>
      <c r="X9" s="97">
        <v>6.107772787318325</v>
      </c>
      <c r="Y9" s="97">
        <v>13.528916035891319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14.903955288048149</v>
      </c>
      <c r="D10" s="97">
        <f t="shared" si="8"/>
        <v>32.315821152192605</v>
      </c>
      <c r="E10" s="97">
        <f t="shared" si="8"/>
        <v>66.733533963886501</v>
      </c>
      <c r="F10" s="97">
        <f t="shared" si="8"/>
        <v>127.01822871883064</v>
      </c>
      <c r="G10" s="97">
        <f t="shared" si="8"/>
        <v>144.81556319862423</v>
      </c>
      <c r="H10" s="97">
        <f t="shared" si="8"/>
        <v>194.91908856405851</v>
      </c>
      <c r="I10" s="97">
        <f t="shared" si="8"/>
        <v>255.43740326741181</v>
      </c>
      <c r="J10" s="97">
        <f t="shared" si="8"/>
        <v>326.4270851246776</v>
      </c>
      <c r="K10" s="97">
        <f t="shared" si="8"/>
        <v>338.1304385210662</v>
      </c>
      <c r="L10" s="97">
        <f t="shared" si="8"/>
        <v>359.27987962166799</v>
      </c>
      <c r="M10" s="97">
        <f t="shared" si="8"/>
        <v>453.91100601891662</v>
      </c>
      <c r="N10" s="97">
        <f t="shared" si="8"/>
        <v>519.21857265692165</v>
      </c>
      <c r="O10" s="97">
        <f t="shared" si="8"/>
        <v>601.96354256233872</v>
      </c>
      <c r="P10" s="97">
        <f t="shared" si="8"/>
        <v>776.16921754084262</v>
      </c>
      <c r="Q10" s="97">
        <f t="shared" si="8"/>
        <v>917.51711092003438</v>
      </c>
      <c r="R10" s="97">
        <f t="shared" si="8"/>
        <v>1113.6765262252793</v>
      </c>
      <c r="S10" s="97">
        <f t="shared" si="8"/>
        <v>1375.7140154772142</v>
      </c>
      <c r="T10" s="97">
        <f t="shared" si="8"/>
        <v>1482.3481513327599</v>
      </c>
      <c r="U10" s="97">
        <f t="shared" si="8"/>
        <v>1393.9128116938948</v>
      </c>
      <c r="V10" s="97">
        <f t="shared" si="8"/>
        <v>1399.1194325021493</v>
      </c>
      <c r="W10" s="97">
        <f t="shared" si="8"/>
        <v>1444.8593411254915</v>
      </c>
      <c r="X10" s="97">
        <f t="shared" ref="X10:Y10" si="9">SUM(X11:X13)</f>
        <v>1668.2242134551575</v>
      </c>
      <c r="Y10" s="97">
        <f t="shared" si="9"/>
        <v>1554.7516514619588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18.72553740326741</v>
      </c>
      <c r="K11" s="97">
        <v>21.137833190025791</v>
      </c>
      <c r="L11" s="97">
        <v>21.137833190025791</v>
      </c>
      <c r="M11" s="97">
        <v>62.649269131556323</v>
      </c>
      <c r="N11" s="97">
        <v>69.504127257093714</v>
      </c>
      <c r="O11" s="97">
        <v>74.94987102321582</v>
      </c>
      <c r="P11" s="97">
        <v>83.548323301805667</v>
      </c>
      <c r="Q11" s="97">
        <v>97.019174548581262</v>
      </c>
      <c r="R11" s="97">
        <v>98.88220120378331</v>
      </c>
      <c r="S11" s="97">
        <v>111.1110920034394</v>
      </c>
      <c r="T11" s="97">
        <v>118.4675838349097</v>
      </c>
      <c r="U11" s="97">
        <v>96.756491831470328</v>
      </c>
      <c r="V11" s="97">
        <v>88.277472055030088</v>
      </c>
      <c r="W11" s="97">
        <v>79.599065975019101</v>
      </c>
      <c r="X11" s="97">
        <v>78.832124031254324</v>
      </c>
      <c r="Y11" s="97">
        <v>76.284755503231636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12.252794496990539</v>
      </c>
      <c r="D12" s="97">
        <v>29.664660361134999</v>
      </c>
      <c r="E12" s="97">
        <v>63.198624247635422</v>
      </c>
      <c r="F12" s="97">
        <v>119.9484092863285</v>
      </c>
      <c r="G12" s="97">
        <v>138.32046431642303</v>
      </c>
      <c r="H12" s="97">
        <v>154.53078245915739</v>
      </c>
      <c r="I12" s="97">
        <v>173.08933791917451</v>
      </c>
      <c r="J12" s="97">
        <v>203.79544282029235</v>
      </c>
      <c r="K12" s="97">
        <v>187.47558039552882</v>
      </c>
      <c r="L12" s="97">
        <v>191.69217540842641</v>
      </c>
      <c r="M12" s="97">
        <v>200.65546001719696</v>
      </c>
      <c r="N12" s="97">
        <v>193.7014617368873</v>
      </c>
      <c r="O12" s="97">
        <v>168.94557179707652</v>
      </c>
      <c r="P12" s="97">
        <v>155.01513327601029</v>
      </c>
      <c r="Q12" s="97">
        <v>129.4127257093723</v>
      </c>
      <c r="R12" s="97">
        <v>100.84299226139295</v>
      </c>
      <c r="S12" s="97">
        <v>94.675580395528797</v>
      </c>
      <c r="T12" s="97">
        <v>118.66758383490971</v>
      </c>
      <c r="U12" s="97">
        <v>93.188822012037818</v>
      </c>
      <c r="V12" s="97">
        <v>97.3761822871883</v>
      </c>
      <c r="W12" s="97">
        <v>117.31539122957864</v>
      </c>
      <c r="X12" s="97">
        <v>150.80455717970761</v>
      </c>
      <c r="Y12" s="97">
        <v>188.13654342218399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2.6511607910576092</v>
      </c>
      <c r="D13" s="97">
        <v>2.6511607910576092</v>
      </c>
      <c r="E13" s="97">
        <v>3.5349097162510739</v>
      </c>
      <c r="F13" s="97">
        <v>7.0698194325021486</v>
      </c>
      <c r="G13" s="97">
        <v>6.4950988822012032</v>
      </c>
      <c r="H13" s="97">
        <v>40.388306104901112</v>
      </c>
      <c r="I13" s="97">
        <v>82.348065348237313</v>
      </c>
      <c r="J13" s="97">
        <v>103.90610490111783</v>
      </c>
      <c r="K13" s="97">
        <v>129.51702493551159</v>
      </c>
      <c r="L13" s="97">
        <v>146.44987102321582</v>
      </c>
      <c r="M13" s="97">
        <v>190.60627687016333</v>
      </c>
      <c r="N13" s="97">
        <v>256.01298366294071</v>
      </c>
      <c r="O13" s="97">
        <v>358.0680997420464</v>
      </c>
      <c r="P13" s="97">
        <v>537.60576096302668</v>
      </c>
      <c r="Q13" s="97">
        <v>691.08521066208084</v>
      </c>
      <c r="R13" s="97">
        <v>913.95133276010301</v>
      </c>
      <c r="S13" s="97">
        <v>1169.9273430782459</v>
      </c>
      <c r="T13" s="97">
        <v>1245.2129836629406</v>
      </c>
      <c r="U13" s="97">
        <v>1203.9674978503867</v>
      </c>
      <c r="V13" s="97">
        <v>1213.465778159931</v>
      </c>
      <c r="W13" s="97">
        <v>1247.9448839208937</v>
      </c>
      <c r="X13" s="97">
        <v>1438.5875322441955</v>
      </c>
      <c r="Y13" s="97">
        <v>1290.3303525365432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0.31039731291222722</v>
      </c>
      <c r="C15" s="98">
        <v>0.30067938371384473</v>
      </c>
      <c r="D15" s="98">
        <v>0.24734050258433449</v>
      </c>
      <c r="E15" s="98">
        <v>0.27853222435360769</v>
      </c>
      <c r="F15" s="98">
        <v>0.27867261747585781</v>
      </c>
      <c r="G15" s="98">
        <v>0.22524520280500029</v>
      </c>
      <c r="H15" s="98">
        <v>0.23301749314835807</v>
      </c>
      <c r="I15" s="98">
        <v>0.19676685858762744</v>
      </c>
      <c r="J15" s="98">
        <v>0.2140875817061848</v>
      </c>
      <c r="K15" s="98">
        <v>0.22522474543494617</v>
      </c>
      <c r="L15" s="98">
        <v>0.16785967581392877</v>
      </c>
      <c r="M15" s="98">
        <v>0.23791986871999588</v>
      </c>
      <c r="N15" s="98">
        <v>0.41292181679573159</v>
      </c>
      <c r="O15" s="98">
        <v>0.62359592899430694</v>
      </c>
      <c r="P15" s="98">
        <v>1.390377272319653</v>
      </c>
      <c r="Q15" s="98">
        <v>2.923007469677156</v>
      </c>
      <c r="R15" s="98">
        <v>5.1676122537325817</v>
      </c>
      <c r="S15" s="98">
        <v>8.0760315097680575</v>
      </c>
      <c r="T15" s="98">
        <v>12.862183578258403</v>
      </c>
      <c r="U15" s="98">
        <v>22.064128047582589</v>
      </c>
      <c r="V15" s="98">
        <v>41.13978489841206</v>
      </c>
      <c r="W15" s="98">
        <v>72.499833351194738</v>
      </c>
      <c r="X15" s="98">
        <v>111.81126137758068</v>
      </c>
      <c r="Y15" s="98">
        <v>142.45530157152086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6752.1709304169526</v>
      </c>
      <c r="C17" s="79">
        <f t="shared" si="10"/>
        <v>6738.3989596932561</v>
      </c>
      <c r="D17" s="79">
        <f t="shared" si="10"/>
        <v>6875.6318632884822</v>
      </c>
      <c r="E17" s="79">
        <f t="shared" si="10"/>
        <v>6985.2981366955473</v>
      </c>
      <c r="F17" s="79">
        <f t="shared" si="10"/>
        <v>7172.4650010783525</v>
      </c>
      <c r="G17" s="79">
        <f t="shared" si="10"/>
        <v>6839.086380198506</v>
      </c>
      <c r="H17" s="79">
        <f t="shared" si="10"/>
        <v>6932.3921748448247</v>
      </c>
      <c r="I17" s="79">
        <f t="shared" si="10"/>
        <v>7043.5603954054486</v>
      </c>
      <c r="J17" s="79">
        <f t="shared" si="10"/>
        <v>6970.6149474269332</v>
      </c>
      <c r="K17" s="79">
        <f t="shared" si="10"/>
        <v>6830.7989994659838</v>
      </c>
      <c r="L17" s="79">
        <f t="shared" ref="L17" si="11">L18+L42</f>
        <v>6961.0665699079718</v>
      </c>
      <c r="M17" s="79">
        <f t="shared" ref="M17:V17" si="12">M18+M42</f>
        <v>6929.7654349160111</v>
      </c>
      <c r="N17" s="79">
        <f t="shared" si="12"/>
        <v>6663.014039615593</v>
      </c>
      <c r="O17" s="79">
        <f t="shared" si="12"/>
        <v>6567.6270353099053</v>
      </c>
      <c r="P17" s="79">
        <f t="shared" si="12"/>
        <v>6584.8461812276073</v>
      </c>
      <c r="Q17" s="79">
        <f t="shared" si="12"/>
        <v>6743.0066704103474</v>
      </c>
      <c r="R17" s="79">
        <f t="shared" si="12"/>
        <v>6649.9541126836539</v>
      </c>
      <c r="S17" s="79">
        <f t="shared" si="12"/>
        <v>6756.4613281563716</v>
      </c>
      <c r="T17" s="79">
        <f t="shared" si="12"/>
        <v>6580.9786066221095</v>
      </c>
      <c r="U17" s="79">
        <f t="shared" si="12"/>
        <v>6495.9817548747551</v>
      </c>
      <c r="V17" s="79">
        <f t="shared" si="12"/>
        <v>6232.004187305979</v>
      </c>
      <c r="W17" s="79">
        <f t="shared" ref="W17:Y17" si="13">W18+W42</f>
        <v>6424.7092916486999</v>
      </c>
      <c r="X17" s="79">
        <f t="shared" si="13"/>
        <v>6085.2094557026003</v>
      </c>
      <c r="Y17" s="79">
        <f t="shared" si="13"/>
        <v>6005.4925328698864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5073.3366163679257</v>
      </c>
      <c r="C18" s="32">
        <f t="shared" si="14"/>
        <v>5007.180694927587</v>
      </c>
      <c r="D18" s="32">
        <f t="shared" si="14"/>
        <v>5138.0660742126074</v>
      </c>
      <c r="E18" s="32">
        <f t="shared" si="14"/>
        <v>5177.2892972733189</v>
      </c>
      <c r="F18" s="32">
        <f t="shared" si="14"/>
        <v>5180.6795370167365</v>
      </c>
      <c r="G18" s="32">
        <f t="shared" si="14"/>
        <v>4941.1376822584198</v>
      </c>
      <c r="H18" s="32">
        <f t="shared" si="14"/>
        <v>4958.0597220727641</v>
      </c>
      <c r="I18" s="32">
        <f t="shared" si="14"/>
        <v>5022.5403829291745</v>
      </c>
      <c r="J18" s="32">
        <f t="shared" si="14"/>
        <v>4946.0546062961448</v>
      </c>
      <c r="K18" s="32">
        <f t="shared" si="14"/>
        <v>4960.9927818476344</v>
      </c>
      <c r="L18" s="32">
        <f t="shared" ref="L18" si="15">L19+L21+L33</f>
        <v>4967.1164290747156</v>
      </c>
      <c r="M18" s="32">
        <f t="shared" ref="M18:V18" si="16">M19+M21+M33</f>
        <v>4978.0553181772784</v>
      </c>
      <c r="N18" s="32">
        <f t="shared" si="16"/>
        <v>4892.310171430524</v>
      </c>
      <c r="O18" s="32">
        <f t="shared" si="16"/>
        <v>4777.7856785430586</v>
      </c>
      <c r="P18" s="32">
        <f t="shared" si="16"/>
        <v>4799.3045832575062</v>
      </c>
      <c r="Q18" s="32">
        <f t="shared" si="16"/>
        <v>4938.2418979152162</v>
      </c>
      <c r="R18" s="32">
        <f t="shared" si="16"/>
        <v>4949.3841236712924</v>
      </c>
      <c r="S18" s="32">
        <f t="shared" si="16"/>
        <v>4989.001495373509</v>
      </c>
      <c r="T18" s="32">
        <f t="shared" si="16"/>
        <v>4908.6888955833701</v>
      </c>
      <c r="U18" s="32">
        <f t="shared" si="16"/>
        <v>4870.570090539075</v>
      </c>
      <c r="V18" s="32">
        <f t="shared" si="16"/>
        <v>4506.3068464244634</v>
      </c>
      <c r="W18" s="32">
        <f t="shared" ref="W18:Y18" si="17">W19+W21+W33</f>
        <v>4602.3795624861559</v>
      </c>
      <c r="X18" s="32">
        <f t="shared" si="17"/>
        <v>4359.6330335575358</v>
      </c>
      <c r="Y18" s="32">
        <f t="shared" si="17"/>
        <v>4363.869730563586</v>
      </c>
      <c r="DA18" s="173" t="s">
        <v>391</v>
      </c>
    </row>
    <row r="19" spans="1:105" ht="11.45" customHeight="1" x14ac:dyDescent="0.25">
      <c r="A19" s="107" t="s">
        <v>174</v>
      </c>
      <c r="B19" s="129">
        <v>22.71495622002292</v>
      </c>
      <c r="C19" s="129">
        <v>24.372989851088295</v>
      </c>
      <c r="D19" s="129">
        <v>27.053455862730857</v>
      </c>
      <c r="E19" s="129">
        <v>28.898930670990222</v>
      </c>
      <c r="F19" s="129">
        <v>30.80242978931955</v>
      </c>
      <c r="G19" s="129">
        <v>31.046985086873597</v>
      </c>
      <c r="H19" s="129">
        <v>33.073085821087801</v>
      </c>
      <c r="I19" s="129">
        <v>35.893984954148557</v>
      </c>
      <c r="J19" s="129">
        <v>34.946653659290796</v>
      </c>
      <c r="K19" s="129">
        <v>34.417445061474027</v>
      </c>
      <c r="L19" s="129">
        <v>31.970396595423107</v>
      </c>
      <c r="M19" s="129">
        <v>30.911432580460573</v>
      </c>
      <c r="N19" s="129">
        <v>26.542829413312393</v>
      </c>
      <c r="O19" s="129">
        <v>29.667572812420577</v>
      </c>
      <c r="P19" s="129">
        <v>29.166364794430848</v>
      </c>
      <c r="Q19" s="129">
        <v>29.211937402695717</v>
      </c>
      <c r="R19" s="129">
        <v>30.381872327280867</v>
      </c>
      <c r="S19" s="129">
        <v>28.403431694414049</v>
      </c>
      <c r="T19" s="129">
        <v>26.813734359380508</v>
      </c>
      <c r="U19" s="129">
        <v>28.1356505613</v>
      </c>
      <c r="V19" s="129">
        <v>24.771481367591157</v>
      </c>
      <c r="W19" s="129">
        <v>25.45825394486177</v>
      </c>
      <c r="X19" s="129">
        <v>25.533212414257122</v>
      </c>
      <c r="Y19" s="129">
        <v>27.193634964497114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7.1389098965696104E-2</v>
      </c>
      <c r="D20" s="97">
        <v>0.18635555939483309</v>
      </c>
      <c r="E20" s="97">
        <v>0.42444619263637823</v>
      </c>
      <c r="F20" s="97">
        <v>0.8644602537095275</v>
      </c>
      <c r="G20" s="97">
        <v>1.0527096849006543</v>
      </c>
      <c r="H20" s="97">
        <v>1.2822393577891305</v>
      </c>
      <c r="I20" s="97">
        <v>1.5851750418577479</v>
      </c>
      <c r="J20" s="97">
        <v>1.9119004529410888</v>
      </c>
      <c r="K20" s="97">
        <v>1.7753764159566279</v>
      </c>
      <c r="L20" s="97">
        <v>1.7921296025497484</v>
      </c>
      <c r="M20" s="97">
        <v>1.9481370933354947</v>
      </c>
      <c r="N20" s="97">
        <v>1.76300596124304</v>
      </c>
      <c r="O20" s="97">
        <v>1.8305100569193959</v>
      </c>
      <c r="P20" s="97">
        <v>1.7270056673807059</v>
      </c>
      <c r="Q20" s="97">
        <v>1.4972709913972579</v>
      </c>
      <c r="R20" s="97">
        <v>1.2817845979472271</v>
      </c>
      <c r="S20" s="97">
        <v>1.181643345400899</v>
      </c>
      <c r="T20" s="97">
        <v>1.4744215225573589</v>
      </c>
      <c r="U20" s="97">
        <v>1.2583519699747576</v>
      </c>
      <c r="V20" s="97">
        <v>1.2595158401823541</v>
      </c>
      <c r="W20" s="97">
        <v>1.4748529263172943</v>
      </c>
      <c r="X20" s="97">
        <v>2.0122353424589932</v>
      </c>
      <c r="Y20" s="97">
        <v>2.6786360180767752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4440.6558074213553</v>
      </c>
      <c r="C21" s="130">
        <f t="shared" si="18"/>
        <v>4393.607188679568</v>
      </c>
      <c r="D21" s="130">
        <f t="shared" si="18"/>
        <v>4535.3045660008256</v>
      </c>
      <c r="E21" s="130">
        <f t="shared" si="18"/>
        <v>4566.0543518817349</v>
      </c>
      <c r="F21" s="130">
        <f t="shared" si="18"/>
        <v>4576.1541404453919</v>
      </c>
      <c r="G21" s="130">
        <f t="shared" si="18"/>
        <v>4398.6134687916829</v>
      </c>
      <c r="H21" s="130">
        <f t="shared" si="18"/>
        <v>4389.7888767569229</v>
      </c>
      <c r="I21" s="130">
        <f t="shared" si="18"/>
        <v>4476.3768409280801</v>
      </c>
      <c r="J21" s="130">
        <f t="shared" si="18"/>
        <v>4400.6274971101111</v>
      </c>
      <c r="K21" s="130">
        <f t="shared" si="18"/>
        <v>4438.0291188649126</v>
      </c>
      <c r="L21" s="130">
        <f t="shared" ref="L21" si="19">L22+L24+L26+L27+L29+L32</f>
        <v>4426.2806709226797</v>
      </c>
      <c r="M21" s="130">
        <f t="shared" ref="M21:V21" si="20">M22+M24+M26+M27+M29+M32</f>
        <v>4413.5626036479262</v>
      </c>
      <c r="N21" s="130">
        <f t="shared" si="20"/>
        <v>4326.2726615969159</v>
      </c>
      <c r="O21" s="130">
        <f t="shared" si="20"/>
        <v>4320.6631942738622</v>
      </c>
      <c r="P21" s="130">
        <f t="shared" si="20"/>
        <v>4365.2326725803778</v>
      </c>
      <c r="Q21" s="130">
        <f t="shared" si="20"/>
        <v>4504.0804115440578</v>
      </c>
      <c r="R21" s="130">
        <f t="shared" si="20"/>
        <v>4518.4693531712055</v>
      </c>
      <c r="S21" s="130">
        <f t="shared" si="20"/>
        <v>4562.9209613291414</v>
      </c>
      <c r="T21" s="130">
        <f t="shared" si="20"/>
        <v>4480.7876669574562</v>
      </c>
      <c r="U21" s="130">
        <f t="shared" si="20"/>
        <v>4379.7619336933085</v>
      </c>
      <c r="V21" s="130">
        <f t="shared" si="20"/>
        <v>4069.8632380067161</v>
      </c>
      <c r="W21" s="130">
        <f t="shared" ref="W21:Y21" si="21">W22+W24+W26+W27+W29+W32</f>
        <v>4181.2425935719066</v>
      </c>
      <c r="X21" s="130">
        <f t="shared" si="21"/>
        <v>3929.7565910929297</v>
      </c>
      <c r="Y21" s="130">
        <f t="shared" si="21"/>
        <v>3914.5906318424668</v>
      </c>
      <c r="DA21" s="176" t="s">
        <v>393</v>
      </c>
    </row>
    <row r="22" spans="1:105" ht="11.45" customHeight="1" x14ac:dyDescent="0.25">
      <c r="A22" s="111" t="s">
        <v>110</v>
      </c>
      <c r="B22" s="96">
        <v>4015.5487395530108</v>
      </c>
      <c r="C22" s="96">
        <v>3995.2369408910263</v>
      </c>
      <c r="D22" s="96">
        <v>4128.2770713785485</v>
      </c>
      <c r="E22" s="96">
        <v>4140.2962241690057</v>
      </c>
      <c r="F22" s="96">
        <v>4124.1070203620657</v>
      </c>
      <c r="G22" s="96">
        <v>3938.8439131891655</v>
      </c>
      <c r="H22" s="96">
        <v>3856.6032300757097</v>
      </c>
      <c r="I22" s="96">
        <v>3795.245320181541</v>
      </c>
      <c r="J22" s="96">
        <v>3611.9526001414647</v>
      </c>
      <c r="K22" s="96">
        <v>3529.0615739904829</v>
      </c>
      <c r="L22" s="96">
        <v>3325.8522092402695</v>
      </c>
      <c r="M22" s="96">
        <v>3095.2810354635899</v>
      </c>
      <c r="N22" s="96">
        <v>2839.8231911522339</v>
      </c>
      <c r="O22" s="96">
        <v>2664.7446127411295</v>
      </c>
      <c r="P22" s="96">
        <v>2548.2040904983005</v>
      </c>
      <c r="Q22" s="96">
        <v>2456.1928729314427</v>
      </c>
      <c r="R22" s="96">
        <v>2325.221139431324</v>
      </c>
      <c r="S22" s="96">
        <v>2213.6931789563505</v>
      </c>
      <c r="T22" s="96">
        <v>2095.1585787402923</v>
      </c>
      <c r="U22" s="96">
        <v>2017.9292994265643</v>
      </c>
      <c r="V22" s="96">
        <v>1844.0280211514762</v>
      </c>
      <c r="W22" s="96">
        <v>1940.053779561074</v>
      </c>
      <c r="X22" s="96">
        <v>1821.0183296765006</v>
      </c>
      <c r="Y22" s="96">
        <v>1820.6062660215123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11.702149268811972</v>
      </c>
      <c r="D23" s="96">
        <v>28.437305269876692</v>
      </c>
      <c r="E23" s="96">
        <v>60.809619177341418</v>
      </c>
      <c r="F23" s="96">
        <v>115.74173289353975</v>
      </c>
      <c r="G23" s="96">
        <v>133.55432494085599</v>
      </c>
      <c r="H23" s="96">
        <v>149.52001986541927</v>
      </c>
      <c r="I23" s="96">
        <v>167.60825433465456</v>
      </c>
      <c r="J23" s="96">
        <v>197.60672594116281</v>
      </c>
      <c r="K23" s="96">
        <v>182.04177206444695</v>
      </c>
      <c r="L23" s="96">
        <v>186.43366465895684</v>
      </c>
      <c r="M23" s="96">
        <v>195.07448526653408</v>
      </c>
      <c r="N23" s="96">
        <v>188.62439783328367</v>
      </c>
      <c r="O23" s="96">
        <v>164.41661215717215</v>
      </c>
      <c r="P23" s="96">
        <v>150.88486127601212</v>
      </c>
      <c r="Q23" s="96">
        <v>125.89327052226149</v>
      </c>
      <c r="R23" s="96">
        <v>98.099044431443616</v>
      </c>
      <c r="S23" s="96">
        <v>92.094358238676051</v>
      </c>
      <c r="T23" s="96">
        <v>115.20763427659854</v>
      </c>
      <c r="U23" s="96">
        <v>90.250811996361165</v>
      </c>
      <c r="V23" s="96">
        <v>93.760339477277654</v>
      </c>
      <c r="W23" s="96">
        <v>112.39160392522012</v>
      </c>
      <c r="X23" s="96">
        <v>143.51180661445605</v>
      </c>
      <c r="Y23" s="96">
        <v>179.33393329977258</v>
      </c>
      <c r="DA23" s="171" t="s">
        <v>642</v>
      </c>
    </row>
    <row r="24" spans="1:105" ht="11.45" customHeight="1" x14ac:dyDescent="0.25">
      <c r="A24" s="111" t="s">
        <v>111</v>
      </c>
      <c r="B24" s="96">
        <v>425.10706786834453</v>
      </c>
      <c r="C24" s="96">
        <v>398.37024778854209</v>
      </c>
      <c r="D24" s="96">
        <v>405.52493209188435</v>
      </c>
      <c r="E24" s="96">
        <v>422.78111868468898</v>
      </c>
      <c r="F24" s="96">
        <v>447.42727810624041</v>
      </c>
      <c r="G24" s="96">
        <v>452.32979482638422</v>
      </c>
      <c r="H24" s="96">
        <v>525.91515760819982</v>
      </c>
      <c r="I24" s="96">
        <v>672.21030351593095</v>
      </c>
      <c r="J24" s="96">
        <v>779.36654830180805</v>
      </c>
      <c r="K24" s="96">
        <v>898.77744085006111</v>
      </c>
      <c r="L24" s="96">
        <v>1081.1864810373054</v>
      </c>
      <c r="M24" s="96">
        <v>1291.8014882586929</v>
      </c>
      <c r="N24" s="96">
        <v>1453.3822028706782</v>
      </c>
      <c r="O24" s="96">
        <v>1620.2802950165453</v>
      </c>
      <c r="P24" s="96">
        <v>1775.9138323701688</v>
      </c>
      <c r="Q24" s="96">
        <v>1998.9357503814499</v>
      </c>
      <c r="R24" s="96">
        <v>2134.607105891751</v>
      </c>
      <c r="S24" s="96">
        <v>2287.3792539101155</v>
      </c>
      <c r="T24" s="96">
        <v>2318.1376600560593</v>
      </c>
      <c r="U24" s="96">
        <v>2289.1629382841152</v>
      </c>
      <c r="V24" s="96">
        <v>2130.6649223931836</v>
      </c>
      <c r="W24" s="96">
        <v>2106.9079207324789</v>
      </c>
      <c r="X24" s="96">
        <v>1936.4729152537752</v>
      </c>
      <c r="Y24" s="96">
        <v>1912.4789829060073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0.41505800816907373</v>
      </c>
      <c r="D25" s="96">
        <v>0.42047586071649951</v>
      </c>
      <c r="E25" s="96">
        <v>0.56087195148699032</v>
      </c>
      <c r="F25" s="96">
        <v>1.0972867287326238</v>
      </c>
      <c r="G25" s="96">
        <v>1.0709614186452061</v>
      </c>
      <c r="H25" s="96">
        <v>7.2665183845491867</v>
      </c>
      <c r="I25" s="96">
        <v>17.860152124772018</v>
      </c>
      <c r="J25" s="96">
        <v>25.293055888624139</v>
      </c>
      <c r="K25" s="96">
        <v>36.916995159714553</v>
      </c>
      <c r="L25" s="96">
        <v>45.404970291091018</v>
      </c>
      <c r="M25" s="96">
        <v>67.658743065201534</v>
      </c>
      <c r="N25" s="96">
        <v>102.69402890228835</v>
      </c>
      <c r="O25" s="96">
        <v>156.7652297024797</v>
      </c>
      <c r="P25" s="96">
        <v>249.21875313205661</v>
      </c>
      <c r="Q25" s="96">
        <v>338.45439484159203</v>
      </c>
      <c r="R25" s="96">
        <v>473.70718871301676</v>
      </c>
      <c r="S25" s="96">
        <v>615.43985410125447</v>
      </c>
      <c r="T25" s="96">
        <v>674.4092664191337</v>
      </c>
      <c r="U25" s="96">
        <v>643.20226079269287</v>
      </c>
      <c r="V25" s="96">
        <v>618.71126021597524</v>
      </c>
      <c r="W25" s="96">
        <v>620.35389478510456</v>
      </c>
      <c r="X25" s="96">
        <v>700.84382124945262</v>
      </c>
      <c r="Y25" s="96">
        <v>638.76992045330178</v>
      </c>
      <c r="DA25" s="171" t="s">
        <v>644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0.82132416165090272</v>
      </c>
      <c r="H26" s="96">
        <v>0.61117798796216671</v>
      </c>
      <c r="I26" s="96">
        <v>1.313929492691315</v>
      </c>
      <c r="J26" s="96">
        <v>0.84161650902837482</v>
      </c>
      <c r="K26" s="96">
        <v>1.0393809114359409</v>
      </c>
      <c r="L26" s="96">
        <v>1.096990541702493</v>
      </c>
      <c r="M26" s="96">
        <v>1.0178847807394671</v>
      </c>
      <c r="N26" s="96">
        <v>0.63379191745485808</v>
      </c>
      <c r="O26" s="96">
        <v>0.33104041272570928</v>
      </c>
      <c r="P26" s="96">
        <v>0.38865004299226141</v>
      </c>
      <c r="Q26" s="96">
        <v>2.1713671539122958</v>
      </c>
      <c r="R26" s="96">
        <v>0.7625967325881341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1.5025625303928671</v>
      </c>
      <c r="E27" s="96">
        <v>2.9770090280402282</v>
      </c>
      <c r="F27" s="96">
        <v>4.6198419770863355</v>
      </c>
      <c r="G27" s="96">
        <v>6.6184366144816318</v>
      </c>
      <c r="H27" s="96">
        <v>6.6593110850518578</v>
      </c>
      <c r="I27" s="96">
        <v>7.6072877379164723</v>
      </c>
      <c r="J27" s="96">
        <v>8.3704419362845481</v>
      </c>
      <c r="K27" s="96">
        <v>9.0342693104006937</v>
      </c>
      <c r="L27" s="96">
        <v>18.008612224795989</v>
      </c>
      <c r="M27" s="96">
        <v>25.212434709555197</v>
      </c>
      <c r="N27" s="96">
        <v>31.915790555022863</v>
      </c>
      <c r="O27" s="96">
        <v>34.527266092920485</v>
      </c>
      <c r="P27" s="96">
        <v>38.481564002809655</v>
      </c>
      <c r="Q27" s="96">
        <v>42.151717060982577</v>
      </c>
      <c r="R27" s="96">
        <v>49.336624266939651</v>
      </c>
      <c r="S27" s="96">
        <v>47.790119208350596</v>
      </c>
      <c r="T27" s="96">
        <v>45.675663938380204</v>
      </c>
      <c r="U27" s="96">
        <v>42.220735541470461</v>
      </c>
      <c r="V27" s="96">
        <v>40.452000369789538</v>
      </c>
      <c r="W27" s="96">
        <v>39.758890866247363</v>
      </c>
      <c r="X27" s="96">
        <v>38.140375783097994</v>
      </c>
      <c r="Y27" s="96">
        <v>28.898524904852362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3.663910581917353</v>
      </c>
      <c r="K28" s="96">
        <v>4.5549609551270933</v>
      </c>
      <c r="L28" s="96">
        <v>7.2005100068771073</v>
      </c>
      <c r="M28" s="96">
        <v>14.979322781924509</v>
      </c>
      <c r="N28" s="96">
        <v>18.112749424968246</v>
      </c>
      <c r="O28" s="96">
        <v>20.274813919146521</v>
      </c>
      <c r="P28" s="96">
        <v>23.962354838429757</v>
      </c>
      <c r="Q28" s="96">
        <v>31.109462816782251</v>
      </c>
      <c r="R28" s="96">
        <v>36.046453562249432</v>
      </c>
      <c r="S28" s="96">
        <v>42.675636000034011</v>
      </c>
      <c r="T28" s="96">
        <v>41.661541467416427</v>
      </c>
      <c r="U28" s="96">
        <v>38.771129746119044</v>
      </c>
      <c r="V28" s="96">
        <v>36.855371944843682</v>
      </c>
      <c r="W28" s="96">
        <v>35.652046797262976</v>
      </c>
      <c r="X28" s="96">
        <v>35.397815949246585</v>
      </c>
      <c r="Y28" s="96">
        <v>24.545449139226228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5.9053852693335976E-2</v>
      </c>
      <c r="K29" s="96">
        <v>7.111413437152718E-2</v>
      </c>
      <c r="L29" s="96">
        <v>8.1606361507083711E-2</v>
      </c>
      <c r="M29" s="96">
        <v>0.1441953327434963</v>
      </c>
      <c r="N29" s="96">
        <v>0.35572613963699834</v>
      </c>
      <c r="O29" s="96">
        <v>0.51520405035838035</v>
      </c>
      <c r="P29" s="96">
        <v>1.7110823628375731</v>
      </c>
      <c r="Q29" s="96">
        <v>3.3836490333248843</v>
      </c>
      <c r="R29" s="96">
        <v>6.56375448999023</v>
      </c>
      <c r="S29" s="96">
        <v>11.193031276995352</v>
      </c>
      <c r="T29" s="96">
        <v>17.341172274630658</v>
      </c>
      <c r="U29" s="96">
        <v>22.082190448583511</v>
      </c>
      <c r="V29" s="96">
        <v>38.962889685706983</v>
      </c>
      <c r="W29" s="96">
        <v>61.713736829363107</v>
      </c>
      <c r="X29" s="96">
        <v>74.151514757324492</v>
      </c>
      <c r="Y29" s="96">
        <v>69.337451952703333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2.4941403181765187E-3</v>
      </c>
      <c r="K30" s="96">
        <v>2.8251764116896724E-3</v>
      </c>
      <c r="L30" s="96">
        <v>3.5113267068605384E-3</v>
      </c>
      <c r="M30" s="96">
        <v>6.7305707104295346E-3</v>
      </c>
      <c r="N30" s="96">
        <v>1.6735949814976798E-2</v>
      </c>
      <c r="O30" s="96">
        <v>2.2200614755440915E-2</v>
      </c>
      <c r="P30" s="96">
        <v>6.7723050570276874E-2</v>
      </c>
      <c r="Q30" s="96">
        <v>0.11287214599624858</v>
      </c>
      <c r="R30" s="96">
        <v>0.17759371245086308</v>
      </c>
      <c r="S30" s="96">
        <v>0.29667222714398589</v>
      </c>
      <c r="T30" s="96">
        <v>0.60260668794043992</v>
      </c>
      <c r="U30" s="96">
        <v>0.59241556570584719</v>
      </c>
      <c r="V30" s="96">
        <v>1.1150243574071568</v>
      </c>
      <c r="W30" s="96">
        <v>1.9603267005571343</v>
      </c>
      <c r="X30" s="96">
        <v>3.0542642258266413</v>
      </c>
      <c r="Y30" s="96">
        <v>3.1912038617784972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1.3464733373390988E-2</v>
      </c>
      <c r="K31" s="96">
        <v>1.634526785715016E-2</v>
      </c>
      <c r="L31" s="96">
        <v>1.8966635432185536E-2</v>
      </c>
      <c r="M31" s="96">
        <v>3.7400188061326882E-2</v>
      </c>
      <c r="N31" s="96">
        <v>0.10375906137738707</v>
      </c>
      <c r="O31" s="96">
        <v>0.15539266759767673</v>
      </c>
      <c r="P31" s="96">
        <v>0.56734830612184795</v>
      </c>
      <c r="Q31" s="96">
        <v>1.181499868414279</v>
      </c>
      <c r="R31" s="96">
        <v>2.3542878553848281</v>
      </c>
      <c r="S31" s="96">
        <v>4.0618530140187099</v>
      </c>
      <c r="T31" s="96">
        <v>6.3822060587855116</v>
      </c>
      <c r="U31" s="96">
        <v>8.8362960235849641</v>
      </c>
      <c r="V31" s="96">
        <v>17.033189230393358</v>
      </c>
      <c r="W31" s="96">
        <v>27.875450945296706</v>
      </c>
      <c r="X31" s="96">
        <v>35.396019511923058</v>
      </c>
      <c r="Y31" s="96">
        <v>36.94020487289847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3.7236368831614894E-2</v>
      </c>
      <c r="K32" s="96">
        <v>4.5339668160737367E-2</v>
      </c>
      <c r="L32" s="96">
        <v>5.47715170984251E-2</v>
      </c>
      <c r="M32" s="96">
        <v>0.10556510260496993</v>
      </c>
      <c r="N32" s="96">
        <v>0.16195896188857756</v>
      </c>
      <c r="O32" s="96">
        <v>0.26477596018307692</v>
      </c>
      <c r="P32" s="96">
        <v>0.53345330326810181</v>
      </c>
      <c r="Q32" s="96">
        <v>1.2450549829460416</v>
      </c>
      <c r="R32" s="96">
        <v>1.9781323586122608</v>
      </c>
      <c r="S32" s="96">
        <v>2.8653779773294845</v>
      </c>
      <c r="T32" s="96">
        <v>4.4745919480940977</v>
      </c>
      <c r="U32" s="96">
        <v>8.3667699925742447</v>
      </c>
      <c r="V32" s="96">
        <v>15.755404406559599</v>
      </c>
      <c r="W32" s="96">
        <v>32.808265582743367</v>
      </c>
      <c r="X32" s="96">
        <v>59.973455622231747</v>
      </c>
      <c r="Y32" s="96">
        <v>83.269406057391777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609.9658527265475</v>
      </c>
      <c r="C33" s="130">
        <f t="shared" si="22"/>
        <v>589.20051639693088</v>
      </c>
      <c r="D33" s="130">
        <f t="shared" si="22"/>
        <v>575.7080523490514</v>
      </c>
      <c r="E33" s="130">
        <f t="shared" si="22"/>
        <v>582.33601472059422</v>
      </c>
      <c r="F33" s="130">
        <f t="shared" si="22"/>
        <v>573.72296678202474</v>
      </c>
      <c r="G33" s="130">
        <f t="shared" si="22"/>
        <v>511.47722837986259</v>
      </c>
      <c r="H33" s="130">
        <f t="shared" si="22"/>
        <v>535.19775949475309</v>
      </c>
      <c r="I33" s="130">
        <f t="shared" si="22"/>
        <v>510.26955704694575</v>
      </c>
      <c r="J33" s="130">
        <f t="shared" si="22"/>
        <v>510.48045552674307</v>
      </c>
      <c r="K33" s="130">
        <f t="shared" si="22"/>
        <v>488.54621792124834</v>
      </c>
      <c r="L33" s="130">
        <f t="shared" ref="L33" si="23">L34+L36+L38+L39+L41</f>
        <v>508.86536155661253</v>
      </c>
      <c r="M33" s="130">
        <f t="shared" ref="M33:V33" si="24">M34+M36+M38+M39+M41</f>
        <v>533.58128194889218</v>
      </c>
      <c r="N33" s="130">
        <f t="shared" si="24"/>
        <v>539.49468042029559</v>
      </c>
      <c r="O33" s="130">
        <f t="shared" si="24"/>
        <v>427.45491145677539</v>
      </c>
      <c r="P33" s="130">
        <f t="shared" si="24"/>
        <v>404.90554588269811</v>
      </c>
      <c r="Q33" s="130">
        <f t="shared" si="24"/>
        <v>404.9495489684619</v>
      </c>
      <c r="R33" s="130">
        <f t="shared" si="24"/>
        <v>400.53289817280643</v>
      </c>
      <c r="S33" s="130">
        <f t="shared" si="24"/>
        <v>397.67710234995303</v>
      </c>
      <c r="T33" s="130">
        <f t="shared" si="24"/>
        <v>401.08749426653338</v>
      </c>
      <c r="U33" s="130">
        <f t="shared" si="24"/>
        <v>462.67250628446658</v>
      </c>
      <c r="V33" s="130">
        <f t="shared" si="24"/>
        <v>411.67212705015584</v>
      </c>
      <c r="W33" s="130">
        <f t="shared" ref="W33:Y33" si="25">W34+W36+W38+W39+W41</f>
        <v>395.6787149693875</v>
      </c>
      <c r="X33" s="130">
        <f t="shared" si="25"/>
        <v>404.34323005034912</v>
      </c>
      <c r="Y33" s="130">
        <f t="shared" si="25"/>
        <v>422.08546375662189</v>
      </c>
      <c r="DA33" s="176" t="s">
        <v>394</v>
      </c>
    </row>
    <row r="34" spans="1:105" ht="11.45" customHeight="1" x14ac:dyDescent="0.25">
      <c r="A34" s="111" t="s">
        <v>110</v>
      </c>
      <c r="B34" s="97">
        <v>6.3843161165276197</v>
      </c>
      <c r="C34" s="97">
        <v>5.2505183889985858</v>
      </c>
      <c r="D34" s="97">
        <v>4.3065252292290861</v>
      </c>
      <c r="E34" s="97">
        <v>3.3932651250723547</v>
      </c>
      <c r="F34" s="97">
        <v>2.5534577141235499</v>
      </c>
      <c r="G34" s="97">
        <v>1.80757399861127</v>
      </c>
      <c r="H34" s="97">
        <v>1.479178657713647</v>
      </c>
      <c r="I34" s="97">
        <v>1.2278299740665504</v>
      </c>
      <c r="J34" s="97">
        <v>0.99513774461679605</v>
      </c>
      <c r="K34" s="97">
        <v>0.89236547087790075</v>
      </c>
      <c r="L34" s="97">
        <v>0.34293328778001969</v>
      </c>
      <c r="M34" s="97">
        <v>0.56909296816878596</v>
      </c>
      <c r="N34" s="97">
        <v>0.46820998535290054</v>
      </c>
      <c r="O34" s="97">
        <v>0.45823123095283536</v>
      </c>
      <c r="P34" s="97">
        <v>0.42146580123489008</v>
      </c>
      <c r="Q34" s="97">
        <v>0.38980487176167339</v>
      </c>
      <c r="R34" s="97">
        <v>0.42107402502514935</v>
      </c>
      <c r="S34" s="97">
        <v>0.39656652379718338</v>
      </c>
      <c r="T34" s="97">
        <v>0.38584218930586822</v>
      </c>
      <c r="U34" s="97">
        <v>0.33897626373948903</v>
      </c>
      <c r="V34" s="97">
        <v>0.33190431388896563</v>
      </c>
      <c r="W34" s="97">
        <v>0.30183907376600777</v>
      </c>
      <c r="X34" s="97">
        <v>0.28859983079942814</v>
      </c>
      <c r="Y34" s="97">
        <v>0.2983340040074729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1.5378900134268531E-2</v>
      </c>
      <c r="D35" s="97">
        <v>2.9665153398998573E-2</v>
      </c>
      <c r="E35" s="97">
        <v>4.9837777021574971E-2</v>
      </c>
      <c r="F35" s="97">
        <v>7.1661966880066597E-2</v>
      </c>
      <c r="G35" s="97">
        <v>6.1289386044675723E-2</v>
      </c>
      <c r="H35" s="97">
        <v>5.7347569633578031E-2</v>
      </c>
      <c r="I35" s="97">
        <v>5.4224278330238421E-2</v>
      </c>
      <c r="J35" s="97">
        <v>5.4443104144416596E-2</v>
      </c>
      <c r="K35" s="97">
        <v>4.6031441572171261E-2</v>
      </c>
      <c r="L35" s="97">
        <v>1.9223436747052076E-2</v>
      </c>
      <c r="M35" s="97">
        <v>3.5866054346080672E-2</v>
      </c>
      <c r="N35" s="97">
        <v>3.1099058146253133E-2</v>
      </c>
      <c r="O35" s="97">
        <v>2.8273188439013462E-2</v>
      </c>
      <c r="P35" s="97">
        <v>2.495593237175682E-2</v>
      </c>
      <c r="Q35" s="97">
        <v>1.9979624040280954E-2</v>
      </c>
      <c r="R35" s="97">
        <v>1.7764744518008E-2</v>
      </c>
      <c r="S35" s="97">
        <v>1.6498013299775537E-2</v>
      </c>
      <c r="T35" s="97">
        <v>2.1216516155430666E-2</v>
      </c>
      <c r="U35" s="97">
        <v>1.5160532660225089E-2</v>
      </c>
      <c r="V35" s="97">
        <v>1.68758070849543E-2</v>
      </c>
      <c r="W35" s="97">
        <v>1.748620475641639E-2</v>
      </c>
      <c r="X35" s="97">
        <v>2.2744133011560617E-2</v>
      </c>
      <c r="Y35" s="97">
        <v>2.9386590266243798E-2</v>
      </c>
      <c r="DA35" s="175" t="s">
        <v>653</v>
      </c>
    </row>
    <row r="36" spans="1:105" ht="11.45" customHeight="1" x14ac:dyDescent="0.25">
      <c r="A36" s="111" t="s">
        <v>111</v>
      </c>
      <c r="B36" s="97">
        <v>593.12496560837167</v>
      </c>
      <c r="C36" s="97">
        <v>573.35477994386156</v>
      </c>
      <c r="D36" s="97">
        <v>560.63143572214381</v>
      </c>
      <c r="E36" s="97">
        <v>564.19927403236113</v>
      </c>
      <c r="F36" s="97">
        <v>560.15444741584417</v>
      </c>
      <c r="G36" s="97">
        <v>500.80127289368784</v>
      </c>
      <c r="H36" s="97">
        <v>517.8483811761962</v>
      </c>
      <c r="I36" s="97">
        <v>493.72668597694593</v>
      </c>
      <c r="J36" s="97">
        <v>475.96659474137556</v>
      </c>
      <c r="K36" s="97">
        <v>456.18949217556343</v>
      </c>
      <c r="L36" s="97">
        <v>475.34863583781402</v>
      </c>
      <c r="M36" s="97">
        <v>454.62760768929002</v>
      </c>
      <c r="N36" s="97">
        <v>450.74077113041216</v>
      </c>
      <c r="O36" s="97">
        <v>336.30319732789275</v>
      </c>
      <c r="P36" s="97">
        <v>311.38201004461854</v>
      </c>
      <c r="Q36" s="97">
        <v>318.0650760238708</v>
      </c>
      <c r="R36" s="97">
        <v>316.70767122948035</v>
      </c>
      <c r="S36" s="97">
        <v>323.40908010509889</v>
      </c>
      <c r="T36" s="97">
        <v>320.92284128240277</v>
      </c>
      <c r="U36" s="97">
        <v>401.17717380288224</v>
      </c>
      <c r="V36" s="97">
        <v>353.97456611158765</v>
      </c>
      <c r="W36" s="97">
        <v>342.68856197547484</v>
      </c>
      <c r="X36" s="97">
        <v>350.36759071393925</v>
      </c>
      <c r="Y36" s="97">
        <v>348.86184404593422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0.59737265586167965</v>
      </c>
      <c r="D37" s="97">
        <v>0.58130084447331287</v>
      </c>
      <c r="E37" s="97">
        <v>0.74848079507088361</v>
      </c>
      <c r="F37" s="97">
        <v>1.3737428879872973</v>
      </c>
      <c r="G37" s="97">
        <v>1.1857252115868457</v>
      </c>
      <c r="H37" s="97">
        <v>7.1550605221939971</v>
      </c>
      <c r="I37" s="97">
        <v>13.117968697423899</v>
      </c>
      <c r="J37" s="97">
        <v>15.446710803976909</v>
      </c>
      <c r="K37" s="97">
        <v>18.737837098614328</v>
      </c>
      <c r="L37" s="97">
        <v>19.962505142886528</v>
      </c>
      <c r="M37" s="97">
        <v>23.811346231269464</v>
      </c>
      <c r="N37" s="97">
        <v>31.848735787791277</v>
      </c>
      <c r="O37" s="97">
        <v>32.537980089578951</v>
      </c>
      <c r="P37" s="97">
        <v>43.697072952860516</v>
      </c>
      <c r="Q37" s="97">
        <v>53.853918419019529</v>
      </c>
      <c r="R37" s="97">
        <v>70.283051231242169</v>
      </c>
      <c r="S37" s="97">
        <v>87.01610663586284</v>
      </c>
      <c r="T37" s="97">
        <v>93.36517916764933</v>
      </c>
      <c r="U37" s="97">
        <v>112.72158082458475</v>
      </c>
      <c r="V37" s="97">
        <v>102.78859316710928</v>
      </c>
      <c r="W37" s="97">
        <v>100.90055765032437</v>
      </c>
      <c r="X37" s="97">
        <v>126.80423216027357</v>
      </c>
      <c r="Y37" s="97">
        <v>116.52020982306688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DA38" s="175" t="s">
        <v>656</v>
      </c>
    </row>
    <row r="39" spans="1:105" ht="11.45" customHeight="1" x14ac:dyDescent="0.25">
      <c r="A39" s="111" t="s">
        <v>113</v>
      </c>
      <c r="B39" s="97">
        <v>10.146173688736029</v>
      </c>
      <c r="C39" s="97">
        <v>10.294538680356901</v>
      </c>
      <c r="D39" s="97">
        <v>10.522750895094244</v>
      </c>
      <c r="E39" s="97">
        <v>14.464943338807103</v>
      </c>
      <c r="F39" s="97">
        <v>10.736389034581144</v>
      </c>
      <c r="G39" s="97">
        <v>8.6433835738428435</v>
      </c>
      <c r="H39" s="97">
        <v>15.662799043688874</v>
      </c>
      <c r="I39" s="97">
        <v>15.142542040093797</v>
      </c>
      <c r="J39" s="97">
        <v>33.379491406379813</v>
      </c>
      <c r="K39" s="97">
        <v>31.324979361156963</v>
      </c>
      <c r="L39" s="97">
        <v>33.103271772692651</v>
      </c>
      <c r="M39" s="97">
        <v>78.313771346736957</v>
      </c>
      <c r="N39" s="97">
        <v>88.184494520083433</v>
      </c>
      <c r="O39" s="97">
        <v>90.559382482885766</v>
      </c>
      <c r="P39" s="97">
        <v>92.919589184477715</v>
      </c>
      <c r="Q39" s="97">
        <v>86.162942865398136</v>
      </c>
      <c r="R39" s="97">
        <v>82.776786322997651</v>
      </c>
      <c r="S39" s="97">
        <v>72.986078399900293</v>
      </c>
      <c r="T39" s="97">
        <v>78.155549129095292</v>
      </c>
      <c r="U39" s="97">
        <v>56.912791833211564</v>
      </c>
      <c r="V39" s="97">
        <v>50.06888060278132</v>
      </c>
      <c r="W39" s="97">
        <v>42.527354662645131</v>
      </c>
      <c r="X39" s="97">
        <v>39.90805023110277</v>
      </c>
      <c r="Y39" s="97">
        <v>54.944921862213988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14.610873919655948</v>
      </c>
      <c r="K40" s="97">
        <v>15.793646725360194</v>
      </c>
      <c r="L40" s="97">
        <v>13.235913833018643</v>
      </c>
      <c r="M40" s="97">
        <v>46.528122840433902</v>
      </c>
      <c r="N40" s="97">
        <v>50.046187941234678</v>
      </c>
      <c r="O40" s="97">
        <v>53.177527103711142</v>
      </c>
      <c r="P40" s="97">
        <v>57.860750340526863</v>
      </c>
      <c r="Q40" s="97">
        <v>63.591309065243408</v>
      </c>
      <c r="R40" s="97">
        <v>60.478592294439188</v>
      </c>
      <c r="S40" s="97">
        <v>65.175131731411113</v>
      </c>
      <c r="T40" s="97">
        <v>71.286991150105564</v>
      </c>
      <c r="U40" s="97">
        <v>52.262785289752927</v>
      </c>
      <c r="V40" s="97">
        <v>45.617205592027815</v>
      </c>
      <c r="W40" s="97">
        <v>38.134545646583071</v>
      </c>
      <c r="X40" s="97">
        <v>37.038382238485603</v>
      </c>
      <c r="Y40" s="97">
        <v>46.668395340873637</v>
      </c>
      <c r="DA40" s="175" t="s">
        <v>658</v>
      </c>
    </row>
    <row r="41" spans="1:105" ht="11.45" customHeight="1" x14ac:dyDescent="0.25">
      <c r="A41" s="111" t="s">
        <v>115</v>
      </c>
      <c r="B41" s="97">
        <v>0.31039731291222722</v>
      </c>
      <c r="C41" s="97">
        <v>0.30067938371384473</v>
      </c>
      <c r="D41" s="97">
        <v>0.24734050258433449</v>
      </c>
      <c r="E41" s="97">
        <v>0.27853222435360769</v>
      </c>
      <c r="F41" s="97">
        <v>0.27867261747585781</v>
      </c>
      <c r="G41" s="97">
        <v>0.2249979137206552</v>
      </c>
      <c r="H41" s="97">
        <v>0.20740061715439068</v>
      </c>
      <c r="I41" s="97">
        <v>0.17249905583946301</v>
      </c>
      <c r="J41" s="97">
        <v>0.13923163437091957</v>
      </c>
      <c r="K41" s="97">
        <v>0.13938091365003683</v>
      </c>
      <c r="L41" s="97">
        <v>7.0520658325869942E-2</v>
      </c>
      <c r="M41" s="97">
        <v>7.0809944696393276E-2</v>
      </c>
      <c r="N41" s="97">
        <v>0.10120478444708157</v>
      </c>
      <c r="O41" s="97">
        <v>0.13410041504401959</v>
      </c>
      <c r="P41" s="97">
        <v>0.18248085236692305</v>
      </c>
      <c r="Q41" s="97">
        <v>0.3317252074312983</v>
      </c>
      <c r="R41" s="97">
        <v>0.62736659530322014</v>
      </c>
      <c r="S41" s="97">
        <v>0.88537732115665646</v>
      </c>
      <c r="T41" s="97">
        <v>1.623261665729427</v>
      </c>
      <c r="U41" s="97">
        <v>4.2435643846333297</v>
      </c>
      <c r="V41" s="97">
        <v>7.2967760218979478</v>
      </c>
      <c r="W41" s="97">
        <v>10.160959257501554</v>
      </c>
      <c r="X41" s="97">
        <v>13.778989274507627</v>
      </c>
      <c r="Y41" s="97">
        <v>17.980363844466265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1678.8343140490269</v>
      </c>
      <c r="C42" s="32">
        <f t="shared" si="26"/>
        <v>1731.2182647656691</v>
      </c>
      <c r="D42" s="32">
        <f t="shared" si="26"/>
        <v>1737.5657890758748</v>
      </c>
      <c r="E42" s="32">
        <f t="shared" si="26"/>
        <v>1808.0088394222284</v>
      </c>
      <c r="F42" s="32">
        <f t="shared" si="26"/>
        <v>1991.785464061616</v>
      </c>
      <c r="G42" s="32">
        <f t="shared" si="26"/>
        <v>1897.9486979400863</v>
      </c>
      <c r="H42" s="32">
        <f t="shared" si="26"/>
        <v>1974.3324527720606</v>
      </c>
      <c r="I42" s="32">
        <f t="shared" si="26"/>
        <v>2021.0200124762739</v>
      </c>
      <c r="J42" s="32">
        <f t="shared" si="26"/>
        <v>2024.5603411307889</v>
      </c>
      <c r="K42" s="32">
        <f t="shared" si="26"/>
        <v>1869.8062176183494</v>
      </c>
      <c r="L42" s="32">
        <f t="shared" ref="L42" si="27">L43+L52</f>
        <v>1993.9501408332562</v>
      </c>
      <c r="M42" s="32">
        <f t="shared" ref="M42:V42" si="28">M43+M52</f>
        <v>1951.7101167387327</v>
      </c>
      <c r="N42" s="32">
        <f t="shared" si="28"/>
        <v>1770.703868185069</v>
      </c>
      <c r="O42" s="32">
        <f t="shared" si="28"/>
        <v>1789.8413567668467</v>
      </c>
      <c r="P42" s="32">
        <f t="shared" si="28"/>
        <v>1785.5415979701015</v>
      </c>
      <c r="Q42" s="32">
        <f t="shared" si="28"/>
        <v>1804.764772495131</v>
      </c>
      <c r="R42" s="32">
        <f t="shared" si="28"/>
        <v>1700.5699890123617</v>
      </c>
      <c r="S42" s="32">
        <f t="shared" si="28"/>
        <v>1767.4598327828628</v>
      </c>
      <c r="T42" s="32">
        <f t="shared" si="28"/>
        <v>1672.2897110387394</v>
      </c>
      <c r="U42" s="32">
        <f t="shared" si="28"/>
        <v>1625.4116643356801</v>
      </c>
      <c r="V42" s="32">
        <f t="shared" si="28"/>
        <v>1725.6973408815156</v>
      </c>
      <c r="W42" s="32">
        <f t="shared" ref="W42:Y42" si="29">W43+W52</f>
        <v>1822.3297291625445</v>
      </c>
      <c r="X42" s="32">
        <f t="shared" si="29"/>
        <v>1725.5764221450643</v>
      </c>
      <c r="Y42" s="32">
        <f t="shared" si="29"/>
        <v>1641.6228023063006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431.52674557434216</v>
      </c>
      <c r="C43" s="141">
        <f t="shared" si="30"/>
        <v>477.46225279152895</v>
      </c>
      <c r="D43" s="141">
        <f t="shared" si="30"/>
        <v>499.99063842109632</v>
      </c>
      <c r="E43" s="141">
        <f t="shared" si="30"/>
        <v>540.27149424666891</v>
      </c>
      <c r="F43" s="141">
        <f t="shared" si="30"/>
        <v>601.07365881573639</v>
      </c>
      <c r="G43" s="141">
        <f t="shared" si="30"/>
        <v>535.75718936705459</v>
      </c>
      <c r="H43" s="141">
        <f t="shared" si="30"/>
        <v>576.78904790133663</v>
      </c>
      <c r="I43" s="141">
        <f t="shared" si="30"/>
        <v>594.20283973444634</v>
      </c>
      <c r="J43" s="141">
        <f t="shared" si="30"/>
        <v>597.71562276876205</v>
      </c>
      <c r="K43" s="141">
        <f t="shared" si="30"/>
        <v>591.26788644342503</v>
      </c>
      <c r="L43" s="141">
        <f t="shared" ref="L43" si="31">L44+L46+L48+L49+L51</f>
        <v>639.83155009364566</v>
      </c>
      <c r="M43" s="141">
        <f t="shared" ref="M43:V43" si="32">M44+M46+M48+M49+M51</f>
        <v>663.6514552496659</v>
      </c>
      <c r="N43" s="141">
        <f t="shared" si="32"/>
        <v>642.42597199410113</v>
      </c>
      <c r="O43" s="141">
        <f t="shared" si="32"/>
        <v>639.38933432921522</v>
      </c>
      <c r="P43" s="141">
        <f t="shared" si="32"/>
        <v>615.71892319775509</v>
      </c>
      <c r="Q43" s="141">
        <f t="shared" si="32"/>
        <v>642.76149106285811</v>
      </c>
      <c r="R43" s="141">
        <f t="shared" si="32"/>
        <v>627.41220952093636</v>
      </c>
      <c r="S43" s="141">
        <f t="shared" si="32"/>
        <v>672.56188801111534</v>
      </c>
      <c r="T43" s="141">
        <f t="shared" si="32"/>
        <v>645.1455290065345</v>
      </c>
      <c r="U43" s="141">
        <f t="shared" si="32"/>
        <v>651.14585523954531</v>
      </c>
      <c r="V43" s="141">
        <f t="shared" si="32"/>
        <v>680.54403733244487</v>
      </c>
      <c r="W43" s="141">
        <f t="shared" ref="W43:Y43" si="33">W44+W46+W48+W49+W51</f>
        <v>700.80604088434791</v>
      </c>
      <c r="X43" s="141">
        <f t="shared" si="33"/>
        <v>651.15813088483969</v>
      </c>
      <c r="Y43" s="141">
        <f t="shared" si="33"/>
        <v>649.86281353383174</v>
      </c>
      <c r="DA43" s="174" t="s">
        <v>400</v>
      </c>
    </row>
    <row r="44" spans="1:105" ht="11.45" customHeight="1" x14ac:dyDescent="0.25">
      <c r="A44" s="111" t="s">
        <v>110</v>
      </c>
      <c r="B44" s="96">
        <v>163.36522972694715</v>
      </c>
      <c r="C44" s="96">
        <v>158.37256892563605</v>
      </c>
      <c r="D44" s="96">
        <v>146.81660187170985</v>
      </c>
      <c r="E44" s="96">
        <v>130.36609422237711</v>
      </c>
      <c r="F44" s="96">
        <v>116.5363182737854</v>
      </c>
      <c r="G44" s="96">
        <v>107.71055610024143</v>
      </c>
      <c r="H44" s="96">
        <v>94.691452994930145</v>
      </c>
      <c r="I44" s="96">
        <v>86.989356721713577</v>
      </c>
      <c r="J44" s="96">
        <v>77.133020195152099</v>
      </c>
      <c r="K44" s="96">
        <v>69.975222363015192</v>
      </c>
      <c r="L44" s="96">
        <v>61.432354254492672</v>
      </c>
      <c r="M44" s="96">
        <v>56.966983481963624</v>
      </c>
      <c r="N44" s="96">
        <v>49.174421459406297</v>
      </c>
      <c r="O44" s="96">
        <v>42.916461428608528</v>
      </c>
      <c r="P44" s="96">
        <v>39.02212644863036</v>
      </c>
      <c r="Q44" s="96">
        <v>36.861103213023625</v>
      </c>
      <c r="R44" s="96">
        <v>30.026808716759625</v>
      </c>
      <c r="S44" s="96">
        <v>26.114251613192693</v>
      </c>
      <c r="T44" s="96">
        <v>24.763875915640746</v>
      </c>
      <c r="U44" s="96">
        <v>23.970815608866658</v>
      </c>
      <c r="V44" s="96">
        <v>24.081369065986369</v>
      </c>
      <c r="W44" s="96">
        <v>25.393843255922445</v>
      </c>
      <c r="X44" s="96">
        <v>27.960252772851874</v>
      </c>
      <c r="Y44" s="96">
        <v>29.475283192431178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0.46387722907860335</v>
      </c>
      <c r="D45" s="96">
        <v>1.0113343784644739</v>
      </c>
      <c r="E45" s="96">
        <v>1.9147211006360505</v>
      </c>
      <c r="F45" s="96">
        <v>3.2705541721991609</v>
      </c>
      <c r="G45" s="96">
        <v>3.6521403046216836</v>
      </c>
      <c r="H45" s="96">
        <v>3.6711756663154138</v>
      </c>
      <c r="I45" s="96">
        <v>3.8416842643319664</v>
      </c>
      <c r="J45" s="96">
        <v>4.2198791817258714</v>
      </c>
      <c r="K45" s="96">
        <v>3.6095752971414017</v>
      </c>
      <c r="L45" s="96">
        <v>3.4436463834658997</v>
      </c>
      <c r="M45" s="96">
        <v>3.590241032270856</v>
      </c>
      <c r="N45" s="96">
        <v>3.2662229343993645</v>
      </c>
      <c r="O45" s="96">
        <v>2.647975779790515</v>
      </c>
      <c r="P45" s="96">
        <v>2.3105873496754445</v>
      </c>
      <c r="Q45" s="96">
        <v>1.8893324256770256</v>
      </c>
      <c r="R45" s="96">
        <v>1.2668047750332523</v>
      </c>
      <c r="S45" s="96">
        <v>1.0864085710080753</v>
      </c>
      <c r="T45" s="96">
        <v>1.3617048316579243</v>
      </c>
      <c r="U45" s="96">
        <v>1.0720819473358332</v>
      </c>
      <c r="V45" s="96">
        <v>1.2244268052361789</v>
      </c>
      <c r="W45" s="96">
        <v>1.4711214727276638</v>
      </c>
      <c r="X45" s="96">
        <v>2.2035068639543351</v>
      </c>
      <c r="Y45" s="96">
        <v>2.9033836522898704</v>
      </c>
      <c r="DA45" s="171" t="s">
        <v>661</v>
      </c>
    </row>
    <row r="46" spans="1:105" ht="11.45" customHeight="1" x14ac:dyDescent="0.25">
      <c r="A46" s="111" t="s">
        <v>111</v>
      </c>
      <c r="B46" s="96">
        <v>268.16151584739504</v>
      </c>
      <c r="C46" s="96">
        <v>319.08757594263847</v>
      </c>
      <c r="D46" s="96">
        <v>353.16151678484778</v>
      </c>
      <c r="E46" s="96">
        <v>409.87099813490516</v>
      </c>
      <c r="F46" s="96">
        <v>484.48084584424618</v>
      </c>
      <c r="G46" s="96">
        <v>427.93847271807397</v>
      </c>
      <c r="H46" s="96">
        <v>481.80165479715851</v>
      </c>
      <c r="I46" s="96">
        <v>506.61574318231993</v>
      </c>
      <c r="J46" s="96">
        <v>519.52867341852152</v>
      </c>
      <c r="K46" s="96">
        <v>519.70316228268371</v>
      </c>
      <c r="L46" s="96">
        <v>576.62135687366185</v>
      </c>
      <c r="M46" s="96">
        <v>604.7384678423997</v>
      </c>
      <c r="N46" s="96">
        <v>590.83524330751118</v>
      </c>
      <c r="O46" s="96">
        <v>593.85330722996832</v>
      </c>
      <c r="P46" s="96">
        <v>573.81914403384587</v>
      </c>
      <c r="Q46" s="96">
        <v>602.594344440996</v>
      </c>
      <c r="R46" s="96">
        <v>593.95134708467742</v>
      </c>
      <c r="S46" s="96">
        <v>642.53315371518715</v>
      </c>
      <c r="T46" s="96">
        <v>613.94871301798219</v>
      </c>
      <c r="U46" s="96">
        <v>620.32580710577611</v>
      </c>
      <c r="V46" s="96">
        <v>649.03687260651895</v>
      </c>
      <c r="W46" s="96">
        <v>667.27501388057283</v>
      </c>
      <c r="X46" s="96">
        <v>613.64361033869773</v>
      </c>
      <c r="Y46" s="96">
        <v>610.15197877257958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0.33245417908957309</v>
      </c>
      <c r="D47" s="96">
        <v>0.36618190643924942</v>
      </c>
      <c r="E47" s="96">
        <v>0.54374506434213232</v>
      </c>
      <c r="F47" s="96">
        <v>1.1881582292437192</v>
      </c>
      <c r="G47" s="96">
        <v>1.0132111549514902</v>
      </c>
      <c r="H47" s="96">
        <v>6.6570064232641686</v>
      </c>
      <c r="I47" s="96">
        <v>13.460421827387583</v>
      </c>
      <c r="J47" s="96">
        <v>16.860446218983476</v>
      </c>
      <c r="K47" s="96">
        <v>21.346640730470757</v>
      </c>
      <c r="L47" s="96">
        <v>24.21550402011902</v>
      </c>
      <c r="M47" s="96">
        <v>31.673476915207623</v>
      </c>
      <c r="N47" s="96">
        <v>41.747622499345404</v>
      </c>
      <c r="O47" s="96">
        <v>57.456447754018157</v>
      </c>
      <c r="P47" s="96">
        <v>80.52558012263458</v>
      </c>
      <c r="Q47" s="96">
        <v>102.02964459654292</v>
      </c>
      <c r="R47" s="96">
        <v>131.80834172396874</v>
      </c>
      <c r="S47" s="96">
        <v>172.87929393506374</v>
      </c>
      <c r="T47" s="96">
        <v>178.61437148448536</v>
      </c>
      <c r="U47" s="96">
        <v>174.2973184152462</v>
      </c>
      <c r="V47" s="96">
        <v>188.47000162088909</v>
      </c>
      <c r="W47" s="96">
        <v>196.47116500928391</v>
      </c>
      <c r="X47" s="96">
        <v>222.08848332832093</v>
      </c>
      <c r="Y47" s="96">
        <v>203.79137989415497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X48" s="96">
        <v>0</v>
      </c>
      <c r="Y48" s="96">
        <v>0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2.1079232544496777E-3</v>
      </c>
      <c r="D49" s="96">
        <v>1.2519764538689152E-2</v>
      </c>
      <c r="E49" s="96">
        <v>3.4401889386546071E-2</v>
      </c>
      <c r="F49" s="96">
        <v>5.6494697704830482E-2</v>
      </c>
      <c r="G49" s="96">
        <v>0.10791325965488445</v>
      </c>
      <c r="H49" s="96">
        <v>0.27032323325410734</v>
      </c>
      <c r="I49" s="96">
        <v>0.5734720276647115</v>
      </c>
      <c r="J49" s="96">
        <v>1.0297743099581549</v>
      </c>
      <c r="K49" s="96">
        <v>1.5653429019591021</v>
      </c>
      <c r="L49" s="96">
        <v>1.7542381005337169</v>
      </c>
      <c r="M49" s="96">
        <v>1.9218592919451714</v>
      </c>
      <c r="N49" s="96">
        <v>2.3703082181009014</v>
      </c>
      <c r="O49" s="96">
        <v>2.550238784468891</v>
      </c>
      <c r="P49" s="96">
        <v>2.7705579047160485</v>
      </c>
      <c r="Q49" s="96">
        <v>3.1413159979529079</v>
      </c>
      <c r="R49" s="96">
        <v>3.2262282750669944</v>
      </c>
      <c r="S49" s="96">
        <v>3.6510594854722571</v>
      </c>
      <c r="T49" s="96">
        <v>6.0508161672622407</v>
      </c>
      <c r="U49" s="96">
        <v>6.2317348781124693</v>
      </c>
      <c r="V49" s="96">
        <v>6.3713804203784026</v>
      </c>
      <c r="W49" s="96">
        <v>6.4820261821995153</v>
      </c>
      <c r="X49" s="96">
        <v>6.8914708043718891</v>
      </c>
      <c r="Y49" s="96">
        <v>5.9702247720566071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0.45075290169410981</v>
      </c>
      <c r="K50" s="96">
        <v>0.78922550953850301</v>
      </c>
      <c r="L50" s="96">
        <v>0.70140935013004369</v>
      </c>
      <c r="M50" s="96">
        <v>1.1418235091979143</v>
      </c>
      <c r="N50" s="96">
        <v>1.3451898908907931</v>
      </c>
      <c r="O50" s="96">
        <v>1.4975300003581506</v>
      </c>
      <c r="P50" s="96">
        <v>1.7252181228490389</v>
      </c>
      <c r="Q50" s="96">
        <v>2.3184026665556008</v>
      </c>
      <c r="R50" s="96">
        <v>2.3571553470946909</v>
      </c>
      <c r="S50" s="96">
        <v>3.2603242719942802</v>
      </c>
      <c r="T50" s="96">
        <v>5.5190512173877186</v>
      </c>
      <c r="U50" s="96">
        <v>5.7225767955983633</v>
      </c>
      <c r="V50" s="96">
        <v>5.8048945181585889</v>
      </c>
      <c r="W50" s="96">
        <v>5.8124735311730582</v>
      </c>
      <c r="X50" s="96">
        <v>6.3959258435221393</v>
      </c>
      <c r="Y50" s="96">
        <v>5.0709110231317736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2.472890843450858E-4</v>
      </c>
      <c r="H51" s="96">
        <v>2.5616875993967378E-2</v>
      </c>
      <c r="I51" s="96">
        <v>2.4267802748164421E-2</v>
      </c>
      <c r="J51" s="96">
        <v>2.4154845130259329E-2</v>
      </c>
      <c r="K51" s="96">
        <v>2.4158895767021835E-2</v>
      </c>
      <c r="L51" s="96">
        <v>2.3600864957448186E-2</v>
      </c>
      <c r="M51" s="96">
        <v>2.4144633357305781E-2</v>
      </c>
      <c r="N51" s="96">
        <v>4.5999009082685394E-2</v>
      </c>
      <c r="O51" s="96">
        <v>6.9326886169533655E-2</v>
      </c>
      <c r="P51" s="96">
        <v>0.10709481056278004</v>
      </c>
      <c r="Q51" s="96">
        <v>0.164727410885537</v>
      </c>
      <c r="R51" s="96">
        <v>0.20782544443227205</v>
      </c>
      <c r="S51" s="96">
        <v>0.26342319726320712</v>
      </c>
      <c r="T51" s="96">
        <v>0.38212390564936632</v>
      </c>
      <c r="U51" s="96">
        <v>0.61749764679005048</v>
      </c>
      <c r="V51" s="96">
        <v>1.0544152395611561</v>
      </c>
      <c r="W51" s="96">
        <v>1.6551575656531126</v>
      </c>
      <c r="X51" s="96">
        <v>2.6627969689182516</v>
      </c>
      <c r="Y51" s="96">
        <v>4.2653267967643567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1247.3075684746848</v>
      </c>
      <c r="C52" s="130">
        <f t="shared" si="34"/>
        <v>1253.7560119741402</v>
      </c>
      <c r="D52" s="130">
        <f t="shared" si="34"/>
        <v>1237.5751506547786</v>
      </c>
      <c r="E52" s="130">
        <f t="shared" si="34"/>
        <v>1267.7373451755595</v>
      </c>
      <c r="F52" s="130">
        <f t="shared" si="34"/>
        <v>1390.7118052458795</v>
      </c>
      <c r="G52" s="130">
        <f t="shared" si="34"/>
        <v>1362.1915085730318</v>
      </c>
      <c r="H52" s="130">
        <f t="shared" si="34"/>
        <v>1397.5434048707239</v>
      </c>
      <c r="I52" s="130">
        <f t="shared" si="34"/>
        <v>1426.8171727418276</v>
      </c>
      <c r="J52" s="130">
        <f t="shared" si="34"/>
        <v>1426.8447183620269</v>
      </c>
      <c r="K52" s="130">
        <f t="shared" si="34"/>
        <v>1278.5383311749242</v>
      </c>
      <c r="L52" s="130">
        <f t="shared" ref="L52" si="35">L53+L55</f>
        <v>1354.1185907396107</v>
      </c>
      <c r="M52" s="130">
        <f t="shared" ref="M52:V52" si="36">M53+M55</f>
        <v>1288.0586614890667</v>
      </c>
      <c r="N52" s="130">
        <f t="shared" si="36"/>
        <v>1128.277896190968</v>
      </c>
      <c r="O52" s="130">
        <f t="shared" si="36"/>
        <v>1150.4520224376315</v>
      </c>
      <c r="P52" s="130">
        <f t="shared" si="36"/>
        <v>1169.8226747723465</v>
      </c>
      <c r="Q52" s="130">
        <f t="shared" si="36"/>
        <v>1162.0032814322728</v>
      </c>
      <c r="R52" s="130">
        <f t="shared" si="36"/>
        <v>1073.1577794914253</v>
      </c>
      <c r="S52" s="130">
        <f t="shared" si="36"/>
        <v>1094.8979447717475</v>
      </c>
      <c r="T52" s="130">
        <f t="shared" si="36"/>
        <v>1027.144182032205</v>
      </c>
      <c r="U52" s="130">
        <f t="shared" si="36"/>
        <v>974.26580909613483</v>
      </c>
      <c r="V52" s="130">
        <f t="shared" si="36"/>
        <v>1045.1533035490706</v>
      </c>
      <c r="W52" s="130">
        <f t="shared" ref="W52:Y52" si="37">W53+W55</f>
        <v>1121.5236882781967</v>
      </c>
      <c r="X52" s="130">
        <f t="shared" si="37"/>
        <v>1074.4182912602246</v>
      </c>
      <c r="Y52" s="130">
        <f t="shared" si="37"/>
        <v>991.75998877246889</v>
      </c>
      <c r="DA52" s="176" t="s">
        <v>401</v>
      </c>
    </row>
    <row r="53" spans="1:105" ht="11.45" customHeight="1" x14ac:dyDescent="0.25">
      <c r="A53" s="128" t="s">
        <v>27</v>
      </c>
      <c r="B53" s="97">
        <v>990.36715464420649</v>
      </c>
      <c r="C53" s="97">
        <v>978.62321601102985</v>
      </c>
      <c r="D53" s="97">
        <v>958.87060653846447</v>
      </c>
      <c r="E53" s="97">
        <v>971.34368802461302</v>
      </c>
      <c r="F53" s="97">
        <v>1029.4939240275646</v>
      </c>
      <c r="G53" s="97">
        <v>1019.6513126467752</v>
      </c>
      <c r="H53" s="97">
        <v>1025.0034632286161</v>
      </c>
      <c r="I53" s="97">
        <v>1055.4500299964595</v>
      </c>
      <c r="J53" s="97">
        <v>1074.1265007945649</v>
      </c>
      <c r="K53" s="97">
        <v>997.39125505015738</v>
      </c>
      <c r="L53" s="97">
        <v>1042.4957950695893</v>
      </c>
      <c r="M53" s="97">
        <v>989.12653553369205</v>
      </c>
      <c r="N53" s="97">
        <v>855.94896413773802</v>
      </c>
      <c r="O53" s="97">
        <v>843.02434814569142</v>
      </c>
      <c r="P53" s="97">
        <v>916.93108681331273</v>
      </c>
      <c r="Q53" s="97">
        <v>882.20140050468797</v>
      </c>
      <c r="R53" s="97">
        <v>800.74215716189781</v>
      </c>
      <c r="S53" s="97">
        <v>819.48778985109482</v>
      </c>
      <c r="T53" s="97">
        <v>771.37007448214808</v>
      </c>
      <c r="U53" s="97">
        <v>738.71606838593902</v>
      </c>
      <c r="V53" s="97">
        <v>783.40094424217648</v>
      </c>
      <c r="W53" s="97">
        <v>831.40512887722434</v>
      </c>
      <c r="X53" s="97">
        <v>827.451285390198</v>
      </c>
      <c r="Y53" s="97">
        <v>745.45688056103359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1.0196178179479845</v>
      </c>
      <c r="D54" s="97">
        <v>0.99422233183102882</v>
      </c>
      <c r="E54" s="97">
        <v>1.288608705047795</v>
      </c>
      <c r="F54" s="97">
        <v>2.5247678794364576</v>
      </c>
      <c r="G54" s="97">
        <v>2.4141836969523043</v>
      </c>
      <c r="H54" s="97">
        <v>14.162372774443103</v>
      </c>
      <c r="I54" s="97">
        <v>28.042560486258914</v>
      </c>
      <c r="J54" s="97">
        <v>34.859003988875955</v>
      </c>
      <c r="K54" s="97">
        <v>40.967525954148776</v>
      </c>
      <c r="L54" s="97">
        <v>43.780135465908373</v>
      </c>
      <c r="M54" s="97">
        <v>51.805992433757844</v>
      </c>
      <c r="N54" s="97">
        <v>60.480200932986165</v>
      </c>
      <c r="O54" s="97">
        <v>81.56422440507005</v>
      </c>
      <c r="P54" s="97">
        <v>128.6753996722087</v>
      </c>
      <c r="Q54" s="97">
        <v>149.37195509122361</v>
      </c>
      <c r="R54" s="97">
        <v>177.69889133517896</v>
      </c>
      <c r="S54" s="97">
        <v>220.49052205119622</v>
      </c>
      <c r="T54" s="97">
        <v>224.41252520637528</v>
      </c>
      <c r="U54" s="97">
        <v>207.56226536931348</v>
      </c>
      <c r="V54" s="97">
        <v>227.48719443038624</v>
      </c>
      <c r="W54" s="97">
        <v>244.79731874755549</v>
      </c>
      <c r="X54" s="97">
        <v>299.46926506567752</v>
      </c>
      <c r="Y54" s="97">
        <v>248.98335435497987</v>
      </c>
      <c r="DA54" s="175" t="s">
        <v>669</v>
      </c>
    </row>
    <row r="55" spans="1:105" ht="11.45" customHeight="1" x14ac:dyDescent="0.25">
      <c r="A55" s="128" t="s">
        <v>116</v>
      </c>
      <c r="B55" s="97">
        <v>256.94041383047829</v>
      </c>
      <c r="C55" s="97">
        <v>275.13279596311042</v>
      </c>
      <c r="D55" s="97">
        <v>278.70454411631408</v>
      </c>
      <c r="E55" s="97">
        <v>296.39365715094658</v>
      </c>
      <c r="F55" s="97">
        <v>361.21788121831503</v>
      </c>
      <c r="G55" s="97">
        <v>342.54019592625662</v>
      </c>
      <c r="H55" s="97">
        <v>372.53994164210769</v>
      </c>
      <c r="I55" s="97">
        <v>371.36714274536814</v>
      </c>
      <c r="J55" s="97">
        <v>352.71821756746192</v>
      </c>
      <c r="K55" s="97">
        <v>281.1470761247669</v>
      </c>
      <c r="L55" s="97">
        <v>311.62279567002145</v>
      </c>
      <c r="M55" s="97">
        <v>298.93212595537477</v>
      </c>
      <c r="N55" s="97">
        <v>272.32893205323006</v>
      </c>
      <c r="O55" s="97">
        <v>307.42767429194015</v>
      </c>
      <c r="P55" s="97">
        <v>252.89158795903379</v>
      </c>
      <c r="Q55" s="97">
        <v>279.80188092758493</v>
      </c>
      <c r="R55" s="97">
        <v>272.41562232952759</v>
      </c>
      <c r="S55" s="97">
        <v>275.41015492065264</v>
      </c>
      <c r="T55" s="97">
        <v>255.77410755005695</v>
      </c>
      <c r="U55" s="97">
        <v>235.54974071019583</v>
      </c>
      <c r="V55" s="97">
        <v>261.75235930689428</v>
      </c>
      <c r="W55" s="97">
        <v>290.11855940097234</v>
      </c>
      <c r="X55" s="97">
        <v>246.9670058700267</v>
      </c>
      <c r="Y55" s="97">
        <v>246.30310821143527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0.28665812998929807</v>
      </c>
      <c r="D56" s="98">
        <v>0.28897984759751849</v>
      </c>
      <c r="E56" s="98">
        <v>0.39320320030327255</v>
      </c>
      <c r="F56" s="98">
        <v>0.88586370710205098</v>
      </c>
      <c r="G56" s="98">
        <v>0.81101740006535761</v>
      </c>
      <c r="H56" s="98">
        <v>5.147348000450652</v>
      </c>
      <c r="I56" s="98">
        <v>9.8669622123949043</v>
      </c>
      <c r="J56" s="98">
        <v>11.446888000657351</v>
      </c>
      <c r="K56" s="98">
        <v>11.548025992563181</v>
      </c>
      <c r="L56" s="98">
        <v>13.086756103210872</v>
      </c>
      <c r="M56" s="98">
        <v>15.656718224726864</v>
      </c>
      <c r="N56" s="98">
        <v>19.242395540529525</v>
      </c>
      <c r="O56" s="98">
        <v>29.744217790899587</v>
      </c>
      <c r="P56" s="98">
        <v>35.488955083266298</v>
      </c>
      <c r="Q56" s="98">
        <v>47.375297713702743</v>
      </c>
      <c r="R56" s="98">
        <v>60.453859756696339</v>
      </c>
      <c r="S56" s="98">
        <v>74.101566354868709</v>
      </c>
      <c r="T56" s="98">
        <v>74.411641385296818</v>
      </c>
      <c r="U56" s="98">
        <v>66.184072448549571</v>
      </c>
      <c r="V56" s="98">
        <v>76.008728725571018</v>
      </c>
      <c r="W56" s="98">
        <v>85.42194772862554</v>
      </c>
      <c r="X56" s="98">
        <v>89.381730440470719</v>
      </c>
      <c r="Y56" s="98">
        <v>82.26548801103965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12.843055247471243</v>
      </c>
      <c r="C60" s="79">
        <f>IF(C17=0,0,C17/TrRoad_act!C30*100)</f>
        <v>12.493188771037977</v>
      </c>
      <c r="D60" s="79">
        <f>IF(D17=0,0,D17/TrRoad_act!D30*100)</f>
        <v>12.176397210408812</v>
      </c>
      <c r="E60" s="79">
        <f>IF(E17=0,0,E17/TrRoad_act!E30*100)</f>
        <v>12.124921548299733</v>
      </c>
      <c r="F60" s="79">
        <f>IF(F17=0,0,F17/TrRoad_act!F30*100)</f>
        <v>12.199669588918661</v>
      </c>
      <c r="G60" s="79">
        <f>IF(G17=0,0,G17/TrRoad_act!G30*100)</f>
        <v>11.894190452820768</v>
      </c>
      <c r="H60" s="79">
        <f>IF(H17=0,0,H17/TrRoad_act!H30*100)</f>
        <v>11.838965078786531</v>
      </c>
      <c r="I60" s="79">
        <f>IF(I17=0,0,I17/TrRoad_act!I30*100)</f>
        <v>11.547780045033059</v>
      </c>
      <c r="J60" s="79">
        <f>IF(J17=0,0,J17/TrRoad_act!J30*100)</f>
        <v>11.416469809026452</v>
      </c>
      <c r="K60" s="79">
        <f>IF(K17=0,0,K17/TrRoad_act!K30*100)</f>
        <v>10.987583316471044</v>
      </c>
      <c r="L60" s="79">
        <f>IF(L17=0,0,L17/TrRoad_act!L30*100)</f>
        <v>10.859777976464004</v>
      </c>
      <c r="M60" s="79">
        <f>IF(M17=0,0,M17/TrRoad_act!M30*100)</f>
        <v>10.462100720104862</v>
      </c>
      <c r="N60" s="79">
        <f>IF(N17=0,0,N17/TrRoad_act!N30*100)</f>
        <v>9.9152809779418547</v>
      </c>
      <c r="O60" s="79">
        <f>IF(O17=0,0,O17/TrRoad_act!O30*100)</f>
        <v>9.5237442409078863</v>
      </c>
      <c r="P60" s="79">
        <f>IF(P17=0,0,P17/TrRoad_act!P30*100)</f>
        <v>9.0629833402639992</v>
      </c>
      <c r="Q60" s="79">
        <f>IF(Q17=0,0,Q17/TrRoad_act!Q30*100)</f>
        <v>8.7296976095332113</v>
      </c>
      <c r="R60" s="79">
        <f>IF(R17=0,0,R17/TrRoad_act!R30*100)</f>
        <v>8.2607139861176453</v>
      </c>
      <c r="S60" s="79">
        <f>IF(S17=0,0,S17/TrRoad_act!S30*100)</f>
        <v>8.1020433014405793</v>
      </c>
      <c r="T60" s="79">
        <f>IF(T17=0,0,T17/TrRoad_act!T30*100)</f>
        <v>7.772757165420324</v>
      </c>
      <c r="U60" s="79">
        <f>IF(U17=0,0,U17/TrRoad_act!U30*100)</f>
        <v>7.6687335071523739</v>
      </c>
      <c r="V60" s="79">
        <f>IF(V17=0,0,V17/TrRoad_act!V30*100)</f>
        <v>7.7084231559899514</v>
      </c>
      <c r="W60" s="79">
        <f>IF(W17=0,0,W17/TrRoad_act!W30*100)</f>
        <v>7.6564647957416927</v>
      </c>
      <c r="X60" s="79">
        <f>IF(X17=0,0,X17/TrRoad_act!X30*100)</f>
        <v>7.4515653041520258</v>
      </c>
      <c r="Y60" s="79">
        <f>IF(Y17=0,0,Y17/TrRoad_act!Y30*100)</f>
        <v>7.1156543235458471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10.965997499297909</v>
      </c>
      <c r="C61" s="32">
        <f>IF(C18=0,0,C18/TrRoad_act!C31*100)</f>
        <v>10.652040082310949</v>
      </c>
      <c r="D61" s="32">
        <f>IF(D18=0,0,D18/TrRoad_act!D31*100)</f>
        <v>10.456172252658023</v>
      </c>
      <c r="E61" s="32">
        <f>IF(E18=0,0,E18/TrRoad_act!E31*100)</f>
        <v>10.354360170950255</v>
      </c>
      <c r="F61" s="32">
        <f>IF(F18=0,0,F18/TrRoad_act!F31*100)</f>
        <v>10.244640681726839</v>
      </c>
      <c r="G61" s="32">
        <f>IF(G18=0,0,G18/TrRoad_act!G31*100)</f>
        <v>9.9948084702113498</v>
      </c>
      <c r="H61" s="32">
        <f>IF(H18=0,0,H18/TrRoad_act!H31*100)</f>
        <v>9.9031592777775046</v>
      </c>
      <c r="I61" s="32">
        <f>IF(I18=0,0,I18/TrRoad_act!I31*100)</f>
        <v>9.6381056249472916</v>
      </c>
      <c r="J61" s="32">
        <f>IF(J18=0,0,J18/TrRoad_act!J31*100)</f>
        <v>9.5054758345268642</v>
      </c>
      <c r="K61" s="32">
        <f>IF(K18=0,0,K18/TrRoad_act!K31*100)</f>
        <v>9.2777281678589958</v>
      </c>
      <c r="L61" s="32">
        <f>IF(L18=0,0,L18/TrRoad_act!L31*100)</f>
        <v>9.053044500236485</v>
      </c>
      <c r="M61" s="32">
        <f>IF(M18=0,0,M18/TrRoad_act!M31*100)</f>
        <v>8.7674019973222919</v>
      </c>
      <c r="N61" s="32">
        <f>IF(N18=0,0,N18/TrRoad_act!N31*100)</f>
        <v>8.4580430465562664</v>
      </c>
      <c r="O61" s="32">
        <f>IF(O18=0,0,O18/TrRoad_act!O31*100)</f>
        <v>8.0339912503531625</v>
      </c>
      <c r="P61" s="32">
        <f>IF(P18=0,0,P18/TrRoad_act!P31*100)</f>
        <v>7.6836561115374531</v>
      </c>
      <c r="Q61" s="32">
        <f>IF(Q18=0,0,Q18/TrRoad_act!Q31*100)</f>
        <v>7.4218431236145532</v>
      </c>
      <c r="R61" s="32">
        <f>IF(R18=0,0,R18/TrRoad_act!R31*100)</f>
        <v>7.1146074133313268</v>
      </c>
      <c r="S61" s="32">
        <f>IF(S18=0,0,S18/TrRoad_act!S31*100)</f>
        <v>6.9408651123971294</v>
      </c>
      <c r="T61" s="32">
        <f>IF(T18=0,0,T18/TrRoad_act!T31*100)</f>
        <v>6.7216343954066478</v>
      </c>
      <c r="U61" s="32">
        <f>IF(U18=0,0,U18/TrRoad_act!U31*100)</f>
        <v>6.6761053392369414</v>
      </c>
      <c r="V61" s="32">
        <f>IF(V18=0,0,V18/TrRoad_act!V31*100)</f>
        <v>6.5442693214911891</v>
      </c>
      <c r="W61" s="32">
        <f>IF(W18=0,0,W18/TrRoad_act!W31*100)</f>
        <v>6.4491103612157996</v>
      </c>
      <c r="X61" s="32">
        <f>IF(X18=0,0,X18/TrRoad_act!X31*100)</f>
        <v>6.2904388692115054</v>
      </c>
      <c r="Y61" s="32">
        <f>IF(Y18=0,0,Y18/TrRoad_act!Y31*100)</f>
        <v>6.0404834917516403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5.2189495956306686</v>
      </c>
      <c r="C62" s="141">
        <f>IF(C19=0,0,C19/TrRoad_act!C32*100)</f>
        <v>5.128672400961281</v>
      </c>
      <c r="D62" s="141">
        <f>IF(D19=0,0,D19/TrRoad_act!D32*100)</f>
        <v>5.0328265548109634</v>
      </c>
      <c r="E62" s="141">
        <f>IF(E19=0,0,E19/TrRoad_act!E32*100)</f>
        <v>4.9718590401703606</v>
      </c>
      <c r="F62" s="141">
        <f>IF(F19=0,0,F19/TrRoad_act!F32*100)</f>
        <v>4.9140789683353354</v>
      </c>
      <c r="G62" s="141">
        <f>IF(G19=0,0,G19/TrRoad_act!G32*100)</f>
        <v>4.8060348431692876</v>
      </c>
      <c r="H62" s="141">
        <f>IF(H19=0,0,H19/TrRoad_act!H32*100)</f>
        <v>4.6713398052383903</v>
      </c>
      <c r="I62" s="141">
        <f>IF(I19=0,0,I19/TrRoad_act!I32*100)</f>
        <v>4.5652707766265461</v>
      </c>
      <c r="J62" s="141">
        <f>IF(J19=0,0,J19/TrRoad_act!J32*100)</f>
        <v>4.5843701507662065</v>
      </c>
      <c r="K62" s="141">
        <f>IF(K19=0,0,K19/TrRoad_act!K32*100)</f>
        <v>4.467477292507013</v>
      </c>
      <c r="L62" s="141">
        <f>IF(L19=0,0,L19/TrRoad_act!L32*100)</f>
        <v>4.3532675102700313</v>
      </c>
      <c r="M62" s="141">
        <f>IF(M19=0,0,M19/TrRoad_act!M32*100)</f>
        <v>4.350046802766756</v>
      </c>
      <c r="N62" s="141">
        <f>IF(N19=0,0,N19/TrRoad_act!N32*100)</f>
        <v>4.2793759634522202</v>
      </c>
      <c r="O62" s="141">
        <f>IF(O19=0,0,O19/TrRoad_act!O32*100)</f>
        <v>4.2872215046850544</v>
      </c>
      <c r="P62" s="141">
        <f>IF(P19=0,0,P19/TrRoad_act!P32*100)</f>
        <v>4.2026462239813904</v>
      </c>
      <c r="Q62" s="141">
        <f>IF(Q19=0,0,Q19/TrRoad_act!Q32*100)</f>
        <v>4.1898934886253176</v>
      </c>
      <c r="R62" s="141">
        <f>IF(R19=0,0,R19/TrRoad_act!R32*100)</f>
        <v>4.1263578249611479</v>
      </c>
      <c r="S62" s="141">
        <f>IF(S19=0,0,S19/TrRoad_act!S32*100)</f>
        <v>4.0609321593686234</v>
      </c>
      <c r="T62" s="141">
        <f>IF(T19=0,0,T19/TrRoad_act!T32*100)</f>
        <v>4.0116744366877715</v>
      </c>
      <c r="U62" s="141">
        <f>IF(U19=0,0,U19/TrRoad_act!U32*100)</f>
        <v>3.9556959121719664</v>
      </c>
      <c r="V62" s="141">
        <f>IF(V19=0,0,V19/TrRoad_act!V32*100)</f>
        <v>3.8883580588355344</v>
      </c>
      <c r="W62" s="141">
        <f>IF(W19=0,0,W19/TrRoad_act!W32*100)</f>
        <v>3.8445195843162647</v>
      </c>
      <c r="X62" s="141">
        <f>IF(X19=0,0,X19/TrRoad_act!X32*100)</f>
        <v>3.8235296977466597</v>
      </c>
      <c r="Y62" s="141">
        <f>IF(Y19=0,0,Y19/TrRoad_act!Y32*100)</f>
        <v>3.7806916031005806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9.8936251477773514</v>
      </c>
      <c r="C63" s="130">
        <f>IF(C21=0,0,C21/TrRoad_act!C33*100)</f>
        <v>9.6335782676579385</v>
      </c>
      <c r="D63" s="130">
        <f>IF(D21=0,0,D21/TrRoad_act!D33*100)</f>
        <v>9.5130551236587753</v>
      </c>
      <c r="E63" s="130">
        <f>IF(E21=0,0,E21/TrRoad_act!E33*100)</f>
        <v>9.4132243427625557</v>
      </c>
      <c r="F63" s="130">
        <f>IF(F21=0,0,F21/TrRoad_act!F33*100)</f>
        <v>9.3281912820604216</v>
      </c>
      <c r="G63" s="130">
        <f>IF(G21=0,0,G21/TrRoad_act!G33*100)</f>
        <v>9.1800262837812099</v>
      </c>
      <c r="H63" s="130">
        <f>IF(H21=0,0,H21/TrRoad_act!H33*100)</f>
        <v>9.0538301278234332</v>
      </c>
      <c r="I63" s="130">
        <f>IF(I21=0,0,I21/TrRoad_act!I33*100)</f>
        <v>8.8699497766186983</v>
      </c>
      <c r="J63" s="130">
        <f>IF(J21=0,0,J21/TrRoad_act!J33*100)</f>
        <v>8.7280371903029881</v>
      </c>
      <c r="K63" s="130">
        <f>IF(K21=0,0,K21/TrRoad_act!K33*100)</f>
        <v>8.5594172483686624</v>
      </c>
      <c r="L63" s="130">
        <f>IF(L21=0,0,L21/TrRoad_act!L33*100)</f>
        <v>8.3148048031296895</v>
      </c>
      <c r="M63" s="130">
        <f>IF(M21=0,0,M21/TrRoad_act!M33*100)</f>
        <v>8.0033584189231544</v>
      </c>
      <c r="N63" s="130">
        <f>IF(N21=0,0,N21/TrRoad_act!N33*100)</f>
        <v>7.6894016155191869</v>
      </c>
      <c r="O63" s="130">
        <f>IF(O21=0,0,O21/TrRoad_act!O33*100)</f>
        <v>7.4733029389256345</v>
      </c>
      <c r="P63" s="130">
        <f>IF(P21=0,0,P21/TrRoad_act!P33*100)</f>
        <v>7.1785715832762316</v>
      </c>
      <c r="Q63" s="130">
        <f>IF(Q21=0,0,Q21/TrRoad_act!Q33*100)</f>
        <v>6.9437335994460518</v>
      </c>
      <c r="R63" s="130">
        <f>IF(R21=0,0,R21/TrRoad_act!R33*100)</f>
        <v>6.6595742273166936</v>
      </c>
      <c r="S63" s="130">
        <f>IF(S21=0,0,S21/TrRoad_act!S33*100)</f>
        <v>6.501347139146767</v>
      </c>
      <c r="T63" s="130">
        <f>IF(T21=0,0,T21/TrRoad_act!T33*100)</f>
        <v>6.2790592790299611</v>
      </c>
      <c r="U63" s="130">
        <f>IF(U21=0,0,U21/TrRoad_act!U33*100)</f>
        <v>6.1468624450715543</v>
      </c>
      <c r="V63" s="130">
        <f>IF(V21=0,0,V21/TrRoad_act!V33*100)</f>
        <v>6.0461913287465352</v>
      </c>
      <c r="W63" s="130">
        <f>IF(W21=0,0,W21/TrRoad_act!W33*100)</f>
        <v>5.9890061143142024</v>
      </c>
      <c r="X63" s="130">
        <f>IF(X21=0,0,X21/TrRoad_act!X33*100)</f>
        <v>5.8038872973061837</v>
      </c>
      <c r="Y63" s="130">
        <f>IF(Y21=0,0,Y21/TrRoad_act!Y33*100)</f>
        <v>5.5466816875103353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10.007100958301091</v>
      </c>
      <c r="C64" s="96">
        <f>IF(C22=0,0,C22/TrRoad_act!C34*100)</f>
        <v>9.7433880080016078</v>
      </c>
      <c r="D64" s="96">
        <f>IF(D22=0,0,D22/TrRoad_act!D34*100)</f>
        <v>9.6352221191357064</v>
      </c>
      <c r="E64" s="96">
        <f>IF(E22=0,0,E22/TrRoad_act!E34*100)</f>
        <v>9.52304445499907</v>
      </c>
      <c r="F64" s="96">
        <f>IF(F22=0,0,F22/TrRoad_act!F34*100)</f>
        <v>9.4169106900205275</v>
      </c>
      <c r="G64" s="96">
        <f>IF(G22=0,0,G22/TrRoad_act!G34*100)</f>
        <v>9.3047783040043122</v>
      </c>
      <c r="H64" s="96">
        <f>IF(H22=0,0,H22/TrRoad_act!H34*100)</f>
        <v>9.1978210359370198</v>
      </c>
      <c r="I64" s="96">
        <f>IF(I22=0,0,I22/TrRoad_act!I34*100)</f>
        <v>9.0926253901891396</v>
      </c>
      <c r="J64" s="96">
        <f>IF(J22=0,0,J22/TrRoad_act!J34*100)</f>
        <v>8.9908357299810948</v>
      </c>
      <c r="K64" s="96">
        <f>IF(K22=0,0,K22/TrRoad_act!K34*100)</f>
        <v>8.9145020625698166</v>
      </c>
      <c r="L64" s="96">
        <f>IF(L22=0,0,L22/TrRoad_act!L34*100)</f>
        <v>8.7786484167924286</v>
      </c>
      <c r="M64" s="96">
        <f>IF(M22=0,0,M22/TrRoad_act!M34*100)</f>
        <v>8.6418831000071314</v>
      </c>
      <c r="N64" s="96">
        <f>IF(N22=0,0,N22/TrRoad_act!N34*100)</f>
        <v>8.5108179085326228</v>
      </c>
      <c r="O64" s="96">
        <f>IF(O22=0,0,O22/TrRoad_act!O34*100)</f>
        <v>8.3512751185715022</v>
      </c>
      <c r="P64" s="96">
        <f>IF(P22=0,0,P22/TrRoad_act!P34*100)</f>
        <v>8.1680536568234849</v>
      </c>
      <c r="Q64" s="96">
        <f>IF(Q22=0,0,Q22/TrRoad_act!Q34*100)</f>
        <v>7.950452897646489</v>
      </c>
      <c r="R64" s="96">
        <f>IF(R22=0,0,R22/TrRoad_act!R34*100)</f>
        <v>7.6885067049294449</v>
      </c>
      <c r="S64" s="96">
        <f>IF(S22=0,0,S22/TrRoad_act!S34*100)</f>
        <v>7.4283556846172605</v>
      </c>
      <c r="T64" s="96">
        <f>IF(T22=0,0,T22/TrRoad_act!T34*100)</f>
        <v>7.1717979394323654</v>
      </c>
      <c r="U64" s="96">
        <f>IF(U22=0,0,U22/TrRoad_act!U34*100)</f>
        <v>6.9335432084453972</v>
      </c>
      <c r="V64" s="96">
        <f>IF(V22=0,0,V22/TrRoad_act!V34*100)</f>
        <v>6.7216842593921262</v>
      </c>
      <c r="W64" s="96">
        <f>IF(W22=0,0,W22/TrRoad_act!W34*100)</f>
        <v>6.8470701099800291</v>
      </c>
      <c r="X64" s="96">
        <f>IF(X22=0,0,X22/TrRoad_act!X34*100)</f>
        <v>6.8403133825509626</v>
      </c>
      <c r="Y64" s="96">
        <f>IF(Y22=0,0,Y22/TrRoad_act!Y34*100)</f>
        <v>6.448396832793633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8.9364197322835928</v>
      </c>
      <c r="C65" s="96">
        <f>IF(C24=0,0,C24/TrRoad_act!C35*100)</f>
        <v>8.6552873885678689</v>
      </c>
      <c r="D65" s="96">
        <f>IF(D24=0,0,D24/TrRoad_act!D35*100)</f>
        <v>8.4262829026731048</v>
      </c>
      <c r="E65" s="96">
        <f>IF(E24=0,0,E24/TrRoad_act!E35*100)</f>
        <v>8.4592064072468496</v>
      </c>
      <c r="F65" s="96">
        <f>IF(F24=0,0,F24/TrRoad_act!F35*100)</f>
        <v>8.5839808170008212</v>
      </c>
      <c r="G65" s="96">
        <f>IF(G24=0,0,G24/TrRoad_act!G35*100)</f>
        <v>8.2170875753492432</v>
      </c>
      <c r="H65" s="96">
        <f>IF(H24=0,0,H24/TrRoad_act!H35*100)</f>
        <v>8.1200114189641059</v>
      </c>
      <c r="I65" s="96">
        <f>IF(I24=0,0,I24/TrRoad_act!I35*100)</f>
        <v>7.7830145508473949</v>
      </c>
      <c r="J65" s="96">
        <f>IF(J24=0,0,J24/TrRoad_act!J35*100)</f>
        <v>7.6845800409933069</v>
      </c>
      <c r="K65" s="96">
        <f>IF(K24=0,0,K24/TrRoad_act!K35*100)</f>
        <v>7.3998913047609669</v>
      </c>
      <c r="L65" s="96">
        <f>IF(L24=0,0,L24/TrRoad_act!L35*100)</f>
        <v>7.155633962318964</v>
      </c>
      <c r="M65" s="96">
        <f>IF(M24=0,0,M24/TrRoad_act!M35*100)</f>
        <v>6.8054458675559317</v>
      </c>
      <c r="N65" s="96">
        <f>IF(N24=0,0,N24/TrRoad_act!N35*100)</f>
        <v>6.4699540995053733</v>
      </c>
      <c r="O65" s="96">
        <f>IF(O24=0,0,O24/TrRoad_act!O35*100)</f>
        <v>6.3737085586346662</v>
      </c>
      <c r="P65" s="96">
        <f>IF(P24=0,0,P24/TrRoad_act!P35*100)</f>
        <v>6.12278709734976</v>
      </c>
      <c r="Q65" s="96">
        <f>IF(Q24=0,0,Q24/TrRoad_act!Q35*100)</f>
        <v>6.0209652490651857</v>
      </c>
      <c r="R65" s="96">
        <f>IF(R24=0,0,R24/TrRoad_act!R35*100)</f>
        <v>5.837800811952504</v>
      </c>
      <c r="S65" s="96">
        <f>IF(S24=0,0,S24/TrRoad_act!S35*100)</f>
        <v>5.8418088266216124</v>
      </c>
      <c r="T65" s="96">
        <f>IF(T24=0,0,T24/TrRoad_act!T35*100)</f>
        <v>5.7011093248673133</v>
      </c>
      <c r="U65" s="96">
        <f>IF(U24=0,0,U24/TrRoad_act!U35*100)</f>
        <v>5.6805577809474634</v>
      </c>
      <c r="V65" s="96">
        <f>IF(V24=0,0,V24/TrRoad_act!V35*100)</f>
        <v>5.7519513233836674</v>
      </c>
      <c r="W65" s="96">
        <f>IF(W24=0,0,W24/TrRoad_act!W35*100)</f>
        <v>5.7118642566621585</v>
      </c>
      <c r="X65" s="96">
        <f>IF(X24=0,0,X24/TrRoad_act!X35*100)</f>
        <v>5.6203156598604629</v>
      </c>
      <c r="Y65" s="96">
        <f>IF(Y24=0,0,Y24/TrRoad_act!Y35*100)</f>
        <v>5.5509085433071377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12.821313634832576</v>
      </c>
      <c r="H66" s="96">
        <f>IF(H26=0,0,H26/TrRoad_act!H36*100)</f>
        <v>10.334577153222885</v>
      </c>
      <c r="I66" s="96">
        <f>IF(I26=0,0,I26/TrRoad_act!I36*100)</f>
        <v>22.394469303705065</v>
      </c>
      <c r="J66" s="96">
        <f>IF(J26=0,0,J26/TrRoad_act!J36*100)</f>
        <v>13.844848478944908</v>
      </c>
      <c r="K66" s="96">
        <f>IF(K26=0,0,K26/TrRoad_act!K36*100)</f>
        <v>12.999690656221038</v>
      </c>
      <c r="L66" s="96">
        <f>IF(L26=0,0,L26/TrRoad_act!L36*100)</f>
        <v>16.023835904103461</v>
      </c>
      <c r="M66" s="96">
        <f>IF(M26=0,0,M26/TrRoad_act!M36*100)</f>
        <v>10.854728990718886</v>
      </c>
      <c r="N66" s="96">
        <f>IF(N26=0,0,N26/TrRoad_act!N36*100)</f>
        <v>6.9544207823631812</v>
      </c>
      <c r="O66" s="96">
        <f>IF(O26=0,0,O26/TrRoad_act!O36*100)</f>
        <v>3.6528992855183184</v>
      </c>
      <c r="P66" s="96">
        <f>IF(P26=0,0,P26/TrRoad_act!P36*100)</f>
        <v>4.2608185743684999</v>
      </c>
      <c r="Q66" s="96">
        <f>IF(Q26=0,0,Q26/TrRoad_act!Q36*100)</f>
        <v>23.444437213137618</v>
      </c>
      <c r="R66" s="96">
        <f>IF(R26=0,0,R26/TrRoad_act!R36*100)</f>
        <v>8.6827117763297235</v>
      </c>
      <c r="S66" s="96">
        <f>IF(S26=0,0,S26/TrRoad_act!S36*100)</f>
        <v>0</v>
      </c>
      <c r="T66" s="96">
        <f>IF(T26=0,0,T26/TrRoad_act!T36*100)</f>
        <v>0</v>
      </c>
      <c r="U66" s="96">
        <f>IF(U26=0,0,U26/TrRoad_act!U36*100)</f>
        <v>0</v>
      </c>
      <c r="V66" s="96">
        <f>IF(V26=0,0,V26/TrRoad_act!V36*100)</f>
        <v>0</v>
      </c>
      <c r="W66" s="96">
        <f>IF(W26=0,0,W26/TrRoad_act!W36*100)</f>
        <v>0</v>
      </c>
      <c r="X66" s="96">
        <f>IF(X26=0,0,X26/TrRoad_act!X36*100)</f>
        <v>0</v>
      </c>
      <c r="Y66" s="96">
        <f>IF(Y26=0,0,Y26/TrRoad_act!Y36*100)</f>
        <v>0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9.2599115162081596</v>
      </c>
      <c r="E67" s="96">
        <f>IF(E27=0,0,E27/TrRoad_act!E37*100)</f>
        <v>9.2109749695305059</v>
      </c>
      <c r="F67" s="96">
        <f>IF(F27=0,0,F27/TrRoad_act!F37*100)</f>
        <v>9.2016663941583481</v>
      </c>
      <c r="G67" s="96">
        <f>IF(G27=0,0,G27/TrRoad_act!G37*100)</f>
        <v>9.1314350916894949</v>
      </c>
      <c r="H67" s="96">
        <f>IF(H27=0,0,H27/TrRoad_act!H37*100)</f>
        <v>9.096057352126353</v>
      </c>
      <c r="I67" s="96">
        <f>IF(I27=0,0,I27/TrRoad_act!I37*100)</f>
        <v>9.0356154661356332</v>
      </c>
      <c r="J67" s="96">
        <f>IF(J27=0,0,J27/TrRoad_act!J37*100)</f>
        <v>8.8989478526158514</v>
      </c>
      <c r="K67" s="96">
        <f>IF(K27=0,0,K27/TrRoad_act!K37*100)</f>
        <v>8.7250735184407606</v>
      </c>
      <c r="L67" s="96">
        <f>IF(L27=0,0,L27/TrRoad_act!L37*100)</f>
        <v>7.957959261052638</v>
      </c>
      <c r="M67" s="96">
        <f>IF(M27=0,0,M27/TrRoad_act!M37*100)</f>
        <v>7.6945844709276834</v>
      </c>
      <c r="N67" s="96">
        <f>IF(N27=0,0,N27/TrRoad_act!N37*100)</f>
        <v>7.9367147069446347</v>
      </c>
      <c r="O67" s="96">
        <f>IF(O27=0,0,O27/TrRoad_act!O37*100)</f>
        <v>7.7832235506858654</v>
      </c>
      <c r="P67" s="96">
        <f>IF(P27=0,0,P27/TrRoad_act!P37*100)</f>
        <v>7.5398347341753773</v>
      </c>
      <c r="Q67" s="96">
        <f>IF(Q27=0,0,Q27/TrRoad_act!Q37*100)</f>
        <v>7.2604592226305025</v>
      </c>
      <c r="R67" s="96">
        <f>IF(R27=0,0,R27/TrRoad_act!R37*100)</f>
        <v>6.9651990908122992</v>
      </c>
      <c r="S67" s="96">
        <f>IF(S27=0,0,S27/TrRoad_act!S37*100)</f>
        <v>6.7633786223512766</v>
      </c>
      <c r="T67" s="96">
        <f>IF(T27=0,0,T27/TrRoad_act!T37*100)</f>
        <v>6.6286374335724831</v>
      </c>
      <c r="U67" s="96">
        <f>IF(U27=0,0,U27/TrRoad_act!U37*100)</f>
        <v>6.41355086179039</v>
      </c>
      <c r="V67" s="96">
        <f>IF(V27=0,0,V27/TrRoad_act!V37*100)</f>
        <v>6.2985521701077438</v>
      </c>
      <c r="W67" s="96">
        <f>IF(W27=0,0,W27/TrRoad_act!W37*100)</f>
        <v>6.2093385363983362</v>
      </c>
      <c r="X67" s="96">
        <f>IF(X27=0,0,X27/TrRoad_act!X37*100)</f>
        <v>6.138565749223317</v>
      </c>
      <c r="Y67" s="96">
        <f>IF(Y27=0,0,Y27/TrRoad_act!Y37*100)</f>
        <v>5.7492044272127458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4.1677507913468217</v>
      </c>
      <c r="K68" s="96">
        <f>IF(K29=0,0,K29/TrRoad_act!K38*100)</f>
        <v>4.09352945615408</v>
      </c>
      <c r="L68" s="96">
        <f>IF(L29=0,0,L29/TrRoad_act!L38*100)</f>
        <v>4.0042949149764713</v>
      </c>
      <c r="M68" s="96">
        <f>IF(M29=0,0,M29/TrRoad_act!M38*100)</f>
        <v>3.6473063258615359</v>
      </c>
      <c r="N68" s="96">
        <f>IF(N29=0,0,N29/TrRoad_act!N38*100)</f>
        <v>3.428432311952176</v>
      </c>
      <c r="O68" s="96">
        <f>IF(O29=0,0,O29/TrRoad_act!O38*100)</f>
        <v>3.4377204120018066</v>
      </c>
      <c r="P68" s="96">
        <f>IF(P29=0,0,P29/TrRoad_act!P38*100)</f>
        <v>3.4201560064081864</v>
      </c>
      <c r="Q68" s="96">
        <f>IF(Q29=0,0,Q29/TrRoad_act!Q38*100)</f>
        <v>3.3867889672205354</v>
      </c>
      <c r="R68" s="96">
        <f>IF(R29=0,0,R29/TrRoad_act!R38*100)</f>
        <v>3.3849883286889018</v>
      </c>
      <c r="S68" s="96">
        <f>IF(S29=0,0,S29/TrRoad_act!S38*100)</f>
        <v>3.3800969681277317</v>
      </c>
      <c r="T68" s="96">
        <f>IF(T29=0,0,T29/TrRoad_act!T38*100)</f>
        <v>3.4074995879784651</v>
      </c>
      <c r="U68" s="96">
        <f>IF(U29=0,0,U29/TrRoad_act!U38*100)</f>
        <v>3.3064670429865406</v>
      </c>
      <c r="V68" s="96">
        <f>IF(V29=0,0,V29/TrRoad_act!V38*100)</f>
        <v>3.1842897087419617</v>
      </c>
      <c r="W68" s="96">
        <f>IF(W29=0,0,W29/TrRoad_act!W38*100)</f>
        <v>3.1513288174090395</v>
      </c>
      <c r="X68" s="96">
        <f>IF(X29=0,0,X29/TrRoad_act!X38*100)</f>
        <v>3.1068225027803638</v>
      </c>
      <c r="Y68" s="96">
        <f>IF(Y29=0,0,Y29/TrRoad_act!Y38*100)</f>
        <v>2.9381442071892301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1.6802875115530567</v>
      </c>
      <c r="K69" s="96">
        <f>IF(K32=0,0,K32/TrRoad_act!K39*100)</f>
        <v>1.6807882507642005</v>
      </c>
      <c r="L69" s="96">
        <f>IF(L32=0,0,L32/TrRoad_act!L39*100)</f>
        <v>1.6764210054431925</v>
      </c>
      <c r="M69" s="96">
        <f>IF(M32=0,0,M32/TrRoad_act!M39*100)</f>
        <v>1.6750838163341935</v>
      </c>
      <c r="N69" s="96">
        <f>IF(N32=0,0,N32/TrRoad_act!N39*100)</f>
        <v>1.5571112002125935</v>
      </c>
      <c r="O69" s="96">
        <f>IF(O32=0,0,O32/TrRoad_act!O39*100)</f>
        <v>1.5189346386053784</v>
      </c>
      <c r="P69" s="96">
        <f>IF(P32=0,0,P32/TrRoad_act!P39*100)</f>
        <v>1.4228838128980343</v>
      </c>
      <c r="Q69" s="96">
        <f>IF(Q32=0,0,Q32/TrRoad_act!Q39*100)</f>
        <v>1.5123521073101778</v>
      </c>
      <c r="R69" s="96">
        <f>IF(R32=0,0,R32/TrRoad_act!R39*100)</f>
        <v>1.5202137939771934</v>
      </c>
      <c r="S69" s="96">
        <f>IF(S32=0,0,S32/TrRoad_act!S39*100)</f>
        <v>1.5034652561105633</v>
      </c>
      <c r="T69" s="96">
        <f>IF(T32=0,0,T32/TrRoad_act!T39*100)</f>
        <v>1.554694030928732</v>
      </c>
      <c r="U69" s="96">
        <f>IF(U32=0,0,U32/TrRoad_act!U39*100)</f>
        <v>1.597435312293094</v>
      </c>
      <c r="V69" s="96">
        <f>IF(V32=0,0,V32/TrRoad_act!V39*100)</f>
        <v>1.6234093345064389</v>
      </c>
      <c r="W69" s="96">
        <f>IF(W32=0,0,W32/TrRoad_act!W39*100)</f>
        <v>1.6436508779358312</v>
      </c>
      <c r="X69" s="96">
        <f>IF(X32=0,0,X32/TrRoad_act!X39*100)</f>
        <v>1.6547803378788923</v>
      </c>
      <c r="Y69" s="96">
        <f>IF(Y32=0,0,Y32/TrRoad_act!Y39*100)</f>
        <v>1.6568090841653054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64.546651082174336</v>
      </c>
      <c r="C70" s="130">
        <f>IF(C33=0,0,C33/TrRoad_act!C40*100)</f>
        <v>63.743719314537131</v>
      </c>
      <c r="D70" s="130">
        <f>IF(D33=0,0,D33/TrRoad_act!D40*100)</f>
        <v>62.10442851661827</v>
      </c>
      <c r="E70" s="130">
        <f>IF(E33=0,0,E33/TrRoad_act!E40*100)</f>
        <v>63.782696026352049</v>
      </c>
      <c r="F70" s="130">
        <f>IF(F33=0,0,F33/TrRoad_act!F40*100)</f>
        <v>64.784584921061537</v>
      </c>
      <c r="G70" s="130">
        <f>IF(G33=0,0,G33/TrRoad_act!G40*100)</f>
        <v>58.387811458888429</v>
      </c>
      <c r="H70" s="130">
        <f>IF(H33=0,0,H33/TrRoad_act!H40*100)</f>
        <v>61.375889850315716</v>
      </c>
      <c r="I70" s="130">
        <f>IF(I33=0,0,I33/TrRoad_act!I40*100)</f>
        <v>59.452898583940907</v>
      </c>
      <c r="J70" s="130">
        <f>IF(J33=0,0,J33/TrRoad_act!J40*100)</f>
        <v>59.915546423326646</v>
      </c>
      <c r="K70" s="130">
        <f>IF(K33=0,0,K33/TrRoad_act!K40*100)</f>
        <v>57.341105389817884</v>
      </c>
      <c r="L70" s="130">
        <f>IF(L33=0,0,L33/TrRoad_act!L40*100)</f>
        <v>56.623798279380942</v>
      </c>
      <c r="M70" s="130">
        <f>IF(M33=0,0,M33/TrRoad_act!M40*100)</f>
        <v>57.862335988159451</v>
      </c>
      <c r="N70" s="130">
        <f>IF(N33=0,0,N33/TrRoad_act!N40*100)</f>
        <v>56.252721705761843</v>
      </c>
      <c r="O70" s="130">
        <f>IF(O33=0,0,O33/TrRoad_act!O40*100)</f>
        <v>44.387841272770025</v>
      </c>
      <c r="P70" s="130">
        <f>IF(P33=0,0,P33/TrRoad_act!P40*100)</f>
        <v>42.265714601534242</v>
      </c>
      <c r="Q70" s="130">
        <f>IF(Q33=0,0,Q33/TrRoad_act!Q40*100)</f>
        <v>41.575929052203477</v>
      </c>
      <c r="R70" s="130">
        <f>IF(R33=0,0,R33/TrRoad_act!R40*100)</f>
        <v>40.829041607829396</v>
      </c>
      <c r="S70" s="130">
        <f>IF(S33=0,0,S33/TrRoad_act!S40*100)</f>
        <v>39.967547974869646</v>
      </c>
      <c r="T70" s="130">
        <f>IF(T33=0,0,T33/TrRoad_act!T40*100)</f>
        <v>40.148898324978312</v>
      </c>
      <c r="U70" s="130">
        <f>IF(U33=0,0,U33/TrRoad_act!U40*100)</f>
        <v>46.640373617385741</v>
      </c>
      <c r="V70" s="130">
        <f>IF(V33=0,0,V33/TrRoad_act!V40*100)</f>
        <v>45.292797776041922</v>
      </c>
      <c r="W70" s="130">
        <f>IF(W33=0,0,W33/TrRoad_act!W40*100)</f>
        <v>44.605178962334094</v>
      </c>
      <c r="X70" s="130">
        <f>IF(X33=0,0,X33/TrRoad_act!X40*100)</f>
        <v>43.530658762835394</v>
      </c>
      <c r="Y70" s="130">
        <f>IF(Y33=0,0,Y33/TrRoad_act!Y40*100)</f>
        <v>44.473211238340994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21.40168179527981</v>
      </c>
      <c r="C71" s="97">
        <f>IF(C34=0,0,C34/TrRoad_act!C41*100)</f>
        <v>21.322358521543034</v>
      </c>
      <c r="D71" s="97">
        <f>IF(D34=0,0,D34/TrRoad_act!D41*100)</f>
        <v>21.292165134254088</v>
      </c>
      <c r="E71" s="97">
        <f>IF(E34=0,0,E34/TrRoad_act!E41*100)</f>
        <v>21.232952111829245</v>
      </c>
      <c r="F71" s="97">
        <f>IF(F34=0,0,F34/TrRoad_act!F41*100)</f>
        <v>21.178481946822828</v>
      </c>
      <c r="G71" s="97">
        <f>IF(G34=0,0,G34/TrRoad_act!G41*100)</f>
        <v>21.101425389844835</v>
      </c>
      <c r="H71" s="97">
        <f>IF(H34=0,0,H34/TrRoad_act!H41*100)</f>
        <v>20.86577452960411</v>
      </c>
      <c r="I71" s="97">
        <f>IF(I34=0,0,I34/TrRoad_act!I41*100)</f>
        <v>20.74015967610227</v>
      </c>
      <c r="J71" s="97">
        <f>IF(J34=0,0,J34/TrRoad_act!J41*100)</f>
        <v>20.477234838622</v>
      </c>
      <c r="K71" s="97">
        <f>IF(K34=0,0,K34/TrRoad_act!K41*100)</f>
        <v>19.987412937198414</v>
      </c>
      <c r="L71" s="97">
        <f>IF(L34=0,0,L34/TrRoad_act!L41*100)</f>
        <v>18.519211724555142</v>
      </c>
      <c r="M71" s="97">
        <f>IF(M34=0,0,M34/TrRoad_act!M41*100)</f>
        <v>17.100600687830809</v>
      </c>
      <c r="N71" s="97">
        <f>IF(N34=0,0,N34/TrRoad_act!N41*100)</f>
        <v>16.788147424262519</v>
      </c>
      <c r="O71" s="97">
        <f>IF(O34=0,0,O34/TrRoad_act!O41*100)</f>
        <v>16.420406439468387</v>
      </c>
      <c r="P71" s="97">
        <f>IF(P34=0,0,P34/TrRoad_act!P41*100)</f>
        <v>16.128920408498285</v>
      </c>
      <c r="Q71" s="97">
        <f>IF(Q34=0,0,Q34/TrRoad_act!Q41*100)</f>
        <v>16.074436677016347</v>
      </c>
      <c r="R71" s="97">
        <f>IF(R34=0,0,R34/TrRoad_act!R41*100)</f>
        <v>15.598324537197611</v>
      </c>
      <c r="S71" s="97">
        <f>IF(S34=0,0,S34/TrRoad_act!S41*100)</f>
        <v>15.438071793656086</v>
      </c>
      <c r="T71" s="97">
        <f>IF(T34=0,0,T34/TrRoad_act!T41*100)</f>
        <v>15.286086981852257</v>
      </c>
      <c r="U71" s="97">
        <f>IF(U34=0,0,U34/TrRoad_act!U41*100)</f>
        <v>15.064438492717693</v>
      </c>
      <c r="V71" s="97">
        <f>IF(V34=0,0,V34/TrRoad_act!V41*100)</f>
        <v>14.99705991121521</v>
      </c>
      <c r="W71" s="97">
        <f>IF(W34=0,0,W34/TrRoad_act!W41*100)</f>
        <v>14.98165973805478</v>
      </c>
      <c r="X71" s="97">
        <f>IF(X34=0,0,X34/TrRoad_act!X41*100)</f>
        <v>14.874654885482855</v>
      </c>
      <c r="Y71" s="97">
        <f>IF(Y34=0,0,Y34/TrRoad_act!Y41*100)</f>
        <v>14.828242057162342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66.547186108012795</v>
      </c>
      <c r="C72" s="97">
        <f>IF(C36=0,0,C36/TrRoad_act!C42*100)</f>
        <v>65.6925625372007</v>
      </c>
      <c r="D72" s="97">
        <f>IF(D36=0,0,D36/TrRoad_act!D42*100)</f>
        <v>63.820835274188262</v>
      </c>
      <c r="E72" s="97">
        <f>IF(E36=0,0,E36/TrRoad_act!E42*100)</f>
        <v>65.039809525349384</v>
      </c>
      <c r="F72" s="97">
        <f>IF(F36=0,0,F36/TrRoad_act!F42*100)</f>
        <v>66.556203417886806</v>
      </c>
      <c r="G72" s="97">
        <f>IF(G36=0,0,G36/TrRoad_act!G42*100)</f>
        <v>62.795547371969349</v>
      </c>
      <c r="H72" s="97">
        <f>IF(H36=0,0,H36/TrRoad_act!H42*100)</f>
        <v>62.940412490823583</v>
      </c>
      <c r="I72" s="97">
        <f>IF(I36=0,0,I36/TrRoad_act!I42*100)</f>
        <v>61.546983773963781</v>
      </c>
      <c r="J72" s="97">
        <f>IF(J36=0,0,J36/TrRoad_act!J42*100)</f>
        <v>61.096631820378512</v>
      </c>
      <c r="K72" s="97">
        <f>IF(K36=0,0,K36/TrRoad_act!K42*100)</f>
        <v>60.0686856147546</v>
      </c>
      <c r="L72" s="97">
        <f>IF(L36=0,0,L36/TrRoad_act!L42*100)</f>
        <v>60.342968561387003</v>
      </c>
      <c r="M72" s="97">
        <f>IF(M36=0,0,M36/TrRoad_act!M42*100)</f>
        <v>58.91601361522779</v>
      </c>
      <c r="N72" s="97">
        <f>IF(N36=0,0,N36/TrRoad_act!N42*100)</f>
        <v>56.695448224724899</v>
      </c>
      <c r="O72" s="97">
        <f>IF(O36=0,0,O36/TrRoad_act!O42*100)</f>
        <v>56.743984957386736</v>
      </c>
      <c r="P72" s="97">
        <f>IF(P36=0,0,P36/TrRoad_act!P42*100)</f>
        <v>53.727704085135727</v>
      </c>
      <c r="Q72" s="97">
        <f>IF(Q36=0,0,Q36/TrRoad_act!Q42*100)</f>
        <v>53.382207582280813</v>
      </c>
      <c r="R72" s="97">
        <f>IF(R36=0,0,R36/TrRoad_act!R42*100)</f>
        <v>51.853421849650928</v>
      </c>
      <c r="S72" s="97">
        <f>IF(S36=0,0,S36/TrRoad_act!S42*100)</f>
        <v>52.531665294438397</v>
      </c>
      <c r="T72" s="97">
        <f>IF(T36=0,0,T36/TrRoad_act!T42*100)</f>
        <v>50.892302100788413</v>
      </c>
      <c r="U72" s="97">
        <f>IF(U36=0,0,U36/TrRoad_act!U42*100)</f>
        <v>50.05421338999583</v>
      </c>
      <c r="V72" s="97">
        <f>IF(V36=0,0,V36/TrRoad_act!V42*100)</f>
        <v>50.612526125385273</v>
      </c>
      <c r="W72" s="97">
        <f>IF(W36=0,0,W36/TrRoad_act!W42*100)</f>
        <v>50.124095412606891</v>
      </c>
      <c r="X72" s="97">
        <f>IF(X36=0,0,X36/TrRoad_act!X42*100)</f>
        <v>48.340203849606411</v>
      </c>
      <c r="Y72" s="97">
        <f>IF(Y36=0,0,Y36/TrRoad_act!Y42*100)</f>
        <v>47.25631521559864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0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43.959912709160449</v>
      </c>
      <c r="C74" s="97">
        <f>IF(C39=0,0,C39/TrRoad_act!C44*100)</f>
        <v>39.423984239857205</v>
      </c>
      <c r="D74" s="97">
        <f>IF(D39=0,0,D39/TrRoad_act!D44*100)</f>
        <v>38.039764096018047</v>
      </c>
      <c r="E74" s="97">
        <f>IF(E39=0,0,E39/TrRoad_act!E44*100)</f>
        <v>50.243554305090385</v>
      </c>
      <c r="F74" s="97">
        <f>IF(F39=0,0,F39/TrRoad_act!F44*100)</f>
        <v>34.47718887305971</v>
      </c>
      <c r="G74" s="97">
        <f>IF(G39=0,0,G39/TrRoad_act!G44*100)</f>
        <v>12.472137682656124</v>
      </c>
      <c r="H74" s="97">
        <f>IF(H39=0,0,H39/TrRoad_act!H44*100)</f>
        <v>37.67308129887293</v>
      </c>
      <c r="I74" s="97">
        <f>IF(I39=0,0,I39/TrRoad_act!I44*100)</f>
        <v>30.48018047960197</v>
      </c>
      <c r="J74" s="97">
        <f>IF(J39=0,0,J39/TrRoad_act!J44*100)</f>
        <v>49.293824198301991</v>
      </c>
      <c r="K74" s="97">
        <f>IF(K39=0,0,K39/TrRoad_act!K44*100)</f>
        <v>35.717271415568632</v>
      </c>
      <c r="L74" s="97">
        <f>IF(L39=0,0,L39/TrRoad_act!L44*100)</f>
        <v>30.401487661967529</v>
      </c>
      <c r="M74" s="97">
        <f>IF(M39=0,0,M39/TrRoad_act!M44*100)</f>
        <v>53.281865643599758</v>
      </c>
      <c r="N74" s="97">
        <f>IF(N39=0,0,N39/TrRoad_act!N44*100)</f>
        <v>54.789330302197726</v>
      </c>
      <c r="O74" s="97">
        <f>IF(O39=0,0,O39/TrRoad_act!O44*100)</f>
        <v>24.665550314670675</v>
      </c>
      <c r="P74" s="97">
        <f>IF(P39=0,0,P39/TrRoad_act!P44*100)</f>
        <v>24.759360833863887</v>
      </c>
      <c r="Q74" s="97">
        <f>IF(Q39=0,0,Q39/TrRoad_act!Q44*100)</f>
        <v>22.991196463055147</v>
      </c>
      <c r="R74" s="97">
        <f>IF(R39=0,0,R39/TrRoad_act!R44*100)</f>
        <v>22.63735601439879</v>
      </c>
      <c r="S74" s="97">
        <f>IF(S39=0,0,S39/TrRoad_act!S44*100)</f>
        <v>19.506935201528115</v>
      </c>
      <c r="T74" s="97">
        <f>IF(T39=0,0,T39/TrRoad_act!T44*100)</f>
        <v>21.64867602442904</v>
      </c>
      <c r="U74" s="97">
        <f>IF(U39=0,0,U39/TrRoad_act!U44*100)</f>
        <v>32.461053850891211</v>
      </c>
      <c r="V74" s="97">
        <f>IF(V39=0,0,V39/TrRoad_act!V44*100)</f>
        <v>27.100532392803327</v>
      </c>
      <c r="W74" s="97">
        <f>IF(W39=0,0,W39/TrRoad_act!W44*100)</f>
        <v>25.084425121833704</v>
      </c>
      <c r="X74" s="97">
        <f>IF(X39=0,0,X39/TrRoad_act!X44*100)</f>
        <v>25.229395769969003</v>
      </c>
      <c r="Y74" s="97">
        <f>IF(Y39=0,0,Y39/TrRoad_act!Y44*100)</f>
        <v>36.552713269020536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38.618099799521374</v>
      </c>
      <c r="C75" s="97">
        <f>IF(C41=0,0,C41/TrRoad_act!C45*100)</f>
        <v>37.332903933285863</v>
      </c>
      <c r="D75" s="97">
        <f>IF(D41=0,0,D41/TrRoad_act!D45*100)</f>
        <v>37.146771922078564</v>
      </c>
      <c r="E75" s="97">
        <f>IF(E41=0,0,E41/TrRoad_act!E45*100)</f>
        <v>36.570836696090169</v>
      </c>
      <c r="F75" s="97">
        <f>IF(F41=0,0,F41/TrRoad_act!F45*100)</f>
        <v>36.570836696090161</v>
      </c>
      <c r="G75" s="97">
        <f>IF(G41=0,0,G41/TrRoad_act!G45*100)</f>
        <v>36.200334166672008</v>
      </c>
      <c r="H75" s="97">
        <f>IF(H41=0,0,H41/TrRoad_act!H45*100)</f>
        <v>36.028433915009749</v>
      </c>
      <c r="I75" s="97">
        <f>IF(I41=0,0,I41/TrRoad_act!I45*100)</f>
        <v>35.897775631530244</v>
      </c>
      <c r="J75" s="97">
        <f>IF(J41=0,0,J41/TrRoad_act!J45*100)</f>
        <v>36.079480032287755</v>
      </c>
      <c r="K75" s="97">
        <f>IF(K41=0,0,K41/TrRoad_act!K45*100)</f>
        <v>36.079480032287762</v>
      </c>
      <c r="L75" s="97">
        <f>IF(L41=0,0,L41/TrRoad_act!L45*100)</f>
        <v>36.369665022649947</v>
      </c>
      <c r="M75" s="97">
        <f>IF(M41=0,0,M41/TrRoad_act!M45*100)</f>
        <v>36.369665022649947</v>
      </c>
      <c r="N75" s="97">
        <f>IF(N41=0,0,N41/TrRoad_act!N45*100)</f>
        <v>34.508122505708272</v>
      </c>
      <c r="O75" s="97">
        <f>IF(O41=0,0,O41/TrRoad_act!O45*100)</f>
        <v>34.16044117828082</v>
      </c>
      <c r="P75" s="97">
        <f>IF(P41=0,0,P41/TrRoad_act!P45*100)</f>
        <v>33.769025510351653</v>
      </c>
      <c r="Q75" s="97">
        <f>IF(Q41=0,0,Q41/TrRoad_act!Q45*100)</f>
        <v>33.709944172826603</v>
      </c>
      <c r="R75" s="97">
        <f>IF(R41=0,0,R41/TrRoad_act!R45*100)</f>
        <v>33.70956693424894</v>
      </c>
      <c r="S75" s="97">
        <f>IF(S41=0,0,S41/TrRoad_act!S45*100)</f>
        <v>33.6548029338364</v>
      </c>
      <c r="T75" s="97">
        <f>IF(T41=0,0,T41/TrRoad_act!T45*100)</f>
        <v>33.358812505618381</v>
      </c>
      <c r="U75" s="97">
        <f>IF(U41=0,0,U41/TrRoad_act!U45*100)</f>
        <v>32.798930476514968</v>
      </c>
      <c r="V75" s="97">
        <f>IF(V41=0,0,V41/TrRoad_act!V45*100)</f>
        <v>32.335067736464431</v>
      </c>
      <c r="W75" s="97">
        <f>IF(W41=0,0,W41/TrRoad_act!W45*100)</f>
        <v>31.915475170450236</v>
      </c>
      <c r="X75" s="97">
        <f>IF(X41=0,0,X41/TrRoad_act!X45*100)</f>
        <v>31.348949200187469</v>
      </c>
      <c r="Y75" s="97">
        <f>IF(Y41=0,0,Y41/TrRoad_act!Y45*100)</f>
        <v>30.727340560152626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26.604920323400361</v>
      </c>
      <c r="C76" s="32">
        <f>IF(C42=0,0,C42/TrRoad_act!C46*100)</f>
        <v>24.982207737705448</v>
      </c>
      <c r="D76" s="32">
        <f>IF(D42=0,0,D42/TrRoad_act!D46*100)</f>
        <v>23.711939782810674</v>
      </c>
      <c r="E76" s="32">
        <f>IF(E42=0,0,E42/TrRoad_act!E46*100)</f>
        <v>23.758253176561396</v>
      </c>
      <c r="F76" s="32">
        <f>IF(F42=0,0,F42/TrRoad_act!F46*100)</f>
        <v>24.223207236880331</v>
      </c>
      <c r="G76" s="32">
        <f>IF(G42=0,0,G42/TrRoad_act!G46*100)</f>
        <v>23.540907520947155</v>
      </c>
      <c r="H76" s="32">
        <f>IF(H42=0,0,H42/TrRoad_act!H46*100)</f>
        <v>23.253995667588637</v>
      </c>
      <c r="I76" s="32">
        <f>IF(I42=0,0,I42/TrRoad_act!I46*100)</f>
        <v>22.749887080984752</v>
      </c>
      <c r="J76" s="32">
        <f>IF(J42=0,0,J42/TrRoad_act!J46*100)</f>
        <v>22.435800016244944</v>
      </c>
      <c r="K76" s="32">
        <f>IF(K42=0,0,K42/TrRoad_act!K46*100)</f>
        <v>21.501210996330915</v>
      </c>
      <c r="L76" s="32">
        <f>IF(L42=0,0,L42/TrRoad_act!L46*100)</f>
        <v>21.596556353775014</v>
      </c>
      <c r="M76" s="32">
        <f>IF(M42=0,0,M42/TrRoad_act!M46*100)</f>
        <v>20.636188182897595</v>
      </c>
      <c r="N76" s="32">
        <f>IF(N42=0,0,N42/TrRoad_act!N46*100)</f>
        <v>18.923149711779207</v>
      </c>
      <c r="O76" s="32">
        <f>IF(O42=0,0,O42/TrRoad_act!O46*100)</f>
        <v>18.858466964472697</v>
      </c>
      <c r="P76" s="32">
        <f>IF(P42=0,0,P42/TrRoad_act!P46*100)</f>
        <v>17.513402800642446</v>
      </c>
      <c r="Q76" s="32">
        <f>IF(Q42=0,0,Q42/TrRoad_act!Q46*100)</f>
        <v>16.858202695813272</v>
      </c>
      <c r="R76" s="32">
        <f>IF(R42=0,0,R42/TrRoad_act!R46*100)</f>
        <v>15.552405412023232</v>
      </c>
      <c r="S76" s="32">
        <f>IF(S42=0,0,S42/TrRoad_act!S46*100)</f>
        <v>15.35133247642869</v>
      </c>
      <c r="T76" s="32">
        <f>IF(T42=0,0,T42/TrRoad_act!T46*100)</f>
        <v>14.367946006055901</v>
      </c>
      <c r="U76" s="32">
        <f>IF(U42=0,0,U42/TrRoad_act!U46*100)</f>
        <v>13.830819470079527</v>
      </c>
      <c r="V76" s="32">
        <f>IF(V42=0,0,V42/TrRoad_act!V46*100)</f>
        <v>14.395378650157811</v>
      </c>
      <c r="W76" s="32">
        <f>IF(W42=0,0,W42/TrRoad_act!W46*100)</f>
        <v>14.523273857895067</v>
      </c>
      <c r="X76" s="32">
        <f>IF(X42=0,0,X42/TrRoad_act!X46*100)</f>
        <v>13.963459418566776</v>
      </c>
      <c r="Y76" s="32">
        <f>IF(Y42=0,0,Y42/TrRoad_act!Y46*100)</f>
        <v>13.506183439967648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12.284264746268089</v>
      </c>
      <c r="C77" s="141">
        <f>IF(C43=0,0,C43/TrRoad_act!C47*100)</f>
        <v>11.55129774711974</v>
      </c>
      <c r="D77" s="141">
        <f>IF(D43=0,0,D43/TrRoad_act!D47*100)</f>
        <v>11.175502691656002</v>
      </c>
      <c r="E77" s="141">
        <f>IF(E43=0,0,E43/TrRoad_act!E47*100)</f>
        <v>11.234462721027462</v>
      </c>
      <c r="F77" s="141">
        <f>IF(F43=0,0,F43/TrRoad_act!F47*100)</f>
        <v>11.395102546927605</v>
      </c>
      <c r="G77" s="141">
        <f>IF(G43=0,0,G43/TrRoad_act!G47*100)</f>
        <v>10.903931370506134</v>
      </c>
      <c r="H77" s="141">
        <f>IF(H43=0,0,H43/TrRoad_act!H47*100)</f>
        <v>10.900884532050986</v>
      </c>
      <c r="I77" s="141">
        <f>IF(I43=0,0,I43/TrRoad_act!I47*100)</f>
        <v>10.717778318242365</v>
      </c>
      <c r="J77" s="141">
        <f>IF(J43=0,0,J43/TrRoad_act!J47*100)</f>
        <v>10.612342526950407</v>
      </c>
      <c r="K77" s="141">
        <f>IF(K43=0,0,K43/TrRoad_act!K47*100)</f>
        <v>10.484707940648546</v>
      </c>
      <c r="L77" s="141">
        <f>IF(L43=0,0,L43/TrRoad_act!L47*100)</f>
        <v>10.554099753203786</v>
      </c>
      <c r="M77" s="141">
        <f>IF(M43=0,0,M43/TrRoad_act!M47*100)</f>
        <v>10.424255836221207</v>
      </c>
      <c r="N77" s="141">
        <f>IF(N43=0,0,N43/TrRoad_act!N47*100)</f>
        <v>9.9421695666196985</v>
      </c>
      <c r="O77" s="141">
        <f>IF(O43=0,0,O43/TrRoad_act!O47*100)</f>
        <v>9.8149706238030756</v>
      </c>
      <c r="P77" s="141">
        <f>IF(P43=0,0,P43/TrRoad_act!P47*100)</f>
        <v>9.2321570134364173</v>
      </c>
      <c r="Q77" s="141">
        <f>IF(Q43=0,0,Q43/TrRoad_act!Q47*100)</f>
        <v>9.0547013840231383</v>
      </c>
      <c r="R77" s="141">
        <f>IF(R43=0,0,R43/TrRoad_act!R47*100)</f>
        <v>8.6359046454307453</v>
      </c>
      <c r="S77" s="141">
        <f>IF(S43=0,0,S43/TrRoad_act!S47*100)</f>
        <v>8.5972211066884263</v>
      </c>
      <c r="T77" s="141">
        <f>IF(T43=0,0,T43/TrRoad_act!T47*100)</f>
        <v>8.2499027238022506</v>
      </c>
      <c r="U77" s="141">
        <f>IF(U43=0,0,U43/TrRoad_act!U47*100)</f>
        <v>8.142401958244232</v>
      </c>
      <c r="V77" s="141">
        <f>IF(V43=0,0,V43/TrRoad_act!V47*100)</f>
        <v>8.2977732309515488</v>
      </c>
      <c r="W77" s="141">
        <f>IF(W43=0,0,W43/TrRoad_act!W47*100)</f>
        <v>8.2689863233930936</v>
      </c>
      <c r="X77" s="141">
        <f>IF(X43=0,0,X43/TrRoad_act!X47*100)</f>
        <v>8.0078651552861828</v>
      </c>
      <c r="Y77" s="141">
        <f>IF(Y43=0,0,Y43/TrRoad_act!Y47*100)</f>
        <v>7.9085556416069487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12.389612016366717</v>
      </c>
      <c r="C78" s="96">
        <f>IF(C44=0,0,C44/TrRoad_act!C48*100)</f>
        <v>12.182704752763696</v>
      </c>
      <c r="D78" s="96">
        <f>IF(D44=0,0,D44/TrRoad_act!D48*100)</f>
        <v>12.09531592464927</v>
      </c>
      <c r="E78" s="96">
        <f>IF(E44=0,0,E44/TrRoad_act!E48*100)</f>
        <v>12.01234954414876</v>
      </c>
      <c r="F78" s="96">
        <f>IF(F44=0,0,F44/TrRoad_act!F48*100)</f>
        <v>11.933338405888374</v>
      </c>
      <c r="G78" s="96">
        <f>IF(G44=0,0,G44/TrRoad_act!G48*100)</f>
        <v>11.847297981229159</v>
      </c>
      <c r="H78" s="96">
        <f>IF(H44=0,0,H44/TrRoad_act!H48*100)</f>
        <v>11.749162519041638</v>
      </c>
      <c r="I78" s="96">
        <f>IF(I44=0,0,I44/TrRoad_act!I48*100)</f>
        <v>11.644246117288814</v>
      </c>
      <c r="J78" s="96">
        <f>IF(J44=0,0,J44/TrRoad_act!J48*100)</f>
        <v>11.534842296027389</v>
      </c>
      <c r="K78" s="96">
        <f>IF(K44=0,0,K44/TrRoad_act!K48*100)</f>
        <v>11.441933730484291</v>
      </c>
      <c r="L78" s="96">
        <f>IF(L44=0,0,L44/TrRoad_act!L48*100)</f>
        <v>11.342833959603032</v>
      </c>
      <c r="M78" s="96">
        <f>IF(M44=0,0,M44/TrRoad_act!M48*100)</f>
        <v>11.236074877506036</v>
      </c>
      <c r="N78" s="96">
        <f>IF(N44=0,0,N44/TrRoad_act!N48*100)</f>
        <v>11.084584503666331</v>
      </c>
      <c r="O78" s="96">
        <f>IF(O44=0,0,O44/TrRoad_act!O48*100)</f>
        <v>11.047919018262945</v>
      </c>
      <c r="P78" s="96">
        <f>IF(P44=0,0,P44/TrRoad_act!P48*100)</f>
        <v>10.905046554233454</v>
      </c>
      <c r="Q78" s="96">
        <f>IF(Q44=0,0,Q44/TrRoad_act!Q48*100)</f>
        <v>10.764253691151428</v>
      </c>
      <c r="R78" s="96">
        <f>IF(R44=0,0,R44/TrRoad_act!R48*100)</f>
        <v>10.587451784659727</v>
      </c>
      <c r="S78" s="96">
        <f>IF(S44=0,0,S44/TrRoad_act!S48*100)</f>
        <v>10.460643939443223</v>
      </c>
      <c r="T78" s="96">
        <f>IF(T44=0,0,T44/TrRoad_act!T48*100)</f>
        <v>10.125640949968265</v>
      </c>
      <c r="U78" s="96">
        <f>IF(U44=0,0,U44/TrRoad_act!U48*100)</f>
        <v>9.7629621091931664</v>
      </c>
      <c r="V78" s="96">
        <f>IF(V44=0,0,V44/TrRoad_act!V48*100)</f>
        <v>9.5609325165407597</v>
      </c>
      <c r="W78" s="96">
        <f>IF(W44=0,0,W44/TrRoad_act!W48*100)</f>
        <v>9.3573051973377055</v>
      </c>
      <c r="X78" s="96">
        <f>IF(X44=0,0,X44/TrRoad_act!X48*100)</f>
        <v>9.0964744747071293</v>
      </c>
      <c r="Y78" s="96">
        <f>IF(Y44=0,0,Y44/TrRoad_act!Y48*100)</f>
        <v>8.8195938399263962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12.220960318216006</v>
      </c>
      <c r="C79" s="96">
        <f>IF(C46=0,0,C46/TrRoad_act!C49*100)</f>
        <v>11.261630501254094</v>
      </c>
      <c r="D79" s="96">
        <f>IF(D46=0,0,D46/TrRoad_act!D49*100)</f>
        <v>10.833131179907088</v>
      </c>
      <c r="E79" s="96">
        <f>IF(E46=0,0,E46/TrRoad_act!E49*100)</f>
        <v>11.008006712332834</v>
      </c>
      <c r="F79" s="96">
        <f>IF(F46=0,0,F46/TrRoad_act!F49*100)</f>
        <v>11.273212941278864</v>
      </c>
      <c r="G79" s="96">
        <f>IF(G46=0,0,G46/TrRoad_act!G49*100)</f>
        <v>10.690432702879113</v>
      </c>
      <c r="H79" s="96">
        <f>IF(H46=0,0,H46/TrRoad_act!H49*100)</f>
        <v>10.753256917218746</v>
      </c>
      <c r="I79" s="96">
        <f>IF(I46=0,0,I46/TrRoad_act!I49*100)</f>
        <v>10.579306441171282</v>
      </c>
      <c r="J79" s="96">
        <f>IF(J46=0,0,J46/TrRoad_act!J49*100)</f>
        <v>10.496784181254508</v>
      </c>
      <c r="K79" s="96">
        <f>IF(K46=0,0,K46/TrRoad_act!K49*100)</f>
        <v>10.381038296372473</v>
      </c>
      <c r="L79" s="96">
        <f>IF(L46=0,0,L46/TrRoad_act!L49*100)</f>
        <v>10.491556331948033</v>
      </c>
      <c r="M79" s="96">
        <f>IF(M46=0,0,M46/TrRoad_act!M49*100)</f>
        <v>10.369404506197819</v>
      </c>
      <c r="N79" s="96">
        <f>IF(N46=0,0,N46/TrRoad_act!N49*100)</f>
        <v>9.8727825145474561</v>
      </c>
      <c r="O79" s="96">
        <f>IF(O46=0,0,O46/TrRoad_act!O49*100)</f>
        <v>9.7519000857370237</v>
      </c>
      <c r="P79" s="96">
        <f>IF(P46=0,0,P46/TrRoad_act!P49*100)</f>
        <v>9.149911429016889</v>
      </c>
      <c r="Q79" s="96">
        <f>IF(Q46=0,0,Q46/TrRoad_act!Q49*100)</f>
        <v>8.9821504698354104</v>
      </c>
      <c r="R79" s="96">
        <f>IF(R46=0,0,R46/TrRoad_act!R49*100)</f>
        <v>8.5704954077374396</v>
      </c>
      <c r="S79" s="96">
        <f>IF(S46=0,0,S46/TrRoad_act!S49*100)</f>
        <v>8.5517859277234063</v>
      </c>
      <c r="T79" s="96">
        <f>IF(T46=0,0,T46/TrRoad_act!T49*100)</f>
        <v>8.2089583863625588</v>
      </c>
      <c r="U79" s="96">
        <f>IF(U46=0,0,U46/TrRoad_act!U49*100)</f>
        <v>8.1163573443411359</v>
      </c>
      <c r="V79" s="96">
        <f>IF(V46=0,0,V46/TrRoad_act!V49*100)</f>
        <v>8.293968283386647</v>
      </c>
      <c r="W79" s="96">
        <f>IF(W46=0,0,W46/TrRoad_act!W49*100)</f>
        <v>8.2805500719071343</v>
      </c>
      <c r="X79" s="96">
        <f>IF(X46=0,0,X46/TrRoad_act!X49*100)</f>
        <v>8.0346015355856899</v>
      </c>
      <c r="Y79" s="96">
        <f>IF(Y46=0,0,Y46/TrRoad_act!Y49*100)</f>
        <v>7.9743565519821713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X80" s="96">
        <f>IF(X48=0,0,X48/TrRoad_act!X50*100)</f>
        <v>0</v>
      </c>
      <c r="Y80" s="96">
        <f>IF(Y48=0,0,Y48/TrRoad_act!Y50*100)</f>
        <v>0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8.6374002084603188</v>
      </c>
      <c r="D81" s="96">
        <f>IF(D49=0,0,D49/TrRoad_act!D51*100)</f>
        <v>8.6719836656257243</v>
      </c>
      <c r="E81" s="96">
        <f>IF(E49=0,0,E49/TrRoad_act!E51*100)</f>
        <v>8.6437554649933865</v>
      </c>
      <c r="F81" s="96">
        <f>IF(F49=0,0,F49/TrRoad_act!F51*100)</f>
        <v>8.6605361722676086</v>
      </c>
      <c r="G81" s="96">
        <f>IF(G49=0,0,G49/TrRoad_act!G51*100)</f>
        <v>8.5990996547185894</v>
      </c>
      <c r="H81" s="96">
        <f>IF(H49=0,0,H49/TrRoad_act!H51*100)</f>
        <v>8.4831313896087472</v>
      </c>
      <c r="I81" s="96">
        <f>IF(I49=0,0,I49/TrRoad_act!I51*100)</f>
        <v>8.4320877459336252</v>
      </c>
      <c r="J81" s="96">
        <f>IF(J49=0,0,J49/TrRoad_act!J51*100)</f>
        <v>8.116228487643502</v>
      </c>
      <c r="K81" s="96">
        <f>IF(K49=0,0,K49/TrRoad_act!K51*100)</f>
        <v>7.8200982664605432</v>
      </c>
      <c r="L81" s="96">
        <f>IF(L49=0,0,L49/TrRoad_act!L51*100)</f>
        <v>7.5266037499098823</v>
      </c>
      <c r="M81" s="96">
        <f>IF(M49=0,0,M49/TrRoad_act!M51*100)</f>
        <v>7.3948249513208362</v>
      </c>
      <c r="N81" s="96">
        <f>IF(N49=0,0,N49/TrRoad_act!N51*100)</f>
        <v>7.7140556798975846</v>
      </c>
      <c r="O81" s="96">
        <f>IF(O49=0,0,O49/TrRoad_act!O51*100)</f>
        <v>7.924326248994686</v>
      </c>
      <c r="P81" s="96">
        <f>IF(P49=0,0,P49/TrRoad_act!P51*100)</f>
        <v>8.1973378680966782</v>
      </c>
      <c r="Q81" s="96">
        <f>IF(Q49=0,0,Q49/TrRoad_act!Q51*100)</f>
        <v>8.2836382286526256</v>
      </c>
      <c r="R81" s="96">
        <f>IF(R49=0,0,R49/TrRoad_act!R51*100)</f>
        <v>8.161782422405663</v>
      </c>
      <c r="S81" s="96">
        <f>IF(S49=0,0,S49/TrRoad_act!S51*100)</f>
        <v>8.0933554904447735</v>
      </c>
      <c r="T81" s="96">
        <f>IF(T49=0,0,T49/TrRoad_act!T51*100)</f>
        <v>7.9359268272399097</v>
      </c>
      <c r="U81" s="96">
        <f>IF(U49=0,0,U49/TrRoad_act!U51*100)</f>
        <v>7.9314952627471067</v>
      </c>
      <c r="V81" s="96">
        <f>IF(V49=0,0,V49/TrRoad_act!V51*100)</f>
        <v>7.9881112243572723</v>
      </c>
      <c r="W81" s="96">
        <f>IF(W49=0,0,W49/TrRoad_act!W51*100)</f>
        <v>8.0765022442994319</v>
      </c>
      <c r="X81" s="96">
        <f>IF(X49=0,0,X49/TrRoad_act!X51*100)</f>
        <v>8.2011914662477565</v>
      </c>
      <c r="Y81" s="96">
        <f>IF(Y49=0,0,Y49/TrRoad_act!Y51*100)</f>
        <v>8.1396435302869126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1.6368038075534881</v>
      </c>
      <c r="H82" s="96">
        <f>IF(H51=0,0,H51/TrRoad_act!H52*100)</f>
        <v>1.635697334678881</v>
      </c>
      <c r="I82" s="96">
        <f>IF(I51=0,0,I51/TrRoad_act!I52*100)</f>
        <v>1.6356924232422541</v>
      </c>
      <c r="J82" s="96">
        <f>IF(J51=0,0,J51/TrRoad_act!J52*100)</f>
        <v>1.6356924514196864</v>
      </c>
      <c r="K82" s="96">
        <f>IF(K51=0,0,K51/TrRoad_act!K52*100)</f>
        <v>1.6353657407979216</v>
      </c>
      <c r="L82" s="96">
        <f>IF(L51=0,0,L51/TrRoad_act!L52*100)</f>
        <v>1.6353573023994834</v>
      </c>
      <c r="M82" s="96">
        <f>IF(M51=0,0,M51/TrRoad_act!M52*100)</f>
        <v>1.6359970144714724</v>
      </c>
      <c r="N82" s="96">
        <f>IF(N51=0,0,N51/TrRoad_act!N52*100)</f>
        <v>1.6510803690438212</v>
      </c>
      <c r="O82" s="96">
        <f>IF(O51=0,0,O51/TrRoad_act!O52*100)</f>
        <v>1.6612428070956125</v>
      </c>
      <c r="P82" s="96">
        <f>IF(P51=0,0,P51/TrRoad_act!P52*100)</f>
        <v>1.6882018026077166</v>
      </c>
      <c r="Q82" s="96">
        <f>IF(Q51=0,0,Q51/TrRoad_act!Q52*100)</f>
        <v>1.73594218082463</v>
      </c>
      <c r="R82" s="96">
        <f>IF(R51=0,0,R51/TrRoad_act!R52*100)</f>
        <v>1.7558440839976512</v>
      </c>
      <c r="S82" s="96">
        <f>IF(S51=0,0,S51/TrRoad_act!S52*100)</f>
        <v>1.777247029015365</v>
      </c>
      <c r="T82" s="96">
        <f>IF(T51=0,0,T51/TrRoad_act!T52*100)</f>
        <v>1.8900721798957489</v>
      </c>
      <c r="U82" s="96">
        <f>IF(U51=0,0,U51/TrRoad_act!U52*100)</f>
        <v>2.0604906426006062</v>
      </c>
      <c r="V82" s="96">
        <f>IF(V51=0,0,V51/TrRoad_act!V52*100)</f>
        <v>2.3702962113852863</v>
      </c>
      <c r="W82" s="96">
        <f>IF(W51=0,0,W51/TrRoad_act!W52*100)</f>
        <v>2.5411211257807915</v>
      </c>
      <c r="X82" s="96">
        <f>IF(X51=0,0,X51/TrRoad_act!X52*100)</f>
        <v>2.5961774191763447</v>
      </c>
      <c r="Y82" s="96">
        <f>IF(Y51=0,0,Y51/TrRoad_act!Y52*100)</f>
        <v>2.6955347114374444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44.588126058310266</v>
      </c>
      <c r="C83" s="130">
        <f>IF(C52=0,0,C52/TrRoad_act!C53*100)</f>
        <v>44.834692386854961</v>
      </c>
      <c r="D83" s="130">
        <f>IF(D52=0,0,D52/TrRoad_act!D53*100)</f>
        <v>43.365539307489186</v>
      </c>
      <c r="E83" s="130">
        <f>IF(E52=0,0,E52/TrRoad_act!E53*100)</f>
        <v>45.260665959453632</v>
      </c>
      <c r="F83" s="130">
        <f>IF(F52=0,0,F52/TrRoad_act!F53*100)</f>
        <v>47.178099060408513</v>
      </c>
      <c r="G83" s="130">
        <f>IF(G52=0,0,G52/TrRoad_act!G53*100)</f>
        <v>43.259122813715898</v>
      </c>
      <c r="H83" s="130">
        <f>IF(H52=0,0,H52/TrRoad_act!H53*100)</f>
        <v>43.685789555195228</v>
      </c>
      <c r="I83" s="130">
        <f>IF(I52=0,0,I52/TrRoad_act!I53*100)</f>
        <v>42.724671985885621</v>
      </c>
      <c r="J83" s="130">
        <f>IF(J52=0,0,J52/TrRoad_act!J53*100)</f>
        <v>42.070884425087101</v>
      </c>
      <c r="K83" s="130">
        <f>IF(K52=0,0,K52/TrRoad_act!K53*100)</f>
        <v>41.824019882333097</v>
      </c>
      <c r="L83" s="130">
        <f>IF(L52=0,0,L52/TrRoad_act!L53*100)</f>
        <v>42.712303323256961</v>
      </c>
      <c r="M83" s="130">
        <f>IF(M52=0,0,M52/TrRoad_act!M53*100)</f>
        <v>41.667339433342988</v>
      </c>
      <c r="N83" s="130">
        <f>IF(N52=0,0,N52/TrRoad_act!N53*100)</f>
        <v>38.963712247492992</v>
      </c>
      <c r="O83" s="130">
        <f>IF(O52=0,0,O52/TrRoad_act!O53*100)</f>
        <v>38.651335789646296</v>
      </c>
      <c r="P83" s="130">
        <f>IF(P52=0,0,P52/TrRoad_act!P53*100)</f>
        <v>33.177038613168328</v>
      </c>
      <c r="Q83" s="130">
        <f>IF(Q52=0,0,Q52/TrRoad_act!Q53*100)</f>
        <v>32.216037558025015</v>
      </c>
      <c r="R83" s="130">
        <f>IF(R52=0,0,R52/TrRoad_act!R53*100)</f>
        <v>29.247007342706656</v>
      </c>
      <c r="S83" s="130">
        <f>IF(S52=0,0,S52/TrRoad_act!S53*100)</f>
        <v>29.668959833158393</v>
      </c>
      <c r="T83" s="130">
        <f>IF(T52=0,0,T52/TrRoad_act!T53*100)</f>
        <v>26.895680235614407</v>
      </c>
      <c r="U83" s="130">
        <f>IF(U52=0,0,U52/TrRoad_act!U53*100)</f>
        <v>25.944967515813449</v>
      </c>
      <c r="V83" s="130">
        <f>IF(V52=0,0,V52/TrRoad_act!V53*100)</f>
        <v>27.60333046834419</v>
      </c>
      <c r="W83" s="130">
        <f>IF(W52=0,0,W52/TrRoad_act!W53*100)</f>
        <v>27.538699925840287</v>
      </c>
      <c r="X83" s="130">
        <f>IF(X52=0,0,X52/TrRoad_act!X53*100)</f>
        <v>25.422088062102354</v>
      </c>
      <c r="Y83" s="130">
        <f>IF(Y52=0,0,Y52/TrRoad_act!Y53*100)</f>
        <v>25.188263300011087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43.628509015163282</v>
      </c>
      <c r="C84" s="97">
        <f>IF(C53=0,0,C53/TrRoad_act!C54*100)</f>
        <v>43.864778844062293</v>
      </c>
      <c r="D84" s="97">
        <f>IF(D53=0,0,D53/TrRoad_act!D54*100)</f>
        <v>42.446684663057304</v>
      </c>
      <c r="E84" s="97">
        <f>IF(E53=0,0,E53/TrRoad_act!E54*100)</f>
        <v>44.292917830579711</v>
      </c>
      <c r="F84" s="97">
        <f>IF(F53=0,0,F53/TrRoad_act!F54*100)</f>
        <v>46.186358188764679</v>
      </c>
      <c r="G84" s="97">
        <f>IF(G53=0,0,G53/TrRoad_act!G54*100)</f>
        <v>42.397143976996887</v>
      </c>
      <c r="H84" s="97">
        <f>IF(H53=0,0,H53/TrRoad_act!H54*100)</f>
        <v>42.779777263297831</v>
      </c>
      <c r="I84" s="97">
        <f>IF(I53=0,0,I53/TrRoad_act!I54*100)</f>
        <v>41.849723631897682</v>
      </c>
      <c r="J84" s="97">
        <f>IF(J53=0,0,J53/TrRoad_act!J54*100)</f>
        <v>41.233262986355655</v>
      </c>
      <c r="K84" s="97">
        <f>IF(K53=0,0,K53/TrRoad_act!K54*100)</f>
        <v>41.112582648398906</v>
      </c>
      <c r="L84" s="97">
        <f>IF(L53=0,0,L53/TrRoad_act!L54*100)</f>
        <v>41.951541049078045</v>
      </c>
      <c r="M84" s="97">
        <f>IF(M53=0,0,M53/TrRoad_act!M54*100)</f>
        <v>40.889893986510629</v>
      </c>
      <c r="N84" s="97">
        <f>IF(N53=0,0,N53/TrRoad_act!N54*100)</f>
        <v>38.194956007931189</v>
      </c>
      <c r="O84" s="97">
        <f>IF(O53=0,0,O53/TrRoad_act!O54*100)</f>
        <v>37.769908071043524</v>
      </c>
      <c r="P84" s="97">
        <f>IF(P53=0,0,P53/TrRoad_act!P54*100)</f>
        <v>32.538363620060778</v>
      </c>
      <c r="Q84" s="97">
        <f>IF(Q53=0,0,Q53/TrRoad_act!Q54*100)</f>
        <v>31.507192875167426</v>
      </c>
      <c r="R84" s="97">
        <f>IF(R53=0,0,R53/TrRoad_act!R54*100)</f>
        <v>28.506306769736483</v>
      </c>
      <c r="S84" s="97">
        <f>IF(S53=0,0,S53/TrRoad_act!S54*100)</f>
        <v>28.834897602079341</v>
      </c>
      <c r="T84" s="97">
        <f>IF(T53=0,0,T53/TrRoad_act!T54*100)</f>
        <v>26.077419691756187</v>
      </c>
      <c r="U84" s="97">
        <f>IF(U53=0,0,U53/TrRoad_act!U54*100)</f>
        <v>25.083737466415585</v>
      </c>
      <c r="V84" s="97">
        <f>IF(V53=0,0,V53/TrRoad_act!V54*100)</f>
        <v>26.564969285933415</v>
      </c>
      <c r="W84" s="97">
        <f>IF(W53=0,0,W53/TrRoad_act!W54*100)</f>
        <v>26.351985067423911</v>
      </c>
      <c r="X84" s="97">
        <f>IF(X53=0,0,X53/TrRoad_act!X54*100)</f>
        <v>24.365467767673675</v>
      </c>
      <c r="Y84" s="97">
        <f>IF(Y53=0,0,Y53/TrRoad_act!Y54*100)</f>
        <v>23.961969802669032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48.718457672354894</v>
      </c>
      <c r="C85" s="98">
        <f>IF(C55=0,0,C55/TrRoad_act!C55*100)</f>
        <v>48.661873908605074</v>
      </c>
      <c r="D85" s="98">
        <f>IF(D55=0,0,D55/TrRoad_act!D55*100)</f>
        <v>46.855144354052968</v>
      </c>
      <c r="E85" s="98">
        <f>IF(E55=0,0,E55/TrRoad_act!E55*100)</f>
        <v>48.751420754777747</v>
      </c>
      <c r="F85" s="98">
        <f>IF(F55=0,0,F55/TrRoad_act!F55*100)</f>
        <v>50.253527238266315</v>
      </c>
      <c r="G85" s="98">
        <f>IF(G55=0,0,G55/TrRoad_act!G55*100)</f>
        <v>46.045823923332286</v>
      </c>
      <c r="H85" s="98">
        <f>IF(H55=0,0,H55/TrRoad_act!H55*100)</f>
        <v>46.388889062220926</v>
      </c>
      <c r="I85" s="98">
        <f>IF(I55=0,0,I55/TrRoad_act!I55*100)</f>
        <v>45.423694311567175</v>
      </c>
      <c r="J85" s="98">
        <f>IF(J55=0,0,J55/TrRoad_act!J55*100)</f>
        <v>44.845116424573206</v>
      </c>
      <c r="K85" s="98">
        <f>IF(K55=0,0,K55/TrRoad_act!K55*100)</f>
        <v>44.559503774572548</v>
      </c>
      <c r="L85" s="98">
        <f>IF(L55=0,0,L55/TrRoad_act!L55*100)</f>
        <v>45.470842408696988</v>
      </c>
      <c r="M85" s="98">
        <f>IF(M55=0,0,M55/TrRoad_act!M55*100)</f>
        <v>44.464700825009054</v>
      </c>
      <c r="N85" s="98">
        <f>IF(N55=0,0,N55/TrRoad_act!N55*100)</f>
        <v>41.5950615213616</v>
      </c>
      <c r="O85" s="98">
        <f>IF(O55=0,0,O55/TrRoad_act!O55*100)</f>
        <v>41.293888866708876</v>
      </c>
      <c r="P85" s="98">
        <f>IF(P55=0,0,P55/TrRoad_act!P55*100)</f>
        <v>35.719106245214711</v>
      </c>
      <c r="Q85" s="98">
        <f>IF(Q55=0,0,Q55/TrRoad_act!Q55*100)</f>
        <v>34.675750078933874</v>
      </c>
      <c r="R85" s="98">
        <f>IF(R55=0,0,R55/TrRoad_act!R55*100)</f>
        <v>31.66552403860765</v>
      </c>
      <c r="S85" s="98">
        <f>IF(S55=0,0,S55/TrRoad_act!S55*100)</f>
        <v>32.462990046857769</v>
      </c>
      <c r="T85" s="98">
        <f>IF(T55=0,0,T55/TrRoad_act!T55*100)</f>
        <v>29.706869533199921</v>
      </c>
      <c r="U85" s="98">
        <f>IF(U55=0,0,U55/TrRoad_act!U55*100)</f>
        <v>29.075748979993588</v>
      </c>
      <c r="V85" s="98">
        <f>IF(V55=0,0,V55/TrRoad_act!V55*100)</f>
        <v>31.260342068919634</v>
      </c>
      <c r="W85" s="98">
        <f>IF(W55=0,0,W55/TrRoad_act!W55*100)</f>
        <v>31.619283271239791</v>
      </c>
      <c r="X85" s="98">
        <f>IF(X55=0,0,X55/TrRoad_act!X55*100)</f>
        <v>29.743664123463788</v>
      </c>
      <c r="Y85" s="98">
        <f>IF(Y55=0,0,Y55/TrRoad_act!Y55*100)</f>
        <v>29.804730361383207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44.754717000513345</v>
      </c>
      <c r="C88" s="29">
        <f>IF(TrRoad_act!C4=0,0,C18/TrRoad_act!C4*1000)</f>
        <v>43.700863829559111</v>
      </c>
      <c r="D88" s="29">
        <f>IF(TrRoad_act!D4=0,0,D18/TrRoad_act!D4*1000)</f>
        <v>44.095441130977761</v>
      </c>
      <c r="E88" s="29">
        <f>IF(TrRoad_act!E4=0,0,E18/TrRoad_act!E4*1000)</f>
        <v>44.14089065036223</v>
      </c>
      <c r="F88" s="29">
        <f>IF(TrRoad_act!F4=0,0,F18/TrRoad_act!F4*1000)</f>
        <v>43.789857078661477</v>
      </c>
      <c r="G88" s="29">
        <f>IF(TrRoad_act!G4=0,0,G18/TrRoad_act!G4*1000)</f>
        <v>41.891822427164357</v>
      </c>
      <c r="H88" s="29">
        <f>IF(TrRoad_act!H4=0,0,H18/TrRoad_act!H4*1000)</f>
        <v>41.928325261271063</v>
      </c>
      <c r="I88" s="29">
        <f>IF(TrRoad_act!I4=0,0,I18/TrRoad_act!I4*1000)</f>
        <v>41.671801636334592</v>
      </c>
      <c r="J88" s="29">
        <f>IF(TrRoad_act!J4=0,0,J18/TrRoad_act!J4*1000)</f>
        <v>41.396671061455471</v>
      </c>
      <c r="K88" s="29">
        <f>IF(TrRoad_act!K4=0,0,K18/TrRoad_act!K4*1000)</f>
        <v>41.693038114699945</v>
      </c>
      <c r="L88" s="29">
        <f>IF(TrRoad_act!L4=0,0,L18/TrRoad_act!L4*1000)</f>
        <v>42.023791058462422</v>
      </c>
      <c r="M88" s="29">
        <f>IF(TrRoad_act!M4=0,0,M18/TrRoad_act!M4*1000)</f>
        <v>41.670990224476249</v>
      </c>
      <c r="N88" s="29">
        <f>IF(TrRoad_act!N4=0,0,N18/TrRoad_act!N4*1000)</f>
        <v>41.25676866844308</v>
      </c>
      <c r="O88" s="29">
        <f>IF(TrRoad_act!O4=0,0,O18/TrRoad_act!O4*1000)</f>
        <v>40.258951951592351</v>
      </c>
      <c r="P88" s="29">
        <f>IF(TrRoad_act!P4=0,0,P18/TrRoad_act!P4*1000)</f>
        <v>39.727840562994004</v>
      </c>
      <c r="Q88" s="29">
        <f>IF(TrRoad_act!Q4=0,0,Q18/TrRoad_act!Q4*1000)</f>
        <v>40.312940511184564</v>
      </c>
      <c r="R88" s="29">
        <f>IF(TrRoad_act!R4=0,0,R18/TrRoad_act!R4*1000)</f>
        <v>47.390585006671721</v>
      </c>
      <c r="S88" s="29">
        <f>IF(TrRoad_act!S4=0,0,S18/TrRoad_act!S4*1000)</f>
        <v>46.9681367231263</v>
      </c>
      <c r="T88" s="29">
        <f>IF(TrRoad_act!T4=0,0,T18/TrRoad_act!T4*1000)</f>
        <v>45.843452613897178</v>
      </c>
      <c r="U88" s="29">
        <f>IF(TrRoad_act!U4=0,0,U18/TrRoad_act!U4*1000)</f>
        <v>45.766443343302434</v>
      </c>
      <c r="V88" s="29">
        <f>IF(TrRoad_act!V4=0,0,V18/TrRoad_act!V4*1000)</f>
        <v>45.139897135086606</v>
      </c>
      <c r="W88" s="29">
        <f>IF(TrRoad_act!W4=0,0,W18/TrRoad_act!W4*1000)</f>
        <v>46.436334357976094</v>
      </c>
      <c r="X88" s="29">
        <f>IF(TrRoad_act!X4=0,0,X18/TrRoad_act!X4*1000)</f>
        <v>41.569769607484872</v>
      </c>
      <c r="Y88" s="29">
        <f>IF(TrRoad_act!Y4=0,0,Y18/TrRoad_act!Y4*1000)</f>
        <v>38.603752327605918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47.241763547988199</v>
      </c>
      <c r="C89" s="152">
        <f>IF(TrRoad_act!C5=0,0,C19/TrRoad_act!C5*1000)</f>
        <v>46.425467742266214</v>
      </c>
      <c r="D89" s="152">
        <f>IF(TrRoad_act!D5=0,0,D19/TrRoad_act!D5*1000)</f>
        <v>45.565775243151158</v>
      </c>
      <c r="E89" s="152">
        <f>IF(TrRoad_act!E5=0,0,E19/TrRoad_act!E5*1000)</f>
        <v>44.994896280329456</v>
      </c>
      <c r="F89" s="152">
        <f>IF(TrRoad_act!F5=0,0,F19/TrRoad_act!F5*1000)</f>
        <v>44.466036792839546</v>
      </c>
      <c r="G89" s="152">
        <f>IF(TrRoad_act!G5=0,0,G19/TrRoad_act!G5*1000)</f>
        <v>43.527793262804927</v>
      </c>
      <c r="H89" s="152">
        <f>IF(TrRoad_act!H5=0,0,H19/TrRoad_act!H5*1000)</f>
        <v>42.296075044142945</v>
      </c>
      <c r="I89" s="152">
        <f>IF(TrRoad_act!I5=0,0,I19/TrRoad_act!I5*1000)</f>
        <v>41.269445726344358</v>
      </c>
      <c r="J89" s="152">
        <f>IF(TrRoad_act!J5=0,0,J19/TrRoad_act!J5*1000)</f>
        <v>41.420303042587925</v>
      </c>
      <c r="K89" s="152">
        <f>IF(TrRoad_act!K5=0,0,K19/TrRoad_act!K5*1000)</f>
        <v>40.34480174346254</v>
      </c>
      <c r="L89" s="152">
        <f>IF(TrRoad_act!L5=0,0,L19/TrRoad_act!L5*1000)</f>
        <v>39.381054714072043</v>
      </c>
      <c r="M89" s="152">
        <f>IF(TrRoad_act!M5=0,0,M19/TrRoad_act!M5*1000)</f>
        <v>39.386421752865424</v>
      </c>
      <c r="N89" s="152">
        <f>IF(TrRoad_act!N5=0,0,N19/TrRoad_act!N5*1000)</f>
        <v>38.987171060372255</v>
      </c>
      <c r="O89" s="152">
        <f>IF(TrRoad_act!O5=0,0,O19/TrRoad_act!O5*1000)</f>
        <v>39.078751297401588</v>
      </c>
      <c r="P89" s="152">
        <f>IF(TrRoad_act!P5=0,0,P19/TrRoad_act!P5*1000)</f>
        <v>38.224836534953724</v>
      </c>
      <c r="Q89" s="152">
        <f>IF(TrRoad_act!Q5=0,0,Q19/TrRoad_act!Q5*1000)</f>
        <v>38.043094211731258</v>
      </c>
      <c r="R89" s="152">
        <f>IF(TrRoad_act!R5=0,0,R19/TrRoad_act!R5*1000)</f>
        <v>37.445569510321747</v>
      </c>
      <c r="S89" s="152">
        <f>IF(TrRoad_act!S5=0,0,S19/TrRoad_act!S5*1000)</f>
        <v>36.870970331002681</v>
      </c>
      <c r="T89" s="152">
        <f>IF(TrRoad_act!T5=0,0,T19/TrRoad_act!T5*1000)</f>
        <v>36.440442296739114</v>
      </c>
      <c r="U89" s="152">
        <f>IF(TrRoad_act!U5=0,0,U19/TrRoad_act!U5*1000)</f>
        <v>35.909396397434875</v>
      </c>
      <c r="V89" s="152">
        <f>IF(TrRoad_act!V5=0,0,V19/TrRoad_act!V5*1000)</f>
        <v>35.337414698080295</v>
      </c>
      <c r="W89" s="152">
        <f>IF(TrRoad_act!W5=0,0,W19/TrRoad_act!W5*1000)</f>
        <v>34.925360335621676</v>
      </c>
      <c r="X89" s="152">
        <f>IF(TrRoad_act!X5=0,0,X19/TrRoad_act!X5*1000)</f>
        <v>34.736529078487322</v>
      </c>
      <c r="Y89" s="152">
        <f>IF(TrRoad_act!Y5=0,0,Y19/TrRoad_act!Y5*1000)</f>
        <v>34.308062761559377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42.840798147181935</v>
      </c>
      <c r="C90" s="116">
        <f>IF(TrRoad_act!C6=0,0,C21/TrRoad_act!C6*1000)</f>
        <v>41.91002493923839</v>
      </c>
      <c r="D90" s="116">
        <f>IF(TrRoad_act!D6=0,0,D21/TrRoad_act!D6*1000)</f>
        <v>42.536085766620907</v>
      </c>
      <c r="E90" s="116">
        <f>IF(TrRoad_act!E6=0,0,E21/TrRoad_act!E6*1000)</f>
        <v>42.545336404384095</v>
      </c>
      <c r="F90" s="116">
        <f>IF(TrRoad_act!F6=0,0,F21/TrRoad_act!F6*1000)</f>
        <v>42.231085381145391</v>
      </c>
      <c r="G90" s="116">
        <f>IF(TrRoad_act!G6=0,0,G21/TrRoad_act!G6*1000)</f>
        <v>40.734270648532878</v>
      </c>
      <c r="H90" s="116">
        <f>IF(TrRoad_act!H6=0,0,H21/TrRoad_act!H6*1000)</f>
        <v>40.594686109388604</v>
      </c>
      <c r="I90" s="116">
        <f>IF(TrRoad_act!I6=0,0,I21/TrRoad_act!I6*1000)</f>
        <v>40.606268816901746</v>
      </c>
      <c r="J90" s="116">
        <f>IF(TrRoad_act!J6=0,0,J21/TrRoad_act!J6*1000)</f>
        <v>40.199960898297121</v>
      </c>
      <c r="K90" s="116">
        <f>IF(TrRoad_act!K6=0,0,K21/TrRoad_act!K6*1000)</f>
        <v>40.754360264926085</v>
      </c>
      <c r="L90" s="116">
        <f>IF(TrRoad_act!L6=0,0,L21/TrRoad_act!L6*1000)</f>
        <v>40.979212634440401</v>
      </c>
      <c r="M90" s="116">
        <f>IF(TrRoad_act!M6=0,0,M21/TrRoad_act!M6*1000)</f>
        <v>40.48063550607889</v>
      </c>
      <c r="N90" s="116">
        <f>IF(TrRoad_act!N6=0,0,N21/TrRoad_act!N6*1000)</f>
        <v>39.920451110911394</v>
      </c>
      <c r="O90" s="116">
        <f>IF(TrRoad_act!O6=0,0,O21/TrRoad_act!O6*1000)</f>
        <v>39.930056101522723</v>
      </c>
      <c r="P90" s="116">
        <f>IF(TrRoad_act!P6=0,0,P21/TrRoad_act!P6*1000)</f>
        <v>39.561480698084488</v>
      </c>
      <c r="Q90" s="116">
        <f>IF(TrRoad_act!Q6=0,0,Q21/TrRoad_act!Q6*1000)</f>
        <v>40.252555034769046</v>
      </c>
      <c r="R90" s="116">
        <f>IF(TrRoad_act!R6=0,0,R21/TrRoad_act!R6*1000)</f>
        <v>48.186097930528497</v>
      </c>
      <c r="S90" s="116">
        <f>IF(TrRoad_act!S6=0,0,S21/TrRoad_act!S6*1000)</f>
        <v>47.794896246049575</v>
      </c>
      <c r="T90" s="116">
        <f>IF(TrRoad_act!T6=0,0,T21/TrRoad_act!T6*1000)</f>
        <v>46.503448081209662</v>
      </c>
      <c r="U90" s="116">
        <f>IF(TrRoad_act!U6=0,0,U21/TrRoad_act!U6*1000)</f>
        <v>45.822255075805636</v>
      </c>
      <c r="V90" s="116">
        <f>IF(TrRoad_act!V6=0,0,V21/TrRoad_act!V6*1000)</f>
        <v>45.152786961315385</v>
      </c>
      <c r="W90" s="116">
        <f>IF(TrRoad_act!W6=0,0,W21/TrRoad_act!W6*1000)</f>
        <v>46.717280463444318</v>
      </c>
      <c r="X90" s="116">
        <f>IF(TrRoad_act!X6=0,0,X21/TrRoad_act!X6*1000)</f>
        <v>41.462790821727459</v>
      </c>
      <c r="Y90" s="116">
        <f>IF(TrRoad_act!Y6=0,0,Y21/TrRoad_act!Y6*1000)</f>
        <v>38.135320329687936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43.527877215406733</v>
      </c>
      <c r="C91" s="87">
        <f>IF(TrRoad_act!C7=0,0,C22/TrRoad_act!C7*1000)</f>
        <v>42.57003867566835</v>
      </c>
      <c r="D91" s="87">
        <f>IF(TrRoad_act!D7=0,0,D22/TrRoad_act!D7*1000)</f>
        <v>43.267292923281182</v>
      </c>
      <c r="E91" s="87">
        <f>IF(TrRoad_act!E7=0,0,E22/TrRoad_act!E7*1000)</f>
        <v>43.229945931685002</v>
      </c>
      <c r="F91" s="87">
        <f>IF(TrRoad_act!F7=0,0,F22/TrRoad_act!F7*1000)</f>
        <v>42.824658666572525</v>
      </c>
      <c r="G91" s="87">
        <f>IF(TrRoad_act!G7=0,0,G22/TrRoad_act!G7*1000)</f>
        <v>41.48838669727354</v>
      </c>
      <c r="H91" s="87">
        <f>IF(TrRoad_act!H7=0,0,H22/TrRoad_act!H7*1000)</f>
        <v>41.473538801766026</v>
      </c>
      <c r="I91" s="87">
        <f>IF(TrRoad_act!I7=0,0,I22/TrRoad_act!I7*1000)</f>
        <v>41.927666392598098</v>
      </c>
      <c r="J91" s="87">
        <f>IF(TrRoad_act!J7=0,0,J22/TrRoad_act!J7*1000)</f>
        <v>41.763487973919567</v>
      </c>
      <c r="K91" s="87">
        <f>IF(TrRoad_act!K7=0,0,K22/TrRoad_act!K7*1000)</f>
        <v>42.866830065689086</v>
      </c>
      <c r="L91" s="87">
        <f>IF(TrRoad_act!L7=0,0,L22/TrRoad_act!L7*1000)</f>
        <v>43.784966903011792</v>
      </c>
      <c r="M91" s="87">
        <f>IF(TrRoad_act!M7=0,0,M22/TrRoad_act!M7*1000)</f>
        <v>44.346893336488684</v>
      </c>
      <c r="N91" s="87">
        <f>IF(TrRoad_act!N7=0,0,N22/TrRoad_act!N7*1000)</f>
        <v>44.931704130939778</v>
      </c>
      <c r="O91" s="87">
        <f>IF(TrRoad_act!O7=0,0,O22/TrRoad_act!O7*1000)</f>
        <v>45.45194530226361</v>
      </c>
      <c r="P91" s="87">
        <f>IF(TrRoad_act!P7=0,0,P22/TrRoad_act!P7*1000)</f>
        <v>45.92307323693376</v>
      </c>
      <c r="Q91" s="87">
        <f>IF(TrRoad_act!Q7=0,0,Q22/TrRoad_act!Q7*1000)</f>
        <v>47.084753025587581</v>
      </c>
      <c r="R91" s="87">
        <f>IF(TrRoad_act!R7=0,0,R22/TrRoad_act!R7*1000)</f>
        <v>56.894427076137063</v>
      </c>
      <c r="S91" s="87">
        <f>IF(TrRoad_act!S7=0,0,S22/TrRoad_act!S7*1000)</f>
        <v>55.890618595927307</v>
      </c>
      <c r="T91" s="87">
        <f>IF(TrRoad_act!T7=0,0,T22/TrRoad_act!T7*1000)</f>
        <v>54.381975621903905</v>
      </c>
      <c r="U91" s="87">
        <f>IF(TrRoad_act!U7=0,0,U22/TrRoad_act!U7*1000)</f>
        <v>52.895345977513379</v>
      </c>
      <c r="V91" s="87">
        <f>IF(TrRoad_act!V7=0,0,V22/TrRoad_act!V7*1000)</f>
        <v>51.304564897988506</v>
      </c>
      <c r="W91" s="87">
        <f>IF(TrRoad_act!W7=0,0,W22/TrRoad_act!W7*1000)</f>
        <v>54.466106715762713</v>
      </c>
      <c r="X91" s="87">
        <f>IF(TrRoad_act!X7=0,0,X22/TrRoad_act!X7*1000)</f>
        <v>49.67361188234203</v>
      </c>
      <c r="Y91" s="87">
        <f>IF(TrRoad_act!Y7=0,0,Y22/TrRoad_act!Y7*1000)</f>
        <v>44.951348956453757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37.281954284175399</v>
      </c>
      <c r="C92" s="87">
        <f>IF(TrRoad_act!C8=0,0,C24/TrRoad_act!C8*1000)</f>
        <v>36.270324734697688</v>
      </c>
      <c r="D92" s="87">
        <f>IF(TrRoad_act!D8=0,0,D24/TrRoad_act!D8*1000)</f>
        <v>36.291919019066512</v>
      </c>
      <c r="E92" s="87">
        <f>IF(TrRoad_act!E8=0,0,E24/TrRoad_act!E8*1000)</f>
        <v>36.831076009998178</v>
      </c>
      <c r="F92" s="87">
        <f>IF(TrRoad_act!F8=0,0,F24/TrRoad_act!F8*1000)</f>
        <v>37.44122944691302</v>
      </c>
      <c r="G92" s="87">
        <f>IF(TrRoad_act!G8=0,0,G24/TrRoad_act!G8*1000)</f>
        <v>35.14101788582456</v>
      </c>
      <c r="H92" s="87">
        <f>IF(TrRoad_act!H8=0,0,H24/TrRoad_act!H8*1000)</f>
        <v>35.117103117365723</v>
      </c>
      <c r="I92" s="87">
        <f>IF(TrRoad_act!I8=0,0,I24/TrRoad_act!I8*1000)</f>
        <v>34.421923799861354</v>
      </c>
      <c r="J92" s="87">
        <f>IF(TrRoad_act!J8=0,0,J24/TrRoad_act!J8*1000)</f>
        <v>34.236766621504664</v>
      </c>
      <c r="K92" s="87">
        <f>IF(TrRoad_act!K8=0,0,K24/TrRoad_act!K8*1000)</f>
        <v>34.129154091317019</v>
      </c>
      <c r="L92" s="87">
        <f>IF(TrRoad_act!L8=0,0,L24/TrRoad_act!L8*1000)</f>
        <v>34.231142201366005</v>
      </c>
      <c r="M92" s="87">
        <f>IF(TrRoad_act!M8=0,0,M24/TrRoad_act!M8*1000)</f>
        <v>33.495564554062533</v>
      </c>
      <c r="N92" s="87">
        <f>IF(TrRoad_act!N8=0,0,N24/TrRoad_act!N8*1000)</f>
        <v>32.761116602689839</v>
      </c>
      <c r="O92" s="87">
        <f>IF(TrRoad_act!O8=0,0,O24/TrRoad_act!O8*1000)</f>
        <v>33.271148273011107</v>
      </c>
      <c r="P92" s="87">
        <f>IF(TrRoad_act!P8=0,0,P24/TrRoad_act!P8*1000)</f>
        <v>33.016985913303429</v>
      </c>
      <c r="Q92" s="87">
        <f>IF(TrRoad_act!Q8=0,0,Q24/TrRoad_act!Q8*1000)</f>
        <v>34.200342283105101</v>
      </c>
      <c r="R92" s="87">
        <f>IF(TrRoad_act!R8=0,0,R24/TrRoad_act!R8*1000)</f>
        <v>41.433622776635403</v>
      </c>
      <c r="S92" s="87">
        <f>IF(TrRoad_act!S8=0,0,S24/TrRoad_act!S8*1000)</f>
        <v>42.15697795296353</v>
      </c>
      <c r="T92" s="87">
        <f>IF(TrRoad_act!T8=0,0,T24/TrRoad_act!T8*1000)</f>
        <v>41.46314200156565</v>
      </c>
      <c r="U92" s="87">
        <f>IF(TrRoad_act!U8=0,0,U24/TrRoad_act!U8*1000)</f>
        <v>41.565127942124477</v>
      </c>
      <c r="V92" s="87">
        <f>IF(TrRoad_act!V8=0,0,V24/TrRoad_act!V8*1000)</f>
        <v>42.108425888658907</v>
      </c>
      <c r="W92" s="87">
        <f>IF(TrRoad_act!W8=0,0,W24/TrRoad_act!W8*1000)</f>
        <v>43.578807285167976</v>
      </c>
      <c r="X92" s="87">
        <f>IF(TrRoad_act!X8=0,0,X24/TrRoad_act!X8*1000)</f>
        <v>39.145906358487053</v>
      </c>
      <c r="Y92" s="87">
        <f>IF(TrRoad_act!Y8=0,0,Y24/TrRoad_act!Y8*1000)</f>
        <v>37.113417678235358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57.204862694141809</v>
      </c>
      <c r="H93" s="87">
        <f>IF(TrRoad_act!H9=0,0,H26/TrRoad_act!H9*1000)</f>
        <v>46.592279785624477</v>
      </c>
      <c r="I93" s="87">
        <f>IF(TrRoad_act!I9=0,0,I26/TrRoad_act!I9*1000)</f>
        <v>103.08538642397866</v>
      </c>
      <c r="J93" s="87">
        <f>IF(TrRoad_act!J9=0,0,J26/TrRoad_act!J9*1000)</f>
        <v>64.118248915076521</v>
      </c>
      <c r="K93" s="87">
        <f>IF(TrRoad_act!K9=0,0,K26/TrRoad_act!K9*1000)</f>
        <v>62.236807083117561</v>
      </c>
      <c r="L93" s="87">
        <f>IF(TrRoad_act!L9=0,0,L26/TrRoad_act!L9*1000)</f>
        <v>79.407668310943876</v>
      </c>
      <c r="M93" s="87">
        <f>IF(TrRoad_act!M9=0,0,M26/TrRoad_act!M9*1000)</f>
        <v>55.205003753994674</v>
      </c>
      <c r="N93" s="87">
        <f>IF(TrRoad_act!N9=0,0,N26/TrRoad_act!N9*1000)</f>
        <v>36.303480483482844</v>
      </c>
      <c r="O93" s="87">
        <f>IF(TrRoad_act!O9=0,0,O26/TrRoad_act!O9*1000)</f>
        <v>19.624989590635447</v>
      </c>
      <c r="P93" s="87">
        <f>IF(TrRoad_act!P9=0,0,P26/TrRoad_act!P9*1000)</f>
        <v>23.610867734039157</v>
      </c>
      <c r="Q93" s="87">
        <f>IF(TrRoad_act!Q9=0,0,Q26/TrRoad_act!Q9*1000)</f>
        <v>136.65471393608109</v>
      </c>
      <c r="R93" s="87">
        <f>IF(TrRoad_act!R9=0,0,R26/TrRoad_act!R9*1000)</f>
        <v>63.170611849630426</v>
      </c>
      <c r="S93" s="87">
        <f>IF(TrRoad_act!S9=0,0,S26/TrRoad_act!S9*1000)</f>
        <v>0</v>
      </c>
      <c r="T93" s="87">
        <f>IF(TrRoad_act!T9=0,0,T26/TrRoad_act!T9*1000)</f>
        <v>0</v>
      </c>
      <c r="U93" s="87">
        <f>IF(TrRoad_act!U9=0,0,U26/TrRoad_act!U9*1000)</f>
        <v>0</v>
      </c>
      <c r="V93" s="87">
        <f>IF(TrRoad_act!V9=0,0,V26/TrRoad_act!V9*1000)</f>
        <v>0</v>
      </c>
      <c r="W93" s="87">
        <f>IF(TrRoad_act!W9=0,0,W26/TrRoad_act!W9*1000)</f>
        <v>0</v>
      </c>
      <c r="X93" s="87">
        <f>IF(TrRoad_act!X9=0,0,X26/TrRoad_act!X9*1000)</f>
        <v>0</v>
      </c>
      <c r="Y93" s="87">
        <f>IF(TrRoad_act!Y9=0,0,Y26/TrRoad_act!Y9*1000)</f>
        <v>0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42.684737228169354</v>
      </c>
      <c r="E94" s="87">
        <f>IF(TrRoad_act!E10=0,0,E27/TrRoad_act!E10*1000)</f>
        <v>42.918785166354937</v>
      </c>
      <c r="F94" s="87">
        <f>IF(TrRoad_act!F10=0,0,F27/TrRoad_act!F10*1000)</f>
        <v>42.94667541906994</v>
      </c>
      <c r="G94" s="87">
        <f>IF(TrRoad_act!G10=0,0,G27/TrRoad_act!G10*1000)</f>
        <v>41.771812709255883</v>
      </c>
      <c r="H94" s="87">
        <f>IF(TrRoad_act!H10=0,0,H27/TrRoad_act!H10*1000)</f>
        <v>42.045381902501148</v>
      </c>
      <c r="I94" s="87">
        <f>IF(TrRoad_act!I10=0,0,I27/TrRoad_act!I10*1000)</f>
        <v>42.643999583692782</v>
      </c>
      <c r="J94" s="87">
        <f>IF(TrRoad_act!J10=0,0,J27/TrRoad_act!J10*1000)</f>
        <v>42.25479218284017</v>
      </c>
      <c r="K94" s="87">
        <f>IF(TrRoad_act!K10=0,0,K27/TrRoad_act!K10*1000)</f>
        <v>42.827945710337417</v>
      </c>
      <c r="L94" s="87">
        <f>IF(TrRoad_act!L10=0,0,L27/TrRoad_act!L10*1000)</f>
        <v>40.433517914606973</v>
      </c>
      <c r="M94" s="87">
        <f>IF(TrRoad_act!M10=0,0,M27/TrRoad_act!M10*1000)</f>
        <v>40.122546838585947</v>
      </c>
      <c r="N94" s="87">
        <f>IF(TrRoad_act!N10=0,0,N27/TrRoad_act!N10*1000)</f>
        <v>42.478769793056287</v>
      </c>
      <c r="O94" s="87">
        <f>IF(TrRoad_act!O10=0,0,O27/TrRoad_act!O10*1000)</f>
        <v>42.872134187605575</v>
      </c>
      <c r="P94" s="87">
        <f>IF(TrRoad_act!P10=0,0,P27/TrRoad_act!P10*1000)</f>
        <v>42.837547091783755</v>
      </c>
      <c r="Q94" s="87">
        <f>IF(TrRoad_act!Q10=0,0,Q27/TrRoad_act!Q10*1000)</f>
        <v>43.390310534839912</v>
      </c>
      <c r="R94" s="87">
        <f>IF(TrRoad_act!R10=0,0,R27/TrRoad_act!R10*1000)</f>
        <v>51.956165964864994</v>
      </c>
      <c r="S94" s="87">
        <f>IF(TrRoad_act!S10=0,0,S27/TrRoad_act!S10*1000)</f>
        <v>51.259000493580579</v>
      </c>
      <c r="T94" s="87">
        <f>IF(TrRoad_act!T10=0,0,T27/TrRoad_act!T10*1000)</f>
        <v>50.610788471407425</v>
      </c>
      <c r="U94" s="87">
        <f>IF(TrRoad_act!U10=0,0,U27/TrRoad_act!U10*1000)</f>
        <v>49.288973428256675</v>
      </c>
      <c r="V94" s="87">
        <f>IF(TrRoad_act!V10=0,0,V27/TrRoad_act!V10*1000)</f>
        <v>48.492175911276242</v>
      </c>
      <c r="W94" s="87">
        <f>IF(TrRoad_act!W10=0,0,W27/TrRoad_act!W10*1000)</f>
        <v>49.934005082266509</v>
      </c>
      <c r="X94" s="87">
        <f>IF(TrRoad_act!X10=0,0,X27/TrRoad_act!X10*1000)</f>
        <v>45.210024021509682</v>
      </c>
      <c r="Y94" s="87">
        <f>IF(TrRoad_act!Y10=0,0,Y27/TrRoad_act!Y10*1000)</f>
        <v>40.750240149073342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19.789692722658302</v>
      </c>
      <c r="K95" s="87">
        <f>IF(TrRoad_act!K11=0,0,K29/TrRoad_act!K11*1000)</f>
        <v>20.093522070764696</v>
      </c>
      <c r="L95" s="87">
        <f>IF(TrRoad_act!L11=0,0,L29/TrRoad_act!L11*1000)</f>
        <v>20.345383140181394</v>
      </c>
      <c r="M95" s="87">
        <f>IF(TrRoad_act!M11=0,0,M29/TrRoad_act!M11*1000)</f>
        <v>19.018469346455454</v>
      </c>
      <c r="N95" s="87">
        <f>IF(TrRoad_act!N11=0,0,N29/TrRoad_act!N11*1000)</f>
        <v>18.349605889583117</v>
      </c>
      <c r="O95" s="87">
        <f>IF(TrRoad_act!O11=0,0,O29/TrRoad_act!O11*1000)</f>
        <v>18.935908732805792</v>
      </c>
      <c r="P95" s="87">
        <f>IF(TrRoad_act!P11=0,0,P29/TrRoad_act!P11*1000)</f>
        <v>19.43160548621514</v>
      </c>
      <c r="Q95" s="87">
        <f>IF(TrRoad_act!Q11=0,0,Q29/TrRoad_act!Q11*1000)</f>
        <v>20.240293416375202</v>
      </c>
      <c r="R95" s="87">
        <f>IF(TrRoad_act!R11=0,0,R29/TrRoad_act!R11*1000)</f>
        <v>25.249962434882967</v>
      </c>
      <c r="S95" s="87">
        <f>IF(TrRoad_act!S11=0,0,S29/TrRoad_act!S11*1000)</f>
        <v>25.617432030941952</v>
      </c>
      <c r="T95" s="87">
        <f>IF(TrRoad_act!T11=0,0,T29/TrRoad_act!T11*1000)</f>
        <v>26.01684623602068</v>
      </c>
      <c r="U95" s="87">
        <f>IF(TrRoad_act!U11=0,0,U29/TrRoad_act!U11*1000)</f>
        <v>25.410629733070373</v>
      </c>
      <c r="V95" s="87">
        <f>IF(TrRoad_act!V11=0,0,V29/TrRoad_act!V11*1000)</f>
        <v>24.515655747301746</v>
      </c>
      <c r="W95" s="87">
        <f>IF(TrRoad_act!W11=0,0,W29/TrRoad_act!W11*1000)</f>
        <v>25.342227398615965</v>
      </c>
      <c r="X95" s="87">
        <f>IF(TrRoad_act!X11=0,0,X29/TrRoad_act!X11*1000)</f>
        <v>22.881488236733269</v>
      </c>
      <c r="Y95" s="87">
        <f>IF(TrRoad_act!Y11=0,0,Y29/TrRoad_act!Y11*1000)</f>
        <v>20.82550438959009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8.5990432377799131</v>
      </c>
      <c r="K96" s="87">
        <f>IF(TrRoad_act!K12=0,0,K32/TrRoad_act!K12*1000)</f>
        <v>8.8920188934791806</v>
      </c>
      <c r="L96" s="87">
        <f>IF(TrRoad_act!L12=0,0,L32/TrRoad_act!L12*1000)</f>
        <v>9.1801998528163349</v>
      </c>
      <c r="M96" s="87">
        <f>IF(TrRoad_act!M12=0,0,M32/TrRoad_act!M12*1000)</f>
        <v>9.4138893340949945</v>
      </c>
      <c r="N96" s="87">
        <f>IF(TrRoad_act!N12=0,0,N32/TrRoad_act!N12*1000)</f>
        <v>8.9821440312632372</v>
      </c>
      <c r="O96" s="87">
        <f>IF(TrRoad_act!O12=0,0,O32/TrRoad_act!O12*1000)</f>
        <v>9.0174534650907248</v>
      </c>
      <c r="P96" s="87">
        <f>IF(TrRoad_act!P12=0,0,P32/TrRoad_act!P12*1000)</f>
        <v>8.7128739636298356</v>
      </c>
      <c r="Q96" s="87">
        <f>IF(TrRoad_act!Q12=0,0,Q32/TrRoad_act!Q12*1000)</f>
        <v>9.7411629508348465</v>
      </c>
      <c r="R96" s="87">
        <f>IF(TrRoad_act!R12=0,0,R32/TrRoad_act!R12*1000)</f>
        <v>12.221864216592522</v>
      </c>
      <c r="S96" s="87">
        <f>IF(TrRoad_act!S12=0,0,S32/TrRoad_act!S12*1000)</f>
        <v>12.280867742123451</v>
      </c>
      <c r="T96" s="87">
        <f>IF(TrRoad_act!T12=0,0,T32/TrRoad_act!T12*1000)</f>
        <v>12.793606659964894</v>
      </c>
      <c r="U96" s="87">
        <f>IF(TrRoad_act!U12=0,0,U32/TrRoad_act!U12*1000)</f>
        <v>13.231337125438198</v>
      </c>
      <c r="V96" s="87">
        <f>IF(TrRoad_act!V12=0,0,V32/TrRoad_act!V12*1000)</f>
        <v>13.47063921849432</v>
      </c>
      <c r="W96" s="87">
        <f>IF(TrRoad_act!W12=0,0,W32/TrRoad_act!W12*1000)</f>
        <v>14.245899084432924</v>
      </c>
      <c r="X96" s="87">
        <f>IF(TrRoad_act!X12=0,0,X32/TrRoad_act!X12*1000)</f>
        <v>13.135221560369924</v>
      </c>
      <c r="Y96" s="87">
        <f>IF(TrRoad_act!Y12=0,0,Y32/TrRoad_act!Y12*1000)</f>
        <v>12.656805698211349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66.134979381036374</v>
      </c>
      <c r="C97" s="116">
        <f>IF(TrRoad_act!C13=0,0,C33/TrRoad_act!C13*1000)</f>
        <v>63.909743295986353</v>
      </c>
      <c r="D97" s="116">
        <f>IF(TrRoad_act!D13=0,0,D33/TrRoad_act!D13*1000)</f>
        <v>61.869237141664883</v>
      </c>
      <c r="E97" s="116">
        <f>IF(TrRoad_act!E13=0,0,E33/TrRoad_act!E13*1000)</f>
        <v>62.443972116825897</v>
      </c>
      <c r="F97" s="116">
        <f>IF(TrRoad_act!F13=0,0,F33/TrRoad_act!F13*1000)</f>
        <v>61.989376748995262</v>
      </c>
      <c r="G97" s="116">
        <f>IF(TrRoad_act!G13=0,0,G33/TrRoad_act!G13*1000)</f>
        <v>55.273623401508175</v>
      </c>
      <c r="H97" s="116">
        <f>IF(TrRoad_act!H13=0,0,H33/TrRoad_act!H13*1000)</f>
        <v>57.3516298049881</v>
      </c>
      <c r="I97" s="116">
        <f>IF(TrRoad_act!I13=0,0,I33/TrRoad_act!I13*1000)</f>
        <v>54.181382018127088</v>
      </c>
      <c r="J97" s="116">
        <f>IF(TrRoad_act!J13=0,0,J33/TrRoad_act!J13*1000)</f>
        <v>55.684536085970414</v>
      </c>
      <c r="K97" s="116">
        <f>IF(TrRoad_act!K13=0,0,K33/TrRoad_act!K13*1000)</f>
        <v>52.882143573748408</v>
      </c>
      <c r="L97" s="116">
        <f>IF(TrRoad_act!L13=0,0,L33/TrRoad_act!L13*1000)</f>
        <v>54.290131177453638</v>
      </c>
      <c r="M97" s="116">
        <f>IF(TrRoad_act!M13=0,0,M33/TrRoad_act!M13*1000)</f>
        <v>55.309892202944752</v>
      </c>
      <c r="N97" s="116">
        <f>IF(TrRoad_act!N13=0,0,N33/TrRoad_act!N13*1000)</f>
        <v>56.61696283761971</v>
      </c>
      <c r="O97" s="116">
        <f>IF(TrRoad_act!O13=0,0,O33/TrRoad_act!O13*1000)</f>
        <v>44.015819051214741</v>
      </c>
      <c r="P97" s="116">
        <f>IF(TrRoad_act!P13=0,0,P33/TrRoad_act!P13*1000)</f>
        <v>41.738242967025776</v>
      </c>
      <c r="Q97" s="116">
        <f>IF(TrRoad_act!Q13=0,0,Q33/TrRoad_act!Q13*1000)</f>
        <v>41.177241366163884</v>
      </c>
      <c r="R97" s="116">
        <f>IF(TrRoad_act!R13=0,0,R33/TrRoad_act!R13*1000)</f>
        <v>40.640353346444485</v>
      </c>
      <c r="S97" s="116">
        <f>IF(TrRoad_act!S13=0,0,S33/TrRoad_act!S13*1000)</f>
        <v>39.840052185695704</v>
      </c>
      <c r="T97" s="116">
        <f>IF(TrRoad_act!T13=0,0,T33/TrRoad_act!T13*1000)</f>
        <v>40.167705268665372</v>
      </c>
      <c r="U97" s="116">
        <f>IF(TrRoad_act!U13=0,0,U33/TrRoad_act!U13*1000)</f>
        <v>46.003943985021188</v>
      </c>
      <c r="V97" s="116">
        <f>IF(TrRoad_act!V13=0,0,V33/TrRoad_act!V13*1000)</f>
        <v>45.774771607495488</v>
      </c>
      <c r="W97" s="116">
        <f>IF(TrRoad_act!W13=0,0,W33/TrRoad_act!W13*1000)</f>
        <v>44.549955771427499</v>
      </c>
      <c r="X97" s="116">
        <f>IF(TrRoad_act!X13=0,0,X33/TrRoad_act!X13*1000)</f>
        <v>43.189277003842385</v>
      </c>
      <c r="Y97" s="116">
        <f>IF(TrRoad_act!Y13=0,0,Y33/TrRoad_act!Y13*1000)</f>
        <v>43.967235807981446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33.569273608536754</v>
      </c>
      <c r="C98" s="101">
        <f>IF(TrRoad_act!C14=0,0,C34/TrRoad_act!C14*1000)</f>
        <v>33.401692294249791</v>
      </c>
      <c r="D98" s="101">
        <f>IF(TrRoad_act!D14=0,0,D34/TrRoad_act!D14*1000)</f>
        <v>33.341539040433616</v>
      </c>
      <c r="E98" s="101">
        <f>IF(TrRoad_act!E14=0,0,E34/TrRoad_act!E14*1000)</f>
        <v>33.213535934383223</v>
      </c>
      <c r="F98" s="101">
        <f>IF(TrRoad_act!F14=0,0,F34/TrRoad_act!F14*1000)</f>
        <v>33.081255398599012</v>
      </c>
      <c r="G98" s="101">
        <f>IF(TrRoad_act!G14=0,0,G34/TrRoad_act!G14*1000)</f>
        <v>32.938629804703041</v>
      </c>
      <c r="H98" s="101">
        <f>IF(TrRoad_act!H14=0,0,H34/TrRoad_act!H14*1000)</f>
        <v>32.543771100146955</v>
      </c>
      <c r="I98" s="101">
        <f>IF(TrRoad_act!I14=0,0,I34/TrRoad_act!I14*1000)</f>
        <v>32.295302199359433</v>
      </c>
      <c r="J98" s="101">
        <f>IF(TrRoad_act!J14=0,0,J34/TrRoad_act!J14*1000)</f>
        <v>31.926642325006345</v>
      </c>
      <c r="K98" s="101">
        <f>IF(TrRoad_act!K14=0,0,K34/TrRoad_act!K14*1000)</f>
        <v>31.147375021525114</v>
      </c>
      <c r="L98" s="101">
        <f>IF(TrRoad_act!L14=0,0,L34/TrRoad_act!L14*1000)</f>
        <v>28.931078273552448</v>
      </c>
      <c r="M98" s="101">
        <f>IF(TrRoad_act!M14=0,0,M34/TrRoad_act!M14*1000)</f>
        <v>26.709819983151331</v>
      </c>
      <c r="N98" s="101">
        <f>IF(TrRoad_act!N14=0,0,N34/TrRoad_act!N14*1000)</f>
        <v>26.304883349012936</v>
      </c>
      <c r="O98" s="101">
        <f>IF(TrRoad_act!O14=0,0,O34/TrRoad_act!O14*1000)</f>
        <v>25.705620675732803</v>
      </c>
      <c r="P98" s="101">
        <f>IF(TrRoad_act!P14=0,0,P34/TrRoad_act!P14*1000)</f>
        <v>25.242946994151779</v>
      </c>
      <c r="Q98" s="101">
        <f>IF(TrRoad_act!Q14=0,0,Q34/TrRoad_act!Q14*1000)</f>
        <v>25.162152274480057</v>
      </c>
      <c r="R98" s="101">
        <f>IF(TrRoad_act!R14=0,0,R34/TrRoad_act!R14*1000)</f>
        <v>24.4242794567453</v>
      </c>
      <c r="S98" s="101">
        <f>IF(TrRoad_act!S14=0,0,S34/TrRoad_act!S14*1000)</f>
        <v>24.175451841200633</v>
      </c>
      <c r="T98" s="101">
        <f>IF(TrRoad_act!T14=0,0,T34/TrRoad_act!T14*1000)</f>
        <v>23.942739263341146</v>
      </c>
      <c r="U98" s="101">
        <f>IF(TrRoad_act!U14=0,0,U34/TrRoad_act!U14*1000)</f>
        <v>23.575256327772138</v>
      </c>
      <c r="V98" s="101">
        <f>IF(TrRoad_act!V14=0,0,V34/TrRoad_act!V14*1000)</f>
        <v>23.504279520061765</v>
      </c>
      <c r="W98" s="101">
        <f>IF(TrRoad_act!W14=0,0,W34/TrRoad_act!W14*1000)</f>
        <v>23.463498092123363</v>
      </c>
      <c r="X98" s="101">
        <f>IF(TrRoad_act!X14=0,0,X34/TrRoad_act!X14*1000)</f>
        <v>23.286564013649944</v>
      </c>
      <c r="Y98" s="101">
        <f>IF(TrRoad_act!Y14=0,0,Y34/TrRoad_act!Y14*1000)</f>
        <v>23.20886780613084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67.422632985825032</v>
      </c>
      <c r="C99" s="101">
        <f>IF(TrRoad_act!C15=0,0,C36/TrRoad_act!C15*1000)</f>
        <v>65.22107954753497</v>
      </c>
      <c r="D99" s="101">
        <f>IF(TrRoad_act!D15=0,0,D36/TrRoad_act!D15*1000)</f>
        <v>63.067358133324966</v>
      </c>
      <c r="E99" s="101">
        <f>IF(TrRoad_act!E15=0,0,E36/TrRoad_act!E15*1000)</f>
        <v>63.253089072325892</v>
      </c>
      <c r="F99" s="101">
        <f>IF(TrRoad_act!F15=0,0,F36/TrRoad_act!F15*1000)</f>
        <v>63.345818943289821</v>
      </c>
      <c r="G99" s="101">
        <f>IF(TrRoad_act!G15=0,0,G36/TrRoad_act!G15*1000)</f>
        <v>59.216135076711204</v>
      </c>
      <c r="H99" s="101">
        <f>IF(TrRoad_act!H15=0,0,H36/TrRoad_act!H15*1000)</f>
        <v>58.620959798722033</v>
      </c>
      <c r="I99" s="101">
        <f>IF(TrRoad_act!I15=0,0,I36/TrRoad_act!I15*1000)</f>
        <v>55.928683632466495</v>
      </c>
      <c r="J99" s="101">
        <f>IF(TrRoad_act!J15=0,0,J36/TrRoad_act!J15*1000)</f>
        <v>56.650953430080257</v>
      </c>
      <c r="K99" s="101">
        <f>IF(TrRoad_act!K15=0,0,K36/TrRoad_act!K15*1000)</f>
        <v>55.278756291526527</v>
      </c>
      <c r="L99" s="101">
        <f>IF(TrRoad_act!L15=0,0,L36/TrRoad_act!L15*1000)</f>
        <v>57.809914114599785</v>
      </c>
      <c r="M99" s="101">
        <f>IF(TrRoad_act!M15=0,0,M36/TrRoad_act!M15*1000)</f>
        <v>56.238057085058813</v>
      </c>
      <c r="N99" s="101">
        <f>IF(TrRoad_act!N15=0,0,N36/TrRoad_act!N15*1000)</f>
        <v>57.00309673907217</v>
      </c>
      <c r="O99" s="101">
        <f>IF(TrRoad_act!O15=0,0,O36/TrRoad_act!O15*1000)</f>
        <v>56.208522535106532</v>
      </c>
      <c r="P99" s="101">
        <f>IF(TrRoad_act!P15=0,0,P36/TrRoad_act!P15*1000)</f>
        <v>53.003689575618345</v>
      </c>
      <c r="Q99" s="101">
        <f>IF(TrRoad_act!Q15=0,0,Q36/TrRoad_act!Q15*1000)</f>
        <v>52.821880924459705</v>
      </c>
      <c r="R99" s="101">
        <f>IF(TrRoad_act!R15=0,0,R36/TrRoad_act!R15*1000)</f>
        <v>51.561951803685282</v>
      </c>
      <c r="S99" s="101">
        <f>IF(TrRoad_act!S15=0,0,S36/TrRoad_act!S15*1000)</f>
        <v>52.314875428445148</v>
      </c>
      <c r="T99" s="101">
        <f>IF(TrRoad_act!T15=0,0,T36/TrRoad_act!T15*1000)</f>
        <v>50.869591369580405</v>
      </c>
      <c r="U99" s="101">
        <f>IF(TrRoad_act!U15=0,0,U36/TrRoad_act!U15*1000)</f>
        <v>49.329735541530901</v>
      </c>
      <c r="V99" s="101">
        <f>IF(TrRoad_act!V15=0,0,V36/TrRoad_act!V15*1000)</f>
        <v>51.106805208532016</v>
      </c>
      <c r="W99" s="101">
        <f>IF(TrRoad_act!W15=0,0,W36/TrRoad_act!W15*1000)</f>
        <v>50.020787838679666</v>
      </c>
      <c r="X99" s="101">
        <f>IF(TrRoad_act!X15=0,0,X36/TrRoad_act!X15*1000)</f>
        <v>47.924364908796626</v>
      </c>
      <c r="Y99" s="101">
        <f>IF(TrRoad_act!Y15=0,0,Y36/TrRoad_act!Y15*1000)</f>
        <v>46.682145172963075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0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44.538217677122105</v>
      </c>
      <c r="C101" s="101">
        <f>IF(TrRoad_act!C17=0,0,C39/TrRoad_act!C17*1000)</f>
        <v>39.141033823005728</v>
      </c>
      <c r="D101" s="101">
        <f>IF(TrRoad_act!D17=0,0,D39/TrRoad_act!D17*1000)</f>
        <v>37.590661658435664</v>
      </c>
      <c r="E101" s="101">
        <f>IF(TrRoad_act!E17=0,0,E39/TrRoad_act!E17*1000)</f>
        <v>48.863304474030954</v>
      </c>
      <c r="F101" s="101">
        <f>IF(TrRoad_act!F17=0,0,F39/TrRoad_act!F17*1000)</f>
        <v>32.814157837607468</v>
      </c>
      <c r="G101" s="101">
        <f>IF(TrRoad_act!G17=0,0,G39/TrRoad_act!G17*1000)</f>
        <v>11.761212707275154</v>
      </c>
      <c r="H101" s="101">
        <f>IF(TrRoad_act!H17=0,0,H39/TrRoad_act!H17*1000)</f>
        <v>35.087666205511383</v>
      </c>
      <c r="I101" s="101">
        <f>IF(TrRoad_act!I17=0,0,I39/TrRoad_act!I17*1000)</f>
        <v>27.697805263127865</v>
      </c>
      <c r="J101" s="101">
        <f>IF(TrRoad_act!J17=0,0,J39/TrRoad_act!J17*1000)</f>
        <v>45.706973622678973</v>
      </c>
      <c r="K101" s="101">
        <f>IF(TrRoad_act!K17=0,0,K39/TrRoad_act!K17*1000)</f>
        <v>32.869145075725676</v>
      </c>
      <c r="L101" s="101">
        <f>IF(TrRoad_act!L17=0,0,L39/TrRoad_act!L17*1000)</f>
        <v>29.125305443110456</v>
      </c>
      <c r="M101" s="101">
        <f>IF(TrRoad_act!M17=0,0,M39/TrRoad_act!M17*1000)</f>
        <v>50.860002532294729</v>
      </c>
      <c r="N101" s="101">
        <f>IF(TrRoad_act!N17=0,0,N39/TrRoad_act!N17*1000)</f>
        <v>55.08663558149884</v>
      </c>
      <c r="O101" s="101">
        <f>IF(TrRoad_act!O17=0,0,O39/TrRoad_act!O17*1000)</f>
        <v>24.432794801847841</v>
      </c>
      <c r="P101" s="101">
        <f>IF(TrRoad_act!P17=0,0,P39/TrRoad_act!P17*1000)</f>
        <v>24.4257129180384</v>
      </c>
      <c r="Q101" s="101">
        <f>IF(TrRoad_act!Q17=0,0,Q39/TrRoad_act!Q17*1000)</f>
        <v>22.74986923331112</v>
      </c>
      <c r="R101" s="101">
        <f>IF(TrRoad_act!R17=0,0,R39/TrRoad_act!R17*1000)</f>
        <v>22.510110579812252</v>
      </c>
      <c r="S101" s="101">
        <f>IF(TrRoad_act!S17=0,0,S39/TrRoad_act!S17*1000)</f>
        <v>19.426433168238763</v>
      </c>
      <c r="T101" s="101">
        <f>IF(TrRoad_act!T17=0,0,T39/TrRoad_act!T17*1000)</f>
        <v>21.639015285144215</v>
      </c>
      <c r="U101" s="101">
        <f>IF(TrRoad_act!U17=0,0,U39/TrRoad_act!U17*1000)</f>
        <v>31.991216990813857</v>
      </c>
      <c r="V101" s="101">
        <f>IF(TrRoad_act!V17=0,0,V39/TrRoad_act!V17*1000)</f>
        <v>27.365194667725525</v>
      </c>
      <c r="W101" s="101">
        <f>IF(TrRoad_act!W17=0,0,W39/TrRoad_act!W17*1000)</f>
        <v>25.032725214207158</v>
      </c>
      <c r="X101" s="101">
        <f>IF(TrRoad_act!X17=0,0,X39/TrRoad_act!X17*1000)</f>
        <v>25.012363892178524</v>
      </c>
      <c r="Y101" s="101">
        <f>IF(TrRoad_act!Y17=0,0,Y39/TrRoad_act!Y17*1000)</f>
        <v>36.108593306633139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39.126131722038103</v>
      </c>
      <c r="C102" s="101">
        <f>IF(TrRoad_act!C18=0,0,C41/TrRoad_act!C18*1000)</f>
        <v>37.064961437521561</v>
      </c>
      <c r="D102" s="101">
        <f>IF(TrRoad_act!D18=0,0,D41/TrRoad_act!D18*1000)</f>
        <v>36.708212267070905</v>
      </c>
      <c r="E102" s="101">
        <f>IF(TrRoad_act!E18=0,0,E41/TrRoad_act!E18*1000)</f>
        <v>35.566192580648547</v>
      </c>
      <c r="F102" s="101">
        <f>IF(TrRoad_act!F18=0,0,F41/TrRoad_act!F18*1000)</f>
        <v>34.806817110793375</v>
      </c>
      <c r="G102" s="101">
        <f>IF(TrRoad_act!G18=0,0,G41/TrRoad_act!G18*1000)</f>
        <v>34.136877016739128</v>
      </c>
      <c r="H102" s="101">
        <f>IF(TrRoad_act!H18=0,0,H41/TrRoad_act!H18*1000)</f>
        <v>33.555887109106941</v>
      </c>
      <c r="I102" s="101">
        <f>IF(TrRoad_act!I18=0,0,I41/TrRoad_act!I18*1000)</f>
        <v>32.620856673961725</v>
      </c>
      <c r="J102" s="101">
        <f>IF(TrRoad_act!J18=0,0,J41/TrRoad_act!J18*1000)</f>
        <v>33.454167311542342</v>
      </c>
      <c r="K102" s="101">
        <f>IF(TrRoad_act!K18=0,0,K41/TrRoad_act!K18*1000)</f>
        <v>33.202470861788647</v>
      </c>
      <c r="L102" s="101">
        <f>IF(TrRoad_act!L18=0,0,L41/TrRoad_act!L18*1000)</f>
        <v>34.842952898435101</v>
      </c>
      <c r="M102" s="101">
        <f>IF(TrRoad_act!M18=0,0,M41/TrRoad_act!M18*1000)</f>
        <v>34.716525647274921</v>
      </c>
      <c r="N102" s="101">
        <f>IF(TrRoad_act!N18=0,0,N41/TrRoad_act!N18*1000)</f>
        <v>34.695375150395279</v>
      </c>
      <c r="O102" s="101">
        <f>IF(TrRoad_act!O18=0,0,O41/TrRoad_act!O18*1000)</f>
        <v>33.838087494569329</v>
      </c>
      <c r="P102" s="101">
        <f>IF(TrRoad_act!P18=0,0,P41/TrRoad_act!P18*1000)</f>
        <v>33.313966712324181</v>
      </c>
      <c r="Q102" s="101">
        <f>IF(TrRoad_act!Q18=0,0,Q41/TrRoad_act!Q18*1000)</f>
        <v>33.356107544309836</v>
      </c>
      <c r="R102" s="101">
        <f>IF(TrRoad_act!R18=0,0,R41/TrRoad_act!R18*1000)</f>
        <v>33.520084183191614</v>
      </c>
      <c r="S102" s="101">
        <f>IF(TrRoad_act!S18=0,0,S41/TrRoad_act!S18*1000)</f>
        <v>33.515914890269521</v>
      </c>
      <c r="T102" s="101">
        <f>IF(TrRoad_act!T18=0,0,T41/TrRoad_act!T18*1000)</f>
        <v>33.343926108403863</v>
      </c>
      <c r="U102" s="101">
        <f>IF(TrRoad_act!U18=0,0,U41/TrRoad_act!U18*1000)</f>
        <v>32.324203236303745</v>
      </c>
      <c r="V102" s="101">
        <f>IF(TrRoad_act!V18=0,0,V41/TrRoad_act!V18*1000)</f>
        <v>32.650850189106158</v>
      </c>
      <c r="W102" s="101">
        <f>IF(TrRoad_act!W18=0,0,W41/TrRoad_act!W18*1000)</f>
        <v>31.849696221554439</v>
      </c>
      <c r="X102" s="101">
        <f>IF(TrRoad_act!X18=0,0,X41/TrRoad_act!X18*1000)</f>
        <v>31.079274834074685</v>
      </c>
      <c r="Y102" s="101">
        <f>IF(TrRoad_act!Y18=0,0,Y41/TrRoad_act!Y18*1000)</f>
        <v>30.353999592728307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42.251140468250007</v>
      </c>
      <c r="C103" s="29">
        <f>IF(TrRoad_act!C19=0,0,C42/TrRoad_act!C19*1000)</f>
        <v>44.473910182951464</v>
      </c>
      <c r="D103" s="29">
        <f>IF(TrRoad_act!D19=0,0,D42/TrRoad_act!D19*1000)</f>
        <v>42.014940851951145</v>
      </c>
      <c r="E103" s="29">
        <f>IF(TrRoad_act!E19=0,0,E42/TrRoad_act!E19*1000)</f>
        <v>43.872707098240269</v>
      </c>
      <c r="F103" s="29">
        <f>IF(TrRoad_act!F19=0,0,F42/TrRoad_act!F19*1000)</f>
        <v>45.328993604287788</v>
      </c>
      <c r="G103" s="29">
        <f>IF(TrRoad_act!G19=0,0,G42/TrRoad_act!G19*1000)</f>
        <v>41.025152840030358</v>
      </c>
      <c r="H103" s="29">
        <f>IF(TrRoad_act!H19=0,0,H42/TrRoad_act!H19*1000)</f>
        <v>41.104390229413504</v>
      </c>
      <c r="I103" s="29">
        <f>IF(TrRoad_act!I19=0,0,I42/TrRoad_act!I19*1000)</f>
        <v>41.033635613743641</v>
      </c>
      <c r="J103" s="29">
        <f>IF(TrRoad_act!J19=0,0,J42/TrRoad_act!J19*1000)</f>
        <v>40.293475600398722</v>
      </c>
      <c r="K103" s="29">
        <f>IF(TrRoad_act!K19=0,0,K42/TrRoad_act!K19*1000)</f>
        <v>44.36444092392523</v>
      </c>
      <c r="L103" s="29">
        <f>IF(TrRoad_act!L19=0,0,L42/TrRoad_act!L19*1000)</f>
        <v>45.41875787618109</v>
      </c>
      <c r="M103" s="29">
        <f>IF(TrRoad_act!M19=0,0,M42/TrRoad_act!M19*1000)</f>
        <v>43.914362853751676</v>
      </c>
      <c r="N103" s="29">
        <f>IF(TrRoad_act!N19=0,0,N42/TrRoad_act!N19*1000)</f>
        <v>43.021780955737022</v>
      </c>
      <c r="O103" s="29">
        <f>IF(TrRoad_act!O19=0,0,O42/TrRoad_act!O19*1000)</f>
        <v>41.810107623795183</v>
      </c>
      <c r="P103" s="29">
        <f>IF(TrRoad_act!P19=0,0,P42/TrRoad_act!P19*1000)</f>
        <v>35.38254517481073</v>
      </c>
      <c r="Q103" s="29">
        <f>IF(TrRoad_act!Q19=0,0,Q42/TrRoad_act!Q19*1000)</f>
        <v>35.288078157671976</v>
      </c>
      <c r="R103" s="29">
        <f>IF(TrRoad_act!R19=0,0,R42/TrRoad_act!R19*1000)</f>
        <v>32.065590798699468</v>
      </c>
      <c r="S103" s="29">
        <f>IF(TrRoad_act!S19=0,0,S42/TrRoad_act!S19*1000)</f>
        <v>33.756664658889669</v>
      </c>
      <c r="T103" s="29">
        <f>IF(TrRoad_act!T19=0,0,T42/TrRoad_act!T19*1000)</f>
        <v>30.534614290975604</v>
      </c>
      <c r="U103" s="29">
        <f>IF(TrRoad_act!U19=0,0,U42/TrRoad_act!U19*1000)</f>
        <v>30.396991128445993</v>
      </c>
      <c r="V103" s="29">
        <f>IF(TrRoad_act!V19=0,0,V42/TrRoad_act!V19*1000)</f>
        <v>31.75958982879304</v>
      </c>
      <c r="W103" s="29">
        <f>IF(TrRoad_act!W19=0,0,W42/TrRoad_act!W19*1000)</f>
        <v>30.505121376841796</v>
      </c>
      <c r="X103" s="29">
        <f>IF(TrRoad_act!X19=0,0,X42/TrRoad_act!X19*1000)</f>
        <v>29.059399042366941</v>
      </c>
      <c r="Y103" s="29">
        <f>IF(TrRoad_act!Y19=0,0,Y42/TrRoad_act!Y19*1000)</f>
        <v>30.551179620632141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564.59803633525132</v>
      </c>
      <c r="C104" s="152">
        <f>IF(TrRoad_act!C20=0,0,C43/TrRoad_act!C20*1000)</f>
        <v>527.29736530720322</v>
      </c>
      <c r="D104" s="152">
        <f>IF(TrRoad_act!D20=0,0,D43/TrRoad_act!D20*1000)</f>
        <v>504.53633191222826</v>
      </c>
      <c r="E104" s="152">
        <f>IF(TrRoad_act!E20=0,0,E43/TrRoad_act!E20*1000)</f>
        <v>501.53045874898038</v>
      </c>
      <c r="F104" s="152">
        <f>IF(TrRoad_act!F20=0,0,F43/TrRoad_act!F20*1000)</f>
        <v>504.46486325617946</v>
      </c>
      <c r="G104" s="152">
        <f>IF(TrRoad_act!G20=0,0,G43/TrRoad_act!G20*1000)</f>
        <v>466.79637868759096</v>
      </c>
      <c r="H104" s="152">
        <f>IF(TrRoad_act!H20=0,0,H43/TrRoad_act!H20*1000)</f>
        <v>463.77579809158152</v>
      </c>
      <c r="I104" s="152">
        <f>IF(TrRoad_act!I20=0,0,I43/TrRoad_act!I20*1000)</f>
        <v>450.95498535353687</v>
      </c>
      <c r="J104" s="152">
        <f>IF(TrRoad_act!J20=0,0,J43/TrRoad_act!J20*1000)</f>
        <v>443.24121376976888</v>
      </c>
      <c r="K104" s="152">
        <f>IF(TrRoad_act!K20=0,0,K43/TrRoad_act!K20*1000)</f>
        <v>434.92815416135772</v>
      </c>
      <c r="L104" s="152">
        <f>IF(TrRoad_act!L20=0,0,L43/TrRoad_act!L20*1000)</f>
        <v>440.51634188027816</v>
      </c>
      <c r="M104" s="152">
        <f>IF(TrRoad_act!M20=0,0,M43/TrRoad_act!M20*1000)</f>
        <v>430.96358176012961</v>
      </c>
      <c r="N104" s="152">
        <f>IF(TrRoad_act!N20=0,0,N43/TrRoad_act!N20*1000)</f>
        <v>410.30626041564506</v>
      </c>
      <c r="O104" s="152">
        <f>IF(TrRoad_act!O20=0,0,O43/TrRoad_act!O20*1000)</f>
        <v>401.44859679815784</v>
      </c>
      <c r="P104" s="152">
        <f>IF(TrRoad_act!P20=0,0,P43/TrRoad_act!P20*1000)</f>
        <v>375.88660085238939</v>
      </c>
      <c r="Q104" s="152">
        <f>IF(TrRoad_act!Q20=0,0,Q43/TrRoad_act!Q20*1000)</f>
        <v>370.1394471731403</v>
      </c>
      <c r="R104" s="152">
        <f>IF(TrRoad_act!R20=0,0,R43/TrRoad_act!R20*1000)</f>
        <v>351.01318055771168</v>
      </c>
      <c r="S104" s="152">
        <f>IF(TrRoad_act!S20=0,0,S43/TrRoad_act!S20*1000)</f>
        <v>351.15584584223694</v>
      </c>
      <c r="T104" s="152">
        <f>IF(TrRoad_act!T20=0,0,T43/TrRoad_act!T20*1000)</f>
        <v>335.13773980278074</v>
      </c>
      <c r="U104" s="152">
        <f>IF(TrRoad_act!U20=0,0,U43/TrRoad_act!U20*1000)</f>
        <v>330.73546304681958</v>
      </c>
      <c r="V104" s="152">
        <f>IF(TrRoad_act!V20=0,0,V43/TrRoad_act!V20*1000)</f>
        <v>337.69534760272745</v>
      </c>
      <c r="W104" s="152">
        <f>IF(TrRoad_act!W20=0,0,W43/TrRoad_act!W20*1000)</f>
        <v>337.82173133036662</v>
      </c>
      <c r="X104" s="152">
        <f>IF(TrRoad_act!X20=0,0,X43/TrRoad_act!X20*1000)</f>
        <v>325.0900453554687</v>
      </c>
      <c r="Y104" s="152">
        <f>IF(TrRoad_act!Y20=0,0,Y43/TrRoad_act!Y20*1000)</f>
        <v>321.94815860596441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667.84523979409164</v>
      </c>
      <c r="C105" s="87">
        <f>IF(TrRoad_act!C21=0,0,C44/TrRoad_act!C21*1000)</f>
        <v>659.12090413489409</v>
      </c>
      <c r="D105" s="87">
        <f>IF(TrRoad_act!D21=0,0,D44/TrRoad_act!D21*1000)</f>
        <v>651.47690453006783</v>
      </c>
      <c r="E105" s="87">
        <f>IF(TrRoad_act!E21=0,0,E44/TrRoad_act!E21*1000)</f>
        <v>639.73275229929402</v>
      </c>
      <c r="F105" s="87">
        <f>IF(TrRoad_act!F21=0,0,F44/TrRoad_act!F21*1000)</f>
        <v>629.77760746029128</v>
      </c>
      <c r="G105" s="87">
        <f>IF(TrRoad_act!G21=0,0,G44/TrRoad_act!G21*1000)</f>
        <v>623.9600767467598</v>
      </c>
      <c r="H105" s="87">
        <f>IF(TrRoad_act!H21=0,0,H44/TrRoad_act!H21*1000)</f>
        <v>613.35753547247896</v>
      </c>
      <c r="I105" s="87">
        <f>IF(TrRoad_act!I21=0,0,I44/TrRoad_act!I21*1000)</f>
        <v>607.62327105687859</v>
      </c>
      <c r="J105" s="87">
        <f>IF(TrRoad_act!J21=0,0,J44/TrRoad_act!J21*1000)</f>
        <v>599.78181254073149</v>
      </c>
      <c r="K105" s="87">
        <f>IF(TrRoad_act!K21=0,0,K44/TrRoad_act!K21*1000)</f>
        <v>592.76810895116512</v>
      </c>
      <c r="L105" s="87">
        <f>IF(TrRoad_act!L21=0,0,L44/TrRoad_act!L21*1000)</f>
        <v>582.89673551434407</v>
      </c>
      <c r="M105" s="87">
        <f>IF(TrRoad_act!M21=0,0,M44/TrRoad_act!M21*1000)</f>
        <v>578.99520151891306</v>
      </c>
      <c r="N105" s="87">
        <f>IF(TrRoad_act!N21=0,0,N44/TrRoad_act!N21*1000)</f>
        <v>570.26681896474634</v>
      </c>
      <c r="O105" s="87">
        <f>IF(TrRoad_act!O21=0,0,O44/TrRoad_act!O21*1000)</f>
        <v>567.30330634755467</v>
      </c>
      <c r="P105" s="87">
        <f>IF(TrRoad_act!P21=0,0,P44/TrRoad_act!P21*1000)</f>
        <v>558.78754686686113</v>
      </c>
      <c r="Q105" s="87">
        <f>IF(TrRoad_act!Q21=0,0,Q44/TrRoad_act!Q21*1000)</f>
        <v>556.494032440507</v>
      </c>
      <c r="R105" s="87">
        <f>IF(TrRoad_act!R21=0,0,R44/TrRoad_act!R21*1000)</f>
        <v>535.47840683608331</v>
      </c>
      <c r="S105" s="87">
        <f>IF(TrRoad_act!S21=0,0,S44/TrRoad_act!S21*1000)</f>
        <v>521.95941048236</v>
      </c>
      <c r="T105" s="87">
        <f>IF(TrRoad_act!T21=0,0,T44/TrRoad_act!T21*1000)</f>
        <v>507.69674590045378</v>
      </c>
      <c r="U105" s="87">
        <f>IF(TrRoad_act!U21=0,0,U44/TrRoad_act!U21*1000)</f>
        <v>491.59657659334204</v>
      </c>
      <c r="V105" s="87">
        <f>IF(TrRoad_act!V21=0,0,V44/TrRoad_act!V21*1000)</f>
        <v>484.53211250141209</v>
      </c>
      <c r="W105" s="87">
        <f>IF(TrRoad_act!W21=0,0,W44/TrRoad_act!W21*1000)</f>
        <v>483.81080321135784</v>
      </c>
      <c r="X105" s="87">
        <f>IF(TrRoad_act!X21=0,0,X44/TrRoad_act!X21*1000)</f>
        <v>483.11084028405759</v>
      </c>
      <c r="Y105" s="87">
        <f>IF(TrRoad_act!Y21=0,0,Y44/TrRoad_act!Y21*1000)</f>
        <v>477.05539776966555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516.00034581496698</v>
      </c>
      <c r="C106" s="87">
        <f>IF(TrRoad_act!C22=0,0,C46/TrRoad_act!C22*1000)</f>
        <v>479.68217483030014</v>
      </c>
      <c r="D106" s="87">
        <f>IF(TrRoad_act!D22=0,0,D46/TrRoad_act!D22*1000)</f>
        <v>461.28580269387106</v>
      </c>
      <c r="E106" s="87">
        <f>IF(TrRoad_act!E22=0,0,E46/TrRoad_act!E22*1000)</f>
        <v>469.28958953421198</v>
      </c>
      <c r="F106" s="87">
        <f>IF(TrRoad_act!F22=0,0,F46/TrRoad_act!F22*1000)</f>
        <v>481.42940389620185</v>
      </c>
      <c r="G106" s="87">
        <f>IF(TrRoad_act!G22=0,0,G46/TrRoad_act!G22*1000)</f>
        <v>438.97539220720574</v>
      </c>
      <c r="H106" s="87">
        <f>IF(TrRoad_act!H22=0,0,H46/TrRoad_act!H22*1000)</f>
        <v>442.68145899955516</v>
      </c>
      <c r="I106" s="87">
        <f>IF(TrRoad_act!I22=0,0,I46/TrRoad_act!I22*1000)</f>
        <v>431.94591066168056</v>
      </c>
      <c r="J106" s="87">
        <f>IF(TrRoad_act!J22=0,0,J46/TrRoad_act!J22*1000)</f>
        <v>426.84485060626662</v>
      </c>
      <c r="K106" s="87">
        <f>IF(TrRoad_act!K22=0,0,K46/TrRoad_act!K22*1000)</f>
        <v>420.06458252901109</v>
      </c>
      <c r="L106" s="87">
        <f>IF(TrRoad_act!L22=0,0,L46/TrRoad_act!L22*1000)</f>
        <v>429.58820104872558</v>
      </c>
      <c r="M106" s="87">
        <f>IF(TrRoad_act!M22=0,0,M46/TrRoad_act!M22*1000)</f>
        <v>421.07639793214008</v>
      </c>
      <c r="N106" s="87">
        <f>IF(TrRoad_act!N22=0,0,N46/TrRoad_act!N22*1000)</f>
        <v>401.11914388517681</v>
      </c>
      <c r="O106" s="87">
        <f>IF(TrRoad_act!O22=0,0,O46/TrRoad_act!O22*1000)</f>
        <v>393.2891984605485</v>
      </c>
      <c r="P106" s="87">
        <f>IF(TrRoad_act!P22=0,0,P46/TrRoad_act!P22*1000)</f>
        <v>367.74197972948389</v>
      </c>
      <c r="Q106" s="87">
        <f>IF(TrRoad_act!Q22=0,0,Q46/TrRoad_act!Q22*1000)</f>
        <v>362.76171830082779</v>
      </c>
      <c r="R106" s="87">
        <f>IF(TrRoad_act!R22=0,0,R46/TrRoad_act!R22*1000)</f>
        <v>345.03367814294631</v>
      </c>
      <c r="S106" s="87">
        <f>IF(TrRoad_act!S22=0,0,S46/TrRoad_act!S22*1000)</f>
        <v>346.61577164212906</v>
      </c>
      <c r="T106" s="87">
        <f>IF(TrRoad_act!T22=0,0,T46/TrRoad_act!T22*1000)</f>
        <v>330.50971466262524</v>
      </c>
      <c r="U106" s="87">
        <f>IF(TrRoad_act!U22=0,0,U46/TrRoad_act!U22*1000)</f>
        <v>326.65945411849458</v>
      </c>
      <c r="V106" s="87">
        <f>IF(TrRoad_act!V22=0,0,V46/TrRoad_act!V22*1000)</f>
        <v>334.30918787946945</v>
      </c>
      <c r="W106" s="87">
        <f>IF(TrRoad_act!W22=0,0,W46/TrRoad_act!W22*1000)</f>
        <v>334.68084793109642</v>
      </c>
      <c r="X106" s="87">
        <f>IF(TrRoad_act!X22=0,0,X46/TrRoad_act!X22*1000)</f>
        <v>321.437170919393</v>
      </c>
      <c r="Y106" s="87">
        <f>IF(TrRoad_act!Y22=0,0,Y46/TrRoad_act!Y22*1000)</f>
        <v>319.12645379560666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X107" s="87">
        <f>IF(TrRoad_act!X23=0,0,X48/TrRoad_act!X23*1000)</f>
        <v>0</v>
      </c>
      <c r="Y107" s="87">
        <f>IF(TrRoad_act!Y23=0,0,Y48/TrRoad_act!Y23*1000)</f>
        <v>0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436.63277173980623</v>
      </c>
      <c r="D108" s="87">
        <f>IF(TrRoad_act!D24=0,0,D49/TrRoad_act!D24*1000)</f>
        <v>442.16808777361445</v>
      </c>
      <c r="E108" s="87">
        <f>IF(TrRoad_act!E24=0,0,E49/TrRoad_act!E24*1000)</f>
        <v>444.32333323739681</v>
      </c>
      <c r="F108" s="87">
        <f>IF(TrRoad_act!F24=0,0,F49/TrRoad_act!F24*1000)</f>
        <v>449.86368904855073</v>
      </c>
      <c r="G108" s="87">
        <f>IF(TrRoad_act!G24=0,0,G49/TrRoad_act!G24*1000)</f>
        <v>435.98527012755142</v>
      </c>
      <c r="H108" s="87">
        <f>IF(TrRoad_act!H24=0,0,H49/TrRoad_act!H24*1000)</f>
        <v>433.05499240345404</v>
      </c>
      <c r="I108" s="87">
        <f>IF(TrRoad_act!I24=0,0,I49/TrRoad_act!I24*1000)</f>
        <v>429.49147910335216</v>
      </c>
      <c r="J108" s="87">
        <f>IF(TrRoad_act!J24=0,0,J49/TrRoad_act!J24*1000)</f>
        <v>414.22167000854512</v>
      </c>
      <c r="K108" s="87">
        <f>IF(TrRoad_act!K24=0,0,K49/TrRoad_act!K24*1000)</f>
        <v>398.4635716637701</v>
      </c>
      <c r="L108" s="87">
        <f>IF(TrRoad_act!L24=0,0,L49/TrRoad_act!L24*1000)</f>
        <v>387.94080870180863</v>
      </c>
      <c r="M108" s="87">
        <f>IF(TrRoad_act!M24=0,0,M49/TrRoad_act!M24*1000)</f>
        <v>378.5520230633939</v>
      </c>
      <c r="N108" s="87">
        <f>IF(TrRoad_act!N24=0,0,N49/TrRoad_act!N24*1000)</f>
        <v>395.94672718147865</v>
      </c>
      <c r="O108" s="87">
        <f>IF(TrRoad_act!O24=0,0,O49/TrRoad_act!O24*1000)</f>
        <v>405.9620310779822</v>
      </c>
      <c r="P108" s="87">
        <f>IF(TrRoad_act!P24=0,0,P49/TrRoad_act!P24*1000)</f>
        <v>419.90139041572053</v>
      </c>
      <c r="Q108" s="87">
        <f>IF(TrRoad_act!Q24=0,0,Q49/TrRoad_act!Q24*1000)</f>
        <v>428.250334245712</v>
      </c>
      <c r="R108" s="87">
        <f>IF(TrRoad_act!R24=0,0,R49/TrRoad_act!R24*1000)</f>
        <v>422.4092951160543</v>
      </c>
      <c r="S108" s="87">
        <f>IF(TrRoad_act!S24=0,0,S49/TrRoad_act!S24*1000)</f>
        <v>422.19444992331518</v>
      </c>
      <c r="T108" s="87">
        <f>IF(TrRoad_act!T24=0,0,T49/TrRoad_act!T24*1000)</f>
        <v>410.39355331356893</v>
      </c>
      <c r="U108" s="87">
        <f>IF(TrRoad_act!U24=0,0,U49/TrRoad_act!U24*1000)</f>
        <v>409.44459415460688</v>
      </c>
      <c r="V108" s="87">
        <f>IF(TrRoad_act!V24=0,0,V49/TrRoad_act!V24*1000)</f>
        <v>410.78698423619221</v>
      </c>
      <c r="W108" s="87">
        <f>IF(TrRoad_act!W24=0,0,W49/TrRoad_act!W24*1000)</f>
        <v>414.93084331457715</v>
      </c>
      <c r="X108" s="87">
        <f>IF(TrRoad_act!X24=0,0,X49/TrRoad_act!X24*1000)</f>
        <v>425.2250619374725</v>
      </c>
      <c r="Y108" s="87">
        <f>IF(TrRoad_act!Y24=0,0,Y49/TrRoad_act!Y24*1000)</f>
        <v>421.69601129224418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84.455284872155417</v>
      </c>
      <c r="H109" s="87">
        <f>IF(TrRoad_act!H25=0,0,H51/TrRoad_act!H25*1000)</f>
        <v>84.424415122261735</v>
      </c>
      <c r="I109" s="87">
        <f>IF(TrRoad_act!I25=0,0,I51/TrRoad_act!I25*1000)</f>
        <v>84.432710271859065</v>
      </c>
      <c r="J109" s="87">
        <f>IF(TrRoad_act!J25=0,0,J51/TrRoad_act!J25*1000)</f>
        <v>84.440304053535982</v>
      </c>
      <c r="K109" s="87">
        <f>IF(TrRoad_act!K25=0,0,K51/TrRoad_act!K25*1000)</f>
        <v>84.429642399760212</v>
      </c>
      <c r="L109" s="87">
        <f>IF(TrRoad_act!L25=0,0,L51/TrRoad_act!L25*1000)</f>
        <v>84.473312961405398</v>
      </c>
      <c r="M109" s="87">
        <f>IF(TrRoad_act!M25=0,0,M51/TrRoad_act!M25*1000)</f>
        <v>84.532618527857849</v>
      </c>
      <c r="N109" s="87">
        <f>IF(TrRoad_act!N25=0,0,N51/TrRoad_act!N25*1000)</f>
        <v>85.322306840901817</v>
      </c>
      <c r="O109" s="87">
        <f>IF(TrRoad_act!O25=0,0,O51/TrRoad_act!O25*1000)</f>
        <v>85.854933795958146</v>
      </c>
      <c r="P109" s="87">
        <f>IF(TrRoad_act!P25=0,0,P51/TrRoad_act!P25*1000)</f>
        <v>87.248649336161975</v>
      </c>
      <c r="Q109" s="87">
        <f>IF(TrRoad_act!Q25=0,0,Q51/TrRoad_act!Q25*1000)</f>
        <v>89.74532670897419</v>
      </c>
      <c r="R109" s="87">
        <f>IF(TrRoad_act!R25=0,0,R51/TrRoad_act!R25*1000)</f>
        <v>90.770493960160934</v>
      </c>
      <c r="S109" s="87">
        <f>IF(TrRoad_act!S25=0,0,S51/TrRoad_act!S25*1000)</f>
        <v>91.84391547853609</v>
      </c>
      <c r="T109" s="87">
        <f>IF(TrRoad_act!T25=0,0,T51/TrRoad_act!T25*1000)</f>
        <v>97.635806537007454</v>
      </c>
      <c r="U109" s="87">
        <f>IF(TrRoad_act!U25=0,0,U51/TrRoad_act!U25*1000)</f>
        <v>106.43064697237752</v>
      </c>
      <c r="V109" s="87">
        <f>IF(TrRoad_act!V25=0,0,V51/TrRoad_act!V25*1000)</f>
        <v>122.28042686206925</v>
      </c>
      <c r="W109" s="87">
        <f>IF(TrRoad_act!W25=0,0,W51/TrRoad_act!W25*1000)</f>
        <v>131.25186810040969</v>
      </c>
      <c r="X109" s="87">
        <f>IF(TrRoad_act!X25=0,0,X51/TrRoad_act!X25*1000)</f>
        <v>134.05100853087157</v>
      </c>
      <c r="Y109" s="87">
        <f>IF(TrRoad_act!Y25=0,0,Y51/TrRoad_act!Y25*1000)</f>
        <v>139.18628879033258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32.006584360229027</v>
      </c>
      <c r="C110" s="116">
        <f>IF(TrRoad_act!C26=0,0,C52/TrRoad_act!C26*1000)</f>
        <v>32.975257268507839</v>
      </c>
      <c r="D110" s="116">
        <f>IF(TrRoad_act!D26=0,0,D52/TrRoad_act!D26*1000)</f>
        <v>30.65967670833377</v>
      </c>
      <c r="E110" s="116">
        <f>IF(TrRoad_act!E26=0,0,E52/TrRoad_act!E26*1000)</f>
        <v>31.588333955721428</v>
      </c>
      <c r="F110" s="116">
        <f>IF(TrRoad_act!F26=0,0,F52/TrRoad_act!F26*1000)</f>
        <v>32.531922468478548</v>
      </c>
      <c r="G110" s="116">
        <f>IF(TrRoad_act!G26=0,0,G52/TrRoad_act!G26*1000)</f>
        <v>30.193547811424622</v>
      </c>
      <c r="H110" s="116">
        <f>IF(TrRoad_act!H26=0,0,H52/TrRoad_act!H26*1000)</f>
        <v>29.869394566442409</v>
      </c>
      <c r="I110" s="116">
        <f>IF(TrRoad_act!I26=0,0,I52/TrRoad_act!I26*1000)</f>
        <v>29.765596778258843</v>
      </c>
      <c r="J110" s="116">
        <f>IF(TrRoad_act!J26=0,0,J52/TrRoad_act!J26*1000)</f>
        <v>29.180706612149951</v>
      </c>
      <c r="K110" s="116">
        <f>IF(TrRoad_act!K26=0,0,K52/TrRoad_act!K26*1000)</f>
        <v>31.346676454216972</v>
      </c>
      <c r="L110" s="116">
        <f>IF(TrRoad_act!L26=0,0,L52/TrRoad_act!L26*1000)</f>
        <v>31.899886445863029</v>
      </c>
      <c r="M110" s="116">
        <f>IF(TrRoad_act!M26=0,0,M52/TrRoad_act!M26*1000)</f>
        <v>30.022141390695896</v>
      </c>
      <c r="N110" s="116">
        <f>IF(TrRoad_act!N26=0,0,N52/TrRoad_act!N26*1000)</f>
        <v>28.497199509968805</v>
      </c>
      <c r="O110" s="116">
        <f>IF(TrRoad_act!O26=0,0,O52/TrRoad_act!O26*1000)</f>
        <v>27.912675477956999</v>
      </c>
      <c r="P110" s="116">
        <f>IF(TrRoad_act!P26=0,0,P52/TrRoad_act!P26*1000)</f>
        <v>23.959076687262336</v>
      </c>
      <c r="Q110" s="116">
        <f>IF(TrRoad_act!Q26=0,0,Q52/TrRoad_act!Q26*1000)</f>
        <v>23.518898728739188</v>
      </c>
      <c r="R110" s="116">
        <f>IF(TrRoad_act!R26=0,0,R52/TrRoad_act!R26*1000)</f>
        <v>20.941022425421828</v>
      </c>
      <c r="S110" s="116">
        <f>IF(TrRoad_act!S26=0,0,S52/TrRoad_act!S26*1000)</f>
        <v>21.705405675830768</v>
      </c>
      <c r="T110" s="116">
        <f>IF(TrRoad_act!T26=0,0,T52/TrRoad_act!T26*1000)</f>
        <v>19.438026229745372</v>
      </c>
      <c r="U110" s="116">
        <f>IF(TrRoad_act!U26=0,0,U52/TrRoad_act!U26*1000)</f>
        <v>18.916313472664935</v>
      </c>
      <c r="V110" s="116">
        <f>IF(TrRoad_act!V26=0,0,V52/TrRoad_act!V26*1000)</f>
        <v>19.975789903653801</v>
      </c>
      <c r="W110" s="116">
        <f>IF(TrRoad_act!W26=0,0,W52/TrRoad_act!W26*1000)</f>
        <v>19.449287046999803</v>
      </c>
      <c r="X110" s="116">
        <f>IF(TrRoad_act!X26=0,0,X52/TrRoad_act!X26*1000)</f>
        <v>18.725265628990634</v>
      </c>
      <c r="Y110" s="116">
        <f>IF(TrRoad_act!Y26=0,0,Y52/TrRoad_act!Y26*1000)</f>
        <v>19.177414459488908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31.489210347658467</v>
      </c>
      <c r="C111" s="101">
        <f>IF(TrRoad_act!C27=0,0,C53/TrRoad_act!C27*1000)</f>
        <v>32.656696232890511</v>
      </c>
      <c r="D111" s="101">
        <f>IF(TrRoad_act!D27=0,0,D53/TrRoad_act!D27*1000)</f>
        <v>30.119066671015972</v>
      </c>
      <c r="E111" s="101">
        <f>IF(TrRoad_act!E27=0,0,E53/TrRoad_act!E27*1000)</f>
        <v>30.868646138005307</v>
      </c>
      <c r="F111" s="101">
        <f>IF(TrRoad_act!F27=0,0,F53/TrRoad_act!F27*1000)</f>
        <v>31.49166204850156</v>
      </c>
      <c r="G111" s="101">
        <f>IF(TrRoad_act!G27=0,0,G53/TrRoad_act!G27*1000)</f>
        <v>29.383917254453049</v>
      </c>
      <c r="H111" s="101">
        <f>IF(TrRoad_act!H27=0,0,H53/TrRoad_act!H27*1000)</f>
        <v>28.894499160754808</v>
      </c>
      <c r="I111" s="101">
        <f>IF(TrRoad_act!I27=0,0,I53/TrRoad_act!I27*1000)</f>
        <v>28.999863442683321</v>
      </c>
      <c r="J111" s="101">
        <f>IF(TrRoad_act!J27=0,0,J53/TrRoad_act!J27*1000)</f>
        <v>28.302237057192372</v>
      </c>
      <c r="K111" s="101">
        <f>IF(TrRoad_act!K27=0,0,K53/TrRoad_act!K27*1000)</f>
        <v>31.049131620650542</v>
      </c>
      <c r="L111" s="101">
        <f>IF(TrRoad_act!L27=0,0,L53/TrRoad_act!L27*1000)</f>
        <v>31.849437708346244</v>
      </c>
      <c r="M111" s="101">
        <f>IF(TrRoad_act!M27=0,0,M53/TrRoad_act!M27*1000)</f>
        <v>29.612793710966169</v>
      </c>
      <c r="N111" s="101">
        <f>IF(TrRoad_act!N27=0,0,N53/TrRoad_act!N27*1000)</f>
        <v>28.184029112207376</v>
      </c>
      <c r="O111" s="101">
        <f>IF(TrRoad_act!O27=0,0,O53/TrRoad_act!O27*1000)</f>
        <v>27.446666063672193</v>
      </c>
      <c r="P111" s="101">
        <f>IF(TrRoad_act!P27=0,0,P53/TrRoad_act!P27*1000)</f>
        <v>23.622503267037118</v>
      </c>
      <c r="Q111" s="101">
        <f>IF(TrRoad_act!Q27=0,0,Q53/TrRoad_act!Q27*1000)</f>
        <v>23.15124653610161</v>
      </c>
      <c r="R111" s="101">
        <f>IF(TrRoad_act!R27=0,0,R53/TrRoad_act!R27*1000)</f>
        <v>20.395877665865967</v>
      </c>
      <c r="S111" s="101">
        <f>IF(TrRoad_act!S27=0,0,S53/TrRoad_act!S27*1000)</f>
        <v>21.254481529492033</v>
      </c>
      <c r="T111" s="101">
        <f>IF(TrRoad_act!T27=0,0,T53/TrRoad_act!T27*1000)</f>
        <v>18.970293504553343</v>
      </c>
      <c r="U111" s="101">
        <f>IF(TrRoad_act!U27=0,0,U53/TrRoad_act!U27*1000)</f>
        <v>18.416335968935456</v>
      </c>
      <c r="V111" s="101">
        <f>IF(TrRoad_act!V27=0,0,V53/TrRoad_act!V27*1000)</f>
        <v>19.241561729188398</v>
      </c>
      <c r="W111" s="101">
        <f>IF(TrRoad_act!W27=0,0,W53/TrRoad_act!W27*1000)</f>
        <v>18.568097393184395</v>
      </c>
      <c r="X111" s="101">
        <f>IF(TrRoad_act!X27=0,0,X53/TrRoad_act!X27*1000)</f>
        <v>18.082809619751263</v>
      </c>
      <c r="Y111" s="101">
        <f>IF(TrRoad_act!Y27=0,0,Y53/TrRoad_act!Y27*1000)</f>
        <v>18.506873896748598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34.170593931941561</v>
      </c>
      <c r="C112" s="88">
        <f>IF(TrRoad_act!C28=0,0,C55/TrRoad_act!C28*1000)</f>
        <v>34.160529626377745</v>
      </c>
      <c r="D112" s="88">
        <f>IF(TrRoad_act!D28=0,0,D55/TrRoad_act!D28*1000)</f>
        <v>32.677620058557117</v>
      </c>
      <c r="E112" s="88">
        <f>IF(TrRoad_act!E28=0,0,E55/TrRoad_act!E28*1000)</f>
        <v>34.201556896913047</v>
      </c>
      <c r="F112" s="88">
        <f>IF(TrRoad_act!F28=0,0,F55/TrRoad_act!F28*1000)</f>
        <v>35.912979332905365</v>
      </c>
      <c r="G112" s="88">
        <f>IF(TrRoad_act!G28=0,0,G55/TrRoad_act!G28*1000)</f>
        <v>32.891275130652986</v>
      </c>
      <c r="H112" s="88">
        <f>IF(TrRoad_act!H28=0,0,H55/TrRoad_act!H28*1000)</f>
        <v>32.925960714271056</v>
      </c>
      <c r="I112" s="88">
        <f>IF(TrRoad_act!I28=0,0,I55/TrRoad_act!I28*1000)</f>
        <v>32.180553253737529</v>
      </c>
      <c r="J112" s="88">
        <f>IF(TrRoad_act!J28=0,0,J55/TrRoad_act!J28*1000)</f>
        <v>32.226857793259747</v>
      </c>
      <c r="K112" s="88">
        <f>IF(TrRoad_act!K28=0,0,K55/TrRoad_act!K28*1000)</f>
        <v>32.449859978999193</v>
      </c>
      <c r="L112" s="88">
        <f>IF(TrRoad_act!L28=0,0,L55/TrRoad_act!L28*1000)</f>
        <v>32.06982432994625</v>
      </c>
      <c r="M112" s="88">
        <f>IF(TrRoad_act!M28=0,0,M55/TrRoad_act!M28*1000)</f>
        <v>31.46116185812517</v>
      </c>
      <c r="N112" s="88">
        <f>IF(TrRoad_act!N28=0,0,N55/TrRoad_act!N28*1000)</f>
        <v>29.528470165303013</v>
      </c>
      <c r="O112" s="88">
        <f>IF(TrRoad_act!O28=0,0,O55/TrRoad_act!O28*1000)</f>
        <v>29.275719320192785</v>
      </c>
      <c r="P112" s="88">
        <f>IF(TrRoad_act!P28=0,0,P55/TrRoad_act!P28*1000)</f>
        <v>25.264232370716957</v>
      </c>
      <c r="Q112" s="88">
        <f>IF(TrRoad_act!Q28=0,0,Q55/TrRoad_act!Q28*1000)</f>
        <v>24.7585667375558</v>
      </c>
      <c r="R112" s="88">
        <f>IF(TrRoad_act!R28=0,0,R55/TrRoad_act!R28*1000)</f>
        <v>22.726536964297203</v>
      </c>
      <c r="S112" s="88">
        <f>IF(TrRoad_act!S28=0,0,S55/TrRoad_act!S28*1000)</f>
        <v>23.167928735985264</v>
      </c>
      <c r="T112" s="88">
        <f>IF(TrRoad_act!T28=0,0,T55/TrRoad_act!T28*1000)</f>
        <v>20.999516219216499</v>
      </c>
      <c r="U112" s="88">
        <f>IF(TrRoad_act!U28=0,0,U55/TrRoad_act!U28*1000)</f>
        <v>20.676767969644999</v>
      </c>
      <c r="V112" s="88">
        <f>IF(TrRoad_act!V28=0,0,V55/TrRoad_act!V28*1000)</f>
        <v>22.551250047979174</v>
      </c>
      <c r="W112" s="88">
        <f>IF(TrRoad_act!W28=0,0,W55/TrRoad_act!W28*1000)</f>
        <v>22.510751039802322</v>
      </c>
      <c r="X112" s="88">
        <f>IF(TrRoad_act!X28=0,0,X55/TrRoad_act!X28*1000)</f>
        <v>21.25544417506039</v>
      </c>
      <c r="Y112" s="88">
        <f>IF(TrRoad_act!Y28=0,0,Y55/TrRoad_act!Y28*1000)</f>
        <v>21.539406052596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73.257746566160819</v>
      </c>
      <c r="C116" s="152">
        <f>IF(C19=0,0,1000000*C19/TrRoad_act!C59)</f>
        <v>72.465116804339331</v>
      </c>
      <c r="D116" s="152">
        <f>IF(D19=0,0,1000000*D19/TrRoad_act!D59)</f>
        <v>72.652277345135758</v>
      </c>
      <c r="E116" s="152">
        <f>IF(E19=0,0,1000000*E19/TrRoad_act!E59)</f>
        <v>73.050701770193257</v>
      </c>
      <c r="F116" s="152">
        <f>IF(F19=0,0,1000000*F19/TrRoad_act!F59)</f>
        <v>76.372753415600002</v>
      </c>
      <c r="G116" s="152">
        <f>IF(G19=0,0,1000000*G19/TrRoad_act!G59)</f>
        <v>68.52398701973064</v>
      </c>
      <c r="H116" s="152">
        <f>IF(H19=0,0,1000000*H19/TrRoad_act!H59)</f>
        <v>66.445975885370387</v>
      </c>
      <c r="I116" s="152">
        <f>IF(I19=0,0,1000000*I19/TrRoad_act!I59)</f>
        <v>67.964941925015026</v>
      </c>
      <c r="J116" s="152">
        <f>IF(J19=0,0,1000000*J19/TrRoad_act!J59)</f>
        <v>63.088687646414606</v>
      </c>
      <c r="K116" s="152">
        <f>IF(K19=0,0,1000000*K19/TrRoad_act!K59)</f>
        <v>60.181931947531915</v>
      </c>
      <c r="L116" s="152">
        <f>IF(L19=0,0,1000000*L19/TrRoad_act!L59)</f>
        <v>56.064808844386761</v>
      </c>
      <c r="M116" s="152">
        <f>IF(M19=0,0,1000000*M19/TrRoad_act!M59)</f>
        <v>53.434226018307115</v>
      </c>
      <c r="N116" s="152">
        <f>IF(N19=0,0,1000000*N19/TrRoad_act!N59)</f>
        <v>43.122260530949021</v>
      </c>
      <c r="O116" s="152">
        <f>IF(O19=0,0,1000000*O19/TrRoad_act!O59)</f>
        <v>48.989535514821213</v>
      </c>
      <c r="P116" s="152">
        <f>IF(P19=0,0,1000000*P19/TrRoad_act!P59)</f>
        <v>47.152571880551626</v>
      </c>
      <c r="Q116" s="152">
        <f>IF(Q19=0,0,1000000*Q19/TrRoad_act!Q59)</f>
        <v>46.176266566388755</v>
      </c>
      <c r="R116" s="152">
        <f>IF(R19=0,0,1000000*R19/TrRoad_act!R59)</f>
        <v>46.814661003357365</v>
      </c>
      <c r="S116" s="152">
        <f>IF(S19=0,0,1000000*S19/TrRoad_act!S59)</f>
        <v>42.627633618354757</v>
      </c>
      <c r="T116" s="152">
        <f>IF(T19=0,0,1000000*T19/TrRoad_act!T59)</f>
        <v>39.635150727672311</v>
      </c>
      <c r="U116" s="152">
        <f>IF(U19=0,0,1000000*U19/TrRoad_act!U59)</f>
        <v>40.723423729910145</v>
      </c>
      <c r="V116" s="152">
        <f>IF(V19=0,0,1000000*V19/TrRoad_act!V59)</f>
        <v>34.722351850240472</v>
      </c>
      <c r="W116" s="152">
        <f>IF(W19=0,0,1000000*W19/TrRoad_act!W59)</f>
        <v>35.194834527120641</v>
      </c>
      <c r="X116" s="152">
        <f>IF(X19=0,0,1000000*X19/TrRoad_act!X59)</f>
        <v>34.924759694070133</v>
      </c>
      <c r="Y116" s="152">
        <f>IF(Y19=0,0,1000000*Y19/TrRoad_act!Y59)</f>
        <v>36.707380402440961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1110.6887522907962</v>
      </c>
      <c r="C117" s="116">
        <f>IF(C21=0,0,1000000*C21/TrRoad_act!C60)</f>
        <v>1093.1138588775718</v>
      </c>
      <c r="D117" s="116">
        <f>IF(D21=0,0,1000000*D21/TrRoad_act!D60)</f>
        <v>1121.7033327317085</v>
      </c>
      <c r="E117" s="116">
        <f>IF(E21=0,0,1000000*E21/TrRoad_act!E60)</f>
        <v>1120.20174968272</v>
      </c>
      <c r="F117" s="116">
        <f>IF(F21=0,0,1000000*F21/TrRoad_act!F60)</f>
        <v>1112.3153026789444</v>
      </c>
      <c r="G117" s="116">
        <f>IF(G21=0,0,1000000*G21/TrRoad_act!G60)</f>
        <v>1058.8862466999719</v>
      </c>
      <c r="H117" s="116">
        <f>IF(H21=0,0,1000000*H21/TrRoad_act!H60)</f>
        <v>1044.45919317165</v>
      </c>
      <c r="I117" s="116">
        <f>IF(I21=0,0,1000000*I21/TrRoad_act!I60)</f>
        <v>1051.1381301197766</v>
      </c>
      <c r="J117" s="116">
        <f>IF(J21=0,0,1000000*J21/TrRoad_act!J60)</f>
        <v>1028.3353617729038</v>
      </c>
      <c r="K117" s="116">
        <f>IF(K21=0,0,1000000*K21/TrRoad_act!K60)</f>
        <v>1032.1117963848214</v>
      </c>
      <c r="L117" s="116">
        <f>IF(L21=0,0,1000000*L21/TrRoad_act!L60)</f>
        <v>1021.2003698150559</v>
      </c>
      <c r="M117" s="116">
        <f>IF(M21=0,0,1000000*M21/TrRoad_act!M60)</f>
        <v>1002.957040289947</v>
      </c>
      <c r="N117" s="116">
        <f>IF(N21=0,0,1000000*N21/TrRoad_act!N60)</f>
        <v>972.99439643557355</v>
      </c>
      <c r="O117" s="116">
        <f>IF(O21=0,0,1000000*O21/TrRoad_act!O60)</f>
        <v>961.28789118330883</v>
      </c>
      <c r="P117" s="116">
        <f>IF(P21=0,0,1000000*P21/TrRoad_act!P60)</f>
        <v>952.12820886210227</v>
      </c>
      <c r="Q117" s="116">
        <f>IF(Q21=0,0,1000000*Q21/TrRoad_act!Q60)</f>
        <v>964.83025407401249</v>
      </c>
      <c r="R117" s="116">
        <f>IF(R21=0,0,1000000*R21/TrRoad_act!R60)</f>
        <v>947.81225642123411</v>
      </c>
      <c r="S117" s="116">
        <f>IF(S21=0,0,1000000*S21/TrRoad_act!S60)</f>
        <v>941.81375900195769</v>
      </c>
      <c r="T117" s="116">
        <f>IF(T21=0,0,1000000*T21/TrRoad_act!T60)</f>
        <v>920.08357057750277</v>
      </c>
      <c r="U117" s="116">
        <f>IF(U21=0,0,1000000*U21/TrRoad_act!U60)</f>
        <v>896.18538493731455</v>
      </c>
      <c r="V117" s="116">
        <f>IF(V21=0,0,1000000*V21/TrRoad_act!V60)</f>
        <v>823.31013719128453</v>
      </c>
      <c r="W117" s="116">
        <f>IF(W21=0,0,1000000*W21/TrRoad_act!W60)</f>
        <v>838.60012117417796</v>
      </c>
      <c r="X117" s="116">
        <f>IF(X21=0,0,1000000*X21/TrRoad_act!X60)</f>
        <v>789.14562186677836</v>
      </c>
      <c r="Y117" s="116">
        <f>IF(Y21=0,0,1000000*Y21/TrRoad_act!Y60)</f>
        <v>786.63639930070792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1055.5830450402948</v>
      </c>
      <c r="C118" s="87">
        <f>IF(C22=0,0,1000000*C22/TrRoad_act!C61)</f>
        <v>1041.9607366815001</v>
      </c>
      <c r="D118" s="87">
        <f>IF(D22=0,0,1000000*D22/TrRoad_act!D61)</f>
        <v>1071.3595027280589</v>
      </c>
      <c r="E118" s="87">
        <f>IF(E22=0,0,1000000*E22/TrRoad_act!E61)</f>
        <v>1067.5629318567139</v>
      </c>
      <c r="F118" s="87">
        <f>IF(F22=0,0,1000000*F22/TrRoad_act!F61)</f>
        <v>1055.7659916908115</v>
      </c>
      <c r="G118" s="87">
        <f>IF(G22=0,0,1000000*G22/TrRoad_act!G61)</f>
        <v>1001.8208257246361</v>
      </c>
      <c r="H118" s="87">
        <f>IF(H22=0,0,1000000*H22/TrRoad_act!H61)</f>
        <v>979.33490556221682</v>
      </c>
      <c r="I118" s="87">
        <f>IF(I22=0,0,1000000*I22/TrRoad_act!I61)</f>
        <v>972.51068608219373</v>
      </c>
      <c r="J118" s="87">
        <f>IF(J22=0,0,1000000*J22/TrRoad_act!J61)</f>
        <v>936.23575413625281</v>
      </c>
      <c r="K118" s="87">
        <f>IF(K22=0,0,1000000*K22/TrRoad_act!K61)</f>
        <v>931.35575849421298</v>
      </c>
      <c r="L118" s="87">
        <f>IF(L22=0,0,1000000*L22/TrRoad_act!L61)</f>
        <v>902.39832895326083</v>
      </c>
      <c r="M118" s="87">
        <f>IF(M22=0,0,1000000*M22/TrRoad_act!M61)</f>
        <v>864.74011553879029</v>
      </c>
      <c r="N118" s="87">
        <f>IF(N22=0,0,1000000*N22/TrRoad_act!N61)</f>
        <v>822.1339151795155</v>
      </c>
      <c r="O118" s="87">
        <f>IF(O22=0,0,1000000*O22/TrRoad_act!O61)</f>
        <v>797.48605095874473</v>
      </c>
      <c r="P118" s="87">
        <f>IF(P22=0,0,1000000*P22/TrRoad_act!P61)</f>
        <v>781.75385699231731</v>
      </c>
      <c r="Q118" s="87">
        <f>IF(Q22=0,0,1000000*Q22/TrRoad_act!Q61)</f>
        <v>775.2727833489289</v>
      </c>
      <c r="R118" s="87">
        <f>IF(R22=0,0,1000000*R22/TrRoad_act!R61)</f>
        <v>750.84712993177277</v>
      </c>
      <c r="S118" s="87">
        <f>IF(S22=0,0,1000000*S22/TrRoad_act!S61)</f>
        <v>728.28053904057299</v>
      </c>
      <c r="T118" s="87">
        <f>IF(T22=0,0,1000000*T22/TrRoad_act!T61)</f>
        <v>702.27657102471733</v>
      </c>
      <c r="U118" s="87">
        <f>IF(U22=0,0,1000000*U22/TrRoad_act!U61)</f>
        <v>686.9097575329763</v>
      </c>
      <c r="V118" s="87">
        <f>IF(V22=0,0,1000000*V22/TrRoad_act!V61)</f>
        <v>635.3719785063804</v>
      </c>
      <c r="W118" s="87">
        <f>IF(W22=0,0,1000000*W22/TrRoad_act!W61)</f>
        <v>685.03490211195844</v>
      </c>
      <c r="X118" s="87">
        <f>IF(X22=0,0,1000000*X22/TrRoad_act!X61)</f>
        <v>665.90203757262339</v>
      </c>
      <c r="Y118" s="87">
        <f>IF(Y22=0,0,1000000*Y22/TrRoad_act!Y61)</f>
        <v>661.80544601611734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2191.2170710463365</v>
      </c>
      <c r="C119" s="87">
        <f>IF(C24=0,0,1000000*C24/TrRoad_act!C62)</f>
        <v>2153.2944936004005</v>
      </c>
      <c r="D119" s="87">
        <f>IF(D24=0,0,1000000*D24/TrRoad_act!D62)</f>
        <v>2145.6005041818617</v>
      </c>
      <c r="E119" s="87">
        <f>IF(E24=0,0,1000000*E24/TrRoad_act!E62)</f>
        <v>2157.035518618216</v>
      </c>
      <c r="F119" s="87">
        <f>IF(F24=0,0,1000000*F24/TrRoad_act!F62)</f>
        <v>2182.9980391600329</v>
      </c>
      <c r="G119" s="87">
        <f>IF(G24=0,0,1000000*G24/TrRoad_act!G62)</f>
        <v>2076.097738732687</v>
      </c>
      <c r="H119" s="87">
        <f>IF(H24=0,0,1000000*H24/TrRoad_act!H62)</f>
        <v>2019.4961105303371</v>
      </c>
      <c r="I119" s="87">
        <f>IF(I24=0,0,1000000*I24/TrRoad_act!I62)</f>
        <v>1915.3637155433028</v>
      </c>
      <c r="J119" s="87">
        <f>IF(J24=0,0,1000000*J24/TrRoad_act!J62)</f>
        <v>1876.3414064781771</v>
      </c>
      <c r="K119" s="87">
        <f>IF(K24=0,0,1000000*K24/TrRoad_act!K62)</f>
        <v>1783.2991879913195</v>
      </c>
      <c r="L119" s="87">
        <f>IF(L24=0,0,1000000*L24/TrRoad_act!L62)</f>
        <v>1703.5438646559157</v>
      </c>
      <c r="M119" s="87">
        <f>IF(M24=0,0,1000000*M24/TrRoad_act!M62)</f>
        <v>1613.9670688361446</v>
      </c>
      <c r="N119" s="87">
        <f>IF(N24=0,0,1000000*N24/TrRoad_act!N62)</f>
        <v>1505.0365627404947</v>
      </c>
      <c r="O119" s="87">
        <f>IF(O24=0,0,1000000*O24/TrRoad_act!O62)</f>
        <v>1443.2446856511474</v>
      </c>
      <c r="P119" s="87">
        <f>IF(P24=0,0,1000000*P24/TrRoad_act!P62)</f>
        <v>1381.317115839614</v>
      </c>
      <c r="Q119" s="87">
        <f>IF(Q24=0,0,1000000*Q24/TrRoad_act!Q62)</f>
        <v>1379.5192095987327</v>
      </c>
      <c r="R119" s="87">
        <f>IF(R24=0,0,1000000*R24/TrRoad_act!R62)</f>
        <v>1334.1627952522258</v>
      </c>
      <c r="S119" s="87">
        <f>IF(S24=0,0,1000000*S24/TrRoad_act!S62)</f>
        <v>1331.240824958993</v>
      </c>
      <c r="T119" s="87">
        <f>IF(T24=0,0,1000000*T24/TrRoad_act!T62)</f>
        <v>1303.7329992211021</v>
      </c>
      <c r="U119" s="87">
        <f>IF(U24=0,0,1000000*U24/TrRoad_act!U62)</f>
        <v>1264.1449285574893</v>
      </c>
      <c r="V119" s="87">
        <f>IF(V24=0,0,1000000*V24/TrRoad_act!V62)</f>
        <v>1179.4932542931135</v>
      </c>
      <c r="W119" s="87">
        <f>IF(W24=0,0,1000000*W24/TrRoad_act!W62)</f>
        <v>1180.6653374863779</v>
      </c>
      <c r="X119" s="87">
        <f>IF(X24=0,0,1000000*X24/TrRoad_act!X62)</f>
        <v>1130.4101903854394</v>
      </c>
      <c r="Y119" s="87">
        <f>IF(Y24=0,0,1000000*Y24/TrRoad_act!Y62)</f>
        <v>1177.0195156017619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2737.7472055030089</v>
      </c>
      <c r="H120" s="87">
        <f>IF(H26=0,0,1000000*H26/TrRoad_act!H63)</f>
        <v>2152.0351688808687</v>
      </c>
      <c r="I120" s="87">
        <f>IF(I26=0,0,1000000*I26/TrRoad_act!I63)</f>
        <v>4659.3244421677837</v>
      </c>
      <c r="J120" s="87">
        <f>IF(J26=0,0,1000000*J26/TrRoad_act!J63)</f>
        <v>2805.3883634279159</v>
      </c>
      <c r="K120" s="87">
        <f>IF(K26=0,0,1000000*K26/TrRoad_act!K63)</f>
        <v>2598.4522785898521</v>
      </c>
      <c r="L120" s="87">
        <f>IF(L26=0,0,1000000*L26/TrRoad_act!L63)</f>
        <v>3134.2586905785515</v>
      </c>
      <c r="M120" s="87">
        <f>IF(M26=0,0,1000000*M26/TrRoad_act!M63)</f>
        <v>2094.4131290935538</v>
      </c>
      <c r="N120" s="87">
        <f>IF(N26=0,0,1000000*N26/TrRoad_act!N63)</f>
        <v>1304.0985955861277</v>
      </c>
      <c r="O120" s="87">
        <f>IF(O26=0,0,1000000*O26/TrRoad_act!O63)</f>
        <v>674.21672652893949</v>
      </c>
      <c r="P120" s="87">
        <f>IF(P26=0,0,1000000*P26/TrRoad_act!P63)</f>
        <v>791.54794906774214</v>
      </c>
      <c r="Q120" s="87">
        <f>IF(Q26=0,0,1000000*Q26/TrRoad_act!Q63)</f>
        <v>4422.3363623468349</v>
      </c>
      <c r="R120" s="87">
        <f>IF(R26=0,0,1000000*R26/TrRoad_act!R63)</f>
        <v>1639.9929733078154</v>
      </c>
      <c r="S120" s="87">
        <f>IF(S26=0,0,1000000*S26/TrRoad_act!S63)</f>
        <v>0</v>
      </c>
      <c r="T120" s="87">
        <f>IF(T26=0,0,1000000*T26/TrRoad_act!T63)</f>
        <v>0</v>
      </c>
      <c r="U120" s="87">
        <f>IF(U26=0,0,1000000*U26/TrRoad_act!U63)</f>
        <v>0</v>
      </c>
      <c r="V120" s="87">
        <f>IF(V26=0,0,1000000*V26/TrRoad_act!V63)</f>
        <v>0</v>
      </c>
      <c r="W120" s="87">
        <f>IF(W26=0,0,1000000*W26/TrRoad_act!W63)</f>
        <v>0</v>
      </c>
      <c r="X120" s="87">
        <f>IF(X26=0,0,1000000*X26/TrRoad_act!X63)</f>
        <v>0</v>
      </c>
      <c r="Y120" s="87">
        <f>IF(Y26=0,0,1000000*Y26/TrRoad_act!Y63)</f>
        <v>0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1633.2201417313772</v>
      </c>
      <c r="E121" s="87">
        <f>IF(E27=0,0,1000000*E27/TrRoad_act!E64)</f>
        <v>1626.7808896394688</v>
      </c>
      <c r="F121" s="87">
        <f>IF(F27=0,0,1000000*F27/TrRoad_act!F64)</f>
        <v>1620.9971849425738</v>
      </c>
      <c r="G121" s="87">
        <f>IF(G27=0,0,1000000*G27/TrRoad_act!G64)</f>
        <v>1598.6561870728578</v>
      </c>
      <c r="H121" s="87">
        <f>IF(H27=0,0,1000000*H27/TrRoad_act!H64)</f>
        <v>1568.7423050769983</v>
      </c>
      <c r="I121" s="87">
        <f>IF(I27=0,0,1000000*I27/TrRoad_act!I64)</f>
        <v>1572.4034183374272</v>
      </c>
      <c r="J121" s="87">
        <f>IF(J27=0,0,1000000*J27/TrRoad_act!J64)</f>
        <v>1523.5605999789857</v>
      </c>
      <c r="K121" s="87">
        <f>IF(K27=0,0,1000000*K27/TrRoad_act!K64)</f>
        <v>1488.3474975948427</v>
      </c>
      <c r="L121" s="87">
        <f>IF(L27=0,0,1000000*L27/TrRoad_act!L64)</f>
        <v>1341.823427821771</v>
      </c>
      <c r="M121" s="87">
        <f>IF(M27=0,0,1000000*M27/TrRoad_act!M64)</f>
        <v>1292.6802045506151</v>
      </c>
      <c r="N121" s="87">
        <f>IF(N27=0,0,1000000*N27/TrRoad_act!N64)</f>
        <v>1309.043540257695</v>
      </c>
      <c r="O121" s="87">
        <f>IF(O27=0,0,1000000*O27/TrRoad_act!O64)</f>
        <v>1251.2145712237898</v>
      </c>
      <c r="P121" s="87">
        <f>IF(P27=0,0,1000000*P27/TrRoad_act!P64)</f>
        <v>1207.8331450976038</v>
      </c>
      <c r="Q121" s="87">
        <f>IF(Q27=0,0,1000000*Q27/TrRoad_act!Q64)</f>
        <v>1169.0949122446978</v>
      </c>
      <c r="R121" s="87">
        <f>IF(R27=0,0,1000000*R27/TrRoad_act!R64)</f>
        <v>1129.6049149862545</v>
      </c>
      <c r="S121" s="87">
        <f>IF(S27=0,0,1000000*S27/TrRoad_act!S64)</f>
        <v>1093.8707502655268</v>
      </c>
      <c r="T121" s="87">
        <f>IF(T27=0,0,1000000*T27/TrRoad_act!T64)</f>
        <v>1075.6579595973012</v>
      </c>
      <c r="U121" s="87">
        <f>IF(U27=0,0,1000000*U27/TrRoad_act!U64)</f>
        <v>1014.1170595794313</v>
      </c>
      <c r="V121" s="87">
        <f>IF(V27=0,0,1000000*V27/TrRoad_act!V64)</f>
        <v>921.28997835905852</v>
      </c>
      <c r="W121" s="87">
        <f>IF(W27=0,0,1000000*W27/TrRoad_act!W64)</f>
        <v>915.17564833457698</v>
      </c>
      <c r="X121" s="87">
        <f>IF(X27=0,0,1000000*X27/TrRoad_act!X64)</f>
        <v>841.46793855839906</v>
      </c>
      <c r="Y121" s="87">
        <f>IF(Y27=0,0,1000000*Y27/TrRoad_act!Y64)</f>
        <v>791.13351141185831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454.26040533335367</v>
      </c>
      <c r="K122" s="87">
        <f>IF(K29=0,0,1000000*K29/TrRoad_act!K65)</f>
        <v>444.46333982204487</v>
      </c>
      <c r="L122" s="87">
        <f>IF(L29=0,0,1000000*L29/TrRoad_act!L65)</f>
        <v>429.50716582675636</v>
      </c>
      <c r="M122" s="87">
        <f>IF(M29=0,0,1000000*M29/TrRoad_act!M65)</f>
        <v>389.71711552296301</v>
      </c>
      <c r="N122" s="87">
        <f>IF(N29=0,0,1000000*N29/TrRoad_act!N65)</f>
        <v>359.319332966665</v>
      </c>
      <c r="O122" s="87">
        <f>IF(O29=0,0,1000000*O29/TrRoad_act!O65)</f>
        <v>350.71752917520786</v>
      </c>
      <c r="P122" s="87">
        <f>IF(P29=0,0,1000000*P29/TrRoad_act!P65)</f>
        <v>347.63965112506565</v>
      </c>
      <c r="Q122" s="87">
        <f>IF(Q29=0,0,1000000*Q29/TrRoad_act!Q65)</f>
        <v>346.11794530737359</v>
      </c>
      <c r="R122" s="87">
        <f>IF(R29=0,0,1000000*R29/TrRoad_act!R65)</f>
        <v>348.54261310483378</v>
      </c>
      <c r="S122" s="87">
        <f>IF(S29=0,0,1000000*S29/TrRoad_act!S65)</f>
        <v>347.03845462423192</v>
      </c>
      <c r="T122" s="87">
        <f>IF(T29=0,0,1000000*T29/TrRoad_act!T65)</f>
        <v>351.07851712010887</v>
      </c>
      <c r="U122" s="87">
        <f>IF(U29=0,0,1000000*U29/TrRoad_act!U65)</f>
        <v>331.51962120109158</v>
      </c>
      <c r="V122" s="87">
        <f>IF(V29=0,0,1000000*V29/TrRoad_act!V65)</f>
        <v>294.19276416269241</v>
      </c>
      <c r="W122" s="87">
        <f>IF(W29=0,0,1000000*W29/TrRoad_act!W65)</f>
        <v>293.48223010810824</v>
      </c>
      <c r="X122" s="87">
        <f>IF(X29=0,0,1000000*X29/TrRoad_act!X65)</f>
        <v>268.12768170052209</v>
      </c>
      <c r="Y122" s="87">
        <f>IF(Y29=0,0,1000000*Y29/TrRoad_act!Y65)</f>
        <v>254.59698450001588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288.65402195050302</v>
      </c>
      <c r="K123" s="87">
        <f>IF(K32=0,0,1000000*K32/TrRoad_act!K66)</f>
        <v>288.7876952913208</v>
      </c>
      <c r="L123" s="87">
        <f>IF(L32=0,0,1000000*L32/TrRoad_act!L66)</f>
        <v>288.27114262329002</v>
      </c>
      <c r="M123" s="87">
        <f>IF(M32=0,0,1000000*M32/TrRoad_act!M66)</f>
        <v>288.4292420900818</v>
      </c>
      <c r="N123" s="87">
        <f>IF(N32=0,0,1000000*N32/TrRoad_act!N66)</f>
        <v>268.58865984838735</v>
      </c>
      <c r="O123" s="87">
        <f>IF(O32=0,0,1000000*O32/TrRoad_act!O66)</f>
        <v>262.15441602284841</v>
      </c>
      <c r="P123" s="87">
        <f>IF(P32=0,0,1000000*P32/TrRoad_act!P66)</f>
        <v>245.60465159673194</v>
      </c>
      <c r="Q123" s="87">
        <f>IF(Q32=0,0,1000000*Q32/TrRoad_act!Q66)</f>
        <v>261.29170680924273</v>
      </c>
      <c r="R123" s="87">
        <f>IF(R32=0,0,1000000*R32/TrRoad_act!R66)</f>
        <v>262.63042466971069</v>
      </c>
      <c r="S123" s="87">
        <f>IF(S32=0,0,1000000*S32/TrRoad_act!S66)</f>
        <v>259.68624046850505</v>
      </c>
      <c r="T123" s="87">
        <f>IF(T32=0,0,1000000*T32/TrRoad_act!T66)</f>
        <v>268.51847984242067</v>
      </c>
      <c r="U123" s="87">
        <f>IF(U32=0,0,1000000*U32/TrRoad_act!U66)</f>
        <v>275.73970907867528</v>
      </c>
      <c r="V123" s="87">
        <f>IF(V32=0,0,1000000*V32/TrRoad_act!V66)</f>
        <v>270.52548774999315</v>
      </c>
      <c r="W123" s="87">
        <f>IF(W32=0,0,1000000*W32/TrRoad_act!W66)</f>
        <v>283.57793474807136</v>
      </c>
      <c r="X123" s="87">
        <f>IF(X32=0,0,1000000*X32/TrRoad_act!X66)</f>
        <v>285.38811223682347</v>
      </c>
      <c r="Y123" s="87">
        <f>IF(Y32=0,0,1000000*Y32/TrRoad_act!Y66)</f>
        <v>285.48401338939442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42308.791893358357</v>
      </c>
      <c r="C124" s="116">
        <f>IF(C33=0,0,1000000*C33/TrRoad_act!C67)</f>
        <v>41359.014207281405</v>
      </c>
      <c r="D124" s="116">
        <f>IF(D33=0,0,1000000*D33/TrRoad_act!D67)</f>
        <v>41083.854445803991</v>
      </c>
      <c r="E124" s="116">
        <f>IF(E33=0,0,1000000*E33/TrRoad_act!E67)</f>
        <v>42376.365501425862</v>
      </c>
      <c r="F124" s="116">
        <f>IF(F33=0,0,1000000*F33/TrRoad_act!F67)</f>
        <v>42933.695037194098</v>
      </c>
      <c r="G124" s="116">
        <f>IF(G33=0,0,1000000*G33/TrRoad_act!G67)</f>
        <v>37951.860828067271</v>
      </c>
      <c r="H124" s="116">
        <f>IF(H33=0,0,1000000*H33/TrRoad_act!H67)</f>
        <v>39228.744374019865</v>
      </c>
      <c r="I124" s="116">
        <f>IF(I33=0,0,1000000*I33/TrRoad_act!I67)</f>
        <v>38322.910780844591</v>
      </c>
      <c r="J124" s="116">
        <f>IF(J33=0,0,1000000*J33/TrRoad_act!J67)</f>
        <v>37886.333347687621</v>
      </c>
      <c r="K124" s="116">
        <f>IF(K33=0,0,1000000*K33/TrRoad_act!K67)</f>
        <v>36453.232198272519</v>
      </c>
      <c r="L124" s="116">
        <f>IF(L33=0,0,1000000*L33/TrRoad_act!L67)</f>
        <v>36693.493045616713</v>
      </c>
      <c r="M124" s="116">
        <f>IF(M33=0,0,1000000*M33/TrRoad_act!M67)</f>
        <v>38271.502076380159</v>
      </c>
      <c r="N124" s="116">
        <f>IF(N33=0,0,1000000*N33/TrRoad_act!N67)</f>
        <v>38000.611426378506</v>
      </c>
      <c r="O124" s="116">
        <f>IF(O33=0,0,1000000*O33/TrRoad_act!O67)</f>
        <v>30573.986943478674</v>
      </c>
      <c r="P124" s="116">
        <f>IF(P33=0,0,1000000*P33/TrRoad_act!P67)</f>
        <v>28948.705646864812</v>
      </c>
      <c r="Q124" s="116">
        <f>IF(Q33=0,0,1000000*Q33/TrRoad_act!Q67)</f>
        <v>28701.506057726405</v>
      </c>
      <c r="R124" s="116">
        <f>IF(R33=0,0,1000000*R33/TrRoad_act!R67)</f>
        <v>28844.368297047851</v>
      </c>
      <c r="S124" s="116">
        <f>IF(S33=0,0,1000000*S33/TrRoad_act!S67)</f>
        <v>27581.987956023931</v>
      </c>
      <c r="T124" s="116">
        <f>IF(T33=0,0,1000000*T33/TrRoad_act!T67)</f>
        <v>27897.857290570591</v>
      </c>
      <c r="U124" s="116">
        <f>IF(U33=0,0,1000000*U33/TrRoad_act!U67)</f>
        <v>31024.777461574904</v>
      </c>
      <c r="V124" s="116">
        <f>IF(V33=0,0,1000000*V33/TrRoad_act!V67)</f>
        <v>30521.361732662797</v>
      </c>
      <c r="W124" s="116">
        <f>IF(W33=0,0,1000000*W33/TrRoad_act!W67)</f>
        <v>29109.005735995546</v>
      </c>
      <c r="X124" s="116">
        <f>IF(X33=0,0,1000000*X33/TrRoad_act!X67)</f>
        <v>28398.878357237612</v>
      </c>
      <c r="Y124" s="116">
        <f>IF(Y33=0,0,1000000*Y33/TrRoad_act!Y67)</f>
        <v>29473.183699226443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12253.965674717121</v>
      </c>
      <c r="C125" s="101">
        <f>IF(C34=0,0,1000000*C34/TrRoad_act!C68)</f>
        <v>12325.160537555366</v>
      </c>
      <c r="D125" s="101">
        <f>IF(D34=0,0,1000000*D34/TrRoad_act!D68)</f>
        <v>12817.039372705613</v>
      </c>
      <c r="E125" s="101">
        <f>IF(E34=0,0,1000000*E34/TrRoad_act!E68)</f>
        <v>13101.409749314111</v>
      </c>
      <c r="F125" s="101">
        <f>IF(F34=0,0,1000000*F34/TrRoad_act!F68)</f>
        <v>13299.258927726822</v>
      </c>
      <c r="G125" s="101">
        <f>IF(G34=0,0,1000000*G34/TrRoad_act!G68)</f>
        <v>12729.394356417395</v>
      </c>
      <c r="H125" s="101">
        <f>IF(H34=0,0,1000000*H34/TrRoad_act!H68)</f>
        <v>12124.41522716104</v>
      </c>
      <c r="I125" s="101">
        <f>IF(I34=0,0,1000000*I34/TrRoad_act!I68)</f>
        <v>11920.67935986942</v>
      </c>
      <c r="J125" s="101">
        <f>IF(J34=0,0,1000000*J34/TrRoad_act!J68)</f>
        <v>11308.3834615545</v>
      </c>
      <c r="K125" s="101">
        <f>IF(K34=0,0,1000000*K34/TrRoad_act!K68)</f>
        <v>10882.505742413423</v>
      </c>
      <c r="L125" s="101">
        <f>IF(L34=0,0,1000000*L34/TrRoad_act!L68)</f>
        <v>10086.273170000579</v>
      </c>
      <c r="M125" s="101">
        <f>IF(M34=0,0,1000000*M34/TrRoad_act!M68)</f>
        <v>9329.3929207997699</v>
      </c>
      <c r="N125" s="101">
        <f>IF(N34=0,0,1000000*N34/TrRoad_act!N68)</f>
        <v>9180.5879480960884</v>
      </c>
      <c r="O125" s="101">
        <f>IF(O34=0,0,1000000*O34/TrRoad_act!O68)</f>
        <v>8984.9260971144195</v>
      </c>
      <c r="P125" s="101">
        <f>IF(P34=0,0,1000000*P34/TrRoad_act!P68)</f>
        <v>8601.3428823446957</v>
      </c>
      <c r="Q125" s="101">
        <f>IF(Q34=0,0,1000000*Q34/TrRoad_act!Q68)</f>
        <v>8474.0189513407258</v>
      </c>
      <c r="R125" s="101">
        <f>IF(R34=0,0,1000000*R34/TrRoad_act!R68)</f>
        <v>8593.3474494928432</v>
      </c>
      <c r="S125" s="101">
        <f>IF(S34=0,0,1000000*S34/TrRoad_act!S68)</f>
        <v>8437.5856127060288</v>
      </c>
      <c r="T125" s="101">
        <f>IF(T34=0,0,1000000*T34/TrRoad_act!T68)</f>
        <v>8574.2708734637381</v>
      </c>
      <c r="U125" s="101">
        <f>IF(U34=0,0,1000000*U34/TrRoad_act!U68)</f>
        <v>8267.7137497436343</v>
      </c>
      <c r="V125" s="101">
        <f>IF(V34=0,0,1000000*V34/TrRoad_act!V68)</f>
        <v>8510.3670227939911</v>
      </c>
      <c r="W125" s="101">
        <f>IF(W34=0,0,1000000*W34/TrRoad_act!W68)</f>
        <v>8384.4187157224387</v>
      </c>
      <c r="X125" s="101">
        <f>IF(X34=0,0,1000000*X34/TrRoad_act!X68)</f>
        <v>8488.2303176302394</v>
      </c>
      <c r="Y125" s="101">
        <f>IF(Y34=0,0,1000000*Y34/TrRoad_act!Y68)</f>
        <v>8774.5295296315562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43808.624389421049</v>
      </c>
      <c r="C126" s="101">
        <f>IF(C36=0,0,1000000*C36/TrRoad_act!C69)</f>
        <v>42698.449504309028</v>
      </c>
      <c r="D126" s="101">
        <f>IF(D36=0,0,1000000*D36/TrRoad_act!D69)</f>
        <v>42193.981765796925</v>
      </c>
      <c r="E126" s="101">
        <f>IF(E36=0,0,1000000*E36/TrRoad_act!E69)</f>
        <v>43098.256361802851</v>
      </c>
      <c r="F126" s="101">
        <f>IF(F36=0,0,1000000*F36/TrRoad_act!F69)</f>
        <v>43992.338601731266</v>
      </c>
      <c r="G126" s="101">
        <f>IF(G36=0,0,1000000*G36/TrRoad_act!G69)</f>
        <v>40393.714542159047</v>
      </c>
      <c r="H126" s="101">
        <f>IF(H36=0,0,1000000*H36/TrRoad_act!H69)</f>
        <v>39942.027086478687</v>
      </c>
      <c r="I126" s="101">
        <f>IF(I36=0,0,1000000*I36/TrRoad_act!I69)</f>
        <v>39246.954370186482</v>
      </c>
      <c r="J126" s="101">
        <f>IF(J36=0,0,1000000*J36/TrRoad_act!J69)</f>
        <v>37943.765524663228</v>
      </c>
      <c r="K126" s="101">
        <f>IF(K36=0,0,1000000*K36/TrRoad_act!K69)</f>
        <v>37392.58132586586</v>
      </c>
      <c r="L126" s="101">
        <f>IF(L36=0,0,1000000*L36/TrRoad_act!L69)</f>
        <v>37958.048058597305</v>
      </c>
      <c r="M126" s="101">
        <f>IF(M36=0,0,1000000*M36/TrRoad_act!M69)</f>
        <v>37237.088024350065</v>
      </c>
      <c r="N126" s="101">
        <f>IF(N36=0,0,1000000*N36/TrRoad_act!N69)</f>
        <v>36678.392963659549</v>
      </c>
      <c r="O126" s="101">
        <f>IF(O36=0,0,1000000*O36/TrRoad_act!O69)</f>
        <v>34900.705409702437</v>
      </c>
      <c r="P126" s="101">
        <f>IF(P36=0,0,1000000*P36/TrRoad_act!P69)</f>
        <v>33242.447960352147</v>
      </c>
      <c r="Q126" s="101">
        <f>IF(Q36=0,0,1000000*Q36/TrRoad_act!Q69)</f>
        <v>33955.917158521494</v>
      </c>
      <c r="R126" s="101">
        <f>IF(R36=0,0,1000000*R36/TrRoad_act!R69)</f>
        <v>34503.504873023237</v>
      </c>
      <c r="S126" s="101">
        <f>IF(S36=0,0,1000000*S36/TrRoad_act!S69)</f>
        <v>34823.848401539668</v>
      </c>
      <c r="T126" s="101">
        <f>IF(T36=0,0,1000000*T36/TrRoad_act!T69)</f>
        <v>34762.00620476633</v>
      </c>
      <c r="U126" s="101">
        <f>IF(U36=0,0,1000000*U36/TrRoad_act!U69)</f>
        <v>33470.480043624419</v>
      </c>
      <c r="V126" s="101">
        <f>IF(V36=0,0,1000000*V36/TrRoad_act!V69)</f>
        <v>34857.170468890952</v>
      </c>
      <c r="W126" s="101">
        <f>IF(W36=0,0,1000000*W36/TrRoad_act!W69)</f>
        <v>33849.127022468871</v>
      </c>
      <c r="X126" s="101">
        <f>IF(X36=0,0,1000000*X36/TrRoad_act!X69)</f>
        <v>33022.393092736973</v>
      </c>
      <c r="Y126" s="101">
        <f>IF(Y36=0,0,1000000*Y36/TrRoad_act!Y69)</f>
        <v>33301.054223552332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0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29841.687319811848</v>
      </c>
      <c r="C128" s="101">
        <f>IF(C39=0,0,1000000*C39/TrRoad_act!C71)</f>
        <v>27452.103147618403</v>
      </c>
      <c r="D128" s="101">
        <f>IF(D39=0,0,1000000*D39/TrRoad_act!D71)</f>
        <v>27986.039614612349</v>
      </c>
      <c r="E128" s="101">
        <f>IF(E39=0,0,1000000*E39/TrRoad_act!E71)</f>
        <v>38470.593986189102</v>
      </c>
      <c r="F128" s="101">
        <f>IF(F39=0,0,1000000*F39/TrRoad_act!F71)</f>
        <v>25441.680176732567</v>
      </c>
      <c r="G128" s="101">
        <f>IF(G39=0,0,1000000*G39/TrRoad_act!G71)</f>
        <v>9354.3112271026457</v>
      </c>
      <c r="H128" s="101">
        <f>IF(H39=0,0,1000000*H39/TrRoad_act!H71)</f>
        <v>28791.910006781021</v>
      </c>
      <c r="I128" s="101">
        <f>IF(I39=0,0,1000000*I39/TrRoad_act!I71)</f>
        <v>24344.922894041476</v>
      </c>
      <c r="J128" s="101">
        <f>IF(J39=0,0,1000000*J39/TrRoad_act!J71)</f>
        <v>40023.370990863084</v>
      </c>
      <c r="K128" s="101">
        <f>IF(K39=0,0,1000000*K39/TrRoad_act!K71)</f>
        <v>28169.945468666334</v>
      </c>
      <c r="L128" s="101">
        <f>IF(L39=0,0,1000000*L39/TrRoad_act!L71)</f>
        <v>25327.675419045638</v>
      </c>
      <c r="M128" s="101">
        <f>IF(M39=0,0,1000000*M39/TrRoad_act!M71)</f>
        <v>46950.702246245179</v>
      </c>
      <c r="N128" s="101">
        <f>IF(N39=0,0,1000000*N39/TrRoad_act!N71)</f>
        <v>47641.542150234156</v>
      </c>
      <c r="O128" s="101">
        <f>IF(O39=0,0,1000000*O39/TrRoad_act!O71)</f>
        <v>21129.113971741896</v>
      </c>
      <c r="P128" s="101">
        <f>IF(P39=0,0,1000000*P39/TrRoad_act!P71)</f>
        <v>20377.102891332834</v>
      </c>
      <c r="Q128" s="101">
        <f>IF(Q39=0,0,1000000*Q39/TrRoad_act!Q71)</f>
        <v>18426.63448789524</v>
      </c>
      <c r="R128" s="101">
        <f>IF(R39=0,0,1000000*R39/TrRoad_act!R71)</f>
        <v>17917.053316666155</v>
      </c>
      <c r="S128" s="101">
        <f>IF(S39=0,0,1000000*S39/TrRoad_act!S71)</f>
        <v>14510.154751471229</v>
      </c>
      <c r="T128" s="101">
        <f>IF(T39=0,0,1000000*T39/TrRoad_act!T71)</f>
        <v>15631.109825819058</v>
      </c>
      <c r="U128" s="101">
        <f>IF(U39=0,0,1000000*U39/TrRoad_act!U71)</f>
        <v>21739.034313678978</v>
      </c>
      <c r="V128" s="101">
        <f>IF(V39=0,0,1000000*V39/TrRoad_act!V71)</f>
        <v>17742.338980432785</v>
      </c>
      <c r="W128" s="101">
        <f>IF(W39=0,0,1000000*W39/TrRoad_act!W71)</f>
        <v>15347.295078543895</v>
      </c>
      <c r="X128" s="101">
        <f>IF(X39=0,0,1000000*X39/TrRoad_act!X71)</f>
        <v>14891.063519068199</v>
      </c>
      <c r="Y128" s="101">
        <f>IF(Y39=0,0,1000000*Y39/TrRoad_act!Y71)</f>
        <v>21148.930662899918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18258.665465425132</v>
      </c>
      <c r="C129" s="101">
        <f>IF(C41=0,0,1000000*C41/TrRoad_act!C72)</f>
        <v>17687.022571402631</v>
      </c>
      <c r="D129" s="101">
        <f>IF(D41=0,0,1000000*D41/TrRoad_act!D72)</f>
        <v>17667.178756023892</v>
      </c>
      <c r="E129" s="101">
        <f>IF(E41=0,0,1000000*E41/TrRoad_act!E72)</f>
        <v>17408.26402210048</v>
      </c>
      <c r="F129" s="101">
        <f>IF(F41=0,0,1000000*F41/TrRoad_act!F72)</f>
        <v>17417.038592241111</v>
      </c>
      <c r="G129" s="101">
        <f>IF(G41=0,0,1000000*G41/TrRoad_act!G72)</f>
        <v>17307.531824665784</v>
      </c>
      <c r="H129" s="101">
        <f>IF(H41=0,0,1000000*H41/TrRoad_act!H72)</f>
        <v>17283.384762865888</v>
      </c>
      <c r="I129" s="101">
        <f>IF(I41=0,0,1000000*I41/TrRoad_act!I72)</f>
        <v>17249.905583946304</v>
      </c>
      <c r="J129" s="101">
        <f>IF(J41=0,0,1000000*J41/TrRoad_act!J72)</f>
        <v>17403.954296364947</v>
      </c>
      <c r="K129" s="101">
        <f>IF(K41=0,0,1000000*K41/TrRoad_act!K72)</f>
        <v>17422.614206254602</v>
      </c>
      <c r="L129" s="101">
        <f>IF(L41=0,0,1000000*L41/TrRoad_act!L72)</f>
        <v>17630.164581467485</v>
      </c>
      <c r="M129" s="101">
        <f>IF(M41=0,0,1000000*M41/TrRoad_act!M72)</f>
        <v>17702.486174098318</v>
      </c>
      <c r="N129" s="101">
        <f>IF(N41=0,0,1000000*N41/TrRoad_act!N72)</f>
        <v>16867.464074513595</v>
      </c>
      <c r="O129" s="101">
        <f>IF(O41=0,0,1000000*O41/TrRoad_act!O72)</f>
        <v>16762.551880502448</v>
      </c>
      <c r="P129" s="101">
        <f>IF(P41=0,0,1000000*P41/TrRoad_act!P72)</f>
        <v>16589.168396993002</v>
      </c>
      <c r="Q129" s="101">
        <f>IF(Q41=0,0,1000000*Q41/TrRoad_act!Q72)</f>
        <v>16586.260371564913</v>
      </c>
      <c r="R129" s="101">
        <f>IF(R41=0,0,1000000*R41/TrRoad_act!R72)</f>
        <v>16509.647244821583</v>
      </c>
      <c r="S129" s="101">
        <f>IF(S41=0,0,1000000*S41/TrRoad_act!S72)</f>
        <v>16395.876317715862</v>
      </c>
      <c r="T129" s="101">
        <f>IF(T41=0,0,1000000*T41/TrRoad_act!T72)</f>
        <v>16232.616657294269</v>
      </c>
      <c r="U129" s="101">
        <f>IF(U41=0,0,1000000*U41/TrRoad_act!U72)</f>
        <v>15834.195465049737</v>
      </c>
      <c r="V129" s="101">
        <f>IF(V41=0,0,1000000*V41/TrRoad_act!V72)</f>
        <v>15459.271232834635</v>
      </c>
      <c r="W129" s="101">
        <f>IF(W41=0,0,1000000*W41/TrRoad_act!W72)</f>
        <v>15348.881053627725</v>
      </c>
      <c r="X129" s="101">
        <f>IF(X41=0,0,1000000*X41/TrRoad_act!X72)</f>
        <v>15075.480606682306</v>
      </c>
      <c r="Y129" s="101">
        <f>IF(Y41=0,0,1000000*Y41/TrRoad_act!Y72)</f>
        <v>14823.053457927672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1455.0390309816171</v>
      </c>
      <c r="C131" s="152">
        <f>IF(C43=0,0,1000000*C43/TrRoad_act!C74)</f>
        <v>1497.7986196938568</v>
      </c>
      <c r="D131" s="152">
        <f>IF(D43=0,0,1000000*D43/TrRoad_act!D74)</f>
        <v>1500.1714380645515</v>
      </c>
      <c r="E131" s="152">
        <f>IF(E43=0,0,1000000*E43/TrRoad_act!E74)</f>
        <v>1555.7991903734892</v>
      </c>
      <c r="F131" s="152">
        <f>IF(F43=0,0,1000000*F43/TrRoad_act!F74)</f>
        <v>1643.1217642278996</v>
      </c>
      <c r="G131" s="152">
        <f>IF(G43=0,0,1000000*G43/TrRoad_act!G74)</f>
        <v>1386.6177059376064</v>
      </c>
      <c r="H131" s="152">
        <f>IF(H43=0,0,1000000*H43/TrRoad_act!H74)</f>
        <v>1432.1338601342195</v>
      </c>
      <c r="I131" s="152">
        <f>IF(I43=0,0,1000000*I43/TrRoad_act!I74)</f>
        <v>1397.1841060708471</v>
      </c>
      <c r="J131" s="152">
        <f>IF(J43=0,0,1000000*J43/TrRoad_act!J74)</f>
        <v>1383.2071488181882</v>
      </c>
      <c r="K131" s="152">
        <f>IF(K43=0,0,1000000*K43/TrRoad_act!K74)</f>
        <v>1351.7166257679692</v>
      </c>
      <c r="L131" s="152">
        <f>IF(L43=0,0,1000000*L43/TrRoad_act!L74)</f>
        <v>1449.4650294582686</v>
      </c>
      <c r="M131" s="152">
        <f>IF(M43=0,0,1000000*M43/TrRoad_act!M74)</f>
        <v>1407.8816063576028</v>
      </c>
      <c r="N131" s="152">
        <f>IF(N43=0,0,1000000*N43/TrRoad_act!N74)</f>
        <v>1364.2079186139774</v>
      </c>
      <c r="O131" s="152">
        <f>IF(O43=0,0,1000000*O43/TrRoad_act!O74)</f>
        <v>1319.996891595388</v>
      </c>
      <c r="P131" s="152">
        <f>IF(P43=0,0,1000000*P43/TrRoad_act!P74)</f>
        <v>1231.531442785162</v>
      </c>
      <c r="Q131" s="152">
        <f>IF(Q43=0,0,1000000*Q43/TrRoad_act!Q74)</f>
        <v>1249.4318924795518</v>
      </c>
      <c r="R131" s="152">
        <f>IF(R43=0,0,1000000*R43/TrRoad_act!R74)</f>
        <v>1177.1225589270953</v>
      </c>
      <c r="S131" s="152">
        <f>IF(S43=0,0,1000000*S43/TrRoad_act!S74)</f>
        <v>1214.9207222217281</v>
      </c>
      <c r="T131" s="152">
        <f>IF(T43=0,0,1000000*T43/TrRoad_act!T74)</f>
        <v>1131.3340926582187</v>
      </c>
      <c r="U131" s="152">
        <f>IF(U43=0,0,1000000*U43/TrRoad_act!U74)</f>
        <v>1116.4190953022235</v>
      </c>
      <c r="V131" s="152">
        <f>IF(V43=0,0,1000000*V43/TrRoad_act!V74)</f>
        <v>1146.3029906927986</v>
      </c>
      <c r="W131" s="152">
        <f>IF(W43=0,0,1000000*W43/TrRoad_act!W74)</f>
        <v>1160.8245640888697</v>
      </c>
      <c r="X131" s="152">
        <f>IF(X43=0,0,1000000*X43/TrRoad_act!X74)</f>
        <v>1072.969113713433</v>
      </c>
      <c r="Y131" s="152">
        <f>IF(Y43=0,0,1000000*Y43/TrRoad_act!Y74)</f>
        <v>1060.3374763761301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916.77270941517861</v>
      </c>
      <c r="C132" s="87">
        <f>IF(C44=0,0,1000000*C44/TrRoad_act!C75)</f>
        <v>918.25622235411197</v>
      </c>
      <c r="D132" s="87">
        <f>IF(D44=0,0,1000000*D44/TrRoad_act!D75)</f>
        <v>891.53743591560408</v>
      </c>
      <c r="E132" s="87">
        <f>IF(E44=0,0,1000000*E44/TrRoad_act!E75)</f>
        <v>836.74748058341811</v>
      </c>
      <c r="F132" s="87">
        <f>IF(F44=0,0,1000000*F44/TrRoad_act!F75)</f>
        <v>794.33111767286073</v>
      </c>
      <c r="G132" s="87">
        <f>IF(G44=0,0,1000000*G44/TrRoad_act!G75)</f>
        <v>780.58480944031999</v>
      </c>
      <c r="H132" s="87">
        <f>IF(H44=0,0,1000000*H44/TrRoad_act!H75)</f>
        <v>740.72023745026991</v>
      </c>
      <c r="I132" s="87">
        <f>IF(I44=0,0,1000000*I44/TrRoad_act!I75)</f>
        <v>732.55428909719387</v>
      </c>
      <c r="J132" s="87">
        <f>IF(J44=0,0,1000000*J44/TrRoad_act!J75)</f>
        <v>712.90743745230463</v>
      </c>
      <c r="K132" s="87">
        <f>IF(K44=0,0,1000000*K44/TrRoad_act!K75)</f>
        <v>694.28817568749139</v>
      </c>
      <c r="L132" s="87">
        <f>IF(L44=0,0,1000000*L44/TrRoad_act!L75)</f>
        <v>660.97517004683209</v>
      </c>
      <c r="M132" s="87">
        <f>IF(M44=0,0,1000000*M44/TrRoad_act!M75)</f>
        <v>663.78839074310054</v>
      </c>
      <c r="N132" s="87">
        <f>IF(N44=0,0,1000000*N44/TrRoad_act!N75)</f>
        <v>649.57031371816561</v>
      </c>
      <c r="O132" s="87">
        <f>IF(O44=0,0,1000000*O44/TrRoad_act!O75)</f>
        <v>641.30994364328342</v>
      </c>
      <c r="P132" s="87">
        <f>IF(P44=0,0,1000000*P44/TrRoad_act!P75)</f>
        <v>626.37847842034034</v>
      </c>
      <c r="Q132" s="87">
        <f>IF(Q44=0,0,1000000*Q44/TrRoad_act!Q75)</f>
        <v>646.3685069268364</v>
      </c>
      <c r="R132" s="87">
        <f>IF(R44=0,0,1000000*R44/TrRoad_act!R75)</f>
        <v>569.71461373227635</v>
      </c>
      <c r="S132" s="87">
        <f>IF(S44=0,0,1000000*S44/TrRoad_act!S75)</f>
        <v>526.09395247980763</v>
      </c>
      <c r="T132" s="87">
        <f>IF(T44=0,0,1000000*T44/TrRoad_act!T75)</f>
        <v>521.72918815212779</v>
      </c>
      <c r="U132" s="87">
        <f>IF(U44=0,0,1000000*U44/TrRoad_act!U75)</f>
        <v>513.84385013647716</v>
      </c>
      <c r="V132" s="87">
        <f>IF(V44=0,0,1000000*V44/TrRoad_act!V75)</f>
        <v>519.66700617147967</v>
      </c>
      <c r="W132" s="87">
        <f>IF(W44=0,0,1000000*W44/TrRoad_act!W75)</f>
        <v>562.19626858957349</v>
      </c>
      <c r="X132" s="87">
        <f>IF(X44=0,0,1000000*X44/TrRoad_act!X75)</f>
        <v>624.96374020098517</v>
      </c>
      <c r="Y132" s="87">
        <f>IF(Y44=0,0,1000000*Y44/TrRoad_act!Y75)</f>
        <v>663.99232259762516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2265.2985845967582</v>
      </c>
      <c r="C133" s="87">
        <f>IF(C46=0,0,1000000*C46/TrRoad_act!C76)</f>
        <v>2181.0199173123979</v>
      </c>
      <c r="D133" s="87">
        <f>IF(D46=0,0,1000000*D46/TrRoad_act!D76)</f>
        <v>2094.7454641615227</v>
      </c>
      <c r="E133" s="87">
        <f>IF(E46=0,0,1000000*E46/TrRoad_act!E76)</f>
        <v>2141.2465879984807</v>
      </c>
      <c r="F133" s="87">
        <f>IF(F46=0,0,1000000*F46/TrRoad_act!F76)</f>
        <v>2211.9181025797425</v>
      </c>
      <c r="G133" s="87">
        <f>IF(G46=0,0,1000000*G46/TrRoad_act!G76)</f>
        <v>1723.9178552590033</v>
      </c>
      <c r="H133" s="87">
        <f>IF(H46=0,0,1000000*H46/TrRoad_act!H76)</f>
        <v>1756.2785642058625</v>
      </c>
      <c r="I133" s="87">
        <f>IF(I46=0,0,1000000*I46/TrRoad_act!I76)</f>
        <v>1658.115852359354</v>
      </c>
      <c r="J133" s="87">
        <f>IF(J46=0,0,1000000*J46/TrRoad_act!J76)</f>
        <v>1612.2113956993153</v>
      </c>
      <c r="K133" s="87">
        <f>IF(K46=0,0,1000000*K46/TrRoad_act!K76)</f>
        <v>1555.6574828935104</v>
      </c>
      <c r="L133" s="87">
        <f>IF(L46=0,0,1000000*L46/TrRoad_act!L76)</f>
        <v>1668.0108907694721</v>
      </c>
      <c r="M133" s="87">
        <f>IF(M46=0,0,1000000*M46/TrRoad_act!M76)</f>
        <v>1581.56139593899</v>
      </c>
      <c r="N133" s="87">
        <f>IF(N46=0,0,1000000*N46/TrRoad_act!N76)</f>
        <v>1509.7515837839437</v>
      </c>
      <c r="O133" s="87">
        <f>IF(O46=0,0,1000000*O46/TrRoad_act!O76)</f>
        <v>1437.1428815539698</v>
      </c>
      <c r="P133" s="87">
        <f>IF(P46=0,0,1000000*P46/TrRoad_act!P76)</f>
        <v>1325.3949582942887</v>
      </c>
      <c r="Q133" s="87">
        <f>IF(Q46=0,0,1000000*Q46/TrRoad_act!Q76)</f>
        <v>1333.1615305196326</v>
      </c>
      <c r="R133" s="87">
        <f>IF(R46=0,0,1000000*R46/TrRoad_act!R76)</f>
        <v>1251.9314776629487</v>
      </c>
      <c r="S133" s="87">
        <f>IF(S46=0,0,1000000*S46/TrRoad_act!S76)</f>
        <v>1292.1446759653124</v>
      </c>
      <c r="T133" s="87">
        <f>IF(T46=0,0,1000000*T46/TrRoad_act!T76)</f>
        <v>1199.6809305494417</v>
      </c>
      <c r="U133" s="87">
        <f>IF(U46=0,0,1000000*U46/TrRoad_act!U76)</f>
        <v>1183.9363283388097</v>
      </c>
      <c r="V133" s="87">
        <f>IF(V46=0,0,1000000*V46/TrRoad_act!V76)</f>
        <v>1218.9584650006366</v>
      </c>
      <c r="W133" s="87">
        <f>IF(W46=0,0,1000000*W46/TrRoad_act!W76)</f>
        <v>1233.713674305463</v>
      </c>
      <c r="X133" s="87">
        <f>IF(X46=0,0,1000000*X46/TrRoad_act!X76)</f>
        <v>1137.4175826380015</v>
      </c>
      <c r="Y133" s="87">
        <f>IF(Y46=0,0,1000000*Y46/TrRoad_act!Y76)</f>
        <v>1130.6501820126482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X134" s="87">
        <f>IF(X48=0,0,1000000*X48/TrRoad_act!X77)</f>
        <v>0</v>
      </c>
      <c r="Y134" s="87">
        <f>IF(Y48=0,0,1000000*Y48/TrRoad_act!Y77)</f>
        <v>0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702.64108481655921</v>
      </c>
      <c r="D135" s="87">
        <f>IF(D49=0,0,1000000*D49/TrRoad_act!D78)</f>
        <v>736.45673756995006</v>
      </c>
      <c r="E135" s="87">
        <f>IF(E49=0,0,1000000*E49/TrRoad_act!E78)</f>
        <v>764.48643081213493</v>
      </c>
      <c r="F135" s="87">
        <f>IF(F49=0,0,1000000*F49/TrRoad_act!F78)</f>
        <v>807.06711006900696</v>
      </c>
      <c r="G135" s="87">
        <f>IF(G49=0,0,1000000*G49/TrRoad_act!G78)</f>
        <v>709.95565562423974</v>
      </c>
      <c r="H135" s="87">
        <f>IF(H49=0,0,1000000*H49/TrRoad_act!H78)</f>
        <v>724.72716690109212</v>
      </c>
      <c r="I135" s="87">
        <f>IF(I49=0,0,1000000*I49/TrRoad_act!I78)</f>
        <v>712.3876120058527</v>
      </c>
      <c r="J135" s="87">
        <f>IF(J49=0,0,1000000*J49/TrRoad_act!J78)</f>
        <v>692.51802956163749</v>
      </c>
      <c r="K135" s="87">
        <f>IF(K49=0,0,1000000*K49/TrRoad_act!K78)</f>
        <v>661.87860547953574</v>
      </c>
      <c r="L135" s="87">
        <f>IF(L49=0,0,1000000*L49/TrRoad_act!L78)</f>
        <v>674.70696174373722</v>
      </c>
      <c r="M135" s="87">
        <f>IF(M49=0,0,1000000*M49/TrRoad_act!M78)</f>
        <v>640.61976398172374</v>
      </c>
      <c r="N135" s="87">
        <f>IF(N49=0,0,1000000*N49/TrRoad_act!N78)</f>
        <v>677.23091945740032</v>
      </c>
      <c r="O135" s="87">
        <f>IF(O49=0,0,1000000*O49/TrRoad_act!O78)</f>
        <v>689.0674910750854</v>
      </c>
      <c r="P135" s="87">
        <f>IF(P49=0,0,1000000*P49/TrRoad_act!P78)</f>
        <v>712.40882096067071</v>
      </c>
      <c r="Q135" s="87">
        <f>IF(Q49=0,0,1000000*Q49/TrRoad_act!Q78)</f>
        <v>753.85553106621262</v>
      </c>
      <c r="R135" s="87">
        <f>IF(R49=0,0,1000000*R49/TrRoad_act!R78)</f>
        <v>746.81210070995246</v>
      </c>
      <c r="S135" s="87">
        <f>IF(S49=0,0,1000000*S49/TrRoad_act!S78)</f>
        <v>770.42825184052697</v>
      </c>
      <c r="T135" s="87">
        <f>IF(T49=0,0,1000000*T49/TrRoad_act!T78)</f>
        <v>723.26275009111168</v>
      </c>
      <c r="U135" s="87">
        <f>IF(U49=0,0,1000000*U49/TrRoad_act!U78)</f>
        <v>716.53844752356781</v>
      </c>
      <c r="V135" s="87">
        <f>IF(V49=0,0,1000000*V49/TrRoad_act!V78)</f>
        <v>707.93115781982249</v>
      </c>
      <c r="W135" s="87">
        <f>IF(W49=0,0,1000000*W49/TrRoad_act!W78)</f>
        <v>712.31056947247419</v>
      </c>
      <c r="X135" s="87">
        <f>IF(X49=0,0,1000000*X49/TrRoad_act!X78)</f>
        <v>757.3044839969109</v>
      </c>
      <c r="Y135" s="87">
        <f>IF(Y49=0,0,1000000*Y49/TrRoad_act!Y78)</f>
        <v>748.61752627669057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123.6445421725429</v>
      </c>
      <c r="H136" s="87">
        <f>IF(H51=0,0,1000000*H51/TrRoad_act!H79)</f>
        <v>123.75302412544626</v>
      </c>
      <c r="I136" s="87">
        <f>IF(I51=0,0,1000000*I51/TrRoad_act!I79)</f>
        <v>123.81532014369603</v>
      </c>
      <c r="J136" s="87">
        <f>IF(J51=0,0,1000000*J51/TrRoad_act!J79)</f>
        <v>123.87100066799655</v>
      </c>
      <c r="K136" s="87">
        <f>IF(K51=0,0,1000000*K51/TrRoad_act!K79)</f>
        <v>123.89177316421453</v>
      </c>
      <c r="L136" s="87">
        <f>IF(L51=0,0,1000000*L51/TrRoad_act!L79)</f>
        <v>124.21507872341151</v>
      </c>
      <c r="M136" s="87">
        <f>IF(M51=0,0,1000000*M51/TrRoad_act!M79)</f>
        <v>124.45687297580299</v>
      </c>
      <c r="N136" s="87">
        <f>IF(N51=0,0,1000000*N51/TrRoad_act!N79)</f>
        <v>125.68035268493277</v>
      </c>
      <c r="O136" s="87">
        <f>IF(O51=0,0,1000000*O51/TrRoad_act!O79)</f>
        <v>126.50891636776214</v>
      </c>
      <c r="P136" s="87">
        <f>IF(P51=0,0,1000000*P51/TrRoad_act!P79)</f>
        <v>128.56519875483798</v>
      </c>
      <c r="Q136" s="87">
        <f>IF(Q51=0,0,1000000*Q51/TrRoad_act!Q79)</f>
        <v>132.41753286618729</v>
      </c>
      <c r="R136" s="87">
        <f>IF(R51=0,0,1000000*R51/TrRoad_act!R79)</f>
        <v>133.90814718574231</v>
      </c>
      <c r="S136" s="87">
        <f>IF(S51=0,0,1000000*S51/TrRoad_act!S79)</f>
        <v>135.29696829132362</v>
      </c>
      <c r="T136" s="87">
        <f>IF(T51=0,0,1000000*T51/TrRoad_act!T79)</f>
        <v>143.60161805688324</v>
      </c>
      <c r="U136" s="87">
        <f>IF(U51=0,0,1000000*U51/TrRoad_act!U79)</f>
        <v>156.48698600862909</v>
      </c>
      <c r="V136" s="87">
        <f>IF(V51=0,0,1000000*V51/TrRoad_act!V79)</f>
        <v>178.89637590111235</v>
      </c>
      <c r="W136" s="87">
        <f>IF(W51=0,0,1000000*W51/TrRoad_act!W79)</f>
        <v>192.95378475788209</v>
      </c>
      <c r="X136" s="87">
        <f>IF(X51=0,0,1000000*X51/TrRoad_act!X79)</f>
        <v>196.80687131694395</v>
      </c>
      <c r="Y136" s="87">
        <f>IF(Y51=0,0,1000000*Y51/TrRoad_act!Y79)</f>
        <v>204.3759845119481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15585.305300129759</v>
      </c>
      <c r="C137" s="116">
        <f>IF(C52=0,0,1000000*C52/TrRoad_act!C80)</f>
        <v>15651.798459160584</v>
      </c>
      <c r="D137" s="116">
        <f>IF(D52=0,0,1000000*D52/TrRoad_act!D80)</f>
        <v>15676.819358965056</v>
      </c>
      <c r="E137" s="116">
        <f>IF(E52=0,0,1000000*E52/TrRoad_act!E80)</f>
        <v>16312.017102544578</v>
      </c>
      <c r="F137" s="116">
        <f>IF(F52=0,0,1000000*F52/TrRoad_act!F80)</f>
        <v>17471.91232390517</v>
      </c>
      <c r="G137" s="116">
        <f>IF(G52=0,0,1000000*G52/TrRoad_act!G80)</f>
        <v>16856.302387925454</v>
      </c>
      <c r="H137" s="116">
        <f>IF(H52=0,0,1000000*H52/TrRoad_act!H80)</f>
        <v>16763.34614629807</v>
      </c>
      <c r="I137" s="116">
        <f>IF(I52=0,0,1000000*I52/TrRoad_act!I80)</f>
        <v>16734.699015280461</v>
      </c>
      <c r="J137" s="116">
        <f>IF(J52=0,0,1000000*J52/TrRoad_act!J80)</f>
        <v>17018.460161043247</v>
      </c>
      <c r="K137" s="116">
        <f>IF(K52=0,0,1000000*K52/TrRoad_act!K80)</f>
        <v>15556.076009866578</v>
      </c>
      <c r="L137" s="116">
        <f>IF(L52=0,0,1000000*L52/TrRoad_act!L80)</f>
        <v>16347.77128090123</v>
      </c>
      <c r="M137" s="116">
        <f>IF(M52=0,0,1000000*M52/TrRoad_act!M80)</f>
        <v>14962.637642900234</v>
      </c>
      <c r="N137" s="116">
        <f>IF(N52=0,0,1000000*N52/TrRoad_act!N80)</f>
        <v>12993.653290695565</v>
      </c>
      <c r="O137" s="116">
        <f>IF(O52=0,0,1000000*O52/TrRoad_act!O80)</f>
        <v>14063.517950682504</v>
      </c>
      <c r="P137" s="116">
        <f>IF(P52=0,0,1000000*P52/TrRoad_act!P80)</f>
        <v>14362.28744610068</v>
      </c>
      <c r="Q137" s="116">
        <f>IF(Q52=0,0,1000000*Q52/TrRoad_act!Q80)</f>
        <v>14051.675209290439</v>
      </c>
      <c r="R137" s="116">
        <f>IF(R52=0,0,1000000*R52/TrRoad_act!R80)</f>
        <v>12641.596629694848</v>
      </c>
      <c r="S137" s="116">
        <f>IF(S52=0,0,1000000*S52/TrRoad_act!S80)</f>
        <v>12707.434191078983</v>
      </c>
      <c r="T137" s="116">
        <f>IF(T52=0,0,1000000*T52/TrRoad_act!T80)</f>
        <v>11720.038590052543</v>
      </c>
      <c r="U137" s="116">
        <f>IF(U52=0,0,1000000*U52/TrRoad_act!U80)</f>
        <v>11173.926312304422</v>
      </c>
      <c r="V137" s="116">
        <f>IF(V52=0,0,1000000*V52/TrRoad_act!V80)</f>
        <v>11917.641263758245</v>
      </c>
      <c r="W137" s="116">
        <f>IF(W52=0,0,1000000*W52/TrRoad_act!W80)</f>
        <v>12546.270746251821</v>
      </c>
      <c r="X137" s="116">
        <f>IF(X52=0,0,1000000*X52/TrRoad_act!X80)</f>
        <v>12027.115301850656</v>
      </c>
      <c r="Y137" s="116">
        <f>IF(Y52=0,0,1000000*Y52/TrRoad_act!Y80)</f>
        <v>11219.638992844266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13414.883030967498</v>
      </c>
      <c r="C138" s="101">
        <f>IF(C53=0,0,1000000*C53/TrRoad_act!C81)</f>
        <v>13323.483900982013</v>
      </c>
      <c r="D138" s="101">
        <f>IF(D53=0,0,1000000*D53/TrRoad_act!D81)</f>
        <v>13327.828292980255</v>
      </c>
      <c r="E138" s="101">
        <f>IF(E53=0,0,1000000*E53/TrRoad_act!E81)</f>
        <v>13765.233302977582</v>
      </c>
      <c r="F138" s="101">
        <f>IF(F53=0,0,1000000*F53/TrRoad_act!F81)</f>
        <v>14471.175890521143</v>
      </c>
      <c r="G138" s="101">
        <f>IF(G53=0,0,1000000*G53/TrRoad_act!G81)</f>
        <v>14150.03209334964</v>
      </c>
      <c r="H138" s="101">
        <f>IF(H53=0,0,1000000*H53/TrRoad_act!H81)</f>
        <v>13866.201258486979</v>
      </c>
      <c r="I138" s="101">
        <f>IF(I53=0,0,1000000*I53/TrRoad_act!I81)</f>
        <v>13953.042978153424</v>
      </c>
      <c r="J138" s="101">
        <f>IF(J53=0,0,1000000*J53/TrRoad_act!J81)</f>
        <v>14400.795044706454</v>
      </c>
      <c r="K138" s="101">
        <f>IF(K53=0,0,1000000*K53/TrRoad_act!K81)</f>
        <v>13340.171402110016</v>
      </c>
      <c r="L138" s="101">
        <f>IF(L53=0,0,1000000*L53/TrRoad_act!L81)</f>
        <v>13942.888029391717</v>
      </c>
      <c r="M138" s="101">
        <f>IF(M53=0,0,1000000*M53/TrRoad_act!M81)</f>
        <v>12652.560063621726</v>
      </c>
      <c r="N138" s="101">
        <f>IF(N53=0,0,1000000*N53/TrRoad_act!N81)</f>
        <v>10816.996892932364</v>
      </c>
      <c r="O138" s="101">
        <f>IF(O53=0,0,1000000*O53/TrRoad_act!O81)</f>
        <v>11541.164325356855</v>
      </c>
      <c r="P138" s="101">
        <f>IF(P53=0,0,1000000*P53/TrRoad_act!P81)</f>
        <v>12539.742988612357</v>
      </c>
      <c r="Q138" s="101">
        <f>IF(Q53=0,0,1000000*Q53/TrRoad_act!Q81)</f>
        <v>12051.602422129014</v>
      </c>
      <c r="R138" s="101">
        <f>IF(R53=0,0,1000000*R53/TrRoad_act!R81)</f>
        <v>10709.40426858229</v>
      </c>
      <c r="S138" s="101">
        <f>IF(S53=0,0,1000000*S53/TrRoad_act!S81)</f>
        <v>10757.115157993396</v>
      </c>
      <c r="T138" s="101">
        <f>IF(T53=0,0,1000000*T53/TrRoad_act!T81)</f>
        <v>9951.7497449671409</v>
      </c>
      <c r="U138" s="101">
        <f>IF(U53=0,0,1000000*U53/TrRoad_act!U81)</f>
        <v>9512.1821836973868</v>
      </c>
      <c r="V138" s="101">
        <f>IF(V53=0,0,1000000*V53/TrRoad_act!V81)</f>
        <v>10063.341480624515</v>
      </c>
      <c r="W138" s="101">
        <f>IF(W53=0,0,1000000*W53/TrRoad_act!W81)</f>
        <v>10578.21172677012</v>
      </c>
      <c r="X138" s="101">
        <f>IF(X53=0,0,1000000*X53/TrRoad_act!X81)</f>
        <v>10399.689378372375</v>
      </c>
      <c r="Y138" s="101">
        <f>IF(Y53=0,0,1000000*Y53/TrRoad_act!Y81)</f>
        <v>9475.3839380859208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41408.6081918579</v>
      </c>
      <c r="C139" s="88">
        <f>IF(C55=0,0,1000000*C55/TrRoad_act!C82)</f>
        <v>41360.913403955266</v>
      </c>
      <c r="D139" s="88">
        <f>IF(D55=0,0,1000000*D55/TrRoad_act!D82)</f>
        <v>39826.313820565025</v>
      </c>
      <c r="E139" s="88">
        <f>IF(E55=0,0,1000000*E55/TrRoad_act!E82)</f>
        <v>41436.272494190765</v>
      </c>
      <c r="F139" s="88">
        <f>IF(F55=0,0,1000000*F55/TrRoad_act!F82)</f>
        <v>42717.346407085504</v>
      </c>
      <c r="G139" s="88">
        <f>IF(G55=0,0,1000000*G55/TrRoad_act!G82)</f>
        <v>39138.505018996409</v>
      </c>
      <c r="H139" s="88">
        <f>IF(H55=0,0,1000000*H55/TrRoad_act!H82)</f>
        <v>39430.561139088451</v>
      </c>
      <c r="I139" s="88">
        <f>IF(I55=0,0,1000000*I55/TrRoad_act!I82)</f>
        <v>38611.680468430874</v>
      </c>
      <c r="J139" s="88">
        <f>IF(J55=0,0,1000000*J55/TrRoad_act!J82)</f>
        <v>38119.336168535818</v>
      </c>
      <c r="K139" s="88">
        <f>IF(K55=0,0,1000000*K55/TrRoad_act!K82)</f>
        <v>37875.128132125406</v>
      </c>
      <c r="L139" s="88">
        <f>IF(L55=0,0,1000000*L55/TrRoad_act!L82)</f>
        <v>38648.492579687641</v>
      </c>
      <c r="M139" s="88">
        <f>IF(M55=0,0,1000000*M55/TrRoad_act!M82)</f>
        <v>37796.450367350459</v>
      </c>
      <c r="N139" s="88">
        <f>IF(N55=0,0,1000000*N55/TrRoad_act!N82)</f>
        <v>35353.619635626383</v>
      </c>
      <c r="O139" s="88">
        <f>IF(O55=0,0,1000000*O55/TrRoad_act!O82)</f>
        <v>35098.490043605452</v>
      </c>
      <c r="P139" s="88">
        <f>IF(P55=0,0,1000000*P55/TrRoad_act!P82)</f>
        <v>30362.779200268193</v>
      </c>
      <c r="Q139" s="88">
        <f>IF(Q55=0,0,1000000*Q55/TrRoad_act!Q82)</f>
        <v>29474.547659073523</v>
      </c>
      <c r="R139" s="88">
        <f>IF(R55=0,0,1000000*R55/TrRoad_act!R82)</f>
        <v>26915.880083937122</v>
      </c>
      <c r="S139" s="88">
        <f>IF(S55=0,0,1000000*S55/TrRoad_act!S82)</f>
        <v>27593.443033829539</v>
      </c>
      <c r="T139" s="88">
        <f>IF(T55=0,0,1000000*T55/TrRoad_act!T82)</f>
        <v>25251.664285719911</v>
      </c>
      <c r="U139" s="88">
        <f>IF(U55=0,0,1000000*U55/TrRoad_act!U82)</f>
        <v>24714.063656509898</v>
      </c>
      <c r="V139" s="88">
        <f>IF(V55=0,0,1000000*V55/TrRoad_act!V82)</f>
        <v>26571.146006181531</v>
      </c>
      <c r="W139" s="88">
        <f>IF(W55=0,0,1000000*W55/TrRoad_act!W82)</f>
        <v>26875.271829640795</v>
      </c>
      <c r="X139" s="88">
        <f>IF(X55=0,0,1000000*X55/TrRoad_act!X82)</f>
        <v>25283.272509216495</v>
      </c>
      <c r="Y139" s="88">
        <f>IF(Y55=0,0,1000000*Y55/TrRoad_act!Y82)</f>
        <v>25334.613064331956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0.7513637715410505</v>
      </c>
      <c r="C142" s="46">
        <f t="shared" si="42"/>
        <v>0.74308166151615385</v>
      </c>
      <c r="D142" s="46">
        <f t="shared" si="42"/>
        <v>0.74728638420079252</v>
      </c>
      <c r="E142" s="46">
        <f t="shared" si="42"/>
        <v>0.74116940980309798</v>
      </c>
      <c r="F142" s="46">
        <f t="shared" si="42"/>
        <v>0.72230112468138097</v>
      </c>
      <c r="G142" s="46">
        <f t="shared" si="42"/>
        <v>0.72248505247202366</v>
      </c>
      <c r="H142" s="46">
        <f t="shared" si="42"/>
        <v>0.7152018519759733</v>
      </c>
      <c r="I142" s="46">
        <f t="shared" si="42"/>
        <v>0.71306840588822151</v>
      </c>
      <c r="J142" s="46">
        <f t="shared" si="42"/>
        <v>0.70955785731958765</v>
      </c>
      <c r="K142" s="46">
        <f t="shared" si="42"/>
        <v>0.72626830071203585</v>
      </c>
      <c r="L142" s="46">
        <f t="shared" ref="L142" si="43">IF(L18=0,0,L18/L$17)</f>
        <v>0.71355680615770678</v>
      </c>
      <c r="M142" s="46">
        <f t="shared" ref="M142:V142" si="44">IF(M18=0,0,M18/M$17)</f>
        <v>0.71835841558143776</v>
      </c>
      <c r="N142" s="46">
        <f t="shared" si="44"/>
        <v>0.73424881627786187</v>
      </c>
      <c r="O142" s="46">
        <f t="shared" si="44"/>
        <v>0.7274751828713748</v>
      </c>
      <c r="P142" s="46">
        <f t="shared" si="44"/>
        <v>0.72884080374414695</v>
      </c>
      <c r="Q142" s="46">
        <f t="shared" si="44"/>
        <v>0.73235014279093069</v>
      </c>
      <c r="R142" s="46">
        <f t="shared" si="44"/>
        <v>0.74427342501975857</v>
      </c>
      <c r="S142" s="46">
        <f t="shared" si="44"/>
        <v>0.73840450689515791</v>
      </c>
      <c r="T142" s="46">
        <f t="shared" si="44"/>
        <v>0.74589041979926851</v>
      </c>
      <c r="U142" s="46">
        <f t="shared" si="44"/>
        <v>0.74978198436041965</v>
      </c>
      <c r="V142" s="46">
        <f t="shared" si="44"/>
        <v>0.72309111338586662</v>
      </c>
      <c r="W142" s="46">
        <f t="shared" ref="W142:Y142" si="45">IF(W18=0,0,W18/W$17)</f>
        <v>0.71635607987254157</v>
      </c>
      <c r="X142" s="46">
        <f t="shared" si="45"/>
        <v>0.71643105554436026</v>
      </c>
      <c r="Y142" s="46">
        <f t="shared" si="45"/>
        <v>0.72664643352377845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3.3640967407530145E-3</v>
      </c>
      <c r="C143" s="154">
        <f t="shared" si="46"/>
        <v>3.6170298014230069E-3</v>
      </c>
      <c r="D143" s="154">
        <f t="shared" si="46"/>
        <v>3.9346864987317267E-3</v>
      </c>
      <c r="E143" s="154">
        <f t="shared" si="46"/>
        <v>4.1371076946847534E-3</v>
      </c>
      <c r="F143" s="154">
        <f t="shared" si="46"/>
        <v>4.2945388767583427E-3</v>
      </c>
      <c r="G143" s="154">
        <f t="shared" si="46"/>
        <v>4.5396392677193309E-3</v>
      </c>
      <c r="H143" s="154">
        <f t="shared" si="46"/>
        <v>4.7708042169192647E-3</v>
      </c>
      <c r="I143" s="154">
        <f t="shared" si="46"/>
        <v>5.096000167409992E-3</v>
      </c>
      <c r="J143" s="154">
        <f t="shared" si="46"/>
        <v>5.0134247728302181E-3</v>
      </c>
      <c r="K143" s="154">
        <f t="shared" si="46"/>
        <v>5.0385679719407205E-3</v>
      </c>
      <c r="L143" s="154">
        <f t="shared" ref="L143" si="47">IF(L19=0,0,L19/L$17)</f>
        <v>4.5927439817380986E-3</v>
      </c>
      <c r="M143" s="154">
        <f t="shared" ref="M143:V143" si="48">IF(M19=0,0,M19/M$17)</f>
        <v>4.4606751658160882E-3</v>
      </c>
      <c r="N143" s="154">
        <f t="shared" si="48"/>
        <v>3.9836070066038339E-3</v>
      </c>
      <c r="O143" s="154">
        <f t="shared" si="48"/>
        <v>4.5172438466613779E-3</v>
      </c>
      <c r="P143" s="154">
        <f t="shared" si="48"/>
        <v>4.4293160374162888E-3</v>
      </c>
      <c r="Q143" s="154">
        <f t="shared" si="48"/>
        <v>4.3321827829243447E-3</v>
      </c>
      <c r="R143" s="154">
        <f t="shared" si="48"/>
        <v>4.5687341314630467E-3</v>
      </c>
      <c r="S143" s="154">
        <f t="shared" si="48"/>
        <v>4.2038916993497339E-3</v>
      </c>
      <c r="T143" s="154">
        <f t="shared" si="48"/>
        <v>4.0744296497787101E-3</v>
      </c>
      <c r="U143" s="154">
        <f t="shared" si="48"/>
        <v>4.3312391602987905E-3</v>
      </c>
      <c r="V143" s="154">
        <f t="shared" si="48"/>
        <v>3.9748820159730301E-3</v>
      </c>
      <c r="W143" s="154">
        <f t="shared" ref="W143:Y143" si="49">IF(W19=0,0,W19/W$17)</f>
        <v>3.9625534462632015E-3</v>
      </c>
      <c r="X143" s="154">
        <f t="shared" si="49"/>
        <v>4.1959463515802761E-3</v>
      </c>
      <c r="Y143" s="154">
        <f t="shared" si="49"/>
        <v>4.5281273460349974E-3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0.65766341717109655</v>
      </c>
      <c r="C144" s="156">
        <f t="shared" si="50"/>
        <v>0.65202538688501355</v>
      </c>
      <c r="D144" s="156">
        <f t="shared" si="50"/>
        <v>0.65962004019099374</v>
      </c>
      <c r="E144" s="156">
        <f t="shared" si="50"/>
        <v>0.65366635217687996</v>
      </c>
      <c r="F144" s="156">
        <f t="shared" si="50"/>
        <v>0.63801693556641748</v>
      </c>
      <c r="G144" s="156">
        <f t="shared" si="50"/>
        <v>0.64315805127526582</v>
      </c>
      <c r="H144" s="156">
        <f t="shared" si="50"/>
        <v>0.63322858344424005</v>
      </c>
      <c r="I144" s="156">
        <f t="shared" si="50"/>
        <v>0.6355275726531775</v>
      </c>
      <c r="J144" s="156">
        <f t="shared" si="50"/>
        <v>0.63131123011385348</v>
      </c>
      <c r="K144" s="156">
        <f t="shared" si="50"/>
        <v>0.64970863865440454</v>
      </c>
      <c r="L144" s="156">
        <f t="shared" ref="L144" si="51">IF(L21=0,0,L21/L$17)</f>
        <v>0.63586242517160652</v>
      </c>
      <c r="M144" s="156">
        <f t="shared" ref="M144:V144" si="52">IF(M21=0,0,M21/M$17)</f>
        <v>0.63689927820788039</v>
      </c>
      <c r="N144" s="156">
        <f t="shared" si="52"/>
        <v>0.64929664501299922</v>
      </c>
      <c r="O144" s="156">
        <f t="shared" si="52"/>
        <v>0.65787280109610913</v>
      </c>
      <c r="P144" s="156">
        <f t="shared" si="52"/>
        <v>0.66292097832520225</v>
      </c>
      <c r="Q144" s="156">
        <f t="shared" si="52"/>
        <v>0.66796321458628494</v>
      </c>
      <c r="R144" s="156">
        <f t="shared" si="52"/>
        <v>0.67947376427049255</v>
      </c>
      <c r="S144" s="156">
        <f t="shared" si="52"/>
        <v>0.67534183053989605</v>
      </c>
      <c r="T144" s="156">
        <f t="shared" si="52"/>
        <v>0.68086950813799385</v>
      </c>
      <c r="U144" s="156">
        <f t="shared" si="52"/>
        <v>0.67422632928527249</v>
      </c>
      <c r="V144" s="156">
        <f t="shared" si="52"/>
        <v>0.65305848900048147</v>
      </c>
      <c r="W144" s="156">
        <f t="shared" ref="W144:Y144" si="53">IF(W21=0,0,W21/W$17)</f>
        <v>0.65080650404011076</v>
      </c>
      <c r="X144" s="156">
        <f t="shared" si="53"/>
        <v>0.64578822137506831</v>
      </c>
      <c r="Y144" s="156">
        <f t="shared" si="53"/>
        <v>0.65183506771788025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0.59470484099623455</v>
      </c>
      <c r="C145" s="103">
        <f t="shared" si="54"/>
        <v>0.5929059654658525</v>
      </c>
      <c r="D145" s="103">
        <f t="shared" si="54"/>
        <v>0.60042148175805232</v>
      </c>
      <c r="E145" s="103">
        <f t="shared" si="54"/>
        <v>0.59271575001487431</v>
      </c>
      <c r="F145" s="103">
        <f t="shared" si="54"/>
        <v>0.57499158514430149</v>
      </c>
      <c r="G145" s="103">
        <f t="shared" si="54"/>
        <v>0.57593130050140406</v>
      </c>
      <c r="H145" s="103">
        <f t="shared" si="54"/>
        <v>0.55631636710772736</v>
      </c>
      <c r="I145" s="103">
        <f t="shared" si="54"/>
        <v>0.53882484242730411</v>
      </c>
      <c r="J145" s="103">
        <f t="shared" si="54"/>
        <v>0.51816842952640019</v>
      </c>
      <c r="K145" s="103">
        <f t="shared" si="54"/>
        <v>0.51663964556216291</v>
      </c>
      <c r="L145" s="103">
        <f t="shared" ref="L145" si="55">IF(L22=0,0,L22/L$17)</f>
        <v>0.47777911270344864</v>
      </c>
      <c r="M145" s="103">
        <f t="shared" ref="M145:V145" si="56">IF(M22=0,0,M22/M$17)</f>
        <v>0.44666461867061807</v>
      </c>
      <c r="N145" s="103">
        <f t="shared" si="56"/>
        <v>0.42620699495270326</v>
      </c>
      <c r="O145" s="103">
        <f t="shared" si="56"/>
        <v>0.40573933300635251</v>
      </c>
      <c r="P145" s="103">
        <f t="shared" si="56"/>
        <v>0.38698004788066909</v>
      </c>
      <c r="Q145" s="103">
        <f t="shared" si="56"/>
        <v>0.36425781450131212</v>
      </c>
      <c r="R145" s="103">
        <f t="shared" si="56"/>
        <v>0.34965972697410963</v>
      </c>
      <c r="S145" s="103">
        <f t="shared" si="56"/>
        <v>0.32764091607113494</v>
      </c>
      <c r="T145" s="103">
        <f t="shared" si="56"/>
        <v>0.31836580909593581</v>
      </c>
      <c r="U145" s="103">
        <f t="shared" si="56"/>
        <v>0.31064269814370354</v>
      </c>
      <c r="V145" s="103">
        <f t="shared" si="56"/>
        <v>0.29589646696765581</v>
      </c>
      <c r="W145" s="103">
        <f t="shared" ref="W145:Y145" si="57">IF(W22=0,0,W22/W$17)</f>
        <v>0.30196755860734364</v>
      </c>
      <c r="X145" s="103">
        <f t="shared" si="57"/>
        <v>0.29925318806733581</v>
      </c>
      <c r="Y145" s="103">
        <f t="shared" si="57"/>
        <v>0.3031568611661376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6.2958576174862002E-2</v>
      </c>
      <c r="C146" s="103">
        <f t="shared" si="58"/>
        <v>5.9119421419161058E-2</v>
      </c>
      <c r="D146" s="103">
        <f t="shared" si="58"/>
        <v>5.8980023967997841E-2</v>
      </c>
      <c r="E146" s="103">
        <f t="shared" si="58"/>
        <v>6.0524420062146277E-2</v>
      </c>
      <c r="F146" s="103">
        <f t="shared" si="58"/>
        <v>6.2381242437428618E-2</v>
      </c>
      <c r="G146" s="103">
        <f t="shared" si="58"/>
        <v>6.6138921148303331E-2</v>
      </c>
      <c r="H146" s="103">
        <f t="shared" si="58"/>
        <v>7.5863445740498942E-2</v>
      </c>
      <c r="I146" s="103">
        <f t="shared" si="58"/>
        <v>9.543615242575576E-2</v>
      </c>
      <c r="J146" s="103">
        <f t="shared" si="58"/>
        <v>0.11180743079052101</v>
      </c>
      <c r="K146" s="103">
        <f t="shared" si="58"/>
        <v>0.13157720508542639</v>
      </c>
      <c r="L146" s="103">
        <f t="shared" ref="L146" si="59">IF(L24=0,0,L24/L$17)</f>
        <v>0.15531908367478794</v>
      </c>
      <c r="M146" s="103">
        <f t="shared" ref="M146:V146" si="60">IF(M24=0,0,M24/M$17)</f>
        <v>0.18641345084349878</v>
      </c>
      <c r="N146" s="103">
        <f t="shared" si="60"/>
        <v>0.21812684083050915</v>
      </c>
      <c r="O146" s="103">
        <f t="shared" si="60"/>
        <v>0.24670711145826957</v>
      </c>
      <c r="P146" s="103">
        <f t="shared" si="60"/>
        <v>0.26969708684054433</v>
      </c>
      <c r="Q146" s="103">
        <f t="shared" si="60"/>
        <v>0.29644576197042444</v>
      </c>
      <c r="R146" s="103">
        <f t="shared" si="60"/>
        <v>0.32099576474074487</v>
      </c>
      <c r="S146" s="103">
        <f t="shared" si="60"/>
        <v>0.33854693201274788</v>
      </c>
      <c r="T146" s="103">
        <f t="shared" si="60"/>
        <v>0.35224816833828232</v>
      </c>
      <c r="U146" s="103">
        <f t="shared" si="60"/>
        <v>0.35239676228558792</v>
      </c>
      <c r="V146" s="103">
        <f t="shared" si="60"/>
        <v>0.34189080404232602</v>
      </c>
      <c r="W146" s="103">
        <f t="shared" ref="W146:Y146" si="61">IF(W24=0,0,W24/W$17)</f>
        <v>0.3279382498241889</v>
      </c>
      <c r="X146" s="103">
        <f t="shared" si="61"/>
        <v>0.31822617271440978</v>
      </c>
      <c r="Y146" s="103">
        <f t="shared" si="61"/>
        <v>0.31845497641341297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0</v>
      </c>
      <c r="C147" s="103">
        <f t="shared" si="62"/>
        <v>0</v>
      </c>
      <c r="D147" s="103">
        <f t="shared" si="62"/>
        <v>0</v>
      </c>
      <c r="E147" s="103">
        <f t="shared" si="62"/>
        <v>0</v>
      </c>
      <c r="F147" s="103">
        <f t="shared" si="62"/>
        <v>0</v>
      </c>
      <c r="G147" s="103">
        <f t="shared" si="62"/>
        <v>1.200926726161724E-4</v>
      </c>
      <c r="H147" s="103">
        <f t="shared" si="62"/>
        <v>8.8162638891076207E-5</v>
      </c>
      <c r="I147" s="103">
        <f t="shared" si="62"/>
        <v>1.8654336996221373E-4</v>
      </c>
      <c r="J147" s="103">
        <f t="shared" si="62"/>
        <v>1.2073777068105607E-4</v>
      </c>
      <c r="K147" s="103">
        <f t="shared" si="62"/>
        <v>1.5216095679541989E-4</v>
      </c>
      <c r="L147" s="103">
        <f t="shared" ref="L147" si="63">IF(L26=0,0,L26/L$17)</f>
        <v>1.5758943413135548E-4</v>
      </c>
      <c r="M147" s="103">
        <f t="shared" ref="M147:V147" si="64">IF(M26=0,0,M26/M$17)</f>
        <v>1.468858925023346E-4</v>
      </c>
      <c r="N147" s="103">
        <f t="shared" si="64"/>
        <v>9.5120903796177991E-5</v>
      </c>
      <c r="O147" s="103">
        <f t="shared" si="64"/>
        <v>5.0404873928729196E-5</v>
      </c>
      <c r="P147" s="103">
        <f t="shared" si="64"/>
        <v>5.9021886357838311E-5</v>
      </c>
      <c r="Q147" s="103">
        <f t="shared" si="64"/>
        <v>3.2201764880949714E-4</v>
      </c>
      <c r="R147" s="103">
        <f t="shared" si="64"/>
        <v>1.1467699170038044E-4</v>
      </c>
      <c r="S147" s="103">
        <f t="shared" si="64"/>
        <v>0</v>
      </c>
      <c r="T147" s="103">
        <f t="shared" si="64"/>
        <v>0</v>
      </c>
      <c r="U147" s="103">
        <f t="shared" si="64"/>
        <v>0</v>
      </c>
      <c r="V147" s="103">
        <f t="shared" si="64"/>
        <v>0</v>
      </c>
      <c r="W147" s="103">
        <f t="shared" ref="W147:Y147" si="65">IF(W26=0,0,W26/W$17)</f>
        <v>0</v>
      </c>
      <c r="X147" s="103">
        <f t="shared" si="65"/>
        <v>0</v>
      </c>
      <c r="Y147" s="103">
        <f t="shared" si="65"/>
        <v>0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2.185344649435929E-4</v>
      </c>
      <c r="E148" s="103">
        <f t="shared" si="66"/>
        <v>4.2618209985930918E-4</v>
      </c>
      <c r="F148" s="103">
        <f t="shared" si="66"/>
        <v>6.4410798468751815E-4</v>
      </c>
      <c r="G148" s="103">
        <f t="shared" si="66"/>
        <v>9.67736952942175E-4</v>
      </c>
      <c r="H148" s="103">
        <f t="shared" si="66"/>
        <v>9.6060795712281247E-4</v>
      </c>
      <c r="I148" s="103">
        <f t="shared" si="66"/>
        <v>1.080034430155344E-3</v>
      </c>
      <c r="J148" s="103">
        <f t="shared" si="66"/>
        <v>1.2008182921327958E-3</v>
      </c>
      <c r="K148" s="103">
        <f t="shared" si="66"/>
        <v>1.3225787072796275E-3</v>
      </c>
      <c r="L148" s="103">
        <f t="shared" ref="L148" si="67">IF(L27=0,0,L27/L$17)</f>
        <v>2.5870478387098762E-3</v>
      </c>
      <c r="M148" s="103">
        <f t="shared" ref="M148:V148" si="68">IF(M27=0,0,M27/M$17)</f>
        <v>3.6382811144690312E-3</v>
      </c>
      <c r="N148" s="103">
        <f t="shared" si="68"/>
        <v>4.7899929919499569E-3</v>
      </c>
      <c r="O148" s="103">
        <f t="shared" si="68"/>
        <v>5.2571904444770673E-3</v>
      </c>
      <c r="P148" s="103">
        <f t="shared" si="68"/>
        <v>5.8439579215251421E-3</v>
      </c>
      <c r="Q148" s="103">
        <f t="shared" si="68"/>
        <v>6.2511753467414891E-3</v>
      </c>
      <c r="R148" s="103">
        <f t="shared" si="68"/>
        <v>7.4190924374708768E-3</v>
      </c>
      <c r="S148" s="103">
        <f t="shared" si="68"/>
        <v>7.0732469094722155E-3</v>
      </c>
      <c r="T148" s="103">
        <f t="shared" si="68"/>
        <v>6.9405580337883284E-3</v>
      </c>
      <c r="U148" s="103">
        <f t="shared" si="68"/>
        <v>6.4995157213591174E-3</v>
      </c>
      <c r="V148" s="103">
        <f t="shared" si="68"/>
        <v>6.491009818669017E-3</v>
      </c>
      <c r="W148" s="103">
        <f t="shared" ref="W148:Y148" si="69">IF(W27=0,0,W27/W$17)</f>
        <v>6.1884342250207074E-3</v>
      </c>
      <c r="X148" s="103">
        <f t="shared" si="69"/>
        <v>6.2677178264349976E-3</v>
      </c>
      <c r="Y148" s="103">
        <f t="shared" si="69"/>
        <v>4.8120157916577118E-3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8.4718282588732797E-6</v>
      </c>
      <c r="K149" s="103">
        <f t="shared" si="70"/>
        <v>1.0410807634229424E-5</v>
      </c>
      <c r="L149" s="103">
        <f t="shared" ref="L149" si="71">IF(L29=0,0,L29/L$17)</f>
        <v>1.1723255436151156E-5</v>
      </c>
      <c r="M149" s="103">
        <f t="shared" ref="M149:V149" si="72">IF(M29=0,0,M29/M$17)</f>
        <v>2.080811163058421E-5</v>
      </c>
      <c r="N149" s="103">
        <f t="shared" si="72"/>
        <v>5.3388172007742181E-5</v>
      </c>
      <c r="O149" s="103">
        <f t="shared" si="72"/>
        <v>7.8445996946607908E-5</v>
      </c>
      <c r="P149" s="103">
        <f t="shared" si="72"/>
        <v>2.5985153118923384E-4</v>
      </c>
      <c r="Q149" s="103">
        <f t="shared" si="72"/>
        <v>5.0180122884543605E-4</v>
      </c>
      <c r="R149" s="103">
        <f t="shared" si="72"/>
        <v>9.8703756127745102E-4</v>
      </c>
      <c r="S149" s="103">
        <f t="shared" si="72"/>
        <v>1.6566410630295997E-3</v>
      </c>
      <c r="T149" s="103">
        <f t="shared" si="72"/>
        <v>2.635044620443091E-3</v>
      </c>
      <c r="U149" s="103">
        <f t="shared" si="72"/>
        <v>3.3993615256096518E-3</v>
      </c>
      <c r="V149" s="103">
        <f t="shared" si="72"/>
        <v>6.2520641056485193E-3</v>
      </c>
      <c r="W149" s="103">
        <f t="shared" ref="W149:Y149" si="73">IF(W29=0,0,W29/W$17)</f>
        <v>9.6056854914171874E-3</v>
      </c>
      <c r="X149" s="103">
        <f t="shared" si="73"/>
        <v>1.2185532034207183E-2</v>
      </c>
      <c r="Y149" s="103">
        <f t="shared" si="73"/>
        <v>1.1545672827532194E-2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5.3419058594478778E-6</v>
      </c>
      <c r="K150" s="103">
        <f t="shared" si="74"/>
        <v>6.6375351059637271E-6</v>
      </c>
      <c r="L150" s="103">
        <f t="shared" ref="L150" si="75">IF(L32=0,0,L32/L$17)</f>
        <v>7.8682650924783793E-6</v>
      </c>
      <c r="M150" s="103">
        <f t="shared" ref="M150:V150" si="76">IF(M32=0,0,M32/M$17)</f>
        <v>1.5233575161588334E-5</v>
      </c>
      <c r="N150" s="103">
        <f t="shared" si="76"/>
        <v>2.4307162032923076E-5</v>
      </c>
      <c r="O150" s="103">
        <f t="shared" si="76"/>
        <v>4.0315316134662782E-5</v>
      </c>
      <c r="P150" s="103">
        <f t="shared" si="76"/>
        <v>8.101226491651329E-5</v>
      </c>
      <c r="Q150" s="103">
        <f t="shared" si="76"/>
        <v>1.8464389015208753E-4</v>
      </c>
      <c r="R150" s="103">
        <f t="shared" si="76"/>
        <v>2.9746556518928612E-4</v>
      </c>
      <c r="S150" s="103">
        <f t="shared" si="76"/>
        <v>4.2409448351143854E-4</v>
      </c>
      <c r="T150" s="103">
        <f t="shared" si="76"/>
        <v>6.7992804954441577E-4</v>
      </c>
      <c r="U150" s="103">
        <f t="shared" si="76"/>
        <v>1.2879916090120791E-3</v>
      </c>
      <c r="V150" s="103">
        <f t="shared" si="76"/>
        <v>2.528144066182098E-3</v>
      </c>
      <c r="W150" s="103">
        <f t="shared" ref="W150:Y150" si="77">IF(W32=0,0,W32/W$17)</f>
        <v>5.1065758921403515E-3</v>
      </c>
      <c r="X150" s="103">
        <f t="shared" si="77"/>
        <v>9.8556107326805559E-3</v>
      </c>
      <c r="Y150" s="103">
        <f t="shared" si="77"/>
        <v>1.3865541519139855E-2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9.0336257629200972E-2</v>
      </c>
      <c r="C151" s="156">
        <f t="shared" si="78"/>
        <v>8.743924482971728E-2</v>
      </c>
      <c r="D151" s="156">
        <f t="shared" si="78"/>
        <v>8.3731657511067106E-2</v>
      </c>
      <c r="E151" s="156">
        <f t="shared" si="78"/>
        <v>8.3365949931533359E-2</v>
      </c>
      <c r="F151" s="156">
        <f t="shared" si="78"/>
        <v>7.998965023820509E-2</v>
      </c>
      <c r="G151" s="156">
        <f t="shared" si="78"/>
        <v>7.4787361929038371E-2</v>
      </c>
      <c r="H151" s="156">
        <f t="shared" si="78"/>
        <v>7.7202464314813951E-2</v>
      </c>
      <c r="I151" s="156">
        <f t="shared" si="78"/>
        <v>7.2444833067633982E-2</v>
      </c>
      <c r="J151" s="156">
        <f t="shared" si="78"/>
        <v>7.3233202432904002E-2</v>
      </c>
      <c r="K151" s="156">
        <f t="shared" si="78"/>
        <v>7.152109408569067E-2</v>
      </c>
      <c r="L151" s="156">
        <f t="shared" ref="L151" si="79">IF(L33=0,0,L33/L$17)</f>
        <v>7.3101637004362091E-2</v>
      </c>
      <c r="M151" s="156">
        <f t="shared" ref="M151:V151" si="80">IF(M33=0,0,M33/M$17)</f>
        <v>7.6998462207741258E-2</v>
      </c>
      <c r="N151" s="156">
        <f t="shared" si="80"/>
        <v>8.0968564258258782E-2</v>
      </c>
      <c r="O151" s="156">
        <f t="shared" si="80"/>
        <v>6.508513792860425E-2</v>
      </c>
      <c r="P151" s="156">
        <f t="shared" si="80"/>
        <v>6.1490509381528467E-2</v>
      </c>
      <c r="Q151" s="156">
        <f t="shared" si="80"/>
        <v>6.0054745421721283E-2</v>
      </c>
      <c r="R151" s="156">
        <f t="shared" si="80"/>
        <v>6.0230926617803E-2</v>
      </c>
      <c r="S151" s="156">
        <f t="shared" si="80"/>
        <v>5.8858784655911996E-2</v>
      </c>
      <c r="T151" s="156">
        <f t="shared" si="80"/>
        <v>6.0946482011495842E-2</v>
      </c>
      <c r="U151" s="156">
        <f t="shared" si="80"/>
        <v>7.1224415914848432E-2</v>
      </c>
      <c r="V151" s="156">
        <f t="shared" si="80"/>
        <v>6.6057742369412101E-2</v>
      </c>
      <c r="W151" s="156">
        <f t="shared" ref="W151:Y151" si="81">IF(W33=0,0,W33/W$17)</f>
        <v>6.1587022386167603E-2</v>
      </c>
      <c r="X151" s="156">
        <f t="shared" si="81"/>
        <v>6.64468878177117E-2</v>
      </c>
      <c r="Y151" s="156">
        <f t="shared" si="81"/>
        <v>7.0283238459863173E-2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9.4552051219079286E-4</v>
      </c>
      <c r="C152" s="103">
        <f t="shared" si="82"/>
        <v>7.7919375513461713E-4</v>
      </c>
      <c r="D152" s="103">
        <f t="shared" si="82"/>
        <v>6.2634610387202411E-4</v>
      </c>
      <c r="E152" s="103">
        <f t="shared" si="82"/>
        <v>4.8577241209600921E-4</v>
      </c>
      <c r="F152" s="103">
        <f t="shared" si="82"/>
        <v>3.5600838954803505E-4</v>
      </c>
      <c r="G152" s="103">
        <f t="shared" si="82"/>
        <v>2.6430050713276772E-4</v>
      </c>
      <c r="H152" s="103">
        <f t="shared" si="82"/>
        <v>2.1337203960864449E-4</v>
      </c>
      <c r="I152" s="103">
        <f t="shared" si="82"/>
        <v>1.7431950677493591E-4</v>
      </c>
      <c r="J152" s="103">
        <f t="shared" si="82"/>
        <v>1.4276182978434804E-4</v>
      </c>
      <c r="K152" s="103">
        <f t="shared" si="82"/>
        <v>1.3063851987851844E-4</v>
      </c>
      <c r="L152" s="103">
        <f t="shared" ref="L152" si="83">IF(L34=0,0,L34/L$17)</f>
        <v>4.9264474680142789E-5</v>
      </c>
      <c r="M152" s="103">
        <f t="shared" ref="M152:V152" si="84">IF(M34=0,0,M34/M$17)</f>
        <v>8.2122977107043074E-5</v>
      </c>
      <c r="N152" s="103">
        <f t="shared" si="84"/>
        <v>7.0269998317445056E-5</v>
      </c>
      <c r="O152" s="103">
        <f t="shared" si="84"/>
        <v>6.9771201758141993E-5</v>
      </c>
      <c r="P152" s="103">
        <f t="shared" si="84"/>
        <v>6.4005413283065723E-5</v>
      </c>
      <c r="Q152" s="103">
        <f t="shared" si="84"/>
        <v>5.7808762591354775E-5</v>
      </c>
      <c r="R152" s="103">
        <f t="shared" si="84"/>
        <v>6.3319839188367093E-5</v>
      </c>
      <c r="S152" s="103">
        <f t="shared" si="84"/>
        <v>5.8694411843158444E-5</v>
      </c>
      <c r="T152" s="103">
        <f t="shared" si="84"/>
        <v>5.8629910894652435E-5</v>
      </c>
      <c r="U152" s="103">
        <f t="shared" si="84"/>
        <v>5.2182453173473332E-5</v>
      </c>
      <c r="V152" s="103">
        <f t="shared" si="84"/>
        <v>5.3258037689548453E-5</v>
      </c>
      <c r="W152" s="103">
        <f t="shared" ref="W152:Y152" si="85">IF(W34=0,0,W34/W$17)</f>
        <v>4.6980969887362834E-5</v>
      </c>
      <c r="X152" s="103">
        <f t="shared" si="85"/>
        <v>4.7426441587639044E-5</v>
      </c>
      <c r="Y152" s="103">
        <f t="shared" si="85"/>
        <v>4.9676858704694113E-5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8.7842113554395113E-2</v>
      </c>
      <c r="C153" s="103">
        <f t="shared" si="86"/>
        <v>8.5087686759639666E-2</v>
      </c>
      <c r="D153" s="103">
        <f t="shared" si="86"/>
        <v>8.1538896623532225E-2</v>
      </c>
      <c r="E153" s="103">
        <f t="shared" si="86"/>
        <v>8.0769533811088021E-2</v>
      </c>
      <c r="F153" s="103">
        <f t="shared" si="86"/>
        <v>7.8097899025178524E-2</v>
      </c>
      <c r="G153" s="103">
        <f t="shared" si="86"/>
        <v>7.3226341217692295E-2</v>
      </c>
      <c r="H153" s="103">
        <f t="shared" si="86"/>
        <v>7.4699810413969808E-2</v>
      </c>
      <c r="I153" s="103">
        <f t="shared" si="86"/>
        <v>7.009618122945413E-2</v>
      </c>
      <c r="J153" s="103">
        <f t="shared" si="86"/>
        <v>6.8281865851314794E-2</v>
      </c>
      <c r="K153" s="103">
        <f t="shared" si="86"/>
        <v>6.6784206680832986E-2</v>
      </c>
      <c r="L153" s="103">
        <f t="shared" ref="L153" si="87">IF(L36=0,0,L36/L$17)</f>
        <v>6.8286753339308795E-2</v>
      </c>
      <c r="M153" s="103">
        <f t="shared" ref="M153:V153" si="88">IF(M36=0,0,M36/M$17)</f>
        <v>6.5605049977395108E-2</v>
      </c>
      <c r="N153" s="103">
        <f t="shared" si="88"/>
        <v>6.7648179705233902E-2</v>
      </c>
      <c r="O153" s="103">
        <f t="shared" si="88"/>
        <v>5.1206196015670016E-2</v>
      </c>
      <c r="P153" s="103">
        <f t="shared" si="88"/>
        <v>4.7287666480702491E-2</v>
      </c>
      <c r="Q153" s="103">
        <f t="shared" si="88"/>
        <v>4.7169622035167717E-2</v>
      </c>
      <c r="R153" s="103">
        <f t="shared" si="88"/>
        <v>4.7625542351550136E-2</v>
      </c>
      <c r="S153" s="103">
        <f t="shared" si="88"/>
        <v>4.7866636749232631E-2</v>
      </c>
      <c r="T153" s="103">
        <f t="shared" si="88"/>
        <v>4.8765215702034674E-2</v>
      </c>
      <c r="U153" s="103">
        <f t="shared" si="88"/>
        <v>6.1757743315985818E-2</v>
      </c>
      <c r="V153" s="103">
        <f t="shared" si="88"/>
        <v>5.6799475012003581E-2</v>
      </c>
      <c r="W153" s="103">
        <f t="shared" ref="W153:Y153" si="89">IF(W36=0,0,W36/W$17)</f>
        <v>5.333915457014158E-2</v>
      </c>
      <c r="X153" s="103">
        <f t="shared" si="89"/>
        <v>5.7576915513664222E-2</v>
      </c>
      <c r="Y153" s="103">
        <f t="shared" si="89"/>
        <v>5.8090463377734179E-2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1.5026535603578823E-3</v>
      </c>
      <c r="C155" s="103">
        <f t="shared" si="94"/>
        <v>1.5277425308200402E-3</v>
      </c>
      <c r="D155" s="103">
        <f t="shared" si="94"/>
        <v>1.5304412895168322E-3</v>
      </c>
      <c r="E155" s="103">
        <f t="shared" si="94"/>
        <v>2.0707696444363737E-3</v>
      </c>
      <c r="F155" s="103">
        <f t="shared" si="94"/>
        <v>1.4968897070905148E-3</v>
      </c>
      <c r="G155" s="103">
        <f t="shared" si="94"/>
        <v>1.2638213780817851E-3</v>
      </c>
      <c r="H155" s="103">
        <f t="shared" si="94"/>
        <v>2.259364249547736E-3</v>
      </c>
      <c r="I155" s="103">
        <f t="shared" si="94"/>
        <v>2.1498420102951566E-3</v>
      </c>
      <c r="J155" s="103">
        <f t="shared" si="94"/>
        <v>4.7886006698306012E-3</v>
      </c>
      <c r="K155" s="103">
        <f t="shared" si="94"/>
        <v>4.5858441104189825E-3</v>
      </c>
      <c r="L155" s="103">
        <f t="shared" ref="L155" si="95">IF(L39=0,0,L39/L$17)</f>
        <v>4.7554884643389193E-3</v>
      </c>
      <c r="M155" s="103">
        <f t="shared" ref="M155:V155" si="96">IF(M39=0,0,M39/M$17)</f>
        <v>1.1301071022137147E-2</v>
      </c>
      <c r="N155" s="103">
        <f t="shared" si="96"/>
        <v>1.32349255150558E-2</v>
      </c>
      <c r="O155" s="103">
        <f t="shared" si="96"/>
        <v>1.3788752314345232E-2</v>
      </c>
      <c r="P155" s="103">
        <f t="shared" si="96"/>
        <v>1.4111125245321189E-2</v>
      </c>
      <c r="Q155" s="103">
        <f t="shared" si="96"/>
        <v>1.2778119179905048E-2</v>
      </c>
      <c r="R155" s="103">
        <f t="shared" si="96"/>
        <v>1.2447722934676353E-2</v>
      </c>
      <c r="S155" s="103">
        <f t="shared" si="96"/>
        <v>1.0802411921717596E-2</v>
      </c>
      <c r="T155" s="103">
        <f t="shared" si="96"/>
        <v>1.1875976781090166E-2</v>
      </c>
      <c r="U155" s="103">
        <f t="shared" si="96"/>
        <v>8.7612302467602703E-3</v>
      </c>
      <c r="V155" s="103">
        <f t="shared" si="96"/>
        <v>8.0341538769770141E-3</v>
      </c>
      <c r="W155" s="103">
        <f t="shared" ref="W155:Y155" si="97">IF(W39=0,0,W39/W$17)</f>
        <v>6.6193430289406639E-3</v>
      </c>
      <c r="X155" s="103">
        <f t="shared" si="97"/>
        <v>6.5582048607552776E-3</v>
      </c>
      <c r="Y155" s="103">
        <f t="shared" si="97"/>
        <v>9.1491116775990859E-3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4.5970002257194027E-5</v>
      </c>
      <c r="C156" s="103">
        <f t="shared" si="98"/>
        <v>4.462178412296505E-5</v>
      </c>
      <c r="D156" s="103">
        <f t="shared" si="98"/>
        <v>3.5973494146040028E-5</v>
      </c>
      <c r="E156" s="103">
        <f t="shared" si="98"/>
        <v>3.9874063912949841E-5</v>
      </c>
      <c r="F156" s="103">
        <f t="shared" si="98"/>
        <v>3.8853116388014503E-5</v>
      </c>
      <c r="G156" s="103">
        <f t="shared" si="98"/>
        <v>3.2898826131528491E-5</v>
      </c>
      <c r="H156" s="103">
        <f t="shared" si="98"/>
        <v>2.9917611687776902E-5</v>
      </c>
      <c r="I156" s="103">
        <f t="shared" si="98"/>
        <v>2.4490321109759355E-5</v>
      </c>
      <c r="J156" s="103">
        <f t="shared" si="98"/>
        <v>1.9974081974261714E-5</v>
      </c>
      <c r="K156" s="103">
        <f t="shared" si="98"/>
        <v>2.040477456018444E-5</v>
      </c>
      <c r="L156" s="103">
        <f t="shared" ref="L156" si="99">IF(L41=0,0,L41/L$17)</f>
        <v>1.0130726034243666E-5</v>
      </c>
      <c r="M156" s="103">
        <f t="shared" ref="M156:V156" si="100">IF(M41=0,0,M41/M$17)</f>
        <v>1.02182311019668E-5</v>
      </c>
      <c r="N156" s="103">
        <f t="shared" si="100"/>
        <v>1.5189039651628941E-5</v>
      </c>
      <c r="O156" s="103">
        <f t="shared" si="100"/>
        <v>2.0418396830856553E-5</v>
      </c>
      <c r="P156" s="103">
        <f t="shared" si="100"/>
        <v>2.7712242221716302E-5</v>
      </c>
      <c r="Q156" s="103">
        <f t="shared" si="100"/>
        <v>4.9195444057170279E-5</v>
      </c>
      <c r="R156" s="103">
        <f t="shared" si="100"/>
        <v>9.4341492388139237E-5</v>
      </c>
      <c r="S156" s="103">
        <f t="shared" si="100"/>
        <v>1.3104157311860889E-4</v>
      </c>
      <c r="T156" s="103">
        <f t="shared" si="100"/>
        <v>2.4665961747634613E-4</v>
      </c>
      <c r="U156" s="103">
        <f t="shared" si="100"/>
        <v>6.5325989892887979E-4</v>
      </c>
      <c r="V156" s="103">
        <f t="shared" si="100"/>
        <v>1.1708554427419691E-3</v>
      </c>
      <c r="W156" s="103">
        <f t="shared" ref="W156:Y156" si="101">IF(W41=0,0,W41/W$17)</f>
        <v>1.5815438171980017E-3</v>
      </c>
      <c r="X156" s="103">
        <f t="shared" si="101"/>
        <v>2.2643410017045501E-3</v>
      </c>
      <c r="Y156" s="103">
        <f t="shared" si="101"/>
        <v>2.9939865458252202E-3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0.24863622845894948</v>
      </c>
      <c r="C157" s="46">
        <f t="shared" si="102"/>
        <v>0.25691833848384621</v>
      </c>
      <c r="D157" s="46">
        <f t="shared" si="102"/>
        <v>0.25271361579920754</v>
      </c>
      <c r="E157" s="46">
        <f t="shared" si="102"/>
        <v>0.25883059019690202</v>
      </c>
      <c r="F157" s="46">
        <f t="shared" si="102"/>
        <v>0.27769887531861903</v>
      </c>
      <c r="G157" s="46">
        <f t="shared" si="102"/>
        <v>0.2775149475279764</v>
      </c>
      <c r="H157" s="46">
        <f t="shared" si="102"/>
        <v>0.2847981480240267</v>
      </c>
      <c r="I157" s="46">
        <f t="shared" si="102"/>
        <v>0.28693159411177843</v>
      </c>
      <c r="J157" s="46">
        <f t="shared" si="102"/>
        <v>0.29044214268041241</v>
      </c>
      <c r="K157" s="46">
        <f t="shared" si="102"/>
        <v>0.2737316992879642</v>
      </c>
      <c r="L157" s="46">
        <f t="shared" ref="L157" si="103">IF(L42=0,0,L42/L$17)</f>
        <v>0.28644319384229322</v>
      </c>
      <c r="M157" s="46">
        <f t="shared" ref="M157:V157" si="104">IF(M42=0,0,M42/M$17)</f>
        <v>0.2816415844185623</v>
      </c>
      <c r="N157" s="46">
        <f t="shared" si="104"/>
        <v>0.26575118372213813</v>
      </c>
      <c r="O157" s="46">
        <f t="shared" si="104"/>
        <v>0.2725248171286252</v>
      </c>
      <c r="P157" s="46">
        <f t="shared" si="104"/>
        <v>0.27115919625585311</v>
      </c>
      <c r="Q157" s="46">
        <f t="shared" si="104"/>
        <v>0.26764985720906925</v>
      </c>
      <c r="R157" s="46">
        <f t="shared" si="104"/>
        <v>0.25572657498024148</v>
      </c>
      <c r="S157" s="46">
        <f t="shared" si="104"/>
        <v>0.26159549310484215</v>
      </c>
      <c r="T157" s="46">
        <f t="shared" si="104"/>
        <v>0.25410958020073154</v>
      </c>
      <c r="U157" s="46">
        <f t="shared" si="104"/>
        <v>0.25021801563958035</v>
      </c>
      <c r="V157" s="46">
        <f t="shared" si="104"/>
        <v>0.27690888661413338</v>
      </c>
      <c r="W157" s="46">
        <f t="shared" ref="W157:Y157" si="105">IF(W42=0,0,W42/W$17)</f>
        <v>0.28364392012745854</v>
      </c>
      <c r="X157" s="46">
        <f t="shared" si="105"/>
        <v>0.28356894445563974</v>
      </c>
      <c r="Y157" s="46">
        <f t="shared" si="105"/>
        <v>0.27335356647622155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6.3909333756705558E-2</v>
      </c>
      <c r="C158" s="154">
        <f t="shared" si="106"/>
        <v>7.0856928425808721E-2</v>
      </c>
      <c r="D158" s="154">
        <f t="shared" si="106"/>
        <v>7.2719227608844153E-2</v>
      </c>
      <c r="E158" s="154">
        <f t="shared" si="106"/>
        <v>7.7344085202102592E-2</v>
      </c>
      <c r="F158" s="154">
        <f t="shared" si="106"/>
        <v>8.3802940652253757E-2</v>
      </c>
      <c r="G158" s="154">
        <f t="shared" si="106"/>
        <v>7.8337538025291642E-2</v>
      </c>
      <c r="H158" s="154">
        <f t="shared" si="106"/>
        <v>8.3202022239061729E-2</v>
      </c>
      <c r="I158" s="154">
        <f t="shared" si="106"/>
        <v>8.4361147825473035E-2</v>
      </c>
      <c r="J158" s="154">
        <f t="shared" si="106"/>
        <v>8.5747904205983591E-2</v>
      </c>
      <c r="K158" s="154">
        <f t="shared" si="106"/>
        <v>8.6559110653036189E-2</v>
      </c>
      <c r="L158" s="154">
        <f t="shared" ref="L158" si="107">IF(L43=0,0,L43/L$17)</f>
        <v>9.1915734990895864E-2</v>
      </c>
      <c r="M158" s="154">
        <f t="shared" ref="M158:V158" si="108">IF(M43=0,0,M43/M$17)</f>
        <v>9.5768242299489811E-2</v>
      </c>
      <c r="N158" s="154">
        <f t="shared" si="108"/>
        <v>9.6416721948129711E-2</v>
      </c>
      <c r="O158" s="154">
        <f t="shared" si="108"/>
        <v>9.7354696131742885E-2</v>
      </c>
      <c r="P158" s="154">
        <f t="shared" si="108"/>
        <v>9.3505437523062562E-2</v>
      </c>
      <c r="Q158" s="154">
        <f t="shared" si="108"/>
        <v>9.5322683556494647E-2</v>
      </c>
      <c r="R158" s="154">
        <f t="shared" si="108"/>
        <v>9.4348351716330575E-2</v>
      </c>
      <c r="S158" s="154">
        <f t="shared" si="108"/>
        <v>9.954351180970003E-2</v>
      </c>
      <c r="T158" s="154">
        <f t="shared" si="108"/>
        <v>9.8031853250116457E-2</v>
      </c>
      <c r="U158" s="154">
        <f t="shared" si="108"/>
        <v>0.10023825186253153</v>
      </c>
      <c r="V158" s="154">
        <f t="shared" si="108"/>
        <v>0.10920147305398971</v>
      </c>
      <c r="W158" s="154">
        <f t="shared" ref="W158:Y158" si="109">IF(W43=0,0,W43/W$17)</f>
        <v>0.1090798056489974</v>
      </c>
      <c r="X158" s="154">
        <f t="shared" si="109"/>
        <v>0.10700669149105842</v>
      </c>
      <c r="Y158" s="154">
        <f t="shared" si="109"/>
        <v>0.10821140980143344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2.4194474845271607E-2</v>
      </c>
      <c r="C159" s="103">
        <f t="shared" si="110"/>
        <v>2.3502996761243334E-2</v>
      </c>
      <c r="D159" s="103">
        <f t="shared" si="110"/>
        <v>2.1353179575482724E-2</v>
      </c>
      <c r="E159" s="103">
        <f t="shared" si="110"/>
        <v>1.8662924856067471E-2</v>
      </c>
      <c r="F159" s="103">
        <f t="shared" si="110"/>
        <v>1.6247736065113542E-2</v>
      </c>
      <c r="G159" s="103">
        <f t="shared" si="110"/>
        <v>1.5749260955688515E-2</v>
      </c>
      <c r="H159" s="103">
        <f t="shared" si="110"/>
        <v>1.3659275269874606E-2</v>
      </c>
      <c r="I159" s="103">
        <f t="shared" si="110"/>
        <v>1.2350196752548212E-2</v>
      </c>
      <c r="J159" s="103">
        <f t="shared" si="110"/>
        <v>1.1065454163929145E-2</v>
      </c>
      <c r="K159" s="103">
        <f t="shared" si="110"/>
        <v>1.0244075746993243E-2</v>
      </c>
      <c r="L159" s="103">
        <f t="shared" ref="L159" si="111">IF(L44=0,0,L44/L$17)</f>
        <v>8.8251352917753864E-3</v>
      </c>
      <c r="M159" s="103">
        <f t="shared" ref="M159:V159" si="112">IF(M44=0,0,M44/M$17)</f>
        <v>8.2206221865652601E-3</v>
      </c>
      <c r="N159" s="103">
        <f t="shared" si="112"/>
        <v>7.38020679035569E-3</v>
      </c>
      <c r="O159" s="103">
        <f t="shared" si="112"/>
        <v>6.534546069360261E-3</v>
      </c>
      <c r="P159" s="103">
        <f t="shared" si="112"/>
        <v>5.9260498080997695E-3</v>
      </c>
      <c r="Q159" s="103">
        <f t="shared" si="112"/>
        <v>5.4665678108813788E-3</v>
      </c>
      <c r="R159" s="103">
        <f t="shared" si="112"/>
        <v>4.5153407388915066E-3</v>
      </c>
      <c r="S159" s="103">
        <f t="shared" si="112"/>
        <v>3.8650782332411366E-3</v>
      </c>
      <c r="T159" s="103">
        <f t="shared" si="112"/>
        <v>3.7629473359360411E-3</v>
      </c>
      <c r="U159" s="103">
        <f t="shared" si="112"/>
        <v>3.6900989740124087E-3</v>
      </c>
      <c r="V159" s="103">
        <f t="shared" si="112"/>
        <v>3.8641451998761346E-3</v>
      </c>
      <c r="W159" s="103">
        <f t="shared" ref="W159:Y159" si="113">IF(W44=0,0,W44/W$17)</f>
        <v>3.9525279826950598E-3</v>
      </c>
      <c r="X159" s="103">
        <f t="shared" si="113"/>
        <v>4.5947888854753604E-3</v>
      </c>
      <c r="Y159" s="103">
        <f t="shared" si="113"/>
        <v>4.9080542571827363E-3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3.9714858911433962E-2</v>
      </c>
      <c r="C160" s="103">
        <f t="shared" si="114"/>
        <v>4.7353618841999214E-2</v>
      </c>
      <c r="D160" s="103">
        <f t="shared" si="114"/>
        <v>5.1364227144054427E-2</v>
      </c>
      <c r="E160" s="103">
        <f t="shared" si="114"/>
        <v>5.8676235446809145E-2</v>
      </c>
      <c r="F160" s="103">
        <f t="shared" si="114"/>
        <v>6.7547327978791996E-2</v>
      </c>
      <c r="G160" s="103">
        <f t="shared" si="114"/>
        <v>6.2572462011461383E-2</v>
      </c>
      <c r="H160" s="103">
        <f t="shared" si="114"/>
        <v>6.9500057504744847E-2</v>
      </c>
      <c r="I160" s="103">
        <f t="shared" si="114"/>
        <v>7.1926087765611837E-2</v>
      </c>
      <c r="J160" s="103">
        <f t="shared" si="114"/>
        <v>7.4531254033805935E-2</v>
      </c>
      <c r="K160" s="103">
        <f t="shared" si="114"/>
        <v>7.608233858488779E-2</v>
      </c>
      <c r="L160" s="103">
        <f t="shared" ref="L160" si="115">IF(L46=0,0,L46/L$17)</f>
        <v>8.2835202203975625E-2</v>
      </c>
      <c r="M160" s="103">
        <f t="shared" ref="M160:V160" si="116">IF(M46=0,0,M46/M$17)</f>
        <v>8.7266801960624973E-2</v>
      </c>
      <c r="N160" s="103">
        <f t="shared" si="116"/>
        <v>8.8673870382779213E-2</v>
      </c>
      <c r="O160" s="103">
        <f t="shared" si="116"/>
        <v>9.0421289765268517E-2</v>
      </c>
      <c r="P160" s="103">
        <f t="shared" si="116"/>
        <v>8.7142376335185595E-2</v>
      </c>
      <c r="Q160" s="103">
        <f t="shared" si="116"/>
        <v>8.9365823570262751E-2</v>
      </c>
      <c r="R160" s="103">
        <f t="shared" si="116"/>
        <v>8.9316608358517319E-2</v>
      </c>
      <c r="S160" s="103">
        <f t="shared" si="116"/>
        <v>9.509906480742257E-2</v>
      </c>
      <c r="T160" s="103">
        <f t="shared" si="116"/>
        <v>9.3291400826040718E-2</v>
      </c>
      <c r="U160" s="103">
        <f t="shared" si="116"/>
        <v>9.5493772999018567E-2</v>
      </c>
      <c r="V160" s="103">
        <f t="shared" si="116"/>
        <v>0.10414576965922898</v>
      </c>
      <c r="W160" s="103">
        <f t="shared" ref="W160:Y160" si="117">IF(W46=0,0,W46/W$17)</f>
        <v>0.10386073261679638</v>
      </c>
      <c r="X160" s="103">
        <f t="shared" si="117"/>
        <v>0.10084182225866312</v>
      </c>
      <c r="Y160" s="103">
        <f t="shared" si="117"/>
        <v>0.10159899049628858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0</v>
      </c>
      <c r="P161" s="103">
        <f t="shared" si="120"/>
        <v>0</v>
      </c>
      <c r="Q161" s="103">
        <f t="shared" si="120"/>
        <v>0</v>
      </c>
      <c r="R161" s="103">
        <f t="shared" si="120"/>
        <v>0</v>
      </c>
      <c r="S161" s="103">
        <f t="shared" si="120"/>
        <v>0</v>
      </c>
      <c r="T161" s="103">
        <f t="shared" si="120"/>
        <v>0</v>
      </c>
      <c r="U161" s="103">
        <f t="shared" si="120"/>
        <v>0</v>
      </c>
      <c r="V161" s="103">
        <f t="shared" si="120"/>
        <v>0</v>
      </c>
      <c r="W161" s="103">
        <f t="shared" ref="W161:Y161" si="121">IF(W48=0,0,W48/W$17)</f>
        <v>0</v>
      </c>
      <c r="X161" s="103">
        <f t="shared" si="121"/>
        <v>0</v>
      </c>
      <c r="Y161" s="103">
        <f t="shared" si="121"/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3.1282256617017438E-7</v>
      </c>
      <c r="D162" s="103">
        <f t="shared" si="122"/>
        <v>1.8208893069939887E-6</v>
      </c>
      <c r="E162" s="103">
        <f t="shared" si="122"/>
        <v>4.9248992259649163E-6</v>
      </c>
      <c r="F162" s="103">
        <f t="shared" si="122"/>
        <v>7.8766083482229225E-6</v>
      </c>
      <c r="G162" s="103">
        <f t="shared" si="122"/>
        <v>1.5778899937180241E-5</v>
      </c>
      <c r="H162" s="103">
        <f t="shared" si="122"/>
        <v>3.8994221105236055E-5</v>
      </c>
      <c r="I162" s="103">
        <f t="shared" si="122"/>
        <v>8.1417918704692341E-5</v>
      </c>
      <c r="J162" s="103">
        <f t="shared" si="122"/>
        <v>1.4773076948372768E-4</v>
      </c>
      <c r="K162" s="103">
        <f t="shared" si="122"/>
        <v>2.2915956128726332E-4</v>
      </c>
      <c r="L162" s="103">
        <f t="shared" ref="L162" si="123">IF(L49=0,0,L49/L$17)</f>
        <v>2.520070858274968E-4</v>
      </c>
      <c r="M162" s="103">
        <f t="shared" ref="M162:V162" si="124">IF(M49=0,0,M49/M$17)</f>
        <v>2.7733396028987875E-4</v>
      </c>
      <c r="N162" s="103">
        <f t="shared" si="124"/>
        <v>3.5574114117244913E-4</v>
      </c>
      <c r="O162" s="103">
        <f t="shared" si="124"/>
        <v>3.8830444706404579E-4</v>
      </c>
      <c r="P162" s="103">
        <f t="shared" si="124"/>
        <v>4.2074755103839581E-4</v>
      </c>
      <c r="Q162" s="103">
        <f t="shared" si="124"/>
        <v>4.6586280445748727E-4</v>
      </c>
      <c r="R162" s="103">
        <f t="shared" si="124"/>
        <v>4.8515045673977117E-4</v>
      </c>
      <c r="S162" s="103">
        <f t="shared" si="124"/>
        <v>5.4038043113739209E-4</v>
      </c>
      <c r="T162" s="103">
        <f t="shared" si="124"/>
        <v>9.1944018191665404E-4</v>
      </c>
      <c r="U162" s="103">
        <f t="shared" si="124"/>
        <v>9.5932148723108898E-4</v>
      </c>
      <c r="V162" s="103">
        <f t="shared" si="124"/>
        <v>1.0223645923339269E-3</v>
      </c>
      <c r="W162" s="103">
        <f t="shared" ref="W162:Y162" si="125">IF(W49=0,0,W49/W$17)</f>
        <v>1.0089213204752035E-3</v>
      </c>
      <c r="X162" s="103">
        <f t="shared" si="125"/>
        <v>1.1324952500876896E-3</v>
      </c>
      <c r="Y162" s="103">
        <f t="shared" si="125"/>
        <v>9.9412741575811677E-4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3.61582045609297E-8</v>
      </c>
      <c r="H163" s="103">
        <f t="shared" si="126"/>
        <v>3.6952433370578589E-6</v>
      </c>
      <c r="I163" s="103">
        <f t="shared" si="126"/>
        <v>3.4453886082945263E-6</v>
      </c>
      <c r="J163" s="103">
        <f t="shared" si="126"/>
        <v>3.4652387647915653E-6</v>
      </c>
      <c r="K163" s="103">
        <f t="shared" si="126"/>
        <v>3.5367598679027918E-6</v>
      </c>
      <c r="L163" s="103">
        <f t="shared" ref="L163" si="127">IF(L51=0,0,L51/L$17)</f>
        <v>3.3904093173699099E-6</v>
      </c>
      <c r="M163" s="103">
        <f t="shared" ref="M163:V163" si="128">IF(M51=0,0,M51/M$17)</f>
        <v>3.4841920096821306E-6</v>
      </c>
      <c r="N163" s="103">
        <f t="shared" si="128"/>
        <v>6.9036338223503425E-6</v>
      </c>
      <c r="O163" s="103">
        <f t="shared" si="128"/>
        <v>1.0555850050072514E-5</v>
      </c>
      <c r="P163" s="103">
        <f t="shared" si="128"/>
        <v>1.6263828738792868E-5</v>
      </c>
      <c r="Q163" s="103">
        <f t="shared" si="128"/>
        <v>2.4429370893016257E-5</v>
      </c>
      <c r="R163" s="103">
        <f t="shared" si="128"/>
        <v>3.1252162181973626E-5</v>
      </c>
      <c r="S163" s="103">
        <f t="shared" si="128"/>
        <v>3.8988337898928984E-5</v>
      </c>
      <c r="T163" s="103">
        <f t="shared" si="128"/>
        <v>5.8064906223043206E-5</v>
      </c>
      <c r="U163" s="103">
        <f t="shared" si="128"/>
        <v>9.505840226947436E-5</v>
      </c>
      <c r="V163" s="103">
        <f t="shared" si="128"/>
        <v>1.6919360255066953E-4</v>
      </c>
      <c r="W163" s="103">
        <f t="shared" ref="W163:Y163" si="129">IF(W51=0,0,W51/W$17)</f>
        <v>2.576237290307603E-4</v>
      </c>
      <c r="X163" s="103">
        <f t="shared" si="129"/>
        <v>4.375850968322674E-4</v>
      </c>
      <c r="Y163" s="103">
        <f t="shared" si="129"/>
        <v>7.1023763220400763E-4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0.18472689470224393</v>
      </c>
      <c r="C164" s="156">
        <f t="shared" si="130"/>
        <v>0.1860614100580375</v>
      </c>
      <c r="D164" s="156">
        <f t="shared" si="130"/>
        <v>0.17999438819036337</v>
      </c>
      <c r="E164" s="156">
        <f t="shared" si="130"/>
        <v>0.18148650499479943</v>
      </c>
      <c r="F164" s="156">
        <f t="shared" si="130"/>
        <v>0.19389593466636523</v>
      </c>
      <c r="G164" s="156">
        <f t="shared" si="130"/>
        <v>0.19917740950268475</v>
      </c>
      <c r="H164" s="156">
        <f t="shared" si="130"/>
        <v>0.20159612578496494</v>
      </c>
      <c r="I164" s="156">
        <f t="shared" si="130"/>
        <v>0.20257044628630541</v>
      </c>
      <c r="J164" s="156">
        <f t="shared" si="130"/>
        <v>0.20469423847442883</v>
      </c>
      <c r="K164" s="156">
        <f t="shared" si="130"/>
        <v>0.18717258863492797</v>
      </c>
      <c r="L164" s="156">
        <f t="shared" ref="L164" si="131">IF(L52=0,0,L52/L$17)</f>
        <v>0.19452745885139736</v>
      </c>
      <c r="M164" s="156">
        <f t="shared" ref="M164:V164" si="132">IF(M52=0,0,M52/M$17)</f>
        <v>0.18587334211907247</v>
      </c>
      <c r="N164" s="156">
        <f t="shared" si="132"/>
        <v>0.1693344617740084</v>
      </c>
      <c r="O164" s="156">
        <f t="shared" si="132"/>
        <v>0.17517012099688231</v>
      </c>
      <c r="P164" s="156">
        <f t="shared" si="132"/>
        <v>0.17765375873279055</v>
      </c>
      <c r="Q164" s="156">
        <f t="shared" si="132"/>
        <v>0.17232717365257461</v>
      </c>
      <c r="R164" s="156">
        <f t="shared" si="132"/>
        <v>0.16137822326391091</v>
      </c>
      <c r="S164" s="156">
        <f t="shared" si="132"/>
        <v>0.16205198129514212</v>
      </c>
      <c r="T164" s="156">
        <f t="shared" si="132"/>
        <v>0.15607772695061509</v>
      </c>
      <c r="U164" s="156">
        <f t="shared" si="132"/>
        <v>0.14997976377704883</v>
      </c>
      <c r="V164" s="156">
        <f t="shared" si="132"/>
        <v>0.16770741356014363</v>
      </c>
      <c r="W164" s="156">
        <f t="shared" ref="W164:Y164" si="133">IF(W52=0,0,W52/W$17)</f>
        <v>0.17456411447846115</v>
      </c>
      <c r="X164" s="156">
        <f t="shared" si="133"/>
        <v>0.17656225296458131</v>
      </c>
      <c r="Y164" s="156">
        <f t="shared" si="133"/>
        <v>0.16514215667478813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0.14667388679140717</v>
      </c>
      <c r="C165" s="104">
        <f t="shared" si="134"/>
        <v>0.14523082142580329</v>
      </c>
      <c r="D165" s="104">
        <f t="shared" si="134"/>
        <v>0.13945927088653859</v>
      </c>
      <c r="E165" s="104">
        <f t="shared" si="134"/>
        <v>0.1390554374367928</v>
      </c>
      <c r="F165" s="104">
        <f t="shared" si="134"/>
        <v>0.14353418578867713</v>
      </c>
      <c r="G165" s="104">
        <f t="shared" si="134"/>
        <v>0.14909174354033813</v>
      </c>
      <c r="H165" s="104">
        <f t="shared" si="134"/>
        <v>0.14785710868291432</v>
      </c>
      <c r="I165" s="104">
        <f t="shared" si="134"/>
        <v>0.14984609639819871</v>
      </c>
      <c r="J165" s="104">
        <f t="shared" si="134"/>
        <v>0.15409350665554375</v>
      </c>
      <c r="K165" s="104">
        <f t="shared" si="134"/>
        <v>0.14601384920389709</v>
      </c>
      <c r="L165" s="104">
        <f t="shared" ref="L165" si="135">IF(L53=0,0,L53/L$17)</f>
        <v>0.14976092881746017</v>
      </c>
      <c r="M165" s="104">
        <f t="shared" ref="M165:V165" si="136">IF(M53=0,0,M53/M$17)</f>
        <v>0.14273593310242835</v>
      </c>
      <c r="N165" s="104">
        <f t="shared" si="136"/>
        <v>0.12846272858628405</v>
      </c>
      <c r="O165" s="104">
        <f t="shared" si="136"/>
        <v>0.12836056974814372</v>
      </c>
      <c r="P165" s="104">
        <f t="shared" si="136"/>
        <v>0.1392486721143682</v>
      </c>
      <c r="Q165" s="104">
        <f t="shared" si="136"/>
        <v>0.13083205217280341</v>
      </c>
      <c r="R165" s="104">
        <f t="shared" si="136"/>
        <v>0.12041318535335735</v>
      </c>
      <c r="S165" s="104">
        <f t="shared" si="136"/>
        <v>0.12128949609110064</v>
      </c>
      <c r="T165" s="104">
        <f t="shared" si="136"/>
        <v>0.11721206230726186</v>
      </c>
      <c r="U165" s="104">
        <f t="shared" si="136"/>
        <v>0.11371892598552745</v>
      </c>
      <c r="V165" s="104">
        <f t="shared" si="136"/>
        <v>0.12570610042879823</v>
      </c>
      <c r="W165" s="104">
        <f t="shared" ref="W165:Y165" si="137">IF(W53=0,0,W53/W$17)</f>
        <v>0.12940743170402194</v>
      </c>
      <c r="X165" s="104">
        <f t="shared" si="137"/>
        <v>0.13597745343256393</v>
      </c>
      <c r="Y165" s="104">
        <f t="shared" si="137"/>
        <v>0.12412918282404339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3.805300791083676E-2</v>
      </c>
      <c r="C166" s="105">
        <f t="shared" si="138"/>
        <v>4.0830588632234231E-2</v>
      </c>
      <c r="D166" s="105">
        <f t="shared" si="138"/>
        <v>4.0535117303824794E-2</v>
      </c>
      <c r="E166" s="105">
        <f t="shared" si="138"/>
        <v>4.243106755800663E-2</v>
      </c>
      <c r="F166" s="105">
        <f t="shared" si="138"/>
        <v>5.0361748877688121E-2</v>
      </c>
      <c r="G166" s="105">
        <f t="shared" si="138"/>
        <v>5.0085665962346614E-2</v>
      </c>
      <c r="H166" s="105">
        <f t="shared" si="138"/>
        <v>5.3739017102050583E-2</v>
      </c>
      <c r="I166" s="105">
        <f t="shared" si="138"/>
        <v>5.272434988810671E-2</v>
      </c>
      <c r="J166" s="105">
        <f t="shared" si="138"/>
        <v>5.0600731818885074E-2</v>
      </c>
      <c r="K166" s="105">
        <f t="shared" si="138"/>
        <v>4.1158739431030884E-2</v>
      </c>
      <c r="L166" s="105">
        <f t="shared" ref="L166" si="139">IF(L55=0,0,L55/L$17)</f>
        <v>4.4766530033937206E-2</v>
      </c>
      <c r="M166" s="105">
        <f t="shared" ref="M166:V166" si="140">IF(M55=0,0,M55/M$17)</f>
        <v>4.3137409016644132E-2</v>
      </c>
      <c r="N166" s="105">
        <f t="shared" si="140"/>
        <v>4.0871733187724371E-2</v>
      </c>
      <c r="O166" s="105">
        <f t="shared" si="140"/>
        <v>4.6809551248738597E-2</v>
      </c>
      <c r="P166" s="105">
        <f t="shared" si="140"/>
        <v>3.8405086618422332E-2</v>
      </c>
      <c r="Q166" s="105">
        <f t="shared" si="140"/>
        <v>4.1495121479771205E-2</v>
      </c>
      <c r="R166" s="105">
        <f t="shared" si="140"/>
        <v>4.096503791055358E-2</v>
      </c>
      <c r="S166" s="105">
        <f t="shared" si="140"/>
        <v>4.0762485204041493E-2</v>
      </c>
      <c r="T166" s="105">
        <f t="shared" si="140"/>
        <v>3.8865664643353233E-2</v>
      </c>
      <c r="U166" s="105">
        <f t="shared" si="140"/>
        <v>3.6260837791521373E-2</v>
      </c>
      <c r="V166" s="105">
        <f t="shared" si="140"/>
        <v>4.2001313131345426E-2</v>
      </c>
      <c r="W166" s="105">
        <f t="shared" ref="W166:Y166" si="141">IF(W55=0,0,W55/W$17)</f>
        <v>4.5156682774439204E-2</v>
      </c>
      <c r="X166" s="105">
        <f t="shared" si="141"/>
        <v>4.0584799532017393E-2</v>
      </c>
      <c r="Y166" s="105">
        <f t="shared" si="141"/>
        <v>4.1012973850744712E-2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20093.783380559998</v>
      </c>
      <c r="C4" s="146">
        <f t="shared" si="0"/>
        <v>20012.177790000002</v>
      </c>
      <c r="D4" s="146">
        <f t="shared" si="0"/>
        <v>20361.502101959999</v>
      </c>
      <c r="E4" s="146">
        <f t="shared" si="0"/>
        <v>20598.20169084</v>
      </c>
      <c r="F4" s="146">
        <f t="shared" si="0"/>
        <v>21010.621923720002</v>
      </c>
      <c r="G4" s="146">
        <f t="shared" si="0"/>
        <v>19963.745190000001</v>
      </c>
      <c r="H4" s="146">
        <f t="shared" si="0"/>
        <v>20114.466755759997</v>
      </c>
      <c r="I4" s="146">
        <f t="shared" si="0"/>
        <v>20287.933983359999</v>
      </c>
      <c r="J4" s="146">
        <f t="shared" si="0"/>
        <v>19886.215266359995</v>
      </c>
      <c r="K4" s="146">
        <f t="shared" si="0"/>
        <v>19433.417911200002</v>
      </c>
      <c r="L4" s="146">
        <f t="shared" ref="L4" si="1">L5+L9+L10+L15</f>
        <v>19807.856773559997</v>
      </c>
      <c r="M4" s="146">
        <f t="shared" ref="M4:V4" si="2">M5+M9+M10+M15</f>
        <v>19457.832493440001</v>
      </c>
      <c r="N4" s="146">
        <f t="shared" si="2"/>
        <v>18471.993899400004</v>
      </c>
      <c r="O4" s="146">
        <f t="shared" si="2"/>
        <v>17949.870159120001</v>
      </c>
      <c r="P4" s="146">
        <f t="shared" si="2"/>
        <v>17483.336373239999</v>
      </c>
      <c r="Q4" s="146">
        <f t="shared" si="2"/>
        <v>17555.683529879996</v>
      </c>
      <c r="R4" s="146">
        <f t="shared" si="2"/>
        <v>16671.897189719995</v>
      </c>
      <c r="S4" s="146">
        <f t="shared" si="2"/>
        <v>16219.920622679998</v>
      </c>
      <c r="T4" s="146">
        <f t="shared" si="2"/>
        <v>15359.727326759999</v>
      </c>
      <c r="U4" s="146">
        <f t="shared" si="2"/>
        <v>15353.804750400001</v>
      </c>
      <c r="V4" s="146">
        <f t="shared" si="2"/>
        <v>14494.197419280003</v>
      </c>
      <c r="W4" s="146">
        <f t="shared" ref="W4:Y4" si="3">W5+W9+W10+W15</f>
        <v>14834.355375233019</v>
      </c>
      <c r="X4" s="146">
        <f t="shared" si="3"/>
        <v>12997.595941922435</v>
      </c>
      <c r="Y4" s="146">
        <f t="shared" si="3"/>
        <v>13009.879637874739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20069.95210056</v>
      </c>
      <c r="C5" s="101">
        <f t="shared" si="4"/>
        <v>19987.99308</v>
      </c>
      <c r="D5" s="101">
        <f t="shared" si="4"/>
        <v>20333.227701960001</v>
      </c>
      <c r="E5" s="101">
        <f t="shared" si="4"/>
        <v>20557.15332084</v>
      </c>
      <c r="F5" s="101">
        <f t="shared" si="4"/>
        <v>20974.420593720002</v>
      </c>
      <c r="G5" s="101">
        <f t="shared" si="4"/>
        <v>19927.644840000001</v>
      </c>
      <c r="H5" s="101">
        <f t="shared" si="4"/>
        <v>20061.401765759998</v>
      </c>
      <c r="I5" s="101">
        <f t="shared" si="4"/>
        <v>20233.152333359998</v>
      </c>
      <c r="J5" s="101">
        <f t="shared" si="4"/>
        <v>19829.716956359996</v>
      </c>
      <c r="K5" s="101">
        <f t="shared" si="4"/>
        <v>19384.594081200001</v>
      </c>
      <c r="L5" s="101">
        <f t="shared" ref="L5" si="5">SUM(L6:L8)</f>
        <v>19733.333533559999</v>
      </c>
      <c r="M5" s="101">
        <f t="shared" ref="M5:V5" si="6">SUM(M6:M8)</f>
        <v>19357.30690344</v>
      </c>
      <c r="N5" s="101">
        <f t="shared" si="6"/>
        <v>18347.586539400003</v>
      </c>
      <c r="O5" s="101">
        <f t="shared" si="6"/>
        <v>17826.11916912</v>
      </c>
      <c r="P5" s="101">
        <f t="shared" si="6"/>
        <v>17364.432423239999</v>
      </c>
      <c r="Q5" s="101">
        <f t="shared" si="6"/>
        <v>17474.798549879997</v>
      </c>
      <c r="R5" s="101">
        <f t="shared" si="6"/>
        <v>16586.266149719995</v>
      </c>
      <c r="S5" s="101">
        <f t="shared" si="6"/>
        <v>16188.643683359998</v>
      </c>
      <c r="T5" s="101">
        <f t="shared" si="6"/>
        <v>15332.917136759999</v>
      </c>
      <c r="U5" s="101">
        <f t="shared" si="6"/>
        <v>15333.5845152</v>
      </c>
      <c r="V5" s="101">
        <f t="shared" si="6"/>
        <v>14473.963046880002</v>
      </c>
      <c r="W5" s="101">
        <f t="shared" ref="W5:Y5" si="7">SUM(W6:W8)</f>
        <v>14812.81879248</v>
      </c>
      <c r="X5" s="101">
        <f t="shared" si="7"/>
        <v>12983.25003696</v>
      </c>
      <c r="Y5" s="101">
        <f t="shared" si="7"/>
        <v>12978.102990240001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2.1698323199999998</v>
      </c>
      <c r="H6" s="101">
        <v>1.61465328</v>
      </c>
      <c r="I6" s="101">
        <v>3.471231959999999</v>
      </c>
      <c r="J6" s="101">
        <v>2.2234420800000003</v>
      </c>
      <c r="K6" s="101">
        <v>2.7459100799999989</v>
      </c>
      <c r="L6" s="101">
        <v>2.8981072799999992</v>
      </c>
      <c r="M6" s="101">
        <v>2.6891200800000008</v>
      </c>
      <c r="N6" s="101">
        <v>1.67439636</v>
      </c>
      <c r="O6" s="101">
        <v>0.87456599999999984</v>
      </c>
      <c r="P6" s="101">
        <v>1.0267632000000002</v>
      </c>
      <c r="Q6" s="101">
        <v>5.7364714800000014</v>
      </c>
      <c r="R6" s="101">
        <v>2.0146820400000003</v>
      </c>
      <c r="S6" s="101">
        <v>0</v>
      </c>
      <c r="T6" s="101">
        <v>0</v>
      </c>
      <c r="U6" s="101">
        <v>0</v>
      </c>
      <c r="V6" s="101">
        <v>0</v>
      </c>
      <c r="W6" s="101">
        <v>0</v>
      </c>
      <c r="X6" s="101">
        <v>0</v>
      </c>
      <c r="Y6" s="101">
        <v>0</v>
      </c>
      <c r="DA6" s="175" t="s">
        <v>741</v>
      </c>
    </row>
    <row r="7" spans="1:105" ht="11.45" customHeight="1" x14ac:dyDescent="0.25">
      <c r="A7" s="128" t="s">
        <v>53</v>
      </c>
      <c r="B7" s="101">
        <v>12209.350119119999</v>
      </c>
      <c r="C7" s="101">
        <v>12101.90058</v>
      </c>
      <c r="D7" s="101">
        <v>12408.89969088</v>
      </c>
      <c r="E7" s="101">
        <v>12301.449902279999</v>
      </c>
      <c r="F7" s="101">
        <v>12052.780712279999</v>
      </c>
      <c r="G7" s="101">
        <v>11434.880872799999</v>
      </c>
      <c r="H7" s="101">
        <v>11116.381482360001</v>
      </c>
      <c r="I7" s="101">
        <v>10869.615824759998</v>
      </c>
      <c r="J7" s="101">
        <v>10216.819221839998</v>
      </c>
      <c r="K7" s="101">
        <v>10001.091121560001</v>
      </c>
      <c r="L7" s="101">
        <v>9365.7965385599982</v>
      </c>
      <c r="M7" s="101">
        <v>8655.5544213600006</v>
      </c>
      <c r="N7" s="101">
        <v>7899.3758012400021</v>
      </c>
      <c r="O7" s="101">
        <v>7454.4147493199998</v>
      </c>
      <c r="P7" s="101">
        <v>7146.1108580400005</v>
      </c>
      <c r="Q7" s="101">
        <v>6950.2700559599989</v>
      </c>
      <c r="R7" s="101">
        <v>6642.6355195199976</v>
      </c>
      <c r="S7" s="101">
        <v>6328.25055324</v>
      </c>
      <c r="T7" s="101">
        <v>5917.260943440001</v>
      </c>
      <c r="U7" s="101">
        <v>5775.1431645600005</v>
      </c>
      <c r="V7" s="101">
        <v>5274.1623765600007</v>
      </c>
      <c r="W7" s="101">
        <v>5535.1895583600008</v>
      </c>
      <c r="X7" s="101">
        <v>5114.5390850399999</v>
      </c>
      <c r="Y7" s="101">
        <v>4995.8200353600005</v>
      </c>
      <c r="DA7" s="175" t="s">
        <v>742</v>
      </c>
    </row>
    <row r="8" spans="1:105" ht="11.45" customHeight="1" x14ac:dyDescent="0.25">
      <c r="A8" s="128" t="s">
        <v>54</v>
      </c>
      <c r="B8" s="101">
        <v>7860.6019814399997</v>
      </c>
      <c r="C8" s="101">
        <v>7886.0924999999988</v>
      </c>
      <c r="D8" s="101">
        <v>7924.3280110800015</v>
      </c>
      <c r="E8" s="101">
        <v>8255.7034185600005</v>
      </c>
      <c r="F8" s="101">
        <v>8921.6398814400018</v>
      </c>
      <c r="G8" s="101">
        <v>8490.5941348800006</v>
      </c>
      <c r="H8" s="101">
        <v>8943.405630119998</v>
      </c>
      <c r="I8" s="101">
        <v>9360.065276639998</v>
      </c>
      <c r="J8" s="101">
        <v>9610.6742924400005</v>
      </c>
      <c r="K8" s="101">
        <v>9380.7570495599994</v>
      </c>
      <c r="L8" s="101">
        <v>10364.638887720001</v>
      </c>
      <c r="M8" s="101">
        <v>10699.063361999999</v>
      </c>
      <c r="N8" s="101">
        <v>10446.5363418</v>
      </c>
      <c r="O8" s="101">
        <v>10370.8298538</v>
      </c>
      <c r="P8" s="101">
        <v>10217.294801999999</v>
      </c>
      <c r="Q8" s="101">
        <v>10518.79202244</v>
      </c>
      <c r="R8" s="101">
        <v>9941.6159481599989</v>
      </c>
      <c r="S8" s="101">
        <v>9860.3931301199973</v>
      </c>
      <c r="T8" s="101">
        <v>9415.6561933199991</v>
      </c>
      <c r="U8" s="101">
        <v>9558.4413506399997</v>
      </c>
      <c r="V8" s="101">
        <v>9199.8006703200008</v>
      </c>
      <c r="W8" s="101">
        <v>9277.6292341199987</v>
      </c>
      <c r="X8" s="101">
        <v>7868.7109519200003</v>
      </c>
      <c r="Y8" s="101">
        <v>7982.28295488</v>
      </c>
      <c r="DA8" s="175" t="s">
        <v>743</v>
      </c>
    </row>
    <row r="9" spans="1:105" ht="11.45" customHeight="1" x14ac:dyDescent="0.25">
      <c r="A9" s="92" t="s">
        <v>55</v>
      </c>
      <c r="B9" s="101">
        <v>23.831280000000007</v>
      </c>
      <c r="C9" s="101">
        <v>24.184710000000003</v>
      </c>
      <c r="D9" s="101">
        <v>28.274400000000014</v>
      </c>
      <c r="E9" s="101">
        <v>41.048370000000006</v>
      </c>
      <c r="F9" s="101">
        <v>36.201329999999999</v>
      </c>
      <c r="G9" s="101">
        <v>36.100349999999999</v>
      </c>
      <c r="H9" s="101">
        <v>53.064990000000002</v>
      </c>
      <c r="I9" s="101">
        <v>54.781650000000013</v>
      </c>
      <c r="J9" s="101">
        <v>56.498309999999989</v>
      </c>
      <c r="K9" s="101">
        <v>48.823830000000001</v>
      </c>
      <c r="L9" s="101">
        <v>74.523240000000015</v>
      </c>
      <c r="M9" s="101">
        <v>100.52559000000001</v>
      </c>
      <c r="N9" s="101">
        <v>124.40735999999998</v>
      </c>
      <c r="O9" s="101">
        <v>123.75099000000003</v>
      </c>
      <c r="P9" s="101">
        <v>118.90395000000001</v>
      </c>
      <c r="Q9" s="101">
        <v>80.884979999999999</v>
      </c>
      <c r="R9" s="101">
        <v>85.631040000000013</v>
      </c>
      <c r="S9" s="101">
        <v>31.276939320000007</v>
      </c>
      <c r="T9" s="101">
        <v>26.810190000000002</v>
      </c>
      <c r="U9" s="101">
        <v>20.220235200000001</v>
      </c>
      <c r="V9" s="101">
        <v>20.234372400000002</v>
      </c>
      <c r="W9" s="101">
        <v>21.536582753018212</v>
      </c>
      <c r="X9" s="101">
        <v>14.345904962434789</v>
      </c>
      <c r="Y9" s="101">
        <v>31.776647634738147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20093.783380560002</v>
      </c>
      <c r="C17" s="79">
        <f t="shared" si="12"/>
        <v>20012.177789999998</v>
      </c>
      <c r="D17" s="79">
        <f t="shared" si="12"/>
        <v>20361.502101959999</v>
      </c>
      <c r="E17" s="79">
        <f t="shared" si="12"/>
        <v>20598.201690839996</v>
      </c>
      <c r="F17" s="79">
        <f t="shared" si="12"/>
        <v>21010.621923720002</v>
      </c>
      <c r="G17" s="79">
        <f t="shared" si="12"/>
        <v>19963.745189999998</v>
      </c>
      <c r="H17" s="79">
        <f t="shared" si="12"/>
        <v>20114.466755759997</v>
      </c>
      <c r="I17" s="79">
        <f t="shared" si="12"/>
        <v>20287.933983359999</v>
      </c>
      <c r="J17" s="79">
        <f t="shared" si="12"/>
        <v>19886.215266359999</v>
      </c>
      <c r="K17" s="79">
        <f t="shared" si="12"/>
        <v>19433.417911199998</v>
      </c>
      <c r="L17" s="79">
        <f t="shared" ref="L17" si="13">SUM(L18,L33)</f>
        <v>19807.856773559997</v>
      </c>
      <c r="M17" s="79">
        <f t="shared" ref="M17:V17" si="14">SUM(M18,M33)</f>
        <v>19457.832493440001</v>
      </c>
      <c r="N17" s="79">
        <f t="shared" si="14"/>
        <v>18471.993899400004</v>
      </c>
      <c r="O17" s="79">
        <f t="shared" si="14"/>
        <v>17949.870159120001</v>
      </c>
      <c r="P17" s="79">
        <f t="shared" si="14"/>
        <v>17483.336373239999</v>
      </c>
      <c r="Q17" s="79">
        <f t="shared" si="14"/>
        <v>17555.68352988</v>
      </c>
      <c r="R17" s="79">
        <f t="shared" si="14"/>
        <v>16671.897189719999</v>
      </c>
      <c r="S17" s="79">
        <f t="shared" si="14"/>
        <v>16219.920622679998</v>
      </c>
      <c r="T17" s="79">
        <f t="shared" si="14"/>
        <v>15359.727326759999</v>
      </c>
      <c r="U17" s="79">
        <f t="shared" si="14"/>
        <v>15353.804750400002</v>
      </c>
      <c r="V17" s="79">
        <f t="shared" si="14"/>
        <v>14494.197419280003</v>
      </c>
      <c r="W17" s="79">
        <f t="shared" ref="W17:Y17" si="15">SUM(W18,W33)</f>
        <v>14834.355375233019</v>
      </c>
      <c r="X17" s="79">
        <f t="shared" si="15"/>
        <v>12997.595941922433</v>
      </c>
      <c r="Y17" s="79">
        <f t="shared" si="15"/>
        <v>13009.879637874739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14918.167164672592</v>
      </c>
      <c r="C18" s="32">
        <f t="shared" si="16"/>
        <v>14679.472796958729</v>
      </c>
      <c r="D18" s="32">
        <f t="shared" si="16"/>
        <v>15008.411389583607</v>
      </c>
      <c r="E18" s="32">
        <f t="shared" si="16"/>
        <v>15027.686289493731</v>
      </c>
      <c r="F18" s="32">
        <f t="shared" si="16"/>
        <v>14878.488443795308</v>
      </c>
      <c r="G18" s="32">
        <f t="shared" si="16"/>
        <v>14120.987605097955</v>
      </c>
      <c r="H18" s="32">
        <f t="shared" si="16"/>
        <v>14099.785037684915</v>
      </c>
      <c r="I18" s="32">
        <f t="shared" si="16"/>
        <v>14206.390456188243</v>
      </c>
      <c r="J18" s="32">
        <f t="shared" si="16"/>
        <v>13830.804288607756</v>
      </c>
      <c r="K18" s="32">
        <f t="shared" si="16"/>
        <v>13889.291443675615</v>
      </c>
      <c r="L18" s="32">
        <f t="shared" ref="L18" si="17">SUM(L19,L20,L27)</f>
        <v>13898.720056279126</v>
      </c>
      <c r="M18" s="32">
        <f t="shared" ref="M18:V18" si="18">SUM(M19,M20,M27)</f>
        <v>13736.442845429805</v>
      </c>
      <c r="N18" s="32">
        <f t="shared" si="18"/>
        <v>13379.828221688025</v>
      </c>
      <c r="O18" s="32">
        <f t="shared" si="18"/>
        <v>12942.574187531651</v>
      </c>
      <c r="P18" s="32">
        <f t="shared" si="18"/>
        <v>12723.987796375857</v>
      </c>
      <c r="Q18" s="32">
        <f t="shared" si="18"/>
        <v>12904.691961602559</v>
      </c>
      <c r="R18" s="32">
        <f t="shared" si="18"/>
        <v>12562.113686964363</v>
      </c>
      <c r="S18" s="32">
        <f t="shared" si="18"/>
        <v>12206.438871967423</v>
      </c>
      <c r="T18" s="32">
        <f t="shared" si="18"/>
        <v>11680.434880775938</v>
      </c>
      <c r="U18" s="32">
        <f t="shared" si="18"/>
        <v>11729.097310695348</v>
      </c>
      <c r="V18" s="32">
        <f t="shared" si="18"/>
        <v>10696.74541086614</v>
      </c>
      <c r="W18" s="32">
        <f t="shared" ref="W18:Y18" si="19">SUM(W19,W20,W27)</f>
        <v>10847.783668343229</v>
      </c>
      <c r="X18" s="32">
        <f t="shared" si="19"/>
        <v>9580.0151819756738</v>
      </c>
      <c r="Y18" s="32">
        <f t="shared" si="19"/>
        <v>9620.7872729637893</v>
      </c>
      <c r="DA18" s="173" t="s">
        <v>403</v>
      </c>
    </row>
    <row r="19" spans="1:105" ht="11.45" customHeight="1" x14ac:dyDescent="0.25">
      <c r="A19" s="136" t="s">
        <v>173</v>
      </c>
      <c r="B19" s="141">
        <v>65.906364240480428</v>
      </c>
      <c r="C19" s="141">
        <v>70.509937826087921</v>
      </c>
      <c r="D19" s="141">
        <v>77.953612656155045</v>
      </c>
      <c r="E19" s="141">
        <v>82.617361328482517</v>
      </c>
      <c r="F19" s="141">
        <v>86.863593560222597</v>
      </c>
      <c r="G19" s="141">
        <v>87.026962351315362</v>
      </c>
      <c r="H19" s="141">
        <v>92.239627768969441</v>
      </c>
      <c r="I19" s="141">
        <v>99.545378861159975</v>
      </c>
      <c r="J19" s="141">
        <v>95.84876397397106</v>
      </c>
      <c r="K19" s="141">
        <v>94.709408412501205</v>
      </c>
      <c r="L19" s="141">
        <v>87.56080519431319</v>
      </c>
      <c r="M19" s="141">
        <v>84.035623203028237</v>
      </c>
      <c r="N19" s="141">
        <v>71.897478226582919</v>
      </c>
      <c r="O19" s="141">
        <v>80.767912540899516</v>
      </c>
      <c r="P19" s="141">
        <v>79.613994393641548</v>
      </c>
      <c r="Q19" s="141">
        <v>80.412785374261304</v>
      </c>
      <c r="R19" s="141">
        <v>84.432519382485651</v>
      </c>
      <c r="S19" s="141">
        <v>78.98272313753624</v>
      </c>
      <c r="T19" s="141">
        <v>73.520810044751329</v>
      </c>
      <c r="U19" s="141">
        <v>77.983202503317244</v>
      </c>
      <c r="V19" s="141">
        <v>68.218848808217544</v>
      </c>
      <c r="W19" s="141">
        <v>69.586696445418326</v>
      </c>
      <c r="X19" s="141">
        <v>68.24499537531365</v>
      </c>
      <c r="Y19" s="141">
        <v>71.129102529088769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12969.783687060688</v>
      </c>
      <c r="C20" s="130">
        <f t="shared" si="20"/>
        <v>12792.660243967972</v>
      </c>
      <c r="D20" s="130">
        <f t="shared" si="20"/>
        <v>13155.822821024858</v>
      </c>
      <c r="E20" s="130">
        <f t="shared" si="20"/>
        <v>13153.332615351253</v>
      </c>
      <c r="F20" s="130">
        <f t="shared" si="20"/>
        <v>13025.634700468265</v>
      </c>
      <c r="G20" s="130">
        <f t="shared" si="20"/>
        <v>12458.575678772531</v>
      </c>
      <c r="H20" s="130">
        <f t="shared" si="20"/>
        <v>12382.246774714375</v>
      </c>
      <c r="I20" s="130">
        <f t="shared" si="20"/>
        <v>12576.823672330107</v>
      </c>
      <c r="J20" s="130">
        <f t="shared" si="20"/>
        <v>12259.416967054311</v>
      </c>
      <c r="K20" s="130">
        <f t="shared" si="20"/>
        <v>12398.48828522871</v>
      </c>
      <c r="L20" s="130">
        <f t="shared" ref="L20" si="21">SUM(L21:L26)</f>
        <v>12350.757182214986</v>
      </c>
      <c r="M20" s="130">
        <f t="shared" ref="M20:V20" si="22">SUM(M21:M26)</f>
        <v>12239.62965489861</v>
      </c>
      <c r="N20" s="130">
        <f t="shared" si="22"/>
        <v>11917.504905122216</v>
      </c>
      <c r="O20" s="130">
        <f t="shared" si="22"/>
        <v>11830.349543921215</v>
      </c>
      <c r="P20" s="130">
        <f t="shared" si="22"/>
        <v>11730.406547790582</v>
      </c>
      <c r="Q20" s="130">
        <f t="shared" si="22"/>
        <v>11950.496347255355</v>
      </c>
      <c r="R20" s="130">
        <f t="shared" si="22"/>
        <v>11659.624728852948</v>
      </c>
      <c r="S20" s="130">
        <f t="shared" si="22"/>
        <v>11374.617082141054</v>
      </c>
      <c r="T20" s="130">
        <f t="shared" si="22"/>
        <v>10883.744124403314</v>
      </c>
      <c r="U20" s="130">
        <f t="shared" si="22"/>
        <v>10744.342606451673</v>
      </c>
      <c r="V20" s="130">
        <f t="shared" si="22"/>
        <v>9837.8723659649986</v>
      </c>
      <c r="W20" s="130">
        <f t="shared" ref="W20:Y20" si="23">SUM(W21:W26)</f>
        <v>10016.926478376428</v>
      </c>
      <c r="X20" s="130">
        <f t="shared" si="23"/>
        <v>8810.6713911211409</v>
      </c>
      <c r="Y20" s="130">
        <f t="shared" si="23"/>
        <v>8808.6169158244938</v>
      </c>
      <c r="DA20" s="176" t="s">
        <v>405</v>
      </c>
    </row>
    <row r="21" spans="1:105" ht="11.45" customHeight="1" x14ac:dyDescent="0.25">
      <c r="A21" s="111" t="s">
        <v>110</v>
      </c>
      <c r="B21" s="96">
        <v>11650.923527693059</v>
      </c>
      <c r="C21" s="96">
        <v>11558.036581635775</v>
      </c>
      <c r="D21" s="96">
        <v>11895.489928991445</v>
      </c>
      <c r="E21" s="96">
        <v>11836.436200820915</v>
      </c>
      <c r="F21" s="96">
        <v>11630.081083402245</v>
      </c>
      <c r="G21" s="96">
        <v>11040.86660851807</v>
      </c>
      <c r="H21" s="96">
        <v>10755.925477264353</v>
      </c>
      <c r="I21" s="96">
        <v>10525.416271030406</v>
      </c>
      <c r="J21" s="96">
        <v>9906.5620311285638</v>
      </c>
      <c r="K21" s="96">
        <v>9711.2186371458229</v>
      </c>
      <c r="L21" s="96">
        <v>9108.8734707799576</v>
      </c>
      <c r="M21" s="96">
        <v>8414.8112555649695</v>
      </c>
      <c r="N21" s="96">
        <v>7692.327101752373</v>
      </c>
      <c r="O21" s="96">
        <v>7254.582678081525</v>
      </c>
      <c r="P21" s="96">
        <v>6955.7076311931596</v>
      </c>
      <c r="Q21" s="96">
        <v>6761.2533741291654</v>
      </c>
      <c r="R21" s="96">
        <v>6461.8887476304317</v>
      </c>
      <c r="S21" s="96">
        <v>6155.7179902084663</v>
      </c>
      <c r="T21" s="96">
        <v>5744.7334196964512</v>
      </c>
      <c r="U21" s="96">
        <v>5593.0673737827328</v>
      </c>
      <c r="V21" s="96">
        <v>5078.3183656360397</v>
      </c>
      <c r="W21" s="96">
        <v>5302.87480588787</v>
      </c>
      <c r="X21" s="96">
        <v>4867.205327354025</v>
      </c>
      <c r="Y21" s="96">
        <v>4762.0735488290902</v>
      </c>
      <c r="DA21" s="171" t="s">
        <v>751</v>
      </c>
    </row>
    <row r="22" spans="1:105" ht="11.45" customHeight="1" x14ac:dyDescent="0.25">
      <c r="A22" s="111" t="s">
        <v>111</v>
      </c>
      <c r="B22" s="96">
        <v>1318.8601593676281</v>
      </c>
      <c r="C22" s="96">
        <v>1234.6236623321972</v>
      </c>
      <c r="D22" s="96">
        <v>1256.8036809753523</v>
      </c>
      <c r="E22" s="96">
        <v>1309.9040312057246</v>
      </c>
      <c r="F22" s="96">
        <v>1384.7025562534182</v>
      </c>
      <c r="G22" s="96">
        <v>1399.9938884302376</v>
      </c>
      <c r="H22" s="96">
        <v>1609.0652889218711</v>
      </c>
      <c r="I22" s="96">
        <v>2030.0682114587776</v>
      </c>
      <c r="J22" s="96">
        <v>2339.4517794443191</v>
      </c>
      <c r="K22" s="96">
        <v>2673.8520496861101</v>
      </c>
      <c r="L22" s="96">
        <v>3213.4280316314575</v>
      </c>
      <c r="M22" s="96">
        <v>3797.8034665718969</v>
      </c>
      <c r="N22" s="96">
        <v>4190.4003838572035</v>
      </c>
      <c r="O22" s="96">
        <v>4540.4366527135853</v>
      </c>
      <c r="P22" s="96">
        <v>4736.4475156958088</v>
      </c>
      <c r="Q22" s="96">
        <v>5151.5085744763392</v>
      </c>
      <c r="R22" s="96">
        <v>5152.8071279737478</v>
      </c>
      <c r="S22" s="96">
        <v>5187.0562264277269</v>
      </c>
      <c r="T22" s="96">
        <v>5099.5338705129989</v>
      </c>
      <c r="U22" s="96">
        <v>5106.4593499101247</v>
      </c>
      <c r="V22" s="96">
        <v>4690.7134662674207</v>
      </c>
      <c r="W22" s="96">
        <v>4611.9131573148234</v>
      </c>
      <c r="X22" s="96">
        <v>3833.4389310659781</v>
      </c>
      <c r="Y22" s="96">
        <v>3951.5789410836478</v>
      </c>
      <c r="DA22" s="171" t="s">
        <v>752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2.1698323199999998</v>
      </c>
      <c r="H23" s="96">
        <v>1.61465328</v>
      </c>
      <c r="I23" s="96">
        <v>3.471231959999999</v>
      </c>
      <c r="J23" s="96">
        <v>2.2234420800000003</v>
      </c>
      <c r="K23" s="96">
        <v>2.7459100799999989</v>
      </c>
      <c r="L23" s="96">
        <v>2.8981072799999992</v>
      </c>
      <c r="M23" s="96">
        <v>2.6891200800000008</v>
      </c>
      <c r="N23" s="96">
        <v>1.67439636</v>
      </c>
      <c r="O23" s="96">
        <v>0.87456599999999984</v>
      </c>
      <c r="P23" s="96">
        <v>1.0267632000000002</v>
      </c>
      <c r="Q23" s="96">
        <v>5.7364714800000014</v>
      </c>
      <c r="R23" s="96">
        <v>2.0146820400000003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0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3.5292110580616085</v>
      </c>
      <c r="E24" s="96">
        <v>6.9923833246139431</v>
      </c>
      <c r="F24" s="96">
        <v>10.851060812602105</v>
      </c>
      <c r="G24" s="96">
        <v>15.545349504224063</v>
      </c>
      <c r="H24" s="96">
        <v>15.641355248152163</v>
      </c>
      <c r="I24" s="96">
        <v>17.867957880921974</v>
      </c>
      <c r="J24" s="96">
        <v>11.054676371174626</v>
      </c>
      <c r="K24" s="96">
        <v>10.520976172463186</v>
      </c>
      <c r="L24" s="96">
        <v>25.386014287316343</v>
      </c>
      <c r="M24" s="96">
        <v>24.035480083436941</v>
      </c>
      <c r="N24" s="96">
        <v>32.420511230458409</v>
      </c>
      <c r="O24" s="96">
        <v>33.476085553008986</v>
      </c>
      <c r="P24" s="96">
        <v>34.102642985407854</v>
      </c>
      <c r="Q24" s="96">
        <v>25.935989349055657</v>
      </c>
      <c r="R24" s="96">
        <v>31.215883842288726</v>
      </c>
      <c r="S24" s="96">
        <v>12.012871564381314</v>
      </c>
      <c r="T24" s="96">
        <v>9.4283499863628712</v>
      </c>
      <c r="U24" s="96">
        <v>8.1024161541712729</v>
      </c>
      <c r="V24" s="96">
        <v>8.4477421420450156</v>
      </c>
      <c r="W24" s="96">
        <v>9.6461339936413708</v>
      </c>
      <c r="X24" s="96">
        <v>6.4417102764390544</v>
      </c>
      <c r="Y24" s="96">
        <v>10.224481722308683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0.12503803025263072</v>
      </c>
      <c r="K25" s="96">
        <v>0.15071214431329846</v>
      </c>
      <c r="L25" s="96">
        <v>0.1715582362545513</v>
      </c>
      <c r="M25" s="96">
        <v>0.29033259830528219</v>
      </c>
      <c r="N25" s="96">
        <v>0.68251192218039314</v>
      </c>
      <c r="O25" s="96">
        <v>0.9795615730947127</v>
      </c>
      <c r="P25" s="96">
        <v>3.1219947162071264</v>
      </c>
      <c r="Q25" s="96">
        <v>6.0619378207939052</v>
      </c>
      <c r="R25" s="96">
        <v>11.698287366480299</v>
      </c>
      <c r="S25" s="96">
        <v>19.829993940481149</v>
      </c>
      <c r="T25" s="96">
        <v>30.048484207501978</v>
      </c>
      <c r="U25" s="96">
        <v>36.713466604644069</v>
      </c>
      <c r="V25" s="96">
        <v>60.392791919493355</v>
      </c>
      <c r="W25" s="96">
        <v>92.492381180095009</v>
      </c>
      <c r="X25" s="96">
        <v>103.58542242469973</v>
      </c>
      <c r="Y25" s="96">
        <v>84.739944189446348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1882.4771133714237</v>
      </c>
      <c r="C27" s="130">
        <f t="shared" si="24"/>
        <v>1816.3026151646691</v>
      </c>
      <c r="D27" s="130">
        <f t="shared" si="24"/>
        <v>1774.634955902595</v>
      </c>
      <c r="E27" s="130">
        <f t="shared" si="24"/>
        <v>1791.7363128139943</v>
      </c>
      <c r="F27" s="130">
        <f t="shared" si="24"/>
        <v>1765.9901497668188</v>
      </c>
      <c r="G27" s="130">
        <f t="shared" si="24"/>
        <v>1575.3849639741084</v>
      </c>
      <c r="H27" s="130">
        <f t="shared" si="24"/>
        <v>1625.2986352015703</v>
      </c>
      <c r="I27" s="130">
        <f t="shared" si="24"/>
        <v>1530.0214049969757</v>
      </c>
      <c r="J27" s="130">
        <f t="shared" si="24"/>
        <v>1475.5385575794755</v>
      </c>
      <c r="K27" s="130">
        <f t="shared" si="24"/>
        <v>1396.0937500344032</v>
      </c>
      <c r="L27" s="130">
        <f t="shared" ref="L27" si="25">SUM(L28:L32)</f>
        <v>1460.4020688698283</v>
      </c>
      <c r="M27" s="130">
        <f t="shared" ref="M27:V27" si="26">SUM(M28:M32)</f>
        <v>1412.7775673281662</v>
      </c>
      <c r="N27" s="130">
        <f t="shared" si="26"/>
        <v>1390.4258383392271</v>
      </c>
      <c r="O27" s="130">
        <f t="shared" si="26"/>
        <v>1031.4567310695372</v>
      </c>
      <c r="P27" s="130">
        <f t="shared" si="26"/>
        <v>913.96725419163386</v>
      </c>
      <c r="Q27" s="130">
        <f t="shared" si="26"/>
        <v>873.78282897294309</v>
      </c>
      <c r="R27" s="130">
        <f t="shared" si="26"/>
        <v>818.05643872892904</v>
      </c>
      <c r="S27" s="130">
        <f t="shared" si="26"/>
        <v>752.83906668883105</v>
      </c>
      <c r="T27" s="130">
        <f t="shared" si="26"/>
        <v>723.16994632787248</v>
      </c>
      <c r="U27" s="130">
        <f t="shared" si="26"/>
        <v>906.77150174035739</v>
      </c>
      <c r="V27" s="130">
        <f t="shared" si="26"/>
        <v>790.65419609292383</v>
      </c>
      <c r="W27" s="130">
        <f t="shared" ref="W27:Y27" si="27">SUM(W28:W32)</f>
        <v>761.27049352138272</v>
      </c>
      <c r="X27" s="130">
        <f t="shared" si="27"/>
        <v>701.09879547921912</v>
      </c>
      <c r="Y27" s="130">
        <f t="shared" si="27"/>
        <v>741.04125461020669</v>
      </c>
      <c r="DA27" s="176" t="s">
        <v>406</v>
      </c>
    </row>
    <row r="28" spans="1:105" ht="11.45" customHeight="1" x14ac:dyDescent="0.25">
      <c r="A28" s="111" t="s">
        <v>110</v>
      </c>
      <c r="B28" s="97">
        <v>18.523789318657741</v>
      </c>
      <c r="C28" s="97">
        <v>15.189508034300147</v>
      </c>
      <c r="D28" s="97">
        <v>12.409105931481388</v>
      </c>
      <c r="E28" s="97">
        <v>9.7007953032275704</v>
      </c>
      <c r="F28" s="97">
        <v>7.2008122271493988</v>
      </c>
      <c r="G28" s="97">
        <v>5.0667616802144151</v>
      </c>
      <c r="H28" s="97">
        <v>4.1253752229045277</v>
      </c>
      <c r="I28" s="97">
        <v>3.4051610625477919</v>
      </c>
      <c r="J28" s="97">
        <v>2.7293807222657227</v>
      </c>
      <c r="K28" s="97">
        <v>2.4555979005307793</v>
      </c>
      <c r="L28" s="97">
        <v>0.93922872418324643</v>
      </c>
      <c r="M28" s="97">
        <v>1.5471325088554815</v>
      </c>
      <c r="N28" s="97">
        <v>1.2682565488099524</v>
      </c>
      <c r="O28" s="97">
        <v>1.2475027943510306</v>
      </c>
      <c r="P28" s="97">
        <v>1.1504545106366233</v>
      </c>
      <c r="Q28" s="97">
        <v>1.0730303525818286</v>
      </c>
      <c r="R28" s="97">
        <v>1.1701826798697184</v>
      </c>
      <c r="S28" s="97">
        <v>1.1027506919471293</v>
      </c>
      <c r="T28" s="97">
        <v>1.0579440344639526</v>
      </c>
      <c r="U28" s="97">
        <v>0.93953593009768499</v>
      </c>
      <c r="V28" s="97">
        <v>0.91404021713491512</v>
      </c>
      <c r="W28" s="97">
        <v>0.82503631423476465</v>
      </c>
      <c r="X28" s="97">
        <v>0.77136765240028282</v>
      </c>
      <c r="Y28" s="97">
        <v>0.78033811907328221</v>
      </c>
      <c r="DA28" s="175" t="s">
        <v>757</v>
      </c>
    </row>
    <row r="29" spans="1:105" ht="11.45" customHeight="1" x14ac:dyDescent="0.25">
      <c r="A29" s="111" t="s">
        <v>111</v>
      </c>
      <c r="B29" s="97">
        <v>1840.1220440527659</v>
      </c>
      <c r="C29" s="97">
        <v>1776.9333482095478</v>
      </c>
      <c r="D29" s="97">
        <v>1737.5100673870209</v>
      </c>
      <c r="E29" s="97">
        <v>1748.0603338142821</v>
      </c>
      <c r="F29" s="97">
        <v>1733.5717628044683</v>
      </c>
      <c r="G29" s="97">
        <v>1550.0166679012466</v>
      </c>
      <c r="H29" s="97">
        <v>1584.3845590314045</v>
      </c>
      <c r="I29" s="97">
        <v>1491.0495199318741</v>
      </c>
      <c r="J29" s="97">
        <v>1428.7255457012038</v>
      </c>
      <c r="K29" s="97">
        <v>1357.1582388018426</v>
      </c>
      <c r="L29" s="97">
        <v>1412.7984931272001</v>
      </c>
      <c r="M29" s="97">
        <v>1336.5724688930784</v>
      </c>
      <c r="N29" s="97">
        <v>1299.5785256172114</v>
      </c>
      <c r="O29" s="97">
        <v>942.40692074622871</v>
      </c>
      <c r="P29" s="97">
        <v>830.47078131028741</v>
      </c>
      <c r="Q29" s="97">
        <v>819.6936625230536</v>
      </c>
      <c r="R29" s="97">
        <v>764.51237386539015</v>
      </c>
      <c r="S29" s="97">
        <v>733.39000507885919</v>
      </c>
      <c r="T29" s="97">
        <v>705.97916902885891</v>
      </c>
      <c r="U29" s="97">
        <v>894.91005462101805</v>
      </c>
      <c r="V29" s="97">
        <v>779.28408475924107</v>
      </c>
      <c r="W29" s="97">
        <v>750.12765023282827</v>
      </c>
      <c r="X29" s="97">
        <v>693.58716656803324</v>
      </c>
      <c r="Y29" s="97">
        <v>720.82105403574712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DA30" s="175" t="s">
        <v>759</v>
      </c>
    </row>
    <row r="31" spans="1:105" ht="11.45" customHeight="1" x14ac:dyDescent="0.25">
      <c r="A31" s="111" t="s">
        <v>113</v>
      </c>
      <c r="B31" s="97">
        <v>23.831280000000007</v>
      </c>
      <c r="C31" s="97">
        <v>24.179758920821154</v>
      </c>
      <c r="D31" s="97">
        <v>24.715782584092711</v>
      </c>
      <c r="E31" s="97">
        <v>33.97518369648477</v>
      </c>
      <c r="F31" s="97">
        <v>25.217574735201215</v>
      </c>
      <c r="G31" s="97">
        <v>20.30153439264749</v>
      </c>
      <c r="H31" s="97">
        <v>36.788700947261404</v>
      </c>
      <c r="I31" s="97">
        <v>35.566724002553705</v>
      </c>
      <c r="J31" s="97">
        <v>44.083631156006092</v>
      </c>
      <c r="K31" s="97">
        <v>36.479913332029746</v>
      </c>
      <c r="L31" s="97">
        <v>46.664347018445028</v>
      </c>
      <c r="M31" s="97">
        <v>74.657965926232393</v>
      </c>
      <c r="N31" s="97">
        <v>89.579056173205757</v>
      </c>
      <c r="O31" s="97">
        <v>87.8023075289574</v>
      </c>
      <c r="P31" s="97">
        <v>82.346018370709785</v>
      </c>
      <c r="Q31" s="97">
        <v>53.016136097307673</v>
      </c>
      <c r="R31" s="97">
        <v>52.373882183669174</v>
      </c>
      <c r="S31" s="97">
        <v>18.346310918024713</v>
      </c>
      <c r="T31" s="97">
        <v>16.132833264549582</v>
      </c>
      <c r="U31" s="97">
        <v>10.921911189241623</v>
      </c>
      <c r="V31" s="97">
        <v>10.456071116547777</v>
      </c>
      <c r="W31" s="97">
        <v>10.317806974319684</v>
      </c>
      <c r="X31" s="97">
        <v>6.7402612587856412</v>
      </c>
      <c r="Y31" s="97">
        <v>19.439862455386308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5175.6162158874085</v>
      </c>
      <c r="C33" s="32">
        <f t="shared" si="28"/>
        <v>5332.7049930412686</v>
      </c>
      <c r="D33" s="32">
        <f t="shared" si="28"/>
        <v>5353.0907123763918</v>
      </c>
      <c r="E33" s="32">
        <f t="shared" si="28"/>
        <v>5570.5154013462652</v>
      </c>
      <c r="F33" s="32">
        <f t="shared" si="28"/>
        <v>6132.1334799246933</v>
      </c>
      <c r="G33" s="32">
        <f t="shared" si="28"/>
        <v>5842.7575849020432</v>
      </c>
      <c r="H33" s="32">
        <f t="shared" si="28"/>
        <v>6014.6817180750841</v>
      </c>
      <c r="I33" s="32">
        <f t="shared" si="28"/>
        <v>6081.5435271717552</v>
      </c>
      <c r="J33" s="32">
        <f t="shared" si="28"/>
        <v>6055.4109777522417</v>
      </c>
      <c r="K33" s="32">
        <f t="shared" si="28"/>
        <v>5544.1264675243856</v>
      </c>
      <c r="L33" s="32">
        <f t="shared" ref="L33" si="29">L34+L40</f>
        <v>5909.1367172808705</v>
      </c>
      <c r="M33" s="32">
        <f t="shared" ref="M33:V33" si="30">M34+M40</f>
        <v>5721.3896480101976</v>
      </c>
      <c r="N33" s="32">
        <f t="shared" si="30"/>
        <v>5092.1656777119779</v>
      </c>
      <c r="O33" s="32">
        <f t="shared" si="30"/>
        <v>5007.295971588348</v>
      </c>
      <c r="P33" s="32">
        <f t="shared" si="30"/>
        <v>4759.3485768641413</v>
      </c>
      <c r="Q33" s="32">
        <f t="shared" si="30"/>
        <v>4650.991568277439</v>
      </c>
      <c r="R33" s="32">
        <f t="shared" si="30"/>
        <v>4109.7835027556348</v>
      </c>
      <c r="S33" s="32">
        <f t="shared" si="30"/>
        <v>4013.4817507125763</v>
      </c>
      <c r="T33" s="32">
        <f t="shared" si="30"/>
        <v>3679.2924459840619</v>
      </c>
      <c r="U33" s="32">
        <f t="shared" si="30"/>
        <v>3624.7074397046536</v>
      </c>
      <c r="V33" s="32">
        <f t="shared" si="30"/>
        <v>3797.4520084138617</v>
      </c>
      <c r="W33" s="32">
        <f t="shared" ref="W33:Y33" si="31">W34+W40</f>
        <v>3986.5717068897898</v>
      </c>
      <c r="X33" s="32">
        <f t="shared" si="31"/>
        <v>3417.5807599467589</v>
      </c>
      <c r="Y33" s="32">
        <f t="shared" si="31"/>
        <v>3389.09236491095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1305.9457660692585</v>
      </c>
      <c r="C34" s="141">
        <f t="shared" si="32"/>
        <v>1447.0813859385389</v>
      </c>
      <c r="D34" s="141">
        <f t="shared" si="32"/>
        <v>1517.5953291378351</v>
      </c>
      <c r="E34" s="141">
        <f t="shared" si="32"/>
        <v>1642.680913084745</v>
      </c>
      <c r="F34" s="141">
        <f t="shared" si="32"/>
        <v>1828.1442375018887</v>
      </c>
      <c r="G34" s="141">
        <f t="shared" si="32"/>
        <v>1626.6749640218761</v>
      </c>
      <c r="H34" s="141">
        <f t="shared" si="32"/>
        <v>1738.8236257429203</v>
      </c>
      <c r="I34" s="141">
        <f t="shared" si="32"/>
        <v>1772.5703222139919</v>
      </c>
      <c r="J34" s="141">
        <f t="shared" si="32"/>
        <v>1772.4013686842816</v>
      </c>
      <c r="K34" s="141">
        <f t="shared" si="32"/>
        <v>1740.4903480185301</v>
      </c>
      <c r="L34" s="141">
        <f t="shared" ref="L34" si="33">SUM(L35:L39)</f>
        <v>1884.5186574423931</v>
      </c>
      <c r="M34" s="141">
        <f t="shared" ref="M34:V34" si="34">SUM(M35:M39)</f>
        <v>1934.589822949524</v>
      </c>
      <c r="N34" s="141">
        <f t="shared" si="34"/>
        <v>1839.1080030289183</v>
      </c>
      <c r="O34" s="141">
        <f t="shared" si="34"/>
        <v>1783.4373923473081</v>
      </c>
      <c r="P34" s="141">
        <f t="shared" si="34"/>
        <v>1639.3752984673827</v>
      </c>
      <c r="Q34" s="141">
        <f t="shared" si="34"/>
        <v>1656.3631182506215</v>
      </c>
      <c r="R34" s="141">
        <f t="shared" si="34"/>
        <v>1519.2482045543368</v>
      </c>
      <c r="S34" s="141">
        <f t="shared" si="34"/>
        <v>1530.5978161735827</v>
      </c>
      <c r="T34" s="141">
        <f t="shared" si="34"/>
        <v>1419.7387376650618</v>
      </c>
      <c r="U34" s="141">
        <f t="shared" si="34"/>
        <v>1451.4026622448839</v>
      </c>
      <c r="V34" s="141">
        <f t="shared" si="34"/>
        <v>1496.5202083235149</v>
      </c>
      <c r="W34" s="141">
        <f t="shared" ref="W34:Y34" si="35">SUM(W35:W39)</f>
        <v>1531.6139921680856</v>
      </c>
      <c r="X34" s="141">
        <f t="shared" si="35"/>
        <v>1290.663892934152</v>
      </c>
      <c r="Y34" s="141">
        <f t="shared" si="35"/>
        <v>1339.9101666900287</v>
      </c>
      <c r="DA34" s="174" t="s">
        <v>412</v>
      </c>
    </row>
    <row r="35" spans="1:105" ht="11.45" customHeight="1" x14ac:dyDescent="0.25">
      <c r="A35" s="111" t="s">
        <v>110</v>
      </c>
      <c r="B35" s="96">
        <v>473.99643786780217</v>
      </c>
      <c r="C35" s="96">
        <v>458.16455250383666</v>
      </c>
      <c r="D35" s="96">
        <v>423.0470433009188</v>
      </c>
      <c r="E35" s="96">
        <v>372.69554482737112</v>
      </c>
      <c r="F35" s="96">
        <v>328.63522309038126</v>
      </c>
      <c r="G35" s="96">
        <v>301.92054025039886</v>
      </c>
      <c r="H35" s="96">
        <v>264.09100210377477</v>
      </c>
      <c r="I35" s="96">
        <v>241.24901380588381</v>
      </c>
      <c r="J35" s="96">
        <v>211.55400798494398</v>
      </c>
      <c r="K35" s="96">
        <v>192.55676595683246</v>
      </c>
      <c r="L35" s="96">
        <v>168.25147562528954</v>
      </c>
      <c r="M35" s="96">
        <v>154.87007748484297</v>
      </c>
      <c r="N35" s="96">
        <v>133.20045279005782</v>
      </c>
      <c r="O35" s="96">
        <v>116.83709433012859</v>
      </c>
      <c r="P35" s="96">
        <v>106.51678322635658</v>
      </c>
      <c r="Q35" s="96">
        <v>101.46892828319669</v>
      </c>
      <c r="R35" s="96">
        <v>83.445782460731451</v>
      </c>
      <c r="S35" s="96">
        <v>72.617095261569858</v>
      </c>
      <c r="T35" s="96">
        <v>67.900285456832563</v>
      </c>
      <c r="U35" s="96">
        <v>66.439585739209406</v>
      </c>
      <c r="V35" s="96">
        <v>66.318329979115077</v>
      </c>
      <c r="W35" s="96">
        <v>69.410638532382777</v>
      </c>
      <c r="X35" s="96">
        <v>74.731972233560953</v>
      </c>
      <c r="Y35" s="96">
        <v>77.097101693301894</v>
      </c>
      <c r="DA35" s="171" t="s">
        <v>762</v>
      </c>
    </row>
    <row r="36" spans="1:105" ht="11.45" customHeight="1" x14ac:dyDescent="0.25">
      <c r="A36" s="111" t="s">
        <v>111</v>
      </c>
      <c r="B36" s="96">
        <v>831.9493282014563</v>
      </c>
      <c r="C36" s="96">
        <v>988.9118823555234</v>
      </c>
      <c r="D36" s="96">
        <v>1094.5188794790704</v>
      </c>
      <c r="E36" s="96">
        <v>1269.9045652784725</v>
      </c>
      <c r="F36" s="96">
        <v>1499.3763199593109</v>
      </c>
      <c r="G36" s="96">
        <v>1324.5009576683487</v>
      </c>
      <c r="H36" s="96">
        <v>1474.0976898345591</v>
      </c>
      <c r="I36" s="96">
        <v>1529.9743402915838</v>
      </c>
      <c r="J36" s="96">
        <v>1559.4873582265182</v>
      </c>
      <c r="K36" s="96">
        <v>1546.1106415661907</v>
      </c>
      <c r="L36" s="96">
        <v>1713.7943031228649</v>
      </c>
      <c r="M36" s="96">
        <v>1777.8876014743503</v>
      </c>
      <c r="N36" s="96">
        <v>1703.4997576425246</v>
      </c>
      <c r="O36" s="96">
        <v>1664.127701099146</v>
      </c>
      <c r="P36" s="96">
        <v>1530.4032265971437</v>
      </c>
      <c r="Q36" s="96">
        <v>1552.9613354137882</v>
      </c>
      <c r="R36" s="96">
        <v>1433.7611481195634</v>
      </c>
      <c r="S36" s="96">
        <v>1457.0629640744189</v>
      </c>
      <c r="T36" s="96">
        <v>1350.5894454591416</v>
      </c>
      <c r="U36" s="96">
        <v>1383.7671686490874</v>
      </c>
      <c r="V36" s="96">
        <v>1428.8713192029927</v>
      </c>
      <c r="W36" s="96">
        <v>1460.6307118506456</v>
      </c>
      <c r="X36" s="96">
        <v>1214.7679872733809</v>
      </c>
      <c r="Y36" s="96">
        <v>1260.7007615396835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X37" s="96">
        <v>0</v>
      </c>
      <c r="Y37" s="96">
        <v>0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4.9510791788504802E-3</v>
      </c>
      <c r="D38" s="96">
        <v>2.9406357845697482E-2</v>
      </c>
      <c r="E38" s="96">
        <v>8.0802978901294606E-2</v>
      </c>
      <c r="F38" s="96">
        <v>0.13269445219667778</v>
      </c>
      <c r="G38" s="96">
        <v>0.25346610312844242</v>
      </c>
      <c r="H38" s="96">
        <v>0.63493380458643445</v>
      </c>
      <c r="I38" s="96">
        <v>1.3469681165243308</v>
      </c>
      <c r="J38" s="96">
        <v>1.3600024728192661</v>
      </c>
      <c r="K38" s="96">
        <v>1.8229404955070627</v>
      </c>
      <c r="L38" s="96">
        <v>2.4728786942386463</v>
      </c>
      <c r="M38" s="96">
        <v>1.8321439903306873</v>
      </c>
      <c r="N38" s="96">
        <v>2.4077925963358013</v>
      </c>
      <c r="O38" s="96">
        <v>2.4725969180336298</v>
      </c>
      <c r="P38" s="96">
        <v>2.4552886438823669</v>
      </c>
      <c r="Q38" s="96">
        <v>1.9328545536366721</v>
      </c>
      <c r="R38" s="96">
        <v>2.0412739740421211</v>
      </c>
      <c r="S38" s="96">
        <v>0.9177568375939622</v>
      </c>
      <c r="T38" s="96">
        <v>1.2490067490875383</v>
      </c>
      <c r="U38" s="96">
        <v>1.1959078565871033</v>
      </c>
      <c r="V38" s="96">
        <v>1.3305591414072069</v>
      </c>
      <c r="W38" s="96">
        <v>1.5726417850571572</v>
      </c>
      <c r="X38" s="96">
        <v>1.1639334272100959</v>
      </c>
      <c r="Y38" s="96">
        <v>2.1123034570431547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3869.6704498181498</v>
      </c>
      <c r="C40" s="130">
        <f t="shared" si="36"/>
        <v>3885.6236071027297</v>
      </c>
      <c r="D40" s="130">
        <f t="shared" si="36"/>
        <v>3835.4953832385572</v>
      </c>
      <c r="E40" s="130">
        <f t="shared" si="36"/>
        <v>3927.8344882615206</v>
      </c>
      <c r="F40" s="130">
        <f t="shared" si="36"/>
        <v>4303.9892424228046</v>
      </c>
      <c r="G40" s="130">
        <f t="shared" si="36"/>
        <v>4216.0826208801673</v>
      </c>
      <c r="H40" s="130">
        <f t="shared" si="36"/>
        <v>4275.8580923321633</v>
      </c>
      <c r="I40" s="130">
        <f t="shared" si="36"/>
        <v>4308.9732049577633</v>
      </c>
      <c r="J40" s="130">
        <f t="shared" si="36"/>
        <v>4283.0096090679599</v>
      </c>
      <c r="K40" s="130">
        <f t="shared" si="36"/>
        <v>3803.6361195058553</v>
      </c>
      <c r="L40" s="130">
        <f t="shared" ref="L40" si="37">SUM(L41:L42)</f>
        <v>4024.6180598384772</v>
      </c>
      <c r="M40" s="130">
        <f t="shared" ref="M40:V40" si="38">SUM(M41:M42)</f>
        <v>3786.7998250606734</v>
      </c>
      <c r="N40" s="130">
        <f t="shared" si="38"/>
        <v>3253.0576746830593</v>
      </c>
      <c r="O40" s="130">
        <f t="shared" si="38"/>
        <v>3223.8585792410404</v>
      </c>
      <c r="P40" s="130">
        <f t="shared" si="38"/>
        <v>3119.9732783967588</v>
      </c>
      <c r="Q40" s="130">
        <f t="shared" si="38"/>
        <v>2994.628450026818</v>
      </c>
      <c r="R40" s="130">
        <f t="shared" si="38"/>
        <v>2590.5352982012982</v>
      </c>
      <c r="S40" s="130">
        <f t="shared" si="38"/>
        <v>2482.8839345389933</v>
      </c>
      <c r="T40" s="130">
        <f t="shared" si="38"/>
        <v>2259.5537083190002</v>
      </c>
      <c r="U40" s="130">
        <f t="shared" si="38"/>
        <v>2173.3047774597699</v>
      </c>
      <c r="V40" s="130">
        <f t="shared" si="38"/>
        <v>2300.9318000903468</v>
      </c>
      <c r="W40" s="130">
        <f t="shared" ref="W40:Y40" si="39">SUM(W41:W42)</f>
        <v>2454.9577147217042</v>
      </c>
      <c r="X40" s="130">
        <f t="shared" si="39"/>
        <v>2126.9168670126069</v>
      </c>
      <c r="Y40" s="130">
        <f t="shared" si="39"/>
        <v>2049.1821982209212</v>
      </c>
      <c r="DA40" s="176" t="s">
        <v>413</v>
      </c>
    </row>
    <row r="41" spans="1:105" ht="11.45" customHeight="1" x14ac:dyDescent="0.25">
      <c r="A41" s="128" t="s">
        <v>27</v>
      </c>
      <c r="B41" s="97">
        <v>3072.5336794706936</v>
      </c>
      <c r="C41" s="97">
        <v>3032.9357819818633</v>
      </c>
      <c r="D41" s="97">
        <v>2971.7337024386829</v>
      </c>
      <c r="E41" s="97">
        <v>3009.5171151165105</v>
      </c>
      <c r="F41" s="97">
        <v>3186.0884170540885</v>
      </c>
      <c r="G41" s="97">
        <v>3155.8955929119552</v>
      </c>
      <c r="H41" s="97">
        <v>3136.0524028375262</v>
      </c>
      <c r="I41" s="97">
        <v>3187.4482486688735</v>
      </c>
      <c r="J41" s="97">
        <v>3224.2430203189097</v>
      </c>
      <c r="K41" s="97">
        <v>2967.2269579135641</v>
      </c>
      <c r="L41" s="97">
        <v>3098.4342382088603</v>
      </c>
      <c r="M41" s="97">
        <v>2907.9608745394462</v>
      </c>
      <c r="N41" s="97">
        <v>2467.8772457791706</v>
      </c>
      <c r="O41" s="97">
        <v>2362.3682033432301</v>
      </c>
      <c r="P41" s="97">
        <v>2445.4992629934795</v>
      </c>
      <c r="Q41" s="97">
        <v>2273.5438486443054</v>
      </c>
      <c r="R41" s="97">
        <v>1932.9411411142103</v>
      </c>
      <c r="S41" s="97">
        <v>1858.3403847710401</v>
      </c>
      <c r="T41" s="97">
        <v>1696.8913836750842</v>
      </c>
      <c r="U41" s="97">
        <v>1647.8615441702755</v>
      </c>
      <c r="V41" s="97">
        <v>1724.6772685945946</v>
      </c>
      <c r="W41" s="97">
        <v>1819.9030983731157</v>
      </c>
      <c r="X41" s="97">
        <v>1638.0213459167744</v>
      </c>
      <c r="Y41" s="97">
        <v>1540.2688014039538</v>
      </c>
      <c r="DA41" s="175" t="s">
        <v>767</v>
      </c>
    </row>
    <row r="42" spans="1:105" ht="11.45" customHeight="1" x14ac:dyDescent="0.25">
      <c r="A42" s="138" t="s">
        <v>116</v>
      </c>
      <c r="B42" s="98">
        <v>797.13677034745592</v>
      </c>
      <c r="C42" s="98">
        <v>852.68782512086625</v>
      </c>
      <c r="D42" s="98">
        <v>863.76168079987451</v>
      </c>
      <c r="E42" s="98">
        <v>918.31737314501015</v>
      </c>
      <c r="F42" s="98">
        <v>1117.9008253687164</v>
      </c>
      <c r="G42" s="98">
        <v>1060.1870279682121</v>
      </c>
      <c r="H42" s="98">
        <v>1139.8056894946371</v>
      </c>
      <c r="I42" s="98">
        <v>1121.5249562888903</v>
      </c>
      <c r="J42" s="98">
        <v>1058.7665887490505</v>
      </c>
      <c r="K42" s="98">
        <v>836.40916159229141</v>
      </c>
      <c r="L42" s="98">
        <v>926.18382162961711</v>
      </c>
      <c r="M42" s="98">
        <v>878.83895052122739</v>
      </c>
      <c r="N42" s="98">
        <v>785.1804289038887</v>
      </c>
      <c r="O42" s="98">
        <v>861.49037589781051</v>
      </c>
      <c r="P42" s="98">
        <v>674.47401540327917</v>
      </c>
      <c r="Q42" s="98">
        <v>721.08460138251257</v>
      </c>
      <c r="R42" s="98">
        <v>657.59415708708809</v>
      </c>
      <c r="S42" s="98">
        <v>624.5435497679531</v>
      </c>
      <c r="T42" s="98">
        <v>562.66232464391578</v>
      </c>
      <c r="U42" s="98">
        <v>525.44323328949463</v>
      </c>
      <c r="V42" s="98">
        <v>576.25453149575219</v>
      </c>
      <c r="W42" s="98">
        <v>635.0546163485883</v>
      </c>
      <c r="X42" s="98">
        <v>488.89552109583252</v>
      </c>
      <c r="Y42" s="98">
        <v>508.91339681696718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2.9758996902821577</v>
      </c>
      <c r="C47" s="145">
        <f>IF(C4=0,0,C4/TrRoad_ene!C4)</f>
        <v>2.969871316570277</v>
      </c>
      <c r="D47" s="145">
        <f>IF(D4=0,0,D4/TrRoad_ene!D4)</f>
        <v>2.9614008583963778</v>
      </c>
      <c r="E47" s="145">
        <f>IF(E4=0,0,E4/TrRoad_ene!E4)</f>
        <v>2.9487934928120541</v>
      </c>
      <c r="F47" s="145">
        <f>IF(F4=0,0,F4/TrRoad_ene!F4)</f>
        <v>2.9293446424013414</v>
      </c>
      <c r="G47" s="145">
        <f>IF(G4=0,0,G4/TrRoad_ene!G4)</f>
        <v>2.9190660974544604</v>
      </c>
      <c r="H47" s="145">
        <f>IF(H4=0,0,H4/TrRoad_ene!H4)</f>
        <v>2.9015188766654334</v>
      </c>
      <c r="I47" s="145">
        <f>IF(I4=0,0,I4/TrRoad_ene!I4)</f>
        <v>2.8803521009905624</v>
      </c>
      <c r="J47" s="145">
        <f>IF(J4=0,0,J4/TrRoad_ene!J4)</f>
        <v>2.8528638314329222</v>
      </c>
      <c r="K47" s="145">
        <f>IF(K4=0,0,K4/TrRoad_ene!K4)</f>
        <v>2.8449699534006574</v>
      </c>
      <c r="L47" s="145">
        <f>IF(L4=0,0,L4/TrRoad_ene!L4)</f>
        <v>2.8455203774644935</v>
      </c>
      <c r="M47" s="145">
        <f>IF(M4=0,0,M4/TrRoad_ene!M4)</f>
        <v>2.8078630764903849</v>
      </c>
      <c r="N47" s="145">
        <f>IF(N4=0,0,N4/TrRoad_ene!N4)</f>
        <v>2.7723180214799168</v>
      </c>
      <c r="O47" s="145">
        <f>IF(O4=0,0,O4/TrRoad_ene!O4)</f>
        <v>2.7330830545972078</v>
      </c>
      <c r="P47" s="145">
        <f>IF(P4=0,0,P4/TrRoad_ene!P4)</f>
        <v>2.6550865262551353</v>
      </c>
      <c r="Q47" s="145">
        <f>IF(Q4=0,0,Q4/TrRoad_ene!Q4)</f>
        <v>2.6035393983692505</v>
      </c>
      <c r="R47" s="145">
        <f>IF(R4=0,0,R4/TrRoad_ene!R4)</f>
        <v>2.5070695086333292</v>
      </c>
      <c r="S47" s="145">
        <f>IF(S4=0,0,S4/TrRoad_ene!S4)</f>
        <v>2.4006532169563846</v>
      </c>
      <c r="T47" s="145">
        <f>IF(T4=0,0,T4/TrRoad_ene!T4)</f>
        <v>2.3339579483367827</v>
      </c>
      <c r="U47" s="145">
        <f>IF(U4=0,0,U4/TrRoad_ene!U4)</f>
        <v>2.3635849560196358</v>
      </c>
      <c r="V47" s="145">
        <f>IF(V4=0,0,V4/TrRoad_ene!V4)</f>
        <v>2.32576824142759</v>
      </c>
      <c r="W47" s="145">
        <f>IF(W4=0,0,W4/TrRoad_ene!W4)</f>
        <v>2.3089535575587492</v>
      </c>
      <c r="X47" s="145">
        <f>IF(X4=0,0,X4/TrRoad_ene!X4)</f>
        <v>2.1359323843392217</v>
      </c>
      <c r="Y47" s="145">
        <f>IF(Y4=0,0,Y4/TrRoad_ene!Y4)</f>
        <v>2.1663301663714862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2.8929539731023</v>
      </c>
      <c r="D48" s="97">
        <f>IF(D7=0,0,(D7+D12)/(TrRoad_ene!D7+TrRoad_ene!D12))</f>
        <v>2.8814659780137295</v>
      </c>
      <c r="E48" s="97">
        <f>IF(E7=0,0,(E7+E12)/(TrRoad_ene!E7+TrRoad_ene!E12))</f>
        <v>2.8588380057749605</v>
      </c>
      <c r="F48" s="97">
        <f>IF(F7=0,0,(F7+F12)/(TrRoad_ene!F7+TrRoad_ene!F12))</f>
        <v>2.8200240745404348</v>
      </c>
      <c r="G48" s="97">
        <f>IF(G7=0,0,(G7+G12)/(TrRoad_ene!G7+TrRoad_ene!G12))</f>
        <v>2.8030728944469918</v>
      </c>
      <c r="H48" s="97">
        <f>IF(H7=0,0,(H7+H12)/(TrRoad_ene!H7+TrRoad_ene!H12))</f>
        <v>2.7889634571128026</v>
      </c>
      <c r="I48" s="97">
        <f>IF(I7=0,0,(I7+I12)/(TrRoad_ene!I7+TrRoad_ene!I12))</f>
        <v>2.7733164480990484</v>
      </c>
      <c r="J48" s="97">
        <f>IF(J7=0,0,(J7+J12)/(TrRoad_ene!J7+TrRoad_ene!J12))</f>
        <v>2.7427165103829343</v>
      </c>
      <c r="K48" s="97">
        <f>IF(K7=0,0,(K7+K12)/(TrRoad_ene!K7+TrRoad_ene!K12))</f>
        <v>2.7517849812308239</v>
      </c>
      <c r="L48" s="97">
        <f>IF(L7=0,0,(L7+L12)/(TrRoad_ene!L7+TrRoad_ene!L12))</f>
        <v>2.7388088519004619</v>
      </c>
      <c r="M48" s="97">
        <f>IF(M7=0,0,(M7+M12)/(TrRoad_ene!M7+TrRoad_ene!M12))</f>
        <v>2.7185936136828546</v>
      </c>
      <c r="N48" s="97">
        <f>IF(N7=0,0,(N7+N12)/(TrRoad_ene!N7+TrRoad_ene!N12))</f>
        <v>2.7087345175990611</v>
      </c>
      <c r="O48" s="97">
        <f>IF(O7=0,0,(O7+O12)/(TrRoad_ene!O7+TrRoad_ene!O12))</f>
        <v>2.7224307512977726</v>
      </c>
      <c r="P48" s="97">
        <f>IF(P7=0,0,(P7+P12)/(TrRoad_ene!P7+TrRoad_ene!P12))</f>
        <v>2.7296509165531448</v>
      </c>
      <c r="Q48" s="97">
        <f>IF(Q7=0,0,(Q7+Q12)/(TrRoad_ene!Q7+TrRoad_ene!Q12))</f>
        <v>2.7527371521356438</v>
      </c>
      <c r="R48" s="97">
        <f>IF(R7=0,0,(R7+R12)/(TrRoad_ene!R7+TrRoad_ene!R12))</f>
        <v>2.7790426631037799</v>
      </c>
      <c r="S48" s="97">
        <f>IF(S7=0,0,(S7+S12)/(TrRoad_ene!S7+TrRoad_ene!S12))</f>
        <v>2.7807457911175342</v>
      </c>
      <c r="T48" s="97">
        <f>IF(T7=0,0,(T7+T12)/(TrRoad_ene!T7+TrRoad_ene!T12))</f>
        <v>2.7419086450012076</v>
      </c>
      <c r="U48" s="97">
        <f>IF(U7=0,0,(U7+U12)/(TrRoad_ene!U7+TrRoad_ene!U12))</f>
        <v>2.7716864884077541</v>
      </c>
      <c r="V48" s="97">
        <f>IF(V7=0,0,(V7+V12)/(TrRoad_ene!V7+TrRoad_ene!V12))</f>
        <v>2.7539268966558104</v>
      </c>
      <c r="W48" s="97">
        <f>IF(W7=0,0,(W7+W12)/(TrRoad_ene!W7+TrRoad_ene!W12))</f>
        <v>2.7333648488278581</v>
      </c>
      <c r="X48" s="97">
        <f>IF(X7=0,0,(X7+X12)/(TrRoad_ene!X7+TrRoad_ene!X12))</f>
        <v>2.6727931553652575</v>
      </c>
      <c r="Y48" s="97">
        <f>IF(Y7=0,0,(Y7+Y12)/(TrRoad_ene!Y7+TrRoad_ene!Y12))</f>
        <v>2.615652619517471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3.0991864206373783</v>
      </c>
      <c r="D49" s="97">
        <f>IF(D8=0,0,(D8+D13+D14)/(TrRoad_ene!D8+TrRoad_ene!D13+TrRoad_ene!D14))</f>
        <v>3.0992020009526424</v>
      </c>
      <c r="E49" s="97">
        <f>IF(E8=0,0,(E8+E13+E14)/(TrRoad_ene!E8+TrRoad_ene!E13+TrRoad_ene!E14))</f>
        <v>3.0983030540270025</v>
      </c>
      <c r="F49" s="97">
        <f>IF(F8=0,0,(F8+F13+F14)/(TrRoad_ene!F8+TrRoad_ene!F13+TrRoad_ene!F14))</f>
        <v>3.0948103166937986</v>
      </c>
      <c r="G49" s="97">
        <f>IF(G8=0,0,(G8+G13+G14)/(TrRoad_ene!G8+TrRoad_ene!G13+TrRoad_ene!G14))</f>
        <v>3.0950733390613618</v>
      </c>
      <c r="H49" s="97">
        <f>IF(H8=0,0,(H8+H13+H14)/(TrRoad_ene!H8+TrRoad_ene!H13+TrRoad_ene!H14))</f>
        <v>3.0595529823474008</v>
      </c>
      <c r="I49" s="97">
        <f>IF(I8=0,0,(I8+I13+I14)/(TrRoad_ene!I8+TrRoad_ene!I13+TrRoad_ene!I14))</f>
        <v>3.0199897276800165</v>
      </c>
      <c r="J49" s="97">
        <f>IF(J8=0,0,(J8+J13+J14)/(TrRoad_ene!J8+TrRoad_ene!J13+TrRoad_ene!J14))</f>
        <v>3.0017349147738521</v>
      </c>
      <c r="K49" s="97">
        <f>IF(K8=0,0,(K8+K13+K14)/(TrRoad_ene!K8+TrRoad_ene!K13+TrRoad_ene!K14))</f>
        <v>2.9749879426848862</v>
      </c>
      <c r="L49" s="97">
        <f>IF(L8=0,0,(L8+L13+L14)/(TrRoad_ene!L8+TrRoad_ene!L13+TrRoad_ene!L14))</f>
        <v>2.9721311614518617</v>
      </c>
      <c r="M49" s="97">
        <f>IF(M8=0,0,(M8+M13+M14)/(TrRoad_ene!M8+TrRoad_ene!M13+TrRoad_ene!M14))</f>
        <v>2.9399280780293999</v>
      </c>
      <c r="N49" s="97">
        <f>IF(N8=0,0,(N8+N13+N14)/(TrRoad_ene!N8+TrRoad_ene!N13+TrRoad_ene!N14))</f>
        <v>2.8832060662229431</v>
      </c>
      <c r="O49" s="97">
        <f>IF(O8=0,0,(O8+O13+O14)/(TrRoad_ene!O8+TrRoad_ene!O13+TrRoad_ene!O14))</f>
        <v>2.8022538240318604</v>
      </c>
      <c r="P49" s="97">
        <f>IF(P8=0,0,(P8+P13+P14)/(TrRoad_ene!P8+TrRoad_ene!P13+TrRoad_ene!P14))</f>
        <v>2.6670480455543584</v>
      </c>
      <c r="Q49" s="97">
        <f>IF(Q8=0,0,(Q8+Q13+Q14)/(TrRoad_ene!Q8+TrRoad_ene!Q13+TrRoad_ene!Q14))</f>
        <v>2.5771256397276878</v>
      </c>
      <c r="R49" s="97">
        <f>IF(R8=0,0,(R8+R13+R14)/(TrRoad_ene!R8+TrRoad_ene!R13+TrRoad_ene!R14))</f>
        <v>2.4139370255778836</v>
      </c>
      <c r="S49" s="97">
        <f>IF(S8=0,0,(S8+S13+S14)/(TrRoad_ene!S8+TrRoad_ene!S13+TrRoad_ene!S14))</f>
        <v>2.267685263631213</v>
      </c>
      <c r="T49" s="97">
        <f>IF(T8=0,0,(T8+T13+T14)/(TrRoad_ene!T8+TrRoad_ene!T13+TrRoad_ene!T14))</f>
        <v>2.1998408284302138</v>
      </c>
      <c r="U49" s="97">
        <f>IF(U8=0,0,(U8+U13+U14)/(TrRoad_ene!U8+TrRoad_ene!U13+TrRoad_ene!U14))</f>
        <v>2.2307103022285375</v>
      </c>
      <c r="V49" s="97">
        <f>IF(V8=0,0,(V8+V13+V14)/(TrRoad_ene!V8+TrRoad_ene!V13+TrRoad_ene!V14))</f>
        <v>2.2015256443977895</v>
      </c>
      <c r="W49" s="97">
        <f>IF(W8=0,0,(W8+W13+W14)/(TrRoad_ene!W8+TrRoad_ene!W13+TrRoad_ene!W14))</f>
        <v>2.1889486065966581</v>
      </c>
      <c r="X49" s="97">
        <f>IF(X8=0,0,(X8+X13+X14)/(TrRoad_ene!X8+TrRoad_ene!X13+TrRoad_ene!X14))</f>
        <v>1.9795985272345544</v>
      </c>
      <c r="Y49" s="97">
        <f>IF(Y8=0,0,(Y8+Y13+Y14)/(TrRoad_ene!Y8+TrRoad_ene!Y13+TrRoad_ene!Y14))</f>
        <v>2.0662077734727484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2.6418708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0</v>
      </c>
      <c r="T50" s="97">
        <f>IF(T6=0,0,T6/TrRoad_ene!T6)</f>
        <v>0</v>
      </c>
      <c r="U50" s="97">
        <f>IF(U6=0,0,U6/TrRoad_ene!U6)</f>
        <v>0</v>
      </c>
      <c r="V50" s="97">
        <f>IF(V6=0,0,V6/TrRoad_ene!V6)</f>
        <v>0</v>
      </c>
      <c r="W50" s="97">
        <f>IF(W6=0,0,W6/TrRoad_ene!W6)</f>
        <v>0</v>
      </c>
      <c r="X50" s="97">
        <f>IF(X6=0,0,X6/TrRoad_ene!X6)</f>
        <v>0</v>
      </c>
      <c r="Y50" s="97">
        <f>IF(Y6=0,0,Y6/TrRoad_ene!Y6)</f>
        <v>0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1.3206801331784341</v>
      </c>
      <c r="K51" s="97">
        <f>IF(K9=0,0,(K9+K11)/(TrRoad_ene!K9+TrRoad_ene!K11))</f>
        <v>1.1645630444457662</v>
      </c>
      <c r="L51" s="97">
        <f>IF(L9=0,0,(L9+L11)/(TrRoad_ene!L9+TrRoad_ene!L11))</f>
        <v>1.409659665632782</v>
      </c>
      <c r="M51" s="97">
        <f>IF(M9=0,0,(M9+M11)/(TrRoad_ene!M9+TrRoad_ene!M11))</f>
        <v>0.95331848591075552</v>
      </c>
      <c r="N51" s="97">
        <f>IF(N9=0,0,(N9+N11)/(TrRoad_ene!N9+TrRoad_ene!N11))</f>
        <v>1.0158141367222413</v>
      </c>
      <c r="O51" s="97">
        <f>IF(O9=0,0,(O9+O11)/(TrRoad_ene!O9+TrRoad_ene!O11))</f>
        <v>0.96955506013471981</v>
      </c>
      <c r="P51" s="97">
        <f>IF(P9=0,0,(P9+P11)/(TrRoad_ene!P9+TrRoad_ene!P11))</f>
        <v>0.88620730131753267</v>
      </c>
      <c r="Q51" s="97">
        <f>IF(Q9=0,0,(Q9+Q11)/(TrRoad_ene!Q9+TrRoad_ene!Q11))</f>
        <v>0.61530089774357311</v>
      </c>
      <c r="R51" s="97">
        <f>IF(R9=0,0,(R9+R11)/(TrRoad_ene!R9+TrRoad_ene!R11))</f>
        <v>0.63271219517153754</v>
      </c>
      <c r="S51" s="97">
        <f>IF(S9=0,0,(S9+S11)/(TrRoad_ene!S9+TrRoad_ene!S11))</f>
        <v>0.25136726510366675</v>
      </c>
      <c r="T51" s="97">
        <f>IF(T9=0,0,(T9+T11)/(TrRoad_ene!T9+TrRoad_ene!T11))</f>
        <v>0.20641954978656474</v>
      </c>
      <c r="U51" s="97">
        <f>IF(U9=0,0,(U9+U11)/(TrRoad_ene!U9+TrRoad_ene!U11))</f>
        <v>0.19190608714556415</v>
      </c>
      <c r="V51" s="97">
        <f>IF(V9=0,0,(V9+V11)/(TrRoad_ene!V9+TrRoad_ene!V11))</f>
        <v>0.20883373046624373</v>
      </c>
      <c r="W51" s="97">
        <f>IF(W9=0,0,(W9+W11)/(TrRoad_ene!W9+TrRoad_ene!W11))</f>
        <v>0.24261577180540189</v>
      </c>
      <c r="X51" s="97">
        <f>IF(X9=0,0,(X9+X11)/(TrRoad_ene!X9+TrRoad_ene!X11))</f>
        <v>0.16889477736330338</v>
      </c>
      <c r="Y51" s="97">
        <f>IF(Y9=0,0,(Y9+Y11)/(TrRoad_ene!Y9+TrRoad_ene!Y11))</f>
        <v>0.35380635364512625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382.19644133226319</v>
      </c>
      <c r="C54" s="62">
        <f>IF(TrRoad_act!C30=0,0,C17/TrRoad_act!C30*1000
)</f>
        <v>371.03162983603562</v>
      </c>
      <c r="D54" s="62">
        <f>IF(TrRoad_act!D30=0,0,D17/TrRoad_act!D30*1000
)</f>
        <v>360.59193151079921</v>
      </c>
      <c r="E54" s="62">
        <f>IF(TrRoad_act!E30=0,0,E17/TrRoad_act!E30*1000
)</f>
        <v>357.53889762482902</v>
      </c>
      <c r="F54" s="62">
        <f>IF(TrRoad_act!F30=0,0,F17/TrRoad_act!F30*1000
)</f>
        <v>357.37036749365456</v>
      </c>
      <c r="G54" s="62">
        <f>IF(TrRoad_act!G30=0,0,G17/TrRoad_act!G30*1000
)</f>
        <v>347.19928107495605</v>
      </c>
      <c r="H54" s="62">
        <f>IF(TrRoad_act!H30=0,0,H17/TrRoad_act!H30*1000
)</f>
        <v>343.5098065628199</v>
      </c>
      <c r="I54" s="62">
        <f>IF(TrRoad_act!I30=0,0,I17/TrRoad_act!I30*1000
)</f>
        <v>332.61672514487861</v>
      </c>
      <c r="J54" s="62">
        <f>IF(TrRoad_act!J30=0,0,J17/TrRoad_act!J30*1000
)</f>
        <v>325.69633800817491</v>
      </c>
      <c r="K54" s="62">
        <f>IF(TrRoad_act!K30=0,0,K17/TrRoad_act!K30*1000
)</f>
        <v>312.59344395846472</v>
      </c>
      <c r="L54" s="62">
        <f>IF(TrRoad_act!L30=0,0,L17/TrRoad_act!L30*1000
)</f>
        <v>309.01719526768437</v>
      </c>
      <c r="M54" s="62">
        <f>IF(TrRoad_act!M30=0,0,M17/TrRoad_act!M30*1000
)</f>
        <v>293.76146314505905</v>
      </c>
      <c r="N54" s="62">
        <f>IF(TrRoad_act!N30=0,0,N17/TrRoad_act!N30*1000
)</f>
        <v>274.88312143185209</v>
      </c>
      <c r="O54" s="62">
        <f>IF(TrRoad_act!O30=0,0,O17/TrRoad_act!O30*1000
)</f>
        <v>260.29184001143091</v>
      </c>
      <c r="P54" s="62">
        <f>IF(TrRoad_act!P30=0,0,P17/TrRoad_act!P30*1000
)</f>
        <v>240.63004954409703</v>
      </c>
      <c r="Q54" s="62">
        <f>IF(TrRoad_act!Q30=0,0,Q17/TrRoad_act!Q30*1000
)</f>
        <v>227.28111662269581</v>
      </c>
      <c r="R54" s="62">
        <f>IF(TrRoad_act!R30=0,0,R17/TrRoad_act!R30*1000
)</f>
        <v>207.10184154136439</v>
      </c>
      <c r="S54" s="62">
        <f>IF(TrRoad_act!S30=0,0,S17/TrRoad_act!S30*1000
)</f>
        <v>194.50196315523249</v>
      </c>
      <c r="T54" s="62">
        <f>IF(TrRoad_act!T30=0,0,T17/TrRoad_act!T30*1000
)</f>
        <v>181.41288366724447</v>
      </c>
      <c r="U54" s="62">
        <f>IF(TrRoad_act!U30=0,0,U17/TrRoad_act!U30*1000
)</f>
        <v>181.25703149229048</v>
      </c>
      <c r="V54" s="62">
        <f>IF(TrRoad_act!V30=0,0,V17/TrRoad_act!V30*1000
)</f>
        <v>179.2800576768646</v>
      </c>
      <c r="W54" s="62">
        <f>IF(TrRoad_act!W30=0,0,W17/TrRoad_act!W30*1000
)</f>
        <v>176.78421628451105</v>
      </c>
      <c r="X54" s="62">
        <f>IF(TrRoad_act!X30=0,0,X17/TrRoad_act!X30*1000
)</f>
        <v>159.16039647156853</v>
      </c>
      <c r="Y54" s="62">
        <f>IF(TrRoad_act!Y30=0,0,Y17/TrRoad_act!Y30*1000
)</f>
        <v>154.14856614569061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322.45560701435602</v>
      </c>
      <c r="C55" s="29">
        <f>IF(TrRoad_act!C31=0,0,C18/TrRoad_act!C31*1000
)</f>
        <v>312.28418175281956</v>
      </c>
      <c r="D55" s="29">
        <f>IF(TrRoad_act!D31=0,0,D18/TrRoad_act!D31*1000
)</f>
        <v>305.42724142038185</v>
      </c>
      <c r="E55" s="29">
        <f>IF(TrRoad_act!E31=0,0,E18/TrRoad_act!E31*1000
)</f>
        <v>300.5473857901253</v>
      </c>
      <c r="F55" s="29">
        <f>IF(TrRoad_act!F31=0,0,F18/TrRoad_act!F31*1000
)</f>
        <v>294.21771199088869</v>
      </c>
      <c r="G55" s="29">
        <f>IF(TrRoad_act!G31=0,0,G18/TrRoad_act!G31*1000
)</f>
        <v>285.63576973364962</v>
      </c>
      <c r="H55" s="29">
        <f>IF(TrRoad_act!H31=0,0,H18/TrRoad_act!H31*1000
)</f>
        <v>281.6271381100733</v>
      </c>
      <c r="I55" s="29">
        <f>IF(TrRoad_act!I31=0,0,I18/TrRoad_act!I31*1000
)</f>
        <v>272.61640788666256</v>
      </c>
      <c r="J55" s="29">
        <f>IF(TrRoad_act!J31=0,0,J18/TrRoad_act!J31*1000
)</f>
        <v>265.80453796461762</v>
      </c>
      <c r="K55" s="29">
        <f>IF(TrRoad_act!K31=0,0,K18/TrRoad_act!K31*1000
)</f>
        <v>259.74855462418179</v>
      </c>
      <c r="L55" s="29">
        <f>IF(TrRoad_act!L31=0,0,L18/TrRoad_act!L31*1000
)</f>
        <v>253.31745885663349</v>
      </c>
      <c r="M55" s="29">
        <f>IF(TrRoad_act!M31=0,0,M18/TrRoad_act!M31*1000
)</f>
        <v>241.92763788575468</v>
      </c>
      <c r="N55" s="29">
        <f>IF(TrRoad_act!N31=0,0,N18/TrRoad_act!N31*1000
)</f>
        <v>231.31641103915402</v>
      </c>
      <c r="O55" s="29">
        <f>IF(TrRoad_act!O31=0,0,O18/TrRoad_act!O31*1000
)</f>
        <v>217.63330290567552</v>
      </c>
      <c r="P55" s="29">
        <f>IF(TrRoad_act!P31=0,0,P18/TrRoad_act!P31*1000
)</f>
        <v>203.71023530328344</v>
      </c>
      <c r="Q55" s="29">
        <f>IF(TrRoad_act!Q31=0,0,Q18/TrRoad_act!Q31*1000
)</f>
        <v>193.94878030988738</v>
      </c>
      <c r="R55" s="29">
        <f>IF(TrRoad_act!R31=0,0,R18/TrRoad_act!R31*1000
)</f>
        <v>180.57702722433368</v>
      </c>
      <c r="S55" s="29">
        <f>IF(TrRoad_act!S31=0,0,S18/TrRoad_act!S31*1000
)</f>
        <v>169.82004473563288</v>
      </c>
      <c r="T55" s="29">
        <f>IF(TrRoad_act!T31=0,0,T18/TrRoad_act!T31*1000
)</f>
        <v>159.94416129849355</v>
      </c>
      <c r="U55" s="29">
        <f>IF(TrRoad_act!U31=0,0,U18/TrRoad_act!U31*1000
)</f>
        <v>160.77109604164656</v>
      </c>
      <c r="V55" s="29">
        <f>IF(TrRoad_act!V31=0,0,V18/TrRoad_act!V31*1000
)</f>
        <v>155.34313400712261</v>
      </c>
      <c r="W55" s="29">
        <f>IF(TrRoad_act!W31=0,0,W18/TrRoad_act!W31*1000
)</f>
        <v>152.00518145432792</v>
      </c>
      <c r="X55" s="29">
        <f>IF(TrRoad_act!X31=0,0,X18/TrRoad_act!X31*1000
)</f>
        <v>138.22837703191013</v>
      </c>
      <c r="Y55" s="29">
        <f>IF(TrRoad_act!Y31=0,0,Y18/TrRoad_act!Y31*1000
)</f>
        <v>133.17126836526052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151.42533829721631</v>
      </c>
      <c r="C56" s="152">
        <f>IF(TrRoad_act!C32=0,0,C19/TrRoad_act!C32*1000
)</f>
        <v>148.37013199101048</v>
      </c>
      <c r="D56" s="152">
        <f>IF(TrRoad_act!D32=0,0,D19/TrRoad_act!D32*1000
)</f>
        <v>145.01918490931845</v>
      </c>
      <c r="E56" s="152">
        <f>IF(TrRoad_act!E32=0,0,E19/TrRoad_act!E32*1000
)</f>
        <v>142.1373958339484</v>
      </c>
      <c r="F56" s="152">
        <f>IF(TrRoad_act!F32=0,0,F19/TrRoad_act!F32*1000
)</f>
        <v>138.57820994898469</v>
      </c>
      <c r="G56" s="152">
        <f>IF(TrRoad_act!G32=0,0,G19/TrRoad_act!G32*1000
)</f>
        <v>134.71665998655629</v>
      </c>
      <c r="H56" s="152">
        <f>IF(TrRoad_act!H32=0,0,H19/TrRoad_act!H32*1000
)</f>
        <v>130.28196012566306</v>
      </c>
      <c r="I56" s="152">
        <f>IF(TrRoad_act!I32=0,0,I19/TrRoad_act!I32*1000
)</f>
        <v>126.6094053484432</v>
      </c>
      <c r="J56" s="152">
        <f>IF(TrRoad_act!J32=0,0,J19/TrRoad_act!J32*1000
)</f>
        <v>125.73627702213177</v>
      </c>
      <c r="K56" s="152">
        <f>IF(TrRoad_act!K32=0,0,K19/TrRoad_act!K32*1000
)</f>
        <v>122.93536917510541</v>
      </c>
      <c r="L56" s="152">
        <f>IF(TrRoad_act!L32=0,0,L19/TrRoad_act!L32*1000
)</f>
        <v>119.22767591818246</v>
      </c>
      <c r="M56" s="152">
        <f>IF(TrRoad_act!M32=0,0,M19/TrRoad_act!M32*1000
)</f>
        <v>118.26009457223225</v>
      </c>
      <c r="N56" s="152">
        <f>IF(TrRoad_act!N32=0,0,N19/TrRoad_act!N32*1000
)</f>
        <v>115.91693385986767</v>
      </c>
      <c r="O56" s="152">
        <f>IF(TrRoad_act!O32=0,0,O19/TrRoad_act!O32*1000
)</f>
        <v>116.71663661979699</v>
      </c>
      <c r="P56" s="152">
        <f>IF(TrRoad_act!P32=0,0,P19/TrRoad_act!P32*1000
)</f>
        <v>114.71757117239416</v>
      </c>
      <c r="Q56" s="152">
        <f>IF(TrRoad_act!Q32=0,0,Q19/TrRoad_act!Q32*1000
)</f>
        <v>115.33675469630136</v>
      </c>
      <c r="R56" s="152">
        <f>IF(TrRoad_act!R32=0,0,R19/TrRoad_act!R32*1000
)</f>
        <v>114.67324438799147</v>
      </c>
      <c r="S56" s="152">
        <f>IF(TrRoad_act!S32=0,0,S19/TrRoad_act!S32*1000
)</f>
        <v>112.92420010178139</v>
      </c>
      <c r="T56" s="152">
        <f>IF(TrRoad_act!T32=0,0,T19/TrRoad_act!T32*1000
)</f>
        <v>109.99644818884552</v>
      </c>
      <c r="U56" s="152">
        <f>IF(TrRoad_act!U32=0,0,U19/TrRoad_act!U32*1000
)</f>
        <v>109.63948912016825</v>
      </c>
      <c r="V56" s="152">
        <f>IF(TrRoad_act!V32=0,0,V19/TrRoad_act!V32*1000
)</f>
        <v>107.08253842055554</v>
      </c>
      <c r="W56" s="152">
        <f>IF(TrRoad_act!W32=0,0,W19/TrRoad_act!W32*1000
)</f>
        <v>105.08474692400367</v>
      </c>
      <c r="X56" s="152">
        <f>IF(TrRoad_act!X32=0,0,X19/TrRoad_act!X32*1000
)</f>
        <v>102.19504005473063</v>
      </c>
      <c r="Y56" s="152">
        <f>IF(TrRoad_act!Y32=0,0,Y19/TrRoad_act!Y32*1000
)</f>
        <v>98.889758952377406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288.96222452793336</v>
      </c>
      <c r="C57" s="116">
        <f>IF(TrRoad_act!C33=0,0,C20/TrRoad_act!C33*1000
)</f>
        <v>280.4963858156359</v>
      </c>
      <c r="D57" s="116">
        <f>IF(TrRoad_act!D33=0,0,D20/TrRoad_act!D33*1000
)</f>
        <v>275.95074569348071</v>
      </c>
      <c r="E57" s="116">
        <f>IF(TrRoad_act!E33=0,0,E20/TrRoad_act!E33*1000
)</f>
        <v>271.16468885713346</v>
      </c>
      <c r="F57" s="116">
        <f>IF(TrRoad_act!F33=0,0,F20/TrRoad_act!F33*1000
)</f>
        <v>265.51905448793684</v>
      </c>
      <c r="G57" s="116">
        <f>IF(TrRoad_act!G33=0,0,G20/TrRoad_act!G33*1000
)</f>
        <v>260.01387255567852</v>
      </c>
      <c r="H57" s="116">
        <f>IF(TrRoad_act!H33=0,0,H20/TrRoad_act!H33*1000
)</f>
        <v>255.38075303037238</v>
      </c>
      <c r="I57" s="116">
        <f>IF(TrRoad_act!I33=0,0,I20/TrRoad_act!I33*1000
)</f>
        <v>249.21001579444444</v>
      </c>
      <c r="J57" s="116">
        <f>IF(TrRoad_act!J33=0,0,J20/TrRoad_act!J33*1000
)</f>
        <v>243.1486129879176</v>
      </c>
      <c r="K57" s="116">
        <f>IF(TrRoad_act!K33=0,0,K20/TrRoad_act!K33*1000
)</f>
        <v>239.12379040321861</v>
      </c>
      <c r="L57" s="116">
        <f>IF(TrRoad_act!L33=0,0,L20/TrRoad_act!L33*1000
)</f>
        <v>232.00999388853162</v>
      </c>
      <c r="M57" s="116">
        <f>IF(TrRoad_act!M33=0,0,M20/TrRoad_act!M33*1000
)</f>
        <v>221.94800853639035</v>
      </c>
      <c r="N57" s="116">
        <f>IF(TrRoad_act!N33=0,0,N20/TrRoad_act!N33*1000
)</f>
        <v>211.81855291704838</v>
      </c>
      <c r="O57" s="116">
        <f>IF(TrRoad_act!O33=0,0,O20/TrRoad_act!O33*1000
)</f>
        <v>204.62549853984299</v>
      </c>
      <c r="P57" s="116">
        <f>IF(TrRoad_act!P33=0,0,P20/TrRoad_act!P33*1000
)</f>
        <v>192.90509675047886</v>
      </c>
      <c r="Q57" s="116">
        <f>IF(TrRoad_act!Q33=0,0,Q20/TrRoad_act!Q33*1000
)</f>
        <v>184.23530539954842</v>
      </c>
      <c r="R57" s="116">
        <f>IF(TrRoad_act!R33=0,0,R20/TrRoad_act!R33*1000
)</f>
        <v>171.84610600480789</v>
      </c>
      <c r="S57" s="116">
        <f>IF(TrRoad_act!S33=0,0,S20/TrRoad_act!S33*1000
)</f>
        <v>162.06797104880502</v>
      </c>
      <c r="T57" s="116">
        <f>IF(TrRoad_act!T33=0,0,T20/TrRoad_act!T33*1000
)</f>
        <v>152.51710104202826</v>
      </c>
      <c r="U57" s="116">
        <f>IF(TrRoad_act!U33=0,0,U20/TrRoad_act!U33*1000
)</f>
        <v>150.79357523181011</v>
      </c>
      <c r="V57" s="116">
        <f>IF(TrRoad_act!V33=0,0,V20/TrRoad_act!V33*1000
)</f>
        <v>146.15149235713602</v>
      </c>
      <c r="W57" s="116">
        <f>IF(TrRoad_act!W33=0,0,W20/TrRoad_act!W33*1000
)</f>
        <v>143.47752512102733</v>
      </c>
      <c r="X57" s="116">
        <f>IF(TrRoad_act!X33=0,0,X20/TrRoad_act!X33*1000
)</f>
        <v>130.12547363256712</v>
      </c>
      <c r="Y57" s="116">
        <f>IF(TrRoad_act!Y33=0,0,Y20/TrRoad_act!Y33*1000
)</f>
        <v>124.81150325622013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290.35127092505002</v>
      </c>
      <c r="C58" s="87">
        <f>IF(TrRoad_act!C34=0,0,C21/TrRoad_act!C34*1000
)</f>
        <v>281.87173049225561</v>
      </c>
      <c r="D58" s="87">
        <f>IF(TrRoad_act!D34=0,0,D21/TrRoad_act!D34*1000
)</f>
        <v>277.6356472689489</v>
      </c>
      <c r="E58" s="87">
        <f>IF(TrRoad_act!E34=0,0,E21/TrRoad_act!E34*1000
)</f>
        <v>272.24841418635833</v>
      </c>
      <c r="F58" s="87">
        <f>IF(TrRoad_act!F34=0,0,F21/TrRoad_act!F34*1000
)</f>
        <v>265.55914853655065</v>
      </c>
      <c r="G58" s="87">
        <f>IF(TrRoad_act!G34=0,0,G21/TrRoad_act!G34*1000
)</f>
        <v>260.81971852792947</v>
      </c>
      <c r="H58" s="87">
        <f>IF(TrRoad_act!H34=0,0,H21/TrRoad_act!H34*1000
)</f>
        <v>256.52386754291774</v>
      </c>
      <c r="I58" s="87">
        <f>IF(TrRoad_act!I34=0,0,I21/TrRoad_act!I34*1000
)</f>
        <v>252.16727551014569</v>
      </c>
      <c r="J58" s="87">
        <f>IF(TrRoad_act!J34=0,0,J21/TrRoad_act!J34*1000
)</f>
        <v>246.59313598759945</v>
      </c>
      <c r="K58" s="87">
        <f>IF(TrRoad_act!K34=0,0,K21/TrRoad_act!K34*1000
)</f>
        <v>245.30792890930826</v>
      </c>
      <c r="L58" s="87">
        <f>IF(TrRoad_act!L34=0,0,L21/TrRoad_act!L34*1000
)</f>
        <v>240.4303999163308</v>
      </c>
      <c r="M58" s="87">
        <f>IF(TrRoad_act!M34=0,0,M21/TrRoad_act!M34*1000
)</f>
        <v>234.93768205873175</v>
      </c>
      <c r="N58" s="87">
        <f>IF(TrRoad_act!N34=0,0,N21/TrRoad_act!N34*1000
)</f>
        <v>230.53546241842565</v>
      </c>
      <c r="O58" s="87">
        <f>IF(TrRoad_act!O34=0,0,O21/TrRoad_act!O34*1000
)</f>
        <v>227.35768195347012</v>
      </c>
      <c r="P58" s="87">
        <f>IF(TrRoad_act!P34=0,0,P21/TrRoad_act!P34*1000
)</f>
        <v>222.95935150803493</v>
      </c>
      <c r="Q58" s="87">
        <f>IF(TrRoad_act!Q34=0,0,Q21/TrRoad_act!Q34*1000
)</f>
        <v>218.85507067655976</v>
      </c>
      <c r="R58" s="87">
        <f>IF(TrRoad_act!R34=0,0,R21/TrRoad_act!R34*1000
)</f>
        <v>213.6668814855839</v>
      </c>
      <c r="S58" s="87">
        <f>IF(TrRoad_act!S34=0,0,S21/TrRoad_act!S34*1000
)</f>
        <v>206.56368804923454</v>
      </c>
      <c r="T58" s="87">
        <f>IF(TrRoad_act!T34=0,0,T21/TrRoad_act!T34*1000
)</f>
        <v>196.6441477033145</v>
      </c>
      <c r="U58" s="87">
        <f>IF(TrRoad_act!U34=0,0,U21/TrRoad_act!U34*1000
)</f>
        <v>192.17608027639454</v>
      </c>
      <c r="V58" s="87">
        <f>IF(TrRoad_act!V34=0,0,V21/TrRoad_act!V34*1000
)</f>
        <v>185.11027072767965</v>
      </c>
      <c r="W58" s="87">
        <f>IF(TrRoad_act!W34=0,0,W21/TrRoad_act!W34*1000
)</f>
        <v>187.15540756079307</v>
      </c>
      <c r="X58" s="87">
        <f>IF(TrRoad_act!X34=0,0,X21/TrRoad_act!X34*1000
)</f>
        <v>182.82742789435585</v>
      </c>
      <c r="Y58" s="87">
        <f>IF(TrRoad_act!Y34=0,0,Y21/TrRoad_act!Y34*1000
)</f>
        <v>168.6676606738483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277.24516582127586</v>
      </c>
      <c r="C59" s="87">
        <f>IF(TrRoad_act!C35=0,0,C22/TrRoad_act!C35*1000
)</f>
        <v>268.24349141363496</v>
      </c>
      <c r="D59" s="87">
        <f>IF(TrRoad_act!D35=0,0,D22/TrRoad_act!D35*1000
)</f>
        <v>261.14752832557525</v>
      </c>
      <c r="E59" s="87">
        <f>IF(TrRoad_act!E35=0,0,E22/TrRoad_act!E35*1000
)</f>
        <v>262.09185046217704</v>
      </c>
      <c r="F59" s="87">
        <f>IF(TrRoad_act!F35=0,0,F22/TrRoad_act!F35*1000
)</f>
        <v>265.65792390755803</v>
      </c>
      <c r="G59" s="87">
        <f>IF(TrRoad_act!G35=0,0,G22/TrRoad_act!G35*1000
)</f>
        <v>254.32488679195808</v>
      </c>
      <c r="H59" s="87">
        <f>IF(TrRoad_act!H35=0,0,H22/TrRoad_act!H35*1000
)</f>
        <v>248.43605153586583</v>
      </c>
      <c r="I59" s="87">
        <f>IF(TrRoad_act!I35=0,0,I22/TrRoad_act!I35*1000
)</f>
        <v>235.0462399394323</v>
      </c>
      <c r="J59" s="87">
        <f>IF(TrRoad_act!J35=0,0,J22/TrRoad_act!J35*1000
)</f>
        <v>230.67072214423885</v>
      </c>
      <c r="K59" s="87">
        <f>IF(TrRoad_act!K35=0,0,K22/TrRoad_act!K35*1000
)</f>
        <v>220.14587408842604</v>
      </c>
      <c r="L59" s="87">
        <f>IF(TrRoad_act!L35=0,0,L22/TrRoad_act!L35*1000
)</f>
        <v>212.67482679351448</v>
      </c>
      <c r="M59" s="87">
        <f>IF(TrRoad_act!M35=0,0,M22/TrRoad_act!M35*1000
)</f>
        <v>200.07521389536828</v>
      </c>
      <c r="N59" s="87">
        <f>IF(TrRoad_act!N35=0,0,N22/TrRoad_act!N35*1000
)</f>
        <v>186.54210907877891</v>
      </c>
      <c r="O59" s="87">
        <f>IF(TrRoad_act!O35=0,0,O22/TrRoad_act!O35*1000
)</f>
        <v>178.60749181698591</v>
      </c>
      <c r="P59" s="87">
        <f>IF(TrRoad_act!P35=0,0,P22/TrRoad_act!P35*1000
)</f>
        <v>163.29767361332117</v>
      </c>
      <c r="Q59" s="87">
        <f>IF(TrRoad_act!Q35=0,0,Q22/TrRoad_act!Q35*1000
)</f>
        <v>155.16783919275292</v>
      </c>
      <c r="R59" s="87">
        <f>IF(TrRoad_act!R35=0,0,R22/TrRoad_act!R35*1000
)</f>
        <v>140.92083527920778</v>
      </c>
      <c r="S59" s="87">
        <f>IF(TrRoad_act!S35=0,0,S22/TrRoad_act!S35*1000
)</f>
        <v>132.47383789080578</v>
      </c>
      <c r="T59" s="87">
        <f>IF(TrRoad_act!T35=0,0,T22/TrRoad_act!T35*1000
)</f>
        <v>125.41533060187329</v>
      </c>
      <c r="U59" s="87">
        <f>IF(TrRoad_act!U35=0,0,U22/TrRoad_act!U35*1000
)</f>
        <v>126.71678764363986</v>
      </c>
      <c r="V59" s="87">
        <f>IF(TrRoad_act!V35=0,0,V22/TrRoad_act!V35*1000
)</f>
        <v>126.63068343756947</v>
      </c>
      <c r="W59" s="87">
        <f>IF(TrRoad_act!W35=0,0,W22/TrRoad_act!W35*1000
)</f>
        <v>125.02977305689892</v>
      </c>
      <c r="X59" s="87">
        <f>IF(TrRoad_act!X35=0,0,X22/TrRoad_act!X35*1000
)</f>
        <v>111.25968602853075</v>
      </c>
      <c r="Y59" s="87">
        <f>IF(TrRoad_act!Y35=0,0,Y22/TrRoad_act!Y35*1000
)</f>
        <v>114.69330382017498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338.72254109506048</v>
      </c>
      <c r="H60" s="87">
        <f>IF(TrRoad_act!H36=0,0,H23/TrRoad_act!H36*1000
)</f>
        <v>273.02617611446669</v>
      </c>
      <c r="I60" s="87">
        <f>IF(TrRoad_act!I36=0,0,I23/TrRoad_act!I36*1000
)</f>
        <v>591.63294534954753</v>
      </c>
      <c r="J60" s="87">
        <f>IF(TrRoad_act!J36=0,0,J23/TrRoad_act!J36*1000
)</f>
        <v>365.76300926948971</v>
      </c>
      <c r="K60" s="87">
        <f>IF(TrRoad_act!K36=0,0,K23/TrRoad_act!K36*1000
)</f>
        <v>343.4350315370321</v>
      </c>
      <c r="L60" s="87">
        <f>IF(TrRoad_act!L36=0,0,L23/TrRoad_act!L36*1000
)</f>
        <v>423.32904179042544</v>
      </c>
      <c r="M60" s="87">
        <f>IF(TrRoad_act!M36=0,0,M23/TrRoad_act!M36*1000
)</f>
        <v>286.76791562493702</v>
      </c>
      <c r="N60" s="87">
        <f>IF(TrRoad_act!N36=0,0,N23/TrRoad_act!N36*1000
)</f>
        <v>183.72681195838445</v>
      </c>
      <c r="O60" s="87">
        <f>IF(TrRoad_act!O36=0,0,O23/TrRoad_act!O36*1000
)</f>
        <v>96.504879577517087</v>
      </c>
      <c r="P60" s="87">
        <f>IF(TrRoad_act!P36=0,0,P23/TrRoad_act!P36*1000
)</f>
        <v>112.56532175721772</v>
      </c>
      <c r="Q60" s="87">
        <f>IF(TrRoad_act!Q36=0,0,Q23/TrRoad_act!Q36*1000
)</f>
        <v>619.37174095821661</v>
      </c>
      <c r="R60" s="87">
        <f>IF(TrRoad_act!R36=0,0,R23/TrRoad_act!R36*1000
)</f>
        <v>229.3860270670163</v>
      </c>
      <c r="S60" s="87">
        <f>IF(TrRoad_act!S36=0,0,S23/TrRoad_act!S36*1000
)</f>
        <v>0</v>
      </c>
      <c r="T60" s="87">
        <f>IF(TrRoad_act!T36=0,0,T23/TrRoad_act!T36*1000
)</f>
        <v>0</v>
      </c>
      <c r="U60" s="87">
        <f>IF(TrRoad_act!U36=0,0,U23/TrRoad_act!U36*1000
)</f>
        <v>0</v>
      </c>
      <c r="V60" s="87">
        <f>IF(TrRoad_act!V36=0,0,V23/TrRoad_act!V36*1000
)</f>
        <v>0</v>
      </c>
      <c r="W60" s="87">
        <f>IF(TrRoad_act!W36=0,0,W23/TrRoad_act!W36*1000
)</f>
        <v>0</v>
      </c>
      <c r="X60" s="87">
        <f>IF(TrRoad_act!X36=0,0,X23/TrRoad_act!X36*1000
)</f>
        <v>0</v>
      </c>
      <c r="Y60" s="87">
        <f>IF(TrRoad_act!Y36=0,0,Y23/TrRoad_act!Y36*1000
)</f>
        <v>0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217.49632017729843</v>
      </c>
      <c r="E61" s="87">
        <f>IF(TrRoad_act!E37=0,0,E24/TrRoad_act!E37*1000
)</f>
        <v>216.34690111363415</v>
      </c>
      <c r="F61" s="87">
        <f>IF(TrRoad_act!F37=0,0,F24/TrRoad_act!F37*1000
)</f>
        <v>216.1282617793388</v>
      </c>
      <c r="G61" s="87">
        <f>IF(TrRoad_act!G37=0,0,G24/TrRoad_act!G37*1000
)</f>
        <v>214.47867259897814</v>
      </c>
      <c r="H61" s="87">
        <f>IF(TrRoad_act!H37=0,0,H24/TrRoad_act!H37*1000
)</f>
        <v>213.64772209176149</v>
      </c>
      <c r="I61" s="87">
        <f>IF(TrRoad_act!I37=0,0,I24/TrRoad_act!I37*1000
)</f>
        <v>212.22806621658955</v>
      </c>
      <c r="J61" s="87">
        <f>IF(TrRoad_act!J37=0,0,J24/TrRoad_act!J37*1000
)</f>
        <v>117.52663635140642</v>
      </c>
      <c r="K61" s="87">
        <f>IF(TrRoad_act!K37=0,0,K24/TrRoad_act!K37*1000
)</f>
        <v>101.60898179648505</v>
      </c>
      <c r="L61" s="87">
        <f>IF(TrRoad_act!L37=0,0,L24/TrRoad_act!L37*1000
)</f>
        <v>112.1801419105476</v>
      </c>
      <c r="M61" s="87">
        <f>IF(TrRoad_act!M37=0,0,M24/TrRoad_act!M37*1000
)</f>
        <v>73.353896175371915</v>
      </c>
      <c r="N61" s="87">
        <f>IF(TrRoad_act!N37=0,0,N24/TrRoad_act!N37*1000
)</f>
        <v>80.622269984456807</v>
      </c>
      <c r="O61" s="87">
        <f>IF(TrRoad_act!O37=0,0,O24/TrRoad_act!O37*1000
)</f>
        <v>75.462637777271993</v>
      </c>
      <c r="P61" s="87">
        <f>IF(TrRoad_act!P37=0,0,P24/TrRoad_act!P37*1000
)</f>
        <v>66.818565921537584</v>
      </c>
      <c r="Q61" s="87">
        <f>IF(TrRoad_act!Q37=0,0,Q24/TrRoad_act!Q37*1000
)</f>
        <v>44.673670777151514</v>
      </c>
      <c r="R61" s="87">
        <f>IF(TrRoad_act!R37=0,0,R24/TrRoad_act!R37*1000
)</f>
        <v>44.069664065546462</v>
      </c>
      <c r="S61" s="87">
        <f>IF(TrRoad_act!S37=0,0,S24/TrRoad_act!S37*1000
)</f>
        <v>17.000919871610474</v>
      </c>
      <c r="T61" s="87">
        <f>IF(TrRoad_act!T37=0,0,T24/TrRoad_act!T37*1000
)</f>
        <v>13.682803547364019</v>
      </c>
      <c r="U61" s="87">
        <f>IF(TrRoad_act!U37=0,0,U24/TrRoad_act!U37*1000
)</f>
        <v>12.307994505952584</v>
      </c>
      <c r="V61" s="87">
        <f>IF(TrRoad_act!V37=0,0,V24/TrRoad_act!V37*1000
)</f>
        <v>13.153501462198543</v>
      </c>
      <c r="W61" s="87">
        <f>IF(TrRoad_act!W37=0,0,W24/TrRoad_act!W37*1000
)</f>
        <v>15.064834614093106</v>
      </c>
      <c r="X61" s="87">
        <f>IF(TrRoad_act!X37=0,0,X24/TrRoad_act!X37*1000
)</f>
        <v>10.367716955450701</v>
      </c>
      <c r="Y61" s="87">
        <f>IF(TrRoad_act!Y37=0,0,Y24/TrRoad_act!Y37*1000
)</f>
        <v>20.341050547525583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88.24612210147248</v>
      </c>
      <c r="K62" s="87">
        <f>IF(TrRoad_act!K38=0,0,K25/TrRoad_act!K38*1000
)</f>
        <v>86.754146359073928</v>
      </c>
      <c r="L62" s="87">
        <f>IF(TrRoad_act!L38=0,0,L25/TrRoad_act!L38*1000
)</f>
        <v>84.180909474416467</v>
      </c>
      <c r="M62" s="87">
        <f>IF(TrRoad_act!M38=0,0,M25/TrRoad_act!M38*1000
)</f>
        <v>73.437322987864434</v>
      </c>
      <c r="N62" s="87">
        <f>IF(TrRoad_act!N38=0,0,N25/TrRoad_act!N38*1000
)</f>
        <v>65.779420362069899</v>
      </c>
      <c r="O62" s="87">
        <f>IF(TrRoad_act!O38=0,0,O25/TrRoad_act!O38*1000
)</f>
        <v>65.361652578194224</v>
      </c>
      <c r="P62" s="87">
        <f>IF(TrRoad_act!P38=0,0,P25/TrRoad_act!P38*1000
)</f>
        <v>62.403243774326846</v>
      </c>
      <c r="Q62" s="87">
        <f>IF(TrRoad_act!Q38=0,0,Q25/TrRoad_act!Q38*1000
)</f>
        <v>60.675631335404034</v>
      </c>
      <c r="R62" s="87">
        <f>IF(TrRoad_act!R38=0,0,R25/TrRoad_act!R38*1000
)</f>
        <v>60.329139765316818</v>
      </c>
      <c r="S62" s="87">
        <f>IF(TrRoad_act!S38=0,0,S25/TrRoad_act!S38*1000
)</f>
        <v>59.883065397995011</v>
      </c>
      <c r="T62" s="87">
        <f>IF(TrRoad_act!T38=0,0,T25/TrRoad_act!T38*1000
)</f>
        <v>59.044565116415214</v>
      </c>
      <c r="U62" s="87">
        <f>IF(TrRoad_act!U38=0,0,U25/TrRoad_act!U38*1000
)</f>
        <v>54.972747221202141</v>
      </c>
      <c r="V62" s="87">
        <f>IF(TrRoad_act!V38=0,0,V25/TrRoad_act!V38*1000
)</f>
        <v>49.356746212276718</v>
      </c>
      <c r="W62" s="87">
        <f>IF(TrRoad_act!W38=0,0,W25/TrRoad_act!W38*1000
)</f>
        <v>47.229988196879525</v>
      </c>
      <c r="X62" s="87">
        <f>IF(TrRoad_act!X38=0,0,X25/TrRoad_act!X38*1000
)</f>
        <v>43.400532329284367</v>
      </c>
      <c r="Y62" s="87">
        <f>IF(TrRoad_act!Y38=0,0,Y25/TrRoad_act!Y38*1000
)</f>
        <v>35.908180806470099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1992.0392734089139</v>
      </c>
      <c r="C64" s="116">
        <f>IF(TrRoad_act!C40=0,0,C27/TrRoad_act!C40*1000
)</f>
        <v>1964.9997050124698</v>
      </c>
      <c r="D64" s="116">
        <f>IF(TrRoad_act!D40=0,0,D27/TrRoad_act!D40*1000
)</f>
        <v>1914.3850656985924</v>
      </c>
      <c r="E64" s="116">
        <f>IF(TrRoad_act!E40=0,0,E27/TrRoad_act!E40*1000
)</f>
        <v>1962.4713174304429</v>
      </c>
      <c r="F64" s="116">
        <f>IF(TrRoad_act!F40=0,0,F27/TrRoad_act!F40*1000
)</f>
        <v>1994.1495364747036</v>
      </c>
      <c r="G64" s="116">
        <f>IF(TrRoad_act!G40=0,0,G27/TrRoad_act!G40*1000
)</f>
        <v>1798.3846620709</v>
      </c>
      <c r="H64" s="116">
        <f>IF(TrRoad_act!H40=0,0,H27/TrRoad_act!H40*1000
)</f>
        <v>1863.8745816531768</v>
      </c>
      <c r="I64" s="116">
        <f>IF(TrRoad_act!I40=0,0,I27/TrRoad_act!I40*1000
)</f>
        <v>1782.6696922500337</v>
      </c>
      <c r="J64" s="116">
        <f>IF(TrRoad_act!J40=0,0,J27/TrRoad_act!J40*1000
)</f>
        <v>1731.8527671120605</v>
      </c>
      <c r="K64" s="116">
        <f>IF(TrRoad_act!K40=0,0,K27/TrRoad_act!K40*1000
)</f>
        <v>1638.6076878338065</v>
      </c>
      <c r="L64" s="116">
        <f>IF(TrRoad_act!L40=0,0,L27/TrRoad_act!L40*1000
)</f>
        <v>1625.0568107351105</v>
      </c>
      <c r="M64" s="116">
        <f>IF(TrRoad_act!M40=0,0,M27/TrRoad_act!M40*1000
)</f>
        <v>1532.0366932419272</v>
      </c>
      <c r="N64" s="116">
        <f>IF(TrRoad_act!N40=0,0,N27/TrRoad_act!N40*1000
)</f>
        <v>1449.7870057896259</v>
      </c>
      <c r="O64" s="116">
        <f>IF(TrRoad_act!O40=0,0,O27/TrRoad_act!O40*1000
)</f>
        <v>1071.086948151129</v>
      </c>
      <c r="P64" s="116">
        <f>IF(TrRoad_act!P40=0,0,P27/TrRoad_act!P40*1000
)</f>
        <v>954.03679978249863</v>
      </c>
      <c r="Q64" s="116">
        <f>IF(TrRoad_act!Q40=0,0,Q27/TrRoad_act!Q40*1000
)</f>
        <v>897.10762728228246</v>
      </c>
      <c r="R64" s="116">
        <f>IF(TrRoad_act!R40=0,0,R27/TrRoad_act!R40*1000
)</f>
        <v>833.90054916302643</v>
      </c>
      <c r="S64" s="116">
        <f>IF(TrRoad_act!S40=0,0,S27/TrRoad_act!S40*1000
)</f>
        <v>756.62217757671453</v>
      </c>
      <c r="T64" s="116">
        <f>IF(TrRoad_act!T40=0,0,T27/TrRoad_act!T40*1000
)</f>
        <v>723.89384016804047</v>
      </c>
      <c r="U64" s="116">
        <f>IF(TrRoad_act!U40=0,0,U27/TrRoad_act!U40*1000
)</f>
        <v>914.08417514148937</v>
      </c>
      <c r="V64" s="116">
        <f>IF(TrRoad_act!V40=0,0,V27/TrRoad_act!V40*1000
)</f>
        <v>869.88985314647709</v>
      </c>
      <c r="W64" s="116">
        <f>IF(TrRoad_act!W40=0,0,W27/TrRoad_act!W40*1000
)</f>
        <v>858.18633445806654</v>
      </c>
      <c r="X64" s="116">
        <f>IF(TrRoad_act!X40=0,0,X27/TrRoad_act!X40*1000
)</f>
        <v>754.7867790748104</v>
      </c>
      <c r="Y64" s="116">
        <f>IF(TrRoad_act!Y40=0,0,Y27/TrRoad_act!Y40*1000
)</f>
        <v>780.80121403109831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620.95961008950917</v>
      </c>
      <c r="C65" s="101">
        <f>IF(TrRoad_act!C41=0,0,C28/TrRoad_act!C41*1000
)</f>
        <v>616.84601800809605</v>
      </c>
      <c r="D65" s="101">
        <f>IF(TrRoad_act!D41=0,0,D28/TrRoad_act!D41*1000
)</f>
        <v>613.52649432603278</v>
      </c>
      <c r="E65" s="101">
        <f>IF(TrRoad_act!E41=0,0,E28/TrRoad_act!E41*1000
)</f>
        <v>607.01570472097148</v>
      </c>
      <c r="F65" s="101">
        <f>IF(TrRoad_act!F41=0,0,F28/TrRoad_act!F41*1000
)</f>
        <v>597.23828952260362</v>
      </c>
      <c r="G65" s="101">
        <f>IF(TrRoad_act!G41=0,0,G28/TrRoad_act!G41*1000
)</f>
        <v>591.48833544469608</v>
      </c>
      <c r="H65" s="101">
        <f>IF(TrRoad_act!H41=0,0,H28/TrRoad_act!H41*1000
)</f>
        <v>581.93882667420939</v>
      </c>
      <c r="I65" s="101">
        <f>IF(TrRoad_act!I41=0,0,I28/TrRoad_act!I41*1000
)</f>
        <v>575.19025965935055</v>
      </c>
      <c r="J65" s="101">
        <f>IF(TrRoad_act!J41=0,0,J28/TrRoad_act!J41*1000
)</f>
        <v>561.63250078877184</v>
      </c>
      <c r="K65" s="101">
        <f>IF(TrRoad_act!K41=0,0,K28/TrRoad_act!K41*1000
)</f>
        <v>550.0106273424127</v>
      </c>
      <c r="L65" s="101">
        <f>IF(TrRoad_act!L41=0,0,L28/TrRoad_act!L41*1000
)</f>
        <v>507.2058100143044</v>
      </c>
      <c r="M65" s="101">
        <f>IF(TrRoad_act!M41=0,0,M28/TrRoad_act!M41*1000
)</f>
        <v>464.89583820077473</v>
      </c>
      <c r="N65" s="101">
        <f>IF(TrRoad_act!N41=0,0,N28/TrRoad_act!N41*1000
)</f>
        <v>454.74634414641645</v>
      </c>
      <c r="O65" s="101">
        <f>IF(TrRoad_act!O41=0,0,O28/TrRoad_act!O41*1000
)</f>
        <v>447.03419439616698</v>
      </c>
      <c r="P65" s="101">
        <f>IF(TrRoad_act!P41=0,0,P28/TrRoad_act!P41*1000
)</f>
        <v>440.26322376070067</v>
      </c>
      <c r="Q65" s="101">
        <f>IF(TrRoad_act!Q41=0,0,Q28/TrRoad_act!Q41*1000
)</f>
        <v>442.48699040474719</v>
      </c>
      <c r="R65" s="101">
        <f>IF(TrRoad_act!R41=0,0,R28/TrRoad_act!R41*1000
)</f>
        <v>433.48409361810673</v>
      </c>
      <c r="S65" s="101">
        <f>IF(TrRoad_act!S41=0,0,S28/TrRoad_act!S41*1000
)</f>
        <v>429.29353163179491</v>
      </c>
      <c r="T65" s="101">
        <f>IF(TrRoad_act!T41=0,0,T28/TrRoad_act!T41*1000
)</f>
        <v>419.13054043781125</v>
      </c>
      <c r="U65" s="101">
        <f>IF(TrRoad_act!U41=0,0,U28/TrRoad_act!U41*1000
)</f>
        <v>417.53900625715301</v>
      </c>
      <c r="V65" s="101">
        <f>IF(TrRoad_act!V41=0,0,V28/TrRoad_act!V41*1000
)</f>
        <v>413.00806660254165</v>
      </c>
      <c r="W65" s="101">
        <f>IF(TrRoad_act!W41=0,0,W28/TrRoad_act!W41*1000
)</f>
        <v>409.5034210509852</v>
      </c>
      <c r="X65" s="101">
        <f>IF(TrRoad_act!X41=0,0,X28/TrRoad_act!X41*1000
)</f>
        <v>397.56875766338953</v>
      </c>
      <c r="Y65" s="101">
        <f>IF(TrRoad_act!Y41=0,0,Y28/TrRoad_act!Y41*1000
)</f>
        <v>387.85530179655814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2064.5724126859773</v>
      </c>
      <c r="C66" s="101">
        <f>IF(TrRoad_act!C42=0,0,C29/TrRoad_act!C42*1000
)</f>
        <v>2035.9349775216415</v>
      </c>
      <c r="D66" s="101">
        <f>IF(TrRoad_act!D42=0,0,D29/TrRoad_act!D42*1000
)</f>
        <v>1977.9366038423325</v>
      </c>
      <c r="E66" s="101">
        <f>IF(TrRoad_act!E42=0,0,E29/TrRoad_act!E42*1000
)</f>
        <v>2015.1304048572447</v>
      </c>
      <c r="F66" s="101">
        <f>IF(TrRoad_act!F42=0,0,F29/TrRoad_act!F42*1000
)</f>
        <v>2059.7882497764713</v>
      </c>
      <c r="G66" s="101">
        <f>IF(TrRoad_act!G42=0,0,G29/TrRoad_act!G42*1000
)</f>
        <v>1943.5682448274708</v>
      </c>
      <c r="H66" s="101">
        <f>IF(TrRoad_act!H42=0,0,H29/TrRoad_act!H42*1000
)</f>
        <v>1925.6952674647487</v>
      </c>
      <c r="I66" s="101">
        <f>IF(TrRoad_act!I42=0,0,I29/TrRoad_act!I42*1000
)</f>
        <v>1858.7125876705927</v>
      </c>
      <c r="J66" s="101">
        <f>IF(TrRoad_act!J42=0,0,J29/TrRoad_act!J42*1000
)</f>
        <v>1833.9589291031334</v>
      </c>
      <c r="K66" s="101">
        <f>IF(TrRoad_act!K42=0,0,K29/TrRoad_act!K42*1000
)</f>
        <v>1787.0361543682402</v>
      </c>
      <c r="L66" s="101">
        <f>IF(TrRoad_act!L42=0,0,L29/TrRoad_act!L42*1000
)</f>
        <v>1793.4721723580831</v>
      </c>
      <c r="M66" s="101">
        <f>IF(TrRoad_act!M42=0,0,M29/TrRoad_act!M42*1000
)</f>
        <v>1732.088426729706</v>
      </c>
      <c r="N66" s="101">
        <f>IF(TrRoad_act!N42=0,0,N29/TrRoad_act!N42*1000
)</f>
        <v>1634.6466024875558</v>
      </c>
      <c r="O66" s="101">
        <f>IF(TrRoad_act!O42=0,0,O29/TrRoad_act!O42*1000
)</f>
        <v>1590.1104883764335</v>
      </c>
      <c r="P66" s="101">
        <f>IF(TrRoad_act!P42=0,0,P29/TrRoad_act!P42*1000
)</f>
        <v>1432.9436817238416</v>
      </c>
      <c r="Q66" s="101">
        <f>IF(TrRoad_act!Q42=0,0,Q29/TrRoad_act!Q42*1000
)</f>
        <v>1375.7265586556166</v>
      </c>
      <c r="R66" s="101">
        <f>IF(TrRoad_act!R42=0,0,R29/TrRoad_act!R42*1000
)</f>
        <v>1251.7089490578162</v>
      </c>
      <c r="S66" s="101">
        <f>IF(TrRoad_act!S42=0,0,S29/TrRoad_act!S42*1000
)</f>
        <v>1191.2528326220518</v>
      </c>
      <c r="T66" s="101">
        <f>IF(TrRoad_act!T42=0,0,T29/TrRoad_act!T42*1000
)</f>
        <v>1119.5496401411908</v>
      </c>
      <c r="U66" s="101">
        <f>IF(TrRoad_act!U42=0,0,U29/TrRoad_act!U42*1000
)</f>
        <v>1116.564494790093</v>
      </c>
      <c r="V66" s="101">
        <f>IF(TrRoad_act!V42=0,0,V29/TrRoad_act!V42*1000
)</f>
        <v>1114.2477419278878</v>
      </c>
      <c r="W66" s="101">
        <f>IF(TrRoad_act!W42=0,0,W29/TrRoad_act!W42*1000
)</f>
        <v>1097.1906881034381</v>
      </c>
      <c r="X66" s="101">
        <f>IF(TrRoad_act!X42=0,0,X29/TrRoad_act!X42*1000
)</f>
        <v>956.9419634689898</v>
      </c>
      <c r="Y66" s="101">
        <f>IF(TrRoad_act!Y42=0,0,Y29/TrRoad_act!Y42*1000
)</f>
        <v>976.41365844148447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0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1032.5281437972999</v>
      </c>
      <c r="C68" s="101">
        <f>IF(TrRoad_act!C44=0,0,C31/TrRoad_act!C44*1000
)</f>
        <v>925.98849177858563</v>
      </c>
      <c r="D68" s="101">
        <f>IF(TrRoad_act!D44=0,0,D31/TrRoad_act!D44*1000
)</f>
        <v>893.47600101953901</v>
      </c>
      <c r="E68" s="101">
        <f>IF(TrRoad_act!E44=0,0,E31/TrRoad_act!E44*1000
)</f>
        <v>1180.1179908531396</v>
      </c>
      <c r="F68" s="101">
        <f>IF(TrRoad_act!F44=0,0,F31/TrRoad_act!F44*1000
)</f>
        <v>809.79841943660517</v>
      </c>
      <c r="G68" s="101">
        <f>IF(TrRoad_act!G44=0,0,G31/TrRoad_act!G44*1000
)</f>
        <v>292.94492133906761</v>
      </c>
      <c r="H68" s="101">
        <f>IF(TrRoad_act!H44=0,0,H31/TrRoad_act!H44*1000
)</f>
        <v>884.86337454769989</v>
      </c>
      <c r="I68" s="101">
        <f>IF(TrRoad_act!I44=0,0,I31/TrRoad_act!I44*1000
)</f>
        <v>715.91689413550614</v>
      </c>
      <c r="J68" s="101">
        <f>IF(TrRoad_act!J44=0,0,J31/TrRoad_act!J44*1000
)</f>
        <v>651.01374307087804</v>
      </c>
      <c r="K68" s="101">
        <f>IF(TrRoad_act!K44=0,0,K31/TrRoad_act!K44*1000
)</f>
        <v>415.95014339010356</v>
      </c>
      <c r="L68" s="101">
        <f>IF(TrRoad_act!L44=0,0,L31/TrRoad_act!L44*1000
)</f>
        <v>428.55750932308291</v>
      </c>
      <c r="M68" s="101">
        <f>IF(TrRoad_act!M44=0,0,M31/TrRoad_act!M44*1000
)</f>
        <v>507.94587481856837</v>
      </c>
      <c r="N68" s="101">
        <f>IF(TrRoad_act!N44=0,0,N31/TrRoad_act!N44*1000
)</f>
        <v>556.55776262516713</v>
      </c>
      <c r="O68" s="101">
        <f>IF(TrRoad_act!O44=0,0,O31/TrRoad_act!O44*1000
)</f>
        <v>239.14609118596482</v>
      </c>
      <c r="P68" s="101">
        <f>IF(TrRoad_act!P44=0,0,P31/TrRoad_act!P44*1000
)</f>
        <v>219.4192634692553</v>
      </c>
      <c r="Q68" s="101">
        <f>IF(TrRoad_act!Q44=0,0,Q31/TrRoad_act!Q44*1000
)</f>
        <v>141.46503823916694</v>
      </c>
      <c r="R68" s="101">
        <f>IF(TrRoad_act!R44=0,0,R31/TrRoad_act!R44*1000
)</f>
        <v>143.22931216749873</v>
      </c>
      <c r="S68" s="101">
        <f>IF(TrRoad_act!S44=0,0,S31/TrRoad_act!S44*1000
)</f>
        <v>49.034049521625576</v>
      </c>
      <c r="T68" s="101">
        <f>IF(TrRoad_act!T44=0,0,T31/TrRoad_act!T44*1000
)</f>
        <v>44.68709958437838</v>
      </c>
      <c r="U68" s="101">
        <f>IF(TrRoad_act!U44=0,0,U31/TrRoad_act!U44*1000
)</f>
        <v>62.294738291459652</v>
      </c>
      <c r="V68" s="101">
        <f>IF(TrRoad_act!V44=0,0,V31/TrRoad_act!V44*1000
)</f>
        <v>56.59505277210399</v>
      </c>
      <c r="W68" s="101">
        <f>IF(TrRoad_act!W44=0,0,W31/TrRoad_act!W44*1000
)</f>
        <v>60.858771612284833</v>
      </c>
      <c r="X68" s="101">
        <f>IF(TrRoad_act!X44=0,0,X31/TrRoad_act!X44*1000
)</f>
        <v>42.611131815795893</v>
      </c>
      <c r="Y68" s="101">
        <f>IF(TrRoad_act!Y44=0,0,Y31/TrRoad_act!Y44*1000
)</f>
        <v>129.32582197547978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820.19324894596025</v>
      </c>
      <c r="C70" s="29">
        <f>IF(TrRoad_act!C46=0,0,C33/TrRoad_act!C46*1000
)</f>
        <v>769.53176067656932</v>
      </c>
      <c r="D70" s="29">
        <f>IF(TrRoad_act!D46=0,0,D33/TrRoad_act!D46*1000
)</f>
        <v>730.51717190691829</v>
      </c>
      <c r="E70" s="29">
        <f>IF(TrRoad_act!E46=0,0,E33/TrRoad_act!E46*1000
)</f>
        <v>731.99705855095158</v>
      </c>
      <c r="F70" s="29">
        <f>IF(TrRoad_act!F46=0,0,F33/TrRoad_act!F46*1000
)</f>
        <v>745.7627478891618</v>
      </c>
      <c r="G70" s="29">
        <f>IF(TrRoad_act!G46=0,0,G33/TrRoad_act!G46*1000
)</f>
        <v>724.69722771101726</v>
      </c>
      <c r="H70" s="29">
        <f>IF(TrRoad_act!H46=0,0,H33/TrRoad_act!H46*1000
)</f>
        <v>708.4185969676214</v>
      </c>
      <c r="I70" s="29">
        <f>IF(TrRoad_act!I46=0,0,I33/TrRoad_act!I46*1000
)</f>
        <v>684.57723163132403</v>
      </c>
      <c r="J70" s="29">
        <f>IF(TrRoad_act!J46=0,0,J33/TrRoad_act!J46*1000
)</f>
        <v>671.04934811249962</v>
      </c>
      <c r="K70" s="29">
        <f>IF(TrRoad_act!K46=0,0,K33/TrRoad_act!K46*1000
)</f>
        <v>637.52827349361132</v>
      </c>
      <c r="L70" s="29">
        <f>IF(TrRoad_act!L46=0,0,L33/TrRoad_act!L46*1000
)</f>
        <v>640.02103915992234</v>
      </c>
      <c r="M70" s="29">
        <f>IF(TrRoad_act!M46=0,0,M33/TrRoad_act!M46*1000
)</f>
        <v>604.94472222805973</v>
      </c>
      <c r="N70" s="29">
        <f>IF(TrRoad_act!N46=0,0,N33/TrRoad_act!N46*1000
)</f>
        <v>544.18932046098701</v>
      </c>
      <c r="O70" s="29">
        <f>IF(TrRoad_act!O46=0,0,O33/TrRoad_act!O46*1000
)</f>
        <v>527.58824297206672</v>
      </c>
      <c r="P70" s="29">
        <f>IF(TrRoad_act!P46=0,0,P33/TrRoad_act!P46*1000
)</f>
        <v>466.81852044245574</v>
      </c>
      <c r="Q70" s="29">
        <f>IF(TrRoad_act!Q46=0,0,Q33/TrRoad_act!Q46*1000
)</f>
        <v>434.44641534164839</v>
      </c>
      <c r="R70" s="29">
        <f>IF(TrRoad_act!R46=0,0,R33/TrRoad_act!R46*1000
)</f>
        <v>375.85644580039633</v>
      </c>
      <c r="S70" s="29">
        <f>IF(TrRoad_act!S46=0,0,S33/TrRoad_act!S46*1000
)</f>
        <v>348.5923221590806</v>
      </c>
      <c r="T70" s="29">
        <f>IF(TrRoad_act!T46=0,0,T33/TrRoad_act!T46*1000
)</f>
        <v>316.11672819270092</v>
      </c>
      <c r="U70" s="29">
        <f>IF(TrRoad_act!U46=0,0,U33/TrRoad_act!U46*1000
)</f>
        <v>308.43062917786364</v>
      </c>
      <c r="V70" s="29">
        <f>IF(TrRoad_act!V46=0,0,V33/TrRoad_act!V46*1000
)</f>
        <v>316.77489599071646</v>
      </c>
      <c r="W70" s="29">
        <f>IF(TrRoad_act!W46=0,0,W33/TrRoad_act!W46*1000
)</f>
        <v>317.71458110329888</v>
      </c>
      <c r="X70" s="29">
        <f>IF(TrRoad_act!X46=0,0,X33/TrRoad_act!X46*1000
)</f>
        <v>276.55251682141602</v>
      </c>
      <c r="Y70" s="29">
        <f>IF(TrRoad_act!Y46=0,0,Y33/TrRoad_act!Y46*1000
)</f>
        <v>278.83203809775313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371.76336575177351</v>
      </c>
      <c r="C71" s="152">
        <f>IF(TrRoad_act!C47=0,0,C34/TrRoad_act!C47*1000
)</f>
        <v>350.09402011490954</v>
      </c>
      <c r="D71" s="152">
        <f>IF(TrRoad_act!D47=0,0,D34/TrRoad_act!D47*1000
)</f>
        <v>339.20416468559335</v>
      </c>
      <c r="E71" s="152">
        <f>IF(TrRoad_act!E47=0,0,E34/TrRoad_act!E47*1000
)</f>
        <v>341.58081033548268</v>
      </c>
      <c r="F71" s="152">
        <f>IF(TrRoad_act!F47=0,0,F34/TrRoad_act!F47*1000
)</f>
        <v>346.57800672804012</v>
      </c>
      <c r="G71" s="152">
        <f>IF(TrRoad_act!G47=0,0,G34/TrRoad_act!G47*1000
)</f>
        <v>331.06699306769553</v>
      </c>
      <c r="H71" s="152">
        <f>IF(TrRoad_act!H47=0,0,H34/TrRoad_act!H47*1000
)</f>
        <v>328.6247482470946</v>
      </c>
      <c r="I71" s="152">
        <f>IF(TrRoad_act!I47=0,0,I34/TrRoad_act!I47*1000
)</f>
        <v>319.72273601848417</v>
      </c>
      <c r="J71" s="152">
        <f>IF(TrRoad_act!J47=0,0,J34/TrRoad_act!J47*1000
)</f>
        <v>314.6869464877625</v>
      </c>
      <c r="K71" s="152">
        <f>IF(TrRoad_act!K47=0,0,K34/TrRoad_act!K47*1000
)</f>
        <v>308.63392703872358</v>
      </c>
      <c r="L71" s="152">
        <f>IF(TrRoad_act!L47=0,0,L34/TrRoad_act!L47*1000
)</f>
        <v>310.85365975637933</v>
      </c>
      <c r="M71" s="152">
        <f>IF(TrRoad_act!M47=0,0,M34/TrRoad_act!M47*1000
)</f>
        <v>303.87425647984185</v>
      </c>
      <c r="N71" s="152">
        <f>IF(TrRoad_act!N47=0,0,N34/TrRoad_act!N47*1000
)</f>
        <v>284.6199315492297</v>
      </c>
      <c r="O71" s="152">
        <f>IF(TrRoad_act!O47=0,0,O34/TrRoad_act!O47*1000
)</f>
        <v>273.76724439178639</v>
      </c>
      <c r="P71" s="152">
        <f>IF(TrRoad_act!P47=0,0,P34/TrRoad_act!P47*1000
)</f>
        <v>245.80972890675724</v>
      </c>
      <c r="Q71" s="152">
        <f>IF(TrRoad_act!Q47=0,0,Q34/TrRoad_act!Q47*1000
)</f>
        <v>233.33497149103604</v>
      </c>
      <c r="R71" s="152">
        <f>IF(TrRoad_act!R47=0,0,R34/TrRoad_act!R47*1000
)</f>
        <v>209.11423826595626</v>
      </c>
      <c r="S71" s="152">
        <f>IF(TrRoad_act!S47=0,0,S34/TrRoad_act!S47*1000
)</f>
        <v>195.65318947780256</v>
      </c>
      <c r="T71" s="152">
        <f>IF(TrRoad_act!T47=0,0,T34/TrRoad_act!T47*1000
)</f>
        <v>181.55138573132584</v>
      </c>
      <c r="U71" s="152">
        <f>IF(TrRoad_act!U47=0,0,U34/TrRoad_act!U47*1000
)</f>
        <v>181.49395844524005</v>
      </c>
      <c r="V71" s="152">
        <f>IF(TrRoad_act!V47=0,0,V34/TrRoad_act!V47*1000
)</f>
        <v>182.46850524000445</v>
      </c>
      <c r="W71" s="152">
        <f>IF(TrRoad_act!W47=0,0,W34/TrRoad_act!W47*1000
)</f>
        <v>180.71897807806494</v>
      </c>
      <c r="X71" s="152">
        <f>IF(TrRoad_act!X47=0,0,X34/TrRoad_act!X47*1000
)</f>
        <v>158.72430866168955</v>
      </c>
      <c r="Y71" s="152">
        <f>IF(TrRoad_act!Y47=0,0,Y34/TrRoad_act!Y47*1000
)</f>
        <v>163.06140138100497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359.47869519956055</v>
      </c>
      <c r="C72" s="87">
        <f>IF(TrRoad_act!C48=0,0,C35/TrRoad_act!C48*1000
)</f>
        <v>352.44004117640009</v>
      </c>
      <c r="D72" s="87">
        <f>IF(TrRoad_act!D48=0,0,D35/TrRoad_act!D48*1000
)</f>
        <v>348.52241330204555</v>
      </c>
      <c r="E72" s="87">
        <f>IF(TrRoad_act!E48=0,0,E35/TrRoad_act!E48*1000
)</f>
        <v>343.41361415465991</v>
      </c>
      <c r="F72" s="87">
        <f>IF(TrRoad_act!F48=0,0,F35/TrRoad_act!F48*1000
)</f>
        <v>336.52301594243193</v>
      </c>
      <c r="G72" s="87">
        <f>IF(TrRoad_act!G48=0,0,G35/TrRoad_act!G48*1000
)</f>
        <v>332.08839843620024</v>
      </c>
      <c r="H72" s="87">
        <f>IF(TrRoad_act!H48=0,0,H35/TrRoad_act!H48*1000
)</f>
        <v>327.67984917286526</v>
      </c>
      <c r="I72" s="87">
        <f>IF(TrRoad_act!I48=0,0,I35/TrRoad_act!I48*1000
)</f>
        <v>322.9317928279055</v>
      </c>
      <c r="J72" s="87">
        <f>IF(TrRoad_act!J48=0,0,J35/TrRoad_act!J48*1000
)</f>
        <v>316.36802409977713</v>
      </c>
      <c r="K72" s="87">
        <f>IF(TrRoad_act!K48=0,0,K35/TrRoad_act!K48*1000
)</f>
        <v>314.85741395785038</v>
      </c>
      <c r="L72" s="87">
        <f>IF(TrRoad_act!L48=0,0,L35/TrRoad_act!L48*1000
)</f>
        <v>310.65854054197956</v>
      </c>
      <c r="M72" s="87">
        <f>IF(TrRoad_act!M48=0,0,M35/TrRoad_act!M48*1000
)</f>
        <v>305.46321404850272</v>
      </c>
      <c r="N72" s="87">
        <f>IF(TrRoad_act!N48=0,0,N35/TrRoad_act!N48*1000
)</f>
        <v>300.25196658324643</v>
      </c>
      <c r="O72" s="87">
        <f>IF(TrRoad_act!O48=0,0,O35/TrRoad_act!O48*1000
)</f>
        <v>300.77194473166543</v>
      </c>
      <c r="P72" s="87">
        <f>IF(TrRoad_act!P48=0,0,P35/TrRoad_act!P48*1000
)</f>
        <v>297.66970321818064</v>
      </c>
      <c r="Q72" s="87">
        <f>IF(TrRoad_act!Q48=0,0,Q35/TrRoad_act!Q48*1000
)</f>
        <v>296.31161050645778</v>
      </c>
      <c r="R72" s="87">
        <f>IF(TrRoad_act!R48=0,0,R35/TrRoad_act!R48*1000
)</f>
        <v>294.22980203123632</v>
      </c>
      <c r="S72" s="87">
        <f>IF(TrRoad_act!S48=0,0,S35/TrRoad_act!S48*1000
)</f>
        <v>290.88391606985886</v>
      </c>
      <c r="T72" s="87">
        <f>IF(TrRoad_act!T48=0,0,T35/TrRoad_act!T48*1000
)</f>
        <v>277.63582456896222</v>
      </c>
      <c r="U72" s="87">
        <f>IF(TrRoad_act!U48=0,0,U35/TrRoad_act!U48*1000
)</f>
        <v>270.59870164887565</v>
      </c>
      <c r="V72" s="87">
        <f>IF(TrRoad_act!V48=0,0,V35/TrRoad_act!V48*1000
)</f>
        <v>263.30109214412721</v>
      </c>
      <c r="W72" s="87">
        <f>IF(TrRoad_act!W48=0,0,W35/TrRoad_act!W48*1000
)</f>
        <v>255.7692910615711</v>
      </c>
      <c r="X72" s="87">
        <f>IF(TrRoad_act!X48=0,0,X35/TrRoad_act!X48*1000
)</f>
        <v>243.12994713951994</v>
      </c>
      <c r="Y72" s="87">
        <f>IF(TrRoad_act!Y48=0,0,Y35/TrRoad_act!Y48*1000
)</f>
        <v>230.68993730483629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379.14537045287324</v>
      </c>
      <c r="C73" s="87">
        <f>IF(TrRoad_act!C49=0,0,C36/TrRoad_act!C49*1000
)</f>
        <v>349.01892323722399</v>
      </c>
      <c r="D73" s="87">
        <f>IF(TrRoad_act!D49=0,0,D36/TrRoad_act!D49*1000
)</f>
        <v>335.74061829350507</v>
      </c>
      <c r="E73" s="87">
        <f>IF(TrRoad_act!E49=0,0,E36/TrRoad_act!E49*1000
)</f>
        <v>341.06140815570564</v>
      </c>
      <c r="F73" s="87">
        <f>IF(TrRoad_act!F49=0,0,F36/TrRoad_act!F49*1000
)</f>
        <v>348.88455712955869</v>
      </c>
      <c r="G73" s="87">
        <f>IF(TrRoad_act!G49=0,0,G36/TrRoad_act!G49*1000
)</f>
        <v>330.87673241710837</v>
      </c>
      <c r="H73" s="87">
        <f>IF(TrRoad_act!H49=0,0,H36/TrRoad_act!H49*1000
)</f>
        <v>329.00159271024432</v>
      </c>
      <c r="I73" s="87">
        <f>IF(TrRoad_act!I49=0,0,I36/TrRoad_act!I49*1000
)</f>
        <v>319.4939677831631</v>
      </c>
      <c r="J73" s="87">
        <f>IF(TrRoad_act!J49=0,0,J36/TrRoad_act!J49*1000
)</f>
        <v>315.08563569717518</v>
      </c>
      <c r="K73" s="87">
        <f>IF(TrRoad_act!K49=0,0,K36/TrRoad_act!K49*1000
)</f>
        <v>308.83463764258158</v>
      </c>
      <c r="L73" s="87">
        <f>IF(TrRoad_act!L49=0,0,L36/TrRoad_act!L49*1000
)</f>
        <v>311.82281506310335</v>
      </c>
      <c r="M73" s="87">
        <f>IF(TrRoad_act!M49=0,0,M36/TrRoad_act!M49*1000
)</f>
        <v>304.85303460215556</v>
      </c>
      <c r="N73" s="87">
        <f>IF(TrRoad_act!N49=0,0,N36/TrRoad_act!N49*1000
)</f>
        <v>284.65266436443028</v>
      </c>
      <c r="O73" s="87">
        <f>IF(TrRoad_act!O49=0,0,O36/TrRoad_act!O49*1000
)</f>
        <v>273.27299306833203</v>
      </c>
      <c r="P73" s="87">
        <f>IF(TrRoad_act!P49=0,0,P36/TrRoad_act!P49*1000
)</f>
        <v>244.03253393754983</v>
      </c>
      <c r="Q73" s="87">
        <f>IF(TrRoad_act!Q49=0,0,Q36/TrRoad_act!Q49*1000
)</f>
        <v>231.48130275704929</v>
      </c>
      <c r="R73" s="87">
        <f>IF(TrRoad_act!R49=0,0,R36/TrRoad_act!R49*1000
)</f>
        <v>206.88636192282624</v>
      </c>
      <c r="S73" s="87">
        <f>IF(TrRoad_act!S49=0,0,S36/TrRoad_act!S49*1000
)</f>
        <v>193.92758926027147</v>
      </c>
      <c r="T73" s="87">
        <f>IF(TrRoad_act!T49=0,0,T36/TrRoad_act!T49*1000
)</f>
        <v>180.58401817204964</v>
      </c>
      <c r="U73" s="87">
        <f>IF(TrRoad_act!U49=0,0,U36/TrRoad_act!U49*1000
)</f>
        <v>181.05241944590026</v>
      </c>
      <c r="V73" s="87">
        <f>IF(TrRoad_act!V49=0,0,V36/TrRoad_act!V49*1000
)</f>
        <v>182.59383869697618</v>
      </c>
      <c r="W73" s="87">
        <f>IF(TrRoad_act!W49=0,0,W36/TrRoad_act!W49*1000
)</f>
        <v>181.2569854175498</v>
      </c>
      <c r="X73" s="87">
        <f>IF(TrRoad_act!X49=0,0,X36/TrRoad_act!X49*1000
)</f>
        <v>159.05285366761922</v>
      </c>
      <c r="Y73" s="87">
        <f>IF(TrRoad_act!Y49=0,0,Y36/TrRoad_act!Y49*1000
)</f>
        <v>164.76677496148909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X74" s="87">
        <f>IF(TrRoad_act!X50=0,0,X37/TrRoad_act!X50*1000
)</f>
        <v>0</v>
      </c>
      <c r="Y74" s="87">
        <f>IF(TrRoad_act!Y50=0,0,Y37/TrRoad_act!Y50*1000
)</f>
        <v>0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202.87480695150515</v>
      </c>
      <c r="D75" s="87">
        <f>IF(TrRoad_act!D51=0,0,D38/TrRoad_act!D51*1000
)</f>
        <v>203.68710139506641</v>
      </c>
      <c r="E75" s="87">
        <f>IF(TrRoad_act!E51=0,0,E38/TrRoad_act!E51*1000
)</f>
        <v>203.02407888648051</v>
      </c>
      <c r="F75" s="87">
        <f>IF(TrRoad_act!F51=0,0,F38/TrRoad_act!F51*1000
)</f>
        <v>203.41822326634065</v>
      </c>
      <c r="G75" s="87">
        <f>IF(TrRoad_act!G51=0,0,G38/TrRoad_act!G51*1000
)</f>
        <v>201.97520553684819</v>
      </c>
      <c r="H75" s="87">
        <f>IF(TrRoad_act!H51=0,0,H38/TrRoad_act!H51*1000
)</f>
        <v>199.25134895629805</v>
      </c>
      <c r="I75" s="87">
        <f>IF(TrRoad_act!I51=0,0,I38/TrRoad_act!I51*1000
)</f>
        <v>198.05243850792624</v>
      </c>
      <c r="J75" s="87">
        <f>IF(TrRoad_act!J51=0,0,J38/TrRoad_act!J51*1000
)</f>
        <v>107.18941719967621</v>
      </c>
      <c r="K75" s="87">
        <f>IF(TrRoad_act!K51=0,0,K38/TrRoad_act!K51*1000
)</f>
        <v>91.069974450543484</v>
      </c>
      <c r="L75" s="87">
        <f>IF(TrRoad_act!L51=0,0,L38/TrRoad_act!L51*1000
)</f>
        <v>106.09949725448411</v>
      </c>
      <c r="M75" s="87">
        <f>IF(TrRoad_act!M51=0,0,M38/TrRoad_act!M51*1000
)</f>
        <v>70.496233261682562</v>
      </c>
      <c r="N75" s="87">
        <f>IF(TrRoad_act!N51=0,0,N38/TrRoad_act!N51*1000
)</f>
        <v>78.360468111024673</v>
      </c>
      <c r="O75" s="87">
        <f>IF(TrRoad_act!O51=0,0,O38/TrRoad_act!O51*1000
)</f>
        <v>76.830706128711796</v>
      </c>
      <c r="P75" s="87">
        <f>IF(TrRoad_act!P51=0,0,P38/TrRoad_act!P51*1000
)</f>
        <v>72.645406700739727</v>
      </c>
      <c r="Q75" s="87">
        <f>IF(TrRoad_act!Q51=0,0,Q38/TrRoad_act!Q51*1000
)</f>
        <v>50.969300386729408</v>
      </c>
      <c r="R75" s="87">
        <f>IF(TrRoad_act!R51=0,0,R38/TrRoad_act!R51*1000
)</f>
        <v>51.640592729927562</v>
      </c>
      <c r="S75" s="87">
        <f>IF(TrRoad_act!S51=0,0,S38/TrRoad_act!S51*1000
)</f>
        <v>20.34404635144849</v>
      </c>
      <c r="T75" s="87">
        <f>IF(TrRoad_act!T51=0,0,T38/TrRoad_act!T51*1000
)</f>
        <v>16.381304428179824</v>
      </c>
      <c r="U75" s="87">
        <f>IF(TrRoad_act!U51=0,0,U38/TrRoad_act!U51*1000
)</f>
        <v>15.221022210873757</v>
      </c>
      <c r="V75" s="87">
        <f>IF(TrRoad_act!V51=0,0,V38/TrRoad_act!V51*1000
)</f>
        <v>16.681870663618039</v>
      </c>
      <c r="W75" s="87">
        <f>IF(TrRoad_act!W51=0,0,W38/TrRoad_act!W51*1000
)</f>
        <v>19.594868254887661</v>
      </c>
      <c r="X75" s="87">
        <f>IF(TrRoad_act!X51=0,0,X38/TrRoad_act!X51*1000
)</f>
        <v>13.851384068057387</v>
      </c>
      <c r="Y75" s="87">
        <f>IF(TrRoad_act!Y51=0,0,Y38/TrRoad_act!Y51*1000
)</f>
        <v>28.798575974219574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1383.3104054007165</v>
      </c>
      <c r="C77" s="116">
        <f>IF(TrRoad_act!C53=0,0,C40/TrRoad_act!C53*1000
)</f>
        <v>1389.5106981879494</v>
      </c>
      <c r="D77" s="116">
        <f>IF(TrRoad_act!D53=0,0,D40/TrRoad_act!D53*1000
)</f>
        <v>1343.9856619416096</v>
      </c>
      <c r="E77" s="116">
        <f>IF(TrRoad_act!E53=0,0,E40/TrRoad_act!E53*1000
)</f>
        <v>1402.3125956947119</v>
      </c>
      <c r="F77" s="116">
        <f>IF(TrRoad_act!F53=0,0,F40/TrRoad_act!F53*1000
)</f>
        <v>1460.0726769415426</v>
      </c>
      <c r="G77" s="116">
        <f>IF(TrRoad_act!G53=0,0,G40/TrRoad_act!G53*1000
)</f>
        <v>1338.9015769191319</v>
      </c>
      <c r="H77" s="116">
        <f>IF(TrRoad_act!H53=0,0,H40/TrRoad_act!H53*1000
)</f>
        <v>1336.5898771979848</v>
      </c>
      <c r="I77" s="116">
        <f>IF(TrRoad_act!I53=0,0,I40/TrRoad_act!I53*1000
)</f>
        <v>1290.2807051587274</v>
      </c>
      <c r="J77" s="116">
        <f>IF(TrRoad_act!J53=0,0,J40/TrRoad_act!J53*1000
)</f>
        <v>1262.8564267419943</v>
      </c>
      <c r="K77" s="116">
        <f>IF(TrRoad_act!K53=0,0,K40/TrRoad_act!K53*1000
)</f>
        <v>1244.2595486455391</v>
      </c>
      <c r="L77" s="116">
        <f>IF(TrRoad_act!L53=0,0,L40/TrRoad_act!L53*1000
)</f>
        <v>1269.4656768443592</v>
      </c>
      <c r="M77" s="116">
        <f>IF(TrRoad_act!M53=0,0,M40/TrRoad_act!M53*1000
)</f>
        <v>1224.9898113686668</v>
      </c>
      <c r="N77" s="116">
        <f>IF(TrRoad_act!N53=0,0,N40/TrRoad_act!N53*1000
)</f>
        <v>1123.40411514537</v>
      </c>
      <c r="O77" s="116">
        <f>IF(TrRoad_act!O53=0,0,O40/TrRoad_act!O53*1000
)</f>
        <v>1083.1085352047583</v>
      </c>
      <c r="P77" s="116">
        <f>IF(TrRoad_act!P53=0,0,P40/TrRoad_act!P53*1000
)</f>
        <v>884.84755990532085</v>
      </c>
      <c r="Q77" s="116">
        <f>IF(TrRoad_act!Q53=0,0,Q40/TrRoad_act!Q53*1000
)</f>
        <v>830.24776401216423</v>
      </c>
      <c r="R77" s="116">
        <f>IF(TrRoad_act!R53=0,0,R40/TrRoad_act!R53*1000
)</f>
        <v>706.0043391190784</v>
      </c>
      <c r="S77" s="116">
        <f>IF(TrRoad_act!S53=0,0,S40/TrRoad_act!S53*1000
)</f>
        <v>672.79863000919647</v>
      </c>
      <c r="T77" s="116">
        <f>IF(TrRoad_act!T53=0,0,T40/TrRoad_act!T53*1000
)</f>
        <v>591.66215490708134</v>
      </c>
      <c r="U77" s="116">
        <f>IF(TrRoad_act!U53=0,0,U40/TrRoad_act!U53*1000
)</f>
        <v>578.75706328509818</v>
      </c>
      <c r="V77" s="116">
        <f>IF(TrRoad_act!V53=0,0,V40/TrRoad_act!V53*1000
)</f>
        <v>607.69439896846586</v>
      </c>
      <c r="W77" s="116">
        <f>IF(TrRoad_act!W53=0,0,W40/TrRoad_act!W53*1000
)</f>
        <v>602.80798830151605</v>
      </c>
      <c r="X77" s="116">
        <f>IF(TrRoad_act!X53=0,0,X40/TrRoad_act!X53*1000
)</f>
        <v>503.25528086964965</v>
      </c>
      <c r="Y77" s="116">
        <f>IF(TrRoad_act!Y53=0,0,Y40/TrRoad_act!Y53*1000
)</f>
        <v>520.44185430761263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1353.5390658461206</v>
      </c>
      <c r="C78" s="101">
        <f>IF(TrRoad_act!C54=0,0,C41/TrRoad_act!C54*1000
)</f>
        <v>1359.4512693777963</v>
      </c>
      <c r="D78" s="101">
        <f>IF(TrRoad_act!D54=0,0,D41/TrRoad_act!D54*1000
)</f>
        <v>1315.5085004155303</v>
      </c>
      <c r="E78" s="101">
        <f>IF(TrRoad_act!E54=0,0,E41/TrRoad_act!E54*1000
)</f>
        <v>1372.3288258625219</v>
      </c>
      <c r="F78" s="101">
        <f>IF(TrRoad_act!F54=0,0,F41/TrRoad_act!F54*1000
)</f>
        <v>1429.3801781310403</v>
      </c>
      <c r="G78" s="101">
        <f>IF(TrRoad_act!G54=0,0,G41/TrRoad_act!G54*1000
)</f>
        <v>1312.2226997554906</v>
      </c>
      <c r="H78" s="101">
        <f>IF(TrRoad_act!H54=0,0,H41/TrRoad_act!H54*1000
)</f>
        <v>1308.869951100804</v>
      </c>
      <c r="I78" s="101">
        <f>IF(TrRoad_act!I54=0,0,I41/TrRoad_act!I54*1000
)</f>
        <v>1263.8573547457866</v>
      </c>
      <c r="J78" s="101">
        <f>IF(TrRoad_act!J54=0,0,J41/TrRoad_act!J54*1000
)</f>
        <v>1237.7132515619614</v>
      </c>
      <c r="K78" s="101">
        <f>IF(TrRoad_act!K54=0,0,K41/TrRoad_act!K54*1000
)</f>
        <v>1223.094376716226</v>
      </c>
      <c r="L78" s="101">
        <f>IF(TrRoad_act!L54=0,0,L41/TrRoad_act!L54*1000
)</f>
        <v>1246.8548242289178</v>
      </c>
      <c r="M78" s="101">
        <f>IF(TrRoad_act!M54=0,0,M41/TrRoad_act!M54*1000
)</f>
        <v>1202.1334743858808</v>
      </c>
      <c r="N78" s="101">
        <f>IF(TrRoad_act!N54=0,0,N41/TrRoad_act!N54*1000
)</f>
        <v>1101.2392886118564</v>
      </c>
      <c r="O78" s="101">
        <f>IF(TrRoad_act!O54=0,0,O41/TrRoad_act!O54*1000
)</f>
        <v>1058.4086932541354</v>
      </c>
      <c r="P78" s="101">
        <f>IF(TrRoad_act!P54=0,0,P41/TrRoad_act!P54*1000
)</f>
        <v>867.81379098420143</v>
      </c>
      <c r="Q78" s="101">
        <f>IF(TrRoad_act!Q54=0,0,Q41/TrRoad_act!Q54*1000
)</f>
        <v>811.97994594439479</v>
      </c>
      <c r="R78" s="101">
        <f>IF(TrRoad_act!R54=0,0,R41/TrRoad_act!R54*1000
)</f>
        <v>688.12429373948396</v>
      </c>
      <c r="S78" s="101">
        <f>IF(TrRoad_act!S54=0,0,S41/TrRoad_act!S54*1000
)</f>
        <v>653.88472370550323</v>
      </c>
      <c r="T78" s="101">
        <f>IF(TrRoad_act!T54=0,0,T41/TrRoad_act!T54*1000
)</f>
        <v>573.661725380353</v>
      </c>
      <c r="U78" s="101">
        <f>IF(TrRoad_act!U54=0,0,U41/TrRoad_act!U54*1000
)</f>
        <v>559.54551584729222</v>
      </c>
      <c r="V78" s="101">
        <f>IF(TrRoad_act!V54=0,0,V41/TrRoad_act!V54*1000
)</f>
        <v>584.83461125622057</v>
      </c>
      <c r="W78" s="101">
        <f>IF(TrRoad_act!W54=0,0,W41/TrRoad_act!W54*1000
)</f>
        <v>576.83140994393523</v>
      </c>
      <c r="X78" s="101">
        <f>IF(TrRoad_act!X54=0,0,X41/TrRoad_act!X54*1000
)</f>
        <v>482.338441082678</v>
      </c>
      <c r="Y78" s="101">
        <f>IF(TrRoad_act!Y54=0,0,Y41/TrRoad_act!Y54*1000
)</f>
        <v>495.10408273994017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1511.4505898971809</v>
      </c>
      <c r="C79" s="88">
        <f>IF(TrRoad_act!C55=0,0,C42/TrRoad_act!C55*1000
)</f>
        <v>1508.1221882031718</v>
      </c>
      <c r="D79" s="88">
        <f>IF(TrRoad_act!D55=0,0,D42/TrRoad_act!D55*1000
)</f>
        <v>1452.1355713700586</v>
      </c>
      <c r="E79" s="88">
        <f>IF(TrRoad_act!E55=0,0,E42/TrRoad_act!E55*1000
)</f>
        <v>1510.4667581268329</v>
      </c>
      <c r="F79" s="88">
        <f>IF(TrRoad_act!F55=0,0,F42/TrRoad_act!F55*1000
)</f>
        <v>1555.2513454723937</v>
      </c>
      <c r="G79" s="88">
        <f>IF(TrRoad_act!G55=0,0,G42/TrRoad_act!G55*1000
)</f>
        <v>1425.152020002196</v>
      </c>
      <c r="H79" s="88">
        <f>IF(TrRoad_act!H55=0,0,H42/TrRoad_act!H55*1000
)</f>
        <v>1419.2926387810073</v>
      </c>
      <c r="I79" s="88">
        <f>IF(TrRoad_act!I55=0,0,I42/TrRoad_act!I55*1000
)</f>
        <v>1371.7909021421008</v>
      </c>
      <c r="J79" s="88">
        <f>IF(TrRoad_act!J55=0,0,J42/TrRoad_act!J55*1000
)</f>
        <v>1346.1315172873974</v>
      </c>
      <c r="K79" s="88">
        <f>IF(TrRoad_act!K55=0,0,K42/TrRoad_act!K55*1000
)</f>
        <v>1325.6398646137502</v>
      </c>
      <c r="L79" s="88">
        <f>IF(TrRoad_act!L55=0,0,L42/TrRoad_act!L55*1000
)</f>
        <v>1351.4530766035516</v>
      </c>
      <c r="M79" s="88">
        <f>IF(TrRoad_act!M55=0,0,M42/TrRoad_act!M55*1000
)</f>
        <v>1307.2302243662114</v>
      </c>
      <c r="N79" s="88">
        <f>IF(TrRoad_act!N55=0,0,N42/TrRoad_act!N55*1000
)</f>
        <v>1199.2713370330632</v>
      </c>
      <c r="O79" s="88">
        <f>IF(TrRoad_act!O55=0,0,O42/TrRoad_act!O55*1000
)</f>
        <v>1157.1595798588162</v>
      </c>
      <c r="P79" s="88">
        <f>IF(TrRoad_act!P55=0,0,P42/TrRoad_act!P55*1000
)</f>
        <v>952.64572500248369</v>
      </c>
      <c r="Q79" s="88">
        <f>IF(TrRoad_act!Q55=0,0,Q42/TrRoad_act!Q55*1000
)</f>
        <v>893.63764605209872</v>
      </c>
      <c r="R79" s="88">
        <f>IF(TrRoad_act!R55=0,0,R42/TrRoad_act!R55*1000
)</f>
        <v>764.38580911121551</v>
      </c>
      <c r="S79" s="88">
        <f>IF(TrRoad_act!S55=0,0,S42/TrRoad_act!S55*1000
)</f>
        <v>736.15844142666072</v>
      </c>
      <c r="T79" s="88">
        <f>IF(TrRoad_act!T55=0,0,T42/TrRoad_act!T55*1000
)</f>
        <v>653.50384483982782</v>
      </c>
      <c r="U79" s="88">
        <f>IF(TrRoad_act!U55=0,0,U42/TrRoad_act!U55*1000
)</f>
        <v>648.59572794682595</v>
      </c>
      <c r="V79" s="88">
        <f>IF(TrRoad_act!V55=0,0,V42/TrRoad_act!V55*1000
)</f>
        <v>688.2044471737363</v>
      </c>
      <c r="W79" s="88">
        <f>IF(TrRoad_act!W55=0,0,W42/TrRoad_act!W55*1000
)</f>
        <v>692.1298605816537</v>
      </c>
      <c r="X79" s="88">
        <f>IF(TrRoad_act!X55=0,0,X42/TrRoad_act!X55*1000
)</f>
        <v>588.80513693368187</v>
      </c>
      <c r="Y79" s="88">
        <f>IF(TrRoad_act!Y55=0,0,Y42/TrRoad_act!Y55*1000
)</f>
        <v>615.82765558949222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131.60142921863888</v>
      </c>
      <c r="C82" s="29">
        <f>IF(TrRoad_act!C4=0,0,C18/TrRoad_act!C4*1000)</f>
        <v>128.11713434657423</v>
      </c>
      <c r="D82" s="29">
        <f>IF(TrRoad_act!D4=0,0,D18/TrRoad_act!D4*1000)</f>
        <v>128.80381671625335</v>
      </c>
      <c r="E82" s="29">
        <f>IF(TrRoad_act!E4=0,0,E18/TrRoad_act!E4*1000)</f>
        <v>128.12408562562729</v>
      </c>
      <c r="F82" s="29">
        <f>IF(TrRoad_act!F4=0,0,F18/TrRoad_act!F4*1000)</f>
        <v>125.76089253254428</v>
      </c>
      <c r="G82" s="29">
        <f>IF(TrRoad_act!G4=0,0,G18/TrRoad_act!G4*1000)</f>
        <v>119.72018253467772</v>
      </c>
      <c r="H82" s="29">
        <f>IF(TrRoad_act!H4=0,0,H18/TrRoad_act!H4*1000)</f>
        <v>119.23623480011403</v>
      </c>
      <c r="I82" s="29">
        <f>IF(TrRoad_act!I4=0,0,I18/TrRoad_act!I4*1000)</f>
        <v>117.86981087712671</v>
      </c>
      <c r="J82" s="29">
        <f>IF(TrRoad_act!J4=0,0,J18/TrRoad_act!J4*1000)</f>
        <v>115.75878174131536</v>
      </c>
      <c r="K82" s="29">
        <f>IF(TrRoad_act!K4=0,0,K18/TrRoad_act!K4*1000)</f>
        <v>116.72799840915563</v>
      </c>
      <c r="L82" s="29">
        <f>IF(TrRoad_act!L4=0,0,L18/TrRoad_act!L4*1000)</f>
        <v>117.58872898695836</v>
      </c>
      <c r="M82" s="29">
        <f>IF(TrRoad_act!M4=0,0,M18/TrRoad_act!M4*1000)</f>
        <v>114.98690531638593</v>
      </c>
      <c r="N82" s="29">
        <f>IF(TrRoad_act!N4=0,0,N18/TrRoad_act!N4*1000)</f>
        <v>112.83186437958007</v>
      </c>
      <c r="O82" s="29">
        <f>IF(TrRoad_act!O4=0,0,O18/TrRoad_act!O4*1000)</f>
        <v>109.05773247339276</v>
      </c>
      <c r="P82" s="29">
        <f>IF(TrRoad_act!P4=0,0,P18/TrRoad_act!P4*1000)</f>
        <v>105.32704264349857</v>
      </c>
      <c r="Q82" s="29">
        <f>IF(TrRoad_act!Q4=0,0,Q18/TrRoad_act!Q4*1000)</f>
        <v>105.34641480055282</v>
      </c>
      <c r="R82" s="29">
        <f>IF(TrRoad_act!R4=0,0,R18/TrRoad_act!R4*1000)</f>
        <v>120.28282745287621</v>
      </c>
      <c r="S82" s="29">
        <f>IF(TrRoad_act!S4=0,0,S18/TrRoad_act!S4*1000)</f>
        <v>114.91551773891132</v>
      </c>
      <c r="T82" s="29">
        <f>IF(TrRoad_act!T4=0,0,T18/TrRoad_act!T4*1000)</f>
        <v>109.08645350255502</v>
      </c>
      <c r="U82" s="29">
        <f>IF(TrRoad_act!U4=0,0,U18/TrRoad_act!U4*1000)</f>
        <v>110.21277952261367</v>
      </c>
      <c r="V82" s="29">
        <f>IF(TrRoad_act!V4=0,0,V18/TrRoad_act!V4*1000)</f>
        <v>107.14982445321616</v>
      </c>
      <c r="W82" s="29">
        <f>IF(TrRoad_act!W4=0,0,W18/TrRoad_act!W4*1000)</f>
        <v>109.45018824003043</v>
      </c>
      <c r="X82" s="29">
        <f>IF(TrRoad_act!X4=0,0,X18/TrRoad_act!X4*1000)</f>
        <v>91.346914037387705</v>
      </c>
      <c r="Y82" s="29">
        <f>IF(TrRoad_act!Y4=0,0,Y18/TrRoad_act!Y4*1000)</f>
        <v>85.107602200149046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137.06972822654291</v>
      </c>
      <c r="C83" s="152">
        <f>IF(TrRoad_act!C5=0,0,C19/TrRoad_act!C5*1000)</f>
        <v>134.30674135812171</v>
      </c>
      <c r="D83" s="152">
        <f>IF(TrRoad_act!D5=0,0,D19/TrRoad_act!D5*1000)</f>
        <v>131.29623112496037</v>
      </c>
      <c r="E83" s="152">
        <f>IF(TrRoad_act!E5=0,0,E19/TrRoad_act!E5*1000)</f>
        <v>128.63311955210824</v>
      </c>
      <c r="F83" s="152">
        <f>IF(TrRoad_act!F5=0,0,F19/TrRoad_act!F5*1000)</f>
        <v>125.39529425520826</v>
      </c>
      <c r="G83" s="152">
        <f>IF(TrRoad_act!G5=0,0,G19/TrRoad_act!G5*1000)</f>
        <v>122.01157745006086</v>
      </c>
      <c r="H83" s="152">
        <f>IF(TrRoad_act!H5=0,0,H19/TrRoad_act!H5*1000)</f>
        <v>117.96220767741545</v>
      </c>
      <c r="I83" s="152">
        <f>IF(TrRoad_act!I5=0,0,I19/TrRoad_act!I5*1000)</f>
        <v>114.45323263680181</v>
      </c>
      <c r="J83" s="152">
        <f>IF(TrRoad_act!J5=0,0,J19/TrRoad_act!J5*1000)</f>
        <v>113.60414901997039</v>
      </c>
      <c r="K83" s="152">
        <f>IF(TrRoad_act!K5=0,0,K19/TrRoad_act!K5*1000)</f>
        <v>111.02021950839537</v>
      </c>
      <c r="L83" s="152">
        <f>IF(TrRoad_act!L5=0,0,L19/TrRoad_act!L5*1000)</f>
        <v>107.85718124807691</v>
      </c>
      <c r="M83" s="152">
        <f>IF(TrRoad_act!M5=0,0,M19/TrRoad_act!M5*1000)</f>
        <v>107.0756746431594</v>
      </c>
      <c r="N83" s="152">
        <f>IF(TrRoad_act!N5=0,0,N19/TrRoad_act!N5*1000)</f>
        <v>105.60589599476954</v>
      </c>
      <c r="O83" s="152">
        <f>IF(TrRoad_act!O5=0,0,O19/TrRoad_act!O5*1000)</f>
        <v>106.38919425436382</v>
      </c>
      <c r="P83" s="152">
        <f>IF(TrRoad_act!P5=0,0,P19/TrRoad_act!P5*1000)</f>
        <v>104.34046008273059</v>
      </c>
      <c r="Q83" s="152">
        <f>IF(TrRoad_act!Q5=0,0,Q19/TrRoad_act!Q5*1000)</f>
        <v>104.72263881882911</v>
      </c>
      <c r="R83" s="152">
        <f>IF(TrRoad_act!R5=0,0,R19/TrRoad_act!R5*1000)</f>
        <v>104.06283521340225</v>
      </c>
      <c r="S83" s="152">
        <f>IF(TrRoad_act!S5=0,0,S19/TrRoad_act!S5*1000)</f>
        <v>102.52879556235517</v>
      </c>
      <c r="T83" s="152">
        <f>IF(TrRoad_act!T5=0,0,T19/TrRoad_act!T5*1000)</f>
        <v>99.916363761096648</v>
      </c>
      <c r="U83" s="152">
        <f>IF(TrRoad_act!U5=0,0,U19/TrRoad_act!U5*1000)</f>
        <v>99.529588801648302</v>
      </c>
      <c r="V83" s="152">
        <f>IF(TrRoad_act!V5=0,0,V19/TrRoad_act!V5*1000)</f>
        <v>97.316656795323681</v>
      </c>
      <c r="W83" s="152">
        <f>IF(TrRoad_act!W5=0,0,W19/TrRoad_act!W5*1000)</f>
        <v>95.463752274035045</v>
      </c>
      <c r="X83" s="152">
        <f>IF(TrRoad_act!X5=0,0,X19/TrRoad_act!X5*1000)</f>
        <v>92.843557162127141</v>
      </c>
      <c r="Y83" s="152">
        <f>IF(TrRoad_act!Y5=0,0,Y19/TrRoad_act!Y5*1000)</f>
        <v>89.737974232842589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125.12473586027201</v>
      </c>
      <c r="C84" s="116">
        <f>IF(TrRoad_act!C6=0,0,C20/TrRoad_act!C6*1000)</f>
        <v>122.0274564474732</v>
      </c>
      <c r="D84" s="116">
        <f>IF(TrRoad_act!D6=0,0,D20/TrRoad_act!D6*1000)</f>
        <v>123.38690813416038</v>
      </c>
      <c r="E84" s="116">
        <f>IF(TrRoad_act!E6=0,0,E20/TrRoad_act!E6*1000)</f>
        <v>122.5594173508364</v>
      </c>
      <c r="F84" s="116">
        <f>IF(TrRoad_act!F6=0,0,F20/TrRoad_act!F6*1000)</f>
        <v>120.20720331888691</v>
      </c>
      <c r="G84" s="116">
        <f>IF(TrRoad_act!G6=0,0,G20/TrRoad_act!G6*1000)</f>
        <v>115.3752193037683</v>
      </c>
      <c r="H84" s="116">
        <f>IF(TrRoad_act!H6=0,0,H20/TrRoad_act!H6*1000)</f>
        <v>114.50514711766014</v>
      </c>
      <c r="I84" s="116">
        <f>IF(TrRoad_act!I6=0,0,I20/TrRoad_act!I6*1000)</f>
        <v>114.08733023369132</v>
      </c>
      <c r="J84" s="116">
        <f>IF(TrRoad_act!J6=0,0,J20/TrRoad_act!J6*1000)</f>
        <v>111.99041114821546</v>
      </c>
      <c r="K84" s="116">
        <f>IF(TrRoad_act!K6=0,0,K20/TrRoad_act!K6*1000)</f>
        <v>113.85514713475156</v>
      </c>
      <c r="L84" s="116">
        <f>IF(TrRoad_act!L6=0,0,L20/TrRoad_act!L6*1000)</f>
        <v>114.34528047242559</v>
      </c>
      <c r="M84" s="116">
        <f>IF(TrRoad_act!M6=0,0,M20/TrRoad_act!M6*1000)</f>
        <v>112.26032828441754</v>
      </c>
      <c r="N84" s="116">
        <f>IF(TrRoad_act!N6=0,0,N20/TrRoad_act!N6*1000)</f>
        <v>109.96814328234419</v>
      </c>
      <c r="O84" s="116">
        <f>IF(TrRoad_act!O6=0,0,O20/TrRoad_act!O6*1000)</f>
        <v>109.33194737683966</v>
      </c>
      <c r="P84" s="116">
        <f>IF(TrRoad_act!P6=0,0,P20/TrRoad_act!P6*1000)</f>
        <v>106.31100035883733</v>
      </c>
      <c r="Q84" s="116">
        <f>IF(TrRoad_act!Q6=0,0,Q20/TrRoad_act!Q6*1000)</f>
        <v>106.8004937651183</v>
      </c>
      <c r="R84" s="116">
        <f>IF(TrRoad_act!R6=0,0,R20/TrRoad_act!R6*1000)</f>
        <v>124.34118173744136</v>
      </c>
      <c r="S84" s="116">
        <f>IF(TrRoad_act!S6=0,0,S20/TrRoad_act!S6*1000)</f>
        <v>119.14487405916285</v>
      </c>
      <c r="T84" s="116">
        <f>IF(TrRoad_act!T6=0,0,T20/TrRoad_act!T6*1000)</f>
        <v>112.95595047958022</v>
      </c>
      <c r="U84" s="116">
        <f>IF(TrRoad_act!U6=0,0,U20/TrRoad_act!U6*1000)</f>
        <v>112.41022114631453</v>
      </c>
      <c r="V84" s="116">
        <f>IF(TrRoad_act!V6=0,0,V20/TrRoad_act!V6*1000)</f>
        <v>109.14552384580553</v>
      </c>
      <c r="W84" s="116">
        <f>IF(TrRoad_act!W6=0,0,W20/TrRoad_act!W6*1000)</f>
        <v>111.91973515036983</v>
      </c>
      <c r="X84" s="116">
        <f>IF(TrRoad_act!X6=0,0,X20/TrRoad_act!X6*1000)</f>
        <v>92.961234728137242</v>
      </c>
      <c r="Y84" s="116">
        <f>IF(TrRoad_act!Y6=0,0,Y20/TrRoad_act!Y6*1000)</f>
        <v>85.812147255961946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126.29406381354718</v>
      </c>
      <c r="C85" s="87">
        <f>IF(TrRoad_act!C7=0,0,C21/TrRoad_act!C7*1000)</f>
        <v>123.15316252189335</v>
      </c>
      <c r="D85" s="87">
        <f>IF(TrRoad_act!D7=0,0,D21/TrRoad_act!D7*1000)</f>
        <v>124.67323251918894</v>
      </c>
      <c r="E85" s="87">
        <f>IF(TrRoad_act!E7=0,0,E21/TrRoad_act!E7*1000)</f>
        <v>123.58741241709767</v>
      </c>
      <c r="F85" s="87">
        <f>IF(TrRoad_act!F7=0,0,F21/TrRoad_act!F7*1000)</f>
        <v>120.76656842371122</v>
      </c>
      <c r="G85" s="87">
        <f>IF(TrRoad_act!G7=0,0,G21/TrRoad_act!G7*1000)</f>
        <v>116.29497218546261</v>
      </c>
      <c r="H85" s="87">
        <f>IF(TrRoad_act!H7=0,0,H21/TrRoad_act!H7*1000)</f>
        <v>115.66818415527533</v>
      </c>
      <c r="I85" s="87">
        <f>IF(TrRoad_act!I7=0,0,I21/TrRoad_act!I7*1000)</f>
        <v>116.27868683700198</v>
      </c>
      <c r="J85" s="87">
        <f>IF(TrRoad_act!J7=0,0,J21/TrRoad_act!J7*1000)</f>
        <v>114.54540799724832</v>
      </c>
      <c r="K85" s="87">
        <f>IF(TrRoad_act!K7=0,0,K21/TrRoad_act!K7*1000)</f>
        <v>117.96029916773716</v>
      </c>
      <c r="L85" s="87">
        <f>IF(TrRoad_act!L7=0,0,L21/TrRoad_act!L7*1000)</f>
        <v>119.91865493413746</v>
      </c>
      <c r="M85" s="87">
        <f>IF(TrRoad_act!M7=0,0,M21/TrRoad_act!M7*1000)</f>
        <v>120.56118101125288</v>
      </c>
      <c r="N85" s="87">
        <f>IF(TrRoad_act!N7=0,0,N21/TrRoad_act!N7*1000)</f>
        <v>121.70805791402491</v>
      </c>
      <c r="O85" s="87">
        <f>IF(TrRoad_act!O7=0,0,O21/TrRoad_act!O7*1000)</f>
        <v>123.73977359718678</v>
      </c>
      <c r="P85" s="87">
        <f>IF(TrRoad_act!P7=0,0,P21/TrRoad_act!P7*1000)</f>
        <v>125.35395895213344</v>
      </c>
      <c r="Q85" s="87">
        <f>IF(TrRoad_act!Q7=0,0,Q21/TrRoad_act!Q7*1000)</f>
        <v>129.6119489526661</v>
      </c>
      <c r="R85" s="87">
        <f>IF(TrRoad_act!R7=0,0,R21/TrRoad_act!R7*1000)</f>
        <v>158.11204013743173</v>
      </c>
      <c r="S85" s="87">
        <f>IF(TrRoad_act!S7=0,0,S21/TrRoad_act!S7*1000)</f>
        <v>155.41760242358026</v>
      </c>
      <c r="T85" s="87">
        <f>IF(TrRoad_act!T7=0,0,T21/TrRoad_act!T7*1000)</f>
        <v>149.11040908994326</v>
      </c>
      <c r="U85" s="87">
        <f>IF(TrRoad_act!U7=0,0,U21/TrRoad_act!U7*1000)</f>
        <v>146.60931574552728</v>
      </c>
      <c r="V85" s="87">
        <f>IF(TrRoad_act!V7=0,0,V21/TrRoad_act!V7*1000)</f>
        <v>141.2890211937941</v>
      </c>
      <c r="W85" s="87">
        <f>IF(TrRoad_act!W7=0,0,W21/TrRoad_act!W7*1000)</f>
        <v>148.87574154937275</v>
      </c>
      <c r="X85" s="87">
        <f>IF(TrRoad_act!X7=0,0,X21/TrRoad_act!X7*1000)</f>
        <v>132.76728984139413</v>
      </c>
      <c r="Y85" s="87">
        <f>IF(TrRoad_act!Y7=0,0,Y21/TrRoad_act!Y7*1000)</f>
        <v>117.57711364879221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115.66423587196631</v>
      </c>
      <c r="C86" s="87">
        <f>IF(TrRoad_act!C8=0,0,C22/TrRoad_act!C8*1000)</f>
        <v>112.40849788988309</v>
      </c>
      <c r="D86" s="87">
        <f>IF(TrRoad_act!D8=0,0,D22/TrRoad_act!D8*1000)</f>
        <v>112.47598804230219</v>
      </c>
      <c r="E86" s="87">
        <f>IF(TrRoad_act!E8=0,0,E22/TrRoad_act!E8*1000)</f>
        <v>114.11383528487802</v>
      </c>
      <c r="F86" s="87">
        <f>IF(TrRoad_act!F8=0,0,F22/TrRoad_act!F8*1000)</f>
        <v>115.87350316200605</v>
      </c>
      <c r="G86" s="87">
        <f>IF(TrRoad_act!G8=0,0,G22/TrRoad_act!G8*1000)</f>
        <v>108.76402756589407</v>
      </c>
      <c r="H86" s="87">
        <f>IF(TrRoad_act!H8=0,0,H22/TrRoad_act!H8*1000)</f>
        <v>107.44263757413751</v>
      </c>
      <c r="I86" s="87">
        <f>IF(TrRoad_act!I8=0,0,I22/TrRoad_act!I8*1000)</f>
        <v>103.95385628256555</v>
      </c>
      <c r="J86" s="87">
        <f>IF(TrRoad_act!J8=0,0,J22/TrRoad_act!J8*1000)</f>
        <v>102.76969773673456</v>
      </c>
      <c r="K86" s="87">
        <f>IF(TrRoad_act!K8=0,0,K22/TrRoad_act!K8*1000)</f>
        <v>101.53382191570266</v>
      </c>
      <c r="L86" s="87">
        <f>IF(TrRoad_act!L8=0,0,L22/TrRoad_act!L8*1000)</f>
        <v>101.7394444287698</v>
      </c>
      <c r="M86" s="87">
        <f>IF(TrRoad_act!M8=0,0,M22/TrRoad_act!M8*1000)</f>
        <v>98.474550721934733</v>
      </c>
      <c r="N86" s="87">
        <f>IF(TrRoad_act!N8=0,0,N22/TrRoad_act!N8*1000)</f>
        <v>94.457050125112517</v>
      </c>
      <c r="O86" s="87">
        <f>IF(TrRoad_act!O8=0,0,O22/TrRoad_act!O8*1000)</f>
        <v>93.23420247797641</v>
      </c>
      <c r="P86" s="87">
        <f>IF(TrRoad_act!P8=0,0,P22/TrRoad_act!P8*1000)</f>
        <v>88.057887750171687</v>
      </c>
      <c r="Q86" s="87">
        <f>IF(TrRoad_act!Q8=0,0,Q22/TrRoad_act!Q8*1000)</f>
        <v>88.138578985253119</v>
      </c>
      <c r="R86" s="87">
        <f>IF(TrRoad_act!R8=0,0,R22/TrRoad_act!R8*1000)</f>
        <v>100.01815612434733</v>
      </c>
      <c r="S86" s="87">
        <f>IF(TrRoad_act!S8=0,0,S22/TrRoad_act!S8*1000)</f>
        <v>95.598757663161322</v>
      </c>
      <c r="T86" s="87">
        <f>IF(TrRoad_act!T8=0,0,T22/TrRoad_act!T8*1000)</f>
        <v>91.212312650043785</v>
      </c>
      <c r="U86" s="87">
        <f>IF(TrRoad_act!U8=0,0,U22/TrRoad_act!U8*1000)</f>
        <v>92.719759113944292</v>
      </c>
      <c r="V86" s="87">
        <f>IF(TrRoad_act!V8=0,0,V22/TrRoad_act!V8*1000)</f>
        <v>92.702779439106394</v>
      </c>
      <c r="W86" s="87">
        <f>IF(TrRoad_act!W8=0,0,W22/TrRoad_act!W8*1000)</f>
        <v>95.391769484012769</v>
      </c>
      <c r="X86" s="87">
        <f>IF(TrRoad_act!X8=0,0,X22/TrRoad_act!X8*1000)</f>
        <v>77.493178574522759</v>
      </c>
      <c r="Y86" s="87">
        <f>IF(TrRoad_act!Y8=0,0,Y22/TrRoad_act!Y8*1000)</f>
        <v>76.68403210691082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151.1278563696626</v>
      </c>
      <c r="H87" s="87">
        <f>IF(TrRoad_act!H9=0,0,H23/TrRoad_act!H9*1000)</f>
        <v>123.09078347107157</v>
      </c>
      <c r="I87" s="87">
        <f>IF(TrRoad_act!I9=0,0,I23/TrRoad_act!I9*1000)</f>
        <v>272.3382723002257</v>
      </c>
      <c r="J87" s="87">
        <f>IF(TrRoad_act!J9=0,0,J23/TrRoad_act!J9*1000)</f>
        <v>169.39212955587237</v>
      </c>
      <c r="K87" s="87">
        <f>IF(TrRoad_act!K9=0,0,K23/TrRoad_act!K9*1000)</f>
        <v>164.42160331812147</v>
      </c>
      <c r="L87" s="87">
        <f>IF(TrRoad_act!L9=0,0,L23/TrRoad_act!L9*1000)</f>
        <v>209.78480020676801</v>
      </c>
      <c r="M87" s="87">
        <f>IF(TrRoad_act!M9=0,0,M23/TrRoad_act!M9*1000)</f>
        <v>145.84448743156895</v>
      </c>
      <c r="N87" s="87">
        <f>IF(TrRoad_act!N9=0,0,N23/TrRoad_act!N9*1000)</f>
        <v>95.909105027683225</v>
      </c>
      <c r="O87" s="87">
        <f>IF(TrRoad_act!O9=0,0,O23/TrRoad_act!O9*1000)</f>
        <v>51.846686949803754</v>
      </c>
      <c r="P87" s="87">
        <f>IF(TrRoad_act!P9=0,0,P23/TrRoad_act!P9*1000)</f>
        <v>62.37686202922022</v>
      </c>
      <c r="Q87" s="87">
        <f>IF(TrRoad_act!Q9=0,0,Q23/TrRoad_act!Q9*1000)</f>
        <v>361.0240984300857</v>
      </c>
      <c r="R87" s="87">
        <f>IF(TrRoad_act!R9=0,0,R23/TrRoad_act!R9*1000)</f>
        <v>166.88859486367267</v>
      </c>
      <c r="S87" s="87">
        <f>IF(TrRoad_act!S9=0,0,S23/TrRoad_act!S9*1000)</f>
        <v>0</v>
      </c>
      <c r="T87" s="87">
        <f>IF(TrRoad_act!T9=0,0,T23/TrRoad_act!T9*1000)</f>
        <v>0</v>
      </c>
      <c r="U87" s="87">
        <f>IF(TrRoad_act!U9=0,0,U23/TrRoad_act!U9*1000)</f>
        <v>0</v>
      </c>
      <c r="V87" s="87">
        <f>IF(TrRoad_act!V9=0,0,V23/TrRoad_act!V9*1000)</f>
        <v>0</v>
      </c>
      <c r="W87" s="87">
        <f>IF(TrRoad_act!W9=0,0,W23/TrRoad_act!W9*1000)</f>
        <v>0</v>
      </c>
      <c r="X87" s="87">
        <f>IF(TrRoad_act!X9=0,0,X23/TrRoad_act!X9*1000)</f>
        <v>0</v>
      </c>
      <c r="Y87" s="87">
        <f>IF(TrRoad_act!Y9=0,0,Y23/TrRoad_act!Y9*1000)</f>
        <v>0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100.25768884089059</v>
      </c>
      <c r="E88" s="87">
        <f>IF(TrRoad_act!E10=0,0,E24/TrRoad_act!E10*1000)</f>
        <v>100.80741942105162</v>
      </c>
      <c r="F88" s="87">
        <f>IF(TrRoad_act!F10=0,0,F24/TrRoad_act!F10*1000)</f>
        <v>100.87292790159931</v>
      </c>
      <c r="G88" s="87">
        <f>IF(TrRoad_act!G10=0,0,G24/TrRoad_act!G10*1000)</f>
        <v>98.113416478074143</v>
      </c>
      <c r="H88" s="87">
        <f>IF(TrRoad_act!H10=0,0,H24/TrRoad_act!H10*1000)</f>
        <v>98.755974376608819</v>
      </c>
      <c r="I88" s="87">
        <f>IF(TrRoad_act!I10=0,0,I24/TrRoad_act!I10*1000)</f>
        <v>100.16200447337978</v>
      </c>
      <c r="J88" s="87">
        <f>IF(TrRoad_act!J10=0,0,J24/TrRoad_act!J10*1000)</f>
        <v>55.805064567460413</v>
      </c>
      <c r="K88" s="87">
        <f>IF(TrRoad_act!K10=0,0,K24/TrRoad_act!K10*1000)</f>
        <v>49.87584284378854</v>
      </c>
      <c r="L88" s="87">
        <f>IF(TrRoad_act!L10=0,0,L24/TrRoad_act!L10*1000)</f>
        <v>56.997499343861968</v>
      </c>
      <c r="M88" s="87">
        <f>IF(TrRoad_act!M10=0,0,M24/TrRoad_act!M10*1000)</f>
        <v>38.249565603044125</v>
      </c>
      <c r="N88" s="87">
        <f>IF(TrRoad_act!N10=0,0,N24/TrRoad_act!N10*1000)</f>
        <v>43.150534866356288</v>
      </c>
      <c r="O88" s="87">
        <f>IF(TrRoad_act!O10=0,0,O24/TrRoad_act!O10*1000)</f>
        <v>41.566894640367693</v>
      </c>
      <c r="P88" s="87">
        <f>IF(TrRoad_act!P10=0,0,P24/TrRoad_act!P10*1000)</f>
        <v>37.962947003272397</v>
      </c>
      <c r="Q88" s="87">
        <f>IF(TrRoad_act!Q10=0,0,Q24/TrRoad_act!Q10*1000)</f>
        <v>26.698097025459404</v>
      </c>
      <c r="R88" s="87">
        <f>IF(TrRoad_act!R10=0,0,R24/TrRoad_act!R10*1000)</f>
        <v>32.873299820326437</v>
      </c>
      <c r="S88" s="87">
        <f>IF(TrRoad_act!S10=0,0,S24/TrRoad_act!S10*1000)</f>
        <v>12.884834766018868</v>
      </c>
      <c r="T88" s="87">
        <f>IF(TrRoad_act!T10=0,0,T24/TrRoad_act!T10*1000)</f>
        <v>10.447056170610979</v>
      </c>
      <c r="U88" s="87">
        <f>IF(TrRoad_act!U10=0,0,U24/TrRoad_act!U10*1000)</f>
        <v>9.4588540300384505</v>
      </c>
      <c r="V88" s="87">
        <f>IF(TrRoad_act!V10=0,0,V24/TrRoad_act!V10*1000)</f>
        <v>10.126801993977134</v>
      </c>
      <c r="W88" s="87">
        <f>IF(TrRoad_act!W10=0,0,W24/TrRoad_act!W10*1000)</f>
        <v>12.114777182368979</v>
      </c>
      <c r="X88" s="87">
        <f>IF(TrRoad_act!X10=0,0,X24/TrRoad_act!X10*1000)</f>
        <v>7.635736941702465</v>
      </c>
      <c r="Y88" s="87">
        <f>IF(TrRoad_act!Y10=0,0,Y24/TrRoad_act!Y10*1000)</f>
        <v>14.417693877306867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41.901824935890247</v>
      </c>
      <c r="K89" s="87">
        <f>IF(TrRoad_act!K11=0,0,K25/TrRoad_act!K11*1000)</f>
        <v>42.584189835882029</v>
      </c>
      <c r="L89" s="87">
        <f>IF(TrRoad_act!L11=0,0,L25/TrRoad_act!L11*1000)</f>
        <v>42.771396530767078</v>
      </c>
      <c r="M89" s="87">
        <f>IF(TrRoad_act!M11=0,0,M25/TrRoad_act!M11*1000)</f>
        <v>38.293067577770266</v>
      </c>
      <c r="N89" s="87">
        <f>IF(TrRoad_act!N11=0,0,N25/TrRoad_act!N11*1000)</f>
        <v>35.206366334877742</v>
      </c>
      <c r="O89" s="87">
        <f>IF(TrRoad_act!O11=0,0,O25/TrRoad_act!O11*1000)</f>
        <v>36.002994412373859</v>
      </c>
      <c r="P89" s="87">
        <f>IF(TrRoad_act!P11=0,0,P25/TrRoad_act!P11*1000)</f>
        <v>35.454383127870408</v>
      </c>
      <c r="Q89" s="87">
        <f>IF(TrRoad_act!Q11=0,0,Q25/TrRoad_act!Q11*1000)</f>
        <v>36.261266743769283</v>
      </c>
      <c r="R89" s="87">
        <f>IF(TrRoad_act!R11=0,0,R25/TrRoad_act!R11*1000)</f>
        <v>45.001883755181893</v>
      </c>
      <c r="S89" s="87">
        <f>IF(TrRoad_act!S11=0,0,S25/TrRoad_act!S11*1000)</f>
        <v>45.384803220225784</v>
      </c>
      <c r="T89" s="87">
        <f>IF(TrRoad_act!T11=0,0,T25/TrRoad_act!T11*1000)</f>
        <v>45.081542405052033</v>
      </c>
      <c r="U89" s="87">
        <f>IF(TrRoad_act!U11=0,0,U25/TrRoad_act!U11*1000)</f>
        <v>42.247271994155703</v>
      </c>
      <c r="V89" s="87">
        <f>IF(TrRoad_act!V11=0,0,V25/TrRoad_act!V11*1000)</f>
        <v>37.999463290831144</v>
      </c>
      <c r="W89" s="87">
        <f>IF(TrRoad_act!W11=0,0,W25/TrRoad_act!W11*1000)</f>
        <v>37.981219043442998</v>
      </c>
      <c r="X89" s="87">
        <f>IF(TrRoad_act!X11=0,0,X25/TrRoad_act!X11*1000)</f>
        <v>31.964129559115886</v>
      </c>
      <c r="Y89" s="87">
        <f>IF(TrRoad_act!Y11=0,0,Y25/TrRoad_act!Y11*1000)</f>
        <v>25.451643087414176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204.10582743540112</v>
      </c>
      <c r="C91" s="116">
        <f>IF(TrRoad_act!C13=0,0,C27/TrRoad_act!C13*1000)</f>
        <v>197.01176535426291</v>
      </c>
      <c r="D91" s="116">
        <f>IF(TrRoad_act!D13=0,0,D27/TrRoad_act!D13*1000)</f>
        <v>190.71352307585377</v>
      </c>
      <c r="E91" s="116">
        <f>IF(TrRoad_act!E13=0,0,E27/TrRoad_act!E13*1000)</f>
        <v>192.12813483937313</v>
      </c>
      <c r="F91" s="116">
        <f>IF(TrRoad_act!F13=0,0,F27/TrRoad_act!F13*1000)</f>
        <v>190.81095766992706</v>
      </c>
      <c r="G91" s="116">
        <f>IF(TrRoad_act!G13=0,0,G27/TrRoad_act!G13*1000)</f>
        <v>170.24655327652846</v>
      </c>
      <c r="H91" s="116">
        <f>IF(TrRoad_act!H13=0,0,H27/TrRoad_act!H13*1000)</f>
        <v>174.16650947236766</v>
      </c>
      <c r="I91" s="116">
        <f>IF(TrRoad_act!I13=0,0,I27/TrRoad_act!I13*1000)</f>
        <v>162.4605526534005</v>
      </c>
      <c r="J91" s="116">
        <f>IF(TrRoad_act!J13=0,0,J27/TrRoad_act!J13*1000)</f>
        <v>160.95558442289979</v>
      </c>
      <c r="K91" s="116">
        <f>IF(TrRoad_act!K13=0,0,K27/TrRoad_act!K13*1000)</f>
        <v>151.11861974056458</v>
      </c>
      <c r="L91" s="116">
        <f>IF(TrRoad_act!L13=0,0,L27/TrRoad_act!L13*1000)</f>
        <v>155.80824689704679</v>
      </c>
      <c r="M91" s="116">
        <f>IF(TrRoad_act!M13=0,0,M27/TrRoad_act!M13*1000)</f>
        <v>146.44549499610051</v>
      </c>
      <c r="N91" s="116">
        <f>IF(TrRoad_act!N13=0,0,N27/TrRoad_act!N13*1000)</f>
        <v>145.91744992997852</v>
      </c>
      <c r="O91" s="116">
        <f>IF(TrRoad_act!O13=0,0,O27/TrRoad_act!O13*1000)</f>
        <v>106.21099820607662</v>
      </c>
      <c r="P91" s="116">
        <f>IF(TrRoad_act!P13=0,0,P27/TrRoad_act!P13*1000)</f>
        <v>94.213052172931185</v>
      </c>
      <c r="Q91" s="116">
        <f>IF(TrRoad_act!Q13=0,0,Q27/TrRoad_act!Q13*1000)</f>
        <v>88.850491479447342</v>
      </c>
      <c r="R91" s="116">
        <f>IF(TrRoad_act!R13=0,0,R27/TrRoad_act!R13*1000)</f>
        <v>83.004674220128464</v>
      </c>
      <c r="S91" s="116">
        <f>IF(TrRoad_act!S13=0,0,S27/TrRoad_act!S13*1000)</f>
        <v>75.420856587110507</v>
      </c>
      <c r="T91" s="116">
        <f>IF(TrRoad_act!T13=0,0,T27/TrRoad_act!T13*1000)</f>
        <v>72.423293367385099</v>
      </c>
      <c r="U91" s="116">
        <f>IF(TrRoad_act!U13=0,0,U27/TrRoad_act!U13*1000)</f>
        <v>90.161107060961001</v>
      </c>
      <c r="V91" s="116">
        <f>IF(TrRoad_act!V13=0,0,V27/TrRoad_act!V13*1000)</f>
        <v>87.91466040218971</v>
      </c>
      <c r="W91" s="116">
        <f>IF(TrRoad_act!W13=0,0,W27/TrRoad_act!W13*1000)</f>
        <v>85.712386169405789</v>
      </c>
      <c r="X91" s="116">
        <f>IF(TrRoad_act!X13=0,0,X27/TrRoad_act!X13*1000)</f>
        <v>74.886749263099446</v>
      </c>
      <c r="Y91" s="116">
        <f>IF(TrRoad_act!Y13=0,0,Y27/TrRoad_act!Y13*1000)</f>
        <v>77.191797355229866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97.399649477745612</v>
      </c>
      <c r="C92" s="101">
        <f>IF(TrRoad_act!C14=0,0,C28/TrRoad_act!C14*1000)</f>
        <v>96.629558430990414</v>
      </c>
      <c r="D92" s="101">
        <f>IF(TrRoad_act!D14=0,0,D28/TrRoad_act!D14*1000)</f>
        <v>96.072510399625997</v>
      </c>
      <c r="E92" s="101">
        <f>IF(TrRoad_act!E14=0,0,E28/TrRoad_act!E14*1000)</f>
        <v>94.952118835387111</v>
      </c>
      <c r="F92" s="101">
        <f>IF(TrRoad_act!F14=0,0,F28/TrRoad_act!F14*1000)</f>
        <v>93.289936640069953</v>
      </c>
      <c r="G92" s="101">
        <f>IF(TrRoad_act!G14=0,0,G28/TrRoad_act!G14*1000)</f>
        <v>92.329380385786891</v>
      </c>
      <c r="H92" s="101">
        <f>IF(TrRoad_act!H14=0,0,H28/TrRoad_act!H14*1000)</f>
        <v>90.763388354953548</v>
      </c>
      <c r="I92" s="101">
        <f>IF(TrRoad_act!I14=0,0,I28/TrRoad_act!I14*1000)</f>
        <v>89.56509278581288</v>
      </c>
      <c r="J92" s="101">
        <f>IF(TrRoad_act!J14=0,0,J28/TrRoad_act!J14*1000)</f>
        <v>87.565729025885517</v>
      </c>
      <c r="K92" s="101">
        <f>IF(TrRoad_act!K14=0,0,K28/TrRoad_act!K14*1000)</f>
        <v>85.710878788996908</v>
      </c>
      <c r="L92" s="101">
        <f>IF(TrRoad_act!L14=0,0,L28/TrRoad_act!L14*1000)</f>
        <v>79.236693270630568</v>
      </c>
      <c r="M92" s="101">
        <f>IF(TrRoad_act!M14=0,0,M28/TrRoad_act!M14*1000)</f>
        <v>72.613146028813901</v>
      </c>
      <c r="N92" s="101">
        <f>IF(TrRoad_act!N14=0,0,N28/TrRoad_act!N14*1000)</f>
        <v>71.252945508888118</v>
      </c>
      <c r="O92" s="101">
        <f>IF(TrRoad_act!O14=0,0,O28/TrRoad_act!O14*1000)</f>
        <v>69.981772208810796</v>
      </c>
      <c r="P92" s="101">
        <f>IF(TrRoad_act!P14=0,0,P28/TrRoad_act!P14*1000)</f>
        <v>68.904433399088859</v>
      </c>
      <c r="Q92" s="101">
        <f>IF(TrRoad_act!Q14=0,0,Q28/TrRoad_act!Q14*1000)</f>
        <v>69.264791393655642</v>
      </c>
      <c r="R92" s="101">
        <f>IF(TrRoad_act!R14=0,0,R28/TrRoad_act!R14*1000)</f>
        <v>67.876114625864375</v>
      </c>
      <c r="S92" s="101">
        <f>IF(TrRoad_act!S14=0,0,S28/TrRoad_act!S14*1000)</f>
        <v>67.225785955783309</v>
      </c>
      <c r="T92" s="101">
        <f>IF(TrRoad_act!T14=0,0,T28/TrRoad_act!T14*1000)</f>
        <v>65.648803771164935</v>
      </c>
      <c r="U92" s="101">
        <f>IF(TrRoad_act!U14=0,0,U28/TrRoad_act!U14*1000)</f>
        <v>65.343219424435432</v>
      </c>
      <c r="V92" s="101">
        <f>IF(TrRoad_act!V14=0,0,V28/TrRoad_act!V14*1000)</f>
        <v>64.729067556814414</v>
      </c>
      <c r="W92" s="101">
        <f>IF(TrRoad_act!W14=0,0,W28/TrRoad_act!W14*1000)</f>
        <v>64.134300915549531</v>
      </c>
      <c r="X92" s="101">
        <f>IF(TrRoad_act!X14=0,0,X28/TrRoad_act!X14*1000)</f>
        <v>62.240168907658479</v>
      </c>
      <c r="Y92" s="101">
        <f>IF(TrRoad_act!Y14=0,0,Y28/TrRoad_act!Y14*1000)</f>
        <v>60.706335873140837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209.17324412072372</v>
      </c>
      <c r="C93" s="101">
        <f>IF(TrRoad_act!C15=0,0,C29/TrRoad_act!C15*1000)</f>
        <v>202.13228407303058</v>
      </c>
      <c r="D93" s="101">
        <f>IF(TrRoad_act!D15=0,0,D29/TrRoad_act!D15*1000)</f>
        <v>195.45848252159766</v>
      </c>
      <c r="E93" s="101">
        <f>IF(TrRoad_act!E15=0,0,E29/TrRoad_act!E15*1000)</f>
        <v>195.97723904942933</v>
      </c>
      <c r="F93" s="101">
        <f>IF(TrRoad_act!F15=0,0,F29/TrRoad_act!F15*1000)</f>
        <v>196.04329398511078</v>
      </c>
      <c r="G93" s="101">
        <f>IF(TrRoad_act!G15=0,0,G29/TrRoad_act!G15*1000)</f>
        <v>183.27828091818515</v>
      </c>
      <c r="H93" s="101">
        <f>IF(TrRoad_act!H15=0,0,H29/TrRoad_act!H15*1000)</f>
        <v>179.35393238024707</v>
      </c>
      <c r="I93" s="101">
        <f>IF(TrRoad_act!I15=0,0,I29/TrRoad_act!I15*1000)</f>
        <v>168.9040500527143</v>
      </c>
      <c r="J93" s="101">
        <f>IF(TrRoad_act!J15=0,0,J29/TrRoad_act!J15*1000)</f>
        <v>170.05114486629947</v>
      </c>
      <c r="K93" s="101">
        <f>IF(TrRoad_act!K15=0,0,K29/TrRoad_act!K15*1000)</f>
        <v>164.45363345390771</v>
      </c>
      <c r="L93" s="101">
        <f>IF(TrRoad_act!L15=0,0,L29/TrRoad_act!L15*1000)</f>
        <v>171.81864718085782</v>
      </c>
      <c r="M93" s="101">
        <f>IF(TrRoad_act!M15=0,0,M29/TrRoad_act!M15*1000)</f>
        <v>165.33584307818464</v>
      </c>
      <c r="N93" s="101">
        <f>IF(TrRoad_act!N15=0,0,N29/TrRoad_act!N15*1000)</f>
        <v>164.35167431158612</v>
      </c>
      <c r="O93" s="101">
        <f>IF(TrRoad_act!O15=0,0,O29/TrRoad_act!O15*1000)</f>
        <v>157.51054721718327</v>
      </c>
      <c r="P93" s="101">
        <f>IF(TrRoad_act!P15=0,0,P29/TrRoad_act!P15*1000)</f>
        <v>141.36338668982282</v>
      </c>
      <c r="Q93" s="101">
        <f>IF(TrRoad_act!Q15=0,0,Q29/TrRoad_act!Q15*1000)</f>
        <v>136.12862366906793</v>
      </c>
      <c r="R93" s="101">
        <f>IF(TrRoad_act!R15=0,0,R29/TrRoad_act!R15*1000)</f>
        <v>124.46730456997824</v>
      </c>
      <c r="S93" s="101">
        <f>IF(TrRoad_act!S15=0,0,S29/TrRoad_act!S15*1000)</f>
        <v>118.63367207778771</v>
      </c>
      <c r="T93" s="101">
        <f>IF(TrRoad_act!T15=0,0,T29/TrRoad_act!T15*1000)</f>
        <v>111.90500402036422</v>
      </c>
      <c r="U93" s="101">
        <f>IF(TrRoad_act!U15=0,0,U29/TrRoad_act!U15*1000)</f>
        <v>110.04034927870225</v>
      </c>
      <c r="V93" s="101">
        <f>IF(TrRoad_act!V15=0,0,V29/TrRoad_act!V15*1000)</f>
        <v>112.51294226982577</v>
      </c>
      <c r="W93" s="101">
        <f>IF(TrRoad_act!W15=0,0,W29/TrRoad_act!W15*1000)</f>
        <v>109.49293384034493</v>
      </c>
      <c r="X93" s="101">
        <f>IF(TrRoad_act!X15=0,0,X29/TrRoad_act!X15*1000)</f>
        <v>94.871002192105166</v>
      </c>
      <c r="Y93" s="101">
        <f>IF(TrRoad_act!Y15=0,0,Y29/TrRoad_act!Y15*1000)</f>
        <v>96.455011238759667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0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104.61113408129249</v>
      </c>
      <c r="C95" s="101">
        <f>IF(TrRoad_act!C17=0,0,C31/TrRoad_act!C17*1000)</f>
        <v>91.934256710099987</v>
      </c>
      <c r="D95" s="101">
        <f>IF(TrRoad_act!D17=0,0,D31/TrRoad_act!D17*1000)</f>
        <v>88.292750631893085</v>
      </c>
      <c r="E95" s="101">
        <f>IF(TrRoad_act!E17=0,0,E31/TrRoad_act!E17*1000)</f>
        <v>114.76987545942067</v>
      </c>
      <c r="F95" s="101">
        <f>IF(TrRoad_act!F17=0,0,F31/TrRoad_act!F17*1000)</f>
        <v>77.073723295351655</v>
      </c>
      <c r="G95" s="101">
        <f>IF(TrRoad_act!G17=0,0,G31/TrRoad_act!G17*1000)</f>
        <v>27.624675248541813</v>
      </c>
      <c r="H95" s="101">
        <f>IF(TrRoad_act!H17=0,0,H31/TrRoad_act!H17*1000)</f>
        <v>82.413727927640878</v>
      </c>
      <c r="I95" s="101">
        <f>IF(TrRoad_act!I17=0,0,I31/TrRoad_act!I17*1000)</f>
        <v>65.056460973447372</v>
      </c>
      <c r="J95" s="101">
        <f>IF(TrRoad_act!J17=0,0,J31/TrRoad_act!J17*1000)</f>
        <v>60.364292011182847</v>
      </c>
      <c r="K95" s="101">
        <f>IF(TrRoad_act!K17=0,0,K31/TrRoad_act!K17*1000)</f>
        <v>38.278191657716661</v>
      </c>
      <c r="L95" s="101">
        <f>IF(TrRoad_act!L17=0,0,L31/TrRoad_act!L17*1000)</f>
        <v>41.056768332387726</v>
      </c>
      <c r="M95" s="101">
        <f>IF(TrRoad_act!M17=0,0,M31/TrRoad_act!M17*1000)</f>
        <v>48.48578060750441</v>
      </c>
      <c r="N95" s="101">
        <f>IF(TrRoad_act!N17=0,0,N31/TrRoad_act!N17*1000)</f>
        <v>55.957783168152936</v>
      </c>
      <c r="O95" s="101">
        <f>IF(TrRoad_act!O17=0,0,O31/TrRoad_act!O17*1000)</f>
        <v>23.688939833364852</v>
      </c>
      <c r="P95" s="101">
        <f>IF(TrRoad_act!P17=0,0,P31/TrRoad_act!P17*1000)</f>
        <v>21.646245127851607</v>
      </c>
      <c r="Q95" s="101">
        <f>IF(TrRoad_act!Q17=0,0,Q31/TrRoad_act!Q17*1000)</f>
        <v>13.998014962805225</v>
      </c>
      <c r="R95" s="101">
        <f>IF(TrRoad_act!R17=0,0,R31/TrRoad_act!R17*1000)</f>
        <v>14.242421478507071</v>
      </c>
      <c r="S95" s="101">
        <f>IF(TrRoad_act!S17=0,0,S31/TrRoad_act!S17*1000)</f>
        <v>4.88316937621933</v>
      </c>
      <c r="T95" s="101">
        <f>IF(TrRoad_act!T17=0,0,T31/TrRoad_act!T17*1000)</f>
        <v>4.4667157929840586</v>
      </c>
      <c r="U95" s="101">
        <f>IF(TrRoad_act!U17=0,0,U31/TrRoad_act!U17*1000)</f>
        <v>6.1393092757317609</v>
      </c>
      <c r="V95" s="101">
        <f>IF(TrRoad_act!V17=0,0,V31/TrRoad_act!V17*1000)</f>
        <v>5.7147756873960844</v>
      </c>
      <c r="W95" s="101">
        <f>IF(TrRoad_act!W17=0,0,W31/TrRoad_act!W17*1000)</f>
        <v>6.0733339482374014</v>
      </c>
      <c r="X95" s="101">
        <f>IF(TrRoad_act!X17=0,0,X31/TrRoad_act!X17*1000)</f>
        <v>4.2244576308994271</v>
      </c>
      <c r="Y95" s="101">
        <f>IF(TrRoad_act!Y17=0,0,Y31/TrRoad_act!Y17*1000)</f>
        <v>12.77544973307468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130.25447831108929</v>
      </c>
      <c r="C97" s="29">
        <f>IF(TrRoad_act!C19=0,0,C33/TrRoad_act!C19*1000)</f>
        <v>136.99384284441805</v>
      </c>
      <c r="D97" s="29">
        <f>IF(TrRoad_act!D19=0,0,D33/TrRoad_act!D19*1000)</f>
        <v>129.43958212669546</v>
      </c>
      <c r="E97" s="29">
        <f>IF(TrRoad_act!E19=0,0,E33/TrRoad_act!E19*1000)</f>
        <v>135.17278525452343</v>
      </c>
      <c r="F97" s="29">
        <f>IF(TrRoad_act!F19=0,0,F33/TrRoad_act!F19*1000)</f>
        <v>139.5549090539736</v>
      </c>
      <c r="G97" s="29">
        <f>IF(TrRoad_act!G19=0,0,G33/TrRoad_act!G19*1000)</f>
        <v>126.29425821046073</v>
      </c>
      <c r="H97" s="29">
        <f>IF(TrRoad_act!H19=0,0,H33/TrRoad_act!H19*1000)</f>
        <v>125.2219828015057</v>
      </c>
      <c r="I97" s="29">
        <f>IF(TrRoad_act!I19=0,0,I33/TrRoad_act!I19*1000)</f>
        <v>123.47618505634001</v>
      </c>
      <c r="J97" s="29">
        <f>IF(TrRoad_act!J19=0,0,J33/TrRoad_act!J19*1000)</f>
        <v>120.51681025529101</v>
      </c>
      <c r="K97" s="29">
        <f>IF(TrRoad_act!K19=0,0,K33/TrRoad_act!K19*1000)</f>
        <v>131.54415084604227</v>
      </c>
      <c r="L97" s="29">
        <f>IF(TrRoad_act!L19=0,0,L33/TrRoad_act!L19*1000)</f>
        <v>134.59998037226504</v>
      </c>
      <c r="M97" s="29">
        <f>IF(TrRoad_act!M19=0,0,M33/TrRoad_act!M19*1000)</f>
        <v>128.73386210153686</v>
      </c>
      <c r="N97" s="29">
        <f>IF(TrRoad_act!N19=0,0,N33/TrRoad_act!N19*1000)</f>
        <v>123.72144225414313</v>
      </c>
      <c r="O97" s="29">
        <f>IF(TrRoad_act!O19=0,0,O33/TrRoad_act!O19*1000)</f>
        <v>116.96879317532529</v>
      </c>
      <c r="P97" s="29">
        <f>IF(TrRoad_act!P19=0,0,P33/TrRoad_act!P19*1000)</f>
        <v>94.311925420841646</v>
      </c>
      <c r="Q97" s="29">
        <f>IF(TrRoad_act!Q19=0,0,Q33/TrRoad_act!Q19*1000)</f>
        <v>90.939581973966298</v>
      </c>
      <c r="R97" s="29">
        <f>IF(TrRoad_act!R19=0,0,R33/TrRoad_act!R19*1000)</f>
        <v>77.493215170251958</v>
      </c>
      <c r="S97" s="29">
        <f>IF(TrRoad_act!S19=0,0,S33/TrRoad_act!S19*1000)</f>
        <v>76.653372857736784</v>
      </c>
      <c r="T97" s="29">
        <f>IF(TrRoad_act!T19=0,0,T33/TrRoad_act!T19*1000)</f>
        <v>67.180809019054578</v>
      </c>
      <c r="U97" s="29">
        <f>IF(TrRoad_act!U19=0,0,U33/TrRoad_act!U19*1000)</f>
        <v>67.786027567943009</v>
      </c>
      <c r="V97" s="29">
        <f>IF(TrRoad_act!V19=0,0,V33/TrRoad_act!V19*1000)</f>
        <v>69.887989814102184</v>
      </c>
      <c r="W97" s="29">
        <f>IF(TrRoad_act!W19=0,0,W33/TrRoad_act!W19*1000)</f>
        <v>66.733726531500395</v>
      </c>
      <c r="X97" s="29">
        <f>IF(TrRoad_act!X19=0,0,X33/TrRoad_act!X19*1000)</f>
        <v>57.553430719314484</v>
      </c>
      <c r="Y97" s="29">
        <f>IF(TrRoad_act!Y19=0,0,Y33/TrRoad_act!Y19*1000)</f>
        <v>63.072204799935733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1708.6644631995655</v>
      </c>
      <c r="C98" s="152">
        <f>IF(TrRoad_act!C20=0,0,C34/TrRoad_act!C20*1000)</f>
        <v>1598.120474926108</v>
      </c>
      <c r="D98" s="152">
        <f>IF(TrRoad_act!D20=0,0,D34/TrRoad_act!D20*1000)</f>
        <v>1531.3926338866172</v>
      </c>
      <c r="E98" s="152">
        <f>IF(TrRoad_act!E20=0,0,E34/TrRoad_act!E20*1000)</f>
        <v>1524.8898390730999</v>
      </c>
      <c r="F98" s="152">
        <f>IF(TrRoad_act!F20=0,0,F34/TrRoad_act!F20*1000)</f>
        <v>1534.3120086163692</v>
      </c>
      <c r="G98" s="152">
        <f>IF(TrRoad_act!G20=0,0,G34/TrRoad_act!G20*1000)</f>
        <v>1417.2949940331168</v>
      </c>
      <c r="H98" s="152">
        <f>IF(TrRoad_act!H20=0,0,H34/TrRoad_act!H20*1000)</f>
        <v>1398.1269542194295</v>
      </c>
      <c r="I98" s="152">
        <f>IF(TrRoad_act!I20=0,0,I34/TrRoad_act!I20*1000)</f>
        <v>1345.2467242488442</v>
      </c>
      <c r="J98" s="152">
        <f>IF(TrRoad_act!J20=0,0,J34/TrRoad_act!J20*1000)</f>
        <v>1314.3396358015989</v>
      </c>
      <c r="K98" s="152">
        <f>IF(TrRoad_act!K20=0,0,K34/TrRoad_act!K20*1000)</f>
        <v>1280.2796697665572</v>
      </c>
      <c r="L98" s="152">
        <f>IF(TrRoad_act!L20=0,0,L34/TrRoad_act!L20*1000)</f>
        <v>1297.468474413545</v>
      </c>
      <c r="M98" s="152">
        <f>IF(TrRoad_act!M20=0,0,M34/TrRoad_act!M20*1000)</f>
        <v>1256.2886026089845</v>
      </c>
      <c r="N98" s="152">
        <f>IF(TrRoad_act!N20=0,0,N34/TrRoad_act!N20*1000)</f>
        <v>1174.6061960742288</v>
      </c>
      <c r="O98" s="152">
        <f>IF(TrRoad_act!O20=0,0,O34/TrRoad_act!O20*1000)</f>
        <v>1119.7534900801966</v>
      </c>
      <c r="P98" s="152">
        <f>IF(TrRoad_act!P20=0,0,P34/TrRoad_act!P20*1000)</f>
        <v>1000.8125221520277</v>
      </c>
      <c r="Q98" s="152">
        <f>IF(TrRoad_act!Q20=0,0,Q34/TrRoad_act!Q20*1000)</f>
        <v>953.83021141088852</v>
      </c>
      <c r="R98" s="152">
        <f>IF(TrRoad_act!R20=0,0,R34/TrRoad_act!R20*1000)</f>
        <v>849.9613750653599</v>
      </c>
      <c r="S98" s="152">
        <f>IF(TrRoad_act!S20=0,0,S34/TrRoad_act!S20*1000)</f>
        <v>799.15079989461481</v>
      </c>
      <c r="T98" s="152">
        <f>IF(TrRoad_act!T20=0,0,T34/TrRoad_act!T20*1000)</f>
        <v>737.5204667142666</v>
      </c>
      <c r="U98" s="152">
        <f>IF(TrRoad_act!U20=0,0,U34/TrRoad_act!U20*1000)</f>
        <v>737.20861110043234</v>
      </c>
      <c r="V98" s="152">
        <f>IF(TrRoad_act!V20=0,0,V34/TrRoad_act!V20*1000)</f>
        <v>742.59398983969629</v>
      </c>
      <c r="W98" s="152">
        <f>IF(TrRoad_act!W20=0,0,W34/TrRoad_act!W20*1000)</f>
        <v>738.31054582679383</v>
      </c>
      <c r="X98" s="152">
        <f>IF(TrRoad_act!X20=0,0,X34/TrRoad_act!X20*1000)</f>
        <v>644.36265722808628</v>
      </c>
      <c r="Y98" s="152">
        <f>IF(TrRoad_act!Y20=0,0,Y34/TrRoad_act!Y20*1000)</f>
        <v>663.80411662192751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1937.7211738291426</v>
      </c>
      <c r="C99" s="87">
        <f>IF(TrRoad_act!C21=0,0,C35/TrRoad_act!C21*1000)</f>
        <v>1906.8064383718222</v>
      </c>
      <c r="D99" s="87">
        <f>IF(TrRoad_act!D21=0,0,D35/TrRoad_act!D21*1000)</f>
        <v>1877.2085358650891</v>
      </c>
      <c r="E99" s="87">
        <f>IF(TrRoad_act!E21=0,0,E35/TrRoad_act!E21*1000)</f>
        <v>1828.8923058122402</v>
      </c>
      <c r="F99" s="87">
        <f>IF(TrRoad_act!F21=0,0,F35/TrRoad_act!F21*1000)</f>
        <v>1775.9880146444975</v>
      </c>
      <c r="G99" s="87">
        <f>IF(TrRoad_act!G21=0,0,G35/TrRoad_act!G21*1000)</f>
        <v>1749.005578345907</v>
      </c>
      <c r="H99" s="87">
        <f>IF(TrRoad_act!H21=0,0,H35/TrRoad_act!H21*1000)</f>
        <v>1710.631752577513</v>
      </c>
      <c r="I99" s="87">
        <f>IF(TrRoad_act!I21=0,0,I35/TrRoad_act!I21*1000)</f>
        <v>1685.131611869788</v>
      </c>
      <c r="J99" s="87">
        <f>IF(TrRoad_act!J21=0,0,J35/TrRoad_act!J21*1000)</f>
        <v>1645.0314798828665</v>
      </c>
      <c r="K99" s="87">
        <f>IF(TrRoad_act!K21=0,0,K35/TrRoad_act!K21*1000)</f>
        <v>1631.1703795644128</v>
      </c>
      <c r="L99" s="87">
        <f>IF(TrRoad_act!L21=0,0,L35/TrRoad_act!L21*1000)</f>
        <v>1596.4427389705679</v>
      </c>
      <c r="M99" s="87">
        <f>IF(TrRoad_act!M21=0,0,M35/TrRoad_act!M21*1000)</f>
        <v>1574.0526572023343</v>
      </c>
      <c r="N99" s="87">
        <f>IF(TrRoad_act!N21=0,0,N35/TrRoad_act!N21*1000)</f>
        <v>1544.7014167712232</v>
      </c>
      <c r="O99" s="87">
        <f>IF(TrRoad_act!O21=0,0,O35/TrRoad_act!O21*1000)</f>
        <v>1544.4439665134837</v>
      </c>
      <c r="P99" s="87">
        <f>IF(TrRoad_act!P21=0,0,P35/TrRoad_act!P21*1000)</f>
        <v>1525.2949394636109</v>
      </c>
      <c r="Q99" s="87">
        <f>IF(TrRoad_act!Q21=0,0,Q35/TrRoad_act!Q21*1000)</f>
        <v>1531.8817980407621</v>
      </c>
      <c r="R99" s="87">
        <f>IF(TrRoad_act!R21=0,0,R35/TrRoad_act!R21*1000)</f>
        <v>1488.1173377683181</v>
      </c>
      <c r="S99" s="87">
        <f>IF(TrRoad_act!S21=0,0,S35/TrRoad_act!S21*1000)</f>
        <v>1451.4364338330122</v>
      </c>
      <c r="T99" s="87">
        <f>IF(TrRoad_act!T21=0,0,T35/TrRoad_act!T21*1000)</f>
        <v>1392.0580966234356</v>
      </c>
      <c r="U99" s="87">
        <f>IF(TrRoad_act!U21=0,0,U35/TrRoad_act!U21*1000)</f>
        <v>1362.5515890912739</v>
      </c>
      <c r="V99" s="87">
        <f>IF(TrRoad_act!V21=0,0,V35/TrRoad_act!V21*1000)</f>
        <v>1334.3660169110979</v>
      </c>
      <c r="W99" s="87">
        <f>IF(TrRoad_act!W21=0,0,W35/TrRoad_act!W21*1000)</f>
        <v>1322.4314429810977</v>
      </c>
      <c r="X99" s="87">
        <f>IF(TrRoad_act!X21=0,0,X35/TrRoad_act!X21*1000)</f>
        <v>1291.2553471939873</v>
      </c>
      <c r="Y99" s="87">
        <f>IF(TrRoad_act!Y21=0,0,Y35/TrRoad_act!Y21*1000)</f>
        <v>1247.8112008311748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1600.849173662855</v>
      </c>
      <c r="C100" s="87">
        <f>IF(TrRoad_act!C22=0,0,C36/TrRoad_act!C22*1000)</f>
        <v>1486.6244824558712</v>
      </c>
      <c r="D100" s="87">
        <f>IF(TrRoad_act!D22=0,0,D36/TrRoad_act!D22*1000)</f>
        <v>1429.617882719891</v>
      </c>
      <c r="E100" s="87">
        <f>IF(TrRoad_act!E22=0,0,E36/TrRoad_act!E22*1000)</f>
        <v>1454.0013684769276</v>
      </c>
      <c r="F100" s="87">
        <f>IF(TrRoad_act!F22=0,0,F36/TrRoad_act!F22*1000)</f>
        <v>1489.9326859377111</v>
      </c>
      <c r="G100" s="87">
        <f>IF(TrRoad_act!G22=0,0,G36/TrRoad_act!G22*1000)</f>
        <v>1358.661032924527</v>
      </c>
      <c r="H100" s="87">
        <f>IF(TrRoad_act!H22=0,0,H36/TrRoad_act!H22*1000)</f>
        <v>1354.4073781119876</v>
      </c>
      <c r="I100" s="87">
        <f>IF(TrRoad_act!I22=0,0,I36/TrRoad_act!I22*1000)</f>
        <v>1304.4722131116655</v>
      </c>
      <c r="J100" s="87">
        <f>IF(TrRoad_act!J22=0,0,J36/TrRoad_act!J22*1000)</f>
        <v>1281.2750912562594</v>
      </c>
      <c r="K100" s="87">
        <f>IF(TrRoad_act!K22=0,0,K36/TrRoad_act!K22*1000)</f>
        <v>1249.687068172768</v>
      </c>
      <c r="L100" s="87">
        <f>IF(TrRoad_act!L22=0,0,L36/TrRoad_act!L22*1000)</f>
        <v>1276.7924789289643</v>
      </c>
      <c r="M100" s="87">
        <f>IF(TrRoad_act!M22=0,0,M36/TrRoad_act!M22*1000)</f>
        <v>1237.9343252761794</v>
      </c>
      <c r="N100" s="87">
        <f>IF(TrRoad_act!N22=0,0,N36/TrRoad_act!N22*1000)</f>
        <v>1156.5091489278952</v>
      </c>
      <c r="O100" s="87">
        <f>IF(TrRoad_act!O22=0,0,O36/TrRoad_act!O22*1000)</f>
        <v>1102.0961603364972</v>
      </c>
      <c r="P100" s="87">
        <f>IF(TrRoad_act!P22=0,0,P36/TrRoad_act!P22*1000)</f>
        <v>980.78552830581043</v>
      </c>
      <c r="Q100" s="87">
        <f>IF(TrRoad_act!Q22=0,0,Q36/TrRoad_act!Q22*1000)</f>
        <v>934.882525344736</v>
      </c>
      <c r="R100" s="87">
        <f>IF(TrRoad_act!R22=0,0,R36/TrRoad_act!R22*1000)</f>
        <v>832.88957074058067</v>
      </c>
      <c r="S100" s="87">
        <f>IF(TrRoad_act!S22=0,0,S36/TrRoad_act!S22*1000)</f>
        <v>786.01547749501776</v>
      </c>
      <c r="T100" s="87">
        <f>IF(TrRoad_act!T22=0,0,T36/TrRoad_act!T22*1000)</f>
        <v>727.06876450766322</v>
      </c>
      <c r="U100" s="87">
        <f>IF(TrRoad_act!U22=0,0,U36/TrRoad_act!U22*1000)</f>
        <v>728.68260962247609</v>
      </c>
      <c r="V100" s="87">
        <f>IF(TrRoad_act!V22=0,0,V36/TrRoad_act!V22*1000)</f>
        <v>735.99025027445066</v>
      </c>
      <c r="W100" s="87">
        <f>IF(TrRoad_act!W22=0,0,W36/TrRoad_act!W22*1000)</f>
        <v>732.59917573336156</v>
      </c>
      <c r="X100" s="87">
        <f>IF(TrRoad_act!X22=0,0,X36/TrRoad_act!X22*1000)</f>
        <v>636.31655015047215</v>
      </c>
      <c r="Y100" s="87">
        <f>IF(TrRoad_act!Y22=0,0,Y36/TrRoad_act!Y22*1000)</f>
        <v>659.38155955327454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X101" s="87">
        <f>IF(TrRoad_act!X23=0,0,X37/TrRoad_act!X23*1000)</f>
        <v>0</v>
      </c>
      <c r="Y101" s="87">
        <f>IF(TrRoad_act!Y23=0,0,Y37/TrRoad_act!Y23*1000)</f>
        <v>0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1025.560783772044</v>
      </c>
      <c r="D102" s="87">
        <f>IF(TrRoad_act!D24=0,0,D38/TrRoad_act!D24*1000)</f>
        <v>1038.5621052886095</v>
      </c>
      <c r="E102" s="87">
        <f>IF(TrRoad_act!E24=0,0,E38/TrRoad_act!E24*1000)</f>
        <v>1043.6243346266649</v>
      </c>
      <c r="F102" s="87">
        <f>IF(TrRoad_act!F24=0,0,F38/TrRoad_act!F24*1000)</f>
        <v>1056.6374935460531</v>
      </c>
      <c r="G102" s="87">
        <f>IF(TrRoad_act!G24=0,0,G38/TrRoad_act!G24*1000)</f>
        <v>1024.039935352188</v>
      </c>
      <c r="H102" s="87">
        <f>IF(TrRoad_act!H24=0,0,H38/TrRoad_act!H24*1000)</f>
        <v>1017.1573142712724</v>
      </c>
      <c r="I102" s="87">
        <f>IF(TrRoad_act!I24=0,0,I38/TrRoad_act!I24*1000)</f>
        <v>1008.7873527622623</v>
      </c>
      <c r="J102" s="87">
        <f>IF(TrRoad_act!J24=0,0,J38/TrRoad_act!J24*1000)</f>
        <v>547.05433031227881</v>
      </c>
      <c r="K102" s="87">
        <f>IF(TrRoad_act!K24=0,0,K38/TrRoad_act!K24*1000)</f>
        <v>464.03595011749394</v>
      </c>
      <c r="L102" s="87">
        <f>IF(TrRoad_act!L24=0,0,L38/TrRoad_act!L24*1000)</f>
        <v>546.86451067990276</v>
      </c>
      <c r="M102" s="87">
        <f>IF(TrRoad_act!M24=0,0,M38/TrRoad_act!M24*1000)</f>
        <v>360.88064146524806</v>
      </c>
      <c r="N102" s="87">
        <f>IF(TrRoad_act!N24=0,0,N38/TrRoad_act!N24*1000)</f>
        <v>402.20828285985056</v>
      </c>
      <c r="O102" s="87">
        <f>IF(TrRoad_act!O24=0,0,O38/TrRoad_act!O24*1000)</f>
        <v>393.6025414542259</v>
      </c>
      <c r="P102" s="87">
        <f>IF(TrRoad_act!P24=0,0,P38/TrRoad_act!P24*1000)</f>
        <v>372.11967801979534</v>
      </c>
      <c r="Q102" s="87">
        <f>IF(TrRoad_act!Q24=0,0,Q38/TrRoad_act!Q24*1000)</f>
        <v>263.50281512037185</v>
      </c>
      <c r="R102" s="87">
        <f>IF(TrRoad_act!R24=0,0,R38/TrRoad_act!R24*1000)</f>
        <v>267.26351237374053</v>
      </c>
      <c r="S102" s="87">
        <f>IF(TrRoad_act!S24=0,0,S38/TrRoad_act!S24*1000)</f>
        <v>106.12586421917075</v>
      </c>
      <c r="T102" s="87">
        <f>IF(TrRoad_act!T24=0,0,T38/TrRoad_act!T24*1000)</f>
        <v>84.713252510295405</v>
      </c>
      <c r="U102" s="87">
        <f>IF(TrRoad_act!U24=0,0,U38/TrRoad_act!U24*1000)</f>
        <v>78.574909967114152</v>
      </c>
      <c r="V102" s="87">
        <f>IF(TrRoad_act!V24=0,0,V38/TrRoad_act!V24*1000)</f>
        <v>85.786178345022122</v>
      </c>
      <c r="W102" s="87">
        <f>IF(TrRoad_act!W24=0,0,W38/TrRoad_act!W24*1000)</f>
        <v>100.66876679663237</v>
      </c>
      <c r="X102" s="87">
        <f>IF(TrRoad_act!X24=0,0,X38/TrRoad_act!X24*1000)</f>
        <v>71.818292165226339</v>
      </c>
      <c r="Y102" s="87">
        <f>IF(TrRoad_act!Y24=0,0,Y38/TrRoad_act!Y24*1000)</f>
        <v>149.198728102003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99.297829042960515</v>
      </c>
      <c r="C104" s="116">
        <f>IF(TrRoad_act!C26=0,0,C40/TrRoad_act!C26*1000)</f>
        <v>102.19646954358352</v>
      </c>
      <c r="D104" s="116">
        <f>IF(TrRoad_act!D26=0,0,D40/TrRoad_act!D26*1000)</f>
        <v>95.020531403029139</v>
      </c>
      <c r="E104" s="116">
        <f>IF(TrRoad_act!E26=0,0,E40/TrRoad_act!E26*1000)</f>
        <v>97.870231566636576</v>
      </c>
      <c r="F104" s="116">
        <f>IF(TrRoad_act!F26=0,0,F40/TrRoad_act!F26*1000)</f>
        <v>100.68012927733018</v>
      </c>
      <c r="G104" s="116">
        <f>IF(TrRoad_act!G26=0,0,G40/TrRoad_act!G26*1000)</f>
        <v>93.451244842814873</v>
      </c>
      <c r="H104" s="116">
        <f>IF(TrRoad_act!H26=0,0,H40/TrRoad_act!H26*1000)</f>
        <v>91.386995226670109</v>
      </c>
      <c r="I104" s="116">
        <f>IF(TrRoad_act!I26=0,0,I40/TrRoad_act!I26*1000)</f>
        <v>89.891796508607101</v>
      </c>
      <c r="J104" s="116">
        <f>IF(TrRoad_act!J26=0,0,J40/TrRoad_act!J26*1000)</f>
        <v>87.592745875462711</v>
      </c>
      <c r="K104" s="116">
        <f>IF(TrRoad_act!K26=0,0,K40/TrRoad_act!K26*1000)</f>
        <v>93.255984494539717</v>
      </c>
      <c r="L104" s="116">
        <f>IF(TrRoad_act!L26=0,0,L40/TrRoad_act!L26*1000)</f>
        <v>94.81064655252537</v>
      </c>
      <c r="M104" s="116">
        <f>IF(TrRoad_act!M26=0,0,M40/TrRoad_act!M26*1000)</f>
        <v>88.262936437075481</v>
      </c>
      <c r="N104" s="116">
        <f>IF(TrRoad_act!N26=0,0,N40/TrRoad_act!N26*1000)</f>
        <v>82.16329849750754</v>
      </c>
      <c r="O104" s="116">
        <f>IF(TrRoad_act!O26=0,0,O40/TrRoad_act!O26*1000)</f>
        <v>78.218401597065323</v>
      </c>
      <c r="P104" s="116">
        <f>IF(TrRoad_act!P26=0,0,P40/TrRoad_act!P26*1000)</f>
        <v>63.900008652050005</v>
      </c>
      <c r="Q104" s="116">
        <f>IF(TrRoad_act!Q26=0,0,Q40/TrRoad_act!Q26*1000)</f>
        <v>60.61115693199266</v>
      </c>
      <c r="R104" s="116">
        <f>IF(TrRoad_act!R26=0,0,R40/TrRoad_act!R26*1000)</f>
        <v>50.550309386182541</v>
      </c>
      <c r="S104" s="116">
        <f>IF(TrRoad_act!S26=0,0,S40/TrRoad_act!S26*1000)</f>
        <v>49.221028592218715</v>
      </c>
      <c r="T104" s="116">
        <f>IF(TrRoad_act!T26=0,0,T40/TrRoad_act!T26*1000)</f>
        <v>42.760563724291288</v>
      </c>
      <c r="U104" s="116">
        <f>IF(TrRoad_act!U26=0,0,U40/TrRoad_act!U26*1000)</f>
        <v>42.196815343658166</v>
      </c>
      <c r="V104" s="116">
        <f>IF(TrRoad_act!V26=0,0,V40/TrRoad_act!V26*1000)</f>
        <v>43.977213739996309</v>
      </c>
      <c r="W104" s="116">
        <f>IF(TrRoad_act!W26=0,0,W40/TrRoad_act!W26*1000)</f>
        <v>42.573489780828666</v>
      </c>
      <c r="X104" s="116">
        <f>IF(TrRoad_act!X26=0,0,X40/TrRoad_act!X26*1000)</f>
        <v>37.068508261225681</v>
      </c>
      <c r="Y104" s="116">
        <f>IF(TrRoad_act!Y26=0,0,Y40/TrRoad_act!Y26*1000)</f>
        <v>39.624522831304674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97.692718179730178</v>
      </c>
      <c r="C105" s="101">
        <f>IF(TrRoad_act!C27=0,0,C41/TrRoad_act!C27*1000)</f>
        <v>101.20918950785408</v>
      </c>
      <c r="D105" s="101">
        <f>IF(TrRoad_act!D27=0,0,D41/TrRoad_act!D27*1000)</f>
        <v>93.345071693638744</v>
      </c>
      <c r="E105" s="101">
        <f>IF(TrRoad_act!E27=0,0,E41/TrRoad_act!E27*1000)</f>
        <v>95.64042060306069</v>
      </c>
      <c r="F105" s="101">
        <f>IF(TrRoad_act!F27=0,0,F41/TrRoad_act!F27*1000)</f>
        <v>97.46072059753719</v>
      </c>
      <c r="G105" s="101">
        <f>IF(TrRoad_act!G27=0,0,G41/TrRoad_act!G27*1000)</f>
        <v>90.945378891442758</v>
      </c>
      <c r="H105" s="101">
        <f>IF(TrRoad_act!H27=0,0,H41/TrRoad_act!H27*1000)</f>
        <v>88.404251080721835</v>
      </c>
      <c r="I105" s="101">
        <f>IF(TrRoad_act!I27=0,0,I41/TrRoad_act!I27*1000)</f>
        <v>87.57928970102688</v>
      </c>
      <c r="J105" s="101">
        <f>IF(TrRoad_act!J27=0,0,J41/TrRoad_act!J27*1000)</f>
        <v>84.955813140780705</v>
      </c>
      <c r="K105" s="101">
        <f>IF(TrRoad_act!K27=0,0,K41/TrRoad_act!K27*1000)</f>
        <v>92.370792202271403</v>
      </c>
      <c r="L105" s="101">
        <f>IF(TrRoad_act!L27=0,0,L41/TrRoad_act!L27*1000)</f>
        <v>94.660706287695831</v>
      </c>
      <c r="M105" s="101">
        <f>IF(TrRoad_act!M27=0,0,M41/TrRoad_act!M27*1000)</f>
        <v>87.059483699761884</v>
      </c>
      <c r="N105" s="101">
        <f>IF(TrRoad_act!N27=0,0,N41/TrRoad_act!N27*1000)</f>
        <v>81.260363706920344</v>
      </c>
      <c r="O105" s="101">
        <f>IF(TrRoad_act!O27=0,0,O41/TrRoad_act!O27*1000)</f>
        <v>76.912524933850889</v>
      </c>
      <c r="P105" s="101">
        <f>IF(TrRoad_act!P27=0,0,P41/TrRoad_act!P27*1000)</f>
        <v>63.002351169452794</v>
      </c>
      <c r="Q105" s="101">
        <f>IF(TrRoad_act!Q27=0,0,Q41/TrRoad_act!Q27*1000)</f>
        <v>59.66367103984426</v>
      </c>
      <c r="R105" s="101">
        <f>IF(TrRoad_act!R27=0,0,R41/TrRoad_act!R27*1000)</f>
        <v>49.234364266790891</v>
      </c>
      <c r="S105" s="101">
        <f>IF(TrRoad_act!S27=0,0,S41/TrRoad_act!S27*1000)</f>
        <v>48.198474550550891</v>
      </c>
      <c r="T105" s="101">
        <f>IF(TrRoad_act!T27=0,0,T41/TrRoad_act!T27*1000)</f>
        <v>41.731626178620928</v>
      </c>
      <c r="U105" s="101">
        <f>IF(TrRoad_act!U27=0,0,U41/TrRoad_act!U27*1000)</f>
        <v>41.081510375206314</v>
      </c>
      <c r="V105" s="101">
        <f>IF(TrRoad_act!V27=0,0,V41/TrRoad_act!V27*1000)</f>
        <v>42.36079158507134</v>
      </c>
      <c r="W105" s="101">
        <f>IF(TrRoad_act!W27=0,0,W41/TrRoad_act!W27*1000)</f>
        <v>40.644610915962026</v>
      </c>
      <c r="X105" s="101">
        <f>IF(TrRoad_act!X27=0,0,X41/TrRoad_act!X27*1000)</f>
        <v>35.796703291522419</v>
      </c>
      <c r="Y105" s="101">
        <f>IF(TrRoad_act!Y27=0,0,Y41/TrRoad_act!Y27*1000)</f>
        <v>38.239046708141849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106.0114930216214</v>
      </c>
      <c r="C106" s="88">
        <f>IF(TrRoad_act!C28=0,0,C42/TrRoad_act!C28*1000)</f>
        <v>105.86984953985075</v>
      </c>
      <c r="D106" s="88">
        <f>IF(TrRoad_act!D28=0,0,D42/TrRoad_act!D28*1000)</f>
        <v>101.2745454718504</v>
      </c>
      <c r="E106" s="88">
        <f>IF(TrRoad_act!E28=0,0,E42/TrRoad_act!E28*1000)</f>
        <v>105.96678818618399</v>
      </c>
      <c r="F106" s="88">
        <f>IF(TrRoad_act!F28=0,0,F42/TrRoad_act!F28*1000)</f>
        <v>111.14385894268671</v>
      </c>
      <c r="G106" s="88">
        <f>IF(TrRoad_act!G28=0,0,G42/TrRoad_act!G28*1000)</f>
        <v>101.80090874461605</v>
      </c>
      <c r="H106" s="88">
        <f>IF(TrRoad_act!H28=0,0,H42/TrRoad_act!H28*1000)</f>
        <v>100.73872130000136</v>
      </c>
      <c r="I106" s="88">
        <f>IF(TrRoad_act!I28=0,0,I42/TrRoad_act!I28*1000)</f>
        <v>97.18494025734708</v>
      </c>
      <c r="J106" s="88">
        <f>IF(TrRoad_act!J28=0,0,J42/TrRoad_act!J28*1000)</f>
        <v>96.736484231479608</v>
      </c>
      <c r="K106" s="88">
        <f>IF(TrRoad_act!K28=0,0,K42/TrRoad_act!K28*1000)</f>
        <v>96.537942179335431</v>
      </c>
      <c r="L106" s="88">
        <f>IF(TrRoad_act!L28=0,0,L42/TrRoad_act!L28*1000)</f>
        <v>95.315724233320324</v>
      </c>
      <c r="M106" s="88">
        <f>IF(TrRoad_act!M28=0,0,M42/TrRoad_act!M28*1000)</f>
        <v>92.493553114129796</v>
      </c>
      <c r="N106" s="88">
        <f>IF(TrRoad_act!N28=0,0,N42/TrRoad_act!N28*1000)</f>
        <v>85.136664306884839</v>
      </c>
      <c r="O106" s="88">
        <f>IF(TrRoad_act!O28=0,0,O42/TrRoad_act!O28*1000)</f>
        <v>82.037996416293637</v>
      </c>
      <c r="P106" s="88">
        <f>IF(TrRoad_act!P28=0,0,P42/TrRoad_act!P28*1000)</f>
        <v>67.380921566751823</v>
      </c>
      <c r="Q106" s="88">
        <f>IF(TrRoad_act!Q28=0,0,Q42/TrRoad_act!Q28*1000)</f>
        <v>63.805937142264135</v>
      </c>
      <c r="R106" s="88">
        <f>IF(TrRoad_act!R28=0,0,R42/TrRoad_act!R28*1000)</f>
        <v>54.860429041281435</v>
      </c>
      <c r="S106" s="88">
        <f>IF(TrRoad_act!S28=0,0,S42/TrRoad_act!S28*1000)</f>
        <v>52.537570583451867</v>
      </c>
      <c r="T106" s="88">
        <f>IF(TrRoad_act!T28=0,0,T42/TrRoad_act!T28*1000)</f>
        <v>46.195593156314928</v>
      </c>
      <c r="U106" s="88">
        <f>IF(TrRoad_act!U28=0,0,U42/TrRoad_act!U28*1000)</f>
        <v>46.123879326676146</v>
      </c>
      <c r="V106" s="88">
        <f>IF(TrRoad_act!V28=0,0,V42/TrRoad_act!V28*1000)</f>
        <v>49.647155293853039</v>
      </c>
      <c r="W106" s="88">
        <f>IF(TrRoad_act!W28=0,0,W42/TrRoad_act!W28*1000)</f>
        <v>49.274877122019575</v>
      </c>
      <c r="X106" s="88">
        <f>IF(TrRoad_act!X28=0,0,X42/TrRoad_act!X28*1000)</f>
        <v>42.077245984665851</v>
      </c>
      <c r="Y106" s="88">
        <f>IF(TrRoad_act!Y28=0,0,Y42/TrRoad_act!Y28*1000)</f>
        <v>44.504888221859837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212.55386459297907</v>
      </c>
      <c r="C110" s="152">
        <f>IF(C19=0,0,1000000*C19/TrRoad_act!C59)</f>
        <v>209.63824757043574</v>
      </c>
      <c r="D110" s="152">
        <f>IF(D19=0,0,1000000*D19/TrRoad_act!D59)</f>
        <v>209.34506539522638</v>
      </c>
      <c r="E110" s="152">
        <f>IF(E19=0,0,1000000*E19/TrRoad_act!E59)</f>
        <v>208.84012256916066</v>
      </c>
      <c r="F110" s="152">
        <f>IF(F19=0,0,1000000*F19/TrRoad_act!F59)</f>
        <v>215.37300327093229</v>
      </c>
      <c r="G110" s="152">
        <f>IF(G19=0,0,1000000*G19/TrRoad_act!G59)</f>
        <v>192.07773063444446</v>
      </c>
      <c r="H110" s="152">
        <f>IF(H19=0,0,1000000*H19/TrRoad_act!H59)</f>
        <v>185.31539861649654</v>
      </c>
      <c r="I110" s="152">
        <f>IF(I19=0,0,1000000*I19/TrRoad_act!I59)</f>
        <v>188.48829133474078</v>
      </c>
      <c r="J110" s="152">
        <f>IF(J19=0,0,1000000*J19/TrRoad_act!J59)</f>
        <v>173.0343852262132</v>
      </c>
      <c r="K110" s="152">
        <f>IF(K19=0,0,1000000*K19/TrRoad_act!K59)</f>
        <v>165.6077364746738</v>
      </c>
      <c r="L110" s="152">
        <f>IF(L19=0,0,1000000*L19/TrRoad_act!L59)</f>
        <v>153.55079474311376</v>
      </c>
      <c r="M110" s="152">
        <f>IF(M19=0,0,1000000*M19/TrRoad_act!M59)</f>
        <v>145.26594560545593</v>
      </c>
      <c r="N110" s="152">
        <f>IF(N19=0,0,1000000*N19/TrRoad_act!N59)</f>
        <v>116.80675557708122</v>
      </c>
      <c r="O110" s="152">
        <f>IF(O19=0,0,1000000*O19/TrRoad_act!O59)</f>
        <v>133.37061797734361</v>
      </c>
      <c r="P110" s="152">
        <f>IF(P19=0,0,1000000*P19/TrRoad_act!P59)</f>
        <v>128.7100610515858</v>
      </c>
      <c r="Q110" s="152">
        <f>IF(Q19=0,0,1000000*Q19/TrRoad_act!Q59)</f>
        <v>127.1111245242173</v>
      </c>
      <c r="R110" s="152">
        <f>IF(R19=0,0,1000000*R19/TrRoad_act!R59)</f>
        <v>130.09994018707093</v>
      </c>
      <c r="S110" s="152">
        <f>IF(S19=0,0,1000000*S19/TrRoad_act!S59)</f>
        <v>118.5366127695403</v>
      </c>
      <c r="T110" s="152">
        <f>IF(T19=0,0,1000000*T19/TrRoad_act!T59)</f>
        <v>108.67596242613062</v>
      </c>
      <c r="U110" s="152">
        <f>IF(U19=0,0,1000000*U19/TrRoad_act!U59)</f>
        <v>112.87256331389563</v>
      </c>
      <c r="V110" s="152">
        <f>IF(V19=0,0,1000000*V19/TrRoad_act!V59)</f>
        <v>95.622818675523874</v>
      </c>
      <c r="W110" s="152">
        <f>IF(W19=0,0,1000000*W19/TrRoad_act!W59)</f>
        <v>96.200323556744607</v>
      </c>
      <c r="X110" s="152">
        <f>IF(X19=0,0,1000000*X19/TrRoad_act!X59)</f>
        <v>93.346658663087069</v>
      </c>
      <c r="Y110" s="152">
        <f>IF(Y19=0,0,1000000*Y19/TrRoad_act!Y59)</f>
        <v>96.013755705268963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3243.9787017017261</v>
      </c>
      <c r="C111" s="116">
        <f>IF(C20=0,0,1000000*C20/TrRoad_act!C60)</f>
        <v>3182.7684187662112</v>
      </c>
      <c r="D111" s="116">
        <f>IF(D20=0,0,1000000*D20/TrRoad_act!D60)</f>
        <v>3253.7903658769987</v>
      </c>
      <c r="E111" s="116">
        <f>IF(E20=0,0,1000000*E20/TrRoad_act!E60)</f>
        <v>3226.9406087562261</v>
      </c>
      <c r="F111" s="116">
        <f>IF(F20=0,0,1000000*F20/TrRoad_act!F60)</f>
        <v>3166.1111841452439</v>
      </c>
      <c r="G111" s="116">
        <f>IF(G20=0,0,1000000*G20/TrRoad_act!G60)</f>
        <v>2999.175656902391</v>
      </c>
      <c r="H111" s="116">
        <f>IF(H20=0,0,1000000*H20/TrRoad_act!H60)</f>
        <v>2946.0987393828532</v>
      </c>
      <c r="I111" s="116">
        <f>IF(I20=0,0,1000000*I20/TrRoad_act!I60)</f>
        <v>2953.2765867491917</v>
      </c>
      <c r="J111" s="116">
        <f>IF(J20=0,0,1000000*J20/TrRoad_act!J60)</f>
        <v>2864.7714423044304</v>
      </c>
      <c r="K111" s="116">
        <f>IF(K20=0,0,1000000*K20/TrRoad_act!K60)</f>
        <v>2883.4028965984976</v>
      </c>
      <c r="L111" s="116">
        <f>IF(L20=0,0,1000000*L20/TrRoad_act!L60)</f>
        <v>2849.4798996433142</v>
      </c>
      <c r="M111" s="116">
        <f>IF(M20=0,0,1000000*M20/TrRoad_act!M60)</f>
        <v>2781.3863391845589</v>
      </c>
      <c r="N111" s="116">
        <f>IF(N20=0,0,1000000*N20/TrRoad_act!N60)</f>
        <v>2680.2900323663785</v>
      </c>
      <c r="O111" s="116">
        <f>IF(O20=0,0,1000000*O20/TrRoad_act!O60)</f>
        <v>2632.0893931536139</v>
      </c>
      <c r="P111" s="116">
        <f>IF(P20=0,0,1000000*P20/TrRoad_act!P60)</f>
        <v>2558.5923622646187</v>
      </c>
      <c r="Q111" s="116">
        <f>IF(Q20=0,0,1000000*Q20/TrRoad_act!Q60)</f>
        <v>2559.9455101824524</v>
      </c>
      <c r="R111" s="116">
        <f>IF(R20=0,0,1000000*R20/TrRoad_act!R60)</f>
        <v>2445.7696532837822</v>
      </c>
      <c r="S111" s="116">
        <f>IF(S20=0,0,1000000*S20/TrRoad_act!S60)</f>
        <v>2347.7879547180678</v>
      </c>
      <c r="T111" s="116">
        <f>IF(T20=0,0,1000000*T20/TrRoad_act!T60)</f>
        <v>2234.8646933391938</v>
      </c>
      <c r="U111" s="116">
        <f>IF(U20=0,0,1000000*U20/TrRoad_act!U60)</f>
        <v>2198.503699615821</v>
      </c>
      <c r="V111" s="116">
        <f>IF(V20=0,0,1000000*V20/TrRoad_act!V60)</f>
        <v>1990.1455094741498</v>
      </c>
      <c r="W111" s="116">
        <f>IF(W20=0,0,1000000*W20/TrRoad_act!W60)</f>
        <v>2009.0189867178399</v>
      </c>
      <c r="X111" s="116">
        <f>IF(X20=0,0,1000000*X20/TrRoad_act!X60)</f>
        <v>1769.2960347135418</v>
      </c>
      <c r="Y111" s="116">
        <f>IF(Y20=0,0,1000000*Y20/TrRoad_act!Y60)</f>
        <v>1770.0902457384552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3062.7239594314719</v>
      </c>
      <c r="C112" s="87">
        <f>IF(C21=0,0,1000000*C21/TrRoad_act!C61)</f>
        <v>3014.3444529993453</v>
      </c>
      <c r="D112" s="87">
        <f>IF(D21=0,0,1000000*D21/TrRoad_act!D61)</f>
        <v>3087.0859573326097</v>
      </c>
      <c r="E112" s="87">
        <f>IF(E21=0,0,1000000*E21/TrRoad_act!E61)</f>
        <v>3051.9894831485167</v>
      </c>
      <c r="F112" s="87">
        <f>IF(F21=0,0,1000000*F21/TrRoad_act!F61)</f>
        <v>2977.2855136491448</v>
      </c>
      <c r="G112" s="87">
        <f>IF(G21=0,0,1000000*G21/TrRoad_act!G61)</f>
        <v>2808.1768016812307</v>
      </c>
      <c r="H112" s="87">
        <f>IF(H21=0,0,1000000*H21/TrRoad_act!H61)</f>
        <v>2731.3292638880403</v>
      </c>
      <c r="I112" s="87">
        <f>IF(I21=0,0,1000000*I21/TrRoad_act!I61)</f>
        <v>2697.079881663838</v>
      </c>
      <c r="J112" s="87">
        <f>IF(J21=0,0,1000000*J21/TrRoad_act!J61)</f>
        <v>2567.8292604803178</v>
      </c>
      <c r="K112" s="87">
        <f>IF(K21=0,0,1000000*K21/TrRoad_act!K61)</f>
        <v>2562.8907884072173</v>
      </c>
      <c r="L112" s="87">
        <f>IF(L21=0,0,1000000*L21/TrRoad_act!L61)</f>
        <v>2471.4965312773757</v>
      </c>
      <c r="M112" s="87">
        <f>IF(M21=0,0,1000000*M21/TrRoad_act!M61)</f>
        <v>2350.8769555991294</v>
      </c>
      <c r="N112" s="87">
        <f>IF(N21=0,0,1000000*N21/TrRoad_act!N61)</f>
        <v>2226.9425141356123</v>
      </c>
      <c r="O112" s="87">
        <f>IF(O21=0,0,1000000*O21/TrRoad_act!O61)</f>
        <v>2171.100548861109</v>
      </c>
      <c r="P112" s="87">
        <f>IF(P21=0,0,1000000*P21/TrRoad_act!P61)</f>
        <v>2133.9151322580356</v>
      </c>
      <c r="Q112" s="87">
        <f>IF(Q21=0,0,1000000*Q21/TrRoad_act!Q61)</f>
        <v>2134.1221937642049</v>
      </c>
      <c r="R112" s="87">
        <f>IF(R21=0,0,1000000*R21/TrRoad_act!R61)</f>
        <v>2086.6362075494235</v>
      </c>
      <c r="S112" s="87">
        <f>IF(S21=0,0,1000000*S21/TrRoad_act!S61)</f>
        <v>2025.1630436898827</v>
      </c>
      <c r="T112" s="87">
        <f>IF(T21=0,0,1000000*T21/TrRoad_act!T61)</f>
        <v>1925.5782012744774</v>
      </c>
      <c r="U112" s="87">
        <f>IF(U21=0,0,1000000*U21/TrRoad_act!U61)</f>
        <v>1903.8984937095968</v>
      </c>
      <c r="V112" s="87">
        <f>IF(V21=0,0,1000000*V21/TrRoad_act!V61)</f>
        <v>1749.7679809901383</v>
      </c>
      <c r="W112" s="87">
        <f>IF(W21=0,0,1000000*W21/TrRoad_act!W61)</f>
        <v>1872.45032165306</v>
      </c>
      <c r="X112" s="87">
        <f>IF(X21=0,0,1000000*X21/TrRoad_act!X61)</f>
        <v>1779.8184081678864</v>
      </c>
      <c r="Y112" s="87">
        <f>IF(Y21=0,0,1000000*Y21/TrRoad_act!Y61)</f>
        <v>1731.0531484829855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6798.0730360950911</v>
      </c>
      <c r="C113" s="87">
        <f>IF(C22=0,0,1000000*C22/TrRoad_act!C62)</f>
        <v>6673.4610541996008</v>
      </c>
      <c r="D113" s="87">
        <f>IF(D22=0,0,1000000*D22/TrRoad_act!D62)</f>
        <v>6649.649375805423</v>
      </c>
      <c r="E113" s="87">
        <f>IF(E22=0,0,1000000*E22/TrRoad_act!E62)</f>
        <v>6683.1497349795382</v>
      </c>
      <c r="F113" s="87">
        <f>IF(F22=0,0,1000000*F22/TrRoad_act!F62)</f>
        <v>6755.9648529148035</v>
      </c>
      <c r="G113" s="87">
        <f>IF(G22=0,0,1000000*G22/TrRoad_act!G62)</f>
        <v>6425.6747604371203</v>
      </c>
      <c r="H113" s="87">
        <f>IF(H22=0,0,1000000*H22/TrRoad_act!H62)</f>
        <v>6178.755347812069</v>
      </c>
      <c r="I113" s="87">
        <f>IF(I22=0,0,1000000*I22/TrRoad_act!I62)</f>
        <v>5784.3787457118042</v>
      </c>
      <c r="J113" s="87">
        <f>IF(J22=0,0,1000000*J22/TrRoad_act!J62)</f>
        <v>5632.2795118614213</v>
      </c>
      <c r="K113" s="87">
        <f>IF(K22=0,0,1000000*K22/TrRoad_act!K62)</f>
        <v>5305.2935824739234</v>
      </c>
      <c r="L113" s="87">
        <f>IF(L22=0,0,1000000*L22/TrRoad_act!L62)</f>
        <v>5063.1558050439789</v>
      </c>
      <c r="M113" s="87">
        <f>IF(M22=0,0,1000000*M22/TrRoad_act!M62)</f>
        <v>4744.9471026861902</v>
      </c>
      <c r="N113" s="87">
        <f>IF(N22=0,0,1000000*N22/TrRoad_act!N62)</f>
        <v>4339.330547580721</v>
      </c>
      <c r="O113" s="87">
        <f>IF(O22=0,0,1000000*O22/TrRoad_act!O62)</f>
        <v>4044.3379393795876</v>
      </c>
      <c r="P113" s="87">
        <f>IF(P22=0,0,1000000*P22/TrRoad_act!P62)</f>
        <v>3684.0391140908246</v>
      </c>
      <c r="Q113" s="87">
        <f>IF(Q22=0,0,1000000*Q22/TrRoad_act!Q62)</f>
        <v>3555.1943255537676</v>
      </c>
      <c r="R113" s="87">
        <f>IF(R22=0,0,1000000*R22/TrRoad_act!R62)</f>
        <v>3220.584969607833</v>
      </c>
      <c r="S113" s="87">
        <f>IF(S22=0,0,1000000*S22/TrRoad_act!S62)</f>
        <v>3018.8352011037668</v>
      </c>
      <c r="T113" s="87">
        <f>IF(T22=0,0,1000000*T22/TrRoad_act!T62)</f>
        <v>2868.0050810583562</v>
      </c>
      <c r="U113" s="87">
        <f>IF(U22=0,0,1000000*U22/TrRoad_act!U62)</f>
        <v>2819.9411156431493</v>
      </c>
      <c r="V113" s="87">
        <f>IF(V22=0,0,1000000*V22/TrRoad_act!V62)</f>
        <v>2596.6846467204937</v>
      </c>
      <c r="W113" s="87">
        <f>IF(W22=0,0,1000000*W22/TrRoad_act!W62)</f>
        <v>2584.415745347781</v>
      </c>
      <c r="X113" s="87">
        <f>IF(X22=0,0,1000000*X22/TrRoad_act!X62)</f>
        <v>2237.7583480579488</v>
      </c>
      <c r="Y113" s="87">
        <f>IF(Y22=0,0,1000000*Y22/TrRoad_act!Y62)</f>
        <v>2431.9668726654895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7232.7743999999993</v>
      </c>
      <c r="H114" s="87">
        <f>IF(H23=0,0,1000000*H23/TrRoad_act!H63)</f>
        <v>5685.3988732394364</v>
      </c>
      <c r="I114" s="87">
        <f>IF(I23=0,0,1000000*I23/TrRoad_act!I63)</f>
        <v>12309.333191489359</v>
      </c>
      <c r="J114" s="87">
        <f>IF(J23=0,0,1000000*J23/TrRoad_act!J63)</f>
        <v>7411.4736000000021</v>
      </c>
      <c r="K114" s="87">
        <f>IF(K23=0,0,1000000*K23/TrRoad_act!K63)</f>
        <v>6864.7751999999982</v>
      </c>
      <c r="L114" s="87">
        <f>IF(L23=0,0,1000000*L23/TrRoad_act!L63)</f>
        <v>8280.3065142857122</v>
      </c>
      <c r="M114" s="87">
        <f>IF(M23=0,0,1000000*M23/TrRoad_act!M63)</f>
        <v>5533.1688888888912</v>
      </c>
      <c r="N114" s="87">
        <f>IF(N23=0,0,1000000*N23/TrRoad_act!N63)</f>
        <v>3445.26</v>
      </c>
      <c r="O114" s="87">
        <f>IF(O23=0,0,1000000*O23/TrRoad_act!O63)</f>
        <v>1781.1934826883908</v>
      </c>
      <c r="P114" s="87">
        <f>IF(P23=0,0,1000000*P23/TrRoad_act!P63)</f>
        <v>2091.1674134419554</v>
      </c>
      <c r="Q114" s="87">
        <f>IF(Q23=0,0,1000000*Q23/TrRoad_act!Q63)</f>
        <v>11683.241303462324</v>
      </c>
      <c r="R114" s="87">
        <f>IF(R23=0,0,1000000*R23/TrRoad_act!R63)</f>
        <v>4332.6495483870976</v>
      </c>
      <c r="S114" s="87">
        <f>IF(S23=0,0,1000000*S23/TrRoad_act!S63)</f>
        <v>0</v>
      </c>
      <c r="T114" s="87">
        <f>IF(T23=0,0,1000000*T23/TrRoad_act!T63)</f>
        <v>0</v>
      </c>
      <c r="U114" s="87">
        <f>IF(U23=0,0,1000000*U23/TrRoad_act!U63)</f>
        <v>0</v>
      </c>
      <c r="V114" s="87">
        <f>IF(V23=0,0,1000000*V23/TrRoad_act!V63)</f>
        <v>0</v>
      </c>
      <c r="W114" s="87">
        <f>IF(W23=0,0,1000000*W23/TrRoad_act!W63)</f>
        <v>0</v>
      </c>
      <c r="X114" s="87">
        <f>IF(X23=0,0,1000000*X23/TrRoad_act!X63)</f>
        <v>0</v>
      </c>
      <c r="Y114" s="87">
        <f>IF(Y23=0,0,1000000*Y23/TrRoad_act!Y63)</f>
        <v>0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3836.0989761539222</v>
      </c>
      <c r="E115" s="87">
        <f>IF(E24=0,0,1000000*E24/TrRoad_act!E64)</f>
        <v>3820.9744943245587</v>
      </c>
      <c r="F115" s="87">
        <f>IF(F24=0,0,1000000*F24/TrRoad_act!F64)</f>
        <v>3807.3897588077562</v>
      </c>
      <c r="G115" s="87">
        <f>IF(G24=0,0,1000000*G24/TrRoad_act!G64)</f>
        <v>3754.9153391845566</v>
      </c>
      <c r="H115" s="87">
        <f>IF(H24=0,0,1000000*H24/TrRoad_act!H64)</f>
        <v>3684.6537687048676</v>
      </c>
      <c r="I115" s="87">
        <f>IF(I24=0,0,1000000*I24/TrRoad_act!I64)</f>
        <v>3693.2529724931737</v>
      </c>
      <c r="J115" s="87">
        <f>IF(J24=0,0,1000000*J24/TrRoad_act!J64)</f>
        <v>2012.1362160856618</v>
      </c>
      <c r="K115" s="87">
        <f>IF(K24=0,0,1000000*K24/TrRoad_act!K64)</f>
        <v>1733.2744929922876</v>
      </c>
      <c r="L115" s="87">
        <f>IF(L24=0,0,1000000*L24/TrRoad_act!L64)</f>
        <v>1891.5143646014708</v>
      </c>
      <c r="M115" s="87">
        <f>IF(M24=0,0,1000000*M24/TrRoad_act!M64)</f>
        <v>1232.3359353689982</v>
      </c>
      <c r="N115" s="87">
        <f>IF(N24=0,0,1000000*N24/TrRoad_act!N64)</f>
        <v>1329.7449337786968</v>
      </c>
      <c r="O115" s="87">
        <f>IF(O24=0,0,1000000*O24/TrRoad_act!O64)</f>
        <v>1213.1214188443191</v>
      </c>
      <c r="P115" s="87">
        <f>IF(P24=0,0,1000000*P24/TrRoad_act!P64)</f>
        <v>1070.3905519588152</v>
      </c>
      <c r="Q115" s="87">
        <f>IF(Q24=0,0,1000000*Q24/TrRoad_act!Q64)</f>
        <v>719.34514905160597</v>
      </c>
      <c r="R115" s="87">
        <f>IF(R24=0,0,1000000*R24/TrRoad_act!R64)</f>
        <v>714.7148054375109</v>
      </c>
      <c r="S115" s="87">
        <f>IF(S24=0,0,1000000*S24/TrRoad_act!S64)</f>
        <v>274.96329887114183</v>
      </c>
      <c r="T115" s="87">
        <f>IF(T24=0,0,1000000*T24/TrRoad_act!T64)</f>
        <v>222.03683174440974</v>
      </c>
      <c r="U115" s="87">
        <f>IF(U24=0,0,1000000*U24/TrRoad_act!U64)</f>
        <v>194.6152368114542</v>
      </c>
      <c r="V115" s="87">
        <f>IF(V24=0,0,1000000*V24/TrRoad_act!V64)</f>
        <v>192.39642302188702</v>
      </c>
      <c r="W115" s="87">
        <f>IF(W24=0,0,1000000*W24/TrRoad_act!W64)</f>
        <v>222.03604625820299</v>
      </c>
      <c r="X115" s="87">
        <f>IF(X24=0,0,1000000*X24/TrRoad_act!X64)</f>
        <v>142.11954014117845</v>
      </c>
      <c r="Y115" s="87">
        <f>IF(Y24=0,0,1000000*Y24/TrRoad_act!Y64)</f>
        <v>279.90806291909445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961.83100194331325</v>
      </c>
      <c r="K116" s="87">
        <f>IF(K25=0,0,1000000*K25/TrRoad_act!K65)</f>
        <v>941.95090195811531</v>
      </c>
      <c r="L116" s="87">
        <f>IF(L25=0,0,1000000*L25/TrRoad_act!L65)</f>
        <v>902.93808555026999</v>
      </c>
      <c r="M116" s="87">
        <f>IF(M25=0,0,1000000*M25/TrRoad_act!M65)</f>
        <v>784.68269812238429</v>
      </c>
      <c r="N116" s="87">
        <f>IF(N25=0,0,1000000*N25/TrRoad_act!N65)</f>
        <v>689.4059820003971</v>
      </c>
      <c r="O116" s="87">
        <f>IF(O25=0,0,1000000*O25/TrRoad_act!O65)</f>
        <v>666.82203750490999</v>
      </c>
      <c r="P116" s="87">
        <f>IF(P25=0,0,1000000*P25/TrRoad_act!P65)</f>
        <v>634.29392852643775</v>
      </c>
      <c r="Q116" s="87">
        <f>IF(Q25=0,0,1000000*Q25/TrRoad_act!Q65)</f>
        <v>620.08365597318993</v>
      </c>
      <c r="R116" s="87">
        <f>IF(R25=0,0,1000000*R25/TrRoad_act!R65)</f>
        <v>621.19197995328682</v>
      </c>
      <c r="S116" s="87">
        <f>IF(S25=0,0,1000000*S25/TrRoad_act!S65)</f>
        <v>614.8263398902784</v>
      </c>
      <c r="T116" s="87">
        <f>IF(T25=0,0,1000000*T25/TrRoad_act!T65)</f>
        <v>608.34279887237267</v>
      </c>
      <c r="U116" s="87">
        <f>IF(U25=0,0,1000000*U25/TrRoad_act!U65)</f>
        <v>551.17876870459054</v>
      </c>
      <c r="V116" s="87">
        <f>IF(V25=0,0,1000000*V25/TrRoad_act!V65)</f>
        <v>456.00114708164722</v>
      </c>
      <c r="W116" s="87">
        <f>IF(W25=0,0,1000000*W25/TrRoad_act!W65)</f>
        <v>439.85134738799513</v>
      </c>
      <c r="X116" s="87">
        <f>IF(X25=0,0,1000000*X25/TrRoad_act!X65)</f>
        <v>374.5590263880693</v>
      </c>
      <c r="Y116" s="87">
        <f>IF(Y25=0,0,1000000*Y25/TrRoad_act!Y65)</f>
        <v>311.15268371917057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130573.42813147143</v>
      </c>
      <c r="C118" s="116">
        <f>IF(C27=0,0,1000000*C27/TrRoad_act!C67)</f>
        <v>127495.62088759434</v>
      </c>
      <c r="D118" s="116">
        <f>IF(D27=0,0,1000000*D27/TrRoad_act!D67)</f>
        <v>126642.04352405587</v>
      </c>
      <c r="E118" s="116">
        <f>IF(E27=0,0,1000000*E27/TrRoad_act!E67)</f>
        <v>130383.95523315342</v>
      </c>
      <c r="F118" s="116">
        <f>IF(F27=0,0,1000000*F27/TrRoad_act!F67)</f>
        <v>132155.21587718467</v>
      </c>
      <c r="G118" s="116">
        <f>IF(G27=0,0,1000000*G27/TrRoad_act!G67)</f>
        <v>116894.33582949532</v>
      </c>
      <c r="H118" s="116">
        <f>IF(H27=0,0,1000000*H27/TrRoad_act!H67)</f>
        <v>119130.58969446385</v>
      </c>
      <c r="I118" s="116">
        <f>IF(I27=0,0,1000000*I27/TrRoad_act!I67)</f>
        <v>114909.60608313749</v>
      </c>
      <c r="J118" s="116">
        <f>IF(J27=0,0,1000000*J27/TrRoad_act!J67)</f>
        <v>109510.06067830457</v>
      </c>
      <c r="K118" s="116">
        <f>IF(K27=0,0,1000000*K27/TrRoad_act!K67)</f>
        <v>104170.55290511889</v>
      </c>
      <c r="L118" s="116">
        <f>IF(L27=0,0,1000000*L27/TrRoad_act!L67)</f>
        <v>105307.33118472947</v>
      </c>
      <c r="M118" s="116">
        <f>IF(M27=0,0,1000000*M27/TrRoad_act!M67)</f>
        <v>101332.48940813128</v>
      </c>
      <c r="N118" s="116">
        <f>IF(N27=0,0,1000000*N27/TrRoad_act!N67)</f>
        <v>97938.003686639931</v>
      </c>
      <c r="O118" s="116">
        <f>IF(O27=0,0,1000000*O27/TrRoad_act!O67)</f>
        <v>73775.604825801973</v>
      </c>
      <c r="P118" s="116">
        <f>IF(P27=0,0,1000000*P27/TrRoad_act!P67)</f>
        <v>65344.051919041529</v>
      </c>
      <c r="Q118" s="116">
        <f>IF(Q27=0,0,1000000*Q27/TrRoad_act!Q67)</f>
        <v>61930.883051452482</v>
      </c>
      <c r="R118" s="116">
        <f>IF(R27=0,0,1000000*R27/TrRoad_act!R67)</f>
        <v>58912.317350491794</v>
      </c>
      <c r="S118" s="116">
        <f>IF(S27=0,0,1000000*S27/TrRoad_act!S67)</f>
        <v>52215.221715136016</v>
      </c>
      <c r="T118" s="116">
        <f>IF(T27=0,0,1000000*T27/TrRoad_act!T67)</f>
        <v>50300.476200032863</v>
      </c>
      <c r="U118" s="116">
        <f>IF(U27=0,0,1000000*U27/TrRoad_act!U67)</f>
        <v>60804.097213193687</v>
      </c>
      <c r="V118" s="116">
        <f>IF(V27=0,0,1000000*V27/TrRoad_act!V67)</f>
        <v>58619.083340222707</v>
      </c>
      <c r="W118" s="116">
        <f>IF(W27=0,0,1000000*W27/TrRoad_act!W67)</f>
        <v>56004.597478215459</v>
      </c>
      <c r="X118" s="116">
        <f>IF(X27=0,0,1000000*X27/TrRoad_act!X67)</f>
        <v>49241.381899088294</v>
      </c>
      <c r="Y118" s="116">
        <f>IF(Y27=0,0,1000000*Y27/TrRoad_act!Y67)</f>
        <v>51745.077481335575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35554.298116425605</v>
      </c>
      <c r="C119" s="101">
        <f>IF(C28=0,0,1000000*C28/TrRoad_act!C68)</f>
        <v>35656.122146244474</v>
      </c>
      <c r="D119" s="101">
        <f>IF(D28=0,0,1000000*D28/TrRoad_act!D68)</f>
        <v>36931.862891313656</v>
      </c>
      <c r="E119" s="101">
        <f>IF(E28=0,0,1000000*E28/TrRoad_act!E68)</f>
        <v>37454.808120569767</v>
      </c>
      <c r="F119" s="101">
        <f>IF(F28=0,0,1000000*F28/TrRoad_act!F68)</f>
        <v>37504.230349736456</v>
      </c>
      <c r="G119" s="101">
        <f>IF(G28=0,0,1000000*G28/TrRoad_act!G68)</f>
        <v>35681.42028320011</v>
      </c>
      <c r="H119" s="101">
        <f>IF(H28=0,0,1000000*H28/TrRoad_act!H68)</f>
        <v>33814.551007414164</v>
      </c>
      <c r="I119" s="101">
        <f>IF(I28=0,0,1000000*I28/TrRoad_act!I68)</f>
        <v>33059.816141240699</v>
      </c>
      <c r="J119" s="101">
        <f>IF(J28=0,0,1000000*J28/TrRoad_act!J68)</f>
        <v>31015.690025746848</v>
      </c>
      <c r="K119" s="101">
        <f>IF(K28=0,0,1000000*K28/TrRoad_act!K68)</f>
        <v>29946.315860131454</v>
      </c>
      <c r="L119" s="101">
        <f>IF(L28=0,0,1000000*L28/TrRoad_act!L68)</f>
        <v>27624.374240683715</v>
      </c>
      <c r="M119" s="101">
        <f>IF(M28=0,0,1000000*M28/TrRoad_act!M68)</f>
        <v>25362.828014024286</v>
      </c>
      <c r="N119" s="101">
        <f>IF(N28=0,0,1000000*N28/TrRoad_act!N68)</f>
        <v>24867.775466861811</v>
      </c>
      <c r="O119" s="101">
        <f>IF(O28=0,0,1000000*O28/TrRoad_act!O68)</f>
        <v>24460.839104922168</v>
      </c>
      <c r="P119" s="101">
        <f>IF(P28=0,0,1000000*P28/TrRoad_act!P68)</f>
        <v>23478.663482380067</v>
      </c>
      <c r="Q119" s="101">
        <f>IF(Q28=0,0,1000000*Q28/TrRoad_act!Q68)</f>
        <v>23326.746795257142</v>
      </c>
      <c r="R119" s="101">
        <f>IF(R28=0,0,1000000*R28/TrRoad_act!R68)</f>
        <v>23881.279181014659</v>
      </c>
      <c r="S119" s="101">
        <f>IF(S28=0,0,1000000*S28/TrRoad_act!S68)</f>
        <v>23462.780679726155</v>
      </c>
      <c r="T119" s="101">
        <f>IF(T28=0,0,1000000*T28/TrRoad_act!T68)</f>
        <v>23509.867432532279</v>
      </c>
      <c r="U119" s="101">
        <f>IF(U28=0,0,1000000*U28/TrRoad_act!U68)</f>
        <v>22915.510490187437</v>
      </c>
      <c r="V119" s="101">
        <f>IF(V28=0,0,1000000*V28/TrRoad_act!V68)</f>
        <v>23436.928644485004</v>
      </c>
      <c r="W119" s="101">
        <f>IF(W28=0,0,1000000*W28/TrRoad_act!W68)</f>
        <v>22917.67539541013</v>
      </c>
      <c r="X119" s="101">
        <f>IF(X28=0,0,1000000*X28/TrRoad_act!X68)</f>
        <v>22687.283894125965</v>
      </c>
      <c r="Y119" s="101">
        <f>IF(Y28=0,0,1000000*Y28/TrRoad_act!Y68)</f>
        <v>22951.121149214185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135912.69990787841</v>
      </c>
      <c r="C120" s="101">
        <f>IF(C29=0,0,1000000*C29/TrRoad_act!C69)</f>
        <v>132330.45488602531</v>
      </c>
      <c r="D120" s="101">
        <f>IF(D29=0,0,1000000*D29/TrRoad_act!D69)</f>
        <v>130767.67271671715</v>
      </c>
      <c r="E120" s="101">
        <f>IF(E29=0,0,1000000*E29/TrRoad_act!E69)</f>
        <v>133531.45930901245</v>
      </c>
      <c r="F120" s="101">
        <f>IF(F29=0,0,1000000*F29/TrRoad_act!F69)</f>
        <v>136147.94336012474</v>
      </c>
      <c r="G120" s="101">
        <f>IF(G29=0,0,1000000*G29/TrRoad_act!G69)</f>
        <v>125021.50894509167</v>
      </c>
      <c r="H120" s="101">
        <f>IF(H29=0,0,1000000*H29/TrRoad_act!H69)</f>
        <v>122204.74809343652</v>
      </c>
      <c r="I120" s="101">
        <f>IF(I29=0,0,1000000*I29/TrRoad_act!I69)</f>
        <v>118525.39904068952</v>
      </c>
      <c r="J120" s="101">
        <f>IF(J29=0,0,1000000*J29/TrRoad_act!J69)</f>
        <v>113897.12577337403</v>
      </c>
      <c r="K120" s="101">
        <f>IF(K29=0,0,1000000*K29/TrRoad_act!K69)</f>
        <v>111242.47859031498</v>
      </c>
      <c r="L120" s="101">
        <f>IF(L29=0,0,1000000*L29/TrRoad_act!L69)</f>
        <v>112816.29746284438</v>
      </c>
      <c r="M120" s="101">
        <f>IF(M29=0,0,1000000*M29/TrRoad_act!M69)</f>
        <v>109474.36062683909</v>
      </c>
      <c r="N120" s="101">
        <f>IF(N29=0,0,1000000*N29/TrRoad_act!N69)</f>
        <v>105751.3650921321</v>
      </c>
      <c r="O120" s="101">
        <f>IF(O29=0,0,1000000*O29/TrRoad_act!O69)</f>
        <v>97800.635195748095</v>
      </c>
      <c r="P120" s="101">
        <f>IF(P29=0,0,1000000*P29/TrRoad_act!P69)</f>
        <v>88659.205862099639</v>
      </c>
      <c r="Q120" s="101">
        <f>IF(Q29=0,0,1000000*Q29/TrRoad_act!Q69)</f>
        <v>87508.664729695069</v>
      </c>
      <c r="R120" s="101">
        <f>IF(R29=0,0,1000000*R29/TrRoad_act!R69)</f>
        <v>83289.287925197757</v>
      </c>
      <c r="S120" s="101">
        <f>IF(S29=0,0,1000000*S29/TrRoad_act!S69)</f>
        <v>78969.527843098869</v>
      </c>
      <c r="T120" s="101">
        <f>IF(T29=0,0,1000000*T29/TrRoad_act!T69)</f>
        <v>76470.880527389396</v>
      </c>
      <c r="U120" s="101">
        <f>IF(U29=0,0,1000000*U29/TrRoad_act!U69)</f>
        <v>74662.944653847662</v>
      </c>
      <c r="V120" s="101">
        <f>IF(V29=0,0,1000000*V29/TrRoad_act!V69)</f>
        <v>76738.954678408772</v>
      </c>
      <c r="W120" s="101">
        <f>IF(W29=0,0,1000000*W29/TrRoad_act!W69)</f>
        <v>74093.999430346536</v>
      </c>
      <c r="X120" s="101">
        <f>IF(X29=0,0,1000000*X29/TrRoad_act!X69)</f>
        <v>65371.080732142625</v>
      </c>
      <c r="Y120" s="101">
        <f>IF(Y29=0,0,1000000*Y29/TrRoad_act!Y69)</f>
        <v>68806.897101541355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0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70092.000000000029</v>
      </c>
      <c r="C122" s="101">
        <f>IF(C31=0,0,1000000*C31/TrRoad_act!C71)</f>
        <v>64479.357122189744</v>
      </c>
      <c r="D122" s="101">
        <f>IF(D31=0,0,1000000*D31/TrRoad_act!D71)</f>
        <v>65733.464319395513</v>
      </c>
      <c r="E122" s="101">
        <f>IF(E31=0,0,1000000*E31/TrRoad_act!E71)</f>
        <v>90359.531107672257</v>
      </c>
      <c r="F122" s="101">
        <f>IF(F31=0,0,1000000*F31/TrRoad_act!F71)</f>
        <v>59757.286102372542</v>
      </c>
      <c r="G122" s="101">
        <f>IF(G31=0,0,1000000*G31/TrRoad_act!G71)</f>
        <v>21971.357567800314</v>
      </c>
      <c r="H122" s="101">
        <f>IF(H31=0,0,1000000*H31/TrRoad_act!H71)</f>
        <v>67626.288505995224</v>
      </c>
      <c r="I122" s="101">
        <f>IF(I31=0,0,1000000*I31/TrRoad_act!I71)</f>
        <v>57181.228299925577</v>
      </c>
      <c r="J122" s="101">
        <f>IF(J31=0,0,1000000*J31/TrRoad_act!J71)</f>
        <v>52858.070930462934</v>
      </c>
      <c r="K122" s="101">
        <f>IF(K31=0,0,1000000*K31/TrRoad_act!K71)</f>
        <v>32805.677456861282</v>
      </c>
      <c r="L122" s="101">
        <f>IF(L31=0,0,1000000*L31/TrRoad_act!L71)</f>
        <v>35703.402462467508</v>
      </c>
      <c r="M122" s="101">
        <f>IF(M31=0,0,1000000*M31/TrRoad_act!M71)</f>
        <v>44758.97237783717</v>
      </c>
      <c r="N122" s="101">
        <f>IF(N31=0,0,1000000*N31/TrRoad_act!N71)</f>
        <v>48394.952011456378</v>
      </c>
      <c r="O122" s="101">
        <f>IF(O31=0,0,1000000*O31/TrRoad_act!O71)</f>
        <v>20485.83936746556</v>
      </c>
      <c r="P122" s="101">
        <f>IF(P31=0,0,1000000*P31/TrRoad_act!P71)</f>
        <v>18058.337361997761</v>
      </c>
      <c r="Q122" s="101">
        <f>IF(Q31=0,0,1000000*Q31/TrRoad_act!Q71)</f>
        <v>11337.924742794627</v>
      </c>
      <c r="R122" s="101">
        <f>IF(R31=0,0,1000000*R31/TrRoad_act!R71)</f>
        <v>11336.338134993328</v>
      </c>
      <c r="S122" s="101">
        <f>IF(S31=0,0,1000000*S31/TrRoad_act!S71)</f>
        <v>3647.3779161082925</v>
      </c>
      <c r="T122" s="101">
        <f>IF(T31=0,0,1000000*T31/TrRoad_act!T71)</f>
        <v>3226.5666529099162</v>
      </c>
      <c r="U122" s="101">
        <f>IF(U31=0,0,1000000*U31/TrRoad_act!U71)</f>
        <v>4171.8530134612774</v>
      </c>
      <c r="V122" s="101">
        <f>IF(V31=0,0,1000000*V31/TrRoad_act!V71)</f>
        <v>3705.1988364804315</v>
      </c>
      <c r="W122" s="101">
        <f>IF(W31=0,0,1000000*W31/TrRoad_act!W71)</f>
        <v>3723.4958406061651</v>
      </c>
      <c r="X122" s="101">
        <f>IF(X31=0,0,1000000*X31/TrRoad_act!X71)</f>
        <v>2515.022857755836</v>
      </c>
      <c r="Y122" s="101">
        <f>IF(Y31=0,0,1000000*Y31/TrRoad_act!Y71)</f>
        <v>7482.6260413342216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4403.4398364969902</v>
      </c>
      <c r="C125" s="152">
        <f>IF(C34=0,0,1000000*C34/TrRoad_act!C74)</f>
        <v>4539.4928913674148</v>
      </c>
      <c r="D125" s="152">
        <f>IF(D34=0,0,1000000*D34/TrRoad_act!D74)</f>
        <v>4553.3915884947746</v>
      </c>
      <c r="E125" s="152">
        <f>IF(E34=0,0,1000000*E34/TrRoad_act!E74)</f>
        <v>4730.3654955602669</v>
      </c>
      <c r="F125" s="152">
        <f>IF(F34=0,0,1000000*F34/TrRoad_act!F74)</f>
        <v>4997.4966307881887</v>
      </c>
      <c r="G125" s="152">
        <f>IF(G34=0,0,1000000*G34/TrRoad_act!G74)</f>
        <v>4210.0719349802812</v>
      </c>
      <c r="H125" s="152">
        <f>IF(H34=0,0,1000000*H34/TrRoad_act!H74)</f>
        <v>4317.39853641215</v>
      </c>
      <c r="I125" s="152">
        <f>IF(I34=0,0,1000000*I34/TrRoad_act!I74)</f>
        <v>4167.9489148807907</v>
      </c>
      <c r="J125" s="152">
        <f>IF(J34=0,0,1000000*J34/TrRoad_act!J74)</f>
        <v>4101.6131256246063</v>
      </c>
      <c r="K125" s="152">
        <f>IF(K34=0,0,1000000*K34/TrRoad_act!K74)</f>
        <v>3978.9912395833071</v>
      </c>
      <c r="L125" s="152">
        <f>IF(L34=0,0,1000000*L34/TrRoad_act!L74)</f>
        <v>4269.1609860823628</v>
      </c>
      <c r="M125" s="152">
        <f>IF(M34=0,0,1000000*M34/TrRoad_act!M74)</f>
        <v>4104.0721089846766</v>
      </c>
      <c r="N125" s="152">
        <f>IF(N34=0,0,1000000*N34/TrRoad_act!N74)</f>
        <v>3905.3926993808186</v>
      </c>
      <c r="O125" s="152">
        <f>IF(O34=0,0,1000000*O34/TrRoad_act!O74)</f>
        <v>3681.8440469032162</v>
      </c>
      <c r="P125" s="152">
        <f>IF(P34=0,0,1000000*P34/TrRoad_act!P74)</f>
        <v>3278.9998009196352</v>
      </c>
      <c r="Q125" s="152">
        <f>IF(Q34=0,0,1000000*Q34/TrRoad_act!Q74)</f>
        <v>3219.7213651475899</v>
      </c>
      <c r="R125" s="152">
        <f>IF(R34=0,0,1000000*R34/TrRoad_act!R74)</f>
        <v>2850.3451272583497</v>
      </c>
      <c r="S125" s="152">
        <f>IF(S34=0,0,1000000*S34/TrRoad_act!S74)</f>
        <v>2764.8831095018522</v>
      </c>
      <c r="T125" s="152">
        <f>IF(T34=0,0,1000000*T34/TrRoad_act!T74)</f>
        <v>2489.6690194248536</v>
      </c>
      <c r="U125" s="152">
        <f>IF(U34=0,0,1000000*U34/TrRoad_act!U74)</f>
        <v>2488.4956789083217</v>
      </c>
      <c r="V125" s="152">
        <f>IF(V34=0,0,1000000*V34/TrRoad_act!V74)</f>
        <v>2520.7267955173525</v>
      </c>
      <c r="W125" s="152">
        <f>IF(W34=0,0,1000000*W34/TrRoad_act!W74)</f>
        <v>2536.9860433385438</v>
      </c>
      <c r="X125" s="152">
        <f>IF(X34=0,0,1000000*X34/TrRoad_act!X74)</f>
        <v>2126.7376196649261</v>
      </c>
      <c r="Y125" s="152">
        <f>IF(Y34=0,0,1000000*Y34/TrRoad_act!Y74)</f>
        <v>2186.2413653014173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2659.9723779871724</v>
      </c>
      <c r="C126" s="87">
        <f>IF(C35=0,0,1000000*C35/TrRoad_act!C75)</f>
        <v>2656.472986785237</v>
      </c>
      <c r="D126" s="87">
        <f>IF(D35=0,0,1000000*D35/TrRoad_act!D75)</f>
        <v>2568.9347897164089</v>
      </c>
      <c r="E126" s="87">
        <f>IF(E35=0,0,1000000*E35/TrRoad_act!E75)</f>
        <v>2392.125498728321</v>
      </c>
      <c r="F126" s="87">
        <f>IF(F35=0,0,1000000*F35/TrRoad_act!F75)</f>
        <v>2240.0328749940786</v>
      </c>
      <c r="G126" s="87">
        <f>IF(G35=0,0,1000000*G35/TrRoad_act!G75)</f>
        <v>2188.0361211592317</v>
      </c>
      <c r="H126" s="87">
        <f>IF(H35=0,0,1000000*H35/TrRoad_act!H75)</f>
        <v>2065.8416741927199</v>
      </c>
      <c r="I126" s="87">
        <f>IF(I35=0,0,1000000*I35/TrRoad_act!I75)</f>
        <v>2031.6048590787532</v>
      </c>
      <c r="J126" s="87">
        <f>IF(J35=0,0,1000000*J35/TrRoad_act!J75)</f>
        <v>1955.3029990752252</v>
      </c>
      <c r="K126" s="87">
        <f>IF(K35=0,0,1000000*K35/TrRoad_act!K75)</f>
        <v>1910.5317745029861</v>
      </c>
      <c r="L126" s="87">
        <f>IF(L35=0,0,1000000*L35/TrRoad_act!L75)</f>
        <v>1810.2846466106769</v>
      </c>
      <c r="M126" s="87">
        <f>IF(M35=0,0,1000000*M35/TrRoad_act!M75)</f>
        <v>1804.5708799110118</v>
      </c>
      <c r="N126" s="87">
        <f>IF(N35=0,0,1000000*N35/TrRoad_act!N75)</f>
        <v>1759.5135303760462</v>
      </c>
      <c r="O126" s="87">
        <f>IF(O35=0,0,1000000*O35/TrRoad_act!O75)</f>
        <v>1745.9219116875163</v>
      </c>
      <c r="P126" s="87">
        <f>IF(P35=0,0,1000000*P35/TrRoad_act!P75)</f>
        <v>1709.7945877292461</v>
      </c>
      <c r="Q126" s="87">
        <f>IF(Q35=0,0,1000000*Q35/TrRoad_act!Q75)</f>
        <v>1779.2826029879477</v>
      </c>
      <c r="R126" s="87">
        <f>IF(R35=0,0,1000000*R35/TrRoad_act!R75)</f>
        <v>1583.2612173556863</v>
      </c>
      <c r="S126" s="87">
        <f>IF(S35=0,0,1000000*S35/TrRoad_act!S75)</f>
        <v>1462.9335440906132</v>
      </c>
      <c r="T126" s="87">
        <f>IF(T35=0,0,1000000*T35/TrRoad_act!T75)</f>
        <v>1430.5337713437809</v>
      </c>
      <c r="U126" s="87">
        <f>IF(U35=0,0,1000000*U35/TrRoad_act!U75)</f>
        <v>1424.2140565746924</v>
      </c>
      <c r="V126" s="87">
        <f>IF(V35=0,0,1000000*V35/TrRoad_act!V75)</f>
        <v>1431.124945600239</v>
      </c>
      <c r="W126" s="87">
        <f>IF(W35=0,0,1000000*W35/TrRoad_act!W75)</f>
        <v>1536.6875187049254</v>
      </c>
      <c r="X126" s="87">
        <f>IF(X35=0,0,1000000*X35/TrRoad_act!X75)</f>
        <v>1670.3988071606641</v>
      </c>
      <c r="Y126" s="87">
        <f>IF(Y35=0,0,1000000*Y35/TrRoad_act!Y75)</f>
        <v>1736.773257941968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7027.9049164663729</v>
      </c>
      <c r="C127" s="87">
        <f>IF(C36=0,0,1000000*C36/TrRoad_act!C76)</f>
        <v>6759.3873108742418</v>
      </c>
      <c r="D127" s="87">
        <f>IF(D36=0,0,1000000*D36/TrRoad_act!D76)</f>
        <v>6492.0393340158635</v>
      </c>
      <c r="E127" s="87">
        <f>IF(E36=0,0,1000000*E36/TrRoad_act!E76)</f>
        <v>6634.2308430205921</v>
      </c>
      <c r="F127" s="87">
        <f>IF(F36=0,0,1000000*F36/TrRoad_act!F76)</f>
        <v>6845.4669635455584</v>
      </c>
      <c r="G127" s="87">
        <f>IF(G36=0,0,1000000*G36/TrRoad_act!G76)</f>
        <v>5335.6521925439856</v>
      </c>
      <c r="H127" s="87">
        <f>IF(H36=0,0,1000000*H36/TrRoad_act!H76)</f>
        <v>5373.4273189488586</v>
      </c>
      <c r="I127" s="87">
        <f>IF(I36=0,0,1000000*I36/TrRoad_act!I76)</f>
        <v>5007.4928414286442</v>
      </c>
      <c r="J127" s="87">
        <f>IF(J36=0,0,1000000*J36/TrRoad_act!J76)</f>
        <v>4839.4312364669167</v>
      </c>
      <c r="K127" s="87">
        <f>IF(K36=0,0,1000000*K36/TrRoad_act!K76)</f>
        <v>4628.0622545557135</v>
      </c>
      <c r="L127" s="87">
        <f>IF(L36=0,0,1000000*L36/TrRoad_act!L76)</f>
        <v>4957.5471460970248</v>
      </c>
      <c r="M127" s="87">
        <f>IF(M36=0,0,1000000*M36/TrRoad_act!M76)</f>
        <v>4649.6767550484092</v>
      </c>
      <c r="N127" s="87">
        <f>IF(N36=0,0,1000000*N36/TrRoad_act!N76)</f>
        <v>4352.9249248555616</v>
      </c>
      <c r="O127" s="87">
        <f>IF(O36=0,0,1000000*O36/TrRoad_act!O76)</f>
        <v>4027.2391355147788</v>
      </c>
      <c r="P127" s="87">
        <f>IF(P36=0,0,1000000*P36/TrRoad_act!P76)</f>
        <v>3534.8920331063828</v>
      </c>
      <c r="Q127" s="87">
        <f>IF(Q36=0,0,1000000*Q36/TrRoad_act!Q76)</f>
        <v>3435.7247622007512</v>
      </c>
      <c r="R127" s="87">
        <f>IF(R36=0,0,1000000*R36/TrRoad_act!R76)</f>
        <v>3022.083747417023</v>
      </c>
      <c r="S127" s="87">
        <f>IF(S36=0,0,1000000*S36/TrRoad_act!S76)</f>
        <v>2930.1774401660678</v>
      </c>
      <c r="T127" s="87">
        <f>IF(T36=0,0,1000000*T36/TrRoad_act!T76)</f>
        <v>2639.1070921118135</v>
      </c>
      <c r="U127" s="87">
        <f>IF(U36=0,0,1000000*U36/TrRoad_act!U76)</f>
        <v>2641.0189648080118</v>
      </c>
      <c r="V127" s="87">
        <f>IF(V36=0,0,1000000*V36/TrRoad_act!V76)</f>
        <v>2683.5683201546667</v>
      </c>
      <c r="W127" s="87">
        <f>IF(W36=0,0,1000000*W36/TrRoad_act!W76)</f>
        <v>2700.5358283101864</v>
      </c>
      <c r="X127" s="87">
        <f>IF(X36=0,0,1000000*X36/TrRoad_act!X76)</f>
        <v>2251.6301714408751</v>
      </c>
      <c r="Y127" s="87">
        <f>IF(Y36=0,0,1000000*Y36/TrRoad_act!Y76)</f>
        <v>2336.158195152912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X128" s="87">
        <f>IF(X37=0,0,1000000*X37/TrRoad_act!X77)</f>
        <v>0</v>
      </c>
      <c r="Y128" s="87">
        <f>IF(Y37=0,0,1000000*Y37/TrRoad_act!Y77)</f>
        <v>0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1650.3597262834935</v>
      </c>
      <c r="D129" s="87">
        <f>IF(D38=0,0,1000000*D38/TrRoad_act!D78)</f>
        <v>1729.7857556292638</v>
      </c>
      <c r="E129" s="87">
        <f>IF(E38=0,0,1000000*E38/TrRoad_act!E78)</f>
        <v>1795.6217533621025</v>
      </c>
      <c r="F129" s="87">
        <f>IF(F38=0,0,1000000*F38/TrRoad_act!F78)</f>
        <v>1895.635031381111</v>
      </c>
      <c r="G129" s="87">
        <f>IF(G38=0,0,1000000*G38/TrRoad_act!G78)</f>
        <v>1667.5401521608055</v>
      </c>
      <c r="H129" s="87">
        <f>IF(H38=0,0,1000000*H38/TrRoad_act!H78)</f>
        <v>1702.2354010360175</v>
      </c>
      <c r="I129" s="87">
        <f>IF(I38=0,0,1000000*I38/TrRoad_act!I78)</f>
        <v>1673.252318663765</v>
      </c>
      <c r="J129" s="87">
        <f>IF(J38=0,0,1000000*J38/TrRoad_act!J78)</f>
        <v>914.5948035099301</v>
      </c>
      <c r="K129" s="87">
        <f>IF(K38=0,0,1000000*K38/TrRoad_act!K78)</f>
        <v>770.79936385076644</v>
      </c>
      <c r="L129" s="87">
        <f>IF(L38=0,0,1000000*L38/TrRoad_act!L78)</f>
        <v>951.10719009178706</v>
      </c>
      <c r="M129" s="87">
        <f>IF(M38=0,0,1000000*M38/TrRoad_act!M78)</f>
        <v>610.71466344356247</v>
      </c>
      <c r="N129" s="87">
        <f>IF(N38=0,0,1000000*N38/TrRoad_act!N78)</f>
        <v>687.94074181022893</v>
      </c>
      <c r="O129" s="87">
        <f>IF(O38=0,0,1000000*O38/TrRoad_act!O78)</f>
        <v>668.08887274618473</v>
      </c>
      <c r="P129" s="87">
        <f>IF(P38=0,0,1000000*P38/TrRoad_act!P78)</f>
        <v>631.34189865836129</v>
      </c>
      <c r="Q129" s="87">
        <f>IF(Q38=0,0,1000000*Q38/TrRoad_act!Q78)</f>
        <v>463.84798503399861</v>
      </c>
      <c r="R129" s="87">
        <f>IF(R38=0,0,1000000*R38/TrRoad_act!R78)</f>
        <v>472.51712362086135</v>
      </c>
      <c r="S129" s="87">
        <f>IF(S38=0,0,1000000*S38/TrRoad_act!S78)</f>
        <v>193.66044262375232</v>
      </c>
      <c r="T129" s="87">
        <f>IF(T38=0,0,1000000*T38/TrRoad_act!T78)</f>
        <v>149.2955712511999</v>
      </c>
      <c r="U129" s="87">
        <f>IF(U38=0,0,1000000*U38/TrRoad_act!U78)</f>
        <v>137.50808975360508</v>
      </c>
      <c r="V129" s="87">
        <f>IF(V38=0,0,1000000*V38/TrRoad_act!V78)</f>
        <v>147.83990460080076</v>
      </c>
      <c r="W129" s="87">
        <f>IF(W38=0,0,1000000*W38/TrRoad_act!W78)</f>
        <v>172.81777857770959</v>
      </c>
      <c r="X129" s="87">
        <f>IF(X38=0,0,1000000*X38/TrRoad_act!X78)</f>
        <v>127.90477222088965</v>
      </c>
      <c r="Y129" s="87">
        <f>IF(Y38=0,0,1000000*Y38/TrRoad_act!Y78)</f>
        <v>264.86563724679053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48352.144166862214</v>
      </c>
      <c r="C131" s="116">
        <f>IF(C40=0,0,1000000*C40/TrRoad_act!C80)</f>
        <v>48507.841243183524</v>
      </c>
      <c r="D131" s="116">
        <f>IF(D40=0,0,1000000*D40/TrRoad_act!D80)</f>
        <v>48585.629925877627</v>
      </c>
      <c r="E131" s="116">
        <f>IF(E40=0,0,1000000*E40/TrRoad_act!E80)</f>
        <v>50539.572406154562</v>
      </c>
      <c r="F131" s="116">
        <f>IF(F40=0,0,1000000*F40/TrRoad_act!F80)</f>
        <v>54072.254512391228</v>
      </c>
      <c r="G131" s="116">
        <f>IF(G40=0,0,1000000*G40/TrRoad_act!G80)</f>
        <v>52171.492116024448</v>
      </c>
      <c r="H131" s="116">
        <f>IF(H40=0,0,1000000*H40/TrRoad_act!H80)</f>
        <v>51288.34569602806</v>
      </c>
      <c r="I131" s="116">
        <f>IF(I40=0,0,1000000*I40/TrRoad_act!I80)</f>
        <v>50538.619121963893</v>
      </c>
      <c r="J131" s="116">
        <f>IF(J40=0,0,1000000*J40/TrRoad_act!J80)</f>
        <v>51084.906061091351</v>
      </c>
      <c r="K131" s="116">
        <f>IF(K40=0,0,1000000*K40/TrRoad_act!K80)</f>
        <v>46279.13856484268</v>
      </c>
      <c r="L131" s="116">
        <f>IF(L40=0,0,1000000*L40/TrRoad_act!L80)</f>
        <v>48587.720444254359</v>
      </c>
      <c r="M131" s="116">
        <f>IF(M40=0,0,1000000*M40/TrRoad_act!M80)</f>
        <v>43989.078527742036</v>
      </c>
      <c r="N131" s="116">
        <f>IF(N40=0,0,1000000*N40/TrRoad_act!N80)</f>
        <v>37463.379990131165</v>
      </c>
      <c r="O131" s="116">
        <f>IF(O40=0,0,1000000*O40/TrRoad_act!O80)</f>
        <v>39409.546956640756</v>
      </c>
      <c r="P131" s="116">
        <f>IF(P40=0,0,1000000*P40/TrRoad_act!P80)</f>
        <v>38304.910662812719</v>
      </c>
      <c r="Q131" s="116">
        <f>IF(Q40=0,0,1000000*Q40/TrRoad_act!Q80)</f>
        <v>36212.932462988305</v>
      </c>
      <c r="R131" s="116">
        <f>IF(R40=0,0,1000000*R40/TrRoad_act!R80)</f>
        <v>30516.018166840986</v>
      </c>
      <c r="S131" s="116">
        <f>IF(S40=0,0,1000000*S40/TrRoad_act!S80)</f>
        <v>28816.461253673235</v>
      </c>
      <c r="T131" s="116">
        <f>IF(T40=0,0,1000000*T40/TrRoad_act!T80)</f>
        <v>25782.219401175265</v>
      </c>
      <c r="U131" s="116">
        <f>IF(U40=0,0,1000000*U40/TrRoad_act!U80)</f>
        <v>24925.792541200008</v>
      </c>
      <c r="V131" s="116">
        <f>IF(V40=0,0,1000000*V40/TrRoad_act!V80)</f>
        <v>26236.992862897067</v>
      </c>
      <c r="W131" s="116">
        <f>IF(W40=0,0,1000000*W40/TrRoad_act!W80)</f>
        <v>27463.141867992348</v>
      </c>
      <c r="X131" s="116">
        <f>IF(X40=0,0,1000000*X40/TrRoad_act!X80)</f>
        <v>23808.859738423729</v>
      </c>
      <c r="Y131" s="116">
        <f>IF(Y40=0,0,1000000*Y40/TrRoad_act!Y80)</f>
        <v>23182.105302572785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41618.585315074546</v>
      </c>
      <c r="C132" s="101">
        <f>IF(C41=0,0,1000000*C41/TrRoad_act!C81)</f>
        <v>41291.960381504177</v>
      </c>
      <c r="D132" s="101">
        <f>IF(D41=0,0,1000000*D41/TrRoad_act!D81)</f>
        <v>41305.632113957647</v>
      </c>
      <c r="E132" s="101">
        <f>IF(E41=0,0,1000000*E41/TrRoad_act!E81)</f>
        <v>42648.86438200964</v>
      </c>
      <c r="F132" s="101">
        <f>IF(F41=0,0,1000000*F41/TrRoad_act!F81)</f>
        <v>44785.544440675396</v>
      </c>
      <c r="G132" s="101">
        <f>IF(G41=0,0,1000000*G41/TrRoad_act!G81)</f>
        <v>43795.387078989108</v>
      </c>
      <c r="H132" s="101">
        <f>IF(H41=0,0,1000000*H41/TrRoad_act!H81)</f>
        <v>42424.377414233117</v>
      </c>
      <c r="I132" s="101">
        <f>IF(I41=0,0,1000000*I41/TrRoad_act!I81)</f>
        <v>42138.046463901133</v>
      </c>
      <c r="J132" s="101">
        <f>IF(J41=0,0,1000000*J41/TrRoad_act!J81)</f>
        <v>43227.369286197638</v>
      </c>
      <c r="K132" s="101">
        <f>IF(K41=0,0,1000000*K41/TrRoad_act!K81)</f>
        <v>39686.849074627025</v>
      </c>
      <c r="L132" s="101">
        <f>IF(L41=0,0,1000000*L41/TrRoad_act!L81)</f>
        <v>41440.091992789261</v>
      </c>
      <c r="M132" s="101">
        <f>IF(M41=0,0,1000000*M41/TrRoad_act!M81)</f>
        <v>37197.616589994963</v>
      </c>
      <c r="N132" s="101">
        <f>IF(N41=0,0,1000000*N41/TrRoad_act!N81)</f>
        <v>31187.63106001732</v>
      </c>
      <c r="O132" s="101">
        <f>IF(O41=0,0,1000000*O41/TrRoad_act!O81)</f>
        <v>32341.271864511331</v>
      </c>
      <c r="P132" s="101">
        <f>IF(P41=0,0,1000000*P41/TrRoad_act!P81)</f>
        <v>33444.097029532561</v>
      </c>
      <c r="Q132" s="101">
        <f>IF(Q41=0,0,1000000*Q41/TrRoad_act!Q81)</f>
        <v>31058.493601872971</v>
      </c>
      <c r="R132" s="101">
        <f>IF(R41=0,0,1000000*R41/TrRoad_act!R81)</f>
        <v>25851.827485812631</v>
      </c>
      <c r="S132" s="101">
        <f>IF(S41=0,0,1000000*S41/TrRoad_act!S81)</f>
        <v>24393.751522965573</v>
      </c>
      <c r="T132" s="101">
        <f>IF(T41=0,0,1000000*T41/TrRoad_act!T81)</f>
        <v>21892.265403298683</v>
      </c>
      <c r="U132" s="101">
        <f>IF(U41=0,0,1000000*U41/TrRoad_act!U81)</f>
        <v>21218.922793848513</v>
      </c>
      <c r="V132" s="101">
        <f>IF(V41=0,0,1000000*V41/TrRoad_act!V81)</f>
        <v>22154.704337926887</v>
      </c>
      <c r="W132" s="101">
        <f>IF(W41=0,0,1000000*W41/TrRoad_act!W81)</f>
        <v>23155.161819597888</v>
      </c>
      <c r="X132" s="101">
        <f>IF(X41=0,0,1000000*X41/TrRoad_act!X81)</f>
        <v>20587.209777122785</v>
      </c>
      <c r="Y132" s="101">
        <f>IF(Y41=0,0,1000000*Y41/TrRoad_act!Y81)</f>
        <v>19578.111949511953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128466.84453625398</v>
      </c>
      <c r="C133" s="88">
        <f>IF(C42=0,0,1000000*C42/TrRoad_act!C82)</f>
        <v>128185.18116669668</v>
      </c>
      <c r="D133" s="88">
        <f>IF(D42=0,0,1000000*D42/TrRoad_act!D82)</f>
        <v>123429.791483263</v>
      </c>
      <c r="E133" s="88">
        <f>IF(E42=0,0,1000000*E42/TrRoad_act!E82)</f>
        <v>128382.12961624634</v>
      </c>
      <c r="F133" s="88">
        <f>IF(F42=0,0,1000000*F42/TrRoad_act!F82)</f>
        <v>132202.08436243099</v>
      </c>
      <c r="G133" s="88">
        <f>IF(G42=0,0,1000000*G42/TrRoad_act!G82)</f>
        <v>121136.5434150151</v>
      </c>
      <c r="H133" s="88">
        <f>IF(H42=0,0,1000000*H42/TrRoad_act!H82)</f>
        <v>120639.8909287296</v>
      </c>
      <c r="I133" s="88">
        <f>IF(I42=0,0,1000000*I42/TrRoad_act!I82)</f>
        <v>116606.87838312439</v>
      </c>
      <c r="J133" s="88">
        <f>IF(J42=0,0,1000000*J42/TrRoad_act!J82)</f>
        <v>114424.14230509569</v>
      </c>
      <c r="K133" s="88">
        <f>IF(K42=0,0,1000000*K42/TrRoad_act!K82)</f>
        <v>112678.04952071822</v>
      </c>
      <c r="L133" s="88">
        <f>IF(L42=0,0,1000000*L42/TrRoad_act!L82)</f>
        <v>114868.3891392307</v>
      </c>
      <c r="M133" s="88">
        <f>IF(M42=0,0,1000000*M42/TrRoad_act!M82)</f>
        <v>111118.84568481822</v>
      </c>
      <c r="N133" s="88">
        <f>IF(N42=0,0,1000000*N42/TrRoad_act!N82)</f>
        <v>101931.77059637656</v>
      </c>
      <c r="O133" s="88">
        <f>IF(O42=0,0,1000000*O42/TrRoad_act!O82)</f>
        <v>98354.877942437539</v>
      </c>
      <c r="P133" s="88">
        <f>IF(P42=0,0,1000000*P42/TrRoad_act!P82)</f>
        <v>80978.990923673817</v>
      </c>
      <c r="Q133" s="88">
        <f>IF(Q42=0,0,1000000*Q42/TrRoad_act!Q82)</f>
        <v>75959.612491574066</v>
      </c>
      <c r="R133" s="88">
        <f>IF(R42=0,0,1000000*R42/TrRoad_act!R82)</f>
        <v>64973.239510630185</v>
      </c>
      <c r="S133" s="88">
        <f>IF(S42=0,0,1000000*S42/TrRoad_act!S82)</f>
        <v>62573.244140662566</v>
      </c>
      <c r="T133" s="88">
        <f>IF(T42=0,0,1000000*T42/TrRoad_act!T82)</f>
        <v>55549.642081539714</v>
      </c>
      <c r="U133" s="88">
        <f>IF(U42=0,0,1000000*U42/TrRoad_act!U82)</f>
        <v>55129.916408508514</v>
      </c>
      <c r="V133" s="88">
        <f>IF(V42=0,0,1000000*V42/TrRoad_act!V82)</f>
        <v>58497.059333646554</v>
      </c>
      <c r="W133" s="88">
        <f>IF(W42=0,0,1000000*W42/TrRoad_act!W82)</f>
        <v>58828.588823398641</v>
      </c>
      <c r="X133" s="88">
        <f>IF(X42=0,0,1000000*X42/TrRoad_act!X82)</f>
        <v>50050.729022914878</v>
      </c>
      <c r="Y133" s="88">
        <f>IF(Y42=0,0,1000000*Y42/TrRoad_act!Y82)</f>
        <v>52346.574451446941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0.74242699257449796</v>
      </c>
      <c r="C136" s="46">
        <f t="shared" si="40"/>
        <v>0.73352700295786899</v>
      </c>
      <c r="D136" s="46">
        <f t="shared" si="40"/>
        <v>0.73709745550348649</v>
      </c>
      <c r="E136" s="46">
        <f t="shared" si="40"/>
        <v>0.7295630227844857</v>
      </c>
      <c r="F136" s="46">
        <f t="shared" si="40"/>
        <v>0.70814126767938246</v>
      </c>
      <c r="G136" s="46">
        <f t="shared" si="40"/>
        <v>0.7073315888729772</v>
      </c>
      <c r="H136" s="46">
        <f t="shared" si="40"/>
        <v>0.70097732188934547</v>
      </c>
      <c r="I136" s="46">
        <f t="shared" si="40"/>
        <v>0.70023840120143388</v>
      </c>
      <c r="J136" s="46">
        <f t="shared" si="40"/>
        <v>0.69549706182675586</v>
      </c>
      <c r="K136" s="46">
        <f t="shared" si="40"/>
        <v>0.71471171500258035</v>
      </c>
      <c r="L136" s="46">
        <f t="shared" si="41"/>
        <v>0.70167712818034267</v>
      </c>
      <c r="M136" s="46">
        <f t="shared" si="40"/>
        <v>0.70595955896222762</v>
      </c>
      <c r="N136" s="46">
        <f t="shared" si="40"/>
        <v>0.72433048075674278</v>
      </c>
      <c r="O136" s="46">
        <f t="shared" si="40"/>
        <v>0.72103998930353075</v>
      </c>
      <c r="P136" s="46">
        <f t="shared" si="40"/>
        <v>0.72777801243080797</v>
      </c>
      <c r="Q136" s="46">
        <f t="shared" si="40"/>
        <v>0.73507203178039793</v>
      </c>
      <c r="R136" s="46">
        <f t="shared" si="40"/>
        <v>0.75349035229837213</v>
      </c>
      <c r="S136" s="46">
        <f t="shared" si="40"/>
        <v>0.75255848384975432</v>
      </c>
      <c r="T136" s="46">
        <f t="shared" si="40"/>
        <v>0.76045847900086538</v>
      </c>
      <c r="U136" s="46">
        <f t="shared" si="40"/>
        <v>0.76392122352537917</v>
      </c>
      <c r="V136" s="46">
        <f t="shared" si="40"/>
        <v>0.73800191217469291</v>
      </c>
      <c r="W136" s="46">
        <f t="shared" si="42"/>
        <v>0.73126087342186452</v>
      </c>
      <c r="X136" s="46">
        <f t="shared" si="42"/>
        <v>0.73706054756451556</v>
      </c>
      <c r="Y136" s="46">
        <f t="shared" si="42"/>
        <v>0.73949856115159396</v>
      </c>
      <c r="DA136" s="211"/>
    </row>
    <row r="137" spans="1:105" ht="11.45" customHeight="1" x14ac:dyDescent="0.25">
      <c r="A137" s="153" t="s">
        <v>173</v>
      </c>
      <c r="B137" s="154">
        <f t="shared" si="40"/>
        <v>3.2799380282083871E-3</v>
      </c>
      <c r="C137" s="154">
        <f t="shared" si="40"/>
        <v>3.523351559534987E-3</v>
      </c>
      <c r="D137" s="154">
        <f t="shared" si="40"/>
        <v>3.8284804463739061E-3</v>
      </c>
      <c r="E137" s="154">
        <f t="shared" si="40"/>
        <v>4.0109016587221002E-3</v>
      </c>
      <c r="F137" s="154">
        <f t="shared" si="40"/>
        <v>4.1342704597505369E-3</v>
      </c>
      <c r="G137" s="154">
        <f t="shared" si="40"/>
        <v>4.3592503071471717E-3</v>
      </c>
      <c r="H137" s="154">
        <f t="shared" si="40"/>
        <v>4.5857356741786665E-3</v>
      </c>
      <c r="I137" s="154">
        <f t="shared" si="40"/>
        <v>4.9066296717451023E-3</v>
      </c>
      <c r="J137" s="154">
        <f t="shared" si="40"/>
        <v>4.8198595202834371E-3</v>
      </c>
      <c r="K137" s="154">
        <f t="shared" si="40"/>
        <v>4.8735332531452246E-3</v>
      </c>
      <c r="L137" s="154">
        <f t="shared" si="41"/>
        <v>4.4205088008911417E-3</v>
      </c>
      <c r="M137" s="154">
        <f t="shared" si="40"/>
        <v>4.3188583944979457E-3</v>
      </c>
      <c r="N137" s="154">
        <f t="shared" si="40"/>
        <v>3.8922424194238309E-3</v>
      </c>
      <c r="O137" s="154">
        <f t="shared" si="40"/>
        <v>4.4996377034996447E-3</v>
      </c>
      <c r="P137" s="154">
        <f t="shared" si="40"/>
        <v>4.5537071811704516E-3</v>
      </c>
      <c r="Q137" s="154">
        <f t="shared" si="40"/>
        <v>4.5804417263160223E-3</v>
      </c>
      <c r="R137" s="154">
        <f t="shared" si="40"/>
        <v>5.0643618072781357E-3</v>
      </c>
      <c r="S137" s="154">
        <f t="shared" si="40"/>
        <v>4.8694888819058859E-3</v>
      </c>
      <c r="T137" s="154">
        <f t="shared" si="40"/>
        <v>4.7865960430600891E-3</v>
      </c>
      <c r="U137" s="154">
        <f t="shared" si="40"/>
        <v>5.0790799916408729E-3</v>
      </c>
      <c r="V137" s="154">
        <f t="shared" si="40"/>
        <v>4.7066316840333414E-3</v>
      </c>
      <c r="W137" s="154">
        <f t="shared" si="42"/>
        <v>4.6909147506064286E-3</v>
      </c>
      <c r="X137" s="154">
        <f t="shared" si="42"/>
        <v>5.2505860068473367E-3</v>
      </c>
      <c r="Y137" s="154">
        <f t="shared" si="42"/>
        <v>5.4673144186527028E-3</v>
      </c>
      <c r="DA137" s="212"/>
    </row>
    <row r="138" spans="1:105" ht="11.45" customHeight="1" x14ac:dyDescent="0.25">
      <c r="A138" s="155" t="s">
        <v>20</v>
      </c>
      <c r="B138" s="156">
        <f t="shared" si="40"/>
        <v>0.64546250158188112</v>
      </c>
      <c r="C138" s="156">
        <f t="shared" si="40"/>
        <v>0.63924378337076393</v>
      </c>
      <c r="D138" s="156">
        <f t="shared" si="40"/>
        <v>0.6461125881159071</v>
      </c>
      <c r="E138" s="156">
        <f t="shared" si="40"/>
        <v>0.63856703671372095</v>
      </c>
      <c r="F138" s="156">
        <f t="shared" si="40"/>
        <v>0.6199547423088384</v>
      </c>
      <c r="G138" s="156">
        <f t="shared" si="40"/>
        <v>0.62406004285273753</v>
      </c>
      <c r="H138" s="156">
        <f t="shared" si="40"/>
        <v>0.61558911429598717</v>
      </c>
      <c r="I138" s="156">
        <f t="shared" si="40"/>
        <v>0.61991643321816392</v>
      </c>
      <c r="J138" s="156">
        <f t="shared" si="40"/>
        <v>0.61647813839130239</v>
      </c>
      <c r="K138" s="156">
        <f t="shared" si="40"/>
        <v>0.63799833574736897</v>
      </c>
      <c r="L138" s="156">
        <f t="shared" si="41"/>
        <v>0.62352819506959845</v>
      </c>
      <c r="M138" s="156">
        <f t="shared" si="40"/>
        <v>0.62903356059957194</v>
      </c>
      <c r="N138" s="156">
        <f t="shared" si="40"/>
        <v>0.64516613474570894</v>
      </c>
      <c r="O138" s="156">
        <f t="shared" si="40"/>
        <v>0.65907716540837658</v>
      </c>
      <c r="P138" s="156">
        <f t="shared" si="40"/>
        <v>0.6709478269688357</v>
      </c>
      <c r="Q138" s="156">
        <f t="shared" si="40"/>
        <v>0.68071951325138991</v>
      </c>
      <c r="R138" s="156">
        <f t="shared" si="40"/>
        <v>0.69935800324166764</v>
      </c>
      <c r="S138" s="156">
        <f t="shared" si="40"/>
        <v>0.70127452203657203</v>
      </c>
      <c r="T138" s="156">
        <f t="shared" si="40"/>
        <v>0.70858967043259002</v>
      </c>
      <c r="U138" s="156">
        <f t="shared" si="40"/>
        <v>0.69978372013436985</v>
      </c>
      <c r="V138" s="156">
        <f t="shared" si="40"/>
        <v>0.6787455753071765</v>
      </c>
      <c r="W138" s="156">
        <f t="shared" si="42"/>
        <v>0.6752518882687939</v>
      </c>
      <c r="X138" s="156">
        <f t="shared" si="42"/>
        <v>0.6778693098700822</v>
      </c>
      <c r="Y138" s="156">
        <f t="shared" si="42"/>
        <v>0.67707136122770828</v>
      </c>
      <c r="DA138" s="213"/>
    </row>
    <row r="139" spans="1:105" ht="11.45" customHeight="1" x14ac:dyDescent="0.25">
      <c r="A139" s="157" t="s">
        <v>110</v>
      </c>
      <c r="B139" s="103">
        <f t="shared" si="40"/>
        <v>0.57982726831647347</v>
      </c>
      <c r="C139" s="103">
        <f t="shared" si="40"/>
        <v>0.577550164850688</v>
      </c>
      <c r="D139" s="103">
        <f t="shared" si="40"/>
        <v>0.58421475338238349</v>
      </c>
      <c r="E139" s="103">
        <f t="shared" si="40"/>
        <v>0.57463444520424178</v>
      </c>
      <c r="F139" s="103">
        <f t="shared" si="40"/>
        <v>0.55353340446683452</v>
      </c>
      <c r="G139" s="103">
        <f t="shared" si="40"/>
        <v>0.55304585905296622</v>
      </c>
      <c r="H139" s="103">
        <f t="shared" si="40"/>
        <v>0.5347358002510445</v>
      </c>
      <c r="I139" s="103">
        <f t="shared" si="40"/>
        <v>0.51880178039140257</v>
      </c>
      <c r="J139" s="103">
        <f t="shared" si="40"/>
        <v>0.49816226458569735</v>
      </c>
      <c r="K139" s="103">
        <f t="shared" si="40"/>
        <v>0.49971748055441073</v>
      </c>
      <c r="L139" s="103">
        <f t="shared" si="41"/>
        <v>0.45986163848572958</v>
      </c>
      <c r="M139" s="103">
        <f t="shared" si="40"/>
        <v>0.43246395806942695</v>
      </c>
      <c r="N139" s="103">
        <f t="shared" si="40"/>
        <v>0.41643187755720462</v>
      </c>
      <c r="O139" s="103">
        <f t="shared" si="40"/>
        <v>0.40415794731504529</v>
      </c>
      <c r="P139" s="103">
        <f t="shared" si="40"/>
        <v>0.39784784109282301</v>
      </c>
      <c r="Q139" s="103">
        <f t="shared" si="40"/>
        <v>0.38513187838123336</v>
      </c>
      <c r="R139" s="103">
        <f t="shared" si="40"/>
        <v>0.38759168642275904</v>
      </c>
      <c r="S139" s="103">
        <f t="shared" si="40"/>
        <v>0.37951591338869106</v>
      </c>
      <c r="T139" s="103">
        <f t="shared" si="40"/>
        <v>0.37401272154668208</v>
      </c>
      <c r="U139" s="103">
        <f t="shared" si="40"/>
        <v>0.36427891748701707</v>
      </c>
      <c r="V139" s="103">
        <f t="shared" si="40"/>
        <v>0.35036906278652746</v>
      </c>
      <c r="W139" s="103">
        <f t="shared" si="42"/>
        <v>0.35747254745840767</v>
      </c>
      <c r="X139" s="103">
        <f t="shared" si="42"/>
        <v>0.37446965955106715</v>
      </c>
      <c r="Y139" s="103">
        <f t="shared" si="42"/>
        <v>0.36603517337436414</v>
      </c>
      <c r="DA139" s="191"/>
    </row>
    <row r="140" spans="1:105" ht="11.45" customHeight="1" x14ac:dyDescent="0.25">
      <c r="A140" s="157" t="s">
        <v>111</v>
      </c>
      <c r="B140" s="103">
        <f t="shared" si="40"/>
        <v>6.5635233265407697E-2</v>
      </c>
      <c r="C140" s="103">
        <f t="shared" si="40"/>
        <v>6.1693618520075988E-2</v>
      </c>
      <c r="D140" s="103">
        <f t="shared" si="40"/>
        <v>6.1724507095887213E-2</v>
      </c>
      <c r="E140" s="103">
        <f t="shared" si="40"/>
        <v>6.3593125791570324E-2</v>
      </c>
      <c r="F140" s="103">
        <f t="shared" si="40"/>
        <v>6.5904881886916164E-2</v>
      </c>
      <c r="G140" s="103">
        <f t="shared" si="40"/>
        <v>7.0126816141267215E-2</v>
      </c>
      <c r="H140" s="103">
        <f t="shared" si="40"/>
        <v>7.9995423615249348E-2</v>
      </c>
      <c r="I140" s="103">
        <f t="shared" si="40"/>
        <v>0.10006283602479303</v>
      </c>
      <c r="J140" s="103">
        <f t="shared" si="40"/>
        <v>0.11764188147966959</v>
      </c>
      <c r="K140" s="103">
        <f t="shared" si="40"/>
        <v>0.13759041574179792</v>
      </c>
      <c r="L140" s="103">
        <f t="shared" si="41"/>
        <v>0.16222997108505038</v>
      </c>
      <c r="M140" s="103">
        <f t="shared" si="40"/>
        <v>0.19518121907218008</v>
      </c>
      <c r="N140" s="103">
        <f t="shared" si="40"/>
        <v>0.22685154654546055</v>
      </c>
      <c r="O140" s="103">
        <f t="shared" si="40"/>
        <v>0.2529509468572213</v>
      </c>
      <c r="P140" s="103">
        <f t="shared" si="40"/>
        <v>0.27091210822583139</v>
      </c>
      <c r="Q140" s="103">
        <f t="shared" si="40"/>
        <v>0.29343822276748183</v>
      </c>
      <c r="R140" s="103">
        <f t="shared" si="40"/>
        <v>0.30907143136361243</v>
      </c>
      <c r="S140" s="103">
        <f t="shared" si="40"/>
        <v>0.31979541374418119</v>
      </c>
      <c r="T140" s="103">
        <f t="shared" si="40"/>
        <v>0.33200679686731788</v>
      </c>
      <c r="U140" s="103">
        <f t="shared" si="40"/>
        <v>0.33258592465669395</v>
      </c>
      <c r="V140" s="103">
        <f t="shared" si="40"/>
        <v>0.32362698882712138</v>
      </c>
      <c r="W140" s="103">
        <f t="shared" si="42"/>
        <v>0.31089407262109486</v>
      </c>
      <c r="X140" s="103">
        <f t="shared" si="42"/>
        <v>0.29493445927962786</v>
      </c>
      <c r="Y140" s="103">
        <f t="shared" si="42"/>
        <v>0.30373677936110161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1.0868864030016204E-4</v>
      </c>
      <c r="H141" s="103">
        <f t="shared" si="40"/>
        <v>8.0273233171226192E-5</v>
      </c>
      <c r="I141" s="103">
        <f t="shared" si="40"/>
        <v>1.710983465762002E-4</v>
      </c>
      <c r="J141" s="103">
        <f t="shared" si="40"/>
        <v>1.1180820735463064E-4</v>
      </c>
      <c r="K141" s="103">
        <f t="shared" si="40"/>
        <v>1.4129835999757189E-4</v>
      </c>
      <c r="L141" s="103">
        <f t="shared" si="41"/>
        <v>1.4631099735476998E-4</v>
      </c>
      <c r="M141" s="103">
        <f t="shared" si="40"/>
        <v>1.3820244782694109E-4</v>
      </c>
      <c r="N141" s="103">
        <f t="shared" si="40"/>
        <v>9.0645133877744879E-5</v>
      </c>
      <c r="O141" s="103">
        <f t="shared" si="40"/>
        <v>4.8722692267255698E-5</v>
      </c>
      <c r="P141" s="103">
        <f t="shared" si="40"/>
        <v>5.8728104183339077E-5</v>
      </c>
      <c r="Q141" s="103">
        <f t="shared" si="40"/>
        <v>3.2675865170595338E-4</v>
      </c>
      <c r="R141" s="103">
        <f t="shared" si="40"/>
        <v>1.2084299807476419E-4</v>
      </c>
      <c r="S141" s="103">
        <f t="shared" si="40"/>
        <v>0</v>
      </c>
      <c r="T141" s="103">
        <f t="shared" si="40"/>
        <v>0</v>
      </c>
      <c r="U141" s="103">
        <f t="shared" si="40"/>
        <v>0</v>
      </c>
      <c r="V141" s="103">
        <f t="shared" si="40"/>
        <v>0</v>
      </c>
      <c r="W141" s="103">
        <f t="shared" si="42"/>
        <v>0</v>
      </c>
      <c r="X141" s="103">
        <f t="shared" si="42"/>
        <v>0</v>
      </c>
      <c r="Y141" s="103">
        <f t="shared" si="42"/>
        <v>0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1.7332763763641418E-4</v>
      </c>
      <c r="E142" s="103">
        <f t="shared" si="40"/>
        <v>3.3946571790893039E-4</v>
      </c>
      <c r="F142" s="103">
        <f t="shared" si="40"/>
        <v>5.1645595508773435E-4</v>
      </c>
      <c r="G142" s="103">
        <f t="shared" si="40"/>
        <v>7.7867901820400189E-4</v>
      </c>
      <c r="H142" s="103">
        <f t="shared" si="40"/>
        <v>7.7761719652215443E-4</v>
      </c>
      <c r="I142" s="103">
        <f t="shared" si="40"/>
        <v>8.8071845539211286E-4</v>
      </c>
      <c r="J142" s="103">
        <f t="shared" si="40"/>
        <v>5.5589644500504741E-4</v>
      </c>
      <c r="K142" s="103">
        <f t="shared" si="40"/>
        <v>5.4138578301245026E-4</v>
      </c>
      <c r="L142" s="103">
        <f t="shared" si="41"/>
        <v>1.2816133808682525E-3</v>
      </c>
      <c r="M142" s="103">
        <f t="shared" si="40"/>
        <v>1.2352598929783287E-3</v>
      </c>
      <c r="N142" s="103">
        <f t="shared" si="40"/>
        <v>1.7551170386382313E-3</v>
      </c>
      <c r="O142" s="103">
        <f t="shared" si="40"/>
        <v>1.8649764737156274E-3</v>
      </c>
      <c r="P142" s="103">
        <f t="shared" si="40"/>
        <v>1.9505798125354021E-3</v>
      </c>
      <c r="Q142" s="103">
        <f t="shared" si="40"/>
        <v>1.4773557124627059E-3</v>
      </c>
      <c r="R142" s="103">
        <f t="shared" si="40"/>
        <v>1.8723654235066087E-3</v>
      </c>
      <c r="S142" s="103">
        <f t="shared" si="40"/>
        <v>7.4062455938187204E-4</v>
      </c>
      <c r="T142" s="103">
        <f t="shared" si="40"/>
        <v>6.1383576581705503E-4</v>
      </c>
      <c r="U142" s="103">
        <f t="shared" si="40"/>
        <v>5.2771389801346705E-4</v>
      </c>
      <c r="V142" s="103">
        <f t="shared" si="40"/>
        <v>5.8283614453932668E-4</v>
      </c>
      <c r="W142" s="103">
        <f t="shared" si="42"/>
        <v>6.5025636434099844E-4</v>
      </c>
      <c r="X142" s="103">
        <f t="shared" si="42"/>
        <v>4.9560782664907809E-4</v>
      </c>
      <c r="Y142" s="103">
        <f t="shared" si="42"/>
        <v>7.8590133090415952E-4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6.2876735757833246E-6</v>
      </c>
      <c r="K143" s="103">
        <f t="shared" si="40"/>
        <v>7.7553081502167992E-6</v>
      </c>
      <c r="L143" s="103">
        <f t="shared" si="41"/>
        <v>8.6611205955180049E-6</v>
      </c>
      <c r="M143" s="103">
        <f t="shared" si="40"/>
        <v>1.4921117159537924E-5</v>
      </c>
      <c r="N143" s="103">
        <f t="shared" si="40"/>
        <v>3.6948470527730202E-5</v>
      </c>
      <c r="O143" s="103">
        <f t="shared" si="40"/>
        <v>5.4572070127037402E-5</v>
      </c>
      <c r="P143" s="103">
        <f t="shared" si="40"/>
        <v>1.7856973346263888E-4</v>
      </c>
      <c r="Q143" s="103">
        <f t="shared" si="40"/>
        <v>3.452977385059607E-4</v>
      </c>
      <c r="R143" s="103">
        <f t="shared" si="40"/>
        <v>7.0167703371476757E-4</v>
      </c>
      <c r="S143" s="103">
        <f t="shared" si="40"/>
        <v>1.2225703443180392E-3</v>
      </c>
      <c r="T143" s="103">
        <f t="shared" si="40"/>
        <v>1.9563162527729875E-3</v>
      </c>
      <c r="U143" s="103">
        <f t="shared" si="40"/>
        <v>2.3911640926453487E-3</v>
      </c>
      <c r="V143" s="103">
        <f t="shared" si="40"/>
        <v>4.16668754898837E-3</v>
      </c>
      <c r="W143" s="103">
        <f t="shared" si="42"/>
        <v>6.2350118249504408E-3</v>
      </c>
      <c r="X143" s="103">
        <f t="shared" si="42"/>
        <v>7.9695832127382425E-3</v>
      </c>
      <c r="Y143" s="103">
        <f t="shared" si="42"/>
        <v>6.5135071613382925E-3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9.3684552964408446E-2</v>
      </c>
      <c r="C145" s="156">
        <f t="shared" si="40"/>
        <v>9.0759868027570093E-2</v>
      </c>
      <c r="D145" s="156">
        <f t="shared" si="40"/>
        <v>8.7156386941205519E-2</v>
      </c>
      <c r="E145" s="156">
        <f t="shared" si="40"/>
        <v>8.6985084412042529E-2</v>
      </c>
      <c r="F145" s="156">
        <f t="shared" si="40"/>
        <v>8.4052254910793434E-2</v>
      </c>
      <c r="G145" s="156">
        <f t="shared" si="40"/>
        <v>7.8912295713092523E-2</v>
      </c>
      <c r="H145" s="156">
        <f t="shared" si="40"/>
        <v>8.0802471919179678E-2</v>
      </c>
      <c r="I145" s="156">
        <f t="shared" si="40"/>
        <v>7.5415338311524818E-2</v>
      </c>
      <c r="J145" s="156">
        <f t="shared" si="40"/>
        <v>7.4199063915170033E-2</v>
      </c>
      <c r="K145" s="156">
        <f t="shared" si="40"/>
        <v>7.1839846002066221E-2</v>
      </c>
      <c r="L145" s="156">
        <f t="shared" si="41"/>
        <v>7.3728424309853047E-2</v>
      </c>
      <c r="M145" s="156">
        <f t="shared" si="40"/>
        <v>7.2607139968157763E-2</v>
      </c>
      <c r="N145" s="156">
        <f t="shared" si="40"/>
        <v>7.5272103591610115E-2</v>
      </c>
      <c r="O145" s="156">
        <f t="shared" si="40"/>
        <v>5.7463186191654594E-2</v>
      </c>
      <c r="P145" s="156">
        <f t="shared" si="40"/>
        <v>5.2276478280801855E-2</v>
      </c>
      <c r="Q145" s="156">
        <f t="shared" si="40"/>
        <v>4.9772076802692043E-2</v>
      </c>
      <c r="R145" s="156">
        <f t="shared" si="40"/>
        <v>4.9067987249426417E-2</v>
      </c>
      <c r="S145" s="156">
        <f t="shared" si="40"/>
        <v>4.6414472931276304E-2</v>
      </c>
      <c r="T145" s="156">
        <f t="shared" si="40"/>
        <v>4.7082212525215369E-2</v>
      </c>
      <c r="U145" s="156">
        <f t="shared" si="40"/>
        <v>5.9058423399368412E-2</v>
      </c>
      <c r="V145" s="156">
        <f t="shared" si="40"/>
        <v>5.4549705183482969E-2</v>
      </c>
      <c r="W145" s="156">
        <f t="shared" si="42"/>
        <v>5.1318070402464298E-2</v>
      </c>
      <c r="X145" s="156">
        <f t="shared" si="42"/>
        <v>5.3940651687585994E-2</v>
      </c>
      <c r="Y145" s="156">
        <f t="shared" si="42"/>
        <v>5.6959885505232954E-2</v>
      </c>
      <c r="DA145" s="213"/>
    </row>
    <row r="146" spans="1:105" ht="11.45" customHeight="1" x14ac:dyDescent="0.25">
      <c r="A146" s="157" t="s">
        <v>110</v>
      </c>
      <c r="B146" s="103">
        <f t="shared" si="40"/>
        <v>9.2186667726192506E-4</v>
      </c>
      <c r="C146" s="103">
        <f t="shared" si="40"/>
        <v>7.5901324651884115E-4</v>
      </c>
      <c r="D146" s="103">
        <f t="shared" si="40"/>
        <v>6.0943961154451796E-4</v>
      </c>
      <c r="E146" s="103">
        <f t="shared" si="40"/>
        <v>4.709535059821026E-4</v>
      </c>
      <c r="F146" s="103">
        <f t="shared" si="40"/>
        <v>3.4272246929635249E-4</v>
      </c>
      <c r="G146" s="103">
        <f t="shared" si="40"/>
        <v>2.53798154203671E-4</v>
      </c>
      <c r="H146" s="103">
        <f t="shared" si="40"/>
        <v>2.0509493356184457E-4</v>
      </c>
      <c r="I146" s="103">
        <f t="shared" si="40"/>
        <v>1.678416868539043E-4</v>
      </c>
      <c r="J146" s="103">
        <f t="shared" si="40"/>
        <v>1.3724988318329273E-4</v>
      </c>
      <c r="K146" s="103">
        <f t="shared" si="40"/>
        <v>1.2635954785470611E-4</v>
      </c>
      <c r="L146" s="103">
        <f t="shared" si="41"/>
        <v>4.741697877364256E-5</v>
      </c>
      <c r="M146" s="103">
        <f t="shared" si="40"/>
        <v>7.951206843707184E-5</v>
      </c>
      <c r="N146" s="103">
        <f t="shared" si="40"/>
        <v>6.8658346019221406E-5</v>
      </c>
      <c r="O146" s="103">
        <f t="shared" si="40"/>
        <v>6.9499265637706987E-5</v>
      </c>
      <c r="P146" s="103">
        <f t="shared" si="40"/>
        <v>6.5802915763693099E-5</v>
      </c>
      <c r="Q146" s="103">
        <f t="shared" si="40"/>
        <v>6.1121536552850083E-5</v>
      </c>
      <c r="R146" s="103">
        <f t="shared" si="40"/>
        <v>7.0188933302159554E-5</v>
      </c>
      <c r="S146" s="103">
        <f t="shared" si="40"/>
        <v>6.7987428397471602E-5</v>
      </c>
      <c r="T146" s="103">
        <f t="shared" si="40"/>
        <v>6.8877787473530406E-5</v>
      </c>
      <c r="U146" s="103">
        <f t="shared" si="40"/>
        <v>6.1192384908581563E-5</v>
      </c>
      <c r="V146" s="103">
        <f t="shared" si="40"/>
        <v>6.3062492575068015E-5</v>
      </c>
      <c r="W146" s="103">
        <f t="shared" si="42"/>
        <v>5.5616593600839561E-5</v>
      </c>
      <c r="X146" s="103">
        <f t="shared" si="42"/>
        <v>5.9346948146950341E-5</v>
      </c>
      <c r="Y146" s="103">
        <f t="shared" si="42"/>
        <v>5.9980425706748219E-5</v>
      </c>
      <c r="DA146" s="191"/>
    </row>
    <row r="147" spans="1:105" ht="11.45" customHeight="1" x14ac:dyDescent="0.25">
      <c r="A147" s="157" t="s">
        <v>111</v>
      </c>
      <c r="B147" s="103">
        <f t="shared" si="40"/>
        <v>9.1576683653961183E-2</v>
      </c>
      <c r="C147" s="103">
        <f t="shared" si="40"/>
        <v>8.879260252712097E-2</v>
      </c>
      <c r="D147" s="103">
        <f t="shared" si="40"/>
        <v>8.533309864304009E-2</v>
      </c>
      <c r="E147" s="103">
        <f t="shared" si="40"/>
        <v>8.486470615498648E-2</v>
      </c>
      <c r="F147" s="103">
        <f t="shared" si="40"/>
        <v>8.2509302632653034E-2</v>
      </c>
      <c r="G147" s="103">
        <f t="shared" si="40"/>
        <v>7.764157742694805E-2</v>
      </c>
      <c r="H147" s="103">
        <f t="shared" si="40"/>
        <v>7.8768409735629638E-2</v>
      </c>
      <c r="I147" s="103">
        <f t="shared" si="40"/>
        <v>7.3494399240199668E-2</v>
      </c>
      <c r="J147" s="103">
        <f t="shared" si="40"/>
        <v>7.1845020611743568E-2</v>
      </c>
      <c r="K147" s="103">
        <f t="shared" si="40"/>
        <v>6.9836312119839511E-2</v>
      </c>
      <c r="L147" s="103">
        <f t="shared" si="41"/>
        <v>7.132515694545194E-2</v>
      </c>
      <c r="M147" s="103">
        <f t="shared" si="40"/>
        <v>6.8690717187728359E-2</v>
      </c>
      <c r="N147" s="103">
        <f t="shared" si="40"/>
        <v>7.0353992790102834E-2</v>
      </c>
      <c r="O147" s="103">
        <f t="shared" si="40"/>
        <v>5.2502158087612071E-2</v>
      </c>
      <c r="P147" s="103">
        <f t="shared" si="40"/>
        <v>4.750070373189217E-2</v>
      </c>
      <c r="Q147" s="103">
        <f t="shared" si="40"/>
        <v>4.6691070793565194E-2</v>
      </c>
      <c r="R147" s="103">
        <f t="shared" ref="R147:V147" si="43">IF(R29=0,0,R29/R$17)</f>
        <v>4.5856351269775913E-2</v>
      </c>
      <c r="S147" s="103">
        <f t="shared" si="43"/>
        <v>4.5215388049024995E-2</v>
      </c>
      <c r="T147" s="103">
        <f t="shared" si="43"/>
        <v>4.5963001426391793E-2</v>
      </c>
      <c r="U147" s="103">
        <f t="shared" si="43"/>
        <v>5.8285882175081301E-2</v>
      </c>
      <c r="V147" s="103">
        <f t="shared" si="43"/>
        <v>5.376524565083176E-2</v>
      </c>
      <c r="W147" s="103">
        <f t="shared" ref="W147:Y147" si="44">IF(W29=0,0,W29/W$17)</f>
        <v>5.0566919239727677E-2</v>
      </c>
      <c r="X147" s="103">
        <f t="shared" si="44"/>
        <v>5.336272720487778E-2</v>
      </c>
      <c r="Y147" s="103">
        <f t="shared" si="44"/>
        <v>5.5405666624099424E-2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1.186002633185341E-3</v>
      </c>
      <c r="C149" s="103">
        <f t="shared" si="49"/>
        <v>1.2082522539302884E-3</v>
      </c>
      <c r="D149" s="103">
        <f t="shared" si="49"/>
        <v>1.2138486866208936E-3</v>
      </c>
      <c r="E149" s="103">
        <f t="shared" si="49"/>
        <v>1.6494247510739496E-3</v>
      </c>
      <c r="F149" s="103">
        <f t="shared" si="49"/>
        <v>1.2002298088440572E-3</v>
      </c>
      <c r="G149" s="103">
        <f t="shared" si="49"/>
        <v>1.0169201319408091E-3</v>
      </c>
      <c r="H149" s="103">
        <f t="shared" si="49"/>
        <v>1.8289672499881987E-3</v>
      </c>
      <c r="I149" s="103">
        <f t="shared" si="49"/>
        <v>1.7530973844712453E-3</v>
      </c>
      <c r="J149" s="103">
        <f t="shared" si="49"/>
        <v>2.2167934202431683E-3</v>
      </c>
      <c r="K149" s="103">
        <f t="shared" si="49"/>
        <v>1.8771743343719994E-3</v>
      </c>
      <c r="L149" s="103">
        <f t="shared" si="46"/>
        <v>2.3558503856274705E-3</v>
      </c>
      <c r="M149" s="103">
        <f t="shared" ref="M149:V149" si="50">IF(M31=0,0,M31/M$17)</f>
        <v>3.8369107119923312E-3</v>
      </c>
      <c r="N149" s="103">
        <f t="shared" si="50"/>
        <v>4.8494524554880567E-3</v>
      </c>
      <c r="O149" s="103">
        <f t="shared" si="50"/>
        <v>4.8915288384048091E-3</v>
      </c>
      <c r="P149" s="103">
        <f t="shared" si="50"/>
        <v>4.7099716331459839E-3</v>
      </c>
      <c r="Q149" s="103">
        <f t="shared" si="50"/>
        <v>3.0198844725739973E-3</v>
      </c>
      <c r="R149" s="103">
        <f t="shared" si="50"/>
        <v>3.1414470463483456E-3</v>
      </c>
      <c r="S149" s="103">
        <f t="shared" si="50"/>
        <v>1.1310974538538386E-3</v>
      </c>
      <c r="T149" s="103">
        <f t="shared" si="50"/>
        <v>1.0503333113500435E-3</v>
      </c>
      <c r="U149" s="103">
        <f t="shared" si="50"/>
        <v>7.113488393785313E-4</v>
      </c>
      <c r="V149" s="103">
        <f t="shared" si="50"/>
        <v>7.2139704007613699E-4</v>
      </c>
      <c r="W149" s="103">
        <f t="shared" ref="W149:Y149" si="51">IF(W31=0,0,W31/W$17)</f>
        <v>6.955345691357762E-4</v>
      </c>
      <c r="X149" s="103">
        <f t="shared" si="51"/>
        <v>5.1857753456126525E-4</v>
      </c>
      <c r="Y149" s="103">
        <f t="shared" si="51"/>
        <v>1.4942384554267833E-3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0.25757300742550193</v>
      </c>
      <c r="C151" s="46">
        <f t="shared" si="55"/>
        <v>0.26647299704213095</v>
      </c>
      <c r="D151" s="46">
        <f t="shared" si="55"/>
        <v>0.26290254449651351</v>
      </c>
      <c r="E151" s="46">
        <f t="shared" si="55"/>
        <v>0.27043697721551435</v>
      </c>
      <c r="F151" s="46">
        <f t="shared" si="55"/>
        <v>0.29185873232061749</v>
      </c>
      <c r="G151" s="46">
        <f t="shared" si="55"/>
        <v>0.2926684111270228</v>
      </c>
      <c r="H151" s="46">
        <f t="shared" si="55"/>
        <v>0.29902267811065458</v>
      </c>
      <c r="I151" s="46">
        <f t="shared" si="55"/>
        <v>0.29976159879856612</v>
      </c>
      <c r="J151" s="46">
        <f t="shared" si="55"/>
        <v>0.30450293817324409</v>
      </c>
      <c r="K151" s="46">
        <f t="shared" si="55"/>
        <v>0.28528828499741971</v>
      </c>
      <c r="L151" s="46">
        <f t="shared" ref="L151" si="56">IF(L33=0,0,L33/L$17)</f>
        <v>0.29832287181965733</v>
      </c>
      <c r="M151" s="46">
        <f t="shared" ref="M151:V151" si="57">IF(M33=0,0,M33/M$17)</f>
        <v>0.29404044103777244</v>
      </c>
      <c r="N151" s="46">
        <f t="shared" si="57"/>
        <v>0.27566951924325717</v>
      </c>
      <c r="O151" s="46">
        <f t="shared" si="57"/>
        <v>0.27896001069646914</v>
      </c>
      <c r="P151" s="46">
        <f t="shared" si="57"/>
        <v>0.27222198756919197</v>
      </c>
      <c r="Q151" s="46">
        <f t="shared" si="57"/>
        <v>0.26492796821960202</v>
      </c>
      <c r="R151" s="46">
        <f t="shared" si="57"/>
        <v>0.24650964770162775</v>
      </c>
      <c r="S151" s="46">
        <f t="shared" si="57"/>
        <v>0.24744151615024571</v>
      </c>
      <c r="T151" s="46">
        <f t="shared" si="57"/>
        <v>0.23954152099913459</v>
      </c>
      <c r="U151" s="46">
        <f t="shared" si="57"/>
        <v>0.23607877647462083</v>
      </c>
      <c r="V151" s="46">
        <f t="shared" si="57"/>
        <v>0.26199808782530709</v>
      </c>
      <c r="W151" s="46">
        <f t="shared" ref="W151:Y151" si="58">IF(W33=0,0,W33/W$17)</f>
        <v>0.26873912657813542</v>
      </c>
      <c r="X151" s="46">
        <f t="shared" si="58"/>
        <v>0.26293945243548444</v>
      </c>
      <c r="Y151" s="46">
        <f t="shared" si="58"/>
        <v>0.2605014388484061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6.4992527357128432E-2</v>
      </c>
      <c r="C152" s="154">
        <f t="shared" si="59"/>
        <v>7.2310040472538653E-2</v>
      </c>
      <c r="D152" s="154">
        <f t="shared" si="59"/>
        <v>7.4532582200394298E-2</v>
      </c>
      <c r="E152" s="154">
        <f t="shared" si="59"/>
        <v>7.9748753689272006E-2</v>
      </c>
      <c r="F152" s="154">
        <f t="shared" si="59"/>
        <v>8.701047708816273E-2</v>
      </c>
      <c r="G152" s="154">
        <f t="shared" si="59"/>
        <v>8.1481452930820361E-2</v>
      </c>
      <c r="H152" s="154">
        <f t="shared" si="59"/>
        <v>8.6446419229333493E-2</v>
      </c>
      <c r="I152" s="154">
        <f t="shared" si="59"/>
        <v>8.7370666903186886E-2</v>
      </c>
      <c r="J152" s="154">
        <f t="shared" si="59"/>
        <v>8.9127133793151597E-2</v>
      </c>
      <c r="K152" s="154">
        <f t="shared" si="59"/>
        <v>8.956172074164262E-2</v>
      </c>
      <c r="L152" s="154">
        <f t="shared" ref="L152" si="60">IF(L34=0,0,L34/L$17)</f>
        <v>9.5139957794822802E-2</v>
      </c>
      <c r="M152" s="154">
        <f t="shared" ref="M152:V152" si="61">IF(M34=0,0,M34/M$17)</f>
        <v>9.9424734157915598E-2</v>
      </c>
      <c r="N152" s="154">
        <f t="shared" si="61"/>
        <v>9.9561964617617973E-2</v>
      </c>
      <c r="O152" s="154">
        <f t="shared" si="61"/>
        <v>9.9356562278038324E-2</v>
      </c>
      <c r="P152" s="154">
        <f t="shared" si="61"/>
        <v>9.3767874933563089E-2</v>
      </c>
      <c r="Q152" s="154">
        <f t="shared" si="61"/>
        <v>9.4349110100525005E-2</v>
      </c>
      <c r="R152" s="154">
        <f t="shared" si="61"/>
        <v>9.1126293982373832E-2</v>
      </c>
      <c r="S152" s="154">
        <f t="shared" si="61"/>
        <v>9.4365308670708151E-2</v>
      </c>
      <c r="T152" s="154">
        <f t="shared" si="61"/>
        <v>9.2432548277830873E-2</v>
      </c>
      <c r="U152" s="154">
        <f t="shared" si="61"/>
        <v>9.4530488425487599E-2</v>
      </c>
      <c r="V152" s="154">
        <f t="shared" si="61"/>
        <v>0.10324960844902403</v>
      </c>
      <c r="W152" s="154">
        <f t="shared" ref="W152:Y152" si="62">IF(W34=0,0,W34/W$17)</f>
        <v>0.10324776193006815</v>
      </c>
      <c r="X152" s="154">
        <f t="shared" si="62"/>
        <v>9.9300201260392004E-2</v>
      </c>
      <c r="Y152" s="154">
        <f t="shared" si="62"/>
        <v>0.10299174196733099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2.3589208109328796E-2</v>
      </c>
      <c r="C153" s="103">
        <f t="shared" si="63"/>
        <v>2.289428753390246E-2</v>
      </c>
      <c r="D153" s="103">
        <f t="shared" si="63"/>
        <v>2.0776809155951037E-2</v>
      </c>
      <c r="E153" s="103">
        <f t="shared" si="63"/>
        <v>1.809359624792433E-2</v>
      </c>
      <c r="F153" s="103">
        <f t="shared" si="63"/>
        <v>1.5641384833038549E-2</v>
      </c>
      <c r="G153" s="103">
        <f t="shared" si="63"/>
        <v>1.5123441888129955E-2</v>
      </c>
      <c r="H153" s="103">
        <f t="shared" si="63"/>
        <v>1.312940607924142E-2</v>
      </c>
      <c r="I153" s="103">
        <f t="shared" si="63"/>
        <v>1.1891255856991368E-2</v>
      </c>
      <c r="J153" s="103">
        <f t="shared" si="63"/>
        <v>1.0638223772163113E-2</v>
      </c>
      <c r="K153" s="103">
        <f t="shared" si="63"/>
        <v>9.9085383146037768E-3</v>
      </c>
      <c r="L153" s="103">
        <f t="shared" ref="L153" si="64">IF(L35=0,0,L35/L$17)</f>
        <v>8.4941787265887161E-3</v>
      </c>
      <c r="M153" s="103">
        <f t="shared" ref="M153:V153" si="65">IF(M35=0,0,M35/M$17)</f>
        <v>7.9592666622582842E-3</v>
      </c>
      <c r="N153" s="103">
        <f t="shared" si="65"/>
        <v>7.2109407092422412E-3</v>
      </c>
      <c r="O153" s="103">
        <f t="shared" si="65"/>
        <v>6.5090774080483142E-3</v>
      </c>
      <c r="P153" s="103">
        <f t="shared" si="65"/>
        <v>6.0924746256893628E-3</v>
      </c>
      <c r="Q153" s="103">
        <f t="shared" si="65"/>
        <v>5.779833528583223E-3</v>
      </c>
      <c r="R153" s="103">
        <f t="shared" si="65"/>
        <v>5.0051761662844628E-3</v>
      </c>
      <c r="S153" s="103">
        <f t="shared" si="65"/>
        <v>4.4770314818946026E-3</v>
      </c>
      <c r="T153" s="103">
        <f t="shared" si="65"/>
        <v>4.4206699775545776E-3</v>
      </c>
      <c r="U153" s="103">
        <f t="shared" si="65"/>
        <v>4.3272391970126164E-3</v>
      </c>
      <c r="V153" s="103">
        <f t="shared" si="65"/>
        <v>4.5755089475253904E-3</v>
      </c>
      <c r="W153" s="103">
        <f t="shared" ref="W153:Y153" si="66">IF(W35=0,0,W35/W$17)</f>
        <v>4.6790464955604764E-3</v>
      </c>
      <c r="X153" s="103">
        <f t="shared" si="66"/>
        <v>5.7496765222959829E-3</v>
      </c>
      <c r="Y153" s="103">
        <f t="shared" si="66"/>
        <v>5.9260426567556068E-3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4.1403319247799629E-2</v>
      </c>
      <c r="C154" s="103">
        <f t="shared" si="67"/>
        <v>4.9415505535318531E-2</v>
      </c>
      <c r="D154" s="103">
        <f t="shared" si="67"/>
        <v>5.3754328830863216E-2</v>
      </c>
      <c r="E154" s="103">
        <f t="shared" si="67"/>
        <v>6.1651234624195278E-2</v>
      </c>
      <c r="F154" s="103">
        <f t="shared" si="67"/>
        <v>7.1362776666148361E-2</v>
      </c>
      <c r="G154" s="103">
        <f t="shared" si="67"/>
        <v>6.634531472239999E-2</v>
      </c>
      <c r="H154" s="103">
        <f t="shared" si="67"/>
        <v>7.3285447122899E-2</v>
      </c>
      <c r="I154" s="103">
        <f t="shared" si="67"/>
        <v>7.5413018474254523E-2</v>
      </c>
      <c r="J154" s="103">
        <f t="shared" si="67"/>
        <v>7.8420520814967976E-2</v>
      </c>
      <c r="K154" s="103">
        <f t="shared" si="67"/>
        <v>7.9559378007052775E-2</v>
      </c>
      <c r="L154" s="103">
        <f t="shared" ref="L154" si="68">IF(L36=0,0,L36/L$17)</f>
        <v>8.6520935743562052E-2</v>
      </c>
      <c r="M154" s="103">
        <f t="shared" ref="M154:V154" si="69">IF(M36=0,0,M36/M$17)</f>
        <v>9.1371307779206448E-2</v>
      </c>
      <c r="N154" s="103">
        <f t="shared" si="69"/>
        <v>9.2220675630358268E-2</v>
      </c>
      <c r="O154" s="103">
        <f t="shared" si="69"/>
        <v>9.2709734741654004E-2</v>
      </c>
      <c r="P154" s="103">
        <f t="shared" si="69"/>
        <v>8.753496437553987E-2</v>
      </c>
      <c r="Q154" s="103">
        <f t="shared" si="69"/>
        <v>8.8459178064507024E-2</v>
      </c>
      <c r="R154" s="103">
        <f t="shared" si="69"/>
        <v>8.5998679802538003E-2</v>
      </c>
      <c r="S154" s="103">
        <f t="shared" si="69"/>
        <v>8.9831695109348214E-2</v>
      </c>
      <c r="T154" s="103">
        <f t="shared" si="69"/>
        <v>8.7930561313163416E-2</v>
      </c>
      <c r="U154" s="103">
        <f t="shared" si="69"/>
        <v>9.0125359228176785E-2</v>
      </c>
      <c r="V154" s="103">
        <f t="shared" si="69"/>
        <v>9.8582300065978526E-2</v>
      </c>
      <c r="W154" s="103">
        <f t="shared" ref="W154:Y154" si="70">IF(W36=0,0,W36/W$17)</f>
        <v>9.846270194451924E-2</v>
      </c>
      <c r="X154" s="103">
        <f t="shared" si="70"/>
        <v>9.3460974837298136E-2</v>
      </c>
      <c r="Y154" s="103">
        <f t="shared" si="70"/>
        <v>9.6903337819474897E-2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:Y155" si="74">IF(W37=0,0,W37/W$17)</f>
        <v>0</v>
      </c>
      <c r="X155" s="103">
        <f t="shared" si="74"/>
        <v>0</v>
      </c>
      <c r="Y155" s="103">
        <f t="shared" si="74"/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2.4740331766013562E-7</v>
      </c>
      <c r="D156" s="103">
        <f t="shared" si="75"/>
        <v>1.4442135800416624E-6</v>
      </c>
      <c r="E156" s="103">
        <f t="shared" si="75"/>
        <v>3.9228171523938241E-6</v>
      </c>
      <c r="F156" s="103">
        <f t="shared" si="75"/>
        <v>6.3155889758252223E-6</v>
      </c>
      <c r="G156" s="103">
        <f t="shared" si="75"/>
        <v>1.2696320290413527E-5</v>
      </c>
      <c r="H156" s="103">
        <f t="shared" si="75"/>
        <v>3.1566027193070592E-5</v>
      </c>
      <c r="I156" s="103">
        <f t="shared" si="75"/>
        <v>6.6392571940992285E-5</v>
      </c>
      <c r="J156" s="103">
        <f t="shared" si="75"/>
        <v>6.8389206020508039E-5</v>
      </c>
      <c r="K156" s="103">
        <f t="shared" si="75"/>
        <v>9.3804419986072204E-5</v>
      </c>
      <c r="L156" s="103">
        <f t="shared" ref="L156" si="76">IF(L38=0,0,L38/L$17)</f>
        <v>1.2484332467203136E-4</v>
      </c>
      <c r="M156" s="103">
        <f t="shared" ref="M156:V156" si="77">IF(M38=0,0,M38/M$17)</f>
        <v>9.41597164508624E-5</v>
      </c>
      <c r="N156" s="103">
        <f t="shared" si="77"/>
        <v>1.3034827801745917E-4</v>
      </c>
      <c r="O156" s="103">
        <f t="shared" si="77"/>
        <v>1.3775012833601745E-4</v>
      </c>
      <c r="P156" s="103">
        <f t="shared" si="77"/>
        <v>1.4043593233385547E-4</v>
      </c>
      <c r="Q156" s="103">
        <f t="shared" si="77"/>
        <v>1.1009850743475347E-4</v>
      </c>
      <c r="R156" s="103">
        <f t="shared" si="77"/>
        <v>1.224380135513782E-4</v>
      </c>
      <c r="S156" s="103">
        <f t="shared" si="77"/>
        <v>5.6582079465338492E-5</v>
      </c>
      <c r="T156" s="103">
        <f t="shared" si="77"/>
        <v>8.1316987112882907E-5</v>
      </c>
      <c r="U156" s="103">
        <f t="shared" si="77"/>
        <v>7.7890000298196256E-5</v>
      </c>
      <c r="V156" s="103">
        <f t="shared" si="77"/>
        <v>9.1799435520128458E-5</v>
      </c>
      <c r="W156" s="103">
        <f t="shared" ref="W156:Y156" si="78">IF(W38=0,0,W38/W$17)</f>
        <v>1.0601348998843531E-4</v>
      </c>
      <c r="X156" s="103">
        <f t="shared" si="78"/>
        <v>8.9549900797881104E-5</v>
      </c>
      <c r="Y156" s="103">
        <f t="shared" si="78"/>
        <v>1.6236149110048301E-4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0.19258048006837347</v>
      </c>
      <c r="C158" s="156">
        <f t="shared" si="83"/>
        <v>0.19416295656959232</v>
      </c>
      <c r="D158" s="156">
        <f t="shared" si="83"/>
        <v>0.18836996229611921</v>
      </c>
      <c r="E158" s="156">
        <f t="shared" si="83"/>
        <v>0.19068822352624237</v>
      </c>
      <c r="F158" s="156">
        <f t="shared" si="83"/>
        <v>0.20484825523245476</v>
      </c>
      <c r="G158" s="156">
        <f t="shared" si="83"/>
        <v>0.21118695819620245</v>
      </c>
      <c r="H158" s="156">
        <f t="shared" si="83"/>
        <v>0.21257625888132106</v>
      </c>
      <c r="I158" s="156">
        <f t="shared" si="83"/>
        <v>0.21239093189537922</v>
      </c>
      <c r="J158" s="156">
        <f t="shared" si="83"/>
        <v>0.21537580438009249</v>
      </c>
      <c r="K158" s="156">
        <f t="shared" si="83"/>
        <v>0.19572656425577706</v>
      </c>
      <c r="L158" s="156">
        <f t="shared" ref="L158" si="84">IF(L40=0,0,L40/L$17)</f>
        <v>0.20318291402483452</v>
      </c>
      <c r="M158" s="156">
        <f t="shared" ref="M158:V158" si="85">IF(M40=0,0,M40/M$17)</f>
        <v>0.19461570687985685</v>
      </c>
      <c r="N158" s="156">
        <f t="shared" si="85"/>
        <v>0.17610755462563915</v>
      </c>
      <c r="O158" s="156">
        <f t="shared" si="85"/>
        <v>0.17960344841843087</v>
      </c>
      <c r="P158" s="156">
        <f t="shared" si="85"/>
        <v>0.17845411263562891</v>
      </c>
      <c r="Q158" s="156">
        <f t="shared" si="85"/>
        <v>0.17057885811907703</v>
      </c>
      <c r="R158" s="156">
        <f t="shared" si="85"/>
        <v>0.15538335371925394</v>
      </c>
      <c r="S158" s="156">
        <f t="shared" si="85"/>
        <v>0.15307620747953757</v>
      </c>
      <c r="T158" s="156">
        <f t="shared" si="85"/>
        <v>0.14710897272130372</v>
      </c>
      <c r="U158" s="156">
        <f t="shared" si="85"/>
        <v>0.14154828804913325</v>
      </c>
      <c r="V158" s="156">
        <f t="shared" si="85"/>
        <v>0.15874847937628306</v>
      </c>
      <c r="W158" s="156">
        <f t="shared" ref="W158:Y158" si="86">IF(W40=0,0,W40/W$17)</f>
        <v>0.16549136464806727</v>
      </c>
      <c r="X158" s="156">
        <f t="shared" si="86"/>
        <v>0.16363925117509243</v>
      </c>
      <c r="Y158" s="156">
        <f t="shared" si="86"/>
        <v>0.15750969688107511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0.15290966470969611</v>
      </c>
      <c r="C159" s="103">
        <f t="shared" si="87"/>
        <v>0.15155450914979421</v>
      </c>
      <c r="D159" s="103">
        <f t="shared" si="87"/>
        <v>0.14594864797094825</v>
      </c>
      <c r="E159" s="103">
        <f t="shared" si="87"/>
        <v>0.14610581837611777</v>
      </c>
      <c r="F159" s="103">
        <f t="shared" si="87"/>
        <v>0.15164179473702988</v>
      </c>
      <c r="G159" s="103">
        <f t="shared" si="87"/>
        <v>0.15808134009307878</v>
      </c>
      <c r="H159" s="103">
        <f t="shared" si="87"/>
        <v>0.15591029287114874</v>
      </c>
      <c r="I159" s="103">
        <f t="shared" si="87"/>
        <v>0.15711053926354418</v>
      </c>
      <c r="J159" s="103">
        <f t="shared" si="87"/>
        <v>0.16213457297594061</v>
      </c>
      <c r="K159" s="103">
        <f t="shared" si="87"/>
        <v>0.15268682902164482</v>
      </c>
      <c r="L159" s="103">
        <f t="shared" ref="L159" si="88">IF(L41=0,0,L41/L$17)</f>
        <v>0.15642450738763039</v>
      </c>
      <c r="M159" s="103">
        <f t="shared" ref="M159:V159" si="89">IF(M41=0,0,M41/M$17)</f>
        <v>0.1494493734345711</v>
      </c>
      <c r="N159" s="103">
        <f t="shared" si="89"/>
        <v>0.13360102104945643</v>
      </c>
      <c r="O159" s="103">
        <f t="shared" si="89"/>
        <v>0.13160920844560839</v>
      </c>
      <c r="P159" s="103">
        <f t="shared" si="89"/>
        <v>0.13987600597426939</v>
      </c>
      <c r="Q159" s="103">
        <f t="shared" si="89"/>
        <v>0.12950471821702098</v>
      </c>
      <c r="R159" s="103">
        <f t="shared" si="89"/>
        <v>0.11594008283028967</v>
      </c>
      <c r="S159" s="103">
        <f t="shared" si="89"/>
        <v>0.11457148453442856</v>
      </c>
      <c r="T159" s="103">
        <f t="shared" si="89"/>
        <v>0.11047666065781837</v>
      </c>
      <c r="U159" s="103">
        <f t="shared" si="89"/>
        <v>0.10732594109139917</v>
      </c>
      <c r="V159" s="103">
        <f t="shared" si="89"/>
        <v>0.11899087743212675</v>
      </c>
      <c r="W159" s="103">
        <f t="shared" ref="W159:Y159" si="90">IF(W41=0,0,W41/W$17)</f>
        <v>0.12268164354560156</v>
      </c>
      <c r="X159" s="103">
        <f t="shared" si="90"/>
        <v>0.12602494747767179</v>
      </c>
      <c r="Y159" s="103">
        <f t="shared" si="90"/>
        <v>0.11839224068759857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3.9670815358677378E-2</v>
      </c>
      <c r="C160" s="105">
        <f t="shared" si="91"/>
        <v>4.26084474197981E-2</v>
      </c>
      <c r="D160" s="105">
        <f t="shared" si="91"/>
        <v>4.2421314325170968E-2</v>
      </c>
      <c r="E160" s="105">
        <f t="shared" si="91"/>
        <v>4.4582405150124592E-2</v>
      </c>
      <c r="F160" s="105">
        <f t="shared" si="91"/>
        <v>5.3206460495424886E-2</v>
      </c>
      <c r="G160" s="105">
        <f t="shared" si="91"/>
        <v>5.3105618103123677E-2</v>
      </c>
      <c r="H160" s="105">
        <f t="shared" si="91"/>
        <v>5.6665966010172319E-2</v>
      </c>
      <c r="I160" s="105">
        <f t="shared" si="91"/>
        <v>5.5280392631835061E-2</v>
      </c>
      <c r="J160" s="105">
        <f t="shared" si="91"/>
        <v>5.3241231404151879E-2</v>
      </c>
      <c r="K160" s="105">
        <f t="shared" si="91"/>
        <v>4.3039735234132258E-2</v>
      </c>
      <c r="L160" s="105">
        <f t="shared" ref="L160" si="92">IF(L42=0,0,L42/L$17)</f>
        <v>4.675840663720416E-2</v>
      </c>
      <c r="M160" s="105">
        <f t="shared" ref="M160:V160" si="93">IF(M42=0,0,M42/M$17)</f>
        <v>4.5166333445285776E-2</v>
      </c>
      <c r="N160" s="105">
        <f t="shared" si="93"/>
        <v>4.2506533576182726E-2</v>
      </c>
      <c r="O160" s="105">
        <f t="shared" si="93"/>
        <v>4.7994239972822476E-2</v>
      </c>
      <c r="P160" s="105">
        <f t="shared" si="93"/>
        <v>3.8578106661359517E-2</v>
      </c>
      <c r="Q160" s="105">
        <f t="shared" si="93"/>
        <v>4.1074139902056064E-2</v>
      </c>
      <c r="R160" s="105">
        <f t="shared" si="93"/>
        <v>3.9443270888964273E-2</v>
      </c>
      <c r="S160" s="105">
        <f t="shared" si="93"/>
        <v>3.8504722945108996E-2</v>
      </c>
      <c r="T160" s="105">
        <f t="shared" si="93"/>
        <v>3.6632312063485342E-2</v>
      </c>
      <c r="U160" s="105">
        <f t="shared" si="93"/>
        <v>3.422234695773408E-2</v>
      </c>
      <c r="V160" s="105">
        <f t="shared" si="93"/>
        <v>3.9757601944156326E-2</v>
      </c>
      <c r="W160" s="105">
        <f t="shared" ref="W160:Y160" si="94">IF(W42=0,0,W42/W$17)</f>
        <v>4.2809721102465691E-2</v>
      </c>
      <c r="X160" s="105">
        <f t="shared" si="94"/>
        <v>3.7614303697420644E-2</v>
      </c>
      <c r="Y160" s="105">
        <f t="shared" si="94"/>
        <v>3.9117456193476514E-2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4699201</v>
      </c>
      <c r="C3" s="54">
        <f>TrRoad_act!C57</f>
        <v>4768816</v>
      </c>
      <c r="D3" s="54">
        <f>TrRoad_act!D57</f>
        <v>4841844</v>
      </c>
      <c r="E3" s="54">
        <f>TrRoad_act!E57</f>
        <v>4910424</v>
      </c>
      <c r="F3" s="54">
        <f>TrRoad_act!F57</f>
        <v>4976169</v>
      </c>
      <c r="G3" s="54">
        <f>TrRoad_act!G57</f>
        <v>5087748</v>
      </c>
      <c r="H3" s="54">
        <f>TrRoad_act!H57</f>
        <v>5200434</v>
      </c>
      <c r="I3" s="54">
        <f>TrRoad_act!I57</f>
        <v>5310587</v>
      </c>
      <c r="J3" s="54">
        <f>TrRoad_act!J57</f>
        <v>5362737</v>
      </c>
      <c r="K3" s="54">
        <f>TrRoad_act!K57</f>
        <v>5404851</v>
      </c>
      <c r="L3" s="54">
        <f>TrRoad_act!L57</f>
        <v>5442756</v>
      </c>
      <c r="M3" s="54">
        <f>TrRoad_act!M57</f>
        <v>5550455</v>
      </c>
      <c r="N3" s="54">
        <f>TrRoad_act!N57</f>
        <v>5633819</v>
      </c>
      <c r="O3" s="54">
        <f>TrRoad_act!O57</f>
        <v>5680423</v>
      </c>
      <c r="P3" s="54">
        <f>TrRoad_act!P57</f>
        <v>5798664</v>
      </c>
      <c r="Q3" s="54">
        <f>TrRoad_act!Q57</f>
        <v>5912127</v>
      </c>
      <c r="R3" s="54">
        <f>TrRoad_act!R57</f>
        <v>6048026</v>
      </c>
      <c r="S3" s="54">
        <f>TrRoad_act!S57</f>
        <v>6165303</v>
      </c>
      <c r="T3" s="54">
        <f>TrRoad_act!T57</f>
        <v>6218762</v>
      </c>
      <c r="U3" s="54">
        <f>TrRoad_act!U57</f>
        <v>6263361</v>
      </c>
      <c r="V3" s="54">
        <f>TrRoad_act!V57</f>
        <v>6351581</v>
      </c>
      <c r="W3" s="54">
        <f>TrRoad_act!W57</f>
        <v>6416029</v>
      </c>
      <c r="X3" s="54">
        <f>TrRoad_act!X57</f>
        <v>6421299</v>
      </c>
      <c r="Y3" s="54">
        <f>TrRoad_act!Y57</f>
        <v>6432787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4322596</v>
      </c>
      <c r="C4" s="28">
        <f>TrRoad_act!C58</f>
        <v>4369937</v>
      </c>
      <c r="D4" s="28">
        <f>TrRoad_act!D58</f>
        <v>4429612</v>
      </c>
      <c r="E4" s="28">
        <f>TrRoad_act!E58</f>
        <v>4485443</v>
      </c>
      <c r="F4" s="28">
        <f>TrRoad_act!F58</f>
        <v>4530760</v>
      </c>
      <c r="G4" s="28">
        <f>TrRoad_act!G58</f>
        <v>4620559</v>
      </c>
      <c r="H4" s="28">
        <f>TrRoad_act!H58</f>
        <v>4714317</v>
      </c>
      <c r="I4" s="28">
        <f>TrRoad_act!I58</f>
        <v>4800040</v>
      </c>
      <c r="J4" s="28">
        <f>TrRoad_act!J58</f>
        <v>4846773</v>
      </c>
      <c r="K4" s="28">
        <f>TrRoad_act!K58</f>
        <v>4885242</v>
      </c>
      <c r="L4" s="28">
        <f>TrRoad_act!L58</f>
        <v>4918498</v>
      </c>
      <c r="M4" s="28">
        <f>TrRoad_act!M58</f>
        <v>4992987</v>
      </c>
      <c r="N4" s="28">
        <f>TrRoad_act!N58</f>
        <v>5076071</v>
      </c>
      <c r="O4" s="28">
        <f>TrRoad_act!O58</f>
        <v>5114232</v>
      </c>
      <c r="P4" s="28">
        <f>TrRoad_act!P58</f>
        <v>5217251</v>
      </c>
      <c r="Q4" s="28">
        <f>TrRoad_act!Q58</f>
        <v>5314989</v>
      </c>
      <c r="R4" s="28">
        <f>TrRoad_act!R58</f>
        <v>5430130</v>
      </c>
      <c r="S4" s="28">
        <f>TrRoad_act!S58</f>
        <v>5525556</v>
      </c>
      <c r="T4" s="28">
        <f>TrRoad_act!T58</f>
        <v>5560870</v>
      </c>
      <c r="U4" s="28">
        <f>TrRoad_act!U58</f>
        <v>5592925</v>
      </c>
      <c r="V4" s="28">
        <f>TrRoad_act!V58</f>
        <v>5670197</v>
      </c>
      <c r="W4" s="28">
        <f>TrRoad_act!W58</f>
        <v>5722924</v>
      </c>
      <c r="X4" s="28">
        <f>TrRoad_act!X58</f>
        <v>5725091</v>
      </c>
      <c r="Y4" s="28">
        <f>TrRoad_act!Y58</f>
        <v>5731509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310069</v>
      </c>
      <c r="C5" s="137">
        <f>TrRoad_act!C59</f>
        <v>336341</v>
      </c>
      <c r="D5" s="137">
        <f>TrRoad_act!D59</f>
        <v>372369</v>
      </c>
      <c r="E5" s="137">
        <f>TrRoad_act!E59</f>
        <v>395601</v>
      </c>
      <c r="F5" s="137">
        <f>TrRoad_act!F59</f>
        <v>403317</v>
      </c>
      <c r="G5" s="137">
        <f>TrRoad_act!G59</f>
        <v>453082</v>
      </c>
      <c r="H5" s="137">
        <f>TrRoad_act!H59</f>
        <v>497744</v>
      </c>
      <c r="I5" s="137">
        <f>TrRoad_act!I59</f>
        <v>528125</v>
      </c>
      <c r="J5" s="137">
        <f>TrRoad_act!J59</f>
        <v>553929</v>
      </c>
      <c r="K5" s="137">
        <f>TrRoad_act!K59</f>
        <v>571890</v>
      </c>
      <c r="L5" s="137">
        <f>TrRoad_act!L59</f>
        <v>570240</v>
      </c>
      <c r="M5" s="137">
        <f>TrRoad_act!M59</f>
        <v>578495</v>
      </c>
      <c r="N5" s="137">
        <f>TrRoad_act!N59</f>
        <v>615525</v>
      </c>
      <c r="O5" s="137">
        <f>TrRoad_act!O59</f>
        <v>605590</v>
      </c>
      <c r="P5" s="137">
        <f>TrRoad_act!P59</f>
        <v>618553</v>
      </c>
      <c r="Q5" s="137">
        <f>TrRoad_act!Q59</f>
        <v>632618</v>
      </c>
      <c r="R5" s="137">
        <f>TrRoad_act!R59</f>
        <v>648982</v>
      </c>
      <c r="S5" s="137">
        <f>TrRoad_act!S59</f>
        <v>666315</v>
      </c>
      <c r="T5" s="137">
        <f>TrRoad_act!T59</f>
        <v>676514</v>
      </c>
      <c r="U5" s="137">
        <f>TrRoad_act!U59</f>
        <v>690896</v>
      </c>
      <c r="V5" s="137">
        <f>TrRoad_act!V59</f>
        <v>713416</v>
      </c>
      <c r="W5" s="137">
        <f>TrRoad_act!W59</f>
        <v>723352</v>
      </c>
      <c r="X5" s="137">
        <f>TrRoad_act!X59</f>
        <v>731092</v>
      </c>
      <c r="Y5" s="137">
        <f>TrRoad_act!Y59</f>
        <v>740822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3998110</v>
      </c>
      <c r="C6" s="110">
        <f>TrRoad_act!C60</f>
        <v>4019350</v>
      </c>
      <c r="D6" s="110">
        <f>TrRoad_act!D60</f>
        <v>4043230</v>
      </c>
      <c r="E6" s="110">
        <f>TrRoad_act!E60</f>
        <v>4076100</v>
      </c>
      <c r="F6" s="110">
        <f>TrRoad_act!F60</f>
        <v>4114080</v>
      </c>
      <c r="G6" s="110">
        <f>TrRoad_act!G60</f>
        <v>4154000</v>
      </c>
      <c r="H6" s="110">
        <f>TrRoad_act!H60</f>
        <v>4202930</v>
      </c>
      <c r="I6" s="110">
        <f>TrRoad_act!I60</f>
        <v>4258600</v>
      </c>
      <c r="J6" s="110">
        <f>TrRoad_act!J60</f>
        <v>4279370</v>
      </c>
      <c r="K6" s="110">
        <f>TrRoad_act!K60</f>
        <v>4299950</v>
      </c>
      <c r="L6" s="110">
        <f>TrRoad_act!L60</f>
        <v>4334390</v>
      </c>
      <c r="M6" s="110">
        <f>TrRoad_act!M60</f>
        <v>4400550</v>
      </c>
      <c r="N6" s="110">
        <f>TrRoad_act!N60</f>
        <v>4446349</v>
      </c>
      <c r="O6" s="110">
        <f>TrRoad_act!O60</f>
        <v>4494661</v>
      </c>
      <c r="P6" s="110">
        <f>TrRoad_act!P60</f>
        <v>4584711</v>
      </c>
      <c r="Q6" s="110">
        <f>TrRoad_act!Q60</f>
        <v>4668262</v>
      </c>
      <c r="R6" s="110">
        <f>TrRoad_act!R60</f>
        <v>4767262</v>
      </c>
      <c r="S6" s="110">
        <f>TrRoad_act!S60</f>
        <v>4844823</v>
      </c>
      <c r="T6" s="110">
        <f>TrRoad_act!T60</f>
        <v>4869979</v>
      </c>
      <c r="U6" s="110">
        <f>TrRoad_act!U60</f>
        <v>4887116</v>
      </c>
      <c r="V6" s="110">
        <f>TrRoad_act!V60</f>
        <v>4943293</v>
      </c>
      <c r="W6" s="110">
        <f>TrRoad_act!W60</f>
        <v>4985979</v>
      </c>
      <c r="X6" s="110">
        <f>TrRoad_act!X60</f>
        <v>4979761</v>
      </c>
      <c r="Y6" s="110">
        <f>TrRoad_act!Y60</f>
        <v>4976366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3804105</v>
      </c>
      <c r="C7" s="84">
        <f>TrRoad_act!C61</f>
        <v>3834345</v>
      </c>
      <c r="D7" s="84">
        <f>TrRoad_act!D61</f>
        <v>3853307</v>
      </c>
      <c r="E7" s="84">
        <f>TrRoad_act!E61</f>
        <v>3878269</v>
      </c>
      <c r="F7" s="84">
        <f>TrRoad_act!F61</f>
        <v>3906270</v>
      </c>
      <c r="G7" s="84">
        <f>TrRoad_act!G61</f>
        <v>3931685</v>
      </c>
      <c r="H7" s="84">
        <f>TrRoad_act!H61</f>
        <v>3937982</v>
      </c>
      <c r="I7" s="84">
        <f>TrRoad_act!I61</f>
        <v>3902523</v>
      </c>
      <c r="J7" s="84">
        <f>TrRoad_act!J61</f>
        <v>3857952</v>
      </c>
      <c r="K7" s="84">
        <f>TrRoad_act!K61</f>
        <v>3789166</v>
      </c>
      <c r="L7" s="84">
        <f>TrRoad_act!L61</f>
        <v>3685570</v>
      </c>
      <c r="M7" s="84">
        <f>TrRoad_act!M61</f>
        <v>3579435</v>
      </c>
      <c r="N7" s="84">
        <f>TrRoad_act!N61</f>
        <v>3454210</v>
      </c>
      <c r="O7" s="84">
        <f>TrRoad_act!O61</f>
        <v>3341431</v>
      </c>
      <c r="P7" s="84">
        <f>TrRoad_act!P61</f>
        <v>3259599</v>
      </c>
      <c r="Q7" s="84">
        <f>TrRoad_act!Q61</f>
        <v>3168166</v>
      </c>
      <c r="R7" s="84">
        <f>TrRoad_act!R61</f>
        <v>3096797</v>
      </c>
      <c r="S7" s="84">
        <f>TrRoad_act!S61</f>
        <v>3039616</v>
      </c>
      <c r="T7" s="84">
        <f>TrRoad_act!T61</f>
        <v>2983381</v>
      </c>
      <c r="U7" s="84">
        <f>TrRoad_act!U61</f>
        <v>2937692</v>
      </c>
      <c r="V7" s="84">
        <f>TrRoad_act!V61</f>
        <v>2902281</v>
      </c>
      <c r="W7" s="84">
        <f>TrRoad_act!W61</f>
        <v>2832051</v>
      </c>
      <c r="X7" s="84">
        <f>TrRoad_act!X61</f>
        <v>2734664</v>
      </c>
      <c r="Y7" s="84">
        <f>TrRoad_act!Y61</f>
        <v>2750969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194005</v>
      </c>
      <c r="C8" s="84">
        <f>TrRoad_act!C62</f>
        <v>185005</v>
      </c>
      <c r="D8" s="84">
        <f>TrRoad_act!D62</f>
        <v>189003</v>
      </c>
      <c r="E8" s="84">
        <f>TrRoad_act!E62</f>
        <v>196001</v>
      </c>
      <c r="F8" s="84">
        <f>TrRoad_act!F62</f>
        <v>204960</v>
      </c>
      <c r="G8" s="84">
        <f>TrRoad_act!G62</f>
        <v>217875</v>
      </c>
      <c r="H8" s="84">
        <f>TrRoad_act!H62</f>
        <v>260419</v>
      </c>
      <c r="I8" s="84">
        <f>TrRoad_act!I62</f>
        <v>350957</v>
      </c>
      <c r="J8" s="84">
        <f>TrRoad_act!J62</f>
        <v>415365</v>
      </c>
      <c r="K8" s="84">
        <f>TrRoad_act!K62</f>
        <v>503997</v>
      </c>
      <c r="L8" s="84">
        <f>TrRoad_act!L62</f>
        <v>634669</v>
      </c>
      <c r="M8" s="84">
        <f>TrRoad_act!M62</f>
        <v>800389</v>
      </c>
      <c r="N8" s="84">
        <f>TrRoad_act!N62</f>
        <v>965679</v>
      </c>
      <c r="O8" s="84">
        <f>TrRoad_act!O62</f>
        <v>1122665</v>
      </c>
      <c r="P8" s="84">
        <f>TrRoad_act!P62</f>
        <v>1285667</v>
      </c>
      <c r="Q8" s="84">
        <f>TrRoad_act!Q62</f>
        <v>1449009</v>
      </c>
      <c r="R8" s="84">
        <f>TrRoad_act!R62</f>
        <v>1599960</v>
      </c>
      <c r="S8" s="84">
        <f>TrRoad_act!S62</f>
        <v>1718231</v>
      </c>
      <c r="T8" s="84">
        <f>TrRoad_act!T62</f>
        <v>1778077</v>
      </c>
      <c r="U8" s="84">
        <f>TrRoad_act!U62</f>
        <v>1810839</v>
      </c>
      <c r="V8" s="84">
        <f>TrRoad_act!V62</f>
        <v>1806424</v>
      </c>
      <c r="W8" s="84">
        <f>TrRoad_act!W62</f>
        <v>1784509</v>
      </c>
      <c r="X8" s="84">
        <f>TrRoad_act!X62</f>
        <v>1713071</v>
      </c>
      <c r="Y8" s="84">
        <f>TrRoad_act!Y62</f>
        <v>1624849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300</v>
      </c>
      <c r="H9" s="84">
        <f>TrRoad_act!H63</f>
        <v>284</v>
      </c>
      <c r="I9" s="84">
        <f>TrRoad_act!I63</f>
        <v>282</v>
      </c>
      <c r="J9" s="84">
        <f>TrRoad_act!J63</f>
        <v>300</v>
      </c>
      <c r="K9" s="84">
        <f>TrRoad_act!K63</f>
        <v>400</v>
      </c>
      <c r="L9" s="84">
        <f>TrRoad_act!L63</f>
        <v>350</v>
      </c>
      <c r="M9" s="84">
        <f>TrRoad_act!M63</f>
        <v>486</v>
      </c>
      <c r="N9" s="84">
        <f>TrRoad_act!N63</f>
        <v>486</v>
      </c>
      <c r="O9" s="84">
        <f>TrRoad_act!O63</f>
        <v>491</v>
      </c>
      <c r="P9" s="84">
        <f>TrRoad_act!P63</f>
        <v>491</v>
      </c>
      <c r="Q9" s="84">
        <f>TrRoad_act!Q63</f>
        <v>491</v>
      </c>
      <c r="R9" s="84">
        <f>TrRoad_act!R63</f>
        <v>465</v>
      </c>
      <c r="S9" s="84">
        <f>TrRoad_act!S63</f>
        <v>0</v>
      </c>
      <c r="T9" s="84">
        <f>TrRoad_act!T63</f>
        <v>0</v>
      </c>
      <c r="U9" s="84">
        <f>TrRoad_act!U63</f>
        <v>0</v>
      </c>
      <c r="V9" s="84">
        <f>TrRoad_act!V63</f>
        <v>0</v>
      </c>
      <c r="W9" s="84">
        <f>TrRoad_act!W63</f>
        <v>0</v>
      </c>
      <c r="X9" s="84">
        <f>TrRoad_act!X63</f>
        <v>0</v>
      </c>
      <c r="Y9" s="84">
        <f>TrRoad_act!Y63</f>
        <v>0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920</v>
      </c>
      <c r="E10" s="84">
        <f>TrRoad_act!E64</f>
        <v>1830</v>
      </c>
      <c r="F10" s="84">
        <f>TrRoad_act!F64</f>
        <v>2850</v>
      </c>
      <c r="G10" s="84">
        <f>TrRoad_act!G64</f>
        <v>4140</v>
      </c>
      <c r="H10" s="84">
        <f>TrRoad_act!H64</f>
        <v>4245</v>
      </c>
      <c r="I10" s="84">
        <f>TrRoad_act!I64</f>
        <v>4838</v>
      </c>
      <c r="J10" s="84">
        <f>TrRoad_act!J64</f>
        <v>5494</v>
      </c>
      <c r="K10" s="84">
        <f>TrRoad_act!K64</f>
        <v>6070</v>
      </c>
      <c r="L10" s="84">
        <f>TrRoad_act!L64</f>
        <v>13421</v>
      </c>
      <c r="M10" s="84">
        <f>TrRoad_act!M64</f>
        <v>19504</v>
      </c>
      <c r="N10" s="84">
        <f>TrRoad_act!N64</f>
        <v>24381</v>
      </c>
      <c r="O10" s="84">
        <f>TrRoad_act!O64</f>
        <v>27595</v>
      </c>
      <c r="P10" s="84">
        <f>TrRoad_act!P64</f>
        <v>31860</v>
      </c>
      <c r="Q10" s="84">
        <f>TrRoad_act!Q64</f>
        <v>36055</v>
      </c>
      <c r="R10" s="84">
        <f>TrRoad_act!R64</f>
        <v>43676</v>
      </c>
      <c r="S10" s="84">
        <f>TrRoad_act!S64</f>
        <v>43689</v>
      </c>
      <c r="T10" s="84">
        <f>TrRoad_act!T64</f>
        <v>42463</v>
      </c>
      <c r="U10" s="84">
        <f>TrRoad_act!U64</f>
        <v>41633</v>
      </c>
      <c r="V10" s="84">
        <f>TrRoad_act!V64</f>
        <v>43908</v>
      </c>
      <c r="W10" s="84">
        <f>TrRoad_act!W64</f>
        <v>43444</v>
      </c>
      <c r="X10" s="84">
        <f>TrRoad_act!X64</f>
        <v>45326</v>
      </c>
      <c r="Y10" s="84">
        <f>TrRoad_act!Y64</f>
        <v>36528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130</v>
      </c>
      <c r="K11" s="84">
        <f>TrRoad_act!K65</f>
        <v>160</v>
      </c>
      <c r="L11" s="84">
        <f>TrRoad_act!L65</f>
        <v>190</v>
      </c>
      <c r="M11" s="84">
        <f>TrRoad_act!M65</f>
        <v>370</v>
      </c>
      <c r="N11" s="84">
        <f>TrRoad_act!N65</f>
        <v>990</v>
      </c>
      <c r="O11" s="84">
        <f>TrRoad_act!O65</f>
        <v>1469</v>
      </c>
      <c r="P11" s="84">
        <f>TrRoad_act!P65</f>
        <v>4922</v>
      </c>
      <c r="Q11" s="84">
        <f>TrRoad_act!Q65</f>
        <v>9776</v>
      </c>
      <c r="R11" s="84">
        <f>TrRoad_act!R65</f>
        <v>18832</v>
      </c>
      <c r="S11" s="84">
        <f>TrRoad_act!S65</f>
        <v>32253</v>
      </c>
      <c r="T11" s="84">
        <f>TrRoad_act!T65</f>
        <v>49394</v>
      </c>
      <c r="U11" s="84">
        <f>TrRoad_act!U65</f>
        <v>66609</v>
      </c>
      <c r="V11" s="84">
        <f>TrRoad_act!V65</f>
        <v>132440</v>
      </c>
      <c r="W11" s="84">
        <f>TrRoad_act!W65</f>
        <v>210281</v>
      </c>
      <c r="X11" s="84">
        <f>TrRoad_act!X65</f>
        <v>276553</v>
      </c>
      <c r="Y11" s="84">
        <f>TrRoad_act!Y65</f>
        <v>272342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129</v>
      </c>
      <c r="K12" s="84">
        <f>TrRoad_act!K66</f>
        <v>157</v>
      </c>
      <c r="L12" s="84">
        <f>TrRoad_act!L66</f>
        <v>190</v>
      </c>
      <c r="M12" s="84">
        <f>TrRoad_act!M66</f>
        <v>366</v>
      </c>
      <c r="N12" s="84">
        <f>TrRoad_act!N66</f>
        <v>603</v>
      </c>
      <c r="O12" s="84">
        <f>TrRoad_act!O66</f>
        <v>1010</v>
      </c>
      <c r="P12" s="84">
        <f>TrRoad_act!P66</f>
        <v>2172</v>
      </c>
      <c r="Q12" s="84">
        <f>TrRoad_act!Q66</f>
        <v>4765</v>
      </c>
      <c r="R12" s="84">
        <f>TrRoad_act!R66</f>
        <v>7532</v>
      </c>
      <c r="S12" s="84">
        <f>TrRoad_act!S66</f>
        <v>11034</v>
      </c>
      <c r="T12" s="84">
        <f>TrRoad_act!T66</f>
        <v>16664</v>
      </c>
      <c r="U12" s="84">
        <f>TrRoad_act!U66</f>
        <v>30343</v>
      </c>
      <c r="V12" s="84">
        <f>TrRoad_act!V66</f>
        <v>58240</v>
      </c>
      <c r="W12" s="84">
        <f>TrRoad_act!W66</f>
        <v>115694</v>
      </c>
      <c r="X12" s="84">
        <f>TrRoad_act!X66</f>
        <v>210147</v>
      </c>
      <c r="Y12" s="84">
        <f>TrRoad_act!Y66</f>
        <v>291678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14417</v>
      </c>
      <c r="C13" s="110">
        <f>TrRoad_act!C67</f>
        <v>14246</v>
      </c>
      <c r="D13" s="110">
        <f>TrRoad_act!D67</f>
        <v>14013</v>
      </c>
      <c r="E13" s="110">
        <f>TrRoad_act!E67</f>
        <v>13742</v>
      </c>
      <c r="F13" s="110">
        <f>TrRoad_act!F67</f>
        <v>13363</v>
      </c>
      <c r="G13" s="110">
        <f>TrRoad_act!G67</f>
        <v>13477</v>
      </c>
      <c r="H13" s="110">
        <f>TrRoad_act!H67</f>
        <v>13643</v>
      </c>
      <c r="I13" s="110">
        <f>TrRoad_act!I67</f>
        <v>13315</v>
      </c>
      <c r="J13" s="110">
        <f>TrRoad_act!J67</f>
        <v>13474</v>
      </c>
      <c r="K13" s="110">
        <f>TrRoad_act!K67</f>
        <v>13402</v>
      </c>
      <c r="L13" s="110">
        <f>TrRoad_act!L67</f>
        <v>13868</v>
      </c>
      <c r="M13" s="110">
        <f>TrRoad_act!M67</f>
        <v>13942</v>
      </c>
      <c r="N13" s="110">
        <f>TrRoad_act!N67</f>
        <v>14197</v>
      </c>
      <c r="O13" s="110">
        <f>TrRoad_act!O67</f>
        <v>13981</v>
      </c>
      <c r="P13" s="110">
        <f>TrRoad_act!P67</f>
        <v>13987</v>
      </c>
      <c r="Q13" s="110">
        <f>TrRoad_act!Q67</f>
        <v>14109</v>
      </c>
      <c r="R13" s="110">
        <f>TrRoad_act!R67</f>
        <v>13886</v>
      </c>
      <c r="S13" s="110">
        <f>TrRoad_act!S67</f>
        <v>14418</v>
      </c>
      <c r="T13" s="110">
        <f>TrRoad_act!T67</f>
        <v>14377</v>
      </c>
      <c r="U13" s="110">
        <f>TrRoad_act!U67</f>
        <v>14913</v>
      </c>
      <c r="V13" s="110">
        <f>TrRoad_act!V67</f>
        <v>13488</v>
      </c>
      <c r="W13" s="110">
        <f>TrRoad_act!W67</f>
        <v>13593</v>
      </c>
      <c r="X13" s="110">
        <f>TrRoad_act!X67</f>
        <v>14238</v>
      </c>
      <c r="Y13" s="110">
        <f>TrRoad_act!Y67</f>
        <v>14321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521</v>
      </c>
      <c r="C14" s="102">
        <f>TrRoad_act!C68</f>
        <v>426</v>
      </c>
      <c r="D14" s="102">
        <f>TrRoad_act!D68</f>
        <v>336</v>
      </c>
      <c r="E14" s="102">
        <f>TrRoad_act!E68</f>
        <v>259</v>
      </c>
      <c r="F14" s="102">
        <f>TrRoad_act!F68</f>
        <v>192</v>
      </c>
      <c r="G14" s="102">
        <f>TrRoad_act!G68</f>
        <v>142</v>
      </c>
      <c r="H14" s="102">
        <f>TrRoad_act!H68</f>
        <v>122</v>
      </c>
      <c r="I14" s="102">
        <f>TrRoad_act!I68</f>
        <v>103</v>
      </c>
      <c r="J14" s="102">
        <f>TrRoad_act!J68</f>
        <v>88</v>
      </c>
      <c r="K14" s="102">
        <f>TrRoad_act!K68</f>
        <v>82</v>
      </c>
      <c r="L14" s="102">
        <f>TrRoad_act!L68</f>
        <v>34</v>
      </c>
      <c r="M14" s="102">
        <f>TrRoad_act!M68</f>
        <v>61</v>
      </c>
      <c r="N14" s="102">
        <f>TrRoad_act!N68</f>
        <v>51</v>
      </c>
      <c r="O14" s="102">
        <f>TrRoad_act!O68</f>
        <v>51</v>
      </c>
      <c r="P14" s="102">
        <f>TrRoad_act!P68</f>
        <v>49</v>
      </c>
      <c r="Q14" s="102">
        <f>TrRoad_act!Q68</f>
        <v>46</v>
      </c>
      <c r="R14" s="102">
        <f>TrRoad_act!R68</f>
        <v>49</v>
      </c>
      <c r="S14" s="102">
        <f>TrRoad_act!S68</f>
        <v>47</v>
      </c>
      <c r="T14" s="102">
        <f>TrRoad_act!T68</f>
        <v>45</v>
      </c>
      <c r="U14" s="102">
        <f>TrRoad_act!U68</f>
        <v>41</v>
      </c>
      <c r="V14" s="102">
        <f>TrRoad_act!V68</f>
        <v>39</v>
      </c>
      <c r="W14" s="102">
        <f>TrRoad_act!W68</f>
        <v>36</v>
      </c>
      <c r="X14" s="102">
        <f>TrRoad_act!X68</f>
        <v>34</v>
      </c>
      <c r="Y14" s="102">
        <f>TrRoad_act!Y68</f>
        <v>34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13539</v>
      </c>
      <c r="C15" s="102">
        <f>TrRoad_act!C69</f>
        <v>13428</v>
      </c>
      <c r="D15" s="102">
        <f>TrRoad_act!D69</f>
        <v>13287</v>
      </c>
      <c r="E15" s="102">
        <f>TrRoad_act!E69</f>
        <v>13091</v>
      </c>
      <c r="F15" s="102">
        <f>TrRoad_act!F69</f>
        <v>12733</v>
      </c>
      <c r="G15" s="102">
        <f>TrRoad_act!G69</f>
        <v>12398</v>
      </c>
      <c r="H15" s="102">
        <f>TrRoad_act!H69</f>
        <v>12965</v>
      </c>
      <c r="I15" s="102">
        <f>TrRoad_act!I69</f>
        <v>12580</v>
      </c>
      <c r="J15" s="102">
        <f>TrRoad_act!J69</f>
        <v>12544</v>
      </c>
      <c r="K15" s="102">
        <f>TrRoad_act!K69</f>
        <v>12200</v>
      </c>
      <c r="L15" s="102">
        <f>TrRoad_act!L69</f>
        <v>12523</v>
      </c>
      <c r="M15" s="102">
        <f>TrRoad_act!M69</f>
        <v>12209</v>
      </c>
      <c r="N15" s="102">
        <f>TrRoad_act!N69</f>
        <v>12289</v>
      </c>
      <c r="O15" s="102">
        <f>TrRoad_act!O69</f>
        <v>9636</v>
      </c>
      <c r="P15" s="102">
        <f>TrRoad_act!P69</f>
        <v>9367</v>
      </c>
      <c r="Q15" s="102">
        <f>TrRoad_act!Q69</f>
        <v>9367</v>
      </c>
      <c r="R15" s="102">
        <f>TrRoad_act!R69</f>
        <v>9179</v>
      </c>
      <c r="S15" s="102">
        <f>TrRoad_act!S69</f>
        <v>9287</v>
      </c>
      <c r="T15" s="102">
        <f>TrRoad_act!T69</f>
        <v>9232</v>
      </c>
      <c r="U15" s="102">
        <f>TrRoad_act!U69</f>
        <v>11986</v>
      </c>
      <c r="V15" s="102">
        <f>TrRoad_act!V69</f>
        <v>10155</v>
      </c>
      <c r="W15" s="102">
        <f>TrRoad_act!W69</f>
        <v>10124</v>
      </c>
      <c r="X15" s="102">
        <f>TrRoad_act!X69</f>
        <v>10610</v>
      </c>
      <c r="Y15" s="102">
        <f>TrRoad_act!Y69</f>
        <v>10476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340</v>
      </c>
      <c r="C17" s="102">
        <f>TrRoad_act!C71</f>
        <v>375</v>
      </c>
      <c r="D17" s="102">
        <f>TrRoad_act!D71</f>
        <v>376</v>
      </c>
      <c r="E17" s="102">
        <f>TrRoad_act!E71</f>
        <v>376</v>
      </c>
      <c r="F17" s="102">
        <f>TrRoad_act!F71</f>
        <v>422</v>
      </c>
      <c r="G17" s="102">
        <f>TrRoad_act!G71</f>
        <v>924</v>
      </c>
      <c r="H17" s="102">
        <f>TrRoad_act!H71</f>
        <v>544</v>
      </c>
      <c r="I17" s="102">
        <f>TrRoad_act!I71</f>
        <v>622</v>
      </c>
      <c r="J17" s="102">
        <f>TrRoad_act!J71</f>
        <v>834</v>
      </c>
      <c r="K17" s="102">
        <f>TrRoad_act!K71</f>
        <v>1112</v>
      </c>
      <c r="L17" s="102">
        <f>TrRoad_act!L71</f>
        <v>1307</v>
      </c>
      <c r="M17" s="102">
        <f>TrRoad_act!M71</f>
        <v>1668</v>
      </c>
      <c r="N17" s="102">
        <f>TrRoad_act!N71</f>
        <v>1851</v>
      </c>
      <c r="O17" s="102">
        <f>TrRoad_act!O71</f>
        <v>4286</v>
      </c>
      <c r="P17" s="102">
        <f>TrRoad_act!P71</f>
        <v>4560</v>
      </c>
      <c r="Q17" s="102">
        <f>TrRoad_act!Q71</f>
        <v>4676</v>
      </c>
      <c r="R17" s="102">
        <f>TrRoad_act!R71</f>
        <v>4620</v>
      </c>
      <c r="S17" s="102">
        <f>TrRoad_act!S71</f>
        <v>5030</v>
      </c>
      <c r="T17" s="102">
        <f>TrRoad_act!T71</f>
        <v>5000</v>
      </c>
      <c r="U17" s="102">
        <f>TrRoad_act!U71</f>
        <v>2618</v>
      </c>
      <c r="V17" s="102">
        <f>TrRoad_act!V71</f>
        <v>2822</v>
      </c>
      <c r="W17" s="102">
        <f>TrRoad_act!W71</f>
        <v>2771</v>
      </c>
      <c r="X17" s="102">
        <f>TrRoad_act!X71</f>
        <v>2680</v>
      </c>
      <c r="Y17" s="102">
        <f>TrRoad_act!Y71</f>
        <v>2598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17</v>
      </c>
      <c r="C18" s="102">
        <f>TrRoad_act!C72</f>
        <v>17</v>
      </c>
      <c r="D18" s="102">
        <f>TrRoad_act!D72</f>
        <v>14</v>
      </c>
      <c r="E18" s="102">
        <f>TrRoad_act!E72</f>
        <v>16</v>
      </c>
      <c r="F18" s="102">
        <f>TrRoad_act!F72</f>
        <v>16</v>
      </c>
      <c r="G18" s="102">
        <f>TrRoad_act!G72</f>
        <v>13</v>
      </c>
      <c r="H18" s="102">
        <f>TrRoad_act!H72</f>
        <v>12</v>
      </c>
      <c r="I18" s="102">
        <f>TrRoad_act!I72</f>
        <v>10</v>
      </c>
      <c r="J18" s="102">
        <f>TrRoad_act!J72</f>
        <v>8</v>
      </c>
      <c r="K18" s="102">
        <f>TrRoad_act!K72</f>
        <v>8</v>
      </c>
      <c r="L18" s="102">
        <f>TrRoad_act!L72</f>
        <v>4</v>
      </c>
      <c r="M18" s="102">
        <f>TrRoad_act!M72</f>
        <v>4</v>
      </c>
      <c r="N18" s="102">
        <f>TrRoad_act!N72</f>
        <v>6</v>
      </c>
      <c r="O18" s="102">
        <f>TrRoad_act!O72</f>
        <v>8</v>
      </c>
      <c r="P18" s="102">
        <f>TrRoad_act!P72</f>
        <v>11</v>
      </c>
      <c r="Q18" s="102">
        <f>TrRoad_act!Q72</f>
        <v>20</v>
      </c>
      <c r="R18" s="102">
        <f>TrRoad_act!R72</f>
        <v>38</v>
      </c>
      <c r="S18" s="102">
        <f>TrRoad_act!S72</f>
        <v>54</v>
      </c>
      <c r="T18" s="102">
        <f>TrRoad_act!T72</f>
        <v>100</v>
      </c>
      <c r="U18" s="102">
        <f>TrRoad_act!U72</f>
        <v>268</v>
      </c>
      <c r="V18" s="102">
        <f>TrRoad_act!V72</f>
        <v>472</v>
      </c>
      <c r="W18" s="102">
        <f>TrRoad_act!W72</f>
        <v>662</v>
      </c>
      <c r="X18" s="102">
        <f>TrRoad_act!X72</f>
        <v>914</v>
      </c>
      <c r="Y18" s="102">
        <f>TrRoad_act!Y72</f>
        <v>1213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376605</v>
      </c>
      <c r="C19" s="28">
        <f>TrRoad_act!C73</f>
        <v>398879</v>
      </c>
      <c r="D19" s="28">
        <f>TrRoad_act!D73</f>
        <v>412232</v>
      </c>
      <c r="E19" s="28">
        <f>TrRoad_act!E73</f>
        <v>424981</v>
      </c>
      <c r="F19" s="28">
        <f>TrRoad_act!F73</f>
        <v>445409</v>
      </c>
      <c r="G19" s="28">
        <f>TrRoad_act!G73</f>
        <v>467189</v>
      </c>
      <c r="H19" s="28">
        <f>TrRoad_act!H73</f>
        <v>486117</v>
      </c>
      <c r="I19" s="28">
        <f>TrRoad_act!I73</f>
        <v>510547</v>
      </c>
      <c r="J19" s="28">
        <f>TrRoad_act!J73</f>
        <v>515964</v>
      </c>
      <c r="K19" s="28">
        <f>TrRoad_act!K73</f>
        <v>519609</v>
      </c>
      <c r="L19" s="28">
        <f>TrRoad_act!L73</f>
        <v>524258</v>
      </c>
      <c r="M19" s="28">
        <f>TrRoad_act!M73</f>
        <v>557468</v>
      </c>
      <c r="N19" s="28">
        <f>TrRoad_act!N73</f>
        <v>557748</v>
      </c>
      <c r="O19" s="28">
        <f>TrRoad_act!O73</f>
        <v>566191</v>
      </c>
      <c r="P19" s="28">
        <f>TrRoad_act!P73</f>
        <v>581413</v>
      </c>
      <c r="Q19" s="28">
        <f>TrRoad_act!Q73</f>
        <v>597138</v>
      </c>
      <c r="R19" s="28">
        <f>TrRoad_act!R73</f>
        <v>617896</v>
      </c>
      <c r="S19" s="28">
        <f>TrRoad_act!S73</f>
        <v>639747</v>
      </c>
      <c r="T19" s="28">
        <f>TrRoad_act!T73</f>
        <v>657892</v>
      </c>
      <c r="U19" s="28">
        <f>TrRoad_act!U73</f>
        <v>670436</v>
      </c>
      <c r="V19" s="28">
        <f>TrRoad_act!V73</f>
        <v>681384</v>
      </c>
      <c r="W19" s="28">
        <f>TrRoad_act!W73</f>
        <v>693105</v>
      </c>
      <c r="X19" s="28">
        <f>TrRoad_act!X73</f>
        <v>696208</v>
      </c>
      <c r="Y19" s="28">
        <f>TrRoad_act!Y73</f>
        <v>701278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296574</v>
      </c>
      <c r="C20" s="137">
        <f>TrRoad_act!C74</f>
        <v>318776</v>
      </c>
      <c r="D20" s="137">
        <f>TrRoad_act!D74</f>
        <v>333289</v>
      </c>
      <c r="E20" s="137">
        <f>TrRoad_act!E74</f>
        <v>347263</v>
      </c>
      <c r="F20" s="137">
        <f>TrRoad_act!F74</f>
        <v>365812</v>
      </c>
      <c r="G20" s="137">
        <f>TrRoad_act!G74</f>
        <v>386377</v>
      </c>
      <c r="H20" s="137">
        <f>TrRoad_act!H74</f>
        <v>402748</v>
      </c>
      <c r="I20" s="137">
        <f>TrRoad_act!I74</f>
        <v>425286</v>
      </c>
      <c r="J20" s="137">
        <f>TrRoad_act!J74</f>
        <v>432123</v>
      </c>
      <c r="K20" s="137">
        <f>TrRoad_act!K74</f>
        <v>437420</v>
      </c>
      <c r="L20" s="137">
        <f>TrRoad_act!L74</f>
        <v>441426</v>
      </c>
      <c r="M20" s="137">
        <f>TrRoad_act!M74</f>
        <v>471383</v>
      </c>
      <c r="N20" s="137">
        <f>TrRoad_act!N74</f>
        <v>470915</v>
      </c>
      <c r="O20" s="137">
        <f>TrRoad_act!O74</f>
        <v>484387</v>
      </c>
      <c r="P20" s="137">
        <f>TrRoad_act!P74</f>
        <v>499962</v>
      </c>
      <c r="Q20" s="137">
        <f>TrRoad_act!Q74</f>
        <v>514443</v>
      </c>
      <c r="R20" s="137">
        <f>TrRoad_act!R74</f>
        <v>533005</v>
      </c>
      <c r="S20" s="137">
        <f>TrRoad_act!S74</f>
        <v>553585</v>
      </c>
      <c r="T20" s="137">
        <f>TrRoad_act!T74</f>
        <v>570252</v>
      </c>
      <c r="U20" s="137">
        <f>TrRoad_act!U74</f>
        <v>583245</v>
      </c>
      <c r="V20" s="137">
        <f>TrRoad_act!V74</f>
        <v>593686</v>
      </c>
      <c r="W20" s="137">
        <f>TrRoad_act!W74</f>
        <v>603714</v>
      </c>
      <c r="X20" s="137">
        <f>TrRoad_act!X74</f>
        <v>606875</v>
      </c>
      <c r="Y20" s="137">
        <f>TrRoad_act!Y74</f>
        <v>612883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178196</v>
      </c>
      <c r="C21" s="84">
        <f>TrRoad_act!C75</f>
        <v>172471</v>
      </c>
      <c r="D21" s="84">
        <f>TrRoad_act!D75</f>
        <v>164678</v>
      </c>
      <c r="E21" s="84">
        <f>TrRoad_act!E75</f>
        <v>155801</v>
      </c>
      <c r="F21" s="84">
        <f>TrRoad_act!F75</f>
        <v>146710</v>
      </c>
      <c r="G21" s="84">
        <f>TrRoad_act!G75</f>
        <v>137987</v>
      </c>
      <c r="H21" s="84">
        <f>TrRoad_act!H75</f>
        <v>127837</v>
      </c>
      <c r="I21" s="84">
        <f>TrRoad_act!I75</f>
        <v>118748</v>
      </c>
      <c r="J21" s="84">
        <f>TrRoad_act!J75</f>
        <v>108195</v>
      </c>
      <c r="K21" s="84">
        <f>TrRoad_act!K75</f>
        <v>100787</v>
      </c>
      <c r="L21" s="84">
        <f>TrRoad_act!L75</f>
        <v>92942</v>
      </c>
      <c r="M21" s="84">
        <f>TrRoad_act!M75</f>
        <v>85821</v>
      </c>
      <c r="N21" s="84">
        <f>TrRoad_act!N75</f>
        <v>75703</v>
      </c>
      <c r="O21" s="84">
        <f>TrRoad_act!O75</f>
        <v>66920</v>
      </c>
      <c r="P21" s="84">
        <f>TrRoad_act!P75</f>
        <v>62298</v>
      </c>
      <c r="Q21" s="84">
        <f>TrRoad_act!Q75</f>
        <v>57028</v>
      </c>
      <c r="R21" s="84">
        <f>TrRoad_act!R75</f>
        <v>52705</v>
      </c>
      <c r="S21" s="84">
        <f>TrRoad_act!S75</f>
        <v>49638</v>
      </c>
      <c r="T21" s="84">
        <f>TrRoad_act!T75</f>
        <v>47465</v>
      </c>
      <c r="U21" s="84">
        <f>TrRoad_act!U75</f>
        <v>46650</v>
      </c>
      <c r="V21" s="84">
        <f>TrRoad_act!V75</f>
        <v>46340</v>
      </c>
      <c r="W21" s="84">
        <f>TrRoad_act!W75</f>
        <v>45169</v>
      </c>
      <c r="X21" s="84">
        <f>TrRoad_act!X75</f>
        <v>44739</v>
      </c>
      <c r="Y21" s="84">
        <f>TrRoad_act!Y75</f>
        <v>44391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118378</v>
      </c>
      <c r="C22" s="84">
        <f>TrRoad_act!C76</f>
        <v>146302</v>
      </c>
      <c r="D22" s="84">
        <f>TrRoad_act!D76</f>
        <v>168594</v>
      </c>
      <c r="E22" s="84">
        <f>TrRoad_act!E76</f>
        <v>191417</v>
      </c>
      <c r="F22" s="84">
        <f>TrRoad_act!F76</f>
        <v>219032</v>
      </c>
      <c r="G22" s="84">
        <f>TrRoad_act!G76</f>
        <v>248236</v>
      </c>
      <c r="H22" s="84">
        <f>TrRoad_act!H76</f>
        <v>274331</v>
      </c>
      <c r="I22" s="84">
        <f>TrRoad_act!I76</f>
        <v>305537</v>
      </c>
      <c r="J22" s="84">
        <f>TrRoad_act!J76</f>
        <v>322246</v>
      </c>
      <c r="K22" s="84">
        <f>TrRoad_act!K76</f>
        <v>334073</v>
      </c>
      <c r="L22" s="84">
        <f>TrRoad_act!L76</f>
        <v>345694</v>
      </c>
      <c r="M22" s="84">
        <f>TrRoad_act!M76</f>
        <v>382368</v>
      </c>
      <c r="N22" s="84">
        <f>TrRoad_act!N76</f>
        <v>391346</v>
      </c>
      <c r="O22" s="84">
        <f>TrRoad_act!O76</f>
        <v>413218</v>
      </c>
      <c r="P22" s="84">
        <f>TrRoad_act!P76</f>
        <v>432942</v>
      </c>
      <c r="Q22" s="84">
        <f>TrRoad_act!Q76</f>
        <v>452004</v>
      </c>
      <c r="R22" s="84">
        <f>TrRoad_act!R76</f>
        <v>474428</v>
      </c>
      <c r="S22" s="84">
        <f>TrRoad_act!S76</f>
        <v>497261</v>
      </c>
      <c r="T22" s="84">
        <f>TrRoad_act!T76</f>
        <v>511760</v>
      </c>
      <c r="U22" s="84">
        <f>TrRoad_act!U76</f>
        <v>523952</v>
      </c>
      <c r="V22" s="84">
        <f>TrRoad_act!V76</f>
        <v>532452</v>
      </c>
      <c r="W22" s="84">
        <f>TrRoad_act!W76</f>
        <v>540867</v>
      </c>
      <c r="X22" s="84">
        <f>TrRoad_act!X76</f>
        <v>539506</v>
      </c>
      <c r="Y22" s="84">
        <f>TrRoad_act!Y76</f>
        <v>539647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X23" s="84">
        <f>TrRoad_act!X77</f>
        <v>0</v>
      </c>
      <c r="Y23" s="84">
        <f>TrRoad_act!Y77</f>
        <v>0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3</v>
      </c>
      <c r="D24" s="84">
        <f>TrRoad_act!D78</f>
        <v>17</v>
      </c>
      <c r="E24" s="84">
        <f>TrRoad_act!E78</f>
        <v>45</v>
      </c>
      <c r="F24" s="84">
        <f>TrRoad_act!F78</f>
        <v>70</v>
      </c>
      <c r="G24" s="84">
        <f>TrRoad_act!G78</f>
        <v>152</v>
      </c>
      <c r="H24" s="84">
        <f>TrRoad_act!H78</f>
        <v>373</v>
      </c>
      <c r="I24" s="84">
        <f>TrRoad_act!I78</f>
        <v>805</v>
      </c>
      <c r="J24" s="84">
        <f>TrRoad_act!J78</f>
        <v>1487</v>
      </c>
      <c r="K24" s="84">
        <f>TrRoad_act!K78</f>
        <v>2365</v>
      </c>
      <c r="L24" s="84">
        <f>TrRoad_act!L78</f>
        <v>2600</v>
      </c>
      <c r="M24" s="84">
        <f>TrRoad_act!M78</f>
        <v>3000</v>
      </c>
      <c r="N24" s="84">
        <f>TrRoad_act!N78</f>
        <v>3500</v>
      </c>
      <c r="O24" s="84">
        <f>TrRoad_act!O78</f>
        <v>3701</v>
      </c>
      <c r="P24" s="84">
        <f>TrRoad_act!P78</f>
        <v>3889</v>
      </c>
      <c r="Q24" s="84">
        <f>TrRoad_act!Q78</f>
        <v>4167</v>
      </c>
      <c r="R24" s="84">
        <f>TrRoad_act!R78</f>
        <v>4320</v>
      </c>
      <c r="S24" s="84">
        <f>TrRoad_act!S78</f>
        <v>4739</v>
      </c>
      <c r="T24" s="84">
        <f>TrRoad_act!T78</f>
        <v>8366</v>
      </c>
      <c r="U24" s="84">
        <f>TrRoad_act!U78</f>
        <v>8697</v>
      </c>
      <c r="V24" s="84">
        <f>TrRoad_act!V78</f>
        <v>9000</v>
      </c>
      <c r="W24" s="84">
        <f>TrRoad_act!W78</f>
        <v>9100</v>
      </c>
      <c r="X24" s="84">
        <f>TrRoad_act!X78</f>
        <v>9100</v>
      </c>
      <c r="Y24" s="84">
        <f>TrRoad_act!Y78</f>
        <v>7975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2</v>
      </c>
      <c r="H25" s="84">
        <f>TrRoad_act!H79</f>
        <v>207</v>
      </c>
      <c r="I25" s="84">
        <f>TrRoad_act!I79</f>
        <v>196</v>
      </c>
      <c r="J25" s="84">
        <f>TrRoad_act!J79</f>
        <v>195</v>
      </c>
      <c r="K25" s="84">
        <f>TrRoad_act!K79</f>
        <v>195</v>
      </c>
      <c r="L25" s="84">
        <f>TrRoad_act!L79</f>
        <v>190</v>
      </c>
      <c r="M25" s="84">
        <f>TrRoad_act!M79</f>
        <v>194</v>
      </c>
      <c r="N25" s="84">
        <f>TrRoad_act!N79</f>
        <v>366</v>
      </c>
      <c r="O25" s="84">
        <f>TrRoad_act!O79</f>
        <v>548</v>
      </c>
      <c r="P25" s="84">
        <f>TrRoad_act!P79</f>
        <v>833</v>
      </c>
      <c r="Q25" s="84">
        <f>TrRoad_act!Q79</f>
        <v>1244</v>
      </c>
      <c r="R25" s="84">
        <f>TrRoad_act!R79</f>
        <v>1552</v>
      </c>
      <c r="S25" s="84">
        <f>TrRoad_act!S79</f>
        <v>1947</v>
      </c>
      <c r="T25" s="84">
        <f>TrRoad_act!T79</f>
        <v>2661</v>
      </c>
      <c r="U25" s="84">
        <f>TrRoad_act!U79</f>
        <v>3946</v>
      </c>
      <c r="V25" s="84">
        <f>TrRoad_act!V79</f>
        <v>5894</v>
      </c>
      <c r="W25" s="84">
        <f>TrRoad_act!W79</f>
        <v>8578</v>
      </c>
      <c r="X25" s="84">
        <f>TrRoad_act!X79</f>
        <v>13530</v>
      </c>
      <c r="Y25" s="84">
        <f>TrRoad_act!Y79</f>
        <v>20870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80031</v>
      </c>
      <c r="C26" s="110">
        <f>TrRoad_act!C80</f>
        <v>80103</v>
      </c>
      <c r="D26" s="110">
        <f>TrRoad_act!D80</f>
        <v>78943</v>
      </c>
      <c r="E26" s="110">
        <f>TrRoad_act!E80</f>
        <v>77718</v>
      </c>
      <c r="F26" s="110">
        <f>TrRoad_act!F80</f>
        <v>79597</v>
      </c>
      <c r="G26" s="110">
        <f>TrRoad_act!G80</f>
        <v>80812</v>
      </c>
      <c r="H26" s="110">
        <f>TrRoad_act!H80</f>
        <v>83369</v>
      </c>
      <c r="I26" s="110">
        <f>TrRoad_act!I80</f>
        <v>85261</v>
      </c>
      <c r="J26" s="110">
        <f>TrRoad_act!J80</f>
        <v>83841</v>
      </c>
      <c r="K26" s="110">
        <f>TrRoad_act!K80</f>
        <v>82189</v>
      </c>
      <c r="L26" s="110">
        <f>TrRoad_act!L80</f>
        <v>82832</v>
      </c>
      <c r="M26" s="110">
        <f>TrRoad_act!M80</f>
        <v>86085</v>
      </c>
      <c r="N26" s="110">
        <f>TrRoad_act!N80</f>
        <v>86833</v>
      </c>
      <c r="O26" s="110">
        <f>TrRoad_act!O80</f>
        <v>81804</v>
      </c>
      <c r="P26" s="110">
        <f>TrRoad_act!P80</f>
        <v>81451</v>
      </c>
      <c r="Q26" s="110">
        <f>TrRoad_act!Q80</f>
        <v>82695</v>
      </c>
      <c r="R26" s="110">
        <f>TrRoad_act!R80</f>
        <v>84891</v>
      </c>
      <c r="S26" s="110">
        <f>TrRoad_act!S80</f>
        <v>86162</v>
      </c>
      <c r="T26" s="110">
        <f>TrRoad_act!T80</f>
        <v>87640</v>
      </c>
      <c r="U26" s="110">
        <f>TrRoad_act!U80</f>
        <v>87191</v>
      </c>
      <c r="V26" s="110">
        <f>TrRoad_act!V80</f>
        <v>87698</v>
      </c>
      <c r="W26" s="110">
        <f>TrRoad_act!W80</f>
        <v>89391</v>
      </c>
      <c r="X26" s="110">
        <f>TrRoad_act!X80</f>
        <v>89333</v>
      </c>
      <c r="Y26" s="110">
        <f>TrRoad_act!Y80</f>
        <v>88395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73826</v>
      </c>
      <c r="C27" s="102">
        <f>TrRoad_act!C81</f>
        <v>73451</v>
      </c>
      <c r="D27" s="102">
        <f>TrRoad_act!D81</f>
        <v>71945</v>
      </c>
      <c r="E27" s="102">
        <f>TrRoad_act!E81</f>
        <v>70565</v>
      </c>
      <c r="F27" s="102">
        <f>TrRoad_act!F81</f>
        <v>71141</v>
      </c>
      <c r="G27" s="102">
        <f>TrRoad_act!G81</f>
        <v>72060</v>
      </c>
      <c r="H27" s="102">
        <f>TrRoad_act!H81</f>
        <v>73921</v>
      </c>
      <c r="I27" s="102">
        <f>TrRoad_act!I81</f>
        <v>75643</v>
      </c>
      <c r="J27" s="102">
        <f>TrRoad_act!J81</f>
        <v>74588</v>
      </c>
      <c r="K27" s="102">
        <f>TrRoad_act!K81</f>
        <v>74766</v>
      </c>
      <c r="L27" s="102">
        <f>TrRoad_act!L81</f>
        <v>74769</v>
      </c>
      <c r="M27" s="102">
        <f>TrRoad_act!M81</f>
        <v>78176</v>
      </c>
      <c r="N27" s="102">
        <f>TrRoad_act!N81</f>
        <v>79130</v>
      </c>
      <c r="O27" s="102">
        <f>TrRoad_act!O81</f>
        <v>73045</v>
      </c>
      <c r="P27" s="102">
        <f>TrRoad_act!P81</f>
        <v>73122</v>
      </c>
      <c r="Q27" s="102">
        <f>TrRoad_act!Q81</f>
        <v>73202</v>
      </c>
      <c r="R27" s="102">
        <f>TrRoad_act!R81</f>
        <v>74770</v>
      </c>
      <c r="S27" s="102">
        <f>TrRoad_act!S81</f>
        <v>76181</v>
      </c>
      <c r="T27" s="102">
        <f>TrRoad_act!T81</f>
        <v>77511</v>
      </c>
      <c r="U27" s="102">
        <f>TrRoad_act!U81</f>
        <v>77660</v>
      </c>
      <c r="V27" s="102">
        <f>TrRoad_act!V81</f>
        <v>77847</v>
      </c>
      <c r="W27" s="102">
        <f>TrRoad_act!W81</f>
        <v>78596</v>
      </c>
      <c r="X27" s="102">
        <f>TrRoad_act!X81</f>
        <v>79565</v>
      </c>
      <c r="Y27" s="102">
        <f>TrRoad_act!Y81</f>
        <v>78673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6205</v>
      </c>
      <c r="C28" s="86">
        <f>TrRoad_act!C82</f>
        <v>6652</v>
      </c>
      <c r="D28" s="86">
        <f>TrRoad_act!D82</f>
        <v>6998</v>
      </c>
      <c r="E28" s="86">
        <f>TrRoad_act!E82</f>
        <v>7153</v>
      </c>
      <c r="F28" s="86">
        <f>TrRoad_act!F82</f>
        <v>8456</v>
      </c>
      <c r="G28" s="86">
        <f>TrRoad_act!G82</f>
        <v>8752</v>
      </c>
      <c r="H28" s="86">
        <f>TrRoad_act!H82</f>
        <v>9448</v>
      </c>
      <c r="I28" s="86">
        <f>TrRoad_act!I82</f>
        <v>9618</v>
      </c>
      <c r="J28" s="86">
        <f>TrRoad_act!J82</f>
        <v>9253</v>
      </c>
      <c r="K28" s="86">
        <f>TrRoad_act!K82</f>
        <v>7423</v>
      </c>
      <c r="L28" s="86">
        <f>TrRoad_act!L82</f>
        <v>8063</v>
      </c>
      <c r="M28" s="86">
        <f>TrRoad_act!M82</f>
        <v>7909</v>
      </c>
      <c r="N28" s="86">
        <f>TrRoad_act!N82</f>
        <v>7703</v>
      </c>
      <c r="O28" s="86">
        <f>TrRoad_act!O82</f>
        <v>8759</v>
      </c>
      <c r="P28" s="86">
        <f>TrRoad_act!P82</f>
        <v>8329</v>
      </c>
      <c r="Q28" s="86">
        <f>TrRoad_act!Q82</f>
        <v>9493</v>
      </c>
      <c r="R28" s="86">
        <f>TrRoad_act!R82</f>
        <v>10121</v>
      </c>
      <c r="S28" s="86">
        <f>TrRoad_act!S82</f>
        <v>9981</v>
      </c>
      <c r="T28" s="86">
        <f>TrRoad_act!T82</f>
        <v>10129</v>
      </c>
      <c r="U28" s="86">
        <f>TrRoad_act!U82</f>
        <v>9531</v>
      </c>
      <c r="V28" s="86">
        <f>TrRoad_act!V82</f>
        <v>9851</v>
      </c>
      <c r="W28" s="86">
        <f>TrRoad_act!W82</f>
        <v>10795</v>
      </c>
      <c r="X28" s="86">
        <f>TrRoad_act!X82</f>
        <v>9768</v>
      </c>
      <c r="Y28" s="86">
        <f>TrRoad_act!Y82</f>
        <v>9722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409026</v>
      </c>
      <c r="C30" s="54">
        <f>TrRoad_act!C111</f>
        <v>369923</v>
      </c>
      <c r="D30" s="54">
        <f>TrRoad_act!D111</f>
        <v>381028</v>
      </c>
      <c r="E30" s="54">
        <f>TrRoad_act!E111</f>
        <v>374879</v>
      </c>
      <c r="F30" s="54">
        <f>TrRoad_act!F111</f>
        <v>381020</v>
      </c>
      <c r="G30" s="54">
        <f>TrRoad_act!G111</f>
        <v>430421</v>
      </c>
      <c r="H30" s="54">
        <f>TrRoad_act!H111</f>
        <v>429651</v>
      </c>
      <c r="I30" s="54">
        <f>TrRoad_act!I111</f>
        <v>436328</v>
      </c>
      <c r="J30" s="54">
        <f>TrRoad_act!J111</f>
        <v>358326</v>
      </c>
      <c r="K30" s="54">
        <f>TrRoad_act!K111</f>
        <v>258845</v>
      </c>
      <c r="L30" s="54">
        <f>TrRoad_act!L111</f>
        <v>382338</v>
      </c>
      <c r="M30" s="54">
        <f>TrRoad_act!M111</f>
        <v>419948</v>
      </c>
      <c r="N30" s="54">
        <f>TrRoad_act!N111</f>
        <v>412995</v>
      </c>
      <c r="O30" s="54">
        <f>TrRoad_act!O111</f>
        <v>361870</v>
      </c>
      <c r="P30" s="54">
        <f>TrRoad_act!P111</f>
        <v>406644</v>
      </c>
      <c r="Q30" s="54">
        <f>TrRoad_act!Q111</f>
        <v>451108</v>
      </c>
      <c r="R30" s="54">
        <f>TrRoad_act!R111</f>
        <v>500677</v>
      </c>
      <c r="S30" s="54">
        <f>TrRoad_act!S111</f>
        <v>510710</v>
      </c>
      <c r="T30" s="54">
        <f>TrRoad_act!T111</f>
        <v>481577</v>
      </c>
      <c r="U30" s="54">
        <f>TrRoad_act!U111</f>
        <v>492741</v>
      </c>
      <c r="V30" s="54">
        <f>TrRoad_act!V111</f>
        <v>430978</v>
      </c>
      <c r="W30" s="54">
        <f>TrRoad_act!W111</f>
        <v>449647</v>
      </c>
      <c r="X30" s="54">
        <f>TrRoad_act!X111</f>
        <v>423041</v>
      </c>
      <c r="Y30" s="54">
        <f>TrRoad_act!Y111</f>
        <v>555616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371093</v>
      </c>
      <c r="C31" s="28">
        <f>TrRoad_act!C112</f>
        <v>326542</v>
      </c>
      <c r="D31" s="28">
        <f>TrRoad_act!D112</f>
        <v>342239</v>
      </c>
      <c r="E31" s="28">
        <f>TrRoad_act!E112</f>
        <v>336001</v>
      </c>
      <c r="F31" s="28">
        <f>TrRoad_act!F112</f>
        <v>336032</v>
      </c>
      <c r="G31" s="28">
        <f>TrRoad_act!G112</f>
        <v>381802</v>
      </c>
      <c r="H31" s="28">
        <f>TrRoad_act!H112</f>
        <v>379301</v>
      </c>
      <c r="I31" s="28">
        <f>TrRoad_act!I112</f>
        <v>380912</v>
      </c>
      <c r="J31" s="28">
        <f>TrRoad_act!J112</f>
        <v>312316</v>
      </c>
      <c r="K31" s="28">
        <f>TrRoad_act!K112</f>
        <v>225311</v>
      </c>
      <c r="L31" s="28">
        <f>TrRoad_act!L112</f>
        <v>346640</v>
      </c>
      <c r="M31" s="28">
        <f>TrRoad_act!M112</f>
        <v>355659</v>
      </c>
      <c r="N31" s="28">
        <f>TrRoad_act!N112</f>
        <v>372850</v>
      </c>
      <c r="O31" s="28">
        <f>TrRoad_act!O112</f>
        <v>314162</v>
      </c>
      <c r="P31" s="28">
        <f>TrRoad_act!P112</f>
        <v>358222</v>
      </c>
      <c r="Q31" s="28">
        <f>TrRoad_act!Q112</f>
        <v>398592</v>
      </c>
      <c r="R31" s="28">
        <f>TrRoad_act!R112</f>
        <v>438661</v>
      </c>
      <c r="S31" s="28">
        <f>TrRoad_act!S112</f>
        <v>445243</v>
      </c>
      <c r="T31" s="28">
        <f>TrRoad_act!T112</f>
        <v>411011</v>
      </c>
      <c r="U31" s="28">
        <f>TrRoad_act!U112</f>
        <v>427307</v>
      </c>
      <c r="V31" s="28">
        <f>TrRoad_act!V112</f>
        <v>389383</v>
      </c>
      <c r="W31" s="28">
        <f>TrRoad_act!W112</f>
        <v>402728</v>
      </c>
      <c r="X31" s="28">
        <f>TrRoad_act!X112</f>
        <v>377911</v>
      </c>
      <c r="Y31" s="28">
        <f>TrRoad_act!Y112</f>
        <v>493873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26681</v>
      </c>
      <c r="C32" s="137">
        <f>TrRoad_act!C113</f>
        <v>44838</v>
      </c>
      <c r="D32" s="137">
        <f>TrRoad_act!D113</f>
        <v>59556</v>
      </c>
      <c r="E32" s="137">
        <f>TrRoad_act!E113</f>
        <v>41786</v>
      </c>
      <c r="F32" s="137">
        <f>TrRoad_act!F113</f>
        <v>36685</v>
      </c>
      <c r="G32" s="137">
        <f>TrRoad_act!G113</f>
        <v>80932</v>
      </c>
      <c r="H32" s="137">
        <f>TrRoad_act!H113</f>
        <v>74614</v>
      </c>
      <c r="I32" s="137">
        <f>TrRoad_act!I113</f>
        <v>54878</v>
      </c>
      <c r="J32" s="137">
        <f>TrRoad_act!J113</f>
        <v>48903</v>
      </c>
      <c r="K32" s="137">
        <f>TrRoad_act!K113</f>
        <v>38092</v>
      </c>
      <c r="L32" s="137">
        <f>TrRoad_act!L113</f>
        <v>21476</v>
      </c>
      <c r="M32" s="137">
        <f>TrRoad_act!M113</f>
        <v>24373</v>
      </c>
      <c r="N32" s="137">
        <f>TrRoad_act!N113</f>
        <v>66275</v>
      </c>
      <c r="O32" s="137">
        <f>TrRoad_act!O113</f>
        <v>18836</v>
      </c>
      <c r="P32" s="137">
        <f>TrRoad_act!P113</f>
        <v>31968</v>
      </c>
      <c r="Q32" s="137">
        <f>TrRoad_act!Q113</f>
        <v>33847</v>
      </c>
      <c r="R32" s="137">
        <f>TrRoad_act!R113</f>
        <v>37487</v>
      </c>
      <c r="S32" s="137">
        <f>TrRoad_act!S113</f>
        <v>39249</v>
      </c>
      <c r="T32" s="137">
        <f>TrRoad_act!T113</f>
        <v>29281</v>
      </c>
      <c r="U32" s="137">
        <f>TrRoad_act!U113</f>
        <v>35569</v>
      </c>
      <c r="V32" s="137">
        <f>TrRoad_act!V113</f>
        <v>47680</v>
      </c>
      <c r="W32" s="137">
        <f>TrRoad_act!W113</f>
        <v>29924</v>
      </c>
      <c r="X32" s="137">
        <f>TrRoad_act!X113</f>
        <v>26956</v>
      </c>
      <c r="Y32" s="137">
        <f>TrRoad_act!Y113</f>
        <v>30009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342949</v>
      </c>
      <c r="C33" s="110">
        <f>TrRoad_act!C114</f>
        <v>280525</v>
      </c>
      <c r="D33" s="110">
        <f>TrRoad_act!D114</f>
        <v>281445</v>
      </c>
      <c r="E33" s="110">
        <f>TrRoad_act!E114</f>
        <v>293032</v>
      </c>
      <c r="F33" s="110">
        <f>TrRoad_act!F114</f>
        <v>298229</v>
      </c>
      <c r="G33" s="110">
        <f>TrRoad_act!G114</f>
        <v>299283</v>
      </c>
      <c r="H33" s="110">
        <f>TrRoad_act!H114</f>
        <v>303326</v>
      </c>
      <c r="I33" s="110">
        <f>TrRoad_act!I114</f>
        <v>325072</v>
      </c>
      <c r="J33" s="110">
        <f>TrRoad_act!J114</f>
        <v>262146</v>
      </c>
      <c r="K33" s="110">
        <f>TrRoad_act!K114</f>
        <v>186031</v>
      </c>
      <c r="L33" s="110">
        <f>TrRoad_act!L114</f>
        <v>323507</v>
      </c>
      <c r="M33" s="110">
        <f>TrRoad_act!M114</f>
        <v>329656</v>
      </c>
      <c r="N33" s="110">
        <f>TrRoad_act!N114</f>
        <v>305057</v>
      </c>
      <c r="O33" s="110">
        <f>TrRoad_act!O114</f>
        <v>291961</v>
      </c>
      <c r="P33" s="110">
        <f>TrRoad_act!P114</f>
        <v>324616</v>
      </c>
      <c r="Q33" s="110">
        <f>TrRoad_act!Q114</f>
        <v>363247</v>
      </c>
      <c r="R33" s="110">
        <f>TrRoad_act!R114</f>
        <v>399792</v>
      </c>
      <c r="S33" s="110">
        <f>TrRoad_act!S114</f>
        <v>404486</v>
      </c>
      <c r="T33" s="110">
        <f>TrRoad_act!T114</f>
        <v>380673</v>
      </c>
      <c r="U33" s="110">
        <f>TrRoad_act!U114</f>
        <v>388527</v>
      </c>
      <c r="V33" s="110">
        <f>TrRoad_act!V114</f>
        <v>340004</v>
      </c>
      <c r="W33" s="110">
        <f>TrRoad_act!W114</f>
        <v>371586</v>
      </c>
      <c r="X33" s="110">
        <f>TrRoad_act!X114</f>
        <v>349689</v>
      </c>
      <c r="Y33" s="110">
        <f>TrRoad_act!Y114</f>
        <v>462467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315229</v>
      </c>
      <c r="C34" s="84">
        <f>TrRoad_act!C115</f>
        <v>265142</v>
      </c>
      <c r="D34" s="84">
        <f>TrRoad_act!D115</f>
        <v>262364</v>
      </c>
      <c r="E34" s="84">
        <f>TrRoad_act!E115</f>
        <v>270998</v>
      </c>
      <c r="F34" s="84">
        <f>TrRoad_act!F115</f>
        <v>273807</v>
      </c>
      <c r="G34" s="84">
        <f>TrRoad_act!G115</f>
        <v>268256</v>
      </c>
      <c r="H34" s="84">
        <f>TrRoad_act!H115</f>
        <v>244199</v>
      </c>
      <c r="I34" s="84">
        <f>TrRoad_act!I115</f>
        <v>215950</v>
      </c>
      <c r="J34" s="84">
        <f>TrRoad_act!J115</f>
        <v>171565</v>
      </c>
      <c r="K34" s="84">
        <f>TrRoad_act!K115</f>
        <v>93981</v>
      </c>
      <c r="L34" s="84">
        <f>TrRoad_act!L115</f>
        <v>154339</v>
      </c>
      <c r="M34" s="84">
        <f>TrRoad_act!M115</f>
        <v>127369</v>
      </c>
      <c r="N34" s="84">
        <f>TrRoad_act!N115</f>
        <v>102549</v>
      </c>
      <c r="O34" s="84">
        <f>TrRoad_act!O115</f>
        <v>110654</v>
      </c>
      <c r="P34" s="84">
        <f>TrRoad_act!P115</f>
        <v>125853</v>
      </c>
      <c r="Q34" s="84">
        <f>TrRoad_act!Q115</f>
        <v>142579</v>
      </c>
      <c r="R34" s="84">
        <f>TrRoad_act!R115</f>
        <v>176336</v>
      </c>
      <c r="S34" s="84">
        <f>TrRoad_act!S115</f>
        <v>188423</v>
      </c>
      <c r="T34" s="84">
        <f>TrRoad_act!T115</f>
        <v>210109</v>
      </c>
      <c r="U34" s="84">
        <f>TrRoad_act!U115</f>
        <v>219627</v>
      </c>
      <c r="V34" s="84">
        <f>TrRoad_act!V115</f>
        <v>164695</v>
      </c>
      <c r="W34" s="84">
        <f>TrRoad_act!W115</f>
        <v>163527</v>
      </c>
      <c r="X34" s="84">
        <f>TrRoad_act!X115</f>
        <v>135044</v>
      </c>
      <c r="Y34" s="84">
        <f>TrRoad_act!Y115</f>
        <v>259590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27720</v>
      </c>
      <c r="C35" s="84">
        <f>TrRoad_act!C116</f>
        <v>15383</v>
      </c>
      <c r="D35" s="84">
        <f>TrRoad_act!D116</f>
        <v>18161</v>
      </c>
      <c r="E35" s="84">
        <f>TrRoad_act!E116</f>
        <v>21096</v>
      </c>
      <c r="F35" s="84">
        <f>TrRoad_act!F116</f>
        <v>23402</v>
      </c>
      <c r="G35" s="84">
        <f>TrRoad_act!G116</f>
        <v>29437</v>
      </c>
      <c r="H35" s="84">
        <f>TrRoad_act!H116</f>
        <v>58780</v>
      </c>
      <c r="I35" s="84">
        <f>TrRoad_act!I116</f>
        <v>108458</v>
      </c>
      <c r="J35" s="84">
        <f>TrRoad_act!J116</f>
        <v>89538</v>
      </c>
      <c r="K35" s="84">
        <f>TrRoad_act!K116</f>
        <v>91175</v>
      </c>
      <c r="L35" s="84">
        <f>TrRoad_act!L116</f>
        <v>161565</v>
      </c>
      <c r="M35" s="84">
        <f>TrRoad_act!M116</f>
        <v>195145</v>
      </c>
      <c r="N35" s="84">
        <f>TrRoad_act!N116</f>
        <v>196136</v>
      </c>
      <c r="O35" s="84">
        <f>TrRoad_act!O116</f>
        <v>176485</v>
      </c>
      <c r="P35" s="84">
        <f>TrRoad_act!P116</f>
        <v>188998</v>
      </c>
      <c r="Q35" s="84">
        <f>TrRoad_act!Q116</f>
        <v>207091</v>
      </c>
      <c r="R35" s="84">
        <f>TrRoad_act!R116</f>
        <v>202383</v>
      </c>
      <c r="S35" s="84">
        <f>TrRoad_act!S116</f>
        <v>192191</v>
      </c>
      <c r="T35" s="84">
        <f>TrRoad_act!T116</f>
        <v>138666</v>
      </c>
      <c r="U35" s="84">
        <f>TrRoad_act!U116</f>
        <v>123708</v>
      </c>
      <c r="V35" s="84">
        <f>TrRoad_act!V116</f>
        <v>77772</v>
      </c>
      <c r="W35" s="84">
        <f>TrRoad_act!W116</f>
        <v>70794</v>
      </c>
      <c r="X35" s="84">
        <f>TrRoad_act!X116</f>
        <v>47655</v>
      </c>
      <c r="Y35" s="84">
        <f>TrRoad_act!Y116</f>
        <v>26002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300</v>
      </c>
      <c r="H36" s="84">
        <f>TrRoad_act!H117</f>
        <v>0</v>
      </c>
      <c r="I36" s="84">
        <f>TrRoad_act!I117</f>
        <v>0</v>
      </c>
      <c r="J36" s="84">
        <f>TrRoad_act!J117</f>
        <v>19</v>
      </c>
      <c r="K36" s="84">
        <f>TrRoad_act!K117</f>
        <v>101</v>
      </c>
      <c r="L36" s="84">
        <f>TrRoad_act!L117</f>
        <v>0</v>
      </c>
      <c r="M36" s="84">
        <f>TrRoad_act!M117</f>
        <v>138</v>
      </c>
      <c r="N36" s="84">
        <f>TrRoad_act!N117</f>
        <v>3</v>
      </c>
      <c r="O36" s="84">
        <f>TrRoad_act!O117</f>
        <v>9</v>
      </c>
      <c r="P36" s="84">
        <f>TrRoad_act!P117</f>
        <v>4</v>
      </c>
      <c r="Q36" s="84">
        <f>TrRoad_act!Q117</f>
        <v>5</v>
      </c>
      <c r="R36" s="84">
        <f>TrRoad_act!R117</f>
        <v>0</v>
      </c>
      <c r="S36" s="84">
        <f>TrRoad_act!S117</f>
        <v>0</v>
      </c>
      <c r="T36" s="84">
        <f>TrRoad_act!T117</f>
        <v>0</v>
      </c>
      <c r="U36" s="84">
        <f>TrRoad_act!U117</f>
        <v>0</v>
      </c>
      <c r="V36" s="84">
        <f>TrRoad_act!V117</f>
        <v>0</v>
      </c>
      <c r="W36" s="84">
        <f>TrRoad_act!W117</f>
        <v>0</v>
      </c>
      <c r="X36" s="84">
        <f>TrRoad_act!X117</f>
        <v>0</v>
      </c>
      <c r="Y36" s="84">
        <f>TrRoad_act!Y117</f>
        <v>0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920</v>
      </c>
      <c r="E37" s="84">
        <f>TrRoad_act!E118</f>
        <v>938</v>
      </c>
      <c r="F37" s="84">
        <f>TrRoad_act!F118</f>
        <v>1020</v>
      </c>
      <c r="G37" s="84">
        <f>TrRoad_act!G118</f>
        <v>1290</v>
      </c>
      <c r="H37" s="84">
        <f>TrRoad_act!H118</f>
        <v>347</v>
      </c>
      <c r="I37" s="84">
        <f>TrRoad_act!I118</f>
        <v>664</v>
      </c>
      <c r="J37" s="84">
        <f>TrRoad_act!J118</f>
        <v>765</v>
      </c>
      <c r="K37" s="84">
        <f>TrRoad_act!K118</f>
        <v>716</v>
      </c>
      <c r="L37" s="84">
        <f>TrRoad_act!L118</f>
        <v>7517</v>
      </c>
      <c r="M37" s="84">
        <f>TrRoad_act!M118</f>
        <v>6634</v>
      </c>
      <c r="N37" s="84">
        <f>TrRoad_act!N118</f>
        <v>5461</v>
      </c>
      <c r="O37" s="84">
        <f>TrRoad_act!O118</f>
        <v>3841</v>
      </c>
      <c r="P37" s="84">
        <f>TrRoad_act!P118</f>
        <v>4935</v>
      </c>
      <c r="Q37" s="84">
        <f>TrRoad_act!Q118</f>
        <v>5061</v>
      </c>
      <c r="R37" s="84">
        <f>TrRoad_act!R118</f>
        <v>7827</v>
      </c>
      <c r="S37" s="84">
        <f>TrRoad_act!S118</f>
        <v>3921</v>
      </c>
      <c r="T37" s="84">
        <f>TrRoad_act!T118</f>
        <v>3260</v>
      </c>
      <c r="U37" s="84">
        <f>TrRoad_act!U118</f>
        <v>4966</v>
      </c>
      <c r="V37" s="84">
        <f>TrRoad_act!V118</f>
        <v>3524</v>
      </c>
      <c r="W37" s="84">
        <f>TrRoad_act!W118</f>
        <v>1494</v>
      </c>
      <c r="X37" s="84">
        <f>TrRoad_act!X118</f>
        <v>2434</v>
      </c>
      <c r="Y37" s="84">
        <f>TrRoad_act!Y118</f>
        <v>2110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130</v>
      </c>
      <c r="K38" s="84">
        <f>TrRoad_act!K119</f>
        <v>30</v>
      </c>
      <c r="L38" s="84">
        <f>TrRoad_act!L119</f>
        <v>30</v>
      </c>
      <c r="M38" s="84">
        <f>TrRoad_act!M119</f>
        <v>185</v>
      </c>
      <c r="N38" s="84">
        <f>TrRoad_act!N119</f>
        <v>641</v>
      </c>
      <c r="O38" s="84">
        <f>TrRoad_act!O119</f>
        <v>519</v>
      </c>
      <c r="P38" s="84">
        <f>TrRoad_act!P119</f>
        <v>3456</v>
      </c>
      <c r="Q38" s="84">
        <f>TrRoad_act!Q119</f>
        <v>5408</v>
      </c>
      <c r="R38" s="84">
        <f>TrRoad_act!R119</f>
        <v>10027</v>
      </c>
      <c r="S38" s="84">
        <f>TrRoad_act!S119</f>
        <v>15548</v>
      </c>
      <c r="T38" s="84">
        <f>TrRoad_act!T119</f>
        <v>21375</v>
      </c>
      <c r="U38" s="84">
        <f>TrRoad_act!U119</f>
        <v>24431</v>
      </c>
      <c r="V38" s="84">
        <f>TrRoad_act!V119</f>
        <v>66032</v>
      </c>
      <c r="W38" s="84">
        <f>TrRoad_act!W119</f>
        <v>78176</v>
      </c>
      <c r="X38" s="84">
        <f>TrRoad_act!X119</f>
        <v>66824</v>
      </c>
      <c r="Y38" s="84">
        <f>TrRoad_act!Y119</f>
        <v>61186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129</v>
      </c>
      <c r="K39" s="84">
        <f>TrRoad_act!K120</f>
        <v>28</v>
      </c>
      <c r="L39" s="84">
        <f>TrRoad_act!L120</f>
        <v>56</v>
      </c>
      <c r="M39" s="84">
        <f>TrRoad_act!M120</f>
        <v>185</v>
      </c>
      <c r="N39" s="84">
        <f>TrRoad_act!N120</f>
        <v>267</v>
      </c>
      <c r="O39" s="84">
        <f>TrRoad_act!O120</f>
        <v>453</v>
      </c>
      <c r="P39" s="84">
        <f>TrRoad_act!P120</f>
        <v>1370</v>
      </c>
      <c r="Q39" s="84">
        <f>TrRoad_act!Q120</f>
        <v>3103</v>
      </c>
      <c r="R39" s="84">
        <f>TrRoad_act!R120</f>
        <v>3219</v>
      </c>
      <c r="S39" s="84">
        <f>TrRoad_act!S120</f>
        <v>4403</v>
      </c>
      <c r="T39" s="84">
        <f>TrRoad_act!T120</f>
        <v>7263</v>
      </c>
      <c r="U39" s="84">
        <f>TrRoad_act!U120</f>
        <v>15795</v>
      </c>
      <c r="V39" s="84">
        <f>TrRoad_act!V120</f>
        <v>27981</v>
      </c>
      <c r="W39" s="84">
        <f>TrRoad_act!W120</f>
        <v>57595</v>
      </c>
      <c r="X39" s="84">
        <f>TrRoad_act!X120</f>
        <v>97732</v>
      </c>
      <c r="Y39" s="84">
        <f>TrRoad_act!Y120</f>
        <v>113579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1463</v>
      </c>
      <c r="C40" s="110">
        <f>TrRoad_act!C121</f>
        <v>1179</v>
      </c>
      <c r="D40" s="110">
        <f>TrRoad_act!D121</f>
        <v>1238</v>
      </c>
      <c r="E40" s="110">
        <f>TrRoad_act!E121</f>
        <v>1183</v>
      </c>
      <c r="F40" s="110">
        <f>TrRoad_act!F121</f>
        <v>1118</v>
      </c>
      <c r="G40" s="110">
        <f>TrRoad_act!G121</f>
        <v>1587</v>
      </c>
      <c r="H40" s="110">
        <f>TrRoad_act!H121</f>
        <v>1361</v>
      </c>
      <c r="I40" s="110">
        <f>TrRoad_act!I121</f>
        <v>962</v>
      </c>
      <c r="J40" s="110">
        <f>TrRoad_act!J121</f>
        <v>1267</v>
      </c>
      <c r="K40" s="110">
        <f>TrRoad_act!K121</f>
        <v>1188</v>
      </c>
      <c r="L40" s="110">
        <f>TrRoad_act!L121</f>
        <v>1657</v>
      </c>
      <c r="M40" s="110">
        <f>TrRoad_act!M121</f>
        <v>1630</v>
      </c>
      <c r="N40" s="110">
        <f>TrRoad_act!N121</f>
        <v>1518</v>
      </c>
      <c r="O40" s="110">
        <f>TrRoad_act!O121</f>
        <v>3365</v>
      </c>
      <c r="P40" s="110">
        <f>TrRoad_act!P121</f>
        <v>1638</v>
      </c>
      <c r="Q40" s="110">
        <f>TrRoad_act!Q121</f>
        <v>1498</v>
      </c>
      <c r="R40" s="110">
        <f>TrRoad_act!R121</f>
        <v>1382</v>
      </c>
      <c r="S40" s="110">
        <f>TrRoad_act!S121</f>
        <v>1508</v>
      </c>
      <c r="T40" s="110">
        <f>TrRoad_act!T121</f>
        <v>1057</v>
      </c>
      <c r="U40" s="110">
        <f>TrRoad_act!U121</f>
        <v>3211</v>
      </c>
      <c r="V40" s="110">
        <f>TrRoad_act!V121</f>
        <v>1699</v>
      </c>
      <c r="W40" s="110">
        <f>TrRoad_act!W121</f>
        <v>1218</v>
      </c>
      <c r="X40" s="110">
        <f>TrRoad_act!X121</f>
        <v>1266</v>
      </c>
      <c r="Y40" s="110">
        <f>TrRoad_act!Y121</f>
        <v>1397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9</v>
      </c>
      <c r="C41" s="102">
        <f>TrRoad_act!C122</f>
        <v>4</v>
      </c>
      <c r="D41" s="102">
        <f>TrRoad_act!D122</f>
        <v>2</v>
      </c>
      <c r="E41" s="102">
        <f>TrRoad_act!E122</f>
        <v>3</v>
      </c>
      <c r="F41" s="102">
        <f>TrRoad_act!F122</f>
        <v>0</v>
      </c>
      <c r="G41" s="102">
        <f>TrRoad_act!G122</f>
        <v>0</v>
      </c>
      <c r="H41" s="102">
        <f>TrRoad_act!H122</f>
        <v>7</v>
      </c>
      <c r="I41" s="102">
        <f>TrRoad_act!I122</f>
        <v>1</v>
      </c>
      <c r="J41" s="102">
        <f>TrRoad_act!J122</f>
        <v>3</v>
      </c>
      <c r="K41" s="102">
        <f>TrRoad_act!K122</f>
        <v>6</v>
      </c>
      <c r="L41" s="102">
        <f>TrRoad_act!L122</f>
        <v>0</v>
      </c>
      <c r="M41" s="102">
        <f>TrRoad_act!M122</f>
        <v>27</v>
      </c>
      <c r="N41" s="102">
        <f>TrRoad_act!N122</f>
        <v>0</v>
      </c>
      <c r="O41" s="102">
        <f>TrRoad_act!O122</f>
        <v>4</v>
      </c>
      <c r="P41" s="102">
        <f>TrRoad_act!P122</f>
        <v>2</v>
      </c>
      <c r="Q41" s="102">
        <f>TrRoad_act!Q122</f>
        <v>0</v>
      </c>
      <c r="R41" s="102">
        <f>TrRoad_act!R122</f>
        <v>7</v>
      </c>
      <c r="S41" s="102">
        <f>TrRoad_act!S122</f>
        <v>2</v>
      </c>
      <c r="T41" s="102">
        <f>TrRoad_act!T122</f>
        <v>2</v>
      </c>
      <c r="U41" s="102">
        <f>TrRoad_act!U122</f>
        <v>1</v>
      </c>
      <c r="V41" s="102">
        <f>TrRoad_act!V122</f>
        <v>2</v>
      </c>
      <c r="W41" s="102">
        <f>TrRoad_act!W122</f>
        <v>0</v>
      </c>
      <c r="X41" s="102">
        <f>TrRoad_act!X122</f>
        <v>1</v>
      </c>
      <c r="Y41" s="102">
        <f>TrRoad_act!Y122</f>
        <v>1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1449</v>
      </c>
      <c r="C42" s="102">
        <f>TrRoad_act!C123</f>
        <v>1140</v>
      </c>
      <c r="D42" s="102">
        <f>TrRoad_act!D123</f>
        <v>1235</v>
      </c>
      <c r="E42" s="102">
        <f>TrRoad_act!E123</f>
        <v>1174</v>
      </c>
      <c r="F42" s="102">
        <f>TrRoad_act!F123</f>
        <v>1072</v>
      </c>
      <c r="G42" s="102">
        <f>TrRoad_act!G123</f>
        <v>1085</v>
      </c>
      <c r="H42" s="102">
        <f>TrRoad_act!H123</f>
        <v>1212</v>
      </c>
      <c r="I42" s="102">
        <f>TrRoad_act!I123</f>
        <v>869</v>
      </c>
      <c r="J42" s="102">
        <f>TrRoad_act!J123</f>
        <v>1043</v>
      </c>
      <c r="K42" s="102">
        <f>TrRoad_act!K123</f>
        <v>894</v>
      </c>
      <c r="L42" s="102">
        <f>TrRoad_act!L123</f>
        <v>1289</v>
      </c>
      <c r="M42" s="102">
        <f>TrRoad_act!M123</f>
        <v>1226</v>
      </c>
      <c r="N42" s="102">
        <f>TrRoad_act!N123</f>
        <v>1204</v>
      </c>
      <c r="O42" s="102">
        <f>TrRoad_act!O123</f>
        <v>899</v>
      </c>
      <c r="P42" s="102">
        <f>TrRoad_act!P123</f>
        <v>864</v>
      </c>
      <c r="Q42" s="102">
        <f>TrRoad_act!Q123</f>
        <v>888</v>
      </c>
      <c r="R42" s="102">
        <f>TrRoad_act!R123</f>
        <v>1290</v>
      </c>
      <c r="S42" s="102">
        <f>TrRoad_act!S123</f>
        <v>892</v>
      </c>
      <c r="T42" s="102">
        <f>TrRoad_act!T123</f>
        <v>858</v>
      </c>
      <c r="U42" s="102">
        <f>TrRoad_act!U123</f>
        <v>2756</v>
      </c>
      <c r="V42" s="102">
        <f>TrRoad_act!V123</f>
        <v>1029</v>
      </c>
      <c r="W42" s="102">
        <f>TrRoad_act!W123</f>
        <v>860</v>
      </c>
      <c r="X42" s="102">
        <f>TrRoad_act!X123</f>
        <v>910</v>
      </c>
      <c r="Y42" s="102">
        <f>TrRoad_act!Y123</f>
        <v>937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35</v>
      </c>
      <c r="D44" s="102">
        <f>TrRoad_act!D125</f>
        <v>1</v>
      </c>
      <c r="E44" s="102">
        <f>TrRoad_act!E125</f>
        <v>0</v>
      </c>
      <c r="F44" s="102">
        <f>TrRoad_act!F125</f>
        <v>46</v>
      </c>
      <c r="G44" s="102">
        <f>TrRoad_act!G125</f>
        <v>502</v>
      </c>
      <c r="H44" s="102">
        <f>TrRoad_act!H125</f>
        <v>142</v>
      </c>
      <c r="I44" s="102">
        <f>TrRoad_act!I125</f>
        <v>92</v>
      </c>
      <c r="J44" s="102">
        <f>TrRoad_act!J125</f>
        <v>221</v>
      </c>
      <c r="K44" s="102">
        <f>TrRoad_act!K125</f>
        <v>288</v>
      </c>
      <c r="L44" s="102">
        <f>TrRoad_act!L125</f>
        <v>368</v>
      </c>
      <c r="M44" s="102">
        <f>TrRoad_act!M125</f>
        <v>377</v>
      </c>
      <c r="N44" s="102">
        <f>TrRoad_act!N125</f>
        <v>312</v>
      </c>
      <c r="O44" s="102">
        <f>TrRoad_act!O125</f>
        <v>2460</v>
      </c>
      <c r="P44" s="102">
        <f>TrRoad_act!P125</f>
        <v>768</v>
      </c>
      <c r="Q44" s="102">
        <f>TrRoad_act!Q125</f>
        <v>600</v>
      </c>
      <c r="R44" s="102">
        <f>TrRoad_act!R125</f>
        <v>66</v>
      </c>
      <c r="S44" s="102">
        <f>TrRoad_act!S125</f>
        <v>598</v>
      </c>
      <c r="T44" s="102">
        <f>TrRoad_act!T125</f>
        <v>150</v>
      </c>
      <c r="U44" s="102">
        <f>TrRoad_act!U125</f>
        <v>284</v>
      </c>
      <c r="V44" s="102">
        <f>TrRoad_act!V125</f>
        <v>463</v>
      </c>
      <c r="W44" s="102">
        <f>TrRoad_act!W125</f>
        <v>166</v>
      </c>
      <c r="X44" s="102">
        <f>TrRoad_act!X125</f>
        <v>94</v>
      </c>
      <c r="Y44" s="102">
        <f>TrRoad_act!Y125</f>
        <v>146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5</v>
      </c>
      <c r="C45" s="102">
        <f>TrRoad_act!C126</f>
        <v>0</v>
      </c>
      <c r="D45" s="102">
        <f>TrRoad_act!D126</f>
        <v>0</v>
      </c>
      <c r="E45" s="102">
        <f>TrRoad_act!E126</f>
        <v>6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2</v>
      </c>
      <c r="O45" s="102">
        <f>TrRoad_act!O126</f>
        <v>2</v>
      </c>
      <c r="P45" s="102">
        <f>TrRoad_act!P126</f>
        <v>4</v>
      </c>
      <c r="Q45" s="102">
        <f>TrRoad_act!Q126</f>
        <v>10</v>
      </c>
      <c r="R45" s="102">
        <f>TrRoad_act!R126</f>
        <v>19</v>
      </c>
      <c r="S45" s="102">
        <f>TrRoad_act!S126</f>
        <v>16</v>
      </c>
      <c r="T45" s="102">
        <f>TrRoad_act!T126</f>
        <v>47</v>
      </c>
      <c r="U45" s="102">
        <f>TrRoad_act!U126</f>
        <v>170</v>
      </c>
      <c r="V45" s="102">
        <f>TrRoad_act!V126</f>
        <v>205</v>
      </c>
      <c r="W45" s="102">
        <f>TrRoad_act!W126</f>
        <v>192</v>
      </c>
      <c r="X45" s="102">
        <f>TrRoad_act!X126</f>
        <v>261</v>
      </c>
      <c r="Y45" s="102">
        <f>TrRoad_act!Y126</f>
        <v>313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37933</v>
      </c>
      <c r="C46" s="28">
        <f>TrRoad_act!C127</f>
        <v>43381</v>
      </c>
      <c r="D46" s="28">
        <f>TrRoad_act!D127</f>
        <v>38789</v>
      </c>
      <c r="E46" s="28">
        <f>TrRoad_act!E127</f>
        <v>38878</v>
      </c>
      <c r="F46" s="28">
        <f>TrRoad_act!F127</f>
        <v>44988</v>
      </c>
      <c r="G46" s="28">
        <f>TrRoad_act!G127</f>
        <v>48619</v>
      </c>
      <c r="H46" s="28">
        <f>TrRoad_act!H127</f>
        <v>50350</v>
      </c>
      <c r="I46" s="28">
        <f>TrRoad_act!I127</f>
        <v>55416</v>
      </c>
      <c r="J46" s="28">
        <f>TrRoad_act!J127</f>
        <v>46010</v>
      </c>
      <c r="K46" s="28">
        <f>TrRoad_act!K127</f>
        <v>33534</v>
      </c>
      <c r="L46" s="28">
        <f>TrRoad_act!L127</f>
        <v>35698</v>
      </c>
      <c r="M46" s="28">
        <f>TrRoad_act!M127</f>
        <v>64289</v>
      </c>
      <c r="N46" s="28">
        <f>TrRoad_act!N127</f>
        <v>40145</v>
      </c>
      <c r="O46" s="28">
        <f>TrRoad_act!O127</f>
        <v>47708</v>
      </c>
      <c r="P46" s="28">
        <f>TrRoad_act!P127</f>
        <v>48422</v>
      </c>
      <c r="Q46" s="28">
        <f>TrRoad_act!Q127</f>
        <v>52516</v>
      </c>
      <c r="R46" s="28">
        <f>TrRoad_act!R127</f>
        <v>62016</v>
      </c>
      <c r="S46" s="28">
        <f>TrRoad_act!S127</f>
        <v>65467</v>
      </c>
      <c r="T46" s="28">
        <f>TrRoad_act!T127</f>
        <v>70566</v>
      </c>
      <c r="U46" s="28">
        <f>TrRoad_act!U127</f>
        <v>65434</v>
      </c>
      <c r="V46" s="28">
        <f>TrRoad_act!V127</f>
        <v>41595</v>
      </c>
      <c r="W46" s="28">
        <f>TrRoad_act!W127</f>
        <v>46919</v>
      </c>
      <c r="X46" s="28">
        <f>TrRoad_act!X127</f>
        <v>45130</v>
      </c>
      <c r="Y46" s="28">
        <f>TrRoad_act!Y127</f>
        <v>61743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32247</v>
      </c>
      <c r="C47" s="137">
        <f>TrRoad_act!C128</f>
        <v>37954</v>
      </c>
      <c r="D47" s="137">
        <f>TrRoad_act!D128</f>
        <v>33785</v>
      </c>
      <c r="E47" s="137">
        <f>TrRoad_act!E128</f>
        <v>34087</v>
      </c>
      <c r="F47" s="137">
        <f>TrRoad_act!F128</f>
        <v>38910</v>
      </c>
      <c r="G47" s="137">
        <f>TrRoad_act!G128</f>
        <v>41869</v>
      </c>
      <c r="H47" s="137">
        <f>TrRoad_act!H128</f>
        <v>40419</v>
      </c>
      <c r="I47" s="137">
        <f>TrRoad_act!I128</f>
        <v>46210</v>
      </c>
      <c r="J47" s="137">
        <f>TrRoad_act!J128</f>
        <v>39542</v>
      </c>
      <c r="K47" s="137">
        <f>TrRoad_act!K128</f>
        <v>27502</v>
      </c>
      <c r="L47" s="137">
        <f>TrRoad_act!L128</f>
        <v>26907</v>
      </c>
      <c r="M47" s="137">
        <f>TrRoad_act!M128</f>
        <v>53795</v>
      </c>
      <c r="N47" s="137">
        <f>TrRoad_act!N128</f>
        <v>32512</v>
      </c>
      <c r="O47" s="137">
        <f>TrRoad_act!O128</f>
        <v>41465</v>
      </c>
      <c r="P47" s="137">
        <f>TrRoad_act!P128</f>
        <v>43456</v>
      </c>
      <c r="Q47" s="137">
        <f>TrRoad_act!Q128</f>
        <v>45835</v>
      </c>
      <c r="R47" s="137">
        <f>TrRoad_act!R128</f>
        <v>53227</v>
      </c>
      <c r="S47" s="137">
        <f>TrRoad_act!S128</f>
        <v>57178</v>
      </c>
      <c r="T47" s="137">
        <f>TrRoad_act!T128</f>
        <v>62595</v>
      </c>
      <c r="U47" s="137">
        <f>TrRoad_act!U128</f>
        <v>58835</v>
      </c>
      <c r="V47" s="137">
        <f>TrRoad_act!V128</f>
        <v>34158</v>
      </c>
      <c r="W47" s="137">
        <f>TrRoad_act!W128</f>
        <v>37729</v>
      </c>
      <c r="X47" s="137">
        <f>TrRoad_act!X128</f>
        <v>37986</v>
      </c>
      <c r="Y47" s="137">
        <f>TrRoad_act!Y128</f>
        <v>54313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8946</v>
      </c>
      <c r="C48" s="84">
        <f>TrRoad_act!C129</f>
        <v>7404</v>
      </c>
      <c r="D48" s="84">
        <f>TrRoad_act!D129</f>
        <v>6275</v>
      </c>
      <c r="E48" s="84">
        <f>TrRoad_act!E129</f>
        <v>5330</v>
      </c>
      <c r="F48" s="84">
        <f>TrRoad_act!F129</f>
        <v>4568</v>
      </c>
      <c r="G48" s="84">
        <f>TrRoad_act!G129</f>
        <v>4609</v>
      </c>
      <c r="H48" s="84">
        <f>TrRoad_act!H129</f>
        <v>4442</v>
      </c>
      <c r="I48" s="84">
        <f>TrRoad_act!I129</f>
        <v>4177</v>
      </c>
      <c r="J48" s="84">
        <f>TrRoad_act!J129</f>
        <v>2928</v>
      </c>
      <c r="K48" s="84">
        <f>TrRoad_act!K129</f>
        <v>2413</v>
      </c>
      <c r="L48" s="84">
        <f>TrRoad_act!L129</f>
        <v>2248</v>
      </c>
      <c r="M48" s="84">
        <f>TrRoad_act!M129</f>
        <v>2183</v>
      </c>
      <c r="N48" s="84">
        <f>TrRoad_act!N129</f>
        <v>1680</v>
      </c>
      <c r="O48" s="84">
        <f>TrRoad_act!O129</f>
        <v>1110</v>
      </c>
      <c r="P48" s="84">
        <f>TrRoad_act!P129</f>
        <v>1535</v>
      </c>
      <c r="Q48" s="84">
        <f>TrRoad_act!Q129</f>
        <v>1242</v>
      </c>
      <c r="R48" s="84">
        <f>TrRoad_act!R129</f>
        <v>1430</v>
      </c>
      <c r="S48" s="84">
        <f>TrRoad_act!S129</f>
        <v>1504</v>
      </c>
      <c r="T48" s="84">
        <f>TrRoad_act!T129</f>
        <v>3440</v>
      </c>
      <c r="U48" s="84">
        <f>TrRoad_act!U129</f>
        <v>4868</v>
      </c>
      <c r="V48" s="84">
        <f>TrRoad_act!V129</f>
        <v>3355</v>
      </c>
      <c r="W48" s="84">
        <f>TrRoad_act!W129</f>
        <v>2274</v>
      </c>
      <c r="X48" s="84">
        <f>TrRoad_act!X129</f>
        <v>4400</v>
      </c>
      <c r="Y48" s="84">
        <f>TrRoad_act!Y129</f>
        <v>4178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23301</v>
      </c>
      <c r="C49" s="84">
        <f>TrRoad_act!C130</f>
        <v>30547</v>
      </c>
      <c r="D49" s="84">
        <f>TrRoad_act!D130</f>
        <v>27496</v>
      </c>
      <c r="E49" s="84">
        <f>TrRoad_act!E130</f>
        <v>28729</v>
      </c>
      <c r="F49" s="84">
        <f>TrRoad_act!F130</f>
        <v>34317</v>
      </c>
      <c r="G49" s="84">
        <f>TrRoad_act!G130</f>
        <v>37176</v>
      </c>
      <c r="H49" s="84">
        <f>TrRoad_act!H130</f>
        <v>35542</v>
      </c>
      <c r="I49" s="84">
        <f>TrRoad_act!I130</f>
        <v>41586</v>
      </c>
      <c r="J49" s="84">
        <f>TrRoad_act!J130</f>
        <v>35688</v>
      </c>
      <c r="K49" s="84">
        <f>TrRoad_act!K130</f>
        <v>24048</v>
      </c>
      <c r="L49" s="84">
        <f>TrRoad_act!L130</f>
        <v>23571</v>
      </c>
      <c r="M49" s="84">
        <f>TrRoad_act!M130</f>
        <v>50687</v>
      </c>
      <c r="N49" s="84">
        <f>TrRoad_act!N130</f>
        <v>29845</v>
      </c>
      <c r="O49" s="84">
        <f>TrRoad_act!O130</f>
        <v>39534</v>
      </c>
      <c r="P49" s="84">
        <f>TrRoad_act!P130</f>
        <v>40918</v>
      </c>
      <c r="Q49" s="84">
        <f>TrRoad_act!Q130</f>
        <v>43429</v>
      </c>
      <c r="R49" s="84">
        <f>TrRoad_act!R130</f>
        <v>50921</v>
      </c>
      <c r="S49" s="84">
        <f>TrRoad_act!S130</f>
        <v>54199</v>
      </c>
      <c r="T49" s="84">
        <f>TrRoad_act!T130</f>
        <v>54584</v>
      </c>
      <c r="U49" s="84">
        <f>TrRoad_act!U130</f>
        <v>51492</v>
      </c>
      <c r="V49" s="84">
        <f>TrRoad_act!V130</f>
        <v>28144</v>
      </c>
      <c r="W49" s="84">
        <f>TrRoad_act!W130</f>
        <v>32304</v>
      </c>
      <c r="X49" s="84">
        <f>TrRoad_act!X130</f>
        <v>28455</v>
      </c>
      <c r="Y49" s="84">
        <f>TrRoad_act!Y130</f>
        <v>37809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X50" s="84">
        <f>TrRoad_act!X131</f>
        <v>0</v>
      </c>
      <c r="Y50" s="84">
        <f>TrRoad_act!Y131</f>
        <v>0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3</v>
      </c>
      <c r="D51" s="84">
        <f>TrRoad_act!D132</f>
        <v>14</v>
      </c>
      <c r="E51" s="84">
        <f>TrRoad_act!E132</f>
        <v>28</v>
      </c>
      <c r="F51" s="84">
        <f>TrRoad_act!F132</f>
        <v>25</v>
      </c>
      <c r="G51" s="84">
        <f>TrRoad_act!G132</f>
        <v>82</v>
      </c>
      <c r="H51" s="84">
        <f>TrRoad_act!H132</f>
        <v>230</v>
      </c>
      <c r="I51" s="84">
        <f>TrRoad_act!I132</f>
        <v>447</v>
      </c>
      <c r="J51" s="84">
        <f>TrRoad_act!J132</f>
        <v>926</v>
      </c>
      <c r="K51" s="84">
        <f>TrRoad_act!K132</f>
        <v>1038</v>
      </c>
      <c r="L51" s="84">
        <f>TrRoad_act!L132</f>
        <v>1088</v>
      </c>
      <c r="M51" s="84">
        <f>TrRoad_act!M132</f>
        <v>916</v>
      </c>
      <c r="N51" s="84">
        <f>TrRoad_act!N132</f>
        <v>721</v>
      </c>
      <c r="O51" s="84">
        <f>TrRoad_act!O132</f>
        <v>613</v>
      </c>
      <c r="P51" s="84">
        <f>TrRoad_act!P132</f>
        <v>715</v>
      </c>
      <c r="Q51" s="84">
        <f>TrRoad_act!Q132</f>
        <v>711</v>
      </c>
      <c r="R51" s="84">
        <f>TrRoad_act!R132</f>
        <v>560</v>
      </c>
      <c r="S51" s="84">
        <f>TrRoad_act!S132</f>
        <v>1000</v>
      </c>
      <c r="T51" s="84">
        <f>TrRoad_act!T132</f>
        <v>3704</v>
      </c>
      <c r="U51" s="84">
        <f>TrRoad_act!U132</f>
        <v>1076</v>
      </c>
      <c r="V51" s="84">
        <f>TrRoad_act!V132</f>
        <v>691</v>
      </c>
      <c r="W51" s="84">
        <f>TrRoad_act!W132</f>
        <v>439</v>
      </c>
      <c r="X51" s="84">
        <f>TrRoad_act!X132</f>
        <v>140</v>
      </c>
      <c r="Y51" s="84">
        <f>TrRoad_act!Y132</f>
        <v>255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2</v>
      </c>
      <c r="H52" s="84">
        <f>TrRoad_act!H133</f>
        <v>205</v>
      </c>
      <c r="I52" s="84">
        <f>TrRoad_act!I133</f>
        <v>0</v>
      </c>
      <c r="J52" s="84">
        <f>TrRoad_act!J133</f>
        <v>0</v>
      </c>
      <c r="K52" s="84">
        <f>TrRoad_act!K133</f>
        <v>3</v>
      </c>
      <c r="L52" s="84">
        <f>TrRoad_act!L133</f>
        <v>0</v>
      </c>
      <c r="M52" s="84">
        <f>TrRoad_act!M133</f>
        <v>9</v>
      </c>
      <c r="N52" s="84">
        <f>TrRoad_act!N133</f>
        <v>266</v>
      </c>
      <c r="O52" s="84">
        <f>TrRoad_act!O133</f>
        <v>208</v>
      </c>
      <c r="P52" s="84">
        <f>TrRoad_act!P133</f>
        <v>288</v>
      </c>
      <c r="Q52" s="84">
        <f>TrRoad_act!Q133</f>
        <v>453</v>
      </c>
      <c r="R52" s="84">
        <f>TrRoad_act!R133</f>
        <v>316</v>
      </c>
      <c r="S52" s="84">
        <f>TrRoad_act!S133</f>
        <v>475</v>
      </c>
      <c r="T52" s="84">
        <f>TrRoad_act!T133</f>
        <v>867</v>
      </c>
      <c r="U52" s="84">
        <f>TrRoad_act!U133</f>
        <v>1399</v>
      </c>
      <c r="V52" s="84">
        <f>TrRoad_act!V133</f>
        <v>1968</v>
      </c>
      <c r="W52" s="84">
        <f>TrRoad_act!W133</f>
        <v>2712</v>
      </c>
      <c r="X52" s="84">
        <f>TrRoad_act!X133</f>
        <v>4991</v>
      </c>
      <c r="Y52" s="84">
        <f>TrRoad_act!Y133</f>
        <v>12071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5686</v>
      </c>
      <c r="C53" s="110">
        <f>TrRoad_act!C134</f>
        <v>5427</v>
      </c>
      <c r="D53" s="110">
        <f>TrRoad_act!D134</f>
        <v>5004</v>
      </c>
      <c r="E53" s="110">
        <f>TrRoad_act!E134</f>
        <v>4791</v>
      </c>
      <c r="F53" s="110">
        <f>TrRoad_act!F134</f>
        <v>6078</v>
      </c>
      <c r="G53" s="110">
        <f>TrRoad_act!G134</f>
        <v>6750</v>
      </c>
      <c r="H53" s="110">
        <f>TrRoad_act!H134</f>
        <v>9931</v>
      </c>
      <c r="I53" s="110">
        <f>TrRoad_act!I134</f>
        <v>9206</v>
      </c>
      <c r="J53" s="110">
        <f>TrRoad_act!J134</f>
        <v>6468</v>
      </c>
      <c r="K53" s="110">
        <f>TrRoad_act!K134</f>
        <v>6032</v>
      </c>
      <c r="L53" s="110">
        <f>TrRoad_act!L134</f>
        <v>8791</v>
      </c>
      <c r="M53" s="110">
        <f>TrRoad_act!M134</f>
        <v>10494</v>
      </c>
      <c r="N53" s="110">
        <f>TrRoad_act!N134</f>
        <v>7633</v>
      </c>
      <c r="O53" s="110">
        <f>TrRoad_act!O134</f>
        <v>6243</v>
      </c>
      <c r="P53" s="110">
        <f>TrRoad_act!P134</f>
        <v>4966</v>
      </c>
      <c r="Q53" s="110">
        <f>TrRoad_act!Q134</f>
        <v>6681</v>
      </c>
      <c r="R53" s="110">
        <f>TrRoad_act!R134</f>
        <v>8789</v>
      </c>
      <c r="S53" s="110">
        <f>TrRoad_act!S134</f>
        <v>8289</v>
      </c>
      <c r="T53" s="110">
        <f>TrRoad_act!T134</f>
        <v>7971</v>
      </c>
      <c r="U53" s="110">
        <f>TrRoad_act!U134</f>
        <v>6599</v>
      </c>
      <c r="V53" s="110">
        <f>TrRoad_act!V134</f>
        <v>7437</v>
      </c>
      <c r="W53" s="110">
        <f>TrRoad_act!W134</f>
        <v>9190</v>
      </c>
      <c r="X53" s="110">
        <f>TrRoad_act!X134</f>
        <v>7144</v>
      </c>
      <c r="Y53" s="110">
        <f>TrRoad_act!Y134</f>
        <v>7430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5065</v>
      </c>
      <c r="C54" s="102">
        <f>TrRoad_act!C135</f>
        <v>4709</v>
      </c>
      <c r="D54" s="102">
        <f>TrRoad_act!D135</f>
        <v>4328</v>
      </c>
      <c r="E54" s="102">
        <f>TrRoad_act!E135</f>
        <v>4248</v>
      </c>
      <c r="F54" s="102">
        <f>TrRoad_act!F135</f>
        <v>4329</v>
      </c>
      <c r="G54" s="102">
        <f>TrRoad_act!G135</f>
        <v>5942</v>
      </c>
      <c r="H54" s="102">
        <f>TrRoad_act!H135</f>
        <v>8662</v>
      </c>
      <c r="I54" s="102">
        <f>TrRoad_act!I135</f>
        <v>8403</v>
      </c>
      <c r="J54" s="102">
        <f>TrRoad_act!J135</f>
        <v>6148</v>
      </c>
      <c r="K54" s="102">
        <f>TrRoad_act!K135</f>
        <v>6032</v>
      </c>
      <c r="L54" s="102">
        <f>TrRoad_act!L135</f>
        <v>7550</v>
      </c>
      <c r="M54" s="102">
        <f>TrRoad_act!M135</f>
        <v>10026</v>
      </c>
      <c r="N54" s="102">
        <f>TrRoad_act!N135</f>
        <v>7205</v>
      </c>
      <c r="O54" s="102">
        <f>TrRoad_act!O135</f>
        <v>4553</v>
      </c>
      <c r="P54" s="102">
        <f>TrRoad_act!P135</f>
        <v>4758</v>
      </c>
      <c r="Q54" s="102">
        <f>TrRoad_act!Q135</f>
        <v>4858</v>
      </c>
      <c r="R54" s="102">
        <f>TrRoad_act!R135</f>
        <v>7474</v>
      </c>
      <c r="S54" s="102">
        <f>TrRoad_act!S135</f>
        <v>7707</v>
      </c>
      <c r="T54" s="102">
        <f>TrRoad_act!T135</f>
        <v>7076</v>
      </c>
      <c r="U54" s="102">
        <f>TrRoad_act!U135</f>
        <v>6420</v>
      </c>
      <c r="V54" s="102">
        <f>TrRoad_act!V135</f>
        <v>6328</v>
      </c>
      <c r="W54" s="102">
        <f>TrRoad_act!W135</f>
        <v>7452</v>
      </c>
      <c r="X54" s="102">
        <f>TrRoad_act!X135</f>
        <v>7144</v>
      </c>
      <c r="Y54" s="102">
        <f>TrRoad_act!Y135</f>
        <v>6693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621</v>
      </c>
      <c r="C55" s="86">
        <f>TrRoad_act!C136</f>
        <v>718</v>
      </c>
      <c r="D55" s="86">
        <f>TrRoad_act!D136</f>
        <v>676</v>
      </c>
      <c r="E55" s="86">
        <f>TrRoad_act!E136</f>
        <v>543</v>
      </c>
      <c r="F55" s="86">
        <f>TrRoad_act!F136</f>
        <v>1749</v>
      </c>
      <c r="G55" s="86">
        <f>TrRoad_act!G136</f>
        <v>808</v>
      </c>
      <c r="H55" s="86">
        <f>TrRoad_act!H136</f>
        <v>1269</v>
      </c>
      <c r="I55" s="86">
        <f>TrRoad_act!I136</f>
        <v>803</v>
      </c>
      <c r="J55" s="86">
        <f>TrRoad_act!J136</f>
        <v>320</v>
      </c>
      <c r="K55" s="86">
        <f>TrRoad_act!K136</f>
        <v>0</v>
      </c>
      <c r="L55" s="86">
        <f>TrRoad_act!L136</f>
        <v>1241</v>
      </c>
      <c r="M55" s="86">
        <f>TrRoad_act!M136</f>
        <v>468</v>
      </c>
      <c r="N55" s="86">
        <f>TrRoad_act!N136</f>
        <v>428</v>
      </c>
      <c r="O55" s="86">
        <f>TrRoad_act!O136</f>
        <v>1690</v>
      </c>
      <c r="P55" s="86">
        <f>TrRoad_act!P136</f>
        <v>208</v>
      </c>
      <c r="Q55" s="86">
        <f>TrRoad_act!Q136</f>
        <v>1823</v>
      </c>
      <c r="R55" s="86">
        <f>TrRoad_act!R136</f>
        <v>1315</v>
      </c>
      <c r="S55" s="86">
        <f>TrRoad_act!S136</f>
        <v>582</v>
      </c>
      <c r="T55" s="86">
        <f>TrRoad_act!T136</f>
        <v>895</v>
      </c>
      <c r="U55" s="86">
        <f>TrRoad_act!U136</f>
        <v>179</v>
      </c>
      <c r="V55" s="86">
        <f>TrRoad_act!V136</f>
        <v>1109</v>
      </c>
      <c r="W55" s="86">
        <f>TrRoad_act!W136</f>
        <v>1738</v>
      </c>
      <c r="X55" s="86">
        <f>TrRoad_act!X136</f>
        <v>0</v>
      </c>
      <c r="Y55" s="86">
        <f>TrRoad_act!Y136</f>
        <v>737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94750</v>
      </c>
      <c r="C59" s="54">
        <f t="shared" si="0"/>
        <v>43296</v>
      </c>
      <c r="D59" s="54">
        <f t="shared" si="0"/>
        <v>66302</v>
      </c>
      <c r="E59" s="54">
        <f t="shared" si="0"/>
        <v>77463</v>
      </c>
      <c r="F59" s="54">
        <f t="shared" si="0"/>
        <v>92516</v>
      </c>
      <c r="G59" s="54">
        <f t="shared" si="0"/>
        <v>137385</v>
      </c>
      <c r="H59" s="54">
        <f t="shared" si="0"/>
        <v>145609</v>
      </c>
      <c r="I59" s="54">
        <f t="shared" si="0"/>
        <v>148239</v>
      </c>
      <c r="J59" s="54">
        <f t="shared" si="0"/>
        <v>139466</v>
      </c>
      <c r="K59" s="54">
        <f t="shared" si="0"/>
        <v>96969</v>
      </c>
      <c r="L59" s="54">
        <f t="shared" ref="L59" si="1">L60+L75</f>
        <v>201687</v>
      </c>
      <c r="M59" s="54">
        <f t="shared" ref="M59:V59" si="2">M60+M75</f>
        <v>254628</v>
      </c>
      <c r="N59" s="54">
        <f t="shared" si="2"/>
        <v>290522</v>
      </c>
      <c r="O59" s="54">
        <f t="shared" si="2"/>
        <v>272422</v>
      </c>
      <c r="P59" s="54">
        <f t="shared" si="2"/>
        <v>333048</v>
      </c>
      <c r="Q59" s="54">
        <f t="shared" si="2"/>
        <v>389555</v>
      </c>
      <c r="R59" s="54">
        <f t="shared" si="2"/>
        <v>448438</v>
      </c>
      <c r="S59" s="54">
        <f t="shared" si="2"/>
        <v>466257</v>
      </c>
      <c r="T59" s="54">
        <f t="shared" si="2"/>
        <v>438829</v>
      </c>
      <c r="U59" s="54">
        <f t="shared" si="2"/>
        <v>451957</v>
      </c>
      <c r="V59" s="54">
        <f t="shared" si="2"/>
        <v>418658</v>
      </c>
      <c r="W59" s="54">
        <f t="shared" ref="W59:Y59" si="3">W60+W75</f>
        <v>446354</v>
      </c>
      <c r="X59" s="54">
        <f t="shared" si="3"/>
        <v>422821</v>
      </c>
      <c r="Y59" s="54">
        <f t="shared" si="3"/>
        <v>555616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94750</v>
      </c>
      <c r="C60" s="28">
        <f t="shared" si="4"/>
        <v>42636</v>
      </c>
      <c r="D60" s="28">
        <f t="shared" si="4"/>
        <v>65323</v>
      </c>
      <c r="E60" s="28">
        <f t="shared" si="4"/>
        <v>76388</v>
      </c>
      <c r="F60" s="28">
        <f t="shared" si="4"/>
        <v>91355</v>
      </c>
      <c r="G60" s="28">
        <f t="shared" si="4"/>
        <v>135948</v>
      </c>
      <c r="H60" s="28">
        <f t="shared" si="4"/>
        <v>143948</v>
      </c>
      <c r="I60" s="28">
        <f t="shared" si="4"/>
        <v>134538</v>
      </c>
      <c r="J60" s="28">
        <f t="shared" si="4"/>
        <v>123264</v>
      </c>
      <c r="K60" s="28">
        <f t="shared" si="4"/>
        <v>83729</v>
      </c>
      <c r="L60" s="28">
        <f t="shared" ref="L60" si="5">L61+L62+L69</f>
        <v>183847</v>
      </c>
      <c r="M60" s="28">
        <f t="shared" ref="M60:V60" si="6">M61+M62+M69</f>
        <v>214790</v>
      </c>
      <c r="N60" s="28">
        <f t="shared" si="6"/>
        <v>262943</v>
      </c>
      <c r="O60" s="28">
        <f t="shared" si="6"/>
        <v>236030</v>
      </c>
      <c r="P60" s="28">
        <f t="shared" si="6"/>
        <v>293345</v>
      </c>
      <c r="Q60" s="28">
        <f t="shared" si="6"/>
        <v>343799</v>
      </c>
      <c r="R60" s="28">
        <f t="shared" si="6"/>
        <v>391588</v>
      </c>
      <c r="S60" s="28">
        <f t="shared" si="6"/>
        <v>404311</v>
      </c>
      <c r="T60" s="28">
        <f t="shared" si="6"/>
        <v>371033</v>
      </c>
      <c r="U60" s="28">
        <f t="shared" si="6"/>
        <v>388616</v>
      </c>
      <c r="V60" s="28">
        <f t="shared" si="6"/>
        <v>378166</v>
      </c>
      <c r="W60" s="28">
        <f t="shared" ref="W60:Y60" si="7">W61+W62+W69</f>
        <v>399594</v>
      </c>
      <c r="X60" s="28">
        <f t="shared" si="7"/>
        <v>377695</v>
      </c>
      <c r="Y60" s="28">
        <f t="shared" si="7"/>
        <v>493873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8109</v>
      </c>
      <c r="D61" s="137">
        <v>21440</v>
      </c>
      <c r="E61" s="137">
        <v>19449</v>
      </c>
      <c r="F61" s="137">
        <v>20584</v>
      </c>
      <c r="G61" s="137">
        <v>52319</v>
      </c>
      <c r="H61" s="137">
        <v>53812</v>
      </c>
      <c r="I61" s="137">
        <v>41794</v>
      </c>
      <c r="J61" s="137">
        <v>38921</v>
      </c>
      <c r="K61" s="137">
        <v>31513</v>
      </c>
      <c r="L61" s="137">
        <v>18379</v>
      </c>
      <c r="M61" s="137">
        <v>21482</v>
      </c>
      <c r="N61" s="137">
        <v>59917</v>
      </c>
      <c r="O61" s="137">
        <v>17404</v>
      </c>
      <c r="P61" s="137">
        <v>30086</v>
      </c>
      <c r="Q61" s="137">
        <v>32350</v>
      </c>
      <c r="R61" s="137">
        <v>36293</v>
      </c>
      <c r="S61" s="137">
        <v>38397</v>
      </c>
      <c r="T61" s="137">
        <v>28882</v>
      </c>
      <c r="U61" s="137">
        <v>35302</v>
      </c>
      <c r="V61" s="137">
        <v>47524</v>
      </c>
      <c r="W61" s="137">
        <v>29900</v>
      </c>
      <c r="X61" s="137">
        <v>26956</v>
      </c>
      <c r="Y61" s="137">
        <v>30009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94750</v>
      </c>
      <c r="C62" s="110">
        <f t="shared" si="8"/>
        <v>34527</v>
      </c>
      <c r="D62" s="110">
        <f t="shared" si="8"/>
        <v>43883</v>
      </c>
      <c r="E62" s="110">
        <f t="shared" si="8"/>
        <v>56939</v>
      </c>
      <c r="F62" s="110">
        <f t="shared" si="8"/>
        <v>70771</v>
      </c>
      <c r="G62" s="110">
        <f t="shared" si="8"/>
        <v>83629</v>
      </c>
      <c r="H62" s="110">
        <f t="shared" si="8"/>
        <v>90136</v>
      </c>
      <c r="I62" s="110">
        <f t="shared" si="8"/>
        <v>92744</v>
      </c>
      <c r="J62" s="110">
        <f t="shared" si="8"/>
        <v>84343</v>
      </c>
      <c r="K62" s="110">
        <f t="shared" si="8"/>
        <v>52216</v>
      </c>
      <c r="L62" s="110">
        <f t="shared" ref="L62" si="9">SUM(L63:L68)</f>
        <v>165468</v>
      </c>
      <c r="M62" s="110">
        <f t="shared" ref="M62:V62" si="10">SUM(M63:M68)</f>
        <v>193294</v>
      </c>
      <c r="N62" s="110">
        <f t="shared" si="10"/>
        <v>203026</v>
      </c>
      <c r="O62" s="110">
        <f t="shared" si="10"/>
        <v>218623</v>
      </c>
      <c r="P62" s="110">
        <f t="shared" si="10"/>
        <v>262493</v>
      </c>
      <c r="Q62" s="110">
        <f t="shared" si="10"/>
        <v>310235</v>
      </c>
      <c r="R62" s="110">
        <f t="shared" si="10"/>
        <v>354094</v>
      </c>
      <c r="S62" s="110">
        <f t="shared" si="10"/>
        <v>364502</v>
      </c>
      <c r="T62" s="110">
        <f t="shared" si="10"/>
        <v>341140</v>
      </c>
      <c r="U62" s="110">
        <f t="shared" si="10"/>
        <v>350180</v>
      </c>
      <c r="V62" s="110">
        <f t="shared" si="10"/>
        <v>328955</v>
      </c>
      <c r="W62" s="110">
        <f t="shared" ref="W62:Y62" si="11">SUM(W63:W68)</f>
        <v>368478</v>
      </c>
      <c r="X62" s="110">
        <f t="shared" si="11"/>
        <v>349473</v>
      </c>
      <c r="Y62" s="110">
        <f t="shared" si="11"/>
        <v>462467</v>
      </c>
      <c r="DA62" s="176" t="s">
        <v>841</v>
      </c>
    </row>
    <row r="63" spans="1:105" ht="11.45" customHeight="1" x14ac:dyDescent="0.25">
      <c r="A63" s="111" t="s">
        <v>110</v>
      </c>
      <c r="B63" s="84">
        <v>94750</v>
      </c>
      <c r="C63" s="84">
        <v>34527</v>
      </c>
      <c r="D63" s="84">
        <v>43883</v>
      </c>
      <c r="E63" s="84">
        <v>56939</v>
      </c>
      <c r="F63" s="84">
        <v>70771</v>
      </c>
      <c r="G63" s="84">
        <v>83629</v>
      </c>
      <c r="H63" s="84">
        <v>90136</v>
      </c>
      <c r="I63" s="84">
        <v>92744</v>
      </c>
      <c r="J63" s="84">
        <v>84343</v>
      </c>
      <c r="K63" s="84">
        <v>52086</v>
      </c>
      <c r="L63" s="84">
        <v>95070</v>
      </c>
      <c r="M63" s="84">
        <v>86052</v>
      </c>
      <c r="N63" s="84">
        <v>75065</v>
      </c>
      <c r="O63" s="84">
        <v>86768</v>
      </c>
      <c r="P63" s="84">
        <v>104620</v>
      </c>
      <c r="Q63" s="84">
        <v>124453</v>
      </c>
      <c r="R63" s="84">
        <v>160207</v>
      </c>
      <c r="S63" s="84">
        <v>176762</v>
      </c>
      <c r="T63" s="84">
        <v>202045</v>
      </c>
      <c r="U63" s="84">
        <v>215062</v>
      </c>
      <c r="V63" s="84">
        <v>163242</v>
      </c>
      <c r="W63" s="84">
        <v>163182</v>
      </c>
      <c r="X63" s="84">
        <v>135043</v>
      </c>
      <c r="Y63" s="84">
        <v>259590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130</v>
      </c>
      <c r="L64" s="84">
        <v>70398</v>
      </c>
      <c r="M64" s="84">
        <v>107242</v>
      </c>
      <c r="N64" s="84">
        <v>127961</v>
      </c>
      <c r="O64" s="84">
        <v>130944</v>
      </c>
      <c r="P64" s="84">
        <v>154401</v>
      </c>
      <c r="Q64" s="84">
        <v>181698</v>
      </c>
      <c r="R64" s="84">
        <v>187004</v>
      </c>
      <c r="S64" s="84">
        <v>184100</v>
      </c>
      <c r="T64" s="84">
        <v>135963</v>
      </c>
      <c r="U64" s="84">
        <v>122905</v>
      </c>
      <c r="V64" s="84">
        <v>77670</v>
      </c>
      <c r="W64" s="84">
        <v>70777</v>
      </c>
      <c r="X64" s="84">
        <v>47654</v>
      </c>
      <c r="Y64" s="84">
        <v>26002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  <c r="V65" s="84">
        <v>0</v>
      </c>
      <c r="W65" s="84">
        <v>0</v>
      </c>
      <c r="X65" s="84">
        <v>0</v>
      </c>
      <c r="Y65" s="84">
        <v>0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911</v>
      </c>
      <c r="P66" s="84">
        <v>3472</v>
      </c>
      <c r="Q66" s="84">
        <v>4084</v>
      </c>
      <c r="R66" s="84">
        <v>6883</v>
      </c>
      <c r="S66" s="84">
        <v>3640</v>
      </c>
      <c r="T66" s="84">
        <v>3132</v>
      </c>
      <c r="U66" s="84">
        <v>4872</v>
      </c>
      <c r="V66" s="84">
        <v>3498</v>
      </c>
      <c r="W66" s="84">
        <v>1492</v>
      </c>
      <c r="X66" s="84">
        <v>2434</v>
      </c>
      <c r="Y66" s="84">
        <v>2110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7341</v>
      </c>
      <c r="V67" s="84">
        <v>60370</v>
      </c>
      <c r="W67" s="84">
        <v>76699</v>
      </c>
      <c r="X67" s="84">
        <v>66746</v>
      </c>
      <c r="Y67" s="84">
        <v>61186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24175</v>
      </c>
      <c r="W68" s="84">
        <v>56328</v>
      </c>
      <c r="X68" s="84">
        <v>97596</v>
      </c>
      <c r="Y68" s="84">
        <v>113579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0</v>
      </c>
      <c r="H69" s="110">
        <f t="shared" si="12"/>
        <v>0</v>
      </c>
      <c r="I69" s="110">
        <f t="shared" si="12"/>
        <v>0</v>
      </c>
      <c r="J69" s="110">
        <f t="shared" si="12"/>
        <v>0</v>
      </c>
      <c r="K69" s="110">
        <f t="shared" si="12"/>
        <v>0</v>
      </c>
      <c r="L69" s="110">
        <f t="shared" ref="L69" si="13">SUM(L70:L74)</f>
        <v>0</v>
      </c>
      <c r="M69" s="110">
        <f t="shared" ref="M69:V69" si="14">SUM(M70:M74)</f>
        <v>14</v>
      </c>
      <c r="N69" s="110">
        <f t="shared" si="14"/>
        <v>0</v>
      </c>
      <c r="O69" s="110">
        <f t="shared" si="14"/>
        <v>3</v>
      </c>
      <c r="P69" s="110">
        <f t="shared" si="14"/>
        <v>766</v>
      </c>
      <c r="Q69" s="110">
        <f t="shared" si="14"/>
        <v>1214</v>
      </c>
      <c r="R69" s="110">
        <f t="shared" si="14"/>
        <v>1201</v>
      </c>
      <c r="S69" s="110">
        <f t="shared" si="14"/>
        <v>1412</v>
      </c>
      <c r="T69" s="110">
        <f t="shared" si="14"/>
        <v>1011</v>
      </c>
      <c r="U69" s="110">
        <f t="shared" si="14"/>
        <v>3134</v>
      </c>
      <c r="V69" s="110">
        <f t="shared" si="14"/>
        <v>1687</v>
      </c>
      <c r="W69" s="110">
        <f t="shared" ref="W69:Y69" si="15">SUM(W70:W74)</f>
        <v>1216</v>
      </c>
      <c r="X69" s="110">
        <f t="shared" si="15"/>
        <v>1266</v>
      </c>
      <c r="Y69" s="110">
        <f t="shared" si="15"/>
        <v>1397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14</v>
      </c>
      <c r="N70" s="102">
        <v>0</v>
      </c>
      <c r="O70" s="102">
        <v>3</v>
      </c>
      <c r="P70" s="102">
        <v>2</v>
      </c>
      <c r="Q70" s="102">
        <v>0</v>
      </c>
      <c r="R70" s="102">
        <v>6</v>
      </c>
      <c r="S70" s="102">
        <v>2</v>
      </c>
      <c r="T70" s="102">
        <v>2</v>
      </c>
      <c r="U70" s="102">
        <v>1</v>
      </c>
      <c r="V70" s="102">
        <v>2</v>
      </c>
      <c r="W70" s="102">
        <v>0</v>
      </c>
      <c r="X70" s="102">
        <v>1</v>
      </c>
      <c r="Y70" s="102">
        <v>1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601</v>
      </c>
      <c r="Q71" s="102">
        <v>716</v>
      </c>
      <c r="R71" s="102">
        <v>1119</v>
      </c>
      <c r="S71" s="102">
        <v>817</v>
      </c>
      <c r="T71" s="102">
        <v>815</v>
      </c>
      <c r="U71" s="102">
        <v>2685</v>
      </c>
      <c r="V71" s="102">
        <v>1018</v>
      </c>
      <c r="W71" s="102">
        <v>858</v>
      </c>
      <c r="X71" s="102">
        <v>910</v>
      </c>
      <c r="Y71" s="102">
        <v>937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163</v>
      </c>
      <c r="Q73" s="102">
        <v>496</v>
      </c>
      <c r="R73" s="102">
        <v>60</v>
      </c>
      <c r="S73" s="102">
        <v>578</v>
      </c>
      <c r="T73" s="102">
        <v>149</v>
      </c>
      <c r="U73" s="102">
        <v>283</v>
      </c>
      <c r="V73" s="102">
        <v>463</v>
      </c>
      <c r="W73" s="102">
        <v>166</v>
      </c>
      <c r="X73" s="102">
        <v>94</v>
      </c>
      <c r="Y73" s="102">
        <v>146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2</v>
      </c>
      <c r="R74" s="102">
        <v>16</v>
      </c>
      <c r="S74" s="102">
        <v>15</v>
      </c>
      <c r="T74" s="102">
        <v>45</v>
      </c>
      <c r="U74" s="102">
        <v>165</v>
      </c>
      <c r="V74" s="102">
        <v>204</v>
      </c>
      <c r="W74" s="102">
        <v>192</v>
      </c>
      <c r="X74" s="102">
        <v>261</v>
      </c>
      <c r="Y74" s="102">
        <v>313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660</v>
      </c>
      <c r="D75" s="28">
        <f t="shared" si="16"/>
        <v>979</v>
      </c>
      <c r="E75" s="28">
        <f t="shared" si="16"/>
        <v>1075</v>
      </c>
      <c r="F75" s="28">
        <f t="shared" si="16"/>
        <v>1161</v>
      </c>
      <c r="G75" s="28">
        <f t="shared" si="16"/>
        <v>1437</v>
      </c>
      <c r="H75" s="28">
        <f t="shared" si="16"/>
        <v>1661</v>
      </c>
      <c r="I75" s="28">
        <f t="shared" si="16"/>
        <v>13701</v>
      </c>
      <c r="J75" s="28">
        <f t="shared" si="16"/>
        <v>16202</v>
      </c>
      <c r="K75" s="28">
        <f t="shared" si="16"/>
        <v>13240</v>
      </c>
      <c r="L75" s="28">
        <f t="shared" ref="L75" si="17">L76+L82</f>
        <v>17840</v>
      </c>
      <c r="M75" s="28">
        <f t="shared" ref="M75:V75" si="18">M76+M82</f>
        <v>39838</v>
      </c>
      <c r="N75" s="28">
        <f t="shared" si="18"/>
        <v>27579</v>
      </c>
      <c r="O75" s="28">
        <f t="shared" si="18"/>
        <v>36392</v>
      </c>
      <c r="P75" s="28">
        <f t="shared" si="18"/>
        <v>39703</v>
      </c>
      <c r="Q75" s="28">
        <f t="shared" si="18"/>
        <v>45756</v>
      </c>
      <c r="R75" s="28">
        <f t="shared" si="18"/>
        <v>56850</v>
      </c>
      <c r="S75" s="28">
        <f t="shared" si="18"/>
        <v>61946</v>
      </c>
      <c r="T75" s="28">
        <f t="shared" si="18"/>
        <v>67796</v>
      </c>
      <c r="U75" s="28">
        <f t="shared" si="18"/>
        <v>63341</v>
      </c>
      <c r="V75" s="28">
        <f t="shared" si="18"/>
        <v>40492</v>
      </c>
      <c r="W75" s="28">
        <f t="shared" ref="W75:Y75" si="19">W76+W82</f>
        <v>46760</v>
      </c>
      <c r="X75" s="28">
        <f t="shared" si="19"/>
        <v>45126</v>
      </c>
      <c r="Y75" s="28">
        <f t="shared" si="19"/>
        <v>61743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660</v>
      </c>
      <c r="D76" s="137">
        <f t="shared" si="20"/>
        <v>979</v>
      </c>
      <c r="E76" s="137">
        <f t="shared" si="20"/>
        <v>1075</v>
      </c>
      <c r="F76" s="137">
        <f t="shared" si="20"/>
        <v>1161</v>
      </c>
      <c r="G76" s="137">
        <f t="shared" si="20"/>
        <v>1437</v>
      </c>
      <c r="H76" s="137">
        <f t="shared" si="20"/>
        <v>1661</v>
      </c>
      <c r="I76" s="137">
        <f t="shared" si="20"/>
        <v>13701</v>
      </c>
      <c r="J76" s="137">
        <f t="shared" si="20"/>
        <v>16121</v>
      </c>
      <c r="K76" s="137">
        <f t="shared" si="20"/>
        <v>13240</v>
      </c>
      <c r="L76" s="137">
        <f t="shared" ref="L76" si="21">SUM(L77:L81)</f>
        <v>14960</v>
      </c>
      <c r="M76" s="137">
        <f t="shared" ref="M76:V76" si="22">SUM(M77:M81)</f>
        <v>34489</v>
      </c>
      <c r="N76" s="137">
        <f t="shared" si="22"/>
        <v>22785</v>
      </c>
      <c r="O76" s="137">
        <f t="shared" si="22"/>
        <v>31897</v>
      </c>
      <c r="P76" s="137">
        <f t="shared" si="22"/>
        <v>35656</v>
      </c>
      <c r="Q76" s="137">
        <f t="shared" si="22"/>
        <v>40098</v>
      </c>
      <c r="R76" s="137">
        <f t="shared" si="22"/>
        <v>48843</v>
      </c>
      <c r="S76" s="137">
        <f t="shared" si="22"/>
        <v>54013</v>
      </c>
      <c r="T76" s="137">
        <f t="shared" si="22"/>
        <v>60084</v>
      </c>
      <c r="U76" s="137">
        <f t="shared" si="22"/>
        <v>56803</v>
      </c>
      <c r="V76" s="137">
        <f t="shared" si="22"/>
        <v>33200</v>
      </c>
      <c r="W76" s="137">
        <f t="shared" ref="W76:Y76" si="23">SUM(W77:W81)</f>
        <v>37725</v>
      </c>
      <c r="X76" s="137">
        <f t="shared" si="23"/>
        <v>37982</v>
      </c>
      <c r="Y76" s="137">
        <f t="shared" si="23"/>
        <v>54313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660</v>
      </c>
      <c r="D77" s="84">
        <v>979</v>
      </c>
      <c r="E77" s="84">
        <v>1075</v>
      </c>
      <c r="F77" s="84">
        <v>1161</v>
      </c>
      <c r="G77" s="84">
        <v>1437</v>
      </c>
      <c r="H77" s="84">
        <v>1661</v>
      </c>
      <c r="I77" s="84">
        <v>1835</v>
      </c>
      <c r="J77" s="84">
        <v>1483</v>
      </c>
      <c r="K77" s="84">
        <v>1383</v>
      </c>
      <c r="L77" s="84">
        <v>1436</v>
      </c>
      <c r="M77" s="84">
        <v>1530</v>
      </c>
      <c r="N77" s="84">
        <v>1275</v>
      </c>
      <c r="O77" s="84">
        <v>901</v>
      </c>
      <c r="P77" s="84">
        <v>1316</v>
      </c>
      <c r="Q77" s="84">
        <v>1114</v>
      </c>
      <c r="R77" s="84">
        <v>1331</v>
      </c>
      <c r="S77" s="84">
        <v>1439</v>
      </c>
      <c r="T77" s="84">
        <v>3359</v>
      </c>
      <c r="U77" s="84">
        <v>4817</v>
      </c>
      <c r="V77" s="84">
        <v>3347</v>
      </c>
      <c r="W77" s="84">
        <v>2274</v>
      </c>
      <c r="X77" s="84">
        <v>4400</v>
      </c>
      <c r="Y77" s="84">
        <v>4178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11866</v>
      </c>
      <c r="J78" s="84">
        <v>14638</v>
      </c>
      <c r="K78" s="84">
        <v>11857</v>
      </c>
      <c r="L78" s="84">
        <v>13524</v>
      </c>
      <c r="M78" s="84">
        <v>32959</v>
      </c>
      <c r="N78" s="84">
        <v>21510</v>
      </c>
      <c r="O78" s="84">
        <v>30996</v>
      </c>
      <c r="P78" s="84">
        <v>34340</v>
      </c>
      <c r="Q78" s="84">
        <v>38472</v>
      </c>
      <c r="R78" s="84">
        <v>47038</v>
      </c>
      <c r="S78" s="84">
        <v>51666</v>
      </c>
      <c r="T78" s="84">
        <v>53211</v>
      </c>
      <c r="U78" s="84">
        <v>50937</v>
      </c>
      <c r="V78" s="84">
        <v>28065</v>
      </c>
      <c r="W78" s="84">
        <v>32304</v>
      </c>
      <c r="X78" s="84">
        <v>28455</v>
      </c>
      <c r="Y78" s="84">
        <v>37809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512</v>
      </c>
      <c r="R80" s="84">
        <v>474</v>
      </c>
      <c r="S80" s="84">
        <v>908</v>
      </c>
      <c r="T80" s="84">
        <v>3514</v>
      </c>
      <c r="U80" s="84">
        <v>1049</v>
      </c>
      <c r="V80" s="84">
        <v>684</v>
      </c>
      <c r="W80" s="84">
        <v>439</v>
      </c>
      <c r="X80" s="84">
        <v>140</v>
      </c>
      <c r="Y80" s="84">
        <v>255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1104</v>
      </c>
      <c r="W81" s="84">
        <v>2708</v>
      </c>
      <c r="X81" s="84">
        <v>4987</v>
      </c>
      <c r="Y81" s="84">
        <v>12071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81</v>
      </c>
      <c r="K82" s="110">
        <f t="shared" si="24"/>
        <v>0</v>
      </c>
      <c r="L82" s="110">
        <f t="shared" ref="L82" si="25">SUM(L83:L84)</f>
        <v>2880</v>
      </c>
      <c r="M82" s="110">
        <f t="shared" ref="M82:V82" si="26">SUM(M83:M84)</f>
        <v>5349</v>
      </c>
      <c r="N82" s="110">
        <f t="shared" si="26"/>
        <v>4794</v>
      </c>
      <c r="O82" s="110">
        <f t="shared" si="26"/>
        <v>4495</v>
      </c>
      <c r="P82" s="110">
        <f t="shared" si="26"/>
        <v>4047</v>
      </c>
      <c r="Q82" s="110">
        <f t="shared" si="26"/>
        <v>5658</v>
      </c>
      <c r="R82" s="110">
        <f t="shared" si="26"/>
        <v>8007</v>
      </c>
      <c r="S82" s="110">
        <f t="shared" si="26"/>
        <v>7933</v>
      </c>
      <c r="T82" s="110">
        <f t="shared" si="26"/>
        <v>7712</v>
      </c>
      <c r="U82" s="110">
        <f t="shared" si="26"/>
        <v>6538</v>
      </c>
      <c r="V82" s="110">
        <f t="shared" si="26"/>
        <v>7292</v>
      </c>
      <c r="W82" s="110">
        <f t="shared" ref="W82:Y82" si="27">SUM(W83:W84)</f>
        <v>9035</v>
      </c>
      <c r="X82" s="110">
        <f t="shared" si="27"/>
        <v>7144</v>
      </c>
      <c r="Y82" s="110">
        <f t="shared" si="27"/>
        <v>7430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0</v>
      </c>
      <c r="K83" s="102">
        <v>0</v>
      </c>
      <c r="L83" s="102">
        <v>2108</v>
      </c>
      <c r="M83" s="102">
        <v>5049</v>
      </c>
      <c r="N83" s="102">
        <v>4508</v>
      </c>
      <c r="O83" s="102">
        <v>3332</v>
      </c>
      <c r="P83" s="102">
        <v>3901</v>
      </c>
      <c r="Q83" s="102">
        <v>4316</v>
      </c>
      <c r="R83" s="102">
        <v>7010</v>
      </c>
      <c r="S83" s="102">
        <v>7475</v>
      </c>
      <c r="T83" s="102">
        <v>6984</v>
      </c>
      <c r="U83" s="102">
        <v>6386</v>
      </c>
      <c r="V83" s="102">
        <v>6317</v>
      </c>
      <c r="W83" s="102">
        <v>7450</v>
      </c>
      <c r="X83" s="102">
        <v>7144</v>
      </c>
      <c r="Y83" s="102">
        <v>6693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81</v>
      </c>
      <c r="K84" s="86">
        <v>0</v>
      </c>
      <c r="L84" s="86">
        <v>772</v>
      </c>
      <c r="M84" s="86">
        <v>300</v>
      </c>
      <c r="N84" s="86">
        <v>286</v>
      </c>
      <c r="O84" s="86">
        <v>1163</v>
      </c>
      <c r="P84" s="86">
        <v>146</v>
      </c>
      <c r="Q84" s="86">
        <v>1342</v>
      </c>
      <c r="R84" s="86">
        <v>997</v>
      </c>
      <c r="S84" s="86">
        <v>458</v>
      </c>
      <c r="T84" s="86">
        <v>728</v>
      </c>
      <c r="U84" s="86">
        <v>152</v>
      </c>
      <c r="V84" s="86">
        <v>975</v>
      </c>
      <c r="W84" s="86">
        <v>1585</v>
      </c>
      <c r="X84" s="86">
        <v>0</v>
      </c>
      <c r="Y84" s="86">
        <v>737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4.6287801291341353</v>
      </c>
      <c r="C90" s="141">
        <v>4.5467548623589193</v>
      </c>
      <c r="D90" s="141">
        <v>4.4564589501222942</v>
      </c>
      <c r="E90" s="141">
        <v>4.396678871506972</v>
      </c>
      <c r="F90" s="141">
        <v>4.3392650719432773</v>
      </c>
      <c r="G90" s="141">
        <v>4.2375418514347274</v>
      </c>
      <c r="H90" s="141">
        <v>4.1471346887862675</v>
      </c>
      <c r="I90" s="141">
        <v>4.0831181674247015</v>
      </c>
      <c r="J90" s="141">
        <v>4.0108517823554655</v>
      </c>
      <c r="K90" s="141">
        <v>3.9416638504903072</v>
      </c>
      <c r="L90" s="141">
        <v>3.8858937958451136</v>
      </c>
      <c r="M90" s="141">
        <v>3.8480760004693755</v>
      </c>
      <c r="N90" s="141">
        <v>3.7048357822038391</v>
      </c>
      <c r="O90" s="141">
        <v>3.6391316702496472</v>
      </c>
      <c r="P90" s="141">
        <v>3.5799922129269754</v>
      </c>
      <c r="Q90" s="141">
        <v>3.5117084294055028</v>
      </c>
      <c r="R90" s="141">
        <v>3.4356954721198063</v>
      </c>
      <c r="S90" s="141">
        <v>3.356751199246653</v>
      </c>
      <c r="T90" s="141">
        <v>3.2960012279151671</v>
      </c>
      <c r="U90" s="141">
        <v>3.2248722949264903</v>
      </c>
      <c r="V90" s="141">
        <v>3.1358014815561801</v>
      </c>
      <c r="W90" s="141">
        <v>3.0774216729017652</v>
      </c>
      <c r="X90" s="141">
        <v>3.0474151929038258</v>
      </c>
      <c r="Y90" s="141">
        <v>2.9906554680283968</v>
      </c>
      <c r="DA90" s="174" t="s">
        <v>864</v>
      </c>
    </row>
    <row r="91" spans="1:105" ht="11.45" customHeight="1" x14ac:dyDescent="0.25">
      <c r="A91" s="109" t="s">
        <v>20</v>
      </c>
      <c r="B91" s="130">
        <v>9.6643040696419682</v>
      </c>
      <c r="C91" s="130">
        <v>9.4637431821294857</v>
      </c>
      <c r="D91" s="130">
        <v>9.373767916730559</v>
      </c>
      <c r="E91" s="130">
        <v>9.2759753429062464</v>
      </c>
      <c r="F91" s="130">
        <v>9.1838388528096573</v>
      </c>
      <c r="G91" s="130">
        <v>9.0771877704473258</v>
      </c>
      <c r="H91" s="130">
        <v>8.9672814213368852</v>
      </c>
      <c r="I91" s="130">
        <v>8.8232495709703649</v>
      </c>
      <c r="J91" s="130">
        <v>8.7022050205078223</v>
      </c>
      <c r="K91" s="130">
        <v>8.5945465317434504</v>
      </c>
      <c r="L91" s="130">
        <v>8.397139219645382</v>
      </c>
      <c r="M91" s="130">
        <v>8.1823297318630548</v>
      </c>
      <c r="N91" s="130">
        <v>7.9772669337912214</v>
      </c>
      <c r="O91" s="130">
        <v>7.7766341982628351</v>
      </c>
      <c r="P91" s="130">
        <v>7.5654645073866424</v>
      </c>
      <c r="Q91" s="130">
        <v>7.3256594526835963</v>
      </c>
      <c r="R91" s="130">
        <v>7.0689390864485828</v>
      </c>
      <c r="S91" s="130">
        <v>6.8322804211316557</v>
      </c>
      <c r="T91" s="130">
        <v>6.6154953539538415</v>
      </c>
      <c r="U91" s="130">
        <v>6.4017167572407612</v>
      </c>
      <c r="V91" s="130">
        <v>6.2022400148799086</v>
      </c>
      <c r="W91" s="130">
        <v>5.9452515722277681</v>
      </c>
      <c r="X91" s="130">
        <v>5.6852205554806465</v>
      </c>
      <c r="Y91" s="130">
        <v>5.4410364163529081</v>
      </c>
      <c r="DA91" s="176" t="s">
        <v>865</v>
      </c>
    </row>
    <row r="92" spans="1:105" ht="11.45" customHeight="1" x14ac:dyDescent="0.25">
      <c r="A92" s="111" t="s">
        <v>110</v>
      </c>
      <c r="B92" s="96">
        <v>9.7366387702027843</v>
      </c>
      <c r="C92" s="96">
        <v>9.4793257132932425</v>
      </c>
      <c r="D92" s="96">
        <v>9.3724465484089166</v>
      </c>
      <c r="E92" s="96">
        <v>9.2605204089149282</v>
      </c>
      <c r="F92" s="96">
        <v>9.1530835724162039</v>
      </c>
      <c r="G92" s="96">
        <v>9.0385539952657332</v>
      </c>
      <c r="H92" s="96">
        <v>8.9278454251549544</v>
      </c>
      <c r="I92" s="96">
        <v>8.8172316853097996</v>
      </c>
      <c r="J92" s="96">
        <v>8.7122345470860214</v>
      </c>
      <c r="K92" s="96">
        <v>8.6331356671560524</v>
      </c>
      <c r="L92" s="96">
        <v>8.4917939370309004</v>
      </c>
      <c r="M92" s="96">
        <v>8.3482880093521015</v>
      </c>
      <c r="N92" s="96">
        <v>8.2140621434572285</v>
      </c>
      <c r="O92" s="96">
        <v>8.0520758529647267</v>
      </c>
      <c r="P92" s="96">
        <v>7.8642311472876711</v>
      </c>
      <c r="Q92" s="96">
        <v>7.6408277830416722</v>
      </c>
      <c r="R92" s="96">
        <v>7.3731814204047446</v>
      </c>
      <c r="S92" s="96">
        <v>7.108889157090351</v>
      </c>
      <c r="T92" s="96">
        <v>6.8473365042852565</v>
      </c>
      <c r="U92" s="96">
        <v>6.5982291078643849</v>
      </c>
      <c r="V92" s="96">
        <v>6.4081413254617479</v>
      </c>
      <c r="W92" s="96">
        <v>6.2031059059586999</v>
      </c>
      <c r="X92" s="96">
        <v>6.0274348887873579</v>
      </c>
      <c r="Y92" s="96">
        <v>5.7911135240373435</v>
      </c>
      <c r="DA92" s="171" t="s">
        <v>866</v>
      </c>
    </row>
    <row r="93" spans="1:105" ht="11.45" customHeight="1" x14ac:dyDescent="0.25">
      <c r="A93" s="111" t="s">
        <v>111</v>
      </c>
      <c r="B93" s="96">
        <v>8.2459447692275329</v>
      </c>
      <c r="C93" s="96">
        <v>7.8650031800030655</v>
      </c>
      <c r="D93" s="96">
        <v>7.7702732509263432</v>
      </c>
      <c r="E93" s="96">
        <v>7.692050858379984</v>
      </c>
      <c r="F93" s="96">
        <v>7.6223516021834241</v>
      </c>
      <c r="G93" s="96">
        <v>7.5611828165929715</v>
      </c>
      <c r="H93" s="96">
        <v>7.4688212705612207</v>
      </c>
      <c r="I93" s="96">
        <v>7.3012427871129262</v>
      </c>
      <c r="J93" s="96">
        <v>7.1447983066681822</v>
      </c>
      <c r="K93" s="96">
        <v>7.0137370618235524</v>
      </c>
      <c r="L93" s="96">
        <v>6.7493828138915317</v>
      </c>
      <c r="M93" s="96">
        <v>6.5019290648729164</v>
      </c>
      <c r="N93" s="96">
        <v>6.3076286650940014</v>
      </c>
      <c r="O93" s="96">
        <v>6.1981032168640091</v>
      </c>
      <c r="P93" s="96">
        <v>6.0975930654030899</v>
      </c>
      <c r="Q93" s="96">
        <v>5.9729231713887483</v>
      </c>
      <c r="R93" s="96">
        <v>5.8590589493717156</v>
      </c>
      <c r="S93" s="96">
        <v>5.7647563712358272</v>
      </c>
      <c r="T93" s="96">
        <v>5.7070142150224479</v>
      </c>
      <c r="U93" s="96">
        <v>5.6549032480521086</v>
      </c>
      <c r="V93" s="96">
        <v>5.6382128345139471</v>
      </c>
      <c r="W93" s="96">
        <v>5.5904865031879236</v>
      </c>
      <c r="X93" s="96">
        <v>5.5494176027467175</v>
      </c>
      <c r="Y93" s="96">
        <v>5.5196562288003337</v>
      </c>
      <c r="DA93" s="171" t="s">
        <v>867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9.3499542380713994</v>
      </c>
      <c r="H94" s="96">
        <v>9.3499542380713994</v>
      </c>
      <c r="I94" s="96">
        <v>9.3499542380713994</v>
      </c>
      <c r="J94" s="96">
        <v>9.3144899328631716</v>
      </c>
      <c r="K94" s="96">
        <v>9.0194778077238666</v>
      </c>
      <c r="L94" s="96">
        <v>8.974603572784682</v>
      </c>
      <c r="M94" s="96">
        <v>8.4680286811292618</v>
      </c>
      <c r="N94" s="96">
        <v>8.4592991372269495</v>
      </c>
      <c r="O94" s="96">
        <v>8.3874057902416794</v>
      </c>
      <c r="P94" s="96">
        <v>8.3560607459516625</v>
      </c>
      <c r="Q94" s="96">
        <v>8.3103060765209733</v>
      </c>
      <c r="R94" s="96">
        <v>8.2844629476214795</v>
      </c>
      <c r="S94" s="96">
        <v>0</v>
      </c>
      <c r="T94" s="96">
        <v>0</v>
      </c>
      <c r="U94" s="96">
        <v>0</v>
      </c>
      <c r="V94" s="96">
        <v>0</v>
      </c>
      <c r="W94" s="96">
        <v>0</v>
      </c>
      <c r="X94" s="96">
        <v>0</v>
      </c>
      <c r="Y94" s="96">
        <v>0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8.986973793553803</v>
      </c>
      <c r="E95" s="96">
        <v>8.9311526376489976</v>
      </c>
      <c r="F95" s="96">
        <v>8.9121942057621286</v>
      </c>
      <c r="G95" s="96">
        <v>8.8316613592429558</v>
      </c>
      <c r="H95" s="96">
        <v>8.7917728618077273</v>
      </c>
      <c r="I95" s="96">
        <v>8.7223690837547245</v>
      </c>
      <c r="J95" s="96">
        <v>8.5767558651157003</v>
      </c>
      <c r="K95" s="96">
        <v>8.3955126672533638</v>
      </c>
      <c r="L95" s="96">
        <v>7.5903842651370388</v>
      </c>
      <c r="M95" s="96">
        <v>7.3078181096365276</v>
      </c>
      <c r="N95" s="96">
        <v>7.5108861792345669</v>
      </c>
      <c r="O95" s="96">
        <v>7.3487995668515653</v>
      </c>
      <c r="P95" s="96">
        <v>7.0988198901340462</v>
      </c>
      <c r="Q95" s="96">
        <v>6.8154996374349688</v>
      </c>
      <c r="R95" s="96">
        <v>6.5147749771291545</v>
      </c>
      <c r="S95" s="96">
        <v>6.3039504006061504</v>
      </c>
      <c r="T95" s="96">
        <v>6.1596227687815643</v>
      </c>
      <c r="U95" s="96">
        <v>5.9338833853615798</v>
      </c>
      <c r="V95" s="96">
        <v>5.8171452754473139</v>
      </c>
      <c r="W95" s="96">
        <v>5.7270986855150934</v>
      </c>
      <c r="X95" s="96">
        <v>5.6576105811005073</v>
      </c>
      <c r="Y95" s="96">
        <v>5.2684580961581853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3.9803253083979531</v>
      </c>
      <c r="K96" s="96">
        <v>3.9066678651698004</v>
      </c>
      <c r="L96" s="96">
        <v>3.817215895161914</v>
      </c>
      <c r="M96" s="96">
        <v>3.4582658425186166</v>
      </c>
      <c r="N96" s="96">
        <v>3.2285650097927627</v>
      </c>
      <c r="O96" s="96">
        <v>3.2263768936354502</v>
      </c>
      <c r="P96" s="96">
        <v>3.1861587331491235</v>
      </c>
      <c r="Q96" s="96">
        <v>3.1383849470475269</v>
      </c>
      <c r="R96" s="96">
        <v>3.1237717340357012</v>
      </c>
      <c r="S96" s="96">
        <v>3.111114090574941</v>
      </c>
      <c r="T96" s="96">
        <v>3.1313338983154422</v>
      </c>
      <c r="U96" s="96">
        <v>3.0344339051208231</v>
      </c>
      <c r="V96" s="96">
        <v>2.9250555310540882</v>
      </c>
      <c r="W96" s="96">
        <v>2.8175401875231945</v>
      </c>
      <c r="X96" s="96">
        <v>2.7441731658207149</v>
      </c>
      <c r="Y96" s="96">
        <v>2.6292764839443734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1.6048023633442892</v>
      </c>
      <c r="K97" s="96">
        <v>1.6041355015985352</v>
      </c>
      <c r="L97" s="96">
        <v>1.5962193522368726</v>
      </c>
      <c r="M97" s="96">
        <v>1.5868310003521566</v>
      </c>
      <c r="N97" s="96">
        <v>1.4687564826207102</v>
      </c>
      <c r="O97" s="96">
        <v>1.425381737561374</v>
      </c>
      <c r="P97" s="96">
        <v>1.325204981693993</v>
      </c>
      <c r="Q97" s="96">
        <v>1.3990392291336855</v>
      </c>
      <c r="R97" s="96">
        <v>1.4015740312161249</v>
      </c>
      <c r="S97" s="96">
        <v>1.3818971079014257</v>
      </c>
      <c r="T97" s="96">
        <v>1.4243220525470202</v>
      </c>
      <c r="U97" s="96">
        <v>1.4593192586799313</v>
      </c>
      <c r="V97" s="96">
        <v>1.4808246131098075</v>
      </c>
      <c r="W97" s="96">
        <v>1.4973495300336892</v>
      </c>
      <c r="X97" s="96">
        <v>1.5059486741524675</v>
      </c>
      <c r="Y97" s="96">
        <v>1.5064791761096046</v>
      </c>
      <c r="DA97" s="171" t="s">
        <v>871</v>
      </c>
    </row>
    <row r="98" spans="1:105" ht="11.45" customHeight="1" x14ac:dyDescent="0.25">
      <c r="A98" s="109" t="s">
        <v>21</v>
      </c>
      <c r="B98" s="130">
        <v>52.621582183144731</v>
      </c>
      <c r="C98" s="130">
        <v>51.904486879642299</v>
      </c>
      <c r="D98" s="130">
        <v>51.659497374994508</v>
      </c>
      <c r="E98" s="130">
        <v>51.368282634485496</v>
      </c>
      <c r="F98" s="130">
        <v>51.013813732078965</v>
      </c>
      <c r="G98" s="130">
        <v>50.238286769392879</v>
      </c>
      <c r="H98" s="130">
        <v>50.188075839060303</v>
      </c>
      <c r="I98" s="130">
        <v>49.713802810158327</v>
      </c>
      <c r="J98" s="130">
        <v>49.274289301106286</v>
      </c>
      <c r="K98" s="130">
        <v>48.503087064857354</v>
      </c>
      <c r="L98" s="130">
        <v>47.90933067153199</v>
      </c>
      <c r="M98" s="130">
        <v>46.874512243990566</v>
      </c>
      <c r="N98" s="130">
        <v>46.223910947483603</v>
      </c>
      <c r="O98" s="130">
        <v>43.647370992986559</v>
      </c>
      <c r="P98" s="130">
        <v>42.959700114913787</v>
      </c>
      <c r="Q98" s="130">
        <v>42.475274193849152</v>
      </c>
      <c r="R98" s="130">
        <v>41.854525026078356</v>
      </c>
      <c r="S98" s="130">
        <v>41.301288273073524</v>
      </c>
      <c r="T98" s="130">
        <v>40.8366687977339</v>
      </c>
      <c r="U98" s="130">
        <v>40.95382931958622</v>
      </c>
      <c r="V98" s="130">
        <v>39.294909268820902</v>
      </c>
      <c r="W98" s="130">
        <v>38.498492723920286</v>
      </c>
      <c r="X98" s="130">
        <v>37.829840445388975</v>
      </c>
      <c r="Y98" s="130">
        <v>36.677841317888458</v>
      </c>
      <c r="DA98" s="176" t="s">
        <v>872</v>
      </c>
    </row>
    <row r="99" spans="1:105" ht="11.45" customHeight="1" x14ac:dyDescent="0.25">
      <c r="A99" s="111" t="s">
        <v>110</v>
      </c>
      <c r="B99" s="97">
        <v>19.456074359226246</v>
      </c>
      <c r="C99" s="97">
        <v>19.383206017063237</v>
      </c>
      <c r="D99" s="97">
        <v>19.354511593948605</v>
      </c>
      <c r="E99" s="97">
        <v>19.296497204022923</v>
      </c>
      <c r="F99" s="97">
        <v>19.244981704216237</v>
      </c>
      <c r="G99" s="97">
        <v>19.172104982700237</v>
      </c>
      <c r="H99" s="97">
        <v>18.906036364536416</v>
      </c>
      <c r="I99" s="97">
        <v>18.770170198255652</v>
      </c>
      <c r="J99" s="97">
        <v>18.47402711376386</v>
      </c>
      <c r="K99" s="97">
        <v>17.915840637778917</v>
      </c>
      <c r="L99" s="97">
        <v>16.307296965417621</v>
      </c>
      <c r="M99" s="97">
        <v>14.591990745874872</v>
      </c>
      <c r="N99" s="97">
        <v>14.173378723735148</v>
      </c>
      <c r="O99" s="97">
        <v>13.742757773973517</v>
      </c>
      <c r="P99" s="97">
        <v>13.389359564898212</v>
      </c>
      <c r="Q99" s="97">
        <v>13.32678036448352</v>
      </c>
      <c r="R99" s="97">
        <v>12.706678805807654</v>
      </c>
      <c r="S99" s="97">
        <v>12.492871217071965</v>
      </c>
      <c r="T99" s="97">
        <v>12.281484747646582</v>
      </c>
      <c r="U99" s="97">
        <v>11.995775201744832</v>
      </c>
      <c r="V99" s="97">
        <v>11.860980772945174</v>
      </c>
      <c r="W99" s="97">
        <v>11.838430330663096</v>
      </c>
      <c r="X99" s="97">
        <v>11.675243399294661</v>
      </c>
      <c r="Y99" s="97">
        <v>11.594871563628343</v>
      </c>
      <c r="DA99" s="175" t="s">
        <v>873</v>
      </c>
    </row>
    <row r="100" spans="1:105" ht="11.45" customHeight="1" x14ac:dyDescent="0.25">
      <c r="A100" s="111" t="s">
        <v>111</v>
      </c>
      <c r="B100" s="97">
        <v>54.120041276060967</v>
      </c>
      <c r="C100" s="97">
        <v>52.950630256550433</v>
      </c>
      <c r="D100" s="97">
        <v>52.435500636808129</v>
      </c>
      <c r="E100" s="97">
        <v>51.948499942598779</v>
      </c>
      <c r="F100" s="97">
        <v>51.473467483062464</v>
      </c>
      <c r="G100" s="97">
        <v>50.95531968743213</v>
      </c>
      <c r="H100" s="97">
        <v>50.613463905571408</v>
      </c>
      <c r="I100" s="97">
        <v>50.177360046429285</v>
      </c>
      <c r="J100" s="97">
        <v>49.82304487622104</v>
      </c>
      <c r="K100" s="97">
        <v>49.265445165258484</v>
      </c>
      <c r="L100" s="97">
        <v>48.667962534192363</v>
      </c>
      <c r="M100" s="97">
        <v>47.95233372297627</v>
      </c>
      <c r="N100" s="97">
        <v>47.370056182604181</v>
      </c>
      <c r="O100" s="97">
        <v>46.533802535855109</v>
      </c>
      <c r="P100" s="97">
        <v>46.00793263061469</v>
      </c>
      <c r="Q100" s="97">
        <v>45.511804187409496</v>
      </c>
      <c r="R100" s="97">
        <v>44.682133889041623</v>
      </c>
      <c r="S100" s="97">
        <v>44.142164952780185</v>
      </c>
      <c r="T100" s="97">
        <v>43.517261477296913</v>
      </c>
      <c r="U100" s="97">
        <v>42.287067297610726</v>
      </c>
      <c r="V100" s="97">
        <v>40.966787431225868</v>
      </c>
      <c r="W100" s="97">
        <v>40.208751592967239</v>
      </c>
      <c r="X100" s="97">
        <v>39.539704542945216</v>
      </c>
      <c r="Y100" s="97">
        <v>38.4476429548928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DA101" s="175" t="s">
        <v>875</v>
      </c>
    </row>
    <row r="102" spans="1:105" ht="11.45" customHeight="1" x14ac:dyDescent="0.25">
      <c r="A102" s="111" t="s">
        <v>113</v>
      </c>
      <c r="B102" s="97">
        <v>44.649034052750295</v>
      </c>
      <c r="C102" s="97">
        <v>44.157122322061824</v>
      </c>
      <c r="D102" s="97">
        <v>44.144354091665264</v>
      </c>
      <c r="E102" s="97">
        <v>44.144354091665257</v>
      </c>
      <c r="F102" s="97">
        <v>43.590922129325953</v>
      </c>
      <c r="G102" s="97">
        <v>41.466354116677628</v>
      </c>
      <c r="H102" s="97">
        <v>40.152029043403957</v>
      </c>
      <c r="I102" s="97">
        <v>40.101701856916691</v>
      </c>
      <c r="J102" s="97">
        <v>39.836425650431018</v>
      </c>
      <c r="K102" s="97">
        <v>39.449587932155133</v>
      </c>
      <c r="L102" s="97">
        <v>38.921654409716744</v>
      </c>
      <c r="M102" s="97">
        <v>38.572096530366288</v>
      </c>
      <c r="N102" s="97">
        <v>38.19776068897238</v>
      </c>
      <c r="O102" s="97">
        <v>37.106510277858185</v>
      </c>
      <c r="P102" s="97">
        <v>36.697193551553951</v>
      </c>
      <c r="Q102" s="97">
        <v>36.405461960217721</v>
      </c>
      <c r="R102" s="97">
        <v>36.356165154426357</v>
      </c>
      <c r="S102" s="97">
        <v>36.161754433998944</v>
      </c>
      <c r="T102" s="97">
        <v>36.089996678280791</v>
      </c>
      <c r="U102" s="97">
        <v>35.574675682564809</v>
      </c>
      <c r="V102" s="97">
        <v>35.372655176236414</v>
      </c>
      <c r="W102" s="97">
        <v>35.270769798237119</v>
      </c>
      <c r="X102" s="97">
        <v>35.200937483576062</v>
      </c>
      <c r="Y102" s="97">
        <v>35.098427229287289</v>
      </c>
      <c r="DA102" s="175" t="s">
        <v>876</v>
      </c>
    </row>
    <row r="103" spans="1:105" ht="11.45" customHeight="1" x14ac:dyDescent="0.25">
      <c r="A103" s="111" t="s">
        <v>115</v>
      </c>
      <c r="B103" s="97">
        <v>35.107363453895537</v>
      </c>
      <c r="C103" s="97">
        <v>33.93900357550676</v>
      </c>
      <c r="D103" s="97">
        <v>33.769792656228439</v>
      </c>
      <c r="E103" s="97">
        <v>33.046877135112219</v>
      </c>
      <c r="F103" s="97">
        <v>33.046877135112219</v>
      </c>
      <c r="G103" s="97">
        <v>32.673981540178062</v>
      </c>
      <c r="H103" s="97">
        <v>32.50097098957913</v>
      </c>
      <c r="I103" s="97">
        <v>32.337521658061092</v>
      </c>
      <c r="J103" s="97">
        <v>32.434472864704212</v>
      </c>
      <c r="K103" s="97">
        <v>32.434472864704212</v>
      </c>
      <c r="L103" s="97">
        <v>32.589305575678999</v>
      </c>
      <c r="M103" s="97">
        <v>32.589305575678999</v>
      </c>
      <c r="N103" s="97">
        <v>29.78454078431146</v>
      </c>
      <c r="O103" s="97">
        <v>28.817861280804344</v>
      </c>
      <c r="P103" s="97">
        <v>27.524509354882039</v>
      </c>
      <c r="Q103" s="97">
        <v>26.550207058402552</v>
      </c>
      <c r="R103" s="97">
        <v>25.982156655171721</v>
      </c>
      <c r="S103" s="97">
        <v>25.739796838785669</v>
      </c>
      <c r="T103" s="97">
        <v>25.181019836116629</v>
      </c>
      <c r="U103" s="97">
        <v>24.475433212880979</v>
      </c>
      <c r="V103" s="97">
        <v>24.02152246808545</v>
      </c>
      <c r="W103" s="97">
        <v>23.648086028146988</v>
      </c>
      <c r="X103" s="97">
        <v>23.164500883168987</v>
      </c>
      <c r="Y103" s="97">
        <v>22.656675479097316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10.734612044845736</v>
      </c>
      <c r="C105" s="141">
        <v>10.255881562783962</v>
      </c>
      <c r="D105" s="141">
        <v>10.047704152891853</v>
      </c>
      <c r="E105" s="141">
        <v>9.8633971629300525</v>
      </c>
      <c r="F105" s="141">
        <v>9.6865799593517767</v>
      </c>
      <c r="G105" s="141">
        <v>9.5350640795862773</v>
      </c>
      <c r="H105" s="141">
        <v>9.3952968294611114</v>
      </c>
      <c r="I105" s="141">
        <v>9.2673414464010548</v>
      </c>
      <c r="J105" s="141">
        <v>9.1234781212939478</v>
      </c>
      <c r="K105" s="141">
        <v>9.0479449865873534</v>
      </c>
      <c r="L105" s="141">
        <v>8.979138073300593</v>
      </c>
      <c r="M105" s="141">
        <v>8.9334091209847806</v>
      </c>
      <c r="N105" s="141">
        <v>8.7457345333103156</v>
      </c>
      <c r="O105" s="141">
        <v>8.5843106761238683</v>
      </c>
      <c r="P105" s="141">
        <v>8.4246313364106431</v>
      </c>
      <c r="Q105" s="141">
        <v>8.2491272552818238</v>
      </c>
      <c r="R105" s="141">
        <v>8.0264493018482579</v>
      </c>
      <c r="S105" s="141">
        <v>7.7971074658990762</v>
      </c>
      <c r="T105" s="141">
        <v>7.5484961402658186</v>
      </c>
      <c r="U105" s="141">
        <v>7.3254061873818728</v>
      </c>
      <c r="V105" s="141">
        <v>7.2378885351549567</v>
      </c>
      <c r="W105" s="141">
        <v>7.1282076611486795</v>
      </c>
      <c r="X105" s="141">
        <v>6.9425914655326828</v>
      </c>
      <c r="Y105" s="141">
        <v>6.7321059235736049</v>
      </c>
      <c r="DA105" s="174" t="s">
        <v>878</v>
      </c>
    </row>
    <row r="106" spans="1:105" ht="11.45" customHeight="1" x14ac:dyDescent="0.25">
      <c r="A106" s="111" t="s">
        <v>110</v>
      </c>
      <c r="B106" s="96">
        <v>11.263283651173557</v>
      </c>
      <c r="C106" s="96">
        <v>11.074861246779625</v>
      </c>
      <c r="D106" s="96">
        <v>10.994736833059502</v>
      </c>
      <c r="E106" s="96">
        <v>10.918260606534663</v>
      </c>
      <c r="F106" s="96">
        <v>10.844968847941782</v>
      </c>
      <c r="G106" s="96">
        <v>10.764533732469761</v>
      </c>
      <c r="H106" s="96">
        <v>10.670915461898234</v>
      </c>
      <c r="I106" s="96">
        <v>10.568135299749054</v>
      </c>
      <c r="J106" s="96">
        <v>10.459909734092491</v>
      </c>
      <c r="K106" s="96">
        <v>10.365098314021417</v>
      </c>
      <c r="L106" s="96">
        <v>10.263407658145455</v>
      </c>
      <c r="M106" s="96">
        <v>10.150870790184952</v>
      </c>
      <c r="N106" s="96">
        <v>9.9912235813724219</v>
      </c>
      <c r="O106" s="96">
        <v>9.9373687942416584</v>
      </c>
      <c r="P106" s="96">
        <v>9.7752398728601175</v>
      </c>
      <c r="Q106" s="96">
        <v>9.6121560475202106</v>
      </c>
      <c r="R106" s="96">
        <v>9.4097476665420405</v>
      </c>
      <c r="S106" s="96">
        <v>9.2520821603342629</v>
      </c>
      <c r="T106" s="96">
        <v>8.8457091420317724</v>
      </c>
      <c r="U106" s="96">
        <v>8.3764714214757401</v>
      </c>
      <c r="V106" s="96">
        <v>8.1029314325836097</v>
      </c>
      <c r="W106" s="96">
        <v>7.852335090145127</v>
      </c>
      <c r="X106" s="96">
        <v>7.4777737628143459</v>
      </c>
      <c r="Y106" s="96">
        <v>7.1197871709622103</v>
      </c>
      <c r="DA106" s="171" t="s">
        <v>879</v>
      </c>
    </row>
    <row r="107" spans="1:105" ht="11.45" customHeight="1" x14ac:dyDescent="0.25">
      <c r="A107" s="111" t="s">
        <v>111</v>
      </c>
      <c r="B107" s="96">
        <v>9.938795545486121</v>
      </c>
      <c r="C107" s="96">
        <v>9.0768941250675521</v>
      </c>
      <c r="D107" s="96">
        <v>8.9020024966509954</v>
      </c>
      <c r="E107" s="96">
        <v>8.7972898712850682</v>
      </c>
      <c r="F107" s="96">
        <v>8.7280923766909524</v>
      </c>
      <c r="G107" s="96">
        <v>8.6937022057535209</v>
      </c>
      <c r="H107" s="96">
        <v>8.6779842750589715</v>
      </c>
      <c r="I107" s="96">
        <v>8.6630191748269745</v>
      </c>
      <c r="J107" s="96">
        <v>8.6133390678433503</v>
      </c>
      <c r="K107" s="96">
        <v>8.5976938925466158</v>
      </c>
      <c r="L107" s="96">
        <v>8.6092512457841295</v>
      </c>
      <c r="M107" s="96">
        <v>8.6512660794895027</v>
      </c>
      <c r="N107" s="96">
        <v>8.4915661533103091</v>
      </c>
      <c r="O107" s="96">
        <v>8.3398024015728698</v>
      </c>
      <c r="P107" s="96">
        <v>8.1867644607497336</v>
      </c>
      <c r="Q107" s="96">
        <v>8.0099658812269894</v>
      </c>
      <c r="R107" s="96">
        <v>7.7762536581697592</v>
      </c>
      <c r="S107" s="96">
        <v>7.5315067827755611</v>
      </c>
      <c r="T107" s="96">
        <v>7.3164954764365513</v>
      </c>
      <c r="U107" s="96">
        <v>7.1355403005544789</v>
      </c>
      <c r="V107" s="96">
        <v>7.0787089905809149</v>
      </c>
      <c r="W107" s="96">
        <v>7.0009256066712515</v>
      </c>
      <c r="X107" s="96">
        <v>6.8817414886876609</v>
      </c>
      <c r="Y107" s="96">
        <v>6.7602728450904506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X108" s="96">
        <v>0</v>
      </c>
      <c r="Y108" s="96">
        <v>0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7.8237320728369193</v>
      </c>
      <c r="D109" s="96">
        <v>7.8237320728369211</v>
      </c>
      <c r="E109" s="96">
        <v>7.7648383551483819</v>
      </c>
      <c r="F109" s="96">
        <v>7.7521888676431967</v>
      </c>
      <c r="G109" s="96">
        <v>7.6364185674908729</v>
      </c>
      <c r="H109" s="96">
        <v>7.4573858164937921</v>
      </c>
      <c r="I109" s="96">
        <v>7.342868460482757</v>
      </c>
      <c r="J109" s="96">
        <v>6.9769871267329808</v>
      </c>
      <c r="K109" s="96">
        <v>6.6653849158179677</v>
      </c>
      <c r="L109" s="96">
        <v>6.3361630591740647</v>
      </c>
      <c r="M109" s="96">
        <v>6.1625491966919377</v>
      </c>
      <c r="N109" s="96">
        <v>6.3763486607395192</v>
      </c>
      <c r="O109" s="96">
        <v>6.4901598711216817</v>
      </c>
      <c r="P109" s="96">
        <v>6.6281006138068284</v>
      </c>
      <c r="Q109" s="96">
        <v>6.621372176130806</v>
      </c>
      <c r="R109" s="96">
        <v>6.4650308496156379</v>
      </c>
      <c r="S109" s="96">
        <v>6.3137624455178267</v>
      </c>
      <c r="T109" s="96">
        <v>6.06346169353652</v>
      </c>
      <c r="U109" s="96">
        <v>6.0098273006444094</v>
      </c>
      <c r="V109" s="96">
        <v>6.0235556779487478</v>
      </c>
      <c r="W109" s="96">
        <v>6.0693488321826825</v>
      </c>
      <c r="X109" s="96">
        <v>6.1585314132103317</v>
      </c>
      <c r="Y109" s="96">
        <v>6.0701708876165119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1.4442386537151279</v>
      </c>
      <c r="H110" s="96">
        <v>1.4299308148307517</v>
      </c>
      <c r="I110" s="96">
        <v>1.4298673048744193</v>
      </c>
      <c r="J110" s="96">
        <v>1.4298676692377774</v>
      </c>
      <c r="K110" s="96">
        <v>1.4287631111615839</v>
      </c>
      <c r="L110" s="96">
        <v>1.4287359676857847</v>
      </c>
      <c r="M110" s="96">
        <v>1.4245344615308451</v>
      </c>
      <c r="N110" s="96">
        <v>1.3583651884788168</v>
      </c>
      <c r="O110" s="96">
        <v>1.3458272587532671</v>
      </c>
      <c r="P110" s="96">
        <v>1.35033043799337</v>
      </c>
      <c r="Q110" s="96">
        <v>1.3642746715966485</v>
      </c>
      <c r="R110" s="96">
        <v>1.369180328327354</v>
      </c>
      <c r="S110" s="96">
        <v>1.3698531250252191</v>
      </c>
      <c r="T110" s="96">
        <v>1.4365257095975277</v>
      </c>
      <c r="U110" s="96">
        <v>1.5487082294577375</v>
      </c>
      <c r="V110" s="96">
        <v>1.7682706903969236</v>
      </c>
      <c r="W110" s="96">
        <v>1.8864998734175282</v>
      </c>
      <c r="X110" s="96">
        <v>1.9193807435776213</v>
      </c>
      <c r="Y110" s="96">
        <v>1.9799718211687038</v>
      </c>
      <c r="DA110" s="171" t="s">
        <v>883</v>
      </c>
    </row>
    <row r="111" spans="1:105" ht="11.45" customHeight="1" x14ac:dyDescent="0.25">
      <c r="A111" s="109" t="s">
        <v>154</v>
      </c>
      <c r="B111" s="130">
        <v>33.201178353536996</v>
      </c>
      <c r="C111" s="130">
        <v>33.090342805352279</v>
      </c>
      <c r="D111" s="130">
        <v>32.973491105948604</v>
      </c>
      <c r="E111" s="130">
        <v>32.838704939247606</v>
      </c>
      <c r="F111" s="130">
        <v>32.686417998819117</v>
      </c>
      <c r="G111" s="130">
        <v>32.464146295006543</v>
      </c>
      <c r="H111" s="130">
        <v>32.123358740794281</v>
      </c>
      <c r="I111" s="130">
        <v>31.765056388033095</v>
      </c>
      <c r="J111" s="130">
        <v>31.436156154468275</v>
      </c>
      <c r="K111" s="130">
        <v>31.036307385452353</v>
      </c>
      <c r="L111" s="130">
        <v>30.571967483766009</v>
      </c>
      <c r="M111" s="130">
        <v>30.016939014480698</v>
      </c>
      <c r="N111" s="130">
        <v>29.559655444985914</v>
      </c>
      <c r="O111" s="130">
        <v>28.943628128679222</v>
      </c>
      <c r="P111" s="130">
        <v>28.58966346630433</v>
      </c>
      <c r="Q111" s="130">
        <v>28.180539459542189</v>
      </c>
      <c r="R111" s="130">
        <v>27.518003437114487</v>
      </c>
      <c r="S111" s="130">
        <v>26.803804637197718</v>
      </c>
      <c r="T111" s="130">
        <v>26.224014571783783</v>
      </c>
      <c r="U111" s="130">
        <v>25.463608582167264</v>
      </c>
      <c r="V111" s="130">
        <v>24.70839078739133</v>
      </c>
      <c r="W111" s="130">
        <v>23.867754121121898</v>
      </c>
      <c r="X111" s="130">
        <v>23.089371294481101</v>
      </c>
      <c r="Y111" s="130">
        <v>22.324880872311606</v>
      </c>
      <c r="DA111" s="176" t="s">
        <v>884</v>
      </c>
    </row>
    <row r="112" spans="1:105" ht="11.45" customHeight="1" x14ac:dyDescent="0.25">
      <c r="A112" s="128" t="s">
        <v>27</v>
      </c>
      <c r="B112" s="97">
        <v>32.903553377082559</v>
      </c>
      <c r="C112" s="97">
        <v>32.792944757272956</v>
      </c>
      <c r="D112" s="97">
        <v>32.673887002091007</v>
      </c>
      <c r="E112" s="97">
        <v>32.53892743839458</v>
      </c>
      <c r="F112" s="97">
        <v>32.395090071748832</v>
      </c>
      <c r="G112" s="97">
        <v>32.176003395916204</v>
      </c>
      <c r="H112" s="97">
        <v>31.831157901845245</v>
      </c>
      <c r="I112" s="97">
        <v>31.467588879242172</v>
      </c>
      <c r="J112" s="97">
        <v>31.130086009069789</v>
      </c>
      <c r="K112" s="97">
        <v>30.789370642452479</v>
      </c>
      <c r="L112" s="97">
        <v>30.318259031859061</v>
      </c>
      <c r="M112" s="97">
        <v>29.756665472433198</v>
      </c>
      <c r="N112" s="97">
        <v>29.299629566877517</v>
      </c>
      <c r="O112" s="97">
        <v>28.644690401705624</v>
      </c>
      <c r="P112" s="97">
        <v>28.282812310704294</v>
      </c>
      <c r="Q112" s="97">
        <v>27.873913892756644</v>
      </c>
      <c r="R112" s="97">
        <v>27.182399110167683</v>
      </c>
      <c r="S112" s="97">
        <v>26.426568538916253</v>
      </c>
      <c r="T112" s="97">
        <v>25.830517094440985</v>
      </c>
      <c r="U112" s="97">
        <v>25.027497117671075</v>
      </c>
      <c r="V112" s="97">
        <v>24.241931577535283</v>
      </c>
      <c r="W112" s="97">
        <v>23.349314597460264</v>
      </c>
      <c r="X112" s="97">
        <v>22.558647285645723</v>
      </c>
      <c r="Y112" s="97">
        <v>21.747595982796852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36.37419488434724</v>
      </c>
      <c r="D113" s="98">
        <v>36.053659332875611</v>
      </c>
      <c r="E113" s="98">
        <v>35.796037435779652</v>
      </c>
      <c r="F113" s="98">
        <v>35.137383001149672</v>
      </c>
      <c r="G113" s="98">
        <v>34.836584287288318</v>
      </c>
      <c r="H113" s="98">
        <v>34.409533403786611</v>
      </c>
      <c r="I113" s="98">
        <v>34.104558859177999</v>
      </c>
      <c r="J113" s="98">
        <v>33.903373273779032</v>
      </c>
      <c r="K113" s="98">
        <v>33.523505624321864</v>
      </c>
      <c r="L113" s="98">
        <v>32.924631162375817</v>
      </c>
      <c r="M113" s="98">
        <v>32.589596041046065</v>
      </c>
      <c r="N113" s="98">
        <v>32.230802755737194</v>
      </c>
      <c r="O113" s="98">
        <v>31.436596077849973</v>
      </c>
      <c r="P113" s="98">
        <v>31.283572723092167</v>
      </c>
      <c r="Q113" s="98">
        <v>30.544976912384858</v>
      </c>
      <c r="R113" s="98">
        <v>29.997317292051001</v>
      </c>
      <c r="S113" s="98">
        <v>29.683097614172016</v>
      </c>
      <c r="T113" s="98">
        <v>29.235208467165144</v>
      </c>
      <c r="U113" s="98">
        <v>29.017109403988062</v>
      </c>
      <c r="V113" s="98">
        <v>28.394559715384784</v>
      </c>
      <c r="W113" s="98">
        <v>27.642397270886576</v>
      </c>
      <c r="X113" s="98">
        <v>27.412370451216052</v>
      </c>
      <c r="Y113" s="98">
        <v>26.996423159165584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1.1279852457892252</v>
      </c>
      <c r="D117" s="150">
        <f>IF(TrRoad_act!D59=0,0,TrRoad_ene!D62/TrRoad_tech!D90)</f>
        <v>1.1293330895986045</v>
      </c>
      <c r="E117" s="150">
        <f>IF(TrRoad_act!E59=0,0,TrRoad_ene!E62/TrRoad_tech!E90)</f>
        <v>1.1308215099335295</v>
      </c>
      <c r="F117" s="150">
        <f>IF(TrRoad_act!F59=0,0,TrRoad_ene!F62/TrRoad_tech!F90)</f>
        <v>1.1324680301530037</v>
      </c>
      <c r="G117" s="150">
        <f>IF(TrRoad_act!G59=0,0,TrRoad_ene!G62/TrRoad_tech!G90)</f>
        <v>1.1341563131800296</v>
      </c>
      <c r="H117" s="150">
        <f>IF(TrRoad_act!H59=0,0,TrRoad_ene!H62/TrRoad_tech!H90)</f>
        <v>1.126401758271695</v>
      </c>
      <c r="I117" s="150">
        <f>IF(TrRoad_act!I59=0,0,TrRoad_ene!I62/TrRoad_tech!I90)</f>
        <v>1.1180844123122569</v>
      </c>
      <c r="J117" s="150">
        <f>IF(TrRoad_act!J59=0,0,TrRoad_ene!J62/TrRoad_tech!J90)</f>
        <v>1.1429916634999484</v>
      </c>
      <c r="K117" s="150">
        <f>IF(TrRoad_act!K59=0,0,TrRoad_ene!K62/TrRoad_tech!K90)</f>
        <v>1.1333988543825977</v>
      </c>
      <c r="L117" s="150">
        <f>IF(TrRoad_act!L59=0,0,TrRoad_ene!L62/TrRoad_tech!L90)</f>
        <v>1.1202744436620076</v>
      </c>
      <c r="M117" s="150">
        <f>IF(TrRoad_act!M59=0,0,TrRoad_ene!M62/TrRoad_tech!M90)</f>
        <v>1.1304472162805912</v>
      </c>
      <c r="N117" s="150">
        <f>IF(TrRoad_act!N59=0,0,TrRoad_ene!N62/TrRoad_tech!N90)</f>
        <v>1.1550784474734836</v>
      </c>
      <c r="O117" s="150">
        <f>IF(TrRoad_act!O59=0,0,TrRoad_ene!O62/TrRoad_tech!O90)</f>
        <v>1.1780891413557861</v>
      </c>
      <c r="P117" s="150">
        <f>IF(TrRoad_act!P59=0,0,TrRoad_ene!P62/TrRoad_tech!P90)</f>
        <v>1.1739260797289102</v>
      </c>
      <c r="Q117" s="150">
        <f>IF(TrRoad_act!Q59=0,0,TrRoad_ene!Q62/TrRoad_tech!Q90)</f>
        <v>1.1931211183539587</v>
      </c>
      <c r="R117" s="150">
        <f>IF(TrRoad_act!R59=0,0,TrRoad_ene!R62/TrRoad_tech!R90)</f>
        <v>1.2010254862358936</v>
      </c>
      <c r="S117" s="150">
        <f>IF(TrRoad_act!S59=0,0,TrRoad_ene!S62/TrRoad_tech!S90)</f>
        <v>1.2097805045187764</v>
      </c>
      <c r="T117" s="150">
        <f>IF(TrRoad_act!T59=0,0,TrRoad_ene!T62/TrRoad_tech!T90)</f>
        <v>1.2171337809923366</v>
      </c>
      <c r="U117" s="150">
        <f>IF(TrRoad_act!U59=0,0,TrRoad_ene!U62/TrRoad_tech!U90)</f>
        <v>1.2266209481830457</v>
      </c>
      <c r="V117" s="150">
        <f>IF(TrRoad_act!V59=0,0,TrRoad_ene!V62/TrRoad_tech!V90)</f>
        <v>1.2399885903829246</v>
      </c>
      <c r="W117" s="150">
        <f>IF(TrRoad_act!W59=0,0,TrRoad_ene!W62/TrRoad_tech!W90)</f>
        <v>1.2492664291569724</v>
      </c>
      <c r="X117" s="150">
        <f>IF(TrRoad_act!X59=0,0,TrRoad_ene!X62/TrRoad_tech!X90)</f>
        <v>1.2546796073767974</v>
      </c>
      <c r="Y117" s="150">
        <f>IF(TrRoad_act!Y59=0,0,TrRoad_ene!Y62/TrRoad_tech!Y90)</f>
        <v>1.264168221153545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1.0237286695951278</v>
      </c>
      <c r="C118" s="151">
        <f>IF(TrRoad_act!C60=0,0,TrRoad_ene!C63/TrRoad_tech!C91)</f>
        <v>1.0179458679573168</v>
      </c>
      <c r="D118" s="151">
        <f>IF(TrRoad_act!D60=0,0,TrRoad_ene!D63/TrRoad_tech!D91)</f>
        <v>1.0148592549085425</v>
      </c>
      <c r="E118" s="151">
        <f>IF(TrRoad_act!E60=0,0,TrRoad_ene!E63/TrRoad_tech!E91)</f>
        <v>1.0147961798929608</v>
      </c>
      <c r="F118" s="151">
        <f>IF(TrRoad_act!F60=0,0,TrRoad_ene!F63/TrRoad_tech!F91)</f>
        <v>1.0157180925715614</v>
      </c>
      <c r="G118" s="151">
        <f>IF(TrRoad_act!G60=0,0,TrRoad_ene!G63/TrRoad_tech!G91)</f>
        <v>1.0113293363467368</v>
      </c>
      <c r="H118" s="151">
        <f>IF(TrRoad_act!H60=0,0,TrRoad_ene!H63/TrRoad_tech!H91)</f>
        <v>1.0096516103844597</v>
      </c>
      <c r="I118" s="151">
        <f>IF(TrRoad_act!I60=0,0,TrRoad_ene!I63/TrRoad_tech!I91)</f>
        <v>1.0052928578379992</v>
      </c>
      <c r="J118" s="151">
        <f>IF(TrRoad_act!J60=0,0,TrRoad_ene!J63/TrRoad_tech!J91)</f>
        <v>1.0029684625602693</v>
      </c>
      <c r="K118" s="151">
        <f>IF(TrRoad_act!K60=0,0,TrRoad_ene!K63/TrRoad_tech!K91)</f>
        <v>0.99591260769314116</v>
      </c>
      <c r="L118" s="151">
        <f>IF(TrRoad_act!L60=0,0,TrRoad_ene!L63/TrRoad_tech!L91)</f>
        <v>0.99019494444928713</v>
      </c>
      <c r="M118" s="151">
        <f>IF(TrRoad_act!M60=0,0,TrRoad_ene!M63/TrRoad_tech!M91)</f>
        <v>0.97812709597329439</v>
      </c>
      <c r="N118" s="151">
        <f>IF(TrRoad_act!N60=0,0,TrRoad_ene!N63/TrRoad_tech!N91)</f>
        <v>0.96391429286982311</v>
      </c>
      <c r="O118" s="151">
        <f>IF(TrRoad_act!O60=0,0,TrRoad_ene!O63/TrRoad_tech!O91)</f>
        <v>0.96099453161819548</v>
      </c>
      <c r="P118" s="151">
        <f>IF(TrRoad_act!P60=0,0,TrRoad_ene!P63/TrRoad_tech!P91)</f>
        <v>0.94886065175077317</v>
      </c>
      <c r="Q118" s="151">
        <f>IF(TrRoad_act!Q60=0,0,TrRoad_ene!Q63/TrRoad_tech!Q91)</f>
        <v>0.94786464540094961</v>
      </c>
      <c r="R118" s="151">
        <f>IF(TrRoad_act!R60=0,0,TrRoad_ene!R63/TrRoad_tech!R91)</f>
        <v>0.94208963266968071</v>
      </c>
      <c r="S118" s="151">
        <f>IF(TrRoad_act!S60=0,0,TrRoad_ene!S63/TrRoad_tech!S91)</f>
        <v>0.95156327586301337</v>
      </c>
      <c r="T118" s="151">
        <f>IF(TrRoad_act!T60=0,0,TrRoad_ene!T63/TrRoad_tech!T91)</f>
        <v>0.94914423532580905</v>
      </c>
      <c r="U118" s="151">
        <f>IF(TrRoad_act!U60=0,0,TrRoad_ene!U63/TrRoad_tech!U91)</f>
        <v>0.96018969257255093</v>
      </c>
      <c r="V118" s="151">
        <f>IF(TrRoad_act!V60=0,0,TrRoad_ene!V63/TrRoad_tech!V91)</f>
        <v>0.9748399472192314</v>
      </c>
      <c r="W118" s="151">
        <f>IF(TrRoad_act!W60=0,0,TrRoad_ene!W63/TrRoad_tech!W91)</f>
        <v>1.0073595779009297</v>
      </c>
      <c r="X118" s="151">
        <f>IF(TrRoad_act!X60=0,0,TrRoad_ene!X63/TrRoad_tech!X91)</f>
        <v>1.0208728475293962</v>
      </c>
      <c r="Y118" s="151">
        <f>IF(TrRoad_act!Y60=0,0,TrRoad_ene!Y63/TrRoad_tech!Y91)</f>
        <v>1.0194163874441113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1.02777777778159</v>
      </c>
      <c r="C119" s="91">
        <f>IF(TrRoad_act!C61=0,0,TrRoad_ene!C64/TrRoad_tech!C92)</f>
        <v>1.0278566538058778</v>
      </c>
      <c r="D119" s="91">
        <f>IF(TrRoad_act!D61=0,0,TrRoad_ene!D64/TrRoad_tech!D92)</f>
        <v>1.0280370306055679</v>
      </c>
      <c r="E119" s="91">
        <f>IF(TrRoad_act!E61=0,0,TrRoad_ene!E64/TrRoad_tech!E92)</f>
        <v>1.0283487357612662</v>
      </c>
      <c r="F119" s="91">
        <f>IF(TrRoad_act!F61=0,0,TrRoad_ene!F64/TrRoad_tech!F92)</f>
        <v>1.0288238510570793</v>
      </c>
      <c r="G119" s="91">
        <f>IF(TrRoad_act!G61=0,0,TrRoad_ene!G64/TrRoad_tech!G92)</f>
        <v>1.0294543030752512</v>
      </c>
      <c r="H119" s="91">
        <f>IF(TrRoad_act!H61=0,0,TrRoad_ene!H64/TrRoad_tech!H92)</f>
        <v>1.0302397272718664</v>
      </c>
      <c r="I119" s="91">
        <f>IF(TrRoad_act!I61=0,0,TrRoad_ene!I64/TrRoad_tech!I92)</f>
        <v>1.0312335792806906</v>
      </c>
      <c r="J119" s="91">
        <f>IF(TrRoad_act!J61=0,0,TrRoad_ene!J64/TrRoad_tech!J92)</f>
        <v>1.0319781545583224</v>
      </c>
      <c r="K119" s="91">
        <f>IF(TrRoad_act!K61=0,0,TrRoad_ene!K64/TrRoad_tech!K92)</f>
        <v>1.0325914483753795</v>
      </c>
      <c r="L119" s="91">
        <f>IF(TrRoad_act!L61=0,0,TrRoad_ene!L64/TrRoad_tech!L92)</f>
        <v>1.0337801979050172</v>
      </c>
      <c r="M119" s="91">
        <f>IF(TrRoad_act!M61=0,0,TrRoad_ene!M64/TrRoad_tech!M92)</f>
        <v>1.0351682992160947</v>
      </c>
      <c r="N119" s="91">
        <f>IF(TrRoad_act!N61=0,0,TrRoad_ene!N64/TrRoad_tech!N92)</f>
        <v>1.0361277720928579</v>
      </c>
      <c r="O119" s="91">
        <f>IF(TrRoad_act!O61=0,0,TrRoad_ene!O64/TrRoad_tech!O92)</f>
        <v>1.0371580286959929</v>
      </c>
      <c r="P119" s="91">
        <f>IF(TrRoad_act!P61=0,0,TrRoad_ene!P64/TrRoad_tech!P92)</f>
        <v>1.0386334663676056</v>
      </c>
      <c r="Q119" s="91">
        <f>IF(TrRoad_act!Q61=0,0,TrRoad_ene!Q64/TrRoad_tech!Q92)</f>
        <v>1.0405224569112799</v>
      </c>
      <c r="R119" s="91">
        <f>IF(TrRoad_act!R61=0,0,TrRoad_ene!R64/TrRoad_tech!R92)</f>
        <v>1.0427665164527298</v>
      </c>
      <c r="S119" s="91">
        <f>IF(TrRoad_act!S61=0,0,TrRoad_ene!S64/TrRoad_tech!S92)</f>
        <v>1.0449390221829913</v>
      </c>
      <c r="T119" s="91">
        <f>IF(TrRoad_act!T61=0,0,TrRoad_ene!T64/TrRoad_tech!T92)</f>
        <v>1.0473850576708259</v>
      </c>
      <c r="U119" s="91">
        <f>IF(TrRoad_act!U61=0,0,TrRoad_ene!U64/TrRoad_tech!U92)</f>
        <v>1.0508188023027805</v>
      </c>
      <c r="V119" s="91">
        <f>IF(TrRoad_act!V61=0,0,TrRoad_ene!V64/TrRoad_tech!V92)</f>
        <v>1.048928841922472</v>
      </c>
      <c r="W119" s="91">
        <f>IF(TrRoad_act!W61=0,0,TrRoad_ene!W64/TrRoad_tech!W92)</f>
        <v>1.1038131887128895</v>
      </c>
      <c r="X119" s="91">
        <f>IF(TrRoad_act!X61=0,0,TrRoad_ene!X64/TrRoad_tech!X92)</f>
        <v>1.1348630899814076</v>
      </c>
      <c r="Y119" s="91">
        <f>IF(TrRoad_act!Y61=0,0,TrRoad_ene!Y64/TrRoad_tech!Y92)</f>
        <v>1.1134986054112193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1.083735094325734</v>
      </c>
      <c r="C120" s="91">
        <f>IF(TrRoad_act!C62=0,0,TrRoad_ene!C65/TrRoad_tech!C93)</f>
        <v>1.1004811047723564</v>
      </c>
      <c r="D120" s="91">
        <f>IF(TrRoad_act!D62=0,0,TrRoad_ene!D65/TrRoad_tech!D93)</f>
        <v>1.0844255575785002</v>
      </c>
      <c r="E120" s="91">
        <f>IF(TrRoad_act!E62=0,0,TrRoad_ene!E65/TrRoad_tech!E93)</f>
        <v>1.099733551297454</v>
      </c>
      <c r="F120" s="91">
        <f>IF(TrRoad_act!F62=0,0,TrRoad_ene!F65/TrRoad_tech!F93)</f>
        <v>1.1261591258191157</v>
      </c>
      <c r="G120" s="91">
        <f>IF(TrRoad_act!G62=0,0,TrRoad_ene!G65/TrRoad_tech!G93)</f>
        <v>1.0867463166367162</v>
      </c>
      <c r="H120" s="91">
        <f>IF(TrRoad_act!H62=0,0,TrRoad_ene!H65/TrRoad_tech!H93)</f>
        <v>1.0871878071268872</v>
      </c>
      <c r="I120" s="91">
        <f>IF(TrRoad_act!I62=0,0,TrRoad_ene!I65/TrRoad_tech!I93)</f>
        <v>1.0659848984319247</v>
      </c>
      <c r="J120" s="91">
        <f>IF(TrRoad_act!J62=0,0,TrRoad_ene!J65/TrRoad_tech!J93)</f>
        <v>1.075548911411726</v>
      </c>
      <c r="K120" s="91">
        <f>IF(TrRoad_act!K62=0,0,TrRoad_ene!K65/TrRoad_tech!K93)</f>
        <v>1.0550568462338414</v>
      </c>
      <c r="L120" s="91">
        <f>IF(TrRoad_act!L62=0,0,TrRoad_ene!L65/TrRoad_tech!L93)</f>
        <v>1.0601908588725015</v>
      </c>
      <c r="M120" s="91">
        <f>IF(TrRoad_act!M62=0,0,TrRoad_ene!M65/TrRoad_tech!M93)</f>
        <v>1.0466810387586023</v>
      </c>
      <c r="N120" s="91">
        <f>IF(TrRoad_act!N62=0,0,TrRoad_ene!N65/TrRoad_tech!N93)</f>
        <v>1.0257347797453058</v>
      </c>
      <c r="O120" s="91">
        <f>IF(TrRoad_act!O62=0,0,TrRoad_ene!O65/TrRoad_tech!O93)</f>
        <v>1.0283321099417744</v>
      </c>
      <c r="P120" s="91">
        <f>IF(TrRoad_act!P62=0,0,TrRoad_ene!P65/TrRoad_tech!P93)</f>
        <v>1.0041317994947248</v>
      </c>
      <c r="Q120" s="91">
        <f>IF(TrRoad_act!Q62=0,0,TrRoad_ene!Q65/TrRoad_tech!Q93)</f>
        <v>1.0080433108375755</v>
      </c>
      <c r="R120" s="91">
        <f>IF(TrRoad_act!R62=0,0,TrRoad_ene!R65/TrRoad_tech!R93)</f>
        <v>0.99637174884176727</v>
      </c>
      <c r="S120" s="91">
        <f>IF(TrRoad_act!S62=0,0,TrRoad_ene!S65/TrRoad_tech!S93)</f>
        <v>1.0133661251965913</v>
      </c>
      <c r="T120" s="91">
        <f>IF(TrRoad_act!T62=0,0,TrRoad_ene!T65/TrRoad_tech!T93)</f>
        <v>0.99896532758940892</v>
      </c>
      <c r="U120" s="91">
        <f>IF(TrRoad_act!U62=0,0,TrRoad_ene!U65/TrRoad_tech!U93)</f>
        <v>1.0045366882102169</v>
      </c>
      <c r="V120" s="91">
        <f>IF(TrRoad_act!V62=0,0,TrRoad_ene!V65/TrRoad_tech!V93)</f>
        <v>1.020172790954871</v>
      </c>
      <c r="W120" s="91">
        <f>IF(TrRoad_act!W62=0,0,TrRoad_ene!W65/TrRoad_tech!W93)</f>
        <v>1.0217114831428393</v>
      </c>
      <c r="X120" s="91">
        <f>IF(TrRoad_act!X62=0,0,TrRoad_ene!X65/TrRoad_tech!X93)</f>
        <v>1.0127757653485392</v>
      </c>
      <c r="Y120" s="91">
        <f>IF(TrRoad_act!Y62=0,0,TrRoad_ene!Y65/TrRoad_tech!Y93)</f>
        <v>1.0056620037935944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1.3712702017969671</v>
      </c>
      <c r="H121" s="91">
        <f>IF(TrRoad_act!H63=0,0,TrRoad_ene!H66/TrRoad_tech!H94)</f>
        <v>1.1053077790629466</v>
      </c>
      <c r="I121" s="91">
        <f>IF(TrRoad_act!I63=0,0,TrRoad_ene!I66/TrRoad_tech!I94)</f>
        <v>2.3951421294147788</v>
      </c>
      <c r="J121" s="91">
        <f>IF(TrRoad_act!J63=0,0,TrRoad_ene!J66/TrRoad_tech!J94)</f>
        <v>1.4863775234860503</v>
      </c>
      <c r="K121" s="91">
        <f>IF(TrRoad_act!K63=0,0,TrRoad_ene!K66/TrRoad_tech!K94)</f>
        <v>1.4412908300621017</v>
      </c>
      <c r="L121" s="91">
        <f>IF(TrRoad_act!L63=0,0,TrRoad_ene!L66/TrRoad_tech!L94)</f>
        <v>1.7854644803136981</v>
      </c>
      <c r="M121" s="91">
        <f>IF(TrRoad_act!M63=0,0,TrRoad_ene!M66/TrRoad_tech!M94)</f>
        <v>1.2818483970074772</v>
      </c>
      <c r="N121" s="91">
        <f>IF(TrRoad_act!N63=0,0,TrRoad_ene!N66/TrRoad_tech!N94)</f>
        <v>0.82210366007259039</v>
      </c>
      <c r="O121" s="91">
        <f>IF(TrRoad_act!O63=0,0,TrRoad_ene!O66/TrRoad_tech!O94)</f>
        <v>0.4355219452680209</v>
      </c>
      <c r="P121" s="91">
        <f>IF(TrRoad_act!P63=0,0,TrRoad_ene!P66/TrRoad_tech!P94)</f>
        <v>0.50990756337342069</v>
      </c>
      <c r="Q121" s="91">
        <f>IF(TrRoad_act!Q63=0,0,TrRoad_ene!Q66/TrRoad_tech!Q94)</f>
        <v>2.821128006268621</v>
      </c>
      <c r="R121" s="91">
        <f>IF(TrRoad_act!R63=0,0,TrRoad_ene!R66/TrRoad_tech!R94)</f>
        <v>1.0480717737801681</v>
      </c>
      <c r="S121" s="91">
        <f>IF(TrRoad_act!S63=0,0,TrRoad_ene!S66/TrRoad_tech!S94)</f>
        <v>0</v>
      </c>
      <c r="T121" s="91">
        <f>IF(TrRoad_act!T63=0,0,TrRoad_ene!T66/TrRoad_tech!T94)</f>
        <v>0</v>
      </c>
      <c r="U121" s="91">
        <f>IF(TrRoad_act!U63=0,0,TrRoad_ene!U66/TrRoad_tech!U94)</f>
        <v>0</v>
      </c>
      <c r="V121" s="91">
        <f>IF(TrRoad_act!V63=0,0,TrRoad_ene!V66/TrRoad_tech!V94)</f>
        <v>0</v>
      </c>
      <c r="W121" s="91">
        <f>IF(TrRoad_act!W63=0,0,TrRoad_ene!W66/TrRoad_tech!W94)</f>
        <v>0</v>
      </c>
      <c r="X121" s="91">
        <f>IF(TrRoad_act!X63=0,0,TrRoad_ene!X66/TrRoad_tech!X94)</f>
        <v>0</v>
      </c>
      <c r="Y121" s="91">
        <f>IF(TrRoad_act!Y63=0,0,TrRoad_ene!Y66/TrRoad_tech!Y94)</f>
        <v>0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1.0303703703742999</v>
      </c>
      <c r="E122" s="91">
        <f>IF(TrRoad_act!E64=0,0,TrRoad_ene!E67/TrRoad_tech!E95)</f>
        <v>1.0313310435096503</v>
      </c>
      <c r="F122" s="91">
        <f>IF(TrRoad_act!F64=0,0,TrRoad_ene!F67/TrRoad_tech!F95)</f>
        <v>1.0324804623544965</v>
      </c>
      <c r="G122" s="91">
        <f>IF(TrRoad_act!G64=0,0,TrRoad_ene!G67/TrRoad_tech!G95)</f>
        <v>1.0339430737041118</v>
      </c>
      <c r="H122" s="91">
        <f>IF(TrRoad_act!H64=0,0,TrRoad_ene!H67/TrRoad_tech!H95)</f>
        <v>1.0346101400822656</v>
      </c>
      <c r="I122" s="91">
        <f>IF(TrRoad_act!I64=0,0,TrRoad_ene!I67/TrRoad_tech!I95)</f>
        <v>1.0359129932903579</v>
      </c>
      <c r="J122" s="91">
        <f>IF(TrRoad_act!J64=0,0,TrRoad_ene!J67/TrRoad_tech!J95)</f>
        <v>1.0375657174539157</v>
      </c>
      <c r="K122" s="91">
        <f>IF(TrRoad_act!K64=0,0,TrRoad_ene!K67/TrRoad_tech!K95)</f>
        <v>1.0392544046146039</v>
      </c>
      <c r="L122" s="91">
        <f>IF(TrRoad_act!L64=0,0,TrRoad_ene!L67/TrRoad_tech!L95)</f>
        <v>1.0484264014937803</v>
      </c>
      <c r="M122" s="91">
        <f>IF(TrRoad_act!M64=0,0,TrRoad_ene!M67/TrRoad_tech!M95)</f>
        <v>1.0529250120198179</v>
      </c>
      <c r="N122" s="91">
        <f>IF(TrRoad_act!N64=0,0,TrRoad_ene!N67/TrRoad_tech!N95)</f>
        <v>1.0566948449954361</v>
      </c>
      <c r="O122" s="91">
        <f>IF(TrRoad_act!O64=0,0,TrRoad_ene!O67/TrRoad_tech!O95)</f>
        <v>1.0591149588286322</v>
      </c>
      <c r="P122" s="91">
        <f>IF(TrRoad_act!P64=0,0,TrRoad_ene!P67/TrRoad_tech!P95)</f>
        <v>1.0621250927431269</v>
      </c>
      <c r="Q122" s="91">
        <f>IF(TrRoad_act!Q64=0,0,TrRoad_ene!Q67/TrRoad_tech!Q95)</f>
        <v>1.0652864219596665</v>
      </c>
      <c r="R122" s="91">
        <f>IF(TrRoad_act!R64=0,0,TrRoad_ene!R67/TrRoad_tech!R95)</f>
        <v>1.0691388597863178</v>
      </c>
      <c r="S122" s="91">
        <f>IF(TrRoad_act!S64=0,0,TrRoad_ene!S67/TrRoad_tech!S95)</f>
        <v>1.0728794156916195</v>
      </c>
      <c r="T122" s="91">
        <f>IF(TrRoad_act!T64=0,0,TrRoad_ene!T67/TrRoad_tech!T95)</f>
        <v>1.0761434072177272</v>
      </c>
      <c r="U122" s="91">
        <f>IF(TrRoad_act!U64=0,0,TrRoad_ene!U67/TrRoad_tech!U95)</f>
        <v>1.0808353392336816</v>
      </c>
      <c r="V122" s="91">
        <f>IF(TrRoad_act!V64=0,0,TrRoad_ene!V67/TrRoad_tech!V95)</f>
        <v>1.0827565535783206</v>
      </c>
      <c r="W122" s="91">
        <f>IF(TrRoad_act!W64=0,0,TrRoad_ene!W67/TrRoad_tech!W95)</f>
        <v>1.0842031676707296</v>
      </c>
      <c r="X122" s="91">
        <f>IF(TrRoad_act!X64=0,0,TrRoad_ene!X67/TrRoad_tech!X95)</f>
        <v>1.0850102991763804</v>
      </c>
      <c r="Y122" s="91">
        <f>IF(TrRoad_act!Y64=0,0,TrRoad_ene!Y67/TrRoad_tech!Y95)</f>
        <v>1.091249910748104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1.0470879811138618</v>
      </c>
      <c r="K123" s="91">
        <f>IF(TrRoad_act!K65=0,0,TrRoad_ene!K68/TrRoad_tech!K96)</f>
        <v>1.0478314505950861</v>
      </c>
      <c r="L123" s="91">
        <f>IF(TrRoad_act!L65=0,0,TrRoad_ene!L68/TrRoad_tech!L96)</f>
        <v>1.0490092845027887</v>
      </c>
      <c r="M123" s="91">
        <f>IF(TrRoad_act!M65=0,0,TrRoad_ene!M68/TrRoad_tech!M96)</f>
        <v>1.0546633752150307</v>
      </c>
      <c r="N123" s="91">
        <f>IF(TrRoad_act!N65=0,0,TrRoad_ene!N68/TrRoad_tech!N96)</f>
        <v>1.0619059246300395</v>
      </c>
      <c r="O123" s="91">
        <f>IF(TrRoad_act!O65=0,0,TrRoad_ene!O68/TrRoad_tech!O96)</f>
        <v>1.0655049070005633</v>
      </c>
      <c r="P123" s="91">
        <f>IF(TrRoad_act!P65=0,0,TrRoad_ene!P68/TrRoad_tech!P96)</f>
        <v>1.0734418128088006</v>
      </c>
      <c r="Q123" s="91">
        <f>IF(TrRoad_act!Q65=0,0,TrRoad_ene!Q68/TrRoad_tech!Q96)</f>
        <v>1.0791502713542829</v>
      </c>
      <c r="R123" s="91">
        <f>IF(TrRoad_act!R65=0,0,TrRoad_ene!R68/TrRoad_tech!R96)</f>
        <v>1.0836221775768893</v>
      </c>
      <c r="S123" s="91">
        <f>IF(TrRoad_act!S65=0,0,TrRoad_ene!S68/TrRoad_tech!S96)</f>
        <v>1.0864586992703575</v>
      </c>
      <c r="T123" s="91">
        <f>IF(TrRoad_act!T65=0,0,TrRoad_ene!T68/TrRoad_tech!T96)</f>
        <v>1.0881942643713567</v>
      </c>
      <c r="U123" s="91">
        <f>IF(TrRoad_act!U65=0,0,TrRoad_ene!U68/TrRoad_tech!U96)</f>
        <v>1.0896487273644822</v>
      </c>
      <c r="V123" s="91">
        <f>IF(TrRoad_act!V65=0,0,TrRoad_ene!V68/TrRoad_tech!V96)</f>
        <v>1.0886253867441806</v>
      </c>
      <c r="W123" s="91">
        <f>IF(TrRoad_act!W65=0,0,TrRoad_ene!W68/TrRoad_tech!W96)</f>
        <v>1.1184680990049223</v>
      </c>
      <c r="X123" s="91">
        <f>IF(TrRoad_act!X65=0,0,TrRoad_ene!X68/TrRoad_tech!X96)</f>
        <v>1.1321524973265269</v>
      </c>
      <c r="Y123" s="91">
        <f>IF(TrRoad_act!Y65=0,0,TrRoad_ene!Y68/TrRoad_tech!Y96)</f>
        <v>1.1174725157779912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1.0477844602836108</v>
      </c>
      <c r="L124" s="91">
        <f>IF(TrRoad_act!L66=0,0,TrRoad_ene!L69/TrRoad_tech!L97)</f>
        <v>1.0502447568336575</v>
      </c>
      <c r="M124" s="91">
        <f>IF(TrRoad_act!M66=0,0,TrRoad_ene!M69/TrRoad_tech!M97)</f>
        <v>1.0556157624614413</v>
      </c>
      <c r="N124" s="91">
        <f>IF(TrRoad_act!N66=0,0,TrRoad_ene!N69/TrRoad_tech!N97)</f>
        <v>1.0601561379557158</v>
      </c>
      <c r="O124" s="91">
        <f>IF(TrRoad_act!O66=0,0,TrRoad_ene!O69/TrRoad_tech!O97)</f>
        <v>1.0656335763106242</v>
      </c>
      <c r="P124" s="91">
        <f>IF(TrRoad_act!P66=0,0,TrRoad_ene!P69/TrRoad_tech!P97)</f>
        <v>1.0737084696732575</v>
      </c>
      <c r="Q124" s="91">
        <f>IF(TrRoad_act!Q66=0,0,TrRoad_ene!Q69/TrRoad_tech!Q97)</f>
        <v>1.0809933530217433</v>
      </c>
      <c r="R124" s="91">
        <f>IF(TrRoad_act!R66=0,0,TrRoad_ene!R69/TrRoad_tech!R97)</f>
        <v>1.0846475178040553</v>
      </c>
      <c r="S124" s="91">
        <f>IF(TrRoad_act!S66=0,0,TrRoad_ene!S69/TrRoad_tech!S97)</f>
        <v>1.0879719246201718</v>
      </c>
      <c r="T124" s="91">
        <f>IF(TrRoad_act!T66=0,0,TrRoad_ene!T69/TrRoad_tech!T97)</f>
        <v>1.091532654534539</v>
      </c>
      <c r="U124" s="91">
        <f>IF(TrRoad_act!U66=0,0,TrRoad_ene!U69/TrRoad_tech!U97)</f>
        <v>1.09464416562151</v>
      </c>
      <c r="V124" s="91">
        <f>IF(TrRoad_act!V66=0,0,TrRoad_ene!V69/TrRoad_tech!V97)</f>
        <v>1.0962873794332715</v>
      </c>
      <c r="W124" s="91">
        <f>IF(TrRoad_act!W66=0,0,TrRoad_ene!W69/TrRoad_tech!W97)</f>
        <v>1.0977068780319117</v>
      </c>
      <c r="X124" s="91">
        <f>IF(TrRoad_act!X66=0,0,TrRoad_ene!X69/TrRoad_tech!X97)</f>
        <v>1.0988291741152372</v>
      </c>
      <c r="Y124" s="91">
        <f>IF(TrRoad_act!Y66=0,0,TrRoad_ene!Y69/TrRoad_tech!Y97)</f>
        <v>1.09978890544237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1.2266193528260982</v>
      </c>
      <c r="C125" s="151">
        <f>IF(TrRoad_act!C67=0,0,TrRoad_ene!C70/TrRoad_tech!C98)</f>
        <v>1.2280965123949303</v>
      </c>
      <c r="D125" s="151">
        <f>IF(TrRoad_act!D67=0,0,TrRoad_ene!D70/TrRoad_tech!D98)</f>
        <v>1.2021880132863927</v>
      </c>
      <c r="E125" s="151">
        <f>IF(TrRoad_act!E67=0,0,TrRoad_ene!E70/TrRoad_tech!E98)</f>
        <v>1.2416746824144804</v>
      </c>
      <c r="F125" s="151">
        <f>IF(TrRoad_act!F67=0,0,TrRoad_ene!F70/TrRoad_tech!F98)</f>
        <v>1.269942005538063</v>
      </c>
      <c r="G125" s="151">
        <f>IF(TrRoad_act!G67=0,0,TrRoad_ene!G70/TrRoad_tech!G98)</f>
        <v>1.1622174085454793</v>
      </c>
      <c r="H125" s="151">
        <f>IF(TrRoad_act!H67=0,0,TrRoad_ene!H70/TrRoad_tech!H98)</f>
        <v>1.2229177712875809</v>
      </c>
      <c r="I125" s="151">
        <f>IF(TrRoad_act!I67=0,0,TrRoad_ene!I70/TrRoad_tech!I98)</f>
        <v>1.1959032546951434</v>
      </c>
      <c r="J125" s="151">
        <f>IF(TrRoad_act!J67=0,0,TrRoad_ene!J70/TrRoad_tech!J98)</f>
        <v>1.2159596266765729</v>
      </c>
      <c r="K125" s="151">
        <f>IF(TrRoad_act!K67=0,0,TrRoad_ene!K70/TrRoad_tech!K98)</f>
        <v>1.182215583786296</v>
      </c>
      <c r="L125" s="151">
        <f>IF(TrRoad_act!L67=0,0,TrRoad_ene!L70/TrRoad_tech!L98)</f>
        <v>1.1818949980244067</v>
      </c>
      <c r="M125" s="151">
        <f>IF(TrRoad_act!M67=0,0,TrRoad_ene!M70/TrRoad_tech!M98)</f>
        <v>1.2344093456796994</v>
      </c>
      <c r="N125" s="151">
        <f>IF(TrRoad_act!N67=0,0,TrRoad_ene!N70/TrRoad_tech!N98)</f>
        <v>1.2169615368477211</v>
      </c>
      <c r="O125" s="151">
        <f>IF(TrRoad_act!O67=0,0,TrRoad_ene!O70/TrRoad_tech!O98)</f>
        <v>1.0169648311670925</v>
      </c>
      <c r="P125" s="151">
        <f>IF(TrRoad_act!P67=0,0,TrRoad_ene!P70/TrRoad_tech!P98)</f>
        <v>0.98384566206181168</v>
      </c>
      <c r="Q125" s="151">
        <f>IF(TrRoad_act!Q67=0,0,TrRoad_ene!Q70/TrRoad_tech!Q98)</f>
        <v>0.9788266195165396</v>
      </c>
      <c r="R125" s="151">
        <f>IF(TrRoad_act!R67=0,0,TrRoad_ene!R70/TrRoad_tech!R98)</f>
        <v>0.97549886380003092</v>
      </c>
      <c r="S125" s="151">
        <f>IF(TrRoad_act!S67=0,0,TrRoad_ene!S70/TrRoad_tech!S98)</f>
        <v>0.96770705336391616</v>
      </c>
      <c r="T125" s="151">
        <f>IF(TrRoad_act!T67=0,0,TrRoad_ene!T70/TrRoad_tech!T98)</f>
        <v>0.98315801721824692</v>
      </c>
      <c r="U125" s="151">
        <f>IF(TrRoad_act!U67=0,0,TrRoad_ene!U70/TrRoad_tech!U98)</f>
        <v>1.1388525662258382</v>
      </c>
      <c r="V125" s="151">
        <f>IF(TrRoad_act!V67=0,0,TrRoad_ene!V70/TrRoad_tech!V98)</f>
        <v>1.1526378001330602</v>
      </c>
      <c r="W125" s="151">
        <f>IF(TrRoad_act!W67=0,0,TrRoad_ene!W70/TrRoad_tech!W98)</f>
        <v>1.1586214370054944</v>
      </c>
      <c r="X125" s="151">
        <f>IF(TrRoad_act!X67=0,0,TrRoad_ene!X70/TrRoad_tech!X98)</f>
        <v>1.1506963352297535</v>
      </c>
      <c r="Y125" s="151">
        <f>IF(TrRoad_act!Y67=0,0,TrRoad_ene!Y70/TrRoad_tech!Y98)</f>
        <v>1.2125362246073788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1.1000429187396936</v>
      </c>
      <c r="D126" s="93">
        <f>IF(TrRoad_act!D68=0,0,TrRoad_ene!D71/TrRoad_tech!D99)</f>
        <v>1.1001137916035717</v>
      </c>
      <c r="E126" s="93">
        <f>IF(TrRoad_act!E68=0,0,TrRoad_ene!E71/TrRoad_tech!E99)</f>
        <v>1.1003526643894008</v>
      </c>
      <c r="F126" s="93">
        <f>IF(TrRoad_act!F68=0,0,TrRoad_ene!F71/TrRoad_tech!F99)</f>
        <v>1.1004677620547176</v>
      </c>
      <c r="G126" s="93">
        <f>IF(TrRoad_act!G68=0,0,TrRoad_ene!G71/TrRoad_tech!G99)</f>
        <v>1.1006316421115732</v>
      </c>
      <c r="H126" s="93">
        <f>IF(TrRoad_act!H68=0,0,TrRoad_ene!H71/TrRoad_tech!H99)</f>
        <v>1.1036567436601219</v>
      </c>
      <c r="I126" s="93">
        <f>IF(TrRoad_act!I68=0,0,TrRoad_ene!I71/TrRoad_tech!I99)</f>
        <v>1.1049532027168136</v>
      </c>
      <c r="J126" s="93">
        <f>IF(TrRoad_act!J68=0,0,TrRoad_ene!J71/TrRoad_tech!J99)</f>
        <v>1.1084337330741316</v>
      </c>
      <c r="K126" s="93">
        <f>IF(TrRoad_act!K68=0,0,TrRoad_ene!K71/TrRoad_tech!K99)</f>
        <v>1.1156279708723909</v>
      </c>
      <c r="L126" s="93">
        <f>IF(TrRoad_act!L68=0,0,TrRoad_ene!L71/TrRoad_tech!L99)</f>
        <v>1.1356395706675522</v>
      </c>
      <c r="M126" s="93">
        <f>IF(TrRoad_act!M68=0,0,TrRoad_ene!M71/TrRoad_tech!M99)</f>
        <v>1.1719169087785446</v>
      </c>
      <c r="N126" s="93">
        <f>IF(TrRoad_act!N68=0,0,TrRoad_ene!N71/TrRoad_tech!N99)</f>
        <v>1.1844845009432088</v>
      </c>
      <c r="O126" s="93">
        <f>IF(TrRoad_act!O68=0,0,TrRoad_ene!O71/TrRoad_tech!O99)</f>
        <v>1.194840708796155</v>
      </c>
      <c r="P126" s="93">
        <f>IF(TrRoad_act!P68=0,0,TrRoad_ene!P71/TrRoad_tech!P99)</f>
        <v>1.2046073100301342</v>
      </c>
      <c r="Q126" s="93">
        <f>IF(TrRoad_act!Q68=0,0,TrRoad_ene!Q71/TrRoad_tech!Q99)</f>
        <v>1.2061755530882357</v>
      </c>
      <c r="R126" s="93">
        <f>IF(TrRoad_act!R68=0,0,TrRoad_ene!R71/TrRoad_tech!R99)</f>
        <v>1.2275689639741516</v>
      </c>
      <c r="S126" s="93">
        <f>IF(TrRoad_act!S68=0,0,TrRoad_ene!S71/TrRoad_tech!S99)</f>
        <v>1.2357504952551976</v>
      </c>
      <c r="T126" s="93">
        <f>IF(TrRoad_act!T68=0,0,TrRoad_ene!T71/TrRoad_tech!T99)</f>
        <v>1.2446448695693269</v>
      </c>
      <c r="U126" s="93">
        <f>IF(TrRoad_act!U68=0,0,TrRoad_ene!U71/TrRoad_tech!U99)</f>
        <v>1.2558120037566654</v>
      </c>
      <c r="V126" s="93">
        <f>IF(TrRoad_act!V68=0,0,TrRoad_ene!V71/TrRoad_tech!V99)</f>
        <v>1.2644030201468173</v>
      </c>
      <c r="W126" s="93">
        <f>IF(TrRoad_act!W68=0,0,TrRoad_ene!W71/TrRoad_tech!W99)</f>
        <v>1.2655106563621281</v>
      </c>
      <c r="X126" s="93">
        <f>IF(TrRoad_act!X68=0,0,TrRoad_ene!X71/TrRoad_tech!X99)</f>
        <v>1.2740338146938743</v>
      </c>
      <c r="Y126" s="93">
        <f>IF(TrRoad_act!Y68=0,0,TrRoad_ene!Y71/TrRoad_tech!Y99)</f>
        <v>1.2788621224297712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1.2296218653744588</v>
      </c>
      <c r="C127" s="93">
        <f>IF(TrRoad_act!C69=0,0,TrRoad_ene!C72/TrRoad_tech!C100)</f>
        <v>1.2406379719922973</v>
      </c>
      <c r="D127" s="93">
        <f>IF(TrRoad_act!D69=0,0,TrRoad_ene!D72/TrRoad_tech!D100)</f>
        <v>1.2171302743200658</v>
      </c>
      <c r="E127" s="93">
        <f>IF(TrRoad_act!E69=0,0,TrRoad_ene!E72/TrRoad_tech!E100)</f>
        <v>1.2520055361986588</v>
      </c>
      <c r="F127" s="93">
        <f>IF(TrRoad_act!F69=0,0,TrRoad_ene!F72/TrRoad_tech!F100)</f>
        <v>1.2930196210268401</v>
      </c>
      <c r="G127" s="93">
        <f>IF(TrRoad_act!G69=0,0,TrRoad_ene!G72/TrRoad_tech!G100)</f>
        <v>1.2323648984476403</v>
      </c>
      <c r="H127" s="93">
        <f>IF(TrRoad_act!H69=0,0,TrRoad_ene!H72/TrRoad_tech!H100)</f>
        <v>1.2435507794576228</v>
      </c>
      <c r="I127" s="93">
        <f>IF(TrRoad_act!I69=0,0,TrRoad_ene!I72/TrRoad_tech!I100)</f>
        <v>1.226588718836825</v>
      </c>
      <c r="J127" s="93">
        <f>IF(TrRoad_act!J69=0,0,TrRoad_ene!J72/TrRoad_tech!J100)</f>
        <v>1.2262725405917132</v>
      </c>
      <c r="K127" s="93">
        <f>IF(TrRoad_act!K69=0,0,TrRoad_ene!K72/TrRoad_tech!K100)</f>
        <v>1.2192863661996189</v>
      </c>
      <c r="L127" s="93">
        <f>IF(TrRoad_act!L69=0,0,TrRoad_ene!L72/TrRoad_tech!L100)</f>
        <v>1.239890996443342</v>
      </c>
      <c r="M127" s="93">
        <f>IF(TrRoad_act!M69=0,0,TrRoad_ene!M72/TrRoad_tech!M100)</f>
        <v>1.2286370451871937</v>
      </c>
      <c r="N127" s="93">
        <f>IF(TrRoad_act!N69=0,0,TrRoad_ene!N72/TrRoad_tech!N100)</f>
        <v>1.1968625919752509</v>
      </c>
      <c r="O127" s="93">
        <f>IF(TrRoad_act!O69=0,0,TrRoad_ene!O72/TrRoad_tech!O100)</f>
        <v>1.2194143152961656</v>
      </c>
      <c r="P127" s="93">
        <f>IF(TrRoad_act!P69=0,0,TrRoad_ene!P72/TrRoad_tech!P100)</f>
        <v>1.1677921830676681</v>
      </c>
      <c r="Q127" s="93">
        <f>IF(TrRoad_act!Q69=0,0,TrRoad_ene!Q72/TrRoad_tech!Q100)</f>
        <v>1.1729310348247763</v>
      </c>
      <c r="R127" s="93">
        <f>IF(TrRoad_act!R69=0,0,TrRoad_ene!R72/TrRoad_tech!R100)</f>
        <v>1.1604956463900682</v>
      </c>
      <c r="S127" s="93">
        <f>IF(TrRoad_act!S69=0,0,TrRoad_ene!S72/TrRoad_tech!S100)</f>
        <v>1.190056386011711</v>
      </c>
      <c r="T127" s="93">
        <f>IF(TrRoad_act!T69=0,0,TrRoad_ene!T72/TrRoad_tech!T100)</f>
        <v>1.1694739138706851</v>
      </c>
      <c r="U127" s="93">
        <f>IF(TrRoad_act!U69=0,0,TrRoad_ene!U72/TrRoad_tech!U100)</f>
        <v>1.1836766318581746</v>
      </c>
      <c r="V127" s="93">
        <f>IF(TrRoad_act!V69=0,0,TrRoad_ene!V72/TrRoad_tech!V100)</f>
        <v>1.2354526507686856</v>
      </c>
      <c r="W127" s="93">
        <f>IF(TrRoad_act!W69=0,0,TrRoad_ene!W72/TrRoad_tech!W100)</f>
        <v>1.2465966593544751</v>
      </c>
      <c r="X127" s="93">
        <f>IF(TrRoad_act!X69=0,0,TrRoad_ene!X72/TrRoad_tech!X100)</f>
        <v>1.222573724522972</v>
      </c>
      <c r="Y127" s="93">
        <f>IF(TrRoad_act!Y69=0,0,TrRoad_ene!Y72/TrRoad_tech!Y100)</f>
        <v>1.2291082517344503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0.98456581742002103</v>
      </c>
      <c r="C129" s="93">
        <f>IF(TrRoad_act!C71=0,0,TrRoad_ene!C74/TrRoad_tech!C102)</f>
        <v>0.89281144618792685</v>
      </c>
      <c r="D129" s="93">
        <f>IF(TrRoad_act!D71=0,0,TrRoad_ene!D74/TrRoad_tech!D102)</f>
        <v>0.86171300676478124</v>
      </c>
      <c r="E129" s="93">
        <f>IF(TrRoad_act!E71=0,0,TrRoad_ene!E74/TrRoad_tech!E102)</f>
        <v>1.138164898749231</v>
      </c>
      <c r="F129" s="93">
        <f>IF(TrRoad_act!F71=0,0,TrRoad_ene!F74/TrRoad_tech!F102)</f>
        <v>0.79092588981651879</v>
      </c>
      <c r="G129" s="93">
        <f>IF(TrRoad_act!G71=0,0,TrRoad_ene!G74/TrRoad_tech!G102)</f>
        <v>0.30077729157384181</v>
      </c>
      <c r="H129" s="93">
        <f>IF(TrRoad_act!H71=0,0,TrRoad_ene!H74/TrRoad_tech!H102)</f>
        <v>0.93826095956816258</v>
      </c>
      <c r="I129" s="93">
        <f>IF(TrRoad_act!I71=0,0,TrRoad_ene!I74/TrRoad_tech!I102)</f>
        <v>0.76007199366140588</v>
      </c>
      <c r="J129" s="93">
        <f>IF(TrRoad_act!J71=0,0,TrRoad_ene!J74/TrRoad_tech!J102)</f>
        <v>1.2374058011845912</v>
      </c>
      <c r="K129" s="93">
        <f>IF(TrRoad_act!K71=0,0,TrRoad_ene!K74/TrRoad_tech!K102)</f>
        <v>0.90539022808032144</v>
      </c>
      <c r="L129" s="93">
        <f>IF(TrRoad_act!L71=0,0,TrRoad_ene!L74/TrRoad_tech!L102)</f>
        <v>0.78109443503968412</v>
      </c>
      <c r="M129" s="93">
        <f>IF(TrRoad_act!M71=0,0,TrRoad_ene!M74/TrRoad_tech!M102)</f>
        <v>1.3813577802713692</v>
      </c>
      <c r="N129" s="93">
        <f>IF(TrRoad_act!N71=0,0,TrRoad_ene!N74/TrRoad_tech!N102)</f>
        <v>1.4343597455443324</v>
      </c>
      <c r="O129" s="93">
        <f>IF(TrRoad_act!O71=0,0,TrRoad_ene!O74/TrRoad_tech!O102)</f>
        <v>0.66472298607365532</v>
      </c>
      <c r="P129" s="93">
        <f>IF(TrRoad_act!P71=0,0,TrRoad_ene!P74/TrRoad_tech!P102)</f>
        <v>0.67469357838170285</v>
      </c>
      <c r="Q129" s="93">
        <f>IF(TrRoad_act!Q71=0,0,TrRoad_ene!Q74/TrRoad_tech!Q102)</f>
        <v>0.63153151272133035</v>
      </c>
      <c r="R129" s="93">
        <f>IF(TrRoad_act!R71=0,0,TrRoad_ene!R74/TrRoad_tech!R102)</f>
        <v>0.62265522004987084</v>
      </c>
      <c r="S129" s="93">
        <f>IF(TrRoad_act!S71=0,0,TrRoad_ene!S74/TrRoad_tech!S102)</f>
        <v>0.53943553090410556</v>
      </c>
      <c r="T129" s="93">
        <f>IF(TrRoad_act!T71=0,0,TrRoad_ene!T74/TrRoad_tech!T102)</f>
        <v>0.59985253579857944</v>
      </c>
      <c r="U129" s="93">
        <f>IF(TrRoad_act!U71=0,0,TrRoad_ene!U74/TrRoad_tech!U102)</f>
        <v>0.9124764520847175</v>
      </c>
      <c r="V129" s="93">
        <f>IF(TrRoad_act!V71=0,0,TrRoad_ene!V74/TrRoad_tech!V102)</f>
        <v>0.76614357214014417</v>
      </c>
      <c r="W129" s="93">
        <f>IF(TrRoad_act!W71=0,0,TrRoad_ene!W74/TrRoad_tech!W102)</f>
        <v>0.71119585042590872</v>
      </c>
      <c r="X129" s="93">
        <f>IF(TrRoad_act!X71=0,0,TrRoad_ene!X74/TrRoad_tech!X102)</f>
        <v>0.7167251094304079</v>
      </c>
      <c r="Y129" s="93">
        <f>IF(TrRoad_act!Y71=0,0,TrRoad_ene!Y74/TrRoad_tech!Y102)</f>
        <v>1.0414345073137563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1.1000000000067305</v>
      </c>
      <c r="D130" s="93">
        <f>IF(TrRoad_act!D72=0,0,TrRoad_ene!D75/TrRoad_tech!D103)</f>
        <v>1.1000000000067303</v>
      </c>
      <c r="E130" s="93">
        <f>IF(TrRoad_act!E72=0,0,TrRoad_ene!E75/TrRoad_tech!E103)</f>
        <v>1.106635176043117</v>
      </c>
      <c r="F130" s="93">
        <f>IF(TrRoad_act!F72=0,0,TrRoad_ene!F75/TrRoad_tech!F103)</f>
        <v>1.1066351760431168</v>
      </c>
      <c r="G130" s="93">
        <f>IF(TrRoad_act!G72=0,0,TrRoad_ene!G75/TrRoad_tech!G103)</f>
        <v>1.1079254030353696</v>
      </c>
      <c r="H130" s="93">
        <f>IF(TrRoad_act!H72=0,0,TrRoad_ene!H75/TrRoad_tech!H103)</f>
        <v>1.1085340781529769</v>
      </c>
      <c r="I130" s="93">
        <f>IF(TrRoad_act!I72=0,0,TrRoad_ene!I75/TrRoad_tech!I103)</f>
        <v>1.1100966861689492</v>
      </c>
      <c r="J130" s="93">
        <f>IF(TrRoad_act!J72=0,0,TrRoad_ene!J75/TrRoad_tech!J103)</f>
        <v>1.1123806507597078</v>
      </c>
      <c r="K130" s="93">
        <f>IF(TrRoad_act!K72=0,0,TrRoad_ene!K75/TrRoad_tech!K103)</f>
        <v>1.112380650759708</v>
      </c>
      <c r="L130" s="93">
        <f>IF(TrRoad_act!L72=0,0,TrRoad_ene!L75/TrRoad_tech!L103)</f>
        <v>1.1160000000058972</v>
      </c>
      <c r="M130" s="93">
        <f>IF(TrRoad_act!M72=0,0,TrRoad_ene!M75/TrRoad_tech!M103)</f>
        <v>1.1160000000058972</v>
      </c>
      <c r="N130" s="93">
        <f>IF(TrRoad_act!N72=0,0,TrRoad_ene!N75/TrRoad_tech!N103)</f>
        <v>1.1585917256741753</v>
      </c>
      <c r="O130" s="93">
        <f>IF(TrRoad_act!O72=0,0,TrRoad_ene!O75/TrRoad_tech!O103)</f>
        <v>1.1853912698592655</v>
      </c>
      <c r="P130" s="93">
        <f>IF(TrRoad_act!P72=0,0,TrRoad_ene!P75/TrRoad_tech!P103)</f>
        <v>1.2268711160281598</v>
      </c>
      <c r="Q130" s="93">
        <f>IF(TrRoad_act!Q72=0,0,TrRoad_ene!Q75/TrRoad_tech!Q103)</f>
        <v>1.2696678447243277</v>
      </c>
      <c r="R130" s="93">
        <f>IF(TrRoad_act!R72=0,0,TrRoad_ene!R75/TrRoad_tech!R103)</f>
        <v>1.2974121964405556</v>
      </c>
      <c r="S130" s="93">
        <f>IF(TrRoad_act!S72=0,0,TrRoad_ene!S75/TrRoad_tech!S103)</f>
        <v>1.3075007213391876</v>
      </c>
      <c r="T130" s="93">
        <f>IF(TrRoad_act!T72=0,0,TrRoad_ene!T75/TrRoad_tech!T103)</f>
        <v>1.3247601853588356</v>
      </c>
      <c r="U130" s="93">
        <f>IF(TrRoad_act!U72=0,0,TrRoad_ene!U75/TrRoad_tech!U103)</f>
        <v>1.3400755848216603</v>
      </c>
      <c r="V130" s="93">
        <f>IF(TrRoad_act!V72=0,0,TrRoad_ene!V75/TrRoad_tech!V103)</f>
        <v>1.3460873589267377</v>
      </c>
      <c r="W130" s="93">
        <f>IF(TrRoad_act!W72=0,0,TrRoad_ene!W75/TrRoad_tech!W103)</f>
        <v>1.3496007724457293</v>
      </c>
      <c r="X130" s="93">
        <f>IF(TrRoad_act!X72=0,0,TrRoad_ene!X75/TrRoad_tech!X103)</f>
        <v>1.3533185695775207</v>
      </c>
      <c r="Y130" s="93">
        <f>IF(TrRoad_act!Y72=0,0,TrRoad_ene!Y75/TrRoad_tech!Y103)</f>
        <v>1.3562157691008627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1.1443603825595565</v>
      </c>
      <c r="C132" s="150">
        <f>IF(TrRoad_act!C74=0,0,TrRoad_ene!C77/TrRoad_tech!C105)</f>
        <v>1.1263095889325128</v>
      </c>
      <c r="D132" s="150">
        <f>IF(TrRoad_act!D74=0,0,TrRoad_ene!D77/TrRoad_tech!D105)</f>
        <v>1.1122444014675286</v>
      </c>
      <c r="E132" s="150">
        <f>IF(TrRoad_act!E74=0,0,TrRoad_ene!E77/TrRoad_tech!E105)</f>
        <v>1.1390054091353365</v>
      </c>
      <c r="F132" s="150">
        <f>IF(TrRoad_act!F74=0,0,TrRoad_ene!F77/TrRoad_tech!F105)</f>
        <v>1.1763803731291516</v>
      </c>
      <c r="G132" s="150">
        <f>IF(TrRoad_act!G74=0,0,TrRoad_ene!G77/TrRoad_tech!G105)</f>
        <v>1.1435614149516289</v>
      </c>
      <c r="H132" s="150">
        <f>IF(TrRoad_act!H74=0,0,TrRoad_ene!H77/TrRoad_tech!H105)</f>
        <v>1.1602490831230321</v>
      </c>
      <c r="I132" s="150">
        <f>IF(TrRoad_act!I74=0,0,TrRoad_ene!I77/TrRoad_tech!I105)</f>
        <v>1.1565105678074032</v>
      </c>
      <c r="J132" s="150">
        <f>IF(TrRoad_act!J74=0,0,TrRoad_ene!J77/TrRoad_tech!J105)</f>
        <v>1.1631904396396249</v>
      </c>
      <c r="K132" s="150">
        <f>IF(TrRoad_act!K74=0,0,TrRoad_ene!K77/TrRoad_tech!K105)</f>
        <v>1.1587943954335538</v>
      </c>
      <c r="L132" s="150">
        <f>IF(TrRoad_act!L74=0,0,TrRoad_ene!L77/TrRoad_tech!L105)</f>
        <v>1.1754023233684681</v>
      </c>
      <c r="M132" s="150">
        <f>IF(TrRoad_act!M74=0,0,TrRoad_ene!M77/TrRoad_tech!M105)</f>
        <v>1.1668844105364427</v>
      </c>
      <c r="N132" s="150">
        <f>IF(TrRoad_act!N74=0,0,TrRoad_ene!N77/TrRoad_tech!N105)</f>
        <v>1.1368021209370649</v>
      </c>
      <c r="O132" s="150">
        <f>IF(TrRoad_act!O74=0,0,TrRoad_ene!O77/TrRoad_tech!O105)</f>
        <v>1.1433615340952332</v>
      </c>
      <c r="P132" s="150">
        <f>IF(TrRoad_act!P74=0,0,TrRoad_ene!P77/TrRoad_tech!P105)</f>
        <v>1.0958529394082452</v>
      </c>
      <c r="Q132" s="150">
        <f>IF(TrRoad_act!Q74=0,0,TrRoad_ene!Q77/TrRoad_tech!Q105)</f>
        <v>1.097655679663023</v>
      </c>
      <c r="R132" s="150">
        <f>IF(TrRoad_act!R74=0,0,TrRoad_ene!R77/TrRoad_tech!R105)</f>
        <v>1.0759308781084742</v>
      </c>
      <c r="S132" s="150">
        <f>IF(TrRoad_act!S74=0,0,TrRoad_ene!S77/TrRoad_tech!S105)</f>
        <v>1.1026167260472779</v>
      </c>
      <c r="T132" s="150">
        <f>IF(TrRoad_act!T74=0,0,TrRoad_ene!T77/TrRoad_tech!T105)</f>
        <v>1.0929200426817376</v>
      </c>
      <c r="U132" s="150">
        <f>IF(TrRoad_act!U74=0,0,TrRoad_ene!U77/TrRoad_tech!U105)</f>
        <v>1.1115290742880097</v>
      </c>
      <c r="V132" s="150">
        <f>IF(TrRoad_act!V74=0,0,TrRoad_ene!V77/TrRoad_tech!V105)</f>
        <v>1.146435620091226</v>
      </c>
      <c r="W132" s="150">
        <f>IF(TrRoad_act!W74=0,0,TrRoad_ene!W77/TrRoad_tech!W105)</f>
        <v>1.1600372374758485</v>
      </c>
      <c r="X132" s="150">
        <f>IF(TrRoad_act!X74=0,0,TrRoad_ene!X77/TrRoad_tech!X105)</f>
        <v>1.1534403536549971</v>
      </c>
      <c r="Y132" s="150">
        <f>IF(TrRoad_act!Y74=0,0,TrRoad_ene!Y77/TrRoad_tech!Y105)</f>
        <v>1.1747521104672174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1.1000322695967151</v>
      </c>
      <c r="D133" s="91">
        <f>IF(TrRoad_act!D75=0,0,TrRoad_ene!D78/TrRoad_tech!D106)</f>
        <v>1.1001005397673997</v>
      </c>
      <c r="E133" s="91">
        <f>IF(TrRoad_act!E75=0,0,TrRoad_ene!E78/TrRoad_tech!E106)</f>
        <v>1.1002072561777172</v>
      </c>
      <c r="F133" s="91">
        <f>IF(TrRoad_act!F75=0,0,TrRoad_ene!F78/TrRoad_tech!F106)</f>
        <v>1.1003570939858578</v>
      </c>
      <c r="G133" s="91">
        <f>IF(TrRoad_act!G75=0,0,TrRoad_ene!G78/TrRoad_tech!G106)</f>
        <v>1.1005862655707406</v>
      </c>
      <c r="H133" s="91">
        <f>IF(TrRoad_act!H75=0,0,TrRoad_ene!H78/TrRoad_tech!H106)</f>
        <v>1.1010454127383364</v>
      </c>
      <c r="I133" s="91">
        <f>IF(TrRoad_act!I75=0,0,TrRoad_ene!I78/TrRoad_tech!I106)</f>
        <v>1.1018259879361416</v>
      </c>
      <c r="J133" s="91">
        <f>IF(TrRoad_act!J75=0,0,TrRoad_ene!J78/TrRoad_tech!J106)</f>
        <v>1.1027669061455967</v>
      </c>
      <c r="K133" s="91">
        <f>IF(TrRoad_act!K75=0,0,TrRoad_ene!K78/TrRoad_tech!K106)</f>
        <v>1.1038905164079515</v>
      </c>
      <c r="L133" s="91">
        <f>IF(TrRoad_act!L75=0,0,TrRoad_ene!L78/TrRoad_tech!L106)</f>
        <v>1.1051723109332894</v>
      </c>
      <c r="M133" s="91">
        <f>IF(TrRoad_act!M75=0,0,TrRoad_ene!M78/TrRoad_tech!M106)</f>
        <v>1.1069074870276534</v>
      </c>
      <c r="N133" s="91">
        <f>IF(TrRoad_act!N75=0,0,TrRoad_ene!N78/TrRoad_tech!N106)</f>
        <v>1.1094321344517166</v>
      </c>
      <c r="O133" s="91">
        <f>IF(TrRoad_act!O75=0,0,TrRoad_ene!O78/TrRoad_tech!O106)</f>
        <v>1.1117549571738556</v>
      </c>
      <c r="P133" s="91">
        <f>IF(TrRoad_act!P75=0,0,TrRoad_ene!P78/TrRoad_tech!P106)</f>
        <v>1.1155784099488055</v>
      </c>
      <c r="Q133" s="91">
        <f>IF(TrRoad_act!Q75=0,0,TrRoad_ene!Q78/TrRoad_tech!Q106)</f>
        <v>1.1198583999193854</v>
      </c>
      <c r="R133" s="91">
        <f>IF(TrRoad_act!R75=0,0,TrRoad_ene!R78/TrRoad_tech!R106)</f>
        <v>1.1251578851901858</v>
      </c>
      <c r="S133" s="91">
        <f>IF(TrRoad_act!S75=0,0,TrRoad_ene!S78/TrRoad_tech!S106)</f>
        <v>1.1306259237829008</v>
      </c>
      <c r="T133" s="91">
        <f>IF(TrRoad_act!T75=0,0,TrRoad_ene!T78/TrRoad_tech!T106)</f>
        <v>1.1446952174647813</v>
      </c>
      <c r="U133" s="91">
        <f>IF(TrRoad_act!U75=0,0,TrRoad_ene!U78/TrRoad_tech!U106)</f>
        <v>1.1655220459730475</v>
      </c>
      <c r="V133" s="91">
        <f>IF(TrRoad_act!V75=0,0,TrRoad_ene!V78/TrRoad_tech!V106)</f>
        <v>1.1799350143942002</v>
      </c>
      <c r="W133" s="91">
        <f>IF(TrRoad_act!W75=0,0,TrRoad_ene!W78/TrRoad_tech!W106)</f>
        <v>1.1916589256463792</v>
      </c>
      <c r="X133" s="91">
        <f>IF(TrRoad_act!X75=0,0,TrRoad_ene!X78/TrRoad_tech!X106)</f>
        <v>1.2164682649189384</v>
      </c>
      <c r="Y133" s="91">
        <f>IF(TrRoad_act!Y75=0,0,TrRoad_ene!Y78/TrRoad_tech!Y106)</f>
        <v>1.2387440281778064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1.2296218653744588</v>
      </c>
      <c r="C134" s="91">
        <f>IF(TrRoad_act!C76=0,0,TrRoad_ene!C79/TrRoad_tech!C107)</f>
        <v>1.2406920633956697</v>
      </c>
      <c r="D134" s="91">
        <f>IF(TrRoad_act!D76=0,0,TrRoad_ene!D79/TrRoad_tech!D107)</f>
        <v>1.2169319413224833</v>
      </c>
      <c r="E134" s="91">
        <f>IF(TrRoad_act!E76=0,0,TrRoad_ene!E79/TrRoad_tech!E107)</f>
        <v>1.2512952140253661</v>
      </c>
      <c r="F134" s="91">
        <f>IF(TrRoad_act!F76=0,0,TrRoad_ene!F79/TrRoad_tech!F107)</f>
        <v>1.2916010113945233</v>
      </c>
      <c r="G134" s="91">
        <f>IF(TrRoad_act!G76=0,0,TrRoad_ene!G79/TrRoad_tech!G107)</f>
        <v>1.2296755110618063</v>
      </c>
      <c r="H134" s="91">
        <f>IF(TrRoad_act!H76=0,0,TrRoad_ene!H79/TrRoad_tech!H107)</f>
        <v>1.2391422450630878</v>
      </c>
      <c r="I134" s="91">
        <f>IF(TrRoad_act!I76=0,0,TrRoad_ene!I79/TrRoad_tech!I107)</f>
        <v>1.2212031657407223</v>
      </c>
      <c r="J134" s="91">
        <f>IF(TrRoad_act!J76=0,0,TrRoad_ene!J79/TrRoad_tech!J107)</f>
        <v>1.2186660827556095</v>
      </c>
      <c r="K134" s="91">
        <f>IF(TrRoad_act!K76=0,0,TrRoad_ene!K79/TrRoad_tech!K107)</f>
        <v>1.2074212487806582</v>
      </c>
      <c r="L134" s="91">
        <f>IF(TrRoad_act!L76=0,0,TrRoad_ene!L79/TrRoad_tech!L107)</f>
        <v>1.2186374903491928</v>
      </c>
      <c r="M134" s="91">
        <f>IF(TrRoad_act!M76=0,0,TrRoad_ene!M79/TrRoad_tech!M107)</f>
        <v>1.1985996513021018</v>
      </c>
      <c r="N134" s="91">
        <f>IF(TrRoad_act!N76=0,0,TrRoad_ene!N79/TrRoad_tech!N107)</f>
        <v>1.1626574340115929</v>
      </c>
      <c r="O134" s="91">
        <f>IF(TrRoad_act!O76=0,0,TrRoad_ene!O79/TrRoad_tech!O107)</f>
        <v>1.1693202807656253</v>
      </c>
      <c r="P134" s="91">
        <f>IF(TrRoad_act!P76=0,0,TrRoad_ene!P79/TrRoad_tech!P107)</f>
        <v>1.1176468399554946</v>
      </c>
      <c r="Q134" s="91">
        <f>IF(TrRoad_act!Q76=0,0,TrRoad_ene!Q79/TrRoad_tech!Q107)</f>
        <v>1.1213718763630363</v>
      </c>
      <c r="R134" s="91">
        <f>IF(TrRoad_act!R76=0,0,TrRoad_ene!R79/TrRoad_tech!R107)</f>
        <v>1.1021368109222167</v>
      </c>
      <c r="S134" s="91">
        <f>IF(TrRoad_act!S76=0,0,TrRoad_ene!S79/TrRoad_tech!S107)</f>
        <v>1.135468130664266</v>
      </c>
      <c r="T134" s="91">
        <f>IF(TrRoad_act!T76=0,0,TrRoad_ene!T79/TrRoad_tech!T107)</f>
        <v>1.1219795614991175</v>
      </c>
      <c r="U134" s="91">
        <f>IF(TrRoad_act!U76=0,0,TrRoad_ene!U79/TrRoad_tech!U107)</f>
        <v>1.1374551894424085</v>
      </c>
      <c r="V134" s="91">
        <f>IF(TrRoad_act!V76=0,0,TrRoad_ene!V79/TrRoad_tech!V107)</f>
        <v>1.1716780975772252</v>
      </c>
      <c r="W134" s="91">
        <f>IF(TrRoad_act!W76=0,0,TrRoad_ene!W79/TrRoad_tech!W107)</f>
        <v>1.1827793262103108</v>
      </c>
      <c r="X134" s="91">
        <f>IF(TrRoad_act!X76=0,0,TrRoad_ene!X79/TrRoad_tech!X107)</f>
        <v>1.1675244629274615</v>
      </c>
      <c r="Y134" s="91">
        <f>IF(TrRoad_act!Y76=0,0,TrRoad_ene!Y79/TrRoad_tech!Y107)</f>
        <v>1.1795909328975429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X135" s="91">
        <f>IF(TrRoad_act!X77=0,0,TrRoad_ene!X80/TrRoad_tech!X108)</f>
        <v>0</v>
      </c>
      <c r="Y135" s="91">
        <f>IF(TrRoad_act!Y77=0,0,TrRoad_ene!Y80/TrRoad_tech!Y108)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1.1040000000061811</v>
      </c>
      <c r="D136" s="91">
        <f>IF(TrRoad_act!D78=0,0,TrRoad_ene!D81/TrRoad_tech!D109)</f>
        <v>1.1084203273951359</v>
      </c>
      <c r="E136" s="91">
        <f>IF(TrRoad_act!E78=0,0,TrRoad_ene!E81/TrRoad_tech!E109)</f>
        <v>1.1131919390520537</v>
      </c>
      <c r="F136" s="91">
        <f>IF(TrRoad_act!F78=0,0,TrRoad_ene!F81/TrRoad_tech!F109)</f>
        <v>1.1171730101179238</v>
      </c>
      <c r="G136" s="91">
        <f>IF(TrRoad_act!G78=0,0,TrRoad_ene!G81/TrRoad_tech!G109)</f>
        <v>1.1260644736429146</v>
      </c>
      <c r="H136" s="91">
        <f>IF(TrRoad_act!H78=0,0,TrRoad_ene!H81/TrRoad_tech!H109)</f>
        <v>1.137547606943746</v>
      </c>
      <c r="I136" s="91">
        <f>IF(TrRoad_act!I78=0,0,TrRoad_ene!I81/TrRoad_tech!I109)</f>
        <v>1.1483370281399889</v>
      </c>
      <c r="J136" s="91">
        <f>IF(TrRoad_act!J78=0,0,TrRoad_ene!J81/TrRoad_tech!J109)</f>
        <v>1.1632855758820897</v>
      </c>
      <c r="K136" s="91">
        <f>IF(TrRoad_act!K78=0,0,TrRoad_ene!K81/TrRoad_tech!K109)</f>
        <v>1.1732403102335869</v>
      </c>
      <c r="L136" s="91">
        <f>IF(TrRoad_act!L78=0,0,TrRoad_ene!L81/TrRoad_tech!L109)</f>
        <v>1.1878803748606486</v>
      </c>
      <c r="M136" s="91">
        <f>IF(TrRoad_act!M78=0,0,TrRoad_ene!M81/TrRoad_tech!M109)</f>
        <v>1.1999620149548478</v>
      </c>
      <c r="N136" s="91">
        <f>IF(TrRoad_act!N78=0,0,TrRoad_ene!N81/TrRoad_tech!N109)</f>
        <v>1.2097920126913073</v>
      </c>
      <c r="O136" s="91">
        <f>IF(TrRoad_act!O78=0,0,TrRoad_ene!O81/TrRoad_tech!O109)</f>
        <v>1.2209755085162701</v>
      </c>
      <c r="P136" s="91">
        <f>IF(TrRoad_act!P78=0,0,TrRoad_ene!P81/TrRoad_tech!P109)</f>
        <v>1.2367551951491218</v>
      </c>
      <c r="Q136" s="91">
        <f>IF(TrRoad_act!Q78=0,0,TrRoad_ene!Q81/TrRoad_tech!Q109)</f>
        <v>1.2510455549552213</v>
      </c>
      <c r="R136" s="91">
        <f>IF(TrRoad_act!R78=0,0,TrRoad_ene!R81/TrRoad_tech!R109)</f>
        <v>1.262450653718211</v>
      </c>
      <c r="S136" s="91">
        <f>IF(TrRoad_act!S78=0,0,TrRoad_ene!S81/TrRoad_tech!S109)</f>
        <v>1.2818593604500101</v>
      </c>
      <c r="T136" s="91">
        <f>IF(TrRoad_act!T78=0,0,TrRoad_ene!T81/TrRoad_tech!T109)</f>
        <v>1.3088112415551969</v>
      </c>
      <c r="U136" s="91">
        <f>IF(TrRoad_act!U78=0,0,TrRoad_ene!U81/TrRoad_tech!U109)</f>
        <v>1.3197542734541881</v>
      </c>
      <c r="V136" s="91">
        <f>IF(TrRoad_act!V78=0,0,TrRoad_ene!V81/TrRoad_tech!V109)</f>
        <v>1.326145494695175</v>
      </c>
      <c r="W136" s="91">
        <f>IF(TrRoad_act!W78=0,0,TrRoad_ene!W81/TrRoad_tech!W109)</f>
        <v>1.3307032546018498</v>
      </c>
      <c r="X136" s="91">
        <f>IF(TrRoad_act!X78=0,0,TrRoad_ene!X81/TrRoad_tech!X109)</f>
        <v>1.3316797327128713</v>
      </c>
      <c r="Y136" s="91">
        <f>IF(TrRoad_act!Y78=0,0,TrRoad_ene!Y81/TrRoad_tech!Y109)</f>
        <v>1.3409249395090739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1.1333333333400333</v>
      </c>
      <c r="H137" s="91">
        <f>IF(TrRoad_act!H79=0,0,TrRoad_ene!H82/TrRoad_tech!H110)</f>
        <v>1.1438996332647633</v>
      </c>
      <c r="I137" s="91">
        <f>IF(TrRoad_act!I79=0,0,TrRoad_ene!I82/TrRoad_tech!I110)</f>
        <v>1.1439470065971693</v>
      </c>
      <c r="J137" s="91">
        <f>IF(TrRoad_act!J79=0,0,TrRoad_ene!J82/TrRoad_tech!J110)</f>
        <v>1.1439467347993317</v>
      </c>
      <c r="K137" s="91">
        <f>IF(TrRoad_act!K79=0,0,TrRoad_ene!K82/TrRoad_tech!K110)</f>
        <v>1.1446024383064943</v>
      </c>
      <c r="L137" s="91">
        <f>IF(TrRoad_act!L79=0,0,TrRoad_ene!L82/TrRoad_tech!L110)</f>
        <v>1.1446182775452742</v>
      </c>
      <c r="M137" s="91">
        <f>IF(TrRoad_act!M79=0,0,TrRoad_ene!M82/TrRoad_tech!M110)</f>
        <v>1.1484432694688085</v>
      </c>
      <c r="N137" s="91">
        <f>IF(TrRoad_act!N79=0,0,TrRoad_ene!N82/TrRoad_tech!N110)</f>
        <v>1.2154907848402721</v>
      </c>
      <c r="O137" s="91">
        <f>IF(TrRoad_act!O79=0,0,TrRoad_ene!O82/TrRoad_tech!O110)</f>
        <v>1.2343655519613539</v>
      </c>
      <c r="P137" s="91">
        <f>IF(TrRoad_act!P79=0,0,TrRoad_ene!P82/TrRoad_tech!P110)</f>
        <v>1.2502138403370608</v>
      </c>
      <c r="Q137" s="91">
        <f>IF(TrRoad_act!Q79=0,0,TrRoad_ene!Q82/TrRoad_tech!Q110)</f>
        <v>1.2724286516240961</v>
      </c>
      <c r="R137" s="91">
        <f>IF(TrRoad_act!R79=0,0,TrRoad_ene!R82/TrRoad_tech!R110)</f>
        <v>1.2824052812259297</v>
      </c>
      <c r="S137" s="91">
        <f>IF(TrRoad_act!S79=0,0,TrRoad_ene!S82/TrRoad_tech!S110)</f>
        <v>1.2973996967613926</v>
      </c>
      <c r="T137" s="91">
        <f>IF(TrRoad_act!T79=0,0,TrRoad_ene!T82/TrRoad_tech!T110)</f>
        <v>1.3157245758067857</v>
      </c>
      <c r="U137" s="91">
        <f>IF(TrRoad_act!U79=0,0,TrRoad_ene!U82/TrRoad_tech!U110)</f>
        <v>1.3304576055117003</v>
      </c>
      <c r="V137" s="91">
        <f>IF(TrRoad_act!V79=0,0,TrRoad_ene!V82/TrRoad_tech!V110)</f>
        <v>1.3404600462235938</v>
      </c>
      <c r="W137" s="91">
        <f>IF(TrRoad_act!W79=0,0,TrRoad_ene!W82/TrRoad_tech!W110)</f>
        <v>1.3470030725087569</v>
      </c>
      <c r="X137" s="91">
        <f>IF(TrRoad_act!X79=0,0,TrRoad_ene!X82/TrRoad_tech!X110)</f>
        <v>1.3526119962718868</v>
      </c>
      <c r="Y137" s="91">
        <f>IF(TrRoad_act!Y79=0,0,TrRoad_ene!Y82/TrRoad_tech!Y110)</f>
        <v>1.3614005424816451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1.3429681797290847</v>
      </c>
      <c r="C138" s="151">
        <f>IF(TrRoad_act!C80=0,0,TrRoad_ene!C83/TrRoad_tech!C111)</f>
        <v>1.3549177368934076</v>
      </c>
      <c r="D138" s="151">
        <f>IF(TrRoad_act!D80=0,0,TrRoad_ene!D83/TrRoad_tech!D111)</f>
        <v>1.3151637225233272</v>
      </c>
      <c r="E138" s="151">
        <f>IF(TrRoad_act!E80=0,0,TrRoad_ene!E83/TrRoad_tech!E111)</f>
        <v>1.3782719520513051</v>
      </c>
      <c r="F138" s="151">
        <f>IF(TrRoad_act!F80=0,0,TrRoad_ene!F83/TrRoad_tech!F111)</f>
        <v>1.4433548228537292</v>
      </c>
      <c r="G138" s="151">
        <f>IF(TrRoad_act!G80=0,0,TrRoad_ene!G83/TrRoad_tech!G111)</f>
        <v>1.3325199566504473</v>
      </c>
      <c r="H138" s="151">
        <f>IF(TrRoad_act!H80=0,0,TrRoad_ene!H83/TrRoad_tech!H111)</f>
        <v>1.3599384145256741</v>
      </c>
      <c r="I138" s="151">
        <f>IF(TrRoad_act!I80=0,0,TrRoad_ene!I83/TrRoad_tech!I111)</f>
        <v>1.345021128373673</v>
      </c>
      <c r="J138" s="151">
        <f>IF(TrRoad_act!J80=0,0,TrRoad_ene!J83/TrRoad_tech!J111)</f>
        <v>1.3382960759694289</v>
      </c>
      <c r="K138" s="151">
        <f>IF(TrRoad_act!K80=0,0,TrRoad_ene!K83/TrRoad_tech!K111)</f>
        <v>1.3475836336747093</v>
      </c>
      <c r="L138" s="151">
        <f>IF(TrRoad_act!L80=0,0,TrRoad_ene!L83/TrRoad_tech!L111)</f>
        <v>1.3971067889542137</v>
      </c>
      <c r="M138" s="151">
        <f>IF(TrRoad_act!M80=0,0,TrRoad_ene!M83/TrRoad_tech!M111)</f>
        <v>1.3881275306999801</v>
      </c>
      <c r="N138" s="151">
        <f>IF(TrRoad_act!N80=0,0,TrRoad_ene!N83/TrRoad_tech!N111)</f>
        <v>1.3181382414963925</v>
      </c>
      <c r="O138" s="151">
        <f>IF(TrRoad_act!O80=0,0,TrRoad_ene!O83/TrRoad_tech!O111)</f>
        <v>1.3354005108761071</v>
      </c>
      <c r="P138" s="151">
        <f>IF(TrRoad_act!P80=0,0,TrRoad_ene!P83/TrRoad_tech!P111)</f>
        <v>1.1604557238762416</v>
      </c>
      <c r="Q138" s="151">
        <f>IF(TrRoad_act!Q80=0,0,TrRoad_ene!Q83/TrRoad_tech!Q111)</f>
        <v>1.1432015914484692</v>
      </c>
      <c r="R138" s="151">
        <f>IF(TrRoad_act!R80=0,0,TrRoad_ene!R83/TrRoad_tech!R111)</f>
        <v>1.0628317352144887</v>
      </c>
      <c r="S138" s="151">
        <f>IF(TrRoad_act!S80=0,0,TrRoad_ene!S83/TrRoad_tech!S111)</f>
        <v>1.1068936009175532</v>
      </c>
      <c r="T138" s="151">
        <f>IF(TrRoad_act!T80=0,0,TrRoad_ene!T83/TrRoad_tech!T111)</f>
        <v>1.0256126178542211</v>
      </c>
      <c r="U138" s="151">
        <f>IF(TrRoad_act!U80=0,0,TrRoad_ene!U83/TrRoad_tech!U111)</f>
        <v>1.0189037988112686</v>
      </c>
      <c r="V138" s="151">
        <f>IF(TrRoad_act!V80=0,0,TrRoad_ene!V83/TrRoad_tech!V111)</f>
        <v>1.1171642340394805</v>
      </c>
      <c r="W138" s="151">
        <f>IF(TrRoad_act!W80=0,0,TrRoad_ene!W83/TrRoad_tech!W111)</f>
        <v>1.1538035705449876</v>
      </c>
      <c r="X138" s="151">
        <f>IF(TrRoad_act!X80=0,0,TrRoad_ene!X83/TrRoad_tech!X111)</f>
        <v>1.1010298954384621</v>
      </c>
      <c r="Y138" s="151">
        <f>IF(TrRoad_act!Y80=0,0,TrRoad_ene!Y83/TrRoad_tech!Y111)</f>
        <v>1.128259695721413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1.3259512890650496</v>
      </c>
      <c r="C139" s="93">
        <f>IF(TrRoad_act!C81=0,0,TrRoad_ene!C84/TrRoad_tech!C112)</f>
        <v>1.3376285407956168</v>
      </c>
      <c r="D139" s="93">
        <f>IF(TrRoad_act!D81=0,0,TrRoad_ene!D84/TrRoad_tech!D112)</f>
        <v>1.2991011648029778</v>
      </c>
      <c r="E139" s="93">
        <f>IF(TrRoad_act!E81=0,0,TrRoad_ene!E84/TrRoad_tech!E112)</f>
        <v>1.361228575048725</v>
      </c>
      <c r="F139" s="93">
        <f>IF(TrRoad_act!F81=0,0,TrRoad_ene!F84/TrRoad_tech!F112)</f>
        <v>1.4257209375393267</v>
      </c>
      <c r="G139" s="93">
        <f>IF(TrRoad_act!G81=0,0,TrRoad_ene!G84/TrRoad_tech!G112)</f>
        <v>1.3176634604152844</v>
      </c>
      <c r="H139" s="93">
        <f>IF(TrRoad_act!H81=0,0,TrRoad_ene!H84/TrRoad_tech!H112)</f>
        <v>1.3439591922861813</v>
      </c>
      <c r="I139" s="93">
        <f>IF(TrRoad_act!I81=0,0,TrRoad_ene!I84/TrRoad_tech!I112)</f>
        <v>1.329931053583332</v>
      </c>
      <c r="J139" s="93">
        <f>IF(TrRoad_act!J81=0,0,TrRoad_ene!J84/TrRoad_tech!J112)</f>
        <v>1.324547030623118</v>
      </c>
      <c r="K139" s="93">
        <f>IF(TrRoad_act!K81=0,0,TrRoad_ene!K84/TrRoad_tech!K112)</f>
        <v>1.3352849308232611</v>
      </c>
      <c r="L139" s="93">
        <f>IF(TrRoad_act!L81=0,0,TrRoad_ene!L84/TrRoad_tech!L112)</f>
        <v>1.383705476128906</v>
      </c>
      <c r="M139" s="93">
        <f>IF(TrRoad_act!M81=0,0,TrRoad_ene!M84/TrRoad_tech!M112)</f>
        <v>1.3741423421381451</v>
      </c>
      <c r="N139" s="93">
        <f>IF(TrRoad_act!N81=0,0,TrRoad_ene!N84/TrRoad_tech!N112)</f>
        <v>1.3035985974071704</v>
      </c>
      <c r="O139" s="93">
        <f>IF(TrRoad_act!O81=0,0,TrRoad_ene!O84/TrRoad_tech!O112)</f>
        <v>1.3185657635452939</v>
      </c>
      <c r="P139" s="93">
        <f>IF(TrRoad_act!P81=0,0,TrRoad_ene!P84/TrRoad_tech!P112)</f>
        <v>1.1504642205522777</v>
      </c>
      <c r="Q139" s="93">
        <f>IF(TrRoad_act!Q81=0,0,TrRoad_ene!Q84/TrRoad_tech!Q112)</f>
        <v>1.1303469256735752</v>
      </c>
      <c r="R139" s="93">
        <f>IF(TrRoad_act!R81=0,0,TrRoad_ene!R84/TrRoad_tech!R112)</f>
        <v>1.0487045920488154</v>
      </c>
      <c r="S139" s="93">
        <f>IF(TrRoad_act!S81=0,0,TrRoad_ene!S84/TrRoad_tech!S112)</f>
        <v>1.0911328710580239</v>
      </c>
      <c r="T139" s="93">
        <f>IF(TrRoad_act!T81=0,0,TrRoad_ene!T84/TrRoad_tech!T112)</f>
        <v>1.009558561929383</v>
      </c>
      <c r="U139" s="93">
        <f>IF(TrRoad_act!U81=0,0,TrRoad_ene!U84/TrRoad_tech!U112)</f>
        <v>1.002247142352273</v>
      </c>
      <c r="V139" s="93">
        <f>IF(TrRoad_act!V81=0,0,TrRoad_ene!V84/TrRoad_tech!V112)</f>
        <v>1.0958272529137432</v>
      </c>
      <c r="W139" s="93">
        <f>IF(TrRoad_act!W81=0,0,TrRoad_ene!W84/TrRoad_tech!W112)</f>
        <v>1.1285977991957954</v>
      </c>
      <c r="X139" s="93">
        <f>IF(TrRoad_act!X81=0,0,TrRoad_ene!X84/TrRoad_tech!X112)</f>
        <v>1.0800943628910609</v>
      </c>
      <c r="Y139" s="93">
        <f>IF(TrRoad_act!Y81=0,0,TrRoad_ene!Y84/TrRoad_tech!Y112)</f>
        <v>1.1018215448559845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1.3259512890650491</v>
      </c>
      <c r="C140" s="94">
        <f>IF(TrRoad_act!C82=0,0,TrRoad_ene!C85/TrRoad_tech!C113)</f>
        <v>1.3378130859893078</v>
      </c>
      <c r="D140" s="94">
        <f>IF(TrRoad_act!D82=0,0,TrRoad_ene!D85/TrRoad_tech!D113)</f>
        <v>1.2995946936051508</v>
      </c>
      <c r="E140" s="94">
        <f>IF(TrRoad_act!E82=0,0,TrRoad_ene!E85/TrRoad_tech!E113)</f>
        <v>1.3619222753982441</v>
      </c>
      <c r="F140" s="94">
        <f>IF(TrRoad_act!F82=0,0,TrRoad_ene!F85/TrRoad_tech!F113)</f>
        <v>1.4302011973009501</v>
      </c>
      <c r="G140" s="94">
        <f>IF(TrRoad_act!G82=0,0,TrRoad_ene!G85/TrRoad_tech!G113)</f>
        <v>1.3217663231160743</v>
      </c>
      <c r="H140" s="94">
        <f>IF(TrRoad_act!H82=0,0,TrRoad_ene!H85/TrRoad_tech!H113)</f>
        <v>1.348140601555383</v>
      </c>
      <c r="I140" s="94">
        <f>IF(TrRoad_act!I82=0,0,TrRoad_ene!I85/TrRoad_tech!I113)</f>
        <v>1.3318950847341937</v>
      </c>
      <c r="J140" s="94">
        <f>IF(TrRoad_act!J82=0,0,TrRoad_ene!J85/TrRoad_tech!J113)</f>
        <v>1.3227331706033083</v>
      </c>
      <c r="K140" s="94">
        <f>IF(TrRoad_act!K82=0,0,TrRoad_ene!K85/TrRoad_tech!K113)</f>
        <v>1.3292017927338686</v>
      </c>
      <c r="L140" s="94">
        <f>IF(TrRoad_act!L82=0,0,TrRoad_ene!L85/TrRoad_tech!L113)</f>
        <v>1.3810585207301636</v>
      </c>
      <c r="M140" s="94">
        <f>IF(TrRoad_act!M82=0,0,TrRoad_ene!M85/TrRoad_tech!M113)</f>
        <v>1.3643833071452156</v>
      </c>
      <c r="N140" s="94">
        <f>IF(TrRoad_act!N82=0,0,TrRoad_ene!N85/TrRoad_tech!N113)</f>
        <v>1.2905375592594428</v>
      </c>
      <c r="O140" s="94">
        <f>IF(TrRoad_act!O82=0,0,TrRoad_ene!O85/TrRoad_tech!O113)</f>
        <v>1.3135610727207292</v>
      </c>
      <c r="P140" s="94">
        <f>IF(TrRoad_act!P82=0,0,TrRoad_ene!P85/TrRoad_tech!P113)</f>
        <v>1.1417847495036406</v>
      </c>
      <c r="Q140" s="94">
        <f>IF(TrRoad_act!Q82=0,0,TrRoad_ene!Q85/TrRoad_tech!Q113)</f>
        <v>1.1352357599875658</v>
      </c>
      <c r="R140" s="94">
        <f>IF(TrRoad_act!R82=0,0,TrRoad_ene!R85/TrRoad_tech!R113)</f>
        <v>1.055611864564926</v>
      </c>
      <c r="S140" s="94">
        <f>IF(TrRoad_act!S82=0,0,TrRoad_ene!S85/TrRoad_tech!S113)</f>
        <v>1.093652369736456</v>
      </c>
      <c r="T140" s="94">
        <f>IF(TrRoad_act!T82=0,0,TrRoad_ene!T85/TrRoad_tech!T113)</f>
        <v>1.016133323166295</v>
      </c>
      <c r="U140" s="94">
        <f>IF(TrRoad_act!U82=0,0,TrRoad_ene!U85/TrRoad_tech!U113)</f>
        <v>1.0020208620779252</v>
      </c>
      <c r="V140" s="94">
        <f>IF(TrRoad_act!V82=0,0,TrRoad_ene!V85/TrRoad_tech!V113)</f>
        <v>1.1009271628882524</v>
      </c>
      <c r="W140" s="94">
        <f>IF(TrRoad_act!W82=0,0,TrRoad_ene!W85/TrRoad_tech!W113)</f>
        <v>1.143869070449318</v>
      </c>
      <c r="X140" s="94">
        <f>IF(TrRoad_act!X82=0,0,TrRoad_ene!X85/TrRoad_tech!X113)</f>
        <v>1.0850453147201036</v>
      </c>
      <c r="Y140" s="94">
        <f>IF(TrRoad_act!Y82=0,0,TrRoad_ene!Y85/TrRoad_tech!Y113)</f>
        <v>1.1040251586538112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4.0365750448229818</v>
      </c>
      <c r="C144" s="141">
        <v>4.0365750448229818</v>
      </c>
      <c r="D144" s="141">
        <v>4.0365750448229818</v>
      </c>
      <c r="E144" s="141">
        <v>3.9915262095784265</v>
      </c>
      <c r="F144" s="141">
        <v>3.9915262095784265</v>
      </c>
      <c r="G144" s="141">
        <v>3.9014285390893151</v>
      </c>
      <c r="H144" s="141">
        <v>3.811330868600205</v>
      </c>
      <c r="I144" s="141">
        <v>3.7662820333556488</v>
      </c>
      <c r="J144" s="141">
        <v>3.541037857132872</v>
      </c>
      <c r="K144" s="141">
        <v>3.3157936809100952</v>
      </c>
      <c r="L144" s="141">
        <v>3.2256960104209851</v>
      </c>
      <c r="M144" s="141">
        <v>3.0375846767632178</v>
      </c>
      <c r="N144" s="141">
        <v>2.8614614775576444</v>
      </c>
      <c r="O144" s="141">
        <v>2.7200841460218714</v>
      </c>
      <c r="P144" s="141">
        <v>2.621397862783605</v>
      </c>
      <c r="Q144" s="141">
        <v>2.5247288428033143</v>
      </c>
      <c r="R144" s="141">
        <v>2.4399658207552175</v>
      </c>
      <c r="S144" s="141">
        <v>2.3721554031167402</v>
      </c>
      <c r="T144" s="141">
        <v>2.3179070690059582</v>
      </c>
      <c r="U144" s="141">
        <v>2.2745084017173327</v>
      </c>
      <c r="V144" s="141">
        <v>2.2397894678864323</v>
      </c>
      <c r="W144" s="141">
        <v>2.2120143208217118</v>
      </c>
      <c r="X144" s="141">
        <v>2.1897942031699356</v>
      </c>
      <c r="Y144" s="141">
        <v>2.1720181090485147</v>
      </c>
      <c r="DA144" s="174" t="s">
        <v>887</v>
      </c>
    </row>
    <row r="145" spans="1:105" ht="11.45" customHeight="1" x14ac:dyDescent="0.25">
      <c r="A145" s="109" t="s">
        <v>20</v>
      </c>
      <c r="B145" s="130">
        <v>8.3381723728557482</v>
      </c>
      <c r="C145" s="130">
        <v>8.3483870370258089</v>
      </c>
      <c r="D145" s="130">
        <v>8.3514856859454909</v>
      </c>
      <c r="E145" s="130">
        <v>8.2580426935036559</v>
      </c>
      <c r="F145" s="130">
        <v>8.2525333505529481</v>
      </c>
      <c r="G145" s="130">
        <v>8.0561785625029785</v>
      </c>
      <c r="H145" s="130">
        <v>7.8071196147149964</v>
      </c>
      <c r="I145" s="130">
        <v>7.5538623798092077</v>
      </c>
      <c r="J145" s="130">
        <v>7.1045729026335032</v>
      </c>
      <c r="K145" s="130">
        <v>6.6058069904802226</v>
      </c>
      <c r="L145" s="130">
        <v>6.2899092333652646</v>
      </c>
      <c r="M145" s="130">
        <v>5.8602202301519135</v>
      </c>
      <c r="N145" s="130">
        <v>5.6456186517612634</v>
      </c>
      <c r="O145" s="130">
        <v>5.5380066341714551</v>
      </c>
      <c r="P145" s="130">
        <v>5.4555392546392838</v>
      </c>
      <c r="Q145" s="130">
        <v>5.2753326470025241</v>
      </c>
      <c r="R145" s="130">
        <v>5.1553664590406374</v>
      </c>
      <c r="S145" s="130">
        <v>5.1521112721378337</v>
      </c>
      <c r="T145" s="130">
        <v>5.2072777539631767</v>
      </c>
      <c r="U145" s="130">
        <v>5.0656529800405883</v>
      </c>
      <c r="V145" s="130">
        <v>4.402006496673363</v>
      </c>
      <c r="W145" s="130">
        <v>3.9175636543921795</v>
      </c>
      <c r="X145" s="130">
        <v>3.4894450271928736</v>
      </c>
      <c r="Y145" s="130">
        <v>3.6563726976231146</v>
      </c>
      <c r="DA145" s="176" t="s">
        <v>888</v>
      </c>
    </row>
    <row r="146" spans="1:105" ht="11.45" customHeight="1" x14ac:dyDescent="0.25">
      <c r="A146" s="111" t="s">
        <v>110</v>
      </c>
      <c r="B146" s="96">
        <v>8.419069719127652</v>
      </c>
      <c r="C146" s="96">
        <v>8.419069719127652</v>
      </c>
      <c r="D146" s="96">
        <v>8.419069719127652</v>
      </c>
      <c r="E146" s="96">
        <v>8.3188426986618467</v>
      </c>
      <c r="F146" s="96">
        <v>8.3188426986618484</v>
      </c>
      <c r="G146" s="96">
        <v>8.1183886577302378</v>
      </c>
      <c r="H146" s="96">
        <v>7.9179346167986271</v>
      </c>
      <c r="I146" s="96">
        <v>7.8177075963328191</v>
      </c>
      <c r="J146" s="96">
        <v>7.3165724940037933</v>
      </c>
      <c r="K146" s="96">
        <v>6.8154373916747675</v>
      </c>
      <c r="L146" s="96">
        <v>6.6005159190459963</v>
      </c>
      <c r="M146" s="96">
        <v>6.0881620629010476</v>
      </c>
      <c r="N146" s="96">
        <v>5.7728007194354536</v>
      </c>
      <c r="O146" s="96">
        <v>5.4903644919082515</v>
      </c>
      <c r="P146" s="96">
        <v>5.3445563801228184</v>
      </c>
      <c r="Q146" s="96">
        <v>5.1882391272950876</v>
      </c>
      <c r="R146" s="96">
        <v>5.1061170987862479</v>
      </c>
      <c r="S146" s="96">
        <v>5.1634940517374863</v>
      </c>
      <c r="T146" s="96">
        <v>5.3495284230204083</v>
      </c>
      <c r="U146" s="96">
        <v>5.3448770151121865</v>
      </c>
      <c r="V146" s="96">
        <v>5.0805226077728793</v>
      </c>
      <c r="W146" s="96">
        <v>4.8258757577109961</v>
      </c>
      <c r="X146" s="96">
        <v>4.7604755029421444</v>
      </c>
      <c r="Y146" s="96">
        <v>4.6974353592041416</v>
      </c>
      <c r="DA146" s="171" t="s">
        <v>889</v>
      </c>
    </row>
    <row r="147" spans="1:105" ht="11.45" customHeight="1" x14ac:dyDescent="0.25">
      <c r="A147" s="111" t="s">
        <v>111</v>
      </c>
      <c r="B147" s="96">
        <v>6.9438224940788462</v>
      </c>
      <c r="C147" s="96">
        <v>7.1300975162660905</v>
      </c>
      <c r="D147" s="96">
        <v>7.3429362480949276</v>
      </c>
      <c r="E147" s="96">
        <v>7.449355614009348</v>
      </c>
      <c r="F147" s="96">
        <v>7.449355614009348</v>
      </c>
      <c r="G147" s="96">
        <v>7.449355614009348</v>
      </c>
      <c r="H147" s="96">
        <v>7.3429362480949312</v>
      </c>
      <c r="I147" s="96">
        <v>7.0236781503516692</v>
      </c>
      <c r="J147" s="96">
        <v>6.7044200526084126</v>
      </c>
      <c r="K147" s="96">
        <v>6.385161954865155</v>
      </c>
      <c r="L147" s="96">
        <v>5.9594844912074789</v>
      </c>
      <c r="M147" s="96">
        <v>5.6820079960979202</v>
      </c>
      <c r="N147" s="96">
        <v>5.5201892431965849</v>
      </c>
      <c r="O147" s="96">
        <v>5.5624567703366203</v>
      </c>
      <c r="P147" s="96">
        <v>5.5872270694178559</v>
      </c>
      <c r="Q147" s="96">
        <v>5.4450975096645617</v>
      </c>
      <c r="R147" s="96">
        <v>5.3520457103041261</v>
      </c>
      <c r="S147" s="96">
        <v>5.3903557840653002</v>
      </c>
      <c r="T147" s="96">
        <v>5.4949577382415296</v>
      </c>
      <c r="U147" s="96">
        <v>5.45046698598627</v>
      </c>
      <c r="V147" s="96">
        <v>5.3232328125097252</v>
      </c>
      <c r="W147" s="96">
        <v>5.1607859887659204</v>
      </c>
      <c r="X147" s="96">
        <v>5.2241848518639227</v>
      </c>
      <c r="Y147" s="96">
        <v>5.2993579598232357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9.3499542380713994</v>
      </c>
      <c r="H148" s="96">
        <v>0</v>
      </c>
      <c r="I148" s="96">
        <v>0</v>
      </c>
      <c r="J148" s="96">
        <v>8.8447883485172589</v>
      </c>
      <c r="K148" s="96">
        <v>8.2603273920959381</v>
      </c>
      <c r="L148" s="96">
        <v>0</v>
      </c>
      <c r="M148" s="96">
        <v>7.3942679698849281</v>
      </c>
      <c r="N148" s="96">
        <v>7.2406095621694915</v>
      </c>
      <c r="O148" s="96">
        <v>5.1336237659928816</v>
      </c>
      <c r="P148" s="96">
        <v>5.1245972325162334</v>
      </c>
      <c r="Q148" s="96">
        <v>5.1099156711073013</v>
      </c>
      <c r="R148" s="96">
        <v>0</v>
      </c>
      <c r="S148" s="96">
        <v>0</v>
      </c>
      <c r="T148" s="96">
        <v>0</v>
      </c>
      <c r="U148" s="96">
        <v>0</v>
      </c>
      <c r="V148" s="96">
        <v>0</v>
      </c>
      <c r="W148" s="96">
        <v>0</v>
      </c>
      <c r="X148" s="96">
        <v>0</v>
      </c>
      <c r="Y148" s="96">
        <v>0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8.986973793553803</v>
      </c>
      <c r="E149" s="96">
        <v>8.8799860102972126</v>
      </c>
      <c r="F149" s="96">
        <v>8.8799860102972126</v>
      </c>
      <c r="G149" s="96">
        <v>8.6660104437840246</v>
      </c>
      <c r="H149" s="96">
        <v>8.4520348772708438</v>
      </c>
      <c r="I149" s="96">
        <v>8.3450470940142463</v>
      </c>
      <c r="J149" s="96">
        <v>7.8101081777312809</v>
      </c>
      <c r="K149" s="96">
        <v>7.2751692614483172</v>
      </c>
      <c r="L149" s="96">
        <v>7.0611936949351835</v>
      </c>
      <c r="M149" s="96">
        <v>6.8896256555072242</v>
      </c>
      <c r="N149" s="96">
        <v>8.2679327411057564</v>
      </c>
      <c r="O149" s="96">
        <v>6.5847701100101306</v>
      </c>
      <c r="P149" s="96">
        <v>5.9996846545491067</v>
      </c>
      <c r="Q149" s="96">
        <v>5.4452808253862521</v>
      </c>
      <c r="R149" s="96">
        <v>5.3367758995423822</v>
      </c>
      <c r="S149" s="96">
        <v>5.3315802769415743</v>
      </c>
      <c r="T149" s="96">
        <v>5.5346436930579417</v>
      </c>
      <c r="U149" s="96">
        <v>5.2936683440249181</v>
      </c>
      <c r="V149" s="96">
        <v>4.9678965967094273</v>
      </c>
      <c r="W149" s="96">
        <v>4.6728316110653507</v>
      </c>
      <c r="X149" s="96">
        <v>4.6242309955837344</v>
      </c>
      <c r="Y149" s="96">
        <v>4.6711462325455795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3.9803253083979526</v>
      </c>
      <c r="K150" s="96">
        <v>3.5990123623774242</v>
      </c>
      <c r="L150" s="96">
        <v>3.3708605187978908</v>
      </c>
      <c r="M150" s="96">
        <v>3.134832605257714</v>
      </c>
      <c r="N150" s="96">
        <v>3.1266540085884329</v>
      </c>
      <c r="O150" s="96">
        <v>3.2647467247798527</v>
      </c>
      <c r="P150" s="96">
        <v>3.1702493652850343</v>
      </c>
      <c r="Q150" s="96">
        <v>3.1086544481616847</v>
      </c>
      <c r="R150" s="96">
        <v>3.1158738295892485</v>
      </c>
      <c r="S150" s="96">
        <v>3.103578999869216</v>
      </c>
      <c r="T150" s="96">
        <v>3.1599756080049466</v>
      </c>
      <c r="U150" s="96">
        <v>2.8718842225122838</v>
      </c>
      <c r="V150" s="96">
        <v>2.8230576837720838</v>
      </c>
      <c r="W150" s="96">
        <v>2.6489550513878344</v>
      </c>
      <c r="X150" s="96">
        <v>2.5330078658365061</v>
      </c>
      <c r="Y150" s="96">
        <v>2.5112352969936529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1.6048023633442894</v>
      </c>
      <c r="K151" s="96">
        <v>1.6011741264054362</v>
      </c>
      <c r="L151" s="96">
        <v>1.5787372558653732</v>
      </c>
      <c r="M151" s="96">
        <v>1.5787372558653732</v>
      </c>
      <c r="N151" s="96">
        <v>1.3319210560816903</v>
      </c>
      <c r="O151" s="96">
        <v>1.3869120579572269</v>
      </c>
      <c r="P151" s="96">
        <v>1.289643025545725</v>
      </c>
      <c r="Q151" s="96">
        <v>1.446472455650049</v>
      </c>
      <c r="R151" s="96">
        <v>1.3995414158784756</v>
      </c>
      <c r="S151" s="96">
        <v>1.3396319010362794</v>
      </c>
      <c r="T151" s="96">
        <v>1.478004985619588</v>
      </c>
      <c r="U151" s="96">
        <v>1.4907199011820818</v>
      </c>
      <c r="V151" s="96">
        <v>1.5026507677219243</v>
      </c>
      <c r="W151" s="96">
        <v>1.5128434627458067</v>
      </c>
      <c r="X151" s="96">
        <v>1.5129871823890326</v>
      </c>
      <c r="Y151" s="96">
        <v>1.4988862408721453</v>
      </c>
      <c r="DA151" s="171" t="s">
        <v>894</v>
      </c>
    </row>
    <row r="152" spans="1:105" ht="11.45" customHeight="1" x14ac:dyDescent="0.25">
      <c r="A152" s="109" t="s">
        <v>21</v>
      </c>
      <c r="B152" s="130">
        <v>48.9460726042213</v>
      </c>
      <c r="C152" s="130">
        <v>48.836954899441231</v>
      </c>
      <c r="D152" s="130">
        <v>49.141901741263638</v>
      </c>
      <c r="E152" s="130">
        <v>48.888296867545499</v>
      </c>
      <c r="F152" s="130">
        <v>48.699095627670609</v>
      </c>
      <c r="G152" s="130">
        <v>46.052674482801656</v>
      </c>
      <c r="H152" s="130">
        <v>47.395785169707281</v>
      </c>
      <c r="I152" s="130">
        <v>47.448500997570193</v>
      </c>
      <c r="J152" s="130">
        <v>45.951409480331343</v>
      </c>
      <c r="K152" s="130">
        <v>44.478372284356446</v>
      </c>
      <c r="L152" s="130">
        <v>44.432936273095315</v>
      </c>
      <c r="M152" s="130">
        <v>43.119385695215627</v>
      </c>
      <c r="N152" s="130">
        <v>43.135209969506803</v>
      </c>
      <c r="O152" s="130">
        <v>38.421136788831824</v>
      </c>
      <c r="P152" s="130">
        <v>39.994798840002929</v>
      </c>
      <c r="Q152" s="130">
        <v>40.057272595539573</v>
      </c>
      <c r="R152" s="130">
        <v>41.719974042027125</v>
      </c>
      <c r="S152" s="130">
        <v>38.75315508775418</v>
      </c>
      <c r="T152" s="130">
        <v>38.758306023789579</v>
      </c>
      <c r="U152" s="130">
        <v>37.736001127119906</v>
      </c>
      <c r="V152" s="130">
        <v>34.972349224163196</v>
      </c>
      <c r="W152" s="130">
        <v>33.604491415915206</v>
      </c>
      <c r="X152" s="130">
        <v>31.690939115763918</v>
      </c>
      <c r="Y152" s="130">
        <v>30.197057519134756</v>
      </c>
      <c r="DA152" s="176" t="s">
        <v>895</v>
      </c>
    </row>
    <row r="153" spans="1:105" ht="11.45" customHeight="1" x14ac:dyDescent="0.25">
      <c r="A153" s="111" t="s">
        <v>110</v>
      </c>
      <c r="B153" s="97">
        <v>17.518991483993748</v>
      </c>
      <c r="C153" s="97">
        <v>17.518991483993748</v>
      </c>
      <c r="D153" s="97">
        <v>17.518991483993748</v>
      </c>
      <c r="E153" s="97">
        <v>17.310432061565255</v>
      </c>
      <c r="F153" s="97">
        <v>0</v>
      </c>
      <c r="G153" s="97">
        <v>0</v>
      </c>
      <c r="H153" s="97">
        <v>16.476194371851268</v>
      </c>
      <c r="I153" s="97">
        <v>16.267634949422767</v>
      </c>
      <c r="J153" s="97">
        <v>15.224837837280282</v>
      </c>
      <c r="K153" s="97">
        <v>14.182040725137796</v>
      </c>
      <c r="L153" s="97">
        <v>0</v>
      </c>
      <c r="M153" s="97">
        <v>12.894036076309659</v>
      </c>
      <c r="N153" s="97">
        <v>0</v>
      </c>
      <c r="O153" s="97">
        <v>11.42412621176639</v>
      </c>
      <c r="P153" s="97">
        <v>10.96724527084849</v>
      </c>
      <c r="Q153" s="97">
        <v>0</v>
      </c>
      <c r="R153" s="97">
        <v>10.888894437643254</v>
      </c>
      <c r="S153" s="97">
        <v>10.83966862377536</v>
      </c>
      <c r="T153" s="97">
        <v>10.784760133357452</v>
      </c>
      <c r="U153" s="97">
        <v>10.724844761304587</v>
      </c>
      <c r="V153" s="97">
        <v>10.660534371861331</v>
      </c>
      <c r="W153" s="97">
        <v>0</v>
      </c>
      <c r="X153" s="97">
        <v>10.520885700779505</v>
      </c>
      <c r="Y153" s="97">
        <v>10.446494945433306</v>
      </c>
      <c r="DA153" s="175" t="s">
        <v>896</v>
      </c>
    </row>
    <row r="154" spans="1:105" ht="11.45" customHeight="1" x14ac:dyDescent="0.25">
      <c r="A154" s="111" t="s">
        <v>111</v>
      </c>
      <c r="B154" s="97">
        <v>49.200037523691783</v>
      </c>
      <c r="C154" s="97">
        <v>49.200037523691783</v>
      </c>
      <c r="D154" s="97">
        <v>49.200037523691783</v>
      </c>
      <c r="E154" s="97">
        <v>49.052289663260275</v>
      </c>
      <c r="F154" s="97">
        <v>49.052289663260275</v>
      </c>
      <c r="G154" s="97">
        <v>48.751355370847634</v>
      </c>
      <c r="H154" s="97">
        <v>48.444743072917774</v>
      </c>
      <c r="I154" s="97">
        <v>48.289967535943596</v>
      </c>
      <c r="J154" s="97">
        <v>47.477005119513571</v>
      </c>
      <c r="K154" s="97">
        <v>46.620019467536792</v>
      </c>
      <c r="L154" s="97">
        <v>46.269493005374862</v>
      </c>
      <c r="M154" s="97">
        <v>45.501185542942451</v>
      </c>
      <c r="N154" s="97">
        <v>44.746025744037844</v>
      </c>
      <c r="O154" s="97">
        <v>44.114165381622023</v>
      </c>
      <c r="P154" s="97">
        <v>43.659466466205359</v>
      </c>
      <c r="Q154" s="97">
        <v>43.199999999908329</v>
      </c>
      <c r="R154" s="97">
        <v>42.448290944393932</v>
      </c>
      <c r="S154" s="97">
        <v>41.448679376975264</v>
      </c>
      <c r="T154" s="97">
        <v>40.244618006193292</v>
      </c>
      <c r="U154" s="97">
        <v>38.877370394032191</v>
      </c>
      <c r="V154" s="97">
        <v>37.385114907103123</v>
      </c>
      <c r="W154" s="97">
        <v>35.802392205439631</v>
      </c>
      <c r="X154" s="97">
        <v>34.159830839455125</v>
      </c>
      <c r="Y154" s="97">
        <v>32.484088314234022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40.59003095704572</v>
      </c>
      <c r="D156" s="97">
        <v>40.59003095704572</v>
      </c>
      <c r="E156" s="97">
        <v>0</v>
      </c>
      <c r="F156" s="97">
        <v>40.46813897218972</v>
      </c>
      <c r="G156" s="97">
        <v>40.219868180949298</v>
      </c>
      <c r="H156" s="97">
        <v>39.96691303515717</v>
      </c>
      <c r="I156" s="97">
        <v>39.839223217153467</v>
      </c>
      <c r="J156" s="97">
        <v>39.168529223598689</v>
      </c>
      <c r="K156" s="97">
        <v>38.461516060717848</v>
      </c>
      <c r="L156" s="97">
        <v>37.999997066822687</v>
      </c>
      <c r="M156" s="97">
        <v>37.538478072927518</v>
      </c>
      <c r="N156" s="97">
        <v>37.030519117828632</v>
      </c>
      <c r="O156" s="97">
        <v>36.394186439838172</v>
      </c>
      <c r="P156" s="97">
        <v>36.019059834619419</v>
      </c>
      <c r="Q156" s="97">
        <v>35.63999999992437</v>
      </c>
      <c r="R156" s="97">
        <v>35.379067118610365</v>
      </c>
      <c r="S156" s="97">
        <v>35.188201844735353</v>
      </c>
      <c r="T156" s="97">
        <v>35.039103111618701</v>
      </c>
      <c r="U156" s="97">
        <v>34.914997339933159</v>
      </c>
      <c r="V156" s="97">
        <v>34.80590422674242</v>
      </c>
      <c r="W156" s="97">
        <v>34.705871430316336</v>
      </c>
      <c r="X156" s="97">
        <v>34.611343813700877</v>
      </c>
      <c r="Y156" s="97">
        <v>34.520196119920023</v>
      </c>
      <c r="DA156" s="175" t="s">
        <v>899</v>
      </c>
    </row>
    <row r="157" spans="1:105" ht="11.45" customHeight="1" x14ac:dyDescent="0.25">
      <c r="A157" s="111" t="s">
        <v>115</v>
      </c>
      <c r="B157" s="97">
        <v>31.915784958086849</v>
      </c>
      <c r="C157" s="97">
        <v>0</v>
      </c>
      <c r="D157" s="97">
        <v>0</v>
      </c>
      <c r="E157" s="97">
        <v>32.589305575678999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25.755886563611373</v>
      </c>
      <c r="O157" s="97">
        <v>26.547734745950798</v>
      </c>
      <c r="P157" s="97">
        <v>26.282257398491289</v>
      </c>
      <c r="Q157" s="97">
        <v>26.019434824506376</v>
      </c>
      <c r="R157" s="97">
        <v>25.656216680080224</v>
      </c>
      <c r="S157" s="97">
        <v>25.206989229504213</v>
      </c>
      <c r="T157" s="97">
        <v>24.685366613238802</v>
      </c>
      <c r="U157" s="97">
        <v>24.104016023099891</v>
      </c>
      <c r="V157" s="97">
        <v>23.474553008383833</v>
      </c>
      <c r="W157" s="97">
        <v>22.807492658719422</v>
      </c>
      <c r="X157" s="97">
        <v>22.112243879173541</v>
      </c>
      <c r="Y157" s="97">
        <v>21.397135703962359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8.4399576639086096</v>
      </c>
      <c r="C159" s="141">
        <v>8.4261244696772764</v>
      </c>
      <c r="D159" s="141">
        <v>8.5651727209028685</v>
      </c>
      <c r="E159" s="141">
        <v>8.6391818422145636</v>
      </c>
      <c r="F159" s="141">
        <v>8.6735471663782757</v>
      </c>
      <c r="G159" s="141">
        <v>8.7553013120957282</v>
      </c>
      <c r="H159" s="141">
        <v>8.7675584956878847</v>
      </c>
      <c r="I159" s="141">
        <v>8.7495954423531046</v>
      </c>
      <c r="J159" s="141">
        <v>8.5972071185756374</v>
      </c>
      <c r="K159" s="141">
        <v>8.405750548870742</v>
      </c>
      <c r="L159" s="141">
        <v>8.8986533669105849</v>
      </c>
      <c r="M159" s="141">
        <v>8.8131173599827548</v>
      </c>
      <c r="N159" s="141">
        <v>7.1401577519823389</v>
      </c>
      <c r="O159" s="141">
        <v>7.3025680123026095</v>
      </c>
      <c r="P159" s="141">
        <v>7.0748252780695537</v>
      </c>
      <c r="Q159" s="141">
        <v>6.6921913149397962</v>
      </c>
      <c r="R159" s="141">
        <v>6.3307554554129135</v>
      </c>
      <c r="S159" s="141">
        <v>6.1192588752471124</v>
      </c>
      <c r="T159" s="141">
        <v>6.2218400235217368</v>
      </c>
      <c r="U159" s="141">
        <v>6.2717917685209601</v>
      </c>
      <c r="V159" s="141">
        <v>6.2764855582976748</v>
      </c>
      <c r="W159" s="141">
        <v>6.0154940550308975</v>
      </c>
      <c r="X159" s="141">
        <v>5.5701069700481973</v>
      </c>
      <c r="Y159" s="141">
        <v>5.3157705028447113</v>
      </c>
      <c r="DA159" s="174" t="s">
        <v>901</v>
      </c>
    </row>
    <row r="160" spans="1:105" ht="11.45" customHeight="1" x14ac:dyDescent="0.25">
      <c r="A160" s="111" t="s">
        <v>110</v>
      </c>
      <c r="B160" s="96">
        <v>9.7391279027152482</v>
      </c>
      <c r="C160" s="96">
        <v>9.7391279027152482</v>
      </c>
      <c r="D160" s="96">
        <v>9.7391279027152482</v>
      </c>
      <c r="E160" s="96">
        <v>9.6231859038733969</v>
      </c>
      <c r="F160" s="96">
        <v>9.6231859038733969</v>
      </c>
      <c r="G160" s="96">
        <v>9.3913019061897014</v>
      </c>
      <c r="H160" s="96">
        <v>9.1594179085060041</v>
      </c>
      <c r="I160" s="96">
        <v>9.0434759096641564</v>
      </c>
      <c r="J160" s="96">
        <v>8.4637659154549141</v>
      </c>
      <c r="K160" s="96">
        <v>7.8840559212456727</v>
      </c>
      <c r="L160" s="96">
        <v>7.6521719235619763</v>
      </c>
      <c r="M160" s="96">
        <v>7.1680305709456889</v>
      </c>
      <c r="N160" s="96">
        <v>6.6120004970661057</v>
      </c>
      <c r="O160" s="96">
        <v>6.6441175659523282</v>
      </c>
      <c r="P160" s="96">
        <v>6.7097609110992096</v>
      </c>
      <c r="Q160" s="96">
        <v>6.4503107516533165</v>
      </c>
      <c r="R160" s="96">
        <v>5.5747631252833552</v>
      </c>
      <c r="S160" s="96">
        <v>5.6533147097509211</v>
      </c>
      <c r="T160" s="96">
        <v>5.7611571484431305</v>
      </c>
      <c r="U160" s="96">
        <v>5.7336621177787714</v>
      </c>
      <c r="V160" s="96">
        <v>5.6850805027618998</v>
      </c>
      <c r="W160" s="96">
        <v>5.5481244660843139</v>
      </c>
      <c r="X160" s="96">
        <v>6.8743025383211824</v>
      </c>
      <c r="Y160" s="96">
        <v>5.6148302797239307</v>
      </c>
      <c r="DA160" s="171" t="s">
        <v>902</v>
      </c>
    </row>
    <row r="161" spans="1:105" ht="11.45" customHeight="1" x14ac:dyDescent="0.25">
      <c r="A161" s="111" t="s">
        <v>111</v>
      </c>
      <c r="B161" s="96">
        <v>8.3693541497321871</v>
      </c>
      <c r="C161" s="96">
        <v>8.593870492317798</v>
      </c>
      <c r="D161" s="96">
        <v>8.8504039398496737</v>
      </c>
      <c r="E161" s="96">
        <v>8.9786706636156097</v>
      </c>
      <c r="F161" s="96">
        <v>8.9786706636156097</v>
      </c>
      <c r="G161" s="96">
        <v>8.9786706636156097</v>
      </c>
      <c r="H161" s="96">
        <v>8.8504039398496754</v>
      </c>
      <c r="I161" s="96">
        <v>8.4656037685518601</v>
      </c>
      <c r="J161" s="96">
        <v>8.0808035972540484</v>
      </c>
      <c r="K161" s="96">
        <v>7.6960034259562384</v>
      </c>
      <c r="L161" s="96">
        <v>7.182936530892488</v>
      </c>
      <c r="M161" s="96">
        <v>6.848495514034898</v>
      </c>
      <c r="N161" s="96">
        <v>6.6530621318584231</v>
      </c>
      <c r="O161" s="96">
        <v>6.6828823034350551</v>
      </c>
      <c r="P161" s="96">
        <v>6.8498777967529305</v>
      </c>
      <c r="Q161" s="96">
        <v>6.5356592870703833</v>
      </c>
      <c r="R161" s="96">
        <v>6.1146639566032874</v>
      </c>
      <c r="S161" s="96">
        <v>6.1396238328823411</v>
      </c>
      <c r="T161" s="96">
        <v>6.293883522701158</v>
      </c>
      <c r="U161" s="96">
        <v>6.3659683924840191</v>
      </c>
      <c r="V161" s="96">
        <v>6.5582549966924795</v>
      </c>
      <c r="W161" s="96">
        <v>6.3671787494406464</v>
      </c>
      <c r="X161" s="96">
        <v>6.0760291869027157</v>
      </c>
      <c r="Y161" s="96">
        <v>6.3477548020977235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7.8237320728369211</v>
      </c>
      <c r="D163" s="96">
        <v>7.8237320728369211</v>
      </c>
      <c r="E163" s="96">
        <v>7.7305924053031525</v>
      </c>
      <c r="F163" s="96">
        <v>7.7305924053031525</v>
      </c>
      <c r="G163" s="96">
        <v>7.5443130702356056</v>
      </c>
      <c r="H163" s="96">
        <v>7.3580337351680614</v>
      </c>
      <c r="I163" s="96">
        <v>7.2648940676342866</v>
      </c>
      <c r="J163" s="96">
        <v>6.7991957299654215</v>
      </c>
      <c r="K163" s="96">
        <v>6.3334973922965574</v>
      </c>
      <c r="L163" s="96">
        <v>6.1472180572290123</v>
      </c>
      <c r="M163" s="96">
        <v>5.9978571707302555</v>
      </c>
      <c r="N163" s="96">
        <v>7.1977611205504317</v>
      </c>
      <c r="O163" s="96">
        <v>6.9736628825321887</v>
      </c>
      <c r="P163" s="96">
        <v>7.0636226829907063</v>
      </c>
      <c r="Q163" s="96">
        <v>6.3620174005658363</v>
      </c>
      <c r="R163" s="96">
        <v>5.2845478145402405</v>
      </c>
      <c r="S163" s="96">
        <v>5.6875685515356222</v>
      </c>
      <c r="T163" s="96">
        <v>5.7865211315366238</v>
      </c>
      <c r="U163" s="96">
        <v>5.841426632926809</v>
      </c>
      <c r="V163" s="96">
        <v>6.6344943418166409</v>
      </c>
      <c r="W163" s="96">
        <v>7.3727411499575686</v>
      </c>
      <c r="X163" s="96">
        <v>10.827361334417123</v>
      </c>
      <c r="Y163" s="96">
        <v>5.9629365177895828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1.4442386537151279</v>
      </c>
      <c r="H164" s="96">
        <v>1.4297962671779769</v>
      </c>
      <c r="I164" s="96">
        <v>0</v>
      </c>
      <c r="J164" s="96">
        <v>0</v>
      </c>
      <c r="K164" s="96">
        <v>1.365404856547459</v>
      </c>
      <c r="L164" s="96">
        <v>0</v>
      </c>
      <c r="M164" s="96">
        <v>1.3530464949209575</v>
      </c>
      <c r="N164" s="96">
        <v>1.3395160299717481</v>
      </c>
      <c r="O164" s="96">
        <v>1.3337252355800446</v>
      </c>
      <c r="P164" s="96">
        <v>1.3583526663313807</v>
      </c>
      <c r="Q164" s="96">
        <v>1.3919174548581255</v>
      </c>
      <c r="R164" s="96">
        <v>1.3864083036482004</v>
      </c>
      <c r="S164" s="96">
        <v>1.3706838032312081</v>
      </c>
      <c r="T164" s="96">
        <v>1.5574934044680351</v>
      </c>
      <c r="U164" s="96">
        <v>1.7277419013826976</v>
      </c>
      <c r="V164" s="96">
        <v>2.1637332982056932</v>
      </c>
      <c r="W164" s="96">
        <v>2.1153715889375873</v>
      </c>
      <c r="X164" s="96">
        <v>1.9683162698730421</v>
      </c>
      <c r="Y164" s="96">
        <v>1.9413413499955281</v>
      </c>
      <c r="DA164" s="171" t="s">
        <v>906</v>
      </c>
    </row>
    <row r="165" spans="1:105" ht="11.45" customHeight="1" x14ac:dyDescent="0.25">
      <c r="A165" s="109" t="s">
        <v>154</v>
      </c>
      <c r="B165" s="130">
        <v>31.697048289424462</v>
      </c>
      <c r="C165" s="130">
        <v>31.567986420924985</v>
      </c>
      <c r="D165" s="130">
        <v>31.378519236403957</v>
      </c>
      <c r="E165" s="130">
        <v>31.087237255980483</v>
      </c>
      <c r="F165" s="130">
        <v>31.19111494513151</v>
      </c>
      <c r="G165" s="130">
        <v>30.471583034922215</v>
      </c>
      <c r="H165" s="130">
        <v>30.107091391209895</v>
      </c>
      <c r="I165" s="130">
        <v>29.576925232695448</v>
      </c>
      <c r="J165" s="130">
        <v>29.002169086344082</v>
      </c>
      <c r="K165" s="130">
        <v>28.344219823548158</v>
      </c>
      <c r="L165" s="130">
        <v>28.174206053947714</v>
      </c>
      <c r="M165" s="130">
        <v>27.293099055249609</v>
      </c>
      <c r="N165" s="130">
        <v>26.682622646874812</v>
      </c>
      <c r="O165" s="130">
        <v>26.697027489746013</v>
      </c>
      <c r="P165" s="130">
        <v>25.233359814435186</v>
      </c>
      <c r="Q165" s="130">
        <v>25.298784536828382</v>
      </c>
      <c r="R165" s="130">
        <v>23.492524892551213</v>
      </c>
      <c r="S165" s="130">
        <v>22.159250086056939</v>
      </c>
      <c r="T165" s="130">
        <v>21.33367206963581</v>
      </c>
      <c r="U165" s="130">
        <v>19.582528955551084</v>
      </c>
      <c r="V165" s="130">
        <v>19.934686886939307</v>
      </c>
      <c r="W165" s="130">
        <v>19.793813779294691</v>
      </c>
      <c r="X165" s="130">
        <v>18.535584421547018</v>
      </c>
      <c r="Y165" s="130">
        <v>18.946943429488378</v>
      </c>
      <c r="DA165" s="176" t="s">
        <v>907</v>
      </c>
    </row>
    <row r="166" spans="1:105" ht="11.45" customHeight="1" x14ac:dyDescent="0.25">
      <c r="A166" s="128" t="s">
        <v>27</v>
      </c>
      <c r="B166" s="97">
        <v>31.470337431588529</v>
      </c>
      <c r="C166" s="97">
        <v>31.288337628803681</v>
      </c>
      <c r="D166" s="97">
        <v>31.087349826638189</v>
      </c>
      <c r="E166" s="97">
        <v>30.837082601926173</v>
      </c>
      <c r="F166" s="97">
        <v>30.538171888399312</v>
      </c>
      <c r="G166" s="97">
        <v>30.191371862712252</v>
      </c>
      <c r="H166" s="97">
        <v>29.797550241417984</v>
      </c>
      <c r="I166" s="97">
        <v>29.357682936219323</v>
      </c>
      <c r="J166" s="97">
        <v>28.872848127838999</v>
      </c>
      <c r="K166" s="97">
        <v>28.344219823548155</v>
      </c>
      <c r="L166" s="97">
        <v>27.773060969312517</v>
      </c>
      <c r="M166" s="97">
        <v>27.160716188620057</v>
      </c>
      <c r="N166" s="97">
        <v>26.508604222846664</v>
      </c>
      <c r="O166" s="97">
        <v>25.818210148890739</v>
      </c>
      <c r="P166" s="97">
        <v>25.091077448027974</v>
      </c>
      <c r="Q166" s="97">
        <v>24.32879999994837</v>
      </c>
      <c r="R166" s="97">
        <v>22.857242723250156</v>
      </c>
      <c r="S166" s="97">
        <v>21.827152629561407</v>
      </c>
      <c r="T166" s="97">
        <v>20.745558031188221</v>
      </c>
      <c r="U166" s="97">
        <v>19.423609077620995</v>
      </c>
      <c r="V166" s="97">
        <v>19.068118774396556</v>
      </c>
      <c r="W166" s="97">
        <v>18.638269622651752</v>
      </c>
      <c r="X166" s="97">
        <v>18.535584421547018</v>
      </c>
      <c r="Y166" s="97">
        <v>18.350228577331549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0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134.30185214748548</v>
      </c>
      <c r="C171" s="152">
        <v>131.92192807602956</v>
      </c>
      <c r="D171" s="152">
        <v>129.3020351633381</v>
      </c>
      <c r="E171" s="152">
        <v>127.56754463763197</v>
      </c>
      <c r="F171" s="152">
        <v>125.90171057225996</v>
      </c>
      <c r="G171" s="152">
        <v>122.95025974945735</v>
      </c>
      <c r="H171" s="152">
        <v>120.32713895902171</v>
      </c>
      <c r="I171" s="152">
        <v>118.46973006358003</v>
      </c>
      <c r="J171" s="152">
        <v>116.37295529959543</v>
      </c>
      <c r="K171" s="152">
        <v>114.36550038998345</v>
      </c>
      <c r="L171" s="152">
        <v>112.74735880099915</v>
      </c>
      <c r="M171" s="152">
        <v>111.65009346944272</v>
      </c>
      <c r="N171" s="152">
        <v>107.49404671881207</v>
      </c>
      <c r="O171" s="152">
        <v>105.58767318561847</v>
      </c>
      <c r="P171" s="152">
        <v>103.87176998178283</v>
      </c>
      <c r="Q171" s="152">
        <v>101.89054850598828</v>
      </c>
      <c r="R171" s="152">
        <v>99.685068732511454</v>
      </c>
      <c r="S171" s="152">
        <v>97.394538232570795</v>
      </c>
      <c r="T171" s="152">
        <v>95.631906731374087</v>
      </c>
      <c r="U171" s="152">
        <v>93.568134598079737</v>
      </c>
      <c r="V171" s="152">
        <v>90.983787345847333</v>
      </c>
      <c r="W171" s="152">
        <v>89.289924986528419</v>
      </c>
      <c r="X171" s="152">
        <v>88.419301252472692</v>
      </c>
      <c r="Y171" s="152">
        <v>86.772444852841161</v>
      </c>
      <c r="DA171" s="174" t="s">
        <v>910</v>
      </c>
    </row>
    <row r="172" spans="1:105" ht="11.45" customHeight="1" x14ac:dyDescent="0.25">
      <c r="A172" s="109" t="s">
        <v>20</v>
      </c>
      <c r="B172" s="116">
        <v>281.29211626060447</v>
      </c>
      <c r="C172" s="116">
        <v>275.47673919062373</v>
      </c>
      <c r="D172" s="116">
        <v>272.86197036187019</v>
      </c>
      <c r="E172" s="116">
        <v>270.1721774385561</v>
      </c>
      <c r="F172" s="116">
        <v>267.58524289040889</v>
      </c>
      <c r="G172" s="116">
        <v>264.76938527348</v>
      </c>
      <c r="H172" s="116">
        <v>263.40462957024789</v>
      </c>
      <c r="I172" s="116">
        <v>261.39319807126304</v>
      </c>
      <c r="J172" s="116">
        <v>257.92685019741015</v>
      </c>
      <c r="K172" s="116">
        <v>257.31832613395267</v>
      </c>
      <c r="L172" s="116">
        <v>250.40002616582007</v>
      </c>
      <c r="M172" s="116">
        <v>245.70712339701967</v>
      </c>
      <c r="N172" s="116">
        <v>240.24820469821162</v>
      </c>
      <c r="O172" s="116">
        <v>234.28910501733765</v>
      </c>
      <c r="P172" s="116">
        <v>227.18850291199422</v>
      </c>
      <c r="Q172" s="116">
        <v>219.465349758781</v>
      </c>
      <c r="R172" s="116">
        <v>210.19792141186213</v>
      </c>
      <c r="S172" s="116">
        <v>202.44878033347862</v>
      </c>
      <c r="T172" s="116">
        <v>193.25557021072495</v>
      </c>
      <c r="U172" s="116">
        <v>184.46422003551976</v>
      </c>
      <c r="V172" s="116">
        <v>167.40992602252723</v>
      </c>
      <c r="W172" s="116">
        <v>152.62765741487192</v>
      </c>
      <c r="X172" s="116">
        <v>133.46272646191952</v>
      </c>
      <c r="Y172" s="116">
        <v>133.87954186549763</v>
      </c>
      <c r="DA172" s="176" t="s">
        <v>911</v>
      </c>
    </row>
    <row r="173" spans="1:105" ht="11.45" customHeight="1" x14ac:dyDescent="0.25">
      <c r="A173" s="111" t="s">
        <v>110</v>
      </c>
      <c r="B173" s="87">
        <v>282.50393927737923</v>
      </c>
      <c r="C173" s="87">
        <v>275.03812341216394</v>
      </c>
      <c r="D173" s="87">
        <v>271.93707531752773</v>
      </c>
      <c r="E173" s="87">
        <v>268.68959165695202</v>
      </c>
      <c r="F173" s="87">
        <v>265.57236298587571</v>
      </c>
      <c r="G173" s="87">
        <v>262.24934182093352</v>
      </c>
      <c r="H173" s="87">
        <v>259.03718535644862</v>
      </c>
      <c r="I173" s="87">
        <v>255.82778034698165</v>
      </c>
      <c r="J173" s="87">
        <v>252.78133836005651</v>
      </c>
      <c r="K173" s="87">
        <v>250.48632200995527</v>
      </c>
      <c r="L173" s="87">
        <v>246.38535898903757</v>
      </c>
      <c r="M173" s="87">
        <v>242.22160280625877</v>
      </c>
      <c r="N173" s="87">
        <v>238.32710319883122</v>
      </c>
      <c r="O173" s="87">
        <v>233.62714808566554</v>
      </c>
      <c r="P173" s="87">
        <v>228.17692336452569</v>
      </c>
      <c r="Q173" s="87">
        <v>221.69498109092939</v>
      </c>
      <c r="R173" s="87">
        <v>213.92934927868757</v>
      </c>
      <c r="S173" s="87">
        <v>206.26103506173774</v>
      </c>
      <c r="T173" s="87">
        <v>198.6722093396607</v>
      </c>
      <c r="U173" s="87">
        <v>191.44447680762977</v>
      </c>
      <c r="V173" s="87">
        <v>185.92917028300167</v>
      </c>
      <c r="W173" s="87">
        <v>179.98016518298047</v>
      </c>
      <c r="X173" s="87">
        <v>174.8831542391581</v>
      </c>
      <c r="Y173" s="87">
        <v>168.02640232990612</v>
      </c>
      <c r="DA173" s="171" t="s">
        <v>912</v>
      </c>
    </row>
    <row r="174" spans="1:105" ht="11.45" customHeight="1" x14ac:dyDescent="0.25">
      <c r="A174" s="111" t="s">
        <v>111</v>
      </c>
      <c r="B174" s="87">
        <v>255.82374075813158</v>
      </c>
      <c r="C174" s="87">
        <v>244.00533727701296</v>
      </c>
      <c r="D174" s="87">
        <v>241.0664181481101</v>
      </c>
      <c r="E174" s="87">
        <v>238.63963193594202</v>
      </c>
      <c r="F174" s="87">
        <v>236.47726910823977</v>
      </c>
      <c r="G174" s="87">
        <v>234.5795572043499</v>
      </c>
      <c r="H174" s="87">
        <v>231.71411523629016</v>
      </c>
      <c r="I174" s="87">
        <v>226.51512886103544</v>
      </c>
      <c r="J174" s="87">
        <v>221.66156588815537</v>
      </c>
      <c r="K174" s="87">
        <v>217.59549718858153</v>
      </c>
      <c r="L174" s="87">
        <v>209.39412130213989</v>
      </c>
      <c r="M174" s="87">
        <v>201.71706967128154</v>
      </c>
      <c r="N174" s="87">
        <v>195.68905754006536</v>
      </c>
      <c r="O174" s="87">
        <v>192.2911194433938</v>
      </c>
      <c r="P174" s="87">
        <v>189.17287360856176</v>
      </c>
      <c r="Q174" s="87">
        <v>185.30509137872076</v>
      </c>
      <c r="R174" s="87">
        <v>181.77254634839062</v>
      </c>
      <c r="S174" s="87">
        <v>178.8468854354181</v>
      </c>
      <c r="T174" s="87">
        <v>177.05548192552885</v>
      </c>
      <c r="U174" s="87">
        <v>175.43878148937924</v>
      </c>
      <c r="V174" s="87">
        <v>174.92097496197363</v>
      </c>
      <c r="W174" s="87">
        <v>173.44030428636475</v>
      </c>
      <c r="X174" s="87">
        <v>172.16617499812352</v>
      </c>
      <c r="Y174" s="87">
        <v>171.24285253767255</v>
      </c>
      <c r="DA174" s="171" t="s">
        <v>913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247.01371082897083</v>
      </c>
      <c r="H175" s="87">
        <v>247.01371082897083</v>
      </c>
      <c r="I175" s="87">
        <v>247.0137108289708</v>
      </c>
      <c r="J175" s="87">
        <v>246.0767897052518</v>
      </c>
      <c r="K175" s="87">
        <v>238.282950514737</v>
      </c>
      <c r="L175" s="87">
        <v>237.09743120515529</v>
      </c>
      <c r="M175" s="87">
        <v>223.7143770623791</v>
      </c>
      <c r="N175" s="87">
        <v>223.48375379105076</v>
      </c>
      <c r="O175" s="87">
        <v>221.58442444990422</v>
      </c>
      <c r="P175" s="87">
        <v>220.75632887755921</v>
      </c>
      <c r="Q175" s="87">
        <v>219.54754962623326</v>
      </c>
      <c r="R175" s="87">
        <v>218.86480755003117</v>
      </c>
      <c r="S175" s="87">
        <v>0</v>
      </c>
      <c r="T175" s="87">
        <v>0</v>
      </c>
      <c r="U175" s="87">
        <v>0</v>
      </c>
      <c r="V175" s="87">
        <v>0</v>
      </c>
      <c r="W175" s="87">
        <v>0</v>
      </c>
      <c r="X175" s="87">
        <v>0</v>
      </c>
      <c r="Y175" s="87">
        <v>0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211.08557314035451</v>
      </c>
      <c r="E176" s="87">
        <v>209.77444873316253</v>
      </c>
      <c r="F176" s="87">
        <v>209.32915407084221</v>
      </c>
      <c r="G176" s="87">
        <v>207.43760275950788</v>
      </c>
      <c r="H176" s="87">
        <v>206.50070380595108</v>
      </c>
      <c r="I176" s="87">
        <v>204.87055147603868</v>
      </c>
      <c r="J176" s="87">
        <v>201.45039576853262</v>
      </c>
      <c r="K176" s="87">
        <v>197.19336496178835</v>
      </c>
      <c r="L176" s="87">
        <v>178.282550919557</v>
      </c>
      <c r="M176" s="87">
        <v>171.64565175260105</v>
      </c>
      <c r="N176" s="87">
        <v>176.41530401178022</v>
      </c>
      <c r="O176" s="87">
        <v>172.60822208863215</v>
      </c>
      <c r="P176" s="87">
        <v>166.73671244083422</v>
      </c>
      <c r="Q176" s="87">
        <v>160.08210107809143</v>
      </c>
      <c r="R176" s="87">
        <v>153.01869589451076</v>
      </c>
      <c r="S176" s="87">
        <v>148.06685920401642</v>
      </c>
      <c r="T176" s="87">
        <v>144.67689929275744</v>
      </c>
      <c r="U176" s="87">
        <v>139.37474439343674</v>
      </c>
      <c r="V176" s="87">
        <v>136.6328057381522</v>
      </c>
      <c r="W176" s="87">
        <v>134.51779611624687</v>
      </c>
      <c r="X176" s="87">
        <v>132.88566313313851</v>
      </c>
      <c r="Y176" s="87">
        <v>123.74526980274247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89.153981588406253</v>
      </c>
      <c r="K177" s="87">
        <v>87.295363773894451</v>
      </c>
      <c r="L177" s="87">
        <v>85.011110276129727</v>
      </c>
      <c r="M177" s="87">
        <v>74.307381388287695</v>
      </c>
      <c r="N177" s="87">
        <v>66.347464072946735</v>
      </c>
      <c r="O177" s="87">
        <v>65.379801210824354</v>
      </c>
      <c r="P177" s="87">
        <v>61.80197561162452</v>
      </c>
      <c r="Q177" s="87">
        <v>59.282525172574474</v>
      </c>
      <c r="R177" s="87">
        <v>58.165316460122298</v>
      </c>
      <c r="S177" s="87">
        <v>57.581016726032324</v>
      </c>
      <c r="T177" s="87">
        <v>57.530476708854209</v>
      </c>
      <c r="U177" s="87">
        <v>52.9547398638028</v>
      </c>
      <c r="V177" s="87">
        <v>48.016599677509554</v>
      </c>
      <c r="W177" s="87">
        <v>44.104772441135765</v>
      </c>
      <c r="X177" s="87">
        <v>40.422945788403709</v>
      </c>
      <c r="Y177" s="87">
        <v>34.969677685244321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1628.6708826512297</v>
      </c>
      <c r="C179" s="116">
        <v>1600.5163338148006</v>
      </c>
      <c r="D179" s="116">
        <v>1602.3744192755653</v>
      </c>
      <c r="E179" s="116">
        <v>1588.1785054160084</v>
      </c>
      <c r="F179" s="116">
        <v>1569.5174418075494</v>
      </c>
      <c r="G179" s="116">
        <v>1454.009174440678</v>
      </c>
      <c r="H179" s="116">
        <v>1523.5867960284802</v>
      </c>
      <c r="I179" s="116">
        <v>1512.2109489727516</v>
      </c>
      <c r="J179" s="116">
        <v>1473.4056760833714</v>
      </c>
      <c r="K179" s="116">
        <v>1427.985655511254</v>
      </c>
      <c r="L179" s="116">
        <v>1417.771049921854</v>
      </c>
      <c r="M179" s="116">
        <v>1382.6476424389798</v>
      </c>
      <c r="N179" s="116">
        <v>1371.4655468399321</v>
      </c>
      <c r="O179" s="116">
        <v>1125.7523751727429</v>
      </c>
      <c r="P179" s="116">
        <v>1193.9146857447918</v>
      </c>
      <c r="Q179" s="116">
        <v>1197.9728787156625</v>
      </c>
      <c r="R179" s="116">
        <v>1274.6388585914269</v>
      </c>
      <c r="S179" s="116">
        <v>1160.3903522671012</v>
      </c>
      <c r="T179" s="116">
        <v>1191.5186737859135</v>
      </c>
      <c r="U179" s="116">
        <v>1202.3277165397251</v>
      </c>
      <c r="V179" s="116">
        <v>1040.0127733066709</v>
      </c>
      <c r="W179" s="116">
        <v>1025.7618995449659</v>
      </c>
      <c r="X179" s="116">
        <v>981.67522611900358</v>
      </c>
      <c r="Y179" s="116">
        <v>924.20630498111734</v>
      </c>
      <c r="DA179" s="176" t="s">
        <v>918</v>
      </c>
    </row>
    <row r="180" spans="1:105" ht="11.45" customHeight="1" x14ac:dyDescent="0.25">
      <c r="A180" s="111" t="s">
        <v>110</v>
      </c>
      <c r="B180" s="101">
        <v>564.50873644155445</v>
      </c>
      <c r="C180" s="101">
        <v>562.39449617902562</v>
      </c>
      <c r="D180" s="101">
        <v>561.5619411509</v>
      </c>
      <c r="E180" s="101">
        <v>559.87868124205602</v>
      </c>
      <c r="F180" s="101">
        <v>558.38398353654304</v>
      </c>
      <c r="G180" s="101">
        <v>556.2695001510757</v>
      </c>
      <c r="H180" s="101">
        <v>548.54964584371464</v>
      </c>
      <c r="I180" s="101">
        <v>544.60755370137338</v>
      </c>
      <c r="J180" s="101">
        <v>536.01510306895216</v>
      </c>
      <c r="K180" s="101">
        <v>519.81958816501174</v>
      </c>
      <c r="L180" s="101">
        <v>473.14845917823675</v>
      </c>
      <c r="M180" s="101">
        <v>423.37966570396441</v>
      </c>
      <c r="N180" s="101">
        <v>411.23383714090284</v>
      </c>
      <c r="O180" s="101">
        <v>398.73957525914119</v>
      </c>
      <c r="P180" s="101">
        <v>388.48589444036872</v>
      </c>
      <c r="Q180" s="101">
        <v>386.67018872803584</v>
      </c>
      <c r="R180" s="101">
        <v>368.6782371713976</v>
      </c>
      <c r="S180" s="101">
        <v>362.47471175664379</v>
      </c>
      <c r="T180" s="101">
        <v>356.34143396622568</v>
      </c>
      <c r="U180" s="101">
        <v>348.0517074896303</v>
      </c>
      <c r="V180" s="101">
        <v>344.14071130015634</v>
      </c>
      <c r="W180" s="101">
        <v>343.48642095135233</v>
      </c>
      <c r="X180" s="101">
        <v>338.75162981467662</v>
      </c>
      <c r="Y180" s="101">
        <v>336.41967925981214</v>
      </c>
      <c r="DA180" s="175" t="s">
        <v>919</v>
      </c>
    </row>
    <row r="181" spans="1:105" ht="11.45" customHeight="1" x14ac:dyDescent="0.25">
      <c r="A181" s="111" t="s">
        <v>111</v>
      </c>
      <c r="B181" s="101">
        <v>1679.0303351162754</v>
      </c>
      <c r="C181" s="101">
        <v>1642.750307797709</v>
      </c>
      <c r="D181" s="101">
        <v>1626.7688296304552</v>
      </c>
      <c r="E181" s="101">
        <v>1611.660028537174</v>
      </c>
      <c r="F181" s="101">
        <v>1596.9225322064169</v>
      </c>
      <c r="G181" s="101">
        <v>1580.8474175829956</v>
      </c>
      <c r="H181" s="101">
        <v>1570.2416195376618</v>
      </c>
      <c r="I181" s="101">
        <v>1556.7118514241108</v>
      </c>
      <c r="J181" s="101">
        <v>1545.7195109723184</v>
      </c>
      <c r="K181" s="101">
        <v>1528.4204327106702</v>
      </c>
      <c r="L181" s="101">
        <v>1509.8840192377402</v>
      </c>
      <c r="M181" s="101">
        <v>1487.6822164603559</v>
      </c>
      <c r="N181" s="101">
        <v>1469.6175285796746</v>
      </c>
      <c r="O181" s="101">
        <v>1443.6734382272457</v>
      </c>
      <c r="P181" s="101">
        <v>1427.3587514235248</v>
      </c>
      <c r="Q181" s="101">
        <v>1411.9667693293798</v>
      </c>
      <c r="R181" s="101">
        <v>1386.2269220147982</v>
      </c>
      <c r="S181" s="101">
        <v>1369.4748242220637</v>
      </c>
      <c r="T181" s="101">
        <v>1350.0877013168172</v>
      </c>
      <c r="U181" s="101">
        <v>1311.9219258097271</v>
      </c>
      <c r="V181" s="101">
        <v>1270.9613150223884</v>
      </c>
      <c r="W181" s="101">
        <v>1247.4438686655153</v>
      </c>
      <c r="X181" s="101">
        <v>1226.6872272047865</v>
      </c>
      <c r="Y181" s="101">
        <v>1192.8069031894697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DA182" s="175" t="s">
        <v>921</v>
      </c>
    </row>
    <row r="183" spans="1:105" ht="11.45" customHeight="1" x14ac:dyDescent="0.25">
      <c r="A183" s="111" t="s">
        <v>113</v>
      </c>
      <c r="B183" s="101">
        <v>1048.7141900812283</v>
      </c>
      <c r="C183" s="101">
        <v>1037.1601929302276</v>
      </c>
      <c r="D183" s="101">
        <v>1036.860293398621</v>
      </c>
      <c r="E183" s="101">
        <v>1036.8602933986208</v>
      </c>
      <c r="F183" s="101">
        <v>1023.8613122456574</v>
      </c>
      <c r="G183" s="101">
        <v>973.95956924211021</v>
      </c>
      <c r="H183" s="101">
        <v>943.08877026596201</v>
      </c>
      <c r="I183" s="101">
        <v>941.90668792676274</v>
      </c>
      <c r="J183" s="101">
        <v>935.67589418319017</v>
      </c>
      <c r="K183" s="101">
        <v>926.58986997188731</v>
      </c>
      <c r="L183" s="101">
        <v>914.18979484939769</v>
      </c>
      <c r="M183" s="101">
        <v>905.97939755622394</v>
      </c>
      <c r="N183" s="101">
        <v>897.18701677902754</v>
      </c>
      <c r="O183" s="101">
        <v>871.55578386779871</v>
      </c>
      <c r="P183" s="101">
        <v>861.94177388483467</v>
      </c>
      <c r="Q183" s="101">
        <v>855.08959743757202</v>
      </c>
      <c r="R183" s="101">
        <v>853.93171662657835</v>
      </c>
      <c r="S183" s="101">
        <v>849.36540773453669</v>
      </c>
      <c r="T183" s="101">
        <v>847.67996529963204</v>
      </c>
      <c r="U183" s="101">
        <v>835.57613254894682</v>
      </c>
      <c r="V183" s="101">
        <v>830.83108540137198</v>
      </c>
      <c r="W183" s="101">
        <v>828.43800694096399</v>
      </c>
      <c r="X183" s="101">
        <v>826.79778916548548</v>
      </c>
      <c r="Y183" s="101">
        <v>824.39003364328403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335.92694930303065</v>
      </c>
      <c r="C186" s="152">
        <v>328.29585530676184</v>
      </c>
      <c r="D186" s="152">
        <v>323.80141234160641</v>
      </c>
      <c r="E186" s="152">
        <v>318.05493583867627</v>
      </c>
      <c r="F186" s="152">
        <v>311.10654435131926</v>
      </c>
      <c r="G186" s="152">
        <v>302.40606222505909</v>
      </c>
      <c r="H186" s="152">
        <v>291.08414193532889</v>
      </c>
      <c r="I186" s="152">
        <v>277.21358287662395</v>
      </c>
      <c r="J186" s="152">
        <v>263.38227731063205</v>
      </c>
      <c r="K186" s="152">
        <v>252.37372261515952</v>
      </c>
      <c r="L186" s="152">
        <v>221.58989242077621</v>
      </c>
      <c r="M186" s="152">
        <v>213.91255972144748</v>
      </c>
      <c r="N186" s="152">
        <v>248.814915989425</v>
      </c>
      <c r="O186" s="152">
        <v>241.28447205938457</v>
      </c>
      <c r="P186" s="152">
        <v>249.71685588250239</v>
      </c>
      <c r="Q186" s="152">
        <v>245.92499137983501</v>
      </c>
      <c r="R186" s="152">
        <v>237.25951426501223</v>
      </c>
      <c r="S186" s="152">
        <v>238.53356043428479</v>
      </c>
      <c r="T186" s="152">
        <v>227.48169977190454</v>
      </c>
      <c r="U186" s="152">
        <v>220.8949598447951</v>
      </c>
      <c r="V186" s="152">
        <v>215.63858828815606</v>
      </c>
      <c r="W186" s="152">
        <v>214.30305879881405</v>
      </c>
      <c r="X186" s="152">
        <v>205.96446310847287</v>
      </c>
      <c r="Y186" s="152">
        <v>190.32244156425418</v>
      </c>
      <c r="DA186" s="174" t="s">
        <v>924</v>
      </c>
    </row>
    <row r="187" spans="1:105" ht="11.45" customHeight="1" x14ac:dyDescent="0.25">
      <c r="A187" s="111" t="s">
        <v>110</v>
      </c>
      <c r="B187" s="87">
        <v>326.79881381578281</v>
      </c>
      <c r="C187" s="87">
        <v>321.33182744135735</v>
      </c>
      <c r="D187" s="87">
        <v>319.00705571648894</v>
      </c>
      <c r="E187" s="87">
        <v>316.78813440655455</v>
      </c>
      <c r="F187" s="87">
        <v>314.66160891785921</v>
      </c>
      <c r="G187" s="87">
        <v>312.3278223295535</v>
      </c>
      <c r="H187" s="87">
        <v>309.61153277121747</v>
      </c>
      <c r="I187" s="87">
        <v>306.62941528981611</v>
      </c>
      <c r="J187" s="87">
        <v>303.48930201766024</v>
      </c>
      <c r="K187" s="87">
        <v>300.73839379453392</v>
      </c>
      <c r="L187" s="87">
        <v>297.78788781904518</v>
      </c>
      <c r="M187" s="87">
        <v>294.52268416272028</v>
      </c>
      <c r="N187" s="87">
        <v>289.8905963910961</v>
      </c>
      <c r="O187" s="87">
        <v>288.3280253773757</v>
      </c>
      <c r="P187" s="87">
        <v>283.62393189685679</v>
      </c>
      <c r="Q187" s="87">
        <v>278.89213233252036</v>
      </c>
      <c r="R187" s="87">
        <v>273.01934950482803</v>
      </c>
      <c r="S187" s="87">
        <v>268.44475989099033</v>
      </c>
      <c r="T187" s="87">
        <v>256.6540401985003</v>
      </c>
      <c r="U187" s="87">
        <v>243.03933109372198</v>
      </c>
      <c r="V187" s="87">
        <v>235.10269852105154</v>
      </c>
      <c r="W187" s="87">
        <v>227.83176492905795</v>
      </c>
      <c r="X187" s="87">
        <v>216.9640463077472</v>
      </c>
      <c r="Y187" s="87">
        <v>206.57723574677513</v>
      </c>
      <c r="DA187" s="171" t="s">
        <v>925</v>
      </c>
    </row>
    <row r="188" spans="1:105" ht="11.45" customHeight="1" x14ac:dyDescent="0.25">
      <c r="A188" s="111" t="s">
        <v>111</v>
      </c>
      <c r="B188" s="87">
        <v>308.34306149672403</v>
      </c>
      <c r="C188" s="87">
        <v>281.60326979219127</v>
      </c>
      <c r="D188" s="87">
        <v>276.17739903256984</v>
      </c>
      <c r="E188" s="87">
        <v>272.92877485724375</v>
      </c>
      <c r="F188" s="87">
        <v>270.78197877582693</v>
      </c>
      <c r="G188" s="87">
        <v>269.7150516473119</v>
      </c>
      <c r="H188" s="87">
        <v>269.22741561047332</v>
      </c>
      <c r="I188" s="87">
        <v>268.76313552743699</v>
      </c>
      <c r="J188" s="87">
        <v>267.2218505485169</v>
      </c>
      <c r="K188" s="87">
        <v>266.73647168881797</v>
      </c>
      <c r="L188" s="87">
        <v>267.095029188441</v>
      </c>
      <c r="M188" s="87">
        <v>268.3985052881053</v>
      </c>
      <c r="N188" s="87">
        <v>263.44394475473587</v>
      </c>
      <c r="O188" s="87">
        <v>258.73559758924819</v>
      </c>
      <c r="P188" s="87">
        <v>253.98771974201838</v>
      </c>
      <c r="Q188" s="87">
        <v>248.50268737277179</v>
      </c>
      <c r="R188" s="87">
        <v>241.25195542674638</v>
      </c>
      <c r="S188" s="87">
        <v>233.65888235210417</v>
      </c>
      <c r="T188" s="87">
        <v>226.98833116211716</v>
      </c>
      <c r="U188" s="87">
        <v>221.37434376597864</v>
      </c>
      <c r="V188" s="87">
        <v>219.61119852107257</v>
      </c>
      <c r="W188" s="87">
        <v>217.19803219538295</v>
      </c>
      <c r="X188" s="87">
        <v>213.50044171244588</v>
      </c>
      <c r="Y188" s="87">
        <v>209.73197567738103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X189" s="87">
        <v>0</v>
      </c>
      <c r="Y189" s="87">
        <v>0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183.76341209272579</v>
      </c>
      <c r="D190" s="87">
        <v>183.76341209272584</v>
      </c>
      <c r="E190" s="87">
        <v>182.38011951413071</v>
      </c>
      <c r="F190" s="87">
        <v>182.08300900938229</v>
      </c>
      <c r="G190" s="87">
        <v>179.36380221946013</v>
      </c>
      <c r="H190" s="87">
        <v>175.15869027374376</v>
      </c>
      <c r="I190" s="87">
        <v>172.46891257065909</v>
      </c>
      <c r="J190" s="87">
        <v>163.87511082937368</v>
      </c>
      <c r="K190" s="87">
        <v>156.55621430271682</v>
      </c>
      <c r="L190" s="87">
        <v>148.82346845340138</v>
      </c>
      <c r="M190" s="87">
        <v>144.74563507934201</v>
      </c>
      <c r="N190" s="87">
        <v>149.76734577331948</v>
      </c>
      <c r="O190" s="87">
        <v>152.44053756459277</v>
      </c>
      <c r="P190" s="87">
        <v>155.68048255586288</v>
      </c>
      <c r="Q190" s="87">
        <v>155.52244536160723</v>
      </c>
      <c r="R190" s="87">
        <v>151.85030841416796</v>
      </c>
      <c r="S190" s="87">
        <v>148.2973240046756</v>
      </c>
      <c r="T190" s="87">
        <v>142.41827295777776</v>
      </c>
      <c r="U190" s="87">
        <v>141.15851112651626</v>
      </c>
      <c r="V190" s="87">
        <v>141.48096253876494</v>
      </c>
      <c r="W190" s="87">
        <v>142.55654976416758</v>
      </c>
      <c r="X190" s="87">
        <v>144.65126558985079</v>
      </c>
      <c r="Y190" s="87">
        <v>142.57585815945046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1030.0395990616623</v>
      </c>
      <c r="C192" s="116">
        <v>1026.6010161776967</v>
      </c>
      <c r="D192" s="116">
        <v>1022.9757870872774</v>
      </c>
      <c r="E192" s="116">
        <v>1018.7941557117464</v>
      </c>
      <c r="F192" s="116">
        <v>1014.0695770419482</v>
      </c>
      <c r="G192" s="116">
        <v>1007.1737779157866</v>
      </c>
      <c r="H192" s="116">
        <v>996.60112076584494</v>
      </c>
      <c r="I192" s="116">
        <v>985.48508121293992</v>
      </c>
      <c r="J192" s="116">
        <v>975.28121853358084</v>
      </c>
      <c r="K192" s="116">
        <v>962.87623515206224</v>
      </c>
      <c r="L192" s="116">
        <v>948.47046674624369</v>
      </c>
      <c r="M192" s="116">
        <v>931.25115916978393</v>
      </c>
      <c r="N192" s="116">
        <v>917.0643077404668</v>
      </c>
      <c r="O192" s="116">
        <v>897.9525604662324</v>
      </c>
      <c r="P192" s="116">
        <v>886.97109423535721</v>
      </c>
      <c r="Q192" s="116">
        <v>874.27835413425532</v>
      </c>
      <c r="R192" s="116">
        <v>853.72371201768613</v>
      </c>
      <c r="S192" s="116">
        <v>831.56627417969389</v>
      </c>
      <c r="T192" s="116">
        <v>813.5787581897597</v>
      </c>
      <c r="U192" s="116">
        <v>789.9877798115707</v>
      </c>
      <c r="V192" s="116">
        <v>766.55776096549675</v>
      </c>
      <c r="W192" s="116">
        <v>740.47769099146046</v>
      </c>
      <c r="X192" s="116">
        <v>716.32899584178517</v>
      </c>
      <c r="Y192" s="116">
        <v>692.6113012601993</v>
      </c>
      <c r="DA192" s="176" t="s">
        <v>930</v>
      </c>
    </row>
    <row r="193" spans="1:105" ht="11.45" customHeight="1" x14ac:dyDescent="0.25">
      <c r="A193" s="128" t="s">
        <v>27</v>
      </c>
      <c r="B193" s="101">
        <v>954.68093914464293</v>
      </c>
      <c r="C193" s="101">
        <v>951.47168269057045</v>
      </c>
      <c r="D193" s="101">
        <v>948.01727859545758</v>
      </c>
      <c r="E193" s="101">
        <v>944.101491095558</v>
      </c>
      <c r="F193" s="101">
        <v>939.92811836891826</v>
      </c>
      <c r="G193" s="101">
        <v>933.57142275489241</v>
      </c>
      <c r="H193" s="101">
        <v>923.56589489087855</v>
      </c>
      <c r="I193" s="101">
        <v>913.01711275890523</v>
      </c>
      <c r="J193" s="101">
        <v>903.22462763221961</v>
      </c>
      <c r="K193" s="101">
        <v>893.33893345033289</v>
      </c>
      <c r="L193" s="101">
        <v>879.66985431809155</v>
      </c>
      <c r="M193" s="101">
        <v>863.37548450988447</v>
      </c>
      <c r="N193" s="101">
        <v>850.11480525927732</v>
      </c>
      <c r="O193" s="101">
        <v>831.11205713285767</v>
      </c>
      <c r="P193" s="101">
        <v>820.61233657642515</v>
      </c>
      <c r="Q193" s="101">
        <v>808.74834361532112</v>
      </c>
      <c r="R193" s="101">
        <v>788.68437135953889</v>
      </c>
      <c r="S193" s="101">
        <v>766.7543071100306</v>
      </c>
      <c r="T193" s="101">
        <v>749.46015816906822</v>
      </c>
      <c r="U193" s="101">
        <v>726.16091578059832</v>
      </c>
      <c r="V193" s="101">
        <v>703.36810556275532</v>
      </c>
      <c r="W193" s="101">
        <v>677.46924877156107</v>
      </c>
      <c r="X193" s="101">
        <v>654.52841307690267</v>
      </c>
      <c r="Y193" s="101">
        <v>630.99614558516294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1055.3799504525705</v>
      </c>
      <c r="D194" s="88">
        <v>1046.0797640015435</v>
      </c>
      <c r="E194" s="88">
        <v>1038.6049872853273</v>
      </c>
      <c r="F194" s="88">
        <v>1019.4944423840492</v>
      </c>
      <c r="G194" s="88">
        <v>1010.7669108815498</v>
      </c>
      <c r="H194" s="88">
        <v>998.37623277296836</v>
      </c>
      <c r="I194" s="88">
        <v>989.52754152903276</v>
      </c>
      <c r="J194" s="88">
        <v>983.69023753302031</v>
      </c>
      <c r="K194" s="88">
        <v>972.66855850102183</v>
      </c>
      <c r="L194" s="88">
        <v>955.29250105190124</v>
      </c>
      <c r="M194" s="88">
        <v>945.57161648323597</v>
      </c>
      <c r="N194" s="88">
        <v>935.16140009560308</v>
      </c>
      <c r="O194" s="88">
        <v>912.11787137908391</v>
      </c>
      <c r="P194" s="88">
        <v>907.6779715799031</v>
      </c>
      <c r="Q194" s="88">
        <v>886.24796570383626</v>
      </c>
      <c r="R194" s="88">
        <v>870.3578825058288</v>
      </c>
      <c r="S194" s="88">
        <v>861.24094812073679</v>
      </c>
      <c r="T194" s="88">
        <v>848.24565771556638</v>
      </c>
      <c r="U194" s="88">
        <v>841.91761721263742</v>
      </c>
      <c r="V194" s="88">
        <v>823.85463433146504</v>
      </c>
      <c r="W194" s="88">
        <v>802.03099903367297</v>
      </c>
      <c r="X194" s="88">
        <v>795.35688035369901</v>
      </c>
      <c r="Y194" s="88">
        <v>783.28836766576558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1.1275000000068982</v>
      </c>
      <c r="C198" s="150">
        <f>IF(TrRoad_act!C59=0,0,TrRoad_emi!C56/TrRoad_tech!C171)</f>
        <v>1.124681348695127</v>
      </c>
      <c r="D198" s="150">
        <f>IF(TrRoad_act!D59=0,0,TrRoad_emi!D56/TrRoad_tech!D171)</f>
        <v>1.1215537692513964</v>
      </c>
      <c r="E198" s="150">
        <f>IF(TrRoad_act!E59=0,0,TrRoad_emi!E56/TrRoad_tech!E171)</f>
        <v>1.114212837110752</v>
      </c>
      <c r="F198" s="150">
        <f>IF(TrRoad_act!F59=0,0,TrRoad_emi!F56/TrRoad_tech!F171)</f>
        <v>1.1006856802747664</v>
      </c>
      <c r="G198" s="150">
        <f>IF(TrRoad_act!G59=0,0,TrRoad_emi!G56/TrRoad_tech!G171)</f>
        <v>1.0957004910853869</v>
      </c>
      <c r="H198" s="150">
        <f>IF(TrRoad_act!H59=0,0,TrRoad_emi!H56/TrRoad_tech!H171)</f>
        <v>1.0827313044485463</v>
      </c>
      <c r="I198" s="150">
        <f>IF(TrRoad_act!I59=0,0,TrRoad_emi!I56/TrRoad_tech!I171)</f>
        <v>1.0687067935454466</v>
      </c>
      <c r="J198" s="150">
        <f>IF(TrRoad_act!J59=0,0,TrRoad_emi!J56/TrRoad_tech!J171)</f>
        <v>1.0804596024774915</v>
      </c>
      <c r="K198" s="150">
        <f>IF(TrRoad_act!K59=0,0,TrRoad_emi!K56/TrRoad_tech!K171)</f>
        <v>1.0749340382886352</v>
      </c>
      <c r="L198" s="150">
        <f>IF(TrRoad_act!L59=0,0,TrRoad_emi!L56/TrRoad_tech!L171)</f>
        <v>1.0574764427840937</v>
      </c>
      <c r="M198" s="150">
        <f>IF(TrRoad_act!M59=0,0,TrRoad_emi!M56/TrRoad_tech!M171)</f>
        <v>1.0592028264141007</v>
      </c>
      <c r="N198" s="150">
        <f>IF(TrRoad_act!N59=0,0,TrRoad_emi!N56/TrRoad_tech!N171)</f>
        <v>1.0783567778696488</v>
      </c>
      <c r="O198" s="150">
        <f>IF(TrRoad_act!O59=0,0,TrRoad_emi!O56/TrRoad_tech!O171)</f>
        <v>1.105400214801725</v>
      </c>
      <c r="P198" s="150">
        <f>IF(TrRoad_act!P59=0,0,TrRoad_emi!P56/TrRoad_tech!P171)</f>
        <v>1.104415291975033</v>
      </c>
      <c r="Q198" s="150">
        <f>IF(TrRoad_act!Q59=0,0,TrRoad_emi!Q56/TrRoad_tech!Q171)</f>
        <v>1.131967158754895</v>
      </c>
      <c r="R198" s="150">
        <f>IF(TrRoad_act!R59=0,0,TrRoad_emi!R56/TrRoad_tech!R171)</f>
        <v>1.1503552723196524</v>
      </c>
      <c r="S198" s="150">
        <f>IF(TrRoad_act!S59=0,0,TrRoad_emi!S56/TrRoad_tech!S171)</f>
        <v>1.1594510549670347</v>
      </c>
      <c r="T198" s="150">
        <f>IF(TrRoad_act!T59=0,0,TrRoad_emi!T56/TrRoad_tech!T171)</f>
        <v>1.1502065779972452</v>
      </c>
      <c r="U198" s="150">
        <f>IF(TrRoad_act!U59=0,0,TrRoad_emi!U56/TrRoad_tech!U171)</f>
        <v>1.1717609802858926</v>
      </c>
      <c r="V198" s="150">
        <f>IF(TrRoad_act!V59=0,0,TrRoad_emi!V56/TrRoad_tech!V171)</f>
        <v>1.1769408764389382</v>
      </c>
      <c r="W198" s="150">
        <f>IF(TrRoad_act!W59=0,0,TrRoad_emi!W56/TrRoad_tech!W171)</f>
        <v>1.1768936634212459</v>
      </c>
      <c r="X198" s="150">
        <f>IF(TrRoad_act!X59=0,0,TrRoad_emi!X56/TrRoad_tech!X171)</f>
        <v>1.1558001319522155</v>
      </c>
      <c r="Y198" s="150">
        <f>IF(TrRoad_act!Y59=0,0,TrRoad_emi!Y56/TrRoad_tech!Y171)</f>
        <v>1.1396447238531333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1.0272674128564019</v>
      </c>
      <c r="C199" s="151">
        <f>IF(TrRoad_act!C60=0,0,TrRoad_emi!C57/TrRoad_tech!C172)</f>
        <v>1.0182216714186481</v>
      </c>
      <c r="D199" s="151">
        <f>IF(TrRoad_act!D60=0,0,TrRoad_emi!D57/TrRoad_tech!D172)</f>
        <v>1.0113199187395523</v>
      </c>
      <c r="E199" s="151">
        <f>IF(TrRoad_act!E60=0,0,TrRoad_emi!E57/TrRoad_tech!E172)</f>
        <v>1.0036736255671741</v>
      </c>
      <c r="F199" s="151">
        <f>IF(TrRoad_act!F60=0,0,TrRoad_emi!F57/TrRoad_tech!F172)</f>
        <v>0.99227839181206912</v>
      </c>
      <c r="G199" s="151">
        <f>IF(TrRoad_act!G60=0,0,TrRoad_emi!G57/TrRoad_tech!G172)</f>
        <v>0.98203903856599761</v>
      </c>
      <c r="H199" s="151">
        <f>IF(TrRoad_act!H60=0,0,TrRoad_emi!H57/TrRoad_tech!H172)</f>
        <v>0.96953783024631457</v>
      </c>
      <c r="I199" s="151">
        <f>IF(TrRoad_act!I60=0,0,TrRoad_emi!I57/TrRoad_tech!I172)</f>
        <v>0.95339135690326138</v>
      </c>
      <c r="J199" s="151">
        <f>IF(TrRoad_act!J60=0,0,TrRoad_emi!J57/TrRoad_tech!J172)</f>
        <v>0.94270376582282267</v>
      </c>
      <c r="K199" s="151">
        <f>IF(TrRoad_act!K60=0,0,TrRoad_emi!K57/TrRoad_tech!K172)</f>
        <v>0.92929172203124588</v>
      </c>
      <c r="L199" s="151">
        <f>IF(TrRoad_act!L60=0,0,TrRoad_emi!L57/TrRoad_tech!L172)</f>
        <v>0.92655738675877697</v>
      </c>
      <c r="M199" s="151">
        <f>IF(TrRoad_act!M60=0,0,TrRoad_emi!M57/TrRoad_tech!M172)</f>
        <v>0.9033031092784447</v>
      </c>
      <c r="N199" s="151">
        <f>IF(TrRoad_act!N60=0,0,TrRoad_emi!N57/TrRoad_tech!N172)</f>
        <v>0.88166549749299805</v>
      </c>
      <c r="O199" s="151">
        <f>IF(TrRoad_act!O60=0,0,TrRoad_emi!O57/TrRoad_tech!O172)</f>
        <v>0.87338887791944264</v>
      </c>
      <c r="P199" s="151">
        <f>IF(TrRoad_act!P60=0,0,TrRoad_emi!P57/TrRoad_tech!P172)</f>
        <v>0.84909709020444712</v>
      </c>
      <c r="Q199" s="151">
        <f>IF(TrRoad_act!Q60=0,0,TrRoad_emi!Q57/TrRoad_tech!Q172)</f>
        <v>0.83947331823472515</v>
      </c>
      <c r="R199" s="151">
        <f>IF(TrRoad_act!R60=0,0,TrRoad_emi!R57/TrRoad_tech!R172)</f>
        <v>0.81754426899442256</v>
      </c>
      <c r="S199" s="151">
        <f>IF(TrRoad_act!S60=0,0,TrRoad_emi!S57/TrRoad_tech!S172)</f>
        <v>0.80053814491666808</v>
      </c>
      <c r="T199" s="151">
        <f>IF(TrRoad_act!T60=0,0,TrRoad_emi!T57/TrRoad_tech!T172)</f>
        <v>0.78919899113761294</v>
      </c>
      <c r="U199" s="151">
        <f>IF(TrRoad_act!U60=0,0,TrRoad_emi!U57/TrRoad_tech!U172)</f>
        <v>0.81746788186225949</v>
      </c>
      <c r="V199" s="151">
        <f>IF(TrRoad_act!V60=0,0,TrRoad_emi!V57/TrRoad_tech!V172)</f>
        <v>0.87301569165898441</v>
      </c>
      <c r="W199" s="151">
        <f>IF(TrRoad_act!W60=0,0,TrRoad_emi!W57/TrRoad_tech!W172)</f>
        <v>0.94004931708430317</v>
      </c>
      <c r="X199" s="151">
        <f>IF(TrRoad_act!X60=0,0,TrRoad_emi!X57/TrRoad_tech!X172)</f>
        <v>0.97499486996989682</v>
      </c>
      <c r="Y199" s="151">
        <f>IF(TrRoad_act!Y60=0,0,TrRoad_emi!Y57/TrRoad_tech!Y172)</f>
        <v>0.93226718225262739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1.0277777777815897</v>
      </c>
      <c r="C200" s="91">
        <f>IF(TrRoad_act!C61=0,0,TrRoad_emi!C58/TrRoad_tech!C173)</f>
        <v>1.0248460358706384</v>
      </c>
      <c r="D200" s="91">
        <f>IF(TrRoad_act!D61=0,0,TrRoad_emi!D58/TrRoad_tech!D173)</f>
        <v>1.0209554800306917</v>
      </c>
      <c r="E200" s="91">
        <f>IF(TrRoad_act!E61=0,0,TrRoad_emi!E58/TrRoad_tech!E173)</f>
        <v>1.013245107514064</v>
      </c>
      <c r="F200" s="91">
        <f>IF(TrRoad_act!F61=0,0,TrRoad_emi!F58/TrRoad_tech!F173)</f>
        <v>0.99995024162463109</v>
      </c>
      <c r="G200" s="91">
        <f>IF(TrRoad_act!G61=0,0,TrRoad_emi!G58/TrRoad_tech!G173)</f>
        <v>0.9945486105586484</v>
      </c>
      <c r="H200" s="91">
        <f>IF(TrRoad_act!H61=0,0,TrRoad_emi!H58/TrRoad_tech!H173)</f>
        <v>0.99029746323844425</v>
      </c>
      <c r="I200" s="91">
        <f>IF(TrRoad_act!I61=0,0,TrRoad_emi!I58/TrRoad_tech!I173)</f>
        <v>0.98569152719899622</v>
      </c>
      <c r="J200" s="91">
        <f>IF(TrRoad_act!J61=0,0,TrRoad_emi!J58/TrRoad_tech!J173)</f>
        <v>0.97551954423295795</v>
      </c>
      <c r="K200" s="91">
        <f>IF(TrRoad_act!K61=0,0,TrRoad_emi!K58/TrRoad_tech!K173)</f>
        <v>0.97932664323107743</v>
      </c>
      <c r="L200" s="91">
        <f>IF(TrRoad_act!L61=0,0,TrRoad_emi!L58/TrRoad_tech!L173)</f>
        <v>0.97583071048888204</v>
      </c>
      <c r="M200" s="91">
        <f>IF(TrRoad_act!M61=0,0,TrRoad_emi!M58/TrRoad_tech!M173)</f>
        <v>0.96992869065707132</v>
      </c>
      <c r="N200" s="91">
        <f>IF(TrRoad_act!N61=0,0,TrRoad_emi!N58/TrRoad_tech!N173)</f>
        <v>0.96730694631107406</v>
      </c>
      <c r="O200" s="91">
        <f>IF(TrRoad_act!O61=0,0,TrRoad_emi!O58/TrRoad_tech!O173)</f>
        <v>0.97316465066852353</v>
      </c>
      <c r="P200" s="91">
        <f>IF(TrRoad_act!P61=0,0,TrRoad_emi!P58/TrRoad_tech!P173)</f>
        <v>0.97713365672761132</v>
      </c>
      <c r="Q200" s="91">
        <f>IF(TrRoad_act!Q61=0,0,TrRoad_emi!Q58/TrRoad_tech!Q173)</f>
        <v>0.98719001034486742</v>
      </c>
      <c r="R200" s="91">
        <f>IF(TrRoad_act!R61=0,0,TrRoad_emi!R58/TrRoad_tech!R173)</f>
        <v>0.99877310993564639</v>
      </c>
      <c r="S200" s="91">
        <f>IF(TrRoad_act!S61=0,0,TrRoad_emi!S58/TrRoad_tech!S173)</f>
        <v>1.0014673299171906</v>
      </c>
      <c r="T200" s="91">
        <f>IF(TrRoad_act!T61=0,0,TrRoad_emi!T58/TrRoad_tech!T173)</f>
        <v>0.9897919208575422</v>
      </c>
      <c r="U200" s="91">
        <f>IF(TrRoad_act!U61=0,0,TrRoad_emi!U58/TrRoad_tech!U173)</f>
        <v>1.0038214916458514</v>
      </c>
      <c r="V200" s="91">
        <f>IF(TrRoad_act!V61=0,0,TrRoad_emi!V58/TrRoad_tech!V173)</f>
        <v>0.99559563701556042</v>
      </c>
      <c r="W200" s="91">
        <f>IF(TrRoad_act!W61=0,0,TrRoad_emi!W58/TrRoad_tech!W173)</f>
        <v>1.0398668507194542</v>
      </c>
      <c r="X200" s="91">
        <f>IF(TrRoad_act!X61=0,0,TrRoad_emi!X58/TrRoad_tech!X173)</f>
        <v>1.0454261800672562</v>
      </c>
      <c r="Y200" s="91">
        <f>IF(TrRoad_act!Y61=0,0,TrRoad_emi!Y58/TrRoad_tech!Y173)</f>
        <v>1.0038164141768811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1.083735094325734</v>
      </c>
      <c r="C201" s="91">
        <f>IF(TrRoad_act!C62=0,0,TrRoad_emi!C59/TrRoad_tech!C174)</f>
        <v>1.0993345244292958</v>
      </c>
      <c r="D201" s="91">
        <f>IF(TrRoad_act!D62=0,0,TrRoad_emi!D59/TrRoad_tech!D174)</f>
        <v>1.083301151324725</v>
      </c>
      <c r="E201" s="91">
        <f>IF(TrRoad_act!E62=0,0,TrRoad_emi!E59/TrRoad_tech!E174)</f>
        <v>1.0982746174052527</v>
      </c>
      <c r="F201" s="91">
        <f>IF(TrRoad_act!F62=0,0,TrRoad_emi!F59/TrRoad_tech!F174)</f>
        <v>1.1233972927265232</v>
      </c>
      <c r="G201" s="91">
        <f>IF(TrRoad_act!G62=0,0,TrRoad_emi!G59/TrRoad_tech!G174)</f>
        <v>1.084173275041215</v>
      </c>
      <c r="H201" s="91">
        <f>IF(TrRoad_act!H62=0,0,TrRoad_emi!H59/TrRoad_tech!H174)</f>
        <v>1.0721662393442173</v>
      </c>
      <c r="I201" s="91">
        <f>IF(TrRoad_act!I62=0,0,TrRoad_emi!I59/TrRoad_tech!I174)</f>
        <v>1.0376624339455516</v>
      </c>
      <c r="J201" s="91">
        <f>IF(TrRoad_act!J62=0,0,TrRoad_emi!J59/TrRoad_tech!J174)</f>
        <v>1.0406437454323014</v>
      </c>
      <c r="K201" s="91">
        <f>IF(TrRoad_act!K62=0,0,TrRoad_emi!K59/TrRoad_tech!K174)</f>
        <v>1.0117207246142332</v>
      </c>
      <c r="L201" s="91">
        <f>IF(TrRoad_act!L62=0,0,TrRoad_emi!L59/TrRoad_tech!L174)</f>
        <v>1.0156676102985756</v>
      </c>
      <c r="M201" s="91">
        <f>IF(TrRoad_act!M62=0,0,TrRoad_emi!M59/TrRoad_tech!M174)</f>
        <v>0.99186060069884607</v>
      </c>
      <c r="N201" s="91">
        <f>IF(TrRoad_act!N62=0,0,TrRoad_emi!N59/TrRoad_tech!N174)</f>
        <v>0.95325774176507694</v>
      </c>
      <c r="O201" s="91">
        <f>IF(TrRoad_act!O62=0,0,TrRoad_emi!O59/TrRoad_tech!O174)</f>
        <v>0.92883900376670259</v>
      </c>
      <c r="P201" s="91">
        <f>IF(TrRoad_act!P62=0,0,TrRoad_emi!P59/TrRoad_tech!P174)</f>
        <v>0.86321928983971674</v>
      </c>
      <c r="Q201" s="91">
        <f>IF(TrRoad_act!Q62=0,0,TrRoad_emi!Q59/TrRoad_tech!Q174)</f>
        <v>0.83736414384656999</v>
      </c>
      <c r="R201" s="91">
        <f>IF(TrRoad_act!R62=0,0,TrRoad_emi!R59/TrRoad_tech!R174)</f>
        <v>0.77525918027860352</v>
      </c>
      <c r="S201" s="91">
        <f>IF(TrRoad_act!S62=0,0,TrRoad_emi!S59/TrRoad_tech!S174)</f>
        <v>0.74071090233574288</v>
      </c>
      <c r="T201" s="91">
        <f>IF(TrRoad_act!T62=0,0,TrRoad_emi!T59/TrRoad_tech!T174)</f>
        <v>0.70833915582813822</v>
      </c>
      <c r="U201" s="91">
        <f>IF(TrRoad_act!U62=0,0,TrRoad_emi!U59/TrRoad_tech!U174)</f>
        <v>0.72228492792690235</v>
      </c>
      <c r="V201" s="91">
        <f>IF(TrRoad_act!V62=0,0,TrRoad_emi!V59/TrRoad_tech!V174)</f>
        <v>0.72393081198580067</v>
      </c>
      <c r="W201" s="91">
        <f>IF(TrRoad_act!W62=0,0,TrRoad_emi!W59/TrRoad_tech!W174)</f>
        <v>0.72088072937455239</v>
      </c>
      <c r="X201" s="91">
        <f>IF(TrRoad_act!X62=0,0,TrRoad_emi!X59/TrRoad_tech!X174)</f>
        <v>0.64623429096768514</v>
      </c>
      <c r="Y201" s="91">
        <f>IF(TrRoad_act!Y62=0,0,TrRoad_emi!Y59/TrRoad_tech!Y174)</f>
        <v>0.66976987430726798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1.3712702017969669</v>
      </c>
      <c r="H202" s="91">
        <f>IF(TrRoad_act!H63=0,0,TrRoad_emi!H60/TrRoad_tech!H175)</f>
        <v>1.1053077790629466</v>
      </c>
      <c r="I202" s="91">
        <f>IF(TrRoad_act!I63=0,0,TrRoad_emi!I60/TrRoad_tech!I175)</f>
        <v>2.3951421294147788</v>
      </c>
      <c r="J202" s="91">
        <f>IF(TrRoad_act!J63=0,0,TrRoad_emi!J60/TrRoad_tech!J175)</f>
        <v>1.4863775234860501</v>
      </c>
      <c r="K202" s="91">
        <f>IF(TrRoad_act!K63=0,0,TrRoad_emi!K60/TrRoad_tech!K175)</f>
        <v>1.4412908300621021</v>
      </c>
      <c r="L202" s="91">
        <f>IF(TrRoad_act!L63=0,0,TrRoad_emi!L60/TrRoad_tech!L175)</f>
        <v>1.7854644803136983</v>
      </c>
      <c r="M202" s="91">
        <f>IF(TrRoad_act!M63=0,0,TrRoad_emi!M60/TrRoad_tech!M175)</f>
        <v>1.2818483970074774</v>
      </c>
      <c r="N202" s="91">
        <f>IF(TrRoad_act!N63=0,0,TrRoad_emi!N60/TrRoad_tech!N175)</f>
        <v>0.82210366007259028</v>
      </c>
      <c r="O202" s="91">
        <f>IF(TrRoad_act!O63=0,0,TrRoad_emi!O60/TrRoad_tech!O175)</f>
        <v>0.43552194526802085</v>
      </c>
      <c r="P202" s="91">
        <f>IF(TrRoad_act!P63=0,0,TrRoad_emi!P60/TrRoad_tech!P175)</f>
        <v>0.50990756337342069</v>
      </c>
      <c r="Q202" s="91">
        <f>IF(TrRoad_act!Q63=0,0,TrRoad_emi!Q60/TrRoad_tech!Q175)</f>
        <v>2.821128006268621</v>
      </c>
      <c r="R202" s="91">
        <f>IF(TrRoad_act!R63=0,0,TrRoad_emi!R60/TrRoad_tech!R175)</f>
        <v>1.0480717737801681</v>
      </c>
      <c r="S202" s="91">
        <f>IF(TrRoad_act!S63=0,0,TrRoad_emi!S60/TrRoad_tech!S175)</f>
        <v>0</v>
      </c>
      <c r="T202" s="91">
        <f>IF(TrRoad_act!T63=0,0,TrRoad_emi!T60/TrRoad_tech!T175)</f>
        <v>0</v>
      </c>
      <c r="U202" s="91">
        <f>IF(TrRoad_act!U63=0,0,TrRoad_emi!U60/TrRoad_tech!U175)</f>
        <v>0</v>
      </c>
      <c r="V202" s="91">
        <f>IF(TrRoad_act!V63=0,0,TrRoad_emi!V60/TrRoad_tech!V175)</f>
        <v>0</v>
      </c>
      <c r="W202" s="91">
        <f>IF(TrRoad_act!W63=0,0,TrRoad_emi!W60/TrRoad_tech!W175)</f>
        <v>0</v>
      </c>
      <c r="X202" s="91">
        <f>IF(TrRoad_act!X63=0,0,TrRoad_emi!X60/TrRoad_tech!X175)</f>
        <v>0</v>
      </c>
      <c r="Y202" s="91">
        <f>IF(TrRoad_act!Y63=0,0,TrRoad_emi!Y60/TrRoad_tech!Y175)</f>
        <v>0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1.0303703703742999</v>
      </c>
      <c r="E203" s="91">
        <f>IF(TrRoad_act!E64=0,0,TrRoad_emi!E61/TrRoad_tech!E176)</f>
        <v>1.0313310435096503</v>
      </c>
      <c r="F203" s="91">
        <f>IF(TrRoad_act!F64=0,0,TrRoad_emi!F61/TrRoad_tech!F176)</f>
        <v>1.0324804623544965</v>
      </c>
      <c r="G203" s="91">
        <f>IF(TrRoad_act!G64=0,0,TrRoad_emi!G61/TrRoad_tech!G176)</f>
        <v>1.0339430737041118</v>
      </c>
      <c r="H203" s="91">
        <f>IF(TrRoad_act!H64=0,0,TrRoad_emi!H61/TrRoad_tech!H176)</f>
        <v>1.0346101400822656</v>
      </c>
      <c r="I203" s="91">
        <f>IF(TrRoad_act!I64=0,0,TrRoad_emi!I61/TrRoad_tech!I176)</f>
        <v>1.0359129932903577</v>
      </c>
      <c r="J203" s="91">
        <f>IF(TrRoad_act!J64=0,0,TrRoad_emi!J61/TrRoad_tech!J176)</f>
        <v>0.58340236018421643</v>
      </c>
      <c r="K203" s="91">
        <f>IF(TrRoad_act!K64=0,0,TrRoad_emi!K61/TrRoad_tech!K176)</f>
        <v>0.515275865474351</v>
      </c>
      <c r="L203" s="91">
        <f>IF(TrRoad_act!L64=0,0,TrRoad_emi!L61/TrRoad_tech!L176)</f>
        <v>0.62922670408258008</v>
      </c>
      <c r="M203" s="91">
        <f>IF(TrRoad_act!M64=0,0,TrRoad_emi!M61/TrRoad_tech!M176)</f>
        <v>0.42735656526329885</v>
      </c>
      <c r="N203" s="91">
        <f>IF(TrRoad_act!N64=0,0,TrRoad_emi!N61/TrRoad_tech!N176)</f>
        <v>0.45700269846811709</v>
      </c>
      <c r="O203" s="91">
        <f>IF(TrRoad_act!O64=0,0,TrRoad_emi!O61/TrRoad_tech!O176)</f>
        <v>0.43719028482040029</v>
      </c>
      <c r="P203" s="91">
        <f>IF(TrRoad_act!P64=0,0,TrRoad_emi!P61/TrRoad_tech!P176)</f>
        <v>0.4007429734183337</v>
      </c>
      <c r="Q203" s="91">
        <f>IF(TrRoad_act!Q64=0,0,TrRoad_emi!Q61/TrRoad_tech!Q176)</f>
        <v>0.27906724409719458</v>
      </c>
      <c r="R203" s="91">
        <f>IF(TrRoad_act!R64=0,0,TrRoad_emi!R61/TrRoad_tech!R176)</f>
        <v>0.28800182754091408</v>
      </c>
      <c r="S203" s="91">
        <f>IF(TrRoad_act!S64=0,0,TrRoad_emi!S61/TrRoad_tech!S176)</f>
        <v>0.11481921047697426</v>
      </c>
      <c r="T203" s="91">
        <f>IF(TrRoad_act!T64=0,0,TrRoad_emi!T61/TrRoad_tech!T176)</f>
        <v>9.4574901827806757E-2</v>
      </c>
      <c r="U203" s="91">
        <f>IF(TrRoad_act!U64=0,0,TrRoad_emi!U61/TrRoad_tech!U176)</f>
        <v>8.8308642713695096E-2</v>
      </c>
      <c r="V203" s="91">
        <f>IF(TrRoad_act!V64=0,0,TrRoad_emi!V61/TrRoad_tech!V176)</f>
        <v>9.6268984532209376E-2</v>
      </c>
      <c r="W203" s="91">
        <f>IF(TrRoad_act!W64=0,0,TrRoad_emi!W61/TrRoad_tech!W176)</f>
        <v>0.11199138737802736</v>
      </c>
      <c r="X203" s="91">
        <f>IF(TrRoad_act!X64=0,0,TrRoad_emi!X61/TrRoad_tech!X176)</f>
        <v>7.8019830815482763E-2</v>
      </c>
      <c r="Y203" s="91">
        <f>IF(TrRoad_act!Y64=0,0,TrRoad_emi!Y61/TrRoad_tech!Y176)</f>
        <v>0.16437840880665955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0.98981694961056199</v>
      </c>
      <c r="K204" s="91">
        <f>IF(TrRoad_act!K65=0,0,TrRoad_emi!K62/TrRoad_tech!K177)</f>
        <v>0.99380015854882808</v>
      </c>
      <c r="L204" s="91">
        <f>IF(TrRoad_act!L65=0,0,TrRoad_emi!L62/TrRoad_tech!L177)</f>
        <v>0.99023420822270602</v>
      </c>
      <c r="M204" s="91">
        <f>IF(TrRoad_act!M65=0,0,TrRoad_emi!M62/TrRoad_tech!M177)</f>
        <v>0.98829109054621589</v>
      </c>
      <c r="N204" s="91">
        <f>IF(TrRoad_act!N65=0,0,TrRoad_emi!N62/TrRoad_tech!N177)</f>
        <v>0.99143835082751175</v>
      </c>
      <c r="O204" s="91">
        <f>IF(TrRoad_act!O65=0,0,TrRoad_emi!O62/TrRoad_tech!O177)</f>
        <v>0.9997224122390399</v>
      </c>
      <c r="P204" s="91">
        <f>IF(TrRoad_act!P65=0,0,TrRoad_emi!P62/TrRoad_tech!P177)</f>
        <v>1.0097289472828637</v>
      </c>
      <c r="Q204" s="91">
        <f>IF(TrRoad_act!Q65=0,0,TrRoad_emi!Q62/TrRoad_tech!Q177)</f>
        <v>1.0234994403287336</v>
      </c>
      <c r="R204" s="91">
        <f>IF(TrRoad_act!R65=0,0,TrRoad_emi!R62/TrRoad_tech!R177)</f>
        <v>1.0372012642048982</v>
      </c>
      <c r="S204" s="91">
        <f>IF(TrRoad_act!S65=0,0,TrRoad_emi!S62/TrRoad_tech!S177)</f>
        <v>1.0399792987837593</v>
      </c>
      <c r="T204" s="91">
        <f>IF(TrRoad_act!T65=0,0,TrRoad_emi!T62/TrRoad_tech!T177)</f>
        <v>1.0263180229710833</v>
      </c>
      <c r="U204" s="91">
        <f>IF(TrRoad_act!U65=0,0,TrRoad_emi!U62/TrRoad_tech!U177)</f>
        <v>1.038108153539977</v>
      </c>
      <c r="V204" s="91">
        <f>IF(TrRoad_act!V65=0,0,TrRoad_emi!V62/TrRoad_tech!V177)</f>
        <v>1.0279100674301782</v>
      </c>
      <c r="W204" s="91">
        <f>IF(TrRoad_act!W65=0,0,TrRoad_emi!W62/TrRoad_tech!W177)</f>
        <v>1.0708589021724308</v>
      </c>
      <c r="X204" s="91">
        <f>IF(TrRoad_act!X65=0,0,TrRoad_emi!X62/TrRoad_tech!X177)</f>
        <v>1.0736608003896353</v>
      </c>
      <c r="Y204" s="91">
        <f>IF(TrRoad_act!Y65=0,0,TrRoad_emi!Y62/TrRoad_tech!Y177)</f>
        <v>1.0268376257188605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1.2231073169099551</v>
      </c>
      <c r="C206" s="151">
        <f>IF(TrRoad_act!C67=0,0,TrRoad_emi!C64/TrRoad_tech!C179)</f>
        <v>1.227728617007569</v>
      </c>
      <c r="D206" s="151">
        <f>IF(TrRoad_act!D67=0,0,TrRoad_emi!D64/TrRoad_tech!D179)</f>
        <v>1.1947176906157098</v>
      </c>
      <c r="E206" s="151">
        <f>IF(TrRoad_act!E67=0,0,TrRoad_emi!E64/TrRoad_tech!E179)</f>
        <v>1.2356742713353823</v>
      </c>
      <c r="F206" s="151">
        <f>IF(TrRoad_act!F67=0,0,TrRoad_emi!F64/TrRoad_tech!F179)</f>
        <v>1.2705494589331372</v>
      </c>
      <c r="G206" s="151">
        <f>IF(TrRoad_act!G67=0,0,TrRoad_emi!G64/TrRoad_tech!G179)</f>
        <v>1.2368454709116228</v>
      </c>
      <c r="H206" s="151">
        <f>IF(TrRoad_act!H67=0,0,TrRoad_emi!H64/TrRoad_tech!H179)</f>
        <v>1.2233465047818226</v>
      </c>
      <c r="I206" s="151">
        <f>IF(TrRoad_act!I67=0,0,TrRoad_emi!I64/TrRoad_tech!I179)</f>
        <v>1.178849877697953</v>
      </c>
      <c r="J206" s="151">
        <f>IF(TrRoad_act!J67=0,0,TrRoad_emi!J64/TrRoad_tech!J179)</f>
        <v>1.1754079648421722</v>
      </c>
      <c r="K206" s="151">
        <f>IF(TrRoad_act!K67=0,0,TrRoad_emi!K64/TrRoad_tech!K179)</f>
        <v>1.1474959020139068</v>
      </c>
      <c r="L206" s="151">
        <f>IF(TrRoad_act!L67=0,0,TrRoad_emi!L64/TrRoad_tech!L179)</f>
        <v>1.1462053840249327</v>
      </c>
      <c r="M206" s="151">
        <f>IF(TrRoad_act!M67=0,0,TrRoad_emi!M64/TrRoad_tech!M179)</f>
        <v>1.1080456409989072</v>
      </c>
      <c r="N206" s="151">
        <f>IF(TrRoad_act!N67=0,0,TrRoad_emi!N64/TrRoad_tech!N179)</f>
        <v>1.0571078574523134</v>
      </c>
      <c r="O206" s="151">
        <f>IF(TrRoad_act!O67=0,0,TrRoad_emi!O64/TrRoad_tech!O179)</f>
        <v>0.95144098451204639</v>
      </c>
      <c r="P206" s="151">
        <f>IF(TrRoad_act!P67=0,0,TrRoad_emi!P64/TrRoad_tech!P179)</f>
        <v>0.79908289191312554</v>
      </c>
      <c r="Q206" s="151">
        <f>IF(TrRoad_act!Q67=0,0,TrRoad_emi!Q64/TrRoad_tech!Q179)</f>
        <v>0.74885470549555733</v>
      </c>
      <c r="R206" s="151">
        <f>IF(TrRoad_act!R67=0,0,TrRoad_emi!R64/TrRoad_tech!R179)</f>
        <v>0.65422495441928552</v>
      </c>
      <c r="S206" s="151">
        <f>IF(TrRoad_act!S67=0,0,TrRoad_emi!S64/TrRoad_tech!S179)</f>
        <v>0.65204107919242127</v>
      </c>
      <c r="T206" s="151">
        <f>IF(TrRoad_act!T67=0,0,TrRoad_emi!T64/TrRoad_tech!T179)</f>
        <v>0.60753881252062214</v>
      </c>
      <c r="U206" s="151">
        <f>IF(TrRoad_act!U67=0,0,TrRoad_emi!U64/TrRoad_tech!U179)</f>
        <v>0.76026208376215865</v>
      </c>
      <c r="V206" s="151">
        <f>IF(TrRoad_act!V67=0,0,TrRoad_emi!V64/TrRoad_tech!V179)</f>
        <v>0.83642227814251158</v>
      </c>
      <c r="W206" s="151">
        <f>IF(TrRoad_act!W67=0,0,TrRoad_emi!W64/TrRoad_tech!W179)</f>
        <v>0.83663307716806712</v>
      </c>
      <c r="X206" s="151">
        <f>IF(TrRoad_act!X67=0,0,TrRoad_emi!X64/TrRoad_tech!X179)</f>
        <v>0.76887626273183685</v>
      </c>
      <c r="Y206" s="151">
        <f>IF(TrRoad_act!Y67=0,0,TrRoad_emi!Y64/TrRoad_tech!Y179)</f>
        <v>0.84483432954620563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1.0968208654227958</v>
      </c>
      <c r="D207" s="93">
        <f>IF(TrRoad_act!D68=0,0,TrRoad_emi!D65/TrRoad_tech!D180)</f>
        <v>1.0925357460454557</v>
      </c>
      <c r="E207" s="93">
        <f>IF(TrRoad_act!E68=0,0,TrRoad_emi!E65/TrRoad_tech!E180)</f>
        <v>1.0841914955117506</v>
      </c>
      <c r="F207" s="93">
        <f>IF(TrRoad_act!F68=0,0,TrRoad_emi!F65/TrRoad_tech!F180)</f>
        <v>1.0695834893758513</v>
      </c>
      <c r="G207" s="93">
        <f>IF(TrRoad_act!G68=0,0,TrRoad_emi!G65/TrRoad_tech!G180)</f>
        <v>1.0633125405654191</v>
      </c>
      <c r="H207" s="93">
        <f>IF(TrRoad_act!H68=0,0,TrRoad_emi!H65/TrRoad_tech!H180)</f>
        <v>1.0608681111791429</v>
      </c>
      <c r="I207" s="93">
        <f>IF(TrRoad_act!I68=0,0,TrRoad_emi!I65/TrRoad_tech!I180)</f>
        <v>1.0561554935294686</v>
      </c>
      <c r="J207" s="93">
        <f>IF(TrRoad_act!J68=0,0,TrRoad_emi!J65/TrRoad_tech!J180)</f>
        <v>1.0477923058009884</v>
      </c>
      <c r="K207" s="93">
        <f>IF(TrRoad_act!K68=0,0,TrRoad_emi!K65/TrRoad_tech!K180)</f>
        <v>1.0580798412848904</v>
      </c>
      <c r="L207" s="93">
        <f>IF(TrRoad_act!L68=0,0,TrRoad_emi!L65/TrRoad_tech!L180)</f>
        <v>1.0719802636475206</v>
      </c>
      <c r="M207" s="93">
        <f>IF(TrRoad_act!M68=0,0,TrRoad_emi!M65/TrRoad_tech!M180)</f>
        <v>1.0980589665962825</v>
      </c>
      <c r="N207" s="93">
        <f>IF(TrRoad_act!N68=0,0,TrRoad_emi!N65/TrRoad_tech!N180)</f>
        <v>1.105809646667292</v>
      </c>
      <c r="O207" s="93">
        <f>IF(TrRoad_act!O68=0,0,TrRoad_emi!O65/TrRoad_tech!O180)</f>
        <v>1.1211181987783356</v>
      </c>
      <c r="P207" s="93">
        <f>IF(TrRoad_act!P68=0,0,TrRoad_emi!P65/TrRoad_tech!P180)</f>
        <v>1.1332798180354</v>
      </c>
      <c r="Q207" s="93">
        <f>IF(TrRoad_act!Q68=0,0,TrRoad_emi!Q65/TrRoad_tech!Q180)</f>
        <v>1.1443524825648508</v>
      </c>
      <c r="R207" s="93">
        <f>IF(TrRoad_act!R68=0,0,TrRoad_emi!R65/TrRoad_tech!R180)</f>
        <v>1.1757789039676378</v>
      </c>
      <c r="S207" s="93">
        <f>IF(TrRoad_act!S68=0,0,TrRoad_emi!S65/TrRoad_tech!S180)</f>
        <v>1.1843406386926423</v>
      </c>
      <c r="T207" s="93">
        <f>IF(TrRoad_act!T68=0,0,TrRoad_emi!T65/TrRoad_tech!T180)</f>
        <v>1.1762048992527117</v>
      </c>
      <c r="U207" s="93">
        <f>IF(TrRoad_act!U68=0,0,TrRoad_emi!U65/TrRoad_tech!U180)</f>
        <v>1.1996464814630825</v>
      </c>
      <c r="V207" s="93">
        <f>IF(TrRoad_act!V68=0,0,TrRoad_emi!V65/TrRoad_tech!V180)</f>
        <v>1.2001139447937035</v>
      </c>
      <c r="W207" s="93">
        <f>IF(TrRoad_act!W68=0,0,TrRoad_emi!W65/TrRoad_tech!W180)</f>
        <v>1.1921968266366569</v>
      </c>
      <c r="X207" s="93">
        <f>IF(TrRoad_act!X68=0,0,TrRoad_emi!X65/TrRoad_tech!X180)</f>
        <v>1.173629062333635</v>
      </c>
      <c r="Y207" s="93">
        <f>IF(TrRoad_act!Y68=0,0,TrRoad_emi!Y65/TrRoad_tech!Y180)</f>
        <v>1.1528912418260258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1.2296218653744588</v>
      </c>
      <c r="C208" s="93">
        <f>IF(TrRoad_act!C69=0,0,TrRoad_emi!C66/TrRoad_tech!C181)</f>
        <v>1.2393453636000475</v>
      </c>
      <c r="D208" s="93">
        <f>IF(TrRoad_act!D69=0,0,TrRoad_emi!D66/TrRoad_tech!D181)</f>
        <v>1.2158682707804589</v>
      </c>
      <c r="E208" s="93">
        <f>IF(TrRoad_act!E69=0,0,TrRoad_emi!E66/TrRoad_tech!E181)</f>
        <v>1.2503445945025276</v>
      </c>
      <c r="F208" s="93">
        <f>IF(TrRoad_act!F69=0,0,TrRoad_emi!F66/TrRoad_tech!F181)</f>
        <v>1.2898485732620526</v>
      </c>
      <c r="G208" s="93">
        <f>IF(TrRoad_act!G69=0,0,TrRoad_emi!G66/TrRoad_tech!G181)</f>
        <v>1.2294470821219734</v>
      </c>
      <c r="H208" s="93">
        <f>IF(TrRoad_act!H69=0,0,TrRoad_emi!H66/TrRoad_tech!H181)</f>
        <v>1.2263687597528754</v>
      </c>
      <c r="I208" s="93">
        <f>IF(TrRoad_act!I69=0,0,TrRoad_emi!I66/TrRoad_tech!I181)</f>
        <v>1.1939991244816475</v>
      </c>
      <c r="J208" s="93">
        <f>IF(TrRoad_act!J69=0,0,TrRoad_emi!J66/TrRoad_tech!J181)</f>
        <v>1.1864758878210064</v>
      </c>
      <c r="K208" s="93">
        <f>IF(TrRoad_act!K69=0,0,TrRoad_emi!K66/TrRoad_tech!K181)</f>
        <v>1.1692045697131332</v>
      </c>
      <c r="L208" s="93">
        <f>IF(TrRoad_act!L69=0,0,TrRoad_emi!L66/TrRoad_tech!L181)</f>
        <v>1.1878211501725222</v>
      </c>
      <c r="M208" s="93">
        <f>IF(TrRoad_act!M69=0,0,TrRoad_emi!M66/TrRoad_tech!M181)</f>
        <v>1.1642865711273112</v>
      </c>
      <c r="N208" s="93">
        <f>IF(TrRoad_act!N69=0,0,TrRoad_emi!N66/TrRoad_tech!N181)</f>
        <v>1.1122938932739697</v>
      </c>
      <c r="O208" s="93">
        <f>IF(TrRoad_act!O69=0,0,TrRoad_emi!O66/TrRoad_tech!O181)</f>
        <v>1.1014336388491048</v>
      </c>
      <c r="P208" s="93">
        <f>IF(TrRoad_act!P69=0,0,TrRoad_emi!P66/TrRoad_tech!P181)</f>
        <v>1.0039127726612156</v>
      </c>
      <c r="Q208" s="93">
        <f>IF(TrRoad_act!Q69=0,0,TrRoad_emi!Q66/TrRoad_tech!Q181)</f>
        <v>0.97433352437113263</v>
      </c>
      <c r="R208" s="93">
        <f>IF(TrRoad_act!R69=0,0,TrRoad_emi!R66/TrRoad_tech!R181)</f>
        <v>0.90296107309655471</v>
      </c>
      <c r="S208" s="93">
        <f>IF(TrRoad_act!S69=0,0,TrRoad_emi!S66/TrRoad_tech!S181)</f>
        <v>0.86986106758022974</v>
      </c>
      <c r="T208" s="93">
        <f>IF(TrRoad_act!T69=0,0,TrRoad_emi!T66/TrRoad_tech!T181)</f>
        <v>0.82924215889770014</v>
      </c>
      <c r="U208" s="93">
        <f>IF(TrRoad_act!U69=0,0,TrRoad_emi!U66/TrRoad_tech!U181)</f>
        <v>0.8510906577774755</v>
      </c>
      <c r="V208" s="93">
        <f>IF(TrRoad_act!V69=0,0,TrRoad_emi!V66/TrRoad_tech!V181)</f>
        <v>0.87669681898088292</v>
      </c>
      <c r="W208" s="93">
        <f>IF(TrRoad_act!W69=0,0,TrRoad_emi!W66/TrRoad_tech!W181)</f>
        <v>0.87955114908471643</v>
      </c>
      <c r="X208" s="93">
        <f>IF(TrRoad_act!X69=0,0,TrRoad_emi!X66/TrRoad_tech!X181)</f>
        <v>0.78010265554777425</v>
      </c>
      <c r="Y208" s="93">
        <f>IF(TrRoad_act!Y69=0,0,TrRoad_emi!Y66/TrRoad_tech!Y181)</f>
        <v>0.81858484875517812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0.98456581742002114</v>
      </c>
      <c r="C210" s="93">
        <f>IF(TrRoad_act!C71=0,0,TrRoad_emi!C68/TrRoad_tech!C183)</f>
        <v>0.89281144618792674</v>
      </c>
      <c r="D210" s="93">
        <f>IF(TrRoad_act!D71=0,0,TrRoad_emi!D68/TrRoad_tech!D183)</f>
        <v>0.86171300676478124</v>
      </c>
      <c r="E210" s="93">
        <f>IF(TrRoad_act!E71=0,0,TrRoad_emi!E68/TrRoad_tech!E183)</f>
        <v>1.1381648987492314</v>
      </c>
      <c r="F210" s="93">
        <f>IF(TrRoad_act!F71=0,0,TrRoad_emi!F68/TrRoad_tech!F183)</f>
        <v>0.79092588981651879</v>
      </c>
      <c r="G210" s="93">
        <f>IF(TrRoad_act!G71=0,0,TrRoad_emi!G68/TrRoad_tech!G183)</f>
        <v>0.30077729157384187</v>
      </c>
      <c r="H210" s="93">
        <f>IF(TrRoad_act!H71=0,0,TrRoad_emi!H68/TrRoad_tech!H183)</f>
        <v>0.93826095956816247</v>
      </c>
      <c r="I210" s="93">
        <f>IF(TrRoad_act!I71=0,0,TrRoad_emi!I68/TrRoad_tech!I183)</f>
        <v>0.76007199366140576</v>
      </c>
      <c r="J210" s="93">
        <f>IF(TrRoad_act!J71=0,0,TrRoad_emi!J68/TrRoad_tech!J183)</f>
        <v>0.69576842485526313</v>
      </c>
      <c r="K210" s="93">
        <f>IF(TrRoad_act!K71=0,0,TrRoad_emi!K68/TrRoad_tech!K183)</f>
        <v>0.44890426376312909</v>
      </c>
      <c r="L210" s="93">
        <f>IF(TrRoad_act!L71=0,0,TrRoad_emi!L68/TrRoad_tech!L183)</f>
        <v>0.46878395682997409</v>
      </c>
      <c r="M210" s="93">
        <f>IF(TrRoad_act!M71=0,0,TrRoad_emi!M68/TrRoad_tech!M183)</f>
        <v>0.56065941034497524</v>
      </c>
      <c r="N210" s="93">
        <f>IF(TrRoad_act!N71=0,0,TrRoad_emi!N68/TrRoad_tech!N183)</f>
        <v>0.62033639833894783</v>
      </c>
      <c r="O210" s="93">
        <f>IF(TrRoad_act!O71=0,0,TrRoad_emi!O68/TrRoad_tech!O183)</f>
        <v>0.27438988486162064</v>
      </c>
      <c r="P210" s="93">
        <f>IF(TrRoad_act!P71=0,0,TrRoad_emi!P68/TrRoad_tech!P183)</f>
        <v>0.2545639045666816</v>
      </c>
      <c r="Q210" s="93">
        <f>IF(TrRoad_act!Q71=0,0,TrRoad_emi!Q68/TrRoad_tech!Q183)</f>
        <v>0.16543884835354339</v>
      </c>
      <c r="R210" s="93">
        <f>IF(TrRoad_act!R71=0,0,TrRoad_emi!R68/TrRoad_tech!R183)</f>
        <v>0.16772923335523848</v>
      </c>
      <c r="S210" s="93">
        <f>IF(TrRoad_act!S71=0,0,TrRoad_emi!S68/TrRoad_tech!S183)</f>
        <v>5.773021725997915E-2</v>
      </c>
      <c r="T210" s="93">
        <f>IF(TrRoad_act!T71=0,0,TrRoad_emi!T68/TrRoad_tech!T183)</f>
        <v>5.2716946741312561E-2</v>
      </c>
      <c r="U210" s="93">
        <f>IF(TrRoad_act!U71=0,0,TrRoad_emi!U68/TrRoad_tech!U183)</f>
        <v>7.4553036958377367E-2</v>
      </c>
      <c r="V210" s="93">
        <f>IF(TrRoad_act!V71=0,0,TrRoad_emi!V68/TrRoad_tech!V183)</f>
        <v>6.8118602886365398E-2</v>
      </c>
      <c r="W210" s="93">
        <f>IF(TrRoad_act!W71=0,0,TrRoad_emi!W68/TrRoad_tech!W183)</f>
        <v>7.3462070912231503E-2</v>
      </c>
      <c r="X210" s="93">
        <f>IF(TrRoad_act!X71=0,0,TrRoad_emi!X68/TrRoad_tech!X183)</f>
        <v>5.1537549294616194E-2</v>
      </c>
      <c r="Y210" s="93">
        <f>IF(TrRoad_act!Y71=0,0,TrRoad_emi!Y68/TrRoad_tech!Y183)</f>
        <v>0.15687455779146336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1.1066791947567618</v>
      </c>
      <c r="C213" s="150">
        <f>IF(TrRoad_act!C74=0,0,TrRoad_emi!C71/TrRoad_tech!C186)</f>
        <v>1.0663979287456411</v>
      </c>
      <c r="D213" s="150">
        <f>IF(TrRoad_act!D74=0,0,TrRoad_emi!D71/TrRoad_tech!D186)</f>
        <v>1.0475685150123348</v>
      </c>
      <c r="E213" s="150">
        <f>IF(TrRoad_act!E74=0,0,TrRoad_emi!E71/TrRoad_tech!E186)</f>
        <v>1.0739679591350193</v>
      </c>
      <c r="F213" s="150">
        <f>IF(TrRoad_act!F74=0,0,TrRoad_emi!F71/TrRoad_tech!F186)</f>
        <v>1.1140170884244225</v>
      </c>
      <c r="G213" s="150">
        <f>IF(TrRoad_act!G74=0,0,TrRoad_emi!G71/TrRoad_tech!G186)</f>
        <v>1.0947763104739157</v>
      </c>
      <c r="H213" s="150">
        <f>IF(TrRoad_act!H74=0,0,TrRoad_emi!H71/TrRoad_tech!H186)</f>
        <v>1.128968229124987</v>
      </c>
      <c r="I213" s="150">
        <f>IF(TrRoad_act!I74=0,0,TrRoad_emi!I71/TrRoad_tech!I186)</f>
        <v>1.1533444093927361</v>
      </c>
      <c r="J213" s="150">
        <f>IF(TrRoad_act!J74=0,0,TrRoad_emi!J71/TrRoad_tech!J186)</f>
        <v>1.1947916530337457</v>
      </c>
      <c r="K213" s="150">
        <f>IF(TrRoad_act!K74=0,0,TrRoad_emi!K71/TrRoad_tech!K186)</f>
        <v>1.2229241770521184</v>
      </c>
      <c r="L213" s="150">
        <f>IF(TrRoad_act!L74=0,0,TrRoad_emi!L71/TrRoad_tech!L186)</f>
        <v>1.4028332085025814</v>
      </c>
      <c r="M213" s="150">
        <f>IF(TrRoad_act!M74=0,0,TrRoad_emi!M71/TrRoad_tech!M186)</f>
        <v>1.4205535985149289</v>
      </c>
      <c r="N213" s="150">
        <f>IF(TrRoad_act!N74=0,0,TrRoad_emi!N71/TrRoad_tech!N186)</f>
        <v>1.1439022070579019</v>
      </c>
      <c r="O213" s="150">
        <f>IF(TrRoad_act!O74=0,0,TrRoad_emi!O71/TrRoad_tech!O186)</f>
        <v>1.1346243794934603</v>
      </c>
      <c r="P213" s="150">
        <f>IF(TrRoad_act!P74=0,0,TrRoad_emi!P71/TrRoad_tech!P186)</f>
        <v>0.98435377154682924</v>
      </c>
      <c r="Q213" s="150">
        <f>IF(TrRoad_act!Q74=0,0,TrRoad_emi!Q71/TrRoad_tech!Q186)</f>
        <v>0.94880544747339857</v>
      </c>
      <c r="R213" s="150">
        <f>IF(TrRoad_act!R74=0,0,TrRoad_emi!R71/TrRoad_tech!R186)</f>
        <v>0.88137345688224544</v>
      </c>
      <c r="S213" s="150">
        <f>IF(TrRoad_act!S74=0,0,TrRoad_emi!S71/TrRoad_tech!S186)</f>
        <v>0.82023338402188639</v>
      </c>
      <c r="T213" s="150">
        <f>IF(TrRoad_act!T74=0,0,TrRoad_emi!T71/TrRoad_tech!T186)</f>
        <v>0.79809226814010559</v>
      </c>
      <c r="U213" s="150">
        <f>IF(TrRoad_act!U74=0,0,TrRoad_emi!U71/TrRoad_tech!U186)</f>
        <v>0.82163014752695618</v>
      </c>
      <c r="V213" s="150">
        <f>IF(TrRoad_act!V74=0,0,TrRoad_emi!V71/TrRoad_tech!V186)</f>
        <v>0.84617742440501098</v>
      </c>
      <c r="W213" s="150">
        <f>IF(TrRoad_act!W74=0,0,TrRoad_emi!W71/TrRoad_tech!W186)</f>
        <v>0.84328697448841561</v>
      </c>
      <c r="X213" s="150">
        <f>IF(TrRoad_act!X74=0,0,TrRoad_emi!X71/TrRoad_tech!X186)</f>
        <v>0.77063929508119122</v>
      </c>
      <c r="Y213" s="150">
        <f>IF(TrRoad_act!Y74=0,0,TrRoad_emi!Y71/TrRoad_tech!Y186)</f>
        <v>0.85676392148402691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1.0968102474714241</v>
      </c>
      <c r="D214" s="91">
        <f>IF(TrRoad_act!D75=0,0,TrRoad_emi!D72/TrRoad_tech!D187)</f>
        <v>1.0925225854934939</v>
      </c>
      <c r="E214" s="91">
        <f>IF(TrRoad_act!E75=0,0,TrRoad_emi!E72/TrRoad_tech!E187)</f>
        <v>1.0840482229487016</v>
      </c>
      <c r="F214" s="91">
        <f>IF(TrRoad_act!F75=0,0,TrRoad_emi!F72/TrRoad_tech!F187)</f>
        <v>1.0694759271706371</v>
      </c>
      <c r="G214" s="91">
        <f>IF(TrRoad_act!G75=0,0,TrRoad_emi!G72/TrRoad_tech!G187)</f>
        <v>1.0632687026063157</v>
      </c>
      <c r="H214" s="91">
        <f>IF(TrRoad_act!H75=0,0,TrRoad_emi!H72/TrRoad_tech!H187)</f>
        <v>1.0583580212271972</v>
      </c>
      <c r="I214" s="91">
        <f>IF(TrRoad_act!I75=0,0,TrRoad_emi!I72/TrRoad_tech!I187)</f>
        <v>1.05316638497543</v>
      </c>
      <c r="J214" s="91">
        <f>IF(TrRoad_act!J75=0,0,TrRoad_emi!J72/TrRoad_tech!J187)</f>
        <v>1.0424355059519279</v>
      </c>
      <c r="K214" s="91">
        <f>IF(TrRoad_act!K75=0,0,TrRoad_emi!K72/TrRoad_tech!K187)</f>
        <v>1.0469478472142226</v>
      </c>
      <c r="L214" s="91">
        <f>IF(TrRoad_act!L75=0,0,TrRoad_emi!L72/TrRoad_tech!L187)</f>
        <v>1.0432208738145703</v>
      </c>
      <c r="M214" s="91">
        <f>IF(TrRoad_act!M75=0,0,TrRoad_emi!M72/TrRoad_tech!M187)</f>
        <v>1.0371466459939565</v>
      </c>
      <c r="N214" s="91">
        <f>IF(TrRoad_act!N75=0,0,TrRoad_emi!N72/TrRoad_tech!N187)</f>
        <v>1.0357423466685054</v>
      </c>
      <c r="O214" s="91">
        <f>IF(TrRoad_act!O75=0,0,TrRoad_emi!O72/TrRoad_tech!O187)</f>
        <v>1.0431588963230425</v>
      </c>
      <c r="P214" s="91">
        <f>IF(TrRoad_act!P75=0,0,TrRoad_emi!P72/TrRoad_tech!P187)</f>
        <v>1.0495225181718155</v>
      </c>
      <c r="Q214" s="91">
        <f>IF(TrRoad_act!Q75=0,0,TrRoad_emi!Q72/TrRoad_tech!Q187)</f>
        <v>1.0624595539079904</v>
      </c>
      <c r="R214" s="91">
        <f>IF(TrRoad_act!R75=0,0,TrRoad_emi!R72/TrRoad_tech!R187)</f>
        <v>1.0776884589494387</v>
      </c>
      <c r="S214" s="91">
        <f>IF(TrRoad_act!S75=0,0,TrRoad_emi!S72/TrRoad_tech!S187)</f>
        <v>1.0835894736331624</v>
      </c>
      <c r="T214" s="91">
        <f>IF(TrRoad_act!T75=0,0,TrRoad_emi!T72/TrRoad_tech!T187)</f>
        <v>1.0817512335057506</v>
      </c>
      <c r="U214" s="91">
        <f>IF(TrRoad_act!U75=0,0,TrRoad_emi!U72/TrRoad_tech!U187)</f>
        <v>1.1133946939004951</v>
      </c>
      <c r="V214" s="91">
        <f>IF(TrRoad_act!V75=0,0,TrRoad_emi!V72/TrRoad_tech!V187)</f>
        <v>1.1199407484493451</v>
      </c>
      <c r="W214" s="91">
        <f>IF(TrRoad_act!W75=0,0,TrRoad_emi!W72/TrRoad_tech!W187)</f>
        <v>1.1226234899300029</v>
      </c>
      <c r="X214" s="91">
        <f>IF(TrRoad_act!X75=0,0,TrRoad_emi!X72/TrRoad_tech!X187)</f>
        <v>1.120600169830251</v>
      </c>
      <c r="Y214" s="91">
        <f>IF(TrRoad_act!Y75=0,0,TrRoad_emi!Y72/TrRoad_tech!Y187)</f>
        <v>1.116724872761967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1.2296218653744586</v>
      </c>
      <c r="C215" s="91">
        <f>IF(TrRoad_act!C76=0,0,TrRoad_emi!C73/TrRoad_tech!C188)</f>
        <v>1.2393993986461236</v>
      </c>
      <c r="D215" s="91">
        <f>IF(TrRoad_act!D76=0,0,TrRoad_emi!D73/TrRoad_tech!D188)</f>
        <v>1.2156701434280321</v>
      </c>
      <c r="E215" s="91">
        <f>IF(TrRoad_act!E76=0,0,TrRoad_emi!E73/TrRoad_tech!E188)</f>
        <v>1.2496352146603042</v>
      </c>
      <c r="F215" s="91">
        <f>IF(TrRoad_act!F76=0,0,TrRoad_emi!F73/TrRoad_tech!F188)</f>
        <v>1.2884334426789561</v>
      </c>
      <c r="G215" s="91">
        <f>IF(TrRoad_act!G76=0,0,TrRoad_emi!G73/TrRoad_tech!G188)</f>
        <v>1.2267640622807119</v>
      </c>
      <c r="H215" s="91">
        <f>IF(TrRoad_act!H76=0,0,TrRoad_emi!H73/TrRoad_tech!H188)</f>
        <v>1.2220211376476391</v>
      </c>
      <c r="I215" s="91">
        <f>IF(TrRoad_act!I76=0,0,TrRoad_emi!I73/TrRoad_tech!I188)</f>
        <v>1.188756661720622</v>
      </c>
      <c r="J215" s="91">
        <f>IF(TrRoad_act!J76=0,0,TrRoad_emi!J73/TrRoad_tech!J188)</f>
        <v>1.1791162850283761</v>
      </c>
      <c r="K215" s="91">
        <f>IF(TrRoad_act!K76=0,0,TrRoad_emi!K73/TrRoad_tech!K188)</f>
        <v>1.1578268081872076</v>
      </c>
      <c r="L215" s="91">
        <f>IF(TrRoad_act!L76=0,0,TrRoad_emi!L73/TrRoad_tech!L188)</f>
        <v>1.1674601957609101</v>
      </c>
      <c r="M215" s="91">
        <f>IF(TrRoad_act!M76=0,0,TrRoad_emi!M73/TrRoad_tech!M188)</f>
        <v>1.1358224006311775</v>
      </c>
      <c r="N215" s="91">
        <f>IF(TrRoad_act!N76=0,0,TrRoad_emi!N73/TrRoad_tech!N188)</f>
        <v>1.0805056257012837</v>
      </c>
      <c r="O215" s="91">
        <f>IF(TrRoad_act!O76=0,0,TrRoad_emi!O73/TrRoad_tech!O188)</f>
        <v>1.0561862983467876</v>
      </c>
      <c r="P215" s="91">
        <f>IF(TrRoad_act!P76=0,0,TrRoad_emi!P73/TrRoad_tech!P188)</f>
        <v>0.96080446009523501</v>
      </c>
      <c r="Q215" s="91">
        <f>IF(TrRoad_act!Q76=0,0,TrRoad_emi!Q73/TrRoad_tech!Q188)</f>
        <v>0.93150422317087778</v>
      </c>
      <c r="R215" s="91">
        <f>IF(TrRoad_act!R76=0,0,TrRoad_emi!R73/TrRoad_tech!R188)</f>
        <v>0.85755309861372342</v>
      </c>
      <c r="S215" s="91">
        <f>IF(TrRoad_act!S76=0,0,TrRoad_emi!S73/TrRoad_tech!S188)</f>
        <v>0.82996027075075618</v>
      </c>
      <c r="T215" s="91">
        <f>IF(TrRoad_act!T76=0,0,TrRoad_emi!T73/TrRoad_tech!T188)</f>
        <v>0.7955652048169598</v>
      </c>
      <c r="U215" s="91">
        <f>IF(TrRoad_act!U76=0,0,TrRoad_emi!U73/TrRoad_tech!U188)</f>
        <v>0.81785638012910888</v>
      </c>
      <c r="V215" s="91">
        <f>IF(TrRoad_act!V76=0,0,TrRoad_emi!V73/TrRoad_tech!V188)</f>
        <v>0.8314413833475599</v>
      </c>
      <c r="W215" s="91">
        <f>IF(TrRoad_act!W76=0,0,TrRoad_emi!W73/TrRoad_tech!W188)</f>
        <v>0.83452406813012936</v>
      </c>
      <c r="X215" s="91">
        <f>IF(TrRoad_act!X76=0,0,TrRoad_emi!X73/TrRoad_tech!X188)</f>
        <v>0.74497669602876204</v>
      </c>
      <c r="Y215" s="91">
        <f>IF(TrRoad_act!Y76=0,0,TrRoad_emi!Y73/TrRoad_tech!Y188)</f>
        <v>0.78560636464389488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X216" s="91">
        <f>IF(TrRoad_act!X77=0,0,TrRoad_emi!X74/TrRoad_tech!X189)</f>
        <v>0</v>
      </c>
      <c r="Y216" s="91">
        <f>IF(TrRoad_act!Y77=0,0,TrRoad_emi!Y74/TrRoad_tech!Y189)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1.1040000000061811</v>
      </c>
      <c r="D217" s="91">
        <f>IF(TrRoad_act!D78=0,0,TrRoad_emi!D75/TrRoad_tech!D190)</f>
        <v>1.1084203273951356</v>
      </c>
      <c r="E217" s="91">
        <f>IF(TrRoad_act!E78=0,0,TrRoad_emi!E75/TrRoad_tech!E190)</f>
        <v>1.1131919390520539</v>
      </c>
      <c r="F217" s="91">
        <f>IF(TrRoad_act!F78=0,0,TrRoad_emi!F75/TrRoad_tech!F190)</f>
        <v>1.1171730101179238</v>
      </c>
      <c r="G217" s="91">
        <f>IF(TrRoad_act!G78=0,0,TrRoad_emi!G75/TrRoad_tech!G190)</f>
        <v>1.1260644736429146</v>
      </c>
      <c r="H217" s="91">
        <f>IF(TrRoad_act!H78=0,0,TrRoad_emi!H75/TrRoad_tech!H190)</f>
        <v>1.1375476069437462</v>
      </c>
      <c r="I217" s="91">
        <f>IF(TrRoad_act!I78=0,0,TrRoad_emi!I75/TrRoad_tech!I190)</f>
        <v>1.1483370281399889</v>
      </c>
      <c r="J217" s="91">
        <f>IF(TrRoad_act!J78=0,0,TrRoad_emi!J75/TrRoad_tech!J190)</f>
        <v>0.65409211110332388</v>
      </c>
      <c r="K217" s="91">
        <f>IF(TrRoad_act!K78=0,0,TrRoad_emi!K75/TrRoad_tech!K190)</f>
        <v>0.58170782205074745</v>
      </c>
      <c r="L217" s="91">
        <f>IF(TrRoad_act!L78=0,0,TrRoad_emi!L75/TrRoad_tech!L190)</f>
        <v>0.71292181506779817</v>
      </c>
      <c r="M217" s="91">
        <f>IF(TrRoad_act!M78=0,0,TrRoad_emi!M75/TrRoad_tech!M190)</f>
        <v>0.48703529624945308</v>
      </c>
      <c r="N217" s="91">
        <f>IF(TrRoad_act!N78=0,0,TrRoad_emi!N75/TrRoad_tech!N190)</f>
        <v>0.52321464139203777</v>
      </c>
      <c r="O217" s="91">
        <f>IF(TrRoad_act!O78=0,0,TrRoad_emi!O75/TrRoad_tech!O190)</f>
        <v>0.50400442924282363</v>
      </c>
      <c r="P217" s="91">
        <f>IF(TrRoad_act!P78=0,0,TrRoad_emi!P75/TrRoad_tech!P190)</f>
        <v>0.46663143322845463</v>
      </c>
      <c r="Q217" s="91">
        <f>IF(TrRoad_act!Q78=0,0,TrRoad_emi!Q75/TrRoad_tech!Q190)</f>
        <v>0.32772954584285269</v>
      </c>
      <c r="R217" s="91">
        <f>IF(TrRoad_act!R78=0,0,TrRoad_emi!R75/TrRoad_tech!R190)</f>
        <v>0.3400756525899119</v>
      </c>
      <c r="S217" s="91">
        <f>IF(TrRoad_act!S78=0,0,TrRoad_emi!S75/TrRoad_tech!S190)</f>
        <v>0.1371841770442673</v>
      </c>
      <c r="T217" s="91">
        <f>IF(TrRoad_act!T78=0,0,TrRoad_emi!T75/TrRoad_tech!T190)</f>
        <v>0.11502249035863769</v>
      </c>
      <c r="U217" s="91">
        <f>IF(TrRoad_act!U78=0,0,TrRoad_emi!U75/TrRoad_tech!U190)</f>
        <v>0.10782929126555889</v>
      </c>
      <c r="V217" s="91">
        <f>IF(TrRoad_act!V78=0,0,TrRoad_emi!V75/TrRoad_tech!V190)</f>
        <v>0.11790894240663161</v>
      </c>
      <c r="W217" s="91">
        <f>IF(TrRoad_act!W78=0,0,TrRoad_emi!W75/TrRoad_tech!W190)</f>
        <v>0.1374533003731053</v>
      </c>
      <c r="X217" s="91">
        <f>IF(TrRoad_act!X78=0,0,TrRoad_emi!X75/TrRoad_tech!X190)</f>
        <v>9.5757088688958172E-2</v>
      </c>
      <c r="Y217" s="91">
        <f>IF(TrRoad_act!Y78=0,0,TrRoad_emi!Y75/TrRoad_tech!Y190)</f>
        <v>0.20198774425059068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1.3429681797290842</v>
      </c>
      <c r="C219" s="151">
        <f>IF(TrRoad_act!C80=0,0,TrRoad_emi!C77/TrRoad_tech!C192)</f>
        <v>1.3535060615480978</v>
      </c>
      <c r="D219" s="151">
        <f>IF(TrRoad_act!D80=0,0,TrRoad_emi!D77/TrRoad_tech!D192)</f>
        <v>1.3138000712297841</v>
      </c>
      <c r="E219" s="151">
        <f>IF(TrRoad_act!E80=0,0,TrRoad_emi!E77/TrRoad_tech!E192)</f>
        <v>1.3764435021862029</v>
      </c>
      <c r="F219" s="151">
        <f>IF(TrRoad_act!F80=0,0,TrRoad_emi!F77/TrRoad_tech!F192)</f>
        <v>1.4398150876398346</v>
      </c>
      <c r="G219" s="151">
        <f>IF(TrRoad_act!G80=0,0,TrRoad_emi!G77/TrRoad_tech!G192)</f>
        <v>1.3293650075856942</v>
      </c>
      <c r="H219" s="151">
        <f>IF(TrRoad_act!H80=0,0,TrRoad_emi!H77/TrRoad_tech!H192)</f>
        <v>1.3411482782307862</v>
      </c>
      <c r="I219" s="151">
        <f>IF(TrRoad_act!I80=0,0,TrRoad_emi!I77/TrRoad_tech!I192)</f>
        <v>1.3092848686969909</v>
      </c>
      <c r="J219" s="151">
        <f>IF(TrRoad_act!J80=0,0,TrRoad_emi!J77/TrRoad_tech!J192)</f>
        <v>1.2948638841223739</v>
      </c>
      <c r="K219" s="151">
        <f>IF(TrRoad_act!K80=0,0,TrRoad_emi!K77/TrRoad_tech!K192)</f>
        <v>1.2922320680695161</v>
      </c>
      <c r="L219" s="151">
        <f>IF(TrRoad_act!L80=0,0,TrRoad_emi!L77/TrRoad_tech!L192)</f>
        <v>1.3384345863707272</v>
      </c>
      <c r="M219" s="151">
        <f>IF(TrRoad_act!M80=0,0,TrRoad_emi!M77/TrRoad_tech!M192)</f>
        <v>1.3154236634301242</v>
      </c>
      <c r="N219" s="151">
        <f>IF(TrRoad_act!N80=0,0,TrRoad_emi!N77/TrRoad_tech!N192)</f>
        <v>1.225000368745458</v>
      </c>
      <c r="O219" s="151">
        <f>IF(TrRoad_act!O80=0,0,TrRoad_emi!O77/TrRoad_tech!O192)</f>
        <v>1.2061979472973379</v>
      </c>
      <c r="P219" s="151">
        <f>IF(TrRoad_act!P80=0,0,TrRoad_emi!P77/TrRoad_tech!P192)</f>
        <v>0.99760585847291106</v>
      </c>
      <c r="Q219" s="151">
        <f>IF(TrRoad_act!Q80=0,0,TrRoad_emi!Q77/TrRoad_tech!Q192)</f>
        <v>0.94963778993969039</v>
      </c>
      <c r="R219" s="151">
        <f>IF(TrRoad_act!R80=0,0,TrRoad_emi!R77/TrRoad_tech!R192)</f>
        <v>0.82697051655097109</v>
      </c>
      <c r="S219" s="151">
        <f>IF(TrRoad_act!S80=0,0,TrRoad_emi!S77/TrRoad_tech!S192)</f>
        <v>0.80907397389689084</v>
      </c>
      <c r="T219" s="151">
        <f>IF(TrRoad_act!T80=0,0,TrRoad_emi!T77/TrRoad_tech!T192)</f>
        <v>0.72723402491917277</v>
      </c>
      <c r="U219" s="151">
        <f>IF(TrRoad_act!U80=0,0,TrRoad_emi!U77/TrRoad_tech!U192)</f>
        <v>0.7326152101025466</v>
      </c>
      <c r="V219" s="151">
        <f>IF(TrRoad_act!V80=0,0,TrRoad_emi!V77/TrRoad_tech!V192)</f>
        <v>0.79275748014482439</v>
      </c>
      <c r="W219" s="151">
        <f>IF(TrRoad_act!W80=0,0,TrRoad_emi!W77/TrRoad_tech!W192)</f>
        <v>0.81407987794255898</v>
      </c>
      <c r="X219" s="151">
        <f>IF(TrRoad_act!X80=0,0,TrRoad_emi!X77/TrRoad_tech!X192)</f>
        <v>0.70254768938713064</v>
      </c>
      <c r="Y219" s="151">
        <f>IF(TrRoad_act!Y80=0,0,TrRoad_emi!Y77/TrRoad_tech!Y192)</f>
        <v>0.75141981275886471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1.4177920709916332</v>
      </c>
      <c r="C220" s="93">
        <f>IF(TrRoad_act!C81=0,0,TrRoad_emi!C78/TrRoad_tech!C193)</f>
        <v>1.4287879440968139</v>
      </c>
      <c r="D220" s="93">
        <f>IF(TrRoad_act!D81=0,0,TrRoad_emi!D78/TrRoad_tech!D193)</f>
        <v>1.387641902861235</v>
      </c>
      <c r="E220" s="93">
        <f>IF(TrRoad_act!E81=0,0,TrRoad_emi!E78/TrRoad_tech!E193)</f>
        <v>1.4535818858521647</v>
      </c>
      <c r="F220" s="93">
        <f>IF(TrRoad_act!F81=0,0,TrRoad_emi!F78/TrRoad_tech!F193)</f>
        <v>1.5207335009952474</v>
      </c>
      <c r="G220" s="93">
        <f>IF(TrRoad_act!G81=0,0,TrRoad_emi!G78/TrRoad_tech!G193)</f>
        <v>1.4055943313723436</v>
      </c>
      <c r="H220" s="93">
        <f>IF(TrRoad_act!H81=0,0,TrRoad_emi!H78/TrRoad_tech!H193)</f>
        <v>1.4171917329791071</v>
      </c>
      <c r="I220" s="93">
        <f>IF(TrRoad_act!I81=0,0,TrRoad_emi!I78/TrRoad_tech!I193)</f>
        <v>1.3842646945868642</v>
      </c>
      <c r="J220" s="93">
        <f>IF(TrRoad_act!J81=0,0,TrRoad_emi!J78/TrRoad_tech!J193)</f>
        <v>1.3703271741013032</v>
      </c>
      <c r="K220" s="93">
        <f>IF(TrRoad_act!K81=0,0,TrRoad_emi!K78/TrRoad_tech!K193)</f>
        <v>1.3691269135581972</v>
      </c>
      <c r="L220" s="93">
        <f>IF(TrRoad_act!L81=0,0,TrRoad_emi!L78/TrRoad_tech!L193)</f>
        <v>1.4174122463199141</v>
      </c>
      <c r="M220" s="93">
        <f>IF(TrRoad_act!M81=0,0,TrRoad_emi!M78/TrRoad_tech!M193)</f>
        <v>1.3923646153426517</v>
      </c>
      <c r="N220" s="93">
        <f>IF(TrRoad_act!N81=0,0,TrRoad_emi!N78/TrRoad_tech!N193)</f>
        <v>1.2954006703553274</v>
      </c>
      <c r="O220" s="93">
        <f>IF(TrRoad_act!O81=0,0,TrRoad_emi!O78/TrRoad_tech!O193)</f>
        <v>1.2734849460677997</v>
      </c>
      <c r="P220" s="93">
        <f>IF(TrRoad_act!P81=0,0,TrRoad_emi!P78/TrRoad_tech!P193)</f>
        <v>1.0575197962593392</v>
      </c>
      <c r="Q220" s="93">
        <f>IF(TrRoad_act!Q81=0,0,TrRoad_emi!Q78/TrRoad_tech!Q193)</f>
        <v>1.003995807045029</v>
      </c>
      <c r="R220" s="93">
        <f>IF(TrRoad_act!R81=0,0,TrRoad_emi!R78/TrRoad_tech!R193)</f>
        <v>0.87249642408063843</v>
      </c>
      <c r="S220" s="93">
        <f>IF(TrRoad_act!S81=0,0,TrRoad_emi!S78/TrRoad_tech!S193)</f>
        <v>0.85279563171944417</v>
      </c>
      <c r="T220" s="93">
        <f>IF(TrRoad_act!T81=0,0,TrRoad_emi!T78/TrRoad_tech!T193)</f>
        <v>0.76543325102405591</v>
      </c>
      <c r="U220" s="93">
        <f>IF(TrRoad_act!U81=0,0,TrRoad_emi!U78/TrRoad_tech!U193)</f>
        <v>0.77055306019300118</v>
      </c>
      <c r="V220" s="93">
        <f>IF(TrRoad_act!V81=0,0,TrRoad_emi!V78/TrRoad_tech!V193)</f>
        <v>0.83147729706666507</v>
      </c>
      <c r="W220" s="93">
        <f>IF(TrRoad_act!W81=0,0,TrRoad_emi!W78/TrRoad_tech!W193)</f>
        <v>0.85145032190005665</v>
      </c>
      <c r="X220" s="93">
        <f>IF(TrRoad_act!X81=0,0,TrRoad_emi!X78/TrRoad_tech!X193)</f>
        <v>0.7369251379252294</v>
      </c>
      <c r="Y220" s="93">
        <f>IF(TrRoad_act!Y81=0,0,TrRoad_emi!Y78/TrRoad_tech!Y193)</f>
        <v>0.78463883845248938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1.4177920709916327</v>
      </c>
      <c r="C221" s="94">
        <f>IF(TrRoad_act!C82=0,0,TrRoad_emi!C79/TrRoad_tech!C194)</f>
        <v>1.4289850660479719</v>
      </c>
      <c r="D221" s="94">
        <f>IF(TrRoad_act!D82=0,0,TrRoad_emi!D79/TrRoad_tech!D194)</f>
        <v>1.3881690683081753</v>
      </c>
      <c r="E221" s="94">
        <f>IF(TrRoad_act!E82=0,0,TrRoad_emi!E79/TrRoad_tech!E194)</f>
        <v>1.4543226506882496</v>
      </c>
      <c r="F221" s="94">
        <f>IF(TrRoad_act!F82=0,0,TrRoad_emi!F79/TrRoad_tech!F194)</f>
        <v>1.5255123331869247</v>
      </c>
      <c r="G221" s="94">
        <f>IF(TrRoad_act!G82=0,0,TrRoad_emi!G79/TrRoad_tech!G194)</f>
        <v>1.4099709880285221</v>
      </c>
      <c r="H221" s="94">
        <f>IF(TrRoad_act!H82=0,0,TrRoad_emi!H79/TrRoad_tech!H194)</f>
        <v>1.4216009878750346</v>
      </c>
      <c r="I221" s="94">
        <f>IF(TrRoad_act!I82=0,0,TrRoad_emi!I79/TrRoad_tech!I194)</f>
        <v>1.386308965208173</v>
      </c>
      <c r="J221" s="94">
        <f>IF(TrRoad_act!J82=0,0,TrRoad_emi!J79/TrRoad_tech!J194)</f>
        <v>1.3684506218780186</v>
      </c>
      <c r="K221" s="94">
        <f>IF(TrRoad_act!K82=0,0,TrRoad_emi!K79/TrRoad_tech!K194)</f>
        <v>1.3628896020415135</v>
      </c>
      <c r="L221" s="94">
        <f>IF(TrRoad_act!L82=0,0,TrRoad_emi!L79/TrRoad_tech!L194)</f>
        <v>1.4147008116523747</v>
      </c>
      <c r="M221" s="94">
        <f>IF(TrRoad_act!M82=0,0,TrRoad_emi!M79/TrRoad_tech!M194)</f>
        <v>1.3824761674087191</v>
      </c>
      <c r="N221" s="94">
        <f>IF(TrRoad_act!N82=0,0,TrRoad_emi!N79/TrRoad_tech!N194)</f>
        <v>1.2824217690234645</v>
      </c>
      <c r="O221" s="94">
        <f>IF(TrRoad_act!O82=0,0,TrRoad_emi!O79/TrRoad_tech!O194)</f>
        <v>1.2686513620320141</v>
      </c>
      <c r="P221" s="94">
        <f>IF(TrRoad_act!P82=0,0,TrRoad_emi!P79/TrRoad_tech!P194)</f>
        <v>1.0495415277560496</v>
      </c>
      <c r="Q221" s="94">
        <f>IF(TrRoad_act!Q82=0,0,TrRoad_emi!Q79/TrRoad_tech!Q194)</f>
        <v>1.0083381633969606</v>
      </c>
      <c r="R221" s="94">
        <f>IF(TrRoad_act!R82=0,0,TrRoad_emi!R79/TrRoad_tech!R194)</f>
        <v>0.87824310490586777</v>
      </c>
      <c r="S221" s="94">
        <f>IF(TrRoad_act!S82=0,0,TrRoad_emi!S79/TrRoad_tech!S194)</f>
        <v>0.85476479379317571</v>
      </c>
      <c r="T221" s="94">
        <f>IF(TrRoad_act!T82=0,0,TrRoad_emi!T79/TrRoad_tech!T194)</f>
        <v>0.77041814348899462</v>
      </c>
      <c r="U221" s="94">
        <f>IF(TrRoad_act!U82=0,0,TrRoad_emi!U79/TrRoad_tech!U194)</f>
        <v>0.7703790901705464</v>
      </c>
      <c r="V221" s="94">
        <f>IF(TrRoad_act!V82=0,0,TrRoad_emi!V79/TrRoad_tech!V194)</f>
        <v>0.83534693924759551</v>
      </c>
      <c r="W221" s="94">
        <f>IF(TrRoad_act!W82=0,0,TrRoad_emi!W79/TrRoad_tech!W194)</f>
        <v>0.86297145798050989</v>
      </c>
      <c r="X221" s="94">
        <f>IF(TrRoad_act!X82=0,0,TrRoad_emi!X79/TrRoad_tech!X194)</f>
        <v>0.74030306580341321</v>
      </c>
      <c r="Y221" s="94">
        <f>IF(TrRoad_act!Y82=0,0,TrRoad_emi!Y79/TrRoad_tech!Y194)</f>
        <v>0.78620809526979984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117.11930351581749</v>
      </c>
      <c r="C225" s="152">
        <v>117.11930351581749</v>
      </c>
      <c r="D225" s="152">
        <v>117.11930351581749</v>
      </c>
      <c r="E225" s="152">
        <v>115.81223300444229</v>
      </c>
      <c r="F225" s="152">
        <v>115.81223300444229</v>
      </c>
      <c r="G225" s="152">
        <v>113.19809198169187</v>
      </c>
      <c r="H225" s="152">
        <v>110.58395095894151</v>
      </c>
      <c r="I225" s="152">
        <v>109.27688044756628</v>
      </c>
      <c r="J225" s="152">
        <v>102.74152789069029</v>
      </c>
      <c r="K225" s="152">
        <v>96.206175333814315</v>
      </c>
      <c r="L225" s="152">
        <v>93.592034311063927</v>
      </c>
      <c r="M225" s="152">
        <v>88.134073505978634</v>
      </c>
      <c r="N225" s="152">
        <v>83.023942715671737</v>
      </c>
      <c r="O225" s="152">
        <v>78.921946736771091</v>
      </c>
      <c r="P225" s="152">
        <v>76.058611203283604</v>
      </c>
      <c r="Q225" s="152">
        <v>73.253805603008999</v>
      </c>
      <c r="R225" s="152">
        <v>70.794446865481959</v>
      </c>
      <c r="S225" s="152">
        <v>68.826959875460332</v>
      </c>
      <c r="T225" s="152">
        <v>67.252970283443034</v>
      </c>
      <c r="U225" s="152">
        <v>65.993778609829192</v>
      </c>
      <c r="V225" s="152">
        <v>64.986425270938113</v>
      </c>
      <c r="W225" s="152">
        <v>64.180542599825259</v>
      </c>
      <c r="X225" s="152">
        <v>63.535836462934981</v>
      </c>
      <c r="Y225" s="152">
        <v>63.020071553422746</v>
      </c>
      <c r="DA225" s="174" t="s">
        <v>933</v>
      </c>
    </row>
    <row r="226" spans="1:105" ht="11.45" customHeight="1" x14ac:dyDescent="0.25">
      <c r="A226" s="109" t="s">
        <v>20</v>
      </c>
      <c r="B226" s="116">
        <v>242.69333162581162</v>
      </c>
      <c r="C226" s="116">
        <v>243.01023328738049</v>
      </c>
      <c r="D226" s="116">
        <v>243.10425220244377</v>
      </c>
      <c r="E226" s="116">
        <v>240.52385796720108</v>
      </c>
      <c r="F226" s="116">
        <v>240.450227455083</v>
      </c>
      <c r="G226" s="116">
        <v>234.98791691759672</v>
      </c>
      <c r="H226" s="116">
        <v>229.32607481588747</v>
      </c>
      <c r="I226" s="116">
        <v>223.78696526334068</v>
      </c>
      <c r="J226" s="116">
        <v>210.57422876796306</v>
      </c>
      <c r="K226" s="116">
        <v>197.77601892970631</v>
      </c>
      <c r="L226" s="116">
        <v>187.56309683785483</v>
      </c>
      <c r="M226" s="116">
        <v>175.97651309705816</v>
      </c>
      <c r="N226" s="116">
        <v>170.02687220493598</v>
      </c>
      <c r="O226" s="116">
        <v>166.84526812254413</v>
      </c>
      <c r="P226" s="116">
        <v>163.82811585844809</v>
      </c>
      <c r="Q226" s="116">
        <v>158.04075140896802</v>
      </c>
      <c r="R226" s="116">
        <v>153.29702244629124</v>
      </c>
      <c r="S226" s="116">
        <v>152.6633245264118</v>
      </c>
      <c r="T226" s="116">
        <v>152.11792583095485</v>
      </c>
      <c r="U226" s="116">
        <v>145.96580282576389</v>
      </c>
      <c r="V226" s="116">
        <v>118.8182947113892</v>
      </c>
      <c r="W226" s="116">
        <v>100.57245788162184</v>
      </c>
      <c r="X226" s="116">
        <v>81.916056311868999</v>
      </c>
      <c r="Y226" s="116">
        <v>89.966959268288463</v>
      </c>
      <c r="DA226" s="176" t="s">
        <v>934</v>
      </c>
    </row>
    <row r="227" spans="1:105" ht="11.45" customHeight="1" x14ac:dyDescent="0.25">
      <c r="A227" s="111" t="s">
        <v>110</v>
      </c>
      <c r="B227" s="87">
        <v>244.27530042330255</v>
      </c>
      <c r="C227" s="87">
        <v>244.27530042330255</v>
      </c>
      <c r="D227" s="87">
        <v>244.27530042330255</v>
      </c>
      <c r="E227" s="87">
        <v>241.36726113254895</v>
      </c>
      <c r="F227" s="87">
        <v>241.36726113254898</v>
      </c>
      <c r="G227" s="87">
        <v>235.55118255104179</v>
      </c>
      <c r="H227" s="87">
        <v>229.73510396953458</v>
      </c>
      <c r="I227" s="87">
        <v>226.82706467878091</v>
      </c>
      <c r="J227" s="87">
        <v>212.28686822501294</v>
      </c>
      <c r="K227" s="87">
        <v>197.74667177124493</v>
      </c>
      <c r="L227" s="87">
        <v>191.51082754554213</v>
      </c>
      <c r="M227" s="87">
        <v>176.64512428993197</v>
      </c>
      <c r="N227" s="87">
        <v>167.49506502127724</v>
      </c>
      <c r="O227" s="87">
        <v>159.30031231921978</v>
      </c>
      <c r="P227" s="87">
        <v>155.06975936042664</v>
      </c>
      <c r="Q227" s="87">
        <v>150.53428867664238</v>
      </c>
      <c r="R227" s="87">
        <v>148.15155710954397</v>
      </c>
      <c r="S227" s="87">
        <v>149.81632208799454</v>
      </c>
      <c r="T227" s="87">
        <v>155.21402081840779</v>
      </c>
      <c r="U227" s="87">
        <v>155.07906243202089</v>
      </c>
      <c r="V227" s="87">
        <v>147.40894513576879</v>
      </c>
      <c r="W227" s="87">
        <v>140.02048799312391</v>
      </c>
      <c r="X227" s="87">
        <v>138.12293073152691</v>
      </c>
      <c r="Y227" s="87">
        <v>136.29385096807721</v>
      </c>
      <c r="DA227" s="171" t="s">
        <v>935</v>
      </c>
    </row>
    <row r="228" spans="1:105" ht="11.45" customHeight="1" x14ac:dyDescent="0.25">
      <c r="A228" s="111" t="s">
        <v>111</v>
      </c>
      <c r="B228" s="87">
        <v>215.42645449493099</v>
      </c>
      <c r="C228" s="87">
        <v>221.20548580297228</v>
      </c>
      <c r="D228" s="87">
        <v>227.80863463291172</v>
      </c>
      <c r="E228" s="87">
        <v>231.11020904788145</v>
      </c>
      <c r="F228" s="87">
        <v>231.11020904788145</v>
      </c>
      <c r="G228" s="87">
        <v>231.11020904788145</v>
      </c>
      <c r="H228" s="87">
        <v>227.80863463291178</v>
      </c>
      <c r="I228" s="87">
        <v>217.90391138800248</v>
      </c>
      <c r="J228" s="87">
        <v>207.99918814309331</v>
      </c>
      <c r="K228" s="87">
        <v>198.0944648981841</v>
      </c>
      <c r="L228" s="87">
        <v>184.88816723830516</v>
      </c>
      <c r="M228" s="87">
        <v>176.27968428844514</v>
      </c>
      <c r="N228" s="87">
        <v>171.25938887650858</v>
      </c>
      <c r="O228" s="87">
        <v>172.57070458479615</v>
      </c>
      <c r="P228" s="87">
        <v>173.33918300030862</v>
      </c>
      <c r="Q228" s="87">
        <v>168.92972881816519</v>
      </c>
      <c r="R228" s="87">
        <v>166.04287230106877</v>
      </c>
      <c r="S228" s="87">
        <v>167.23141123172928</v>
      </c>
      <c r="T228" s="87">
        <v>170.47660192326001</v>
      </c>
      <c r="U228" s="87">
        <v>169.0963124610314</v>
      </c>
      <c r="V228" s="87">
        <v>165.14897554307049</v>
      </c>
      <c r="W228" s="87">
        <v>160.10919474323981</v>
      </c>
      <c r="X228" s="87">
        <v>162.07609299097851</v>
      </c>
      <c r="Y228" s="87">
        <v>164.4082776248525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247.01371082897083</v>
      </c>
      <c r="H229" s="87">
        <v>0</v>
      </c>
      <c r="I229" s="87">
        <v>0</v>
      </c>
      <c r="J229" s="87">
        <v>233.66788070127976</v>
      </c>
      <c r="K229" s="87">
        <v>218.22717735618411</v>
      </c>
      <c r="L229" s="87">
        <v>0</v>
      </c>
      <c r="M229" s="87">
        <v>195.34700637014274</v>
      </c>
      <c r="N229" s="87">
        <v>191.28754976496367</v>
      </c>
      <c r="O229" s="87">
        <v>135.6237072556263</v>
      </c>
      <c r="P229" s="87">
        <v>135.38523790345451</v>
      </c>
      <c r="Q229" s="87">
        <v>134.99737001960784</v>
      </c>
      <c r="R229" s="87">
        <v>0</v>
      </c>
      <c r="S229" s="87">
        <v>0</v>
      </c>
      <c r="T229" s="87">
        <v>0</v>
      </c>
      <c r="U229" s="87">
        <v>0</v>
      </c>
      <c r="V229" s="87">
        <v>0</v>
      </c>
      <c r="W229" s="87">
        <v>0</v>
      </c>
      <c r="X229" s="87">
        <v>0</v>
      </c>
      <c r="Y229" s="87">
        <v>0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211.08557314035451</v>
      </c>
      <c r="E230" s="87">
        <v>208.57264965058843</v>
      </c>
      <c r="F230" s="87">
        <v>208.57264965058843</v>
      </c>
      <c r="G230" s="87">
        <v>203.54680267105613</v>
      </c>
      <c r="H230" s="87">
        <v>198.52095569152397</v>
      </c>
      <c r="I230" s="87">
        <v>196.00803220175777</v>
      </c>
      <c r="J230" s="87">
        <v>183.44341475292711</v>
      </c>
      <c r="K230" s="87">
        <v>170.87879730409651</v>
      </c>
      <c r="L230" s="87">
        <v>165.85295032456548</v>
      </c>
      <c r="M230" s="87">
        <v>161.8231691360196</v>
      </c>
      <c r="N230" s="87">
        <v>194.1967742905895</v>
      </c>
      <c r="O230" s="87">
        <v>154.66273793587226</v>
      </c>
      <c r="P230" s="87">
        <v>140.92028118244741</v>
      </c>
      <c r="Q230" s="87">
        <v>127.89847287206939</v>
      </c>
      <c r="R230" s="87">
        <v>125.3499148161047</v>
      </c>
      <c r="S230" s="87">
        <v>125.2278803026293</v>
      </c>
      <c r="T230" s="87">
        <v>129.99742326107292</v>
      </c>
      <c r="U230" s="87">
        <v>124.33740679370339</v>
      </c>
      <c r="V230" s="87">
        <v>116.68569693288801</v>
      </c>
      <c r="W230" s="87">
        <v>109.7552258934592</v>
      </c>
      <c r="X230" s="87">
        <v>108.61369716425899</v>
      </c>
      <c r="Y230" s="87">
        <v>109.7156398104265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89.153981588406239</v>
      </c>
      <c r="K231" s="87">
        <v>79.58723013942199</v>
      </c>
      <c r="L231" s="87">
        <v>73.726290864923854</v>
      </c>
      <c r="M231" s="87">
        <v>64.91234834267712</v>
      </c>
      <c r="N231" s="87">
        <v>62.749122653829062</v>
      </c>
      <c r="O231" s="87">
        <v>64.881654201198444</v>
      </c>
      <c r="P231" s="87">
        <v>60.327313495047378</v>
      </c>
      <c r="Q231" s="87">
        <v>57.878116325466785</v>
      </c>
      <c r="R231" s="87">
        <v>57.554783604893828</v>
      </c>
      <c r="S231" s="87">
        <v>57.238612869829346</v>
      </c>
      <c r="T231" s="87">
        <v>57.647925033467203</v>
      </c>
      <c r="U231" s="87">
        <v>45.682945669899581</v>
      </c>
      <c r="V231" s="87">
        <v>43.403391294956258</v>
      </c>
      <c r="W231" s="87">
        <v>38.06081603319457</v>
      </c>
      <c r="X231" s="87">
        <v>29.994744516191059</v>
      </c>
      <c r="Y231" s="87">
        <v>28.107490999950681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1514.9115622023719</v>
      </c>
      <c r="C233" s="116">
        <v>1505.9265337037682</v>
      </c>
      <c r="D233" s="116">
        <v>1524.283631587745</v>
      </c>
      <c r="E233" s="116">
        <v>1511.5035634714327</v>
      </c>
      <c r="F233" s="116">
        <v>1498.3016245229048</v>
      </c>
      <c r="G233" s="116">
        <v>1332.8681273088112</v>
      </c>
      <c r="H233" s="116">
        <v>1438.8197049739799</v>
      </c>
      <c r="I233" s="116">
        <v>1443.3042468078627</v>
      </c>
      <c r="J233" s="116">
        <v>1374.0445273318505</v>
      </c>
      <c r="K233" s="116">
        <v>1309.4935074466507</v>
      </c>
      <c r="L233" s="116">
        <v>1314.8948196107781</v>
      </c>
      <c r="M233" s="116">
        <v>1271.8834633324693</v>
      </c>
      <c r="N233" s="116">
        <v>1279.8236478972251</v>
      </c>
      <c r="O233" s="116">
        <v>990.95741651460048</v>
      </c>
      <c r="P233" s="116">
        <v>1111.5156195401689</v>
      </c>
      <c r="Q233" s="116">
        <v>1129.7755476696991</v>
      </c>
      <c r="R233" s="116">
        <v>1270.5412392151095</v>
      </c>
      <c r="S233" s="116">
        <v>1088.7986589284719</v>
      </c>
      <c r="T233" s="116">
        <v>1130.8768993962854</v>
      </c>
      <c r="U233" s="116">
        <v>1107.8583082537732</v>
      </c>
      <c r="V233" s="116">
        <v>925.60819155602394</v>
      </c>
      <c r="W233" s="116">
        <v>895.36510416716362</v>
      </c>
      <c r="X233" s="116">
        <v>822.37221875946614</v>
      </c>
      <c r="Y233" s="116">
        <v>760.90385770469004</v>
      </c>
      <c r="DA233" s="176" t="s">
        <v>941</v>
      </c>
    </row>
    <row r="234" spans="1:105" ht="11.45" customHeight="1" x14ac:dyDescent="0.25">
      <c r="A234" s="111" t="s">
        <v>110</v>
      </c>
      <c r="B234" s="101">
        <v>508.30519886813221</v>
      </c>
      <c r="C234" s="101">
        <v>508.30519886813221</v>
      </c>
      <c r="D234" s="101">
        <v>508.30519886813221</v>
      </c>
      <c r="E234" s="101">
        <v>502.25394650065459</v>
      </c>
      <c r="F234" s="101">
        <v>0</v>
      </c>
      <c r="G234" s="101">
        <v>0</v>
      </c>
      <c r="H234" s="101">
        <v>478.04893703074356</v>
      </c>
      <c r="I234" s="101">
        <v>471.99768466326572</v>
      </c>
      <c r="J234" s="101">
        <v>441.74142282587678</v>
      </c>
      <c r="K234" s="101">
        <v>411.48516098848802</v>
      </c>
      <c r="L234" s="101">
        <v>0</v>
      </c>
      <c r="M234" s="101">
        <v>374.11431919295245</v>
      </c>
      <c r="N234" s="101">
        <v>0</v>
      </c>
      <c r="O234" s="101">
        <v>331.46558415032501</v>
      </c>
      <c r="P234" s="101">
        <v>318.20940112492002</v>
      </c>
      <c r="Q234" s="101">
        <v>0</v>
      </c>
      <c r="R234" s="101">
        <v>315.93608899446673</v>
      </c>
      <c r="S234" s="101">
        <v>314.50782543657721</v>
      </c>
      <c r="T234" s="101">
        <v>312.91468172354297</v>
      </c>
      <c r="U234" s="101">
        <v>311.17626572314623</v>
      </c>
      <c r="V234" s="101">
        <v>309.31033038519558</v>
      </c>
      <c r="W234" s="101">
        <v>0</v>
      </c>
      <c r="X234" s="101">
        <v>305.25849066652381</v>
      </c>
      <c r="Y234" s="101">
        <v>303.10007831015338</v>
      </c>
      <c r="DA234" s="175" t="s">
        <v>942</v>
      </c>
    </row>
    <row r="235" spans="1:105" ht="11.45" customHeight="1" x14ac:dyDescent="0.25">
      <c r="A235" s="111" t="s">
        <v>111</v>
      </c>
      <c r="B235" s="101">
        <v>1526.3912137420684</v>
      </c>
      <c r="C235" s="101">
        <v>1526.3912137420684</v>
      </c>
      <c r="D235" s="101">
        <v>1526.3912137420684</v>
      </c>
      <c r="E235" s="101">
        <v>1521.8074563434436</v>
      </c>
      <c r="F235" s="101">
        <v>1521.8074563434436</v>
      </c>
      <c r="G235" s="101">
        <v>1512.4712142799867</v>
      </c>
      <c r="H235" s="101">
        <v>1502.9588167058989</v>
      </c>
      <c r="I235" s="101">
        <v>1498.1570313490108</v>
      </c>
      <c r="J235" s="101">
        <v>1472.9355325047516</v>
      </c>
      <c r="K235" s="101">
        <v>1446.3482485245213</v>
      </c>
      <c r="L235" s="101">
        <v>1435.4734496634346</v>
      </c>
      <c r="M235" s="101">
        <v>1411.6373345071288</v>
      </c>
      <c r="N235" s="101">
        <v>1388.20911493587</v>
      </c>
      <c r="O235" s="101">
        <v>1368.6061602625334</v>
      </c>
      <c r="P235" s="101">
        <v>1354.4994956272508</v>
      </c>
      <c r="Q235" s="101">
        <v>1340.2449215971562</v>
      </c>
      <c r="R235" s="101">
        <v>1316.9237585375747</v>
      </c>
      <c r="S235" s="101">
        <v>1285.9116213430036</v>
      </c>
      <c r="T235" s="101">
        <v>1248.5565950123259</v>
      </c>
      <c r="U235" s="101">
        <v>1206.1388480500887</v>
      </c>
      <c r="V235" s="101">
        <v>1159.8428332795697</v>
      </c>
      <c r="W235" s="101">
        <v>1110.7401466312938</v>
      </c>
      <c r="X235" s="101">
        <v>1059.7810140114536</v>
      </c>
      <c r="Y235" s="101">
        <v>1007.7924628693993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953.37653643748024</v>
      </c>
      <c r="D237" s="101">
        <v>953.37653643748024</v>
      </c>
      <c r="E237" s="101">
        <v>0</v>
      </c>
      <c r="F237" s="101">
        <v>950.51354383556577</v>
      </c>
      <c r="G237" s="101">
        <v>944.68217240099182</v>
      </c>
      <c r="H237" s="101">
        <v>938.74077509029382</v>
      </c>
      <c r="I237" s="101">
        <v>935.74160328489347</v>
      </c>
      <c r="J237" s="101">
        <v>919.98837764036659</v>
      </c>
      <c r="K237" s="101">
        <v>903.38208923530567</v>
      </c>
      <c r="L237" s="101">
        <v>892.54195510568388</v>
      </c>
      <c r="M237" s="101">
        <v>881.70182097606187</v>
      </c>
      <c r="N237" s="101">
        <v>869.77090745256487</v>
      </c>
      <c r="O237" s="101">
        <v>854.82475860122418</v>
      </c>
      <c r="P237" s="101">
        <v>846.01380440442961</v>
      </c>
      <c r="Q237" s="101">
        <v>837.11046671822373</v>
      </c>
      <c r="R237" s="101">
        <v>830.9816887704302</v>
      </c>
      <c r="S237" s="101">
        <v>826.4986551426482</v>
      </c>
      <c r="T237" s="101">
        <v>822.9966318523384</v>
      </c>
      <c r="U237" s="101">
        <v>820.08164194048845</v>
      </c>
      <c r="V237" s="101">
        <v>817.51926857070634</v>
      </c>
      <c r="W237" s="101">
        <v>815.16970344995582</v>
      </c>
      <c r="X237" s="101">
        <v>812.949443706328</v>
      </c>
      <c r="Y237" s="101">
        <v>810.80857141448337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264.11846263646657</v>
      </c>
      <c r="C240" s="152">
        <v>269.72442327454434</v>
      </c>
      <c r="D240" s="152">
        <v>276.02474971159711</v>
      </c>
      <c r="E240" s="152">
        <v>278.57890959223619</v>
      </c>
      <c r="F240" s="152">
        <v>278.57069239334481</v>
      </c>
      <c r="G240" s="152">
        <v>277.67576298235457</v>
      </c>
      <c r="H240" s="152">
        <v>271.63561597994686</v>
      </c>
      <c r="I240" s="152">
        <v>261.72626910575548</v>
      </c>
      <c r="J240" s="152">
        <v>248.18955658113467</v>
      </c>
      <c r="K240" s="152">
        <v>234.46103623946351</v>
      </c>
      <c r="L240" s="152">
        <v>219.60366642838272</v>
      </c>
      <c r="M240" s="152">
        <v>211.03214551888968</v>
      </c>
      <c r="N240" s="152">
        <v>203.13648264124495</v>
      </c>
      <c r="O240" s="152">
        <v>205.25774683655678</v>
      </c>
      <c r="P240" s="152">
        <v>209.70687663471011</v>
      </c>
      <c r="Q240" s="152">
        <v>199.5092378269475</v>
      </c>
      <c r="R240" s="152">
        <v>187.13529579461368</v>
      </c>
      <c r="S240" s="152">
        <v>187.20385900997456</v>
      </c>
      <c r="T240" s="152">
        <v>187.5015523568579</v>
      </c>
      <c r="U240" s="152">
        <v>189.12360016960417</v>
      </c>
      <c r="V240" s="152">
        <v>186.99548613224582</v>
      </c>
      <c r="W240" s="152">
        <v>180.85033958893726</v>
      </c>
      <c r="X240" s="152">
        <v>165.24724193240647</v>
      </c>
      <c r="Y240" s="152">
        <v>150.28141749136387</v>
      </c>
      <c r="DA240" s="174" t="s">
        <v>947</v>
      </c>
    </row>
    <row r="241" spans="1:105" ht="11.45" customHeight="1" x14ac:dyDescent="0.25">
      <c r="A241" s="111" t="s">
        <v>110</v>
      </c>
      <c r="B241" s="87">
        <v>282.57616027240124</v>
      </c>
      <c r="C241" s="87">
        <v>282.57616027240124</v>
      </c>
      <c r="D241" s="87">
        <v>282.57616027240124</v>
      </c>
      <c r="E241" s="87">
        <v>279.21215836439637</v>
      </c>
      <c r="F241" s="87">
        <v>279.21215836439637</v>
      </c>
      <c r="G241" s="87">
        <v>272.48415454838687</v>
      </c>
      <c r="H241" s="87">
        <v>265.75615073237731</v>
      </c>
      <c r="I241" s="87">
        <v>262.3921488243725</v>
      </c>
      <c r="J241" s="87">
        <v>245.57213928434859</v>
      </c>
      <c r="K241" s="87">
        <v>228.75212974432469</v>
      </c>
      <c r="L241" s="87">
        <v>222.02412592831516</v>
      </c>
      <c r="M241" s="87">
        <v>207.97699503343739</v>
      </c>
      <c r="N241" s="87">
        <v>191.84404711013644</v>
      </c>
      <c r="O241" s="87">
        <v>192.77590857614541</v>
      </c>
      <c r="P241" s="87">
        <v>194.68051898934988</v>
      </c>
      <c r="Q241" s="87">
        <v>187.15269611130321</v>
      </c>
      <c r="R241" s="87">
        <v>161.74909849284893</v>
      </c>
      <c r="S241" s="87">
        <v>164.02823532562113</v>
      </c>
      <c r="T241" s="87">
        <v>167.15723235127479</v>
      </c>
      <c r="U241" s="87">
        <v>166.359477124183</v>
      </c>
      <c r="V241" s="87">
        <v>164.94990468931721</v>
      </c>
      <c r="W241" s="87">
        <v>160.97619047619051</v>
      </c>
      <c r="X241" s="87">
        <v>199.4546159813809</v>
      </c>
      <c r="Y241" s="87">
        <v>162.91162790697669</v>
      </c>
      <c r="DA241" s="171" t="s">
        <v>948</v>
      </c>
    </row>
    <row r="242" spans="1:105" ht="11.45" customHeight="1" x14ac:dyDescent="0.25">
      <c r="A242" s="111" t="s">
        <v>111</v>
      </c>
      <c r="B242" s="87">
        <v>259.65241657987156</v>
      </c>
      <c r="C242" s="87">
        <v>266.61785380131994</v>
      </c>
      <c r="D242" s="87">
        <v>274.57659570583695</v>
      </c>
      <c r="E242" s="87">
        <v>278.55596665809543</v>
      </c>
      <c r="F242" s="87">
        <v>278.55596665809543</v>
      </c>
      <c r="G242" s="87">
        <v>278.55596665809543</v>
      </c>
      <c r="H242" s="87">
        <v>274.57659570583706</v>
      </c>
      <c r="I242" s="87">
        <v>262.63848284906146</v>
      </c>
      <c r="J242" s="87">
        <v>250.70036999228594</v>
      </c>
      <c r="K242" s="87">
        <v>238.76225713551042</v>
      </c>
      <c r="L242" s="87">
        <v>222.84477332647634</v>
      </c>
      <c r="M242" s="87">
        <v>212.46901234457536</v>
      </c>
      <c r="N242" s="87">
        <v>206.40585035445653</v>
      </c>
      <c r="O242" s="87">
        <v>207.33099696364218</v>
      </c>
      <c r="P242" s="87">
        <v>212.51189654348872</v>
      </c>
      <c r="Q242" s="87">
        <v>202.76352242601754</v>
      </c>
      <c r="R242" s="87">
        <v>189.70248414648424</v>
      </c>
      <c r="S242" s="87">
        <v>190.47684404062232</v>
      </c>
      <c r="T242" s="87">
        <v>195.262625658383</v>
      </c>
      <c r="U242" s="87">
        <v>197.499000210482</v>
      </c>
      <c r="V242" s="87">
        <v>203.4645359693269</v>
      </c>
      <c r="W242" s="87">
        <v>197.5365505522515</v>
      </c>
      <c r="X242" s="87">
        <v>188.503871787957</v>
      </c>
      <c r="Y242" s="87">
        <v>196.93393835818259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X243" s="87">
        <v>0</v>
      </c>
      <c r="Y243" s="87">
        <v>0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183.76341209272584</v>
      </c>
      <c r="D244" s="87">
        <v>183.76341209272584</v>
      </c>
      <c r="E244" s="87">
        <v>181.57575242495537</v>
      </c>
      <c r="F244" s="87">
        <v>181.57575242495537</v>
      </c>
      <c r="G244" s="87">
        <v>177.20043308941428</v>
      </c>
      <c r="H244" s="87">
        <v>172.82511375387321</v>
      </c>
      <c r="I244" s="87">
        <v>170.63745408610262</v>
      </c>
      <c r="J244" s="87">
        <v>159.69915574724988</v>
      </c>
      <c r="K244" s="87">
        <v>148.76085740839716</v>
      </c>
      <c r="L244" s="87">
        <v>144.38553807285609</v>
      </c>
      <c r="M244" s="87">
        <v>140.87735733753937</v>
      </c>
      <c r="N244" s="87">
        <v>169.06063891591029</v>
      </c>
      <c r="O244" s="87">
        <v>163.79703115444619</v>
      </c>
      <c r="P244" s="87">
        <v>165.91000226970621</v>
      </c>
      <c r="Q244" s="87">
        <v>149.43073387958555</v>
      </c>
      <c r="R244" s="87">
        <v>124.12318427143482</v>
      </c>
      <c r="S244" s="87">
        <v>133.58931438490404</v>
      </c>
      <c r="T244" s="87">
        <v>135.91350743843341</v>
      </c>
      <c r="U244" s="87">
        <v>137.203125</v>
      </c>
      <c r="V244" s="87">
        <v>155.8306581068835</v>
      </c>
      <c r="W244" s="87">
        <v>173.17056074766359</v>
      </c>
      <c r="X244" s="87">
        <v>254.3125</v>
      </c>
      <c r="Y244" s="87">
        <v>140.05714285714279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983.37518517618298</v>
      </c>
      <c r="C246" s="116">
        <v>979.37114550422393</v>
      </c>
      <c r="D246" s="116">
        <v>973.49307995181277</v>
      </c>
      <c r="E246" s="116">
        <v>964.45629303014266</v>
      </c>
      <c r="F246" s="116">
        <v>967.67901398736967</v>
      </c>
      <c r="G246" s="116">
        <v>945.35612073303741</v>
      </c>
      <c r="H246" s="116">
        <v>934.04806345407735</v>
      </c>
      <c r="I246" s="116">
        <v>917.60008888108746</v>
      </c>
      <c r="J246" s="116">
        <v>899.76874614252711</v>
      </c>
      <c r="K246" s="116">
        <v>879.35640451908489</v>
      </c>
      <c r="L246" s="116">
        <v>874.08186536841208</v>
      </c>
      <c r="M246" s="116">
        <v>846.7462361926863</v>
      </c>
      <c r="N246" s="116">
        <v>827.80670132970192</v>
      </c>
      <c r="O246" s="116">
        <v>828.25359988304831</v>
      </c>
      <c r="P246" s="116">
        <v>782.84449875468238</v>
      </c>
      <c r="Q246" s="116">
        <v>784.87424764205673</v>
      </c>
      <c r="R246" s="116">
        <v>728.83650886118869</v>
      </c>
      <c r="S246" s="116">
        <v>687.47274060884672</v>
      </c>
      <c r="T246" s="116">
        <v>661.85985301873052</v>
      </c>
      <c r="U246" s="116">
        <v>607.5320598324605</v>
      </c>
      <c r="V246" s="116">
        <v>618.45747370153993</v>
      </c>
      <c r="W246" s="116">
        <v>614.08699992582899</v>
      </c>
      <c r="X246" s="116">
        <v>575.05145578394604</v>
      </c>
      <c r="Y246" s="116">
        <v>587.81353498181227</v>
      </c>
      <c r="DA246" s="176" t="s">
        <v>953</v>
      </c>
    </row>
    <row r="247" spans="1:105" ht="11.45" customHeight="1" x14ac:dyDescent="0.25">
      <c r="A247" s="128" t="s">
        <v>27</v>
      </c>
      <c r="B247" s="101">
        <v>913.09686069692373</v>
      </c>
      <c r="C247" s="101">
        <v>907.81622305102758</v>
      </c>
      <c r="D247" s="101">
        <v>901.98465764138962</v>
      </c>
      <c r="E247" s="101">
        <v>894.72327324356934</v>
      </c>
      <c r="F247" s="101">
        <v>886.0505211720872</v>
      </c>
      <c r="G247" s="101">
        <v>875.98828350358951</v>
      </c>
      <c r="H247" s="101">
        <v>864.5617366208279</v>
      </c>
      <c r="I247" s="101">
        <v>851.79919613732613</v>
      </c>
      <c r="J247" s="101">
        <v>837.73194495353971</v>
      </c>
      <c r="K247" s="101">
        <v>822.39404633161371</v>
      </c>
      <c r="L247" s="101">
        <v>805.82214404758133</v>
      </c>
      <c r="M247" s="101">
        <v>788.05525171190527</v>
      </c>
      <c r="N247" s="101">
        <v>769.13453343028596</v>
      </c>
      <c r="O247" s="101">
        <v>749.10307800203407</v>
      </c>
      <c r="P247" s="101">
        <v>728.00566880166639</v>
      </c>
      <c r="Q247" s="101">
        <v>705.88855148970197</v>
      </c>
      <c r="R247" s="101">
        <v>663.19201756756695</v>
      </c>
      <c r="S247" s="101">
        <v>633.30444382207259</v>
      </c>
      <c r="T247" s="101">
        <v>601.92249138930345</v>
      </c>
      <c r="U247" s="101">
        <v>563.56677174925233</v>
      </c>
      <c r="V247" s="101">
        <v>553.25238981457949</v>
      </c>
      <c r="W247" s="101">
        <v>540.78052128490015</v>
      </c>
      <c r="X247" s="101">
        <v>537.80115905300204</v>
      </c>
      <c r="Y247" s="101">
        <v>532.42314746247212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0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10225</v>
      </c>
      <c r="C4" s="28">
        <f t="shared" ref="C4:V4" si="1">SUM(C5,C6,C9)</f>
        <v>10723</v>
      </c>
      <c r="D4" s="28">
        <f t="shared" si="1"/>
        <v>10867</v>
      </c>
      <c r="E4" s="28">
        <f t="shared" si="1"/>
        <v>10828</v>
      </c>
      <c r="F4" s="28">
        <f t="shared" si="1"/>
        <v>10652</v>
      </c>
      <c r="G4" s="28">
        <f t="shared" si="1"/>
        <v>10924</v>
      </c>
      <c r="H4" s="28">
        <f t="shared" si="1"/>
        <v>11756</v>
      </c>
      <c r="I4" s="28">
        <f t="shared" si="1"/>
        <v>12465</v>
      </c>
      <c r="J4" s="28">
        <f t="shared" si="1"/>
        <v>13385</v>
      </c>
      <c r="K4" s="28">
        <f t="shared" si="1"/>
        <v>13560</v>
      </c>
      <c r="L4" s="28">
        <f t="shared" si="1"/>
        <v>13435</v>
      </c>
      <c r="M4" s="28">
        <f t="shared" si="1"/>
        <v>13719</v>
      </c>
      <c r="N4" s="28">
        <f t="shared" si="1"/>
        <v>14165</v>
      </c>
      <c r="O4" s="28">
        <f t="shared" si="1"/>
        <v>14291</v>
      </c>
      <c r="P4" s="28">
        <f t="shared" si="1"/>
        <v>14564</v>
      </c>
      <c r="Q4" s="28">
        <f t="shared" si="1"/>
        <v>15240.8</v>
      </c>
      <c r="R4" s="28">
        <f t="shared" si="1"/>
        <v>15408</v>
      </c>
      <c r="S4" s="28">
        <f t="shared" si="1"/>
        <v>15978</v>
      </c>
      <c r="T4" s="28">
        <f t="shared" si="1"/>
        <v>16284</v>
      </c>
      <c r="U4" s="28">
        <f t="shared" si="1"/>
        <v>17321</v>
      </c>
      <c r="V4" s="28">
        <f t="shared" si="1"/>
        <v>9817</v>
      </c>
      <c r="W4" s="28">
        <f t="shared" ref="W4:Y4" si="2">SUM(W5,W6,W9)</f>
        <v>9619</v>
      </c>
      <c r="X4" s="28">
        <f t="shared" si="2"/>
        <v>15025</v>
      </c>
      <c r="Y4" s="28">
        <f t="shared" si="2"/>
        <v>15606</v>
      </c>
      <c r="DA4" s="173" t="s">
        <v>376</v>
      </c>
    </row>
    <row r="5" spans="1:105" ht="11.45" customHeight="1" x14ac:dyDescent="0.25">
      <c r="A5" s="107" t="s">
        <v>23</v>
      </c>
      <c r="B5" s="108">
        <v>1982.0000000000002</v>
      </c>
      <c r="C5" s="108">
        <v>1990.9999999999998</v>
      </c>
      <c r="D5" s="108">
        <v>1993</v>
      </c>
      <c r="E5" s="108">
        <v>1994</v>
      </c>
      <c r="F5" s="108">
        <v>2018.0000000000002</v>
      </c>
      <c r="G5" s="108">
        <v>2013.9999999999998</v>
      </c>
      <c r="H5" s="108">
        <v>2139.0000000000005</v>
      </c>
      <c r="I5" s="108">
        <v>2203.9999999999995</v>
      </c>
      <c r="J5" s="108">
        <v>2239</v>
      </c>
      <c r="K5" s="108">
        <v>2239</v>
      </c>
      <c r="L5" s="108">
        <v>2280.0000000000005</v>
      </c>
      <c r="M5" s="108">
        <v>2340</v>
      </c>
      <c r="N5" s="108">
        <v>2373</v>
      </c>
      <c r="O5" s="108">
        <v>2449</v>
      </c>
      <c r="P5" s="108">
        <v>2443</v>
      </c>
      <c r="Q5" s="108">
        <v>2499.8000000000002</v>
      </c>
      <c r="R5" s="108">
        <v>2608</v>
      </c>
      <c r="S5" s="108">
        <v>2647.0000000000005</v>
      </c>
      <c r="T5" s="108">
        <v>2737</v>
      </c>
      <c r="U5" s="108">
        <v>2704</v>
      </c>
      <c r="V5" s="108">
        <v>1688</v>
      </c>
      <c r="W5" s="108">
        <v>1592</v>
      </c>
      <c r="X5" s="108">
        <v>2146</v>
      </c>
      <c r="Y5" s="108">
        <v>2298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6196</v>
      </c>
      <c r="C6" s="110">
        <f t="shared" ref="C6:V6" si="4">SUM(C7:C8)</f>
        <v>6505</v>
      </c>
      <c r="D6" s="110">
        <f t="shared" si="4"/>
        <v>6484</v>
      </c>
      <c r="E6" s="110">
        <f t="shared" si="4"/>
        <v>6434</v>
      </c>
      <c r="F6" s="110">
        <f t="shared" si="4"/>
        <v>6212</v>
      </c>
      <c r="G6" s="110">
        <f t="shared" si="4"/>
        <v>6580</v>
      </c>
      <c r="H6" s="110">
        <f t="shared" si="4"/>
        <v>7127</v>
      </c>
      <c r="I6" s="110">
        <f t="shared" si="4"/>
        <v>7486</v>
      </c>
      <c r="J6" s="110">
        <f t="shared" si="4"/>
        <v>8154</v>
      </c>
      <c r="K6" s="110">
        <f t="shared" si="4"/>
        <v>8271</v>
      </c>
      <c r="L6" s="110">
        <f t="shared" si="4"/>
        <v>8216.5</v>
      </c>
      <c r="M6" s="110">
        <f t="shared" si="4"/>
        <v>8552</v>
      </c>
      <c r="N6" s="110">
        <f t="shared" si="4"/>
        <v>8844</v>
      </c>
      <c r="O6" s="110">
        <f t="shared" si="4"/>
        <v>8787</v>
      </c>
      <c r="P6" s="110">
        <f t="shared" si="4"/>
        <v>8893</v>
      </c>
      <c r="Q6" s="110">
        <f t="shared" si="4"/>
        <v>9376</v>
      </c>
      <c r="R6" s="110">
        <f t="shared" si="4"/>
        <v>9319</v>
      </c>
      <c r="S6" s="110">
        <f t="shared" si="4"/>
        <v>9727</v>
      </c>
      <c r="T6" s="110">
        <f t="shared" si="4"/>
        <v>10024</v>
      </c>
      <c r="U6" s="110">
        <f t="shared" si="4"/>
        <v>10717</v>
      </c>
      <c r="V6" s="110">
        <f t="shared" si="4"/>
        <v>6331</v>
      </c>
      <c r="W6" s="110">
        <f t="shared" ref="W6:Y6" si="5">SUM(W7:W8)</f>
        <v>6087.9999999999991</v>
      </c>
      <c r="X6" s="110">
        <f t="shared" si="5"/>
        <v>9851</v>
      </c>
      <c r="Y6" s="110">
        <f t="shared" si="5"/>
        <v>10116</v>
      </c>
      <c r="DA6" s="176" t="s">
        <v>378</v>
      </c>
    </row>
    <row r="7" spans="1:105" ht="11.45" customHeight="1" x14ac:dyDescent="0.25">
      <c r="A7" s="111" t="s">
        <v>90</v>
      </c>
      <c r="B7" s="84">
        <v>384.79662593769456</v>
      </c>
      <c r="C7" s="84">
        <v>446.56742183419237</v>
      </c>
      <c r="D7" s="84">
        <v>613.72292298134323</v>
      </c>
      <c r="E7" s="84">
        <v>467.64344208557719</v>
      </c>
      <c r="F7" s="84">
        <v>262.17039795205955</v>
      </c>
      <c r="G7" s="84">
        <v>223.74059675872164</v>
      </c>
      <c r="H7" s="84">
        <v>336.0771311039656</v>
      </c>
      <c r="I7" s="84">
        <v>324.21817787104703</v>
      </c>
      <c r="J7" s="84">
        <v>416.83274820003254</v>
      </c>
      <c r="K7" s="84">
        <v>422.03949591808527</v>
      </c>
      <c r="L7" s="84">
        <v>387.0883130666283</v>
      </c>
      <c r="M7" s="84">
        <v>283.45824954214464</v>
      </c>
      <c r="N7" s="84">
        <v>394.23774818785733</v>
      </c>
      <c r="O7" s="84">
        <v>303.23303089658265</v>
      </c>
      <c r="P7" s="84">
        <v>331.78721087774511</v>
      </c>
      <c r="Q7" s="84">
        <v>313.34312991308889</v>
      </c>
      <c r="R7" s="84">
        <v>304.70262476054319</v>
      </c>
      <c r="S7" s="84">
        <v>343.91890324080782</v>
      </c>
      <c r="T7" s="84">
        <v>358.51754413295038</v>
      </c>
      <c r="U7" s="84">
        <v>329.7925994557599</v>
      </c>
      <c r="V7" s="84">
        <v>182.21275209871717</v>
      </c>
      <c r="W7" s="84">
        <v>136.51775355537771</v>
      </c>
      <c r="X7" s="84">
        <v>192.28152443950523</v>
      </c>
      <c r="Y7" s="84">
        <v>220.87691580166185</v>
      </c>
      <c r="DA7" s="171" t="s">
        <v>1031</v>
      </c>
    </row>
    <row r="8" spans="1:105" ht="11.45" customHeight="1" x14ac:dyDescent="0.25">
      <c r="A8" s="111" t="s">
        <v>93</v>
      </c>
      <c r="B8" s="84">
        <v>5811.2033740623056</v>
      </c>
      <c r="C8" s="84">
        <v>6058.4325781658081</v>
      </c>
      <c r="D8" s="84">
        <v>5870.2770770186571</v>
      </c>
      <c r="E8" s="84">
        <v>5966.3565579144224</v>
      </c>
      <c r="F8" s="84">
        <v>5949.8296020479402</v>
      </c>
      <c r="G8" s="84">
        <v>6356.2594032412781</v>
      </c>
      <c r="H8" s="84">
        <v>6790.9228688960347</v>
      </c>
      <c r="I8" s="84">
        <v>7161.7818221289526</v>
      </c>
      <c r="J8" s="84">
        <v>7737.1672517999677</v>
      </c>
      <c r="K8" s="84">
        <v>7848.9605040819151</v>
      </c>
      <c r="L8" s="84">
        <v>7829.411686933372</v>
      </c>
      <c r="M8" s="84">
        <v>8268.5417504578545</v>
      </c>
      <c r="N8" s="84">
        <v>8449.7622518121425</v>
      </c>
      <c r="O8" s="84">
        <v>8483.7669691034171</v>
      </c>
      <c r="P8" s="84">
        <v>8561.2127891222553</v>
      </c>
      <c r="Q8" s="84">
        <v>9062.6568700869102</v>
      </c>
      <c r="R8" s="84">
        <v>9014.2973752394573</v>
      </c>
      <c r="S8" s="84">
        <v>9383.0810967591915</v>
      </c>
      <c r="T8" s="84">
        <v>9665.4824558670498</v>
      </c>
      <c r="U8" s="84">
        <v>10387.207400544241</v>
      </c>
      <c r="V8" s="84">
        <v>6148.7872479012831</v>
      </c>
      <c r="W8" s="84">
        <v>5951.4822464446215</v>
      </c>
      <c r="X8" s="84">
        <v>9658.718475560494</v>
      </c>
      <c r="Y8" s="84">
        <v>9895.1230841983379</v>
      </c>
      <c r="DA8" s="171" t="s">
        <v>1032</v>
      </c>
    </row>
    <row r="9" spans="1:105" ht="11.45" customHeight="1" x14ac:dyDescent="0.25">
      <c r="A9" s="112" t="s">
        <v>25</v>
      </c>
      <c r="B9" s="113">
        <v>2047.0000000000002</v>
      </c>
      <c r="C9" s="113">
        <v>2227</v>
      </c>
      <c r="D9" s="113">
        <v>2390</v>
      </c>
      <c r="E9" s="113">
        <v>2400</v>
      </c>
      <c r="F9" s="113">
        <v>2422</v>
      </c>
      <c r="G9" s="113">
        <v>2330</v>
      </c>
      <c r="H9" s="113">
        <v>2490</v>
      </c>
      <c r="I9" s="113">
        <v>2775</v>
      </c>
      <c r="J9" s="113">
        <v>2992</v>
      </c>
      <c r="K9" s="113">
        <v>3050</v>
      </c>
      <c r="L9" s="113">
        <v>2938.5</v>
      </c>
      <c r="M9" s="113">
        <v>2827</v>
      </c>
      <c r="N9" s="113">
        <v>2948</v>
      </c>
      <c r="O9" s="113">
        <v>3055</v>
      </c>
      <c r="P9" s="113">
        <v>3228</v>
      </c>
      <c r="Q9" s="113">
        <v>3365</v>
      </c>
      <c r="R9" s="113">
        <v>3481</v>
      </c>
      <c r="S9" s="113">
        <v>3604</v>
      </c>
      <c r="T9" s="113">
        <v>3523</v>
      </c>
      <c r="U9" s="113">
        <v>3900</v>
      </c>
      <c r="V9" s="113">
        <v>1798</v>
      </c>
      <c r="W9" s="113">
        <v>1939</v>
      </c>
      <c r="X9" s="113">
        <v>3028</v>
      </c>
      <c r="Y9" s="113">
        <v>3192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19475</v>
      </c>
      <c r="C10" s="28">
        <f t="shared" ref="C10:V10" si="7">SUM(C11:C12)</f>
        <v>18954</v>
      </c>
      <c r="D10" s="28">
        <f t="shared" si="7"/>
        <v>19197</v>
      </c>
      <c r="E10" s="28">
        <f t="shared" si="7"/>
        <v>20170</v>
      </c>
      <c r="F10" s="28">
        <f t="shared" si="7"/>
        <v>20856</v>
      </c>
      <c r="G10" s="28">
        <f t="shared" si="7"/>
        <v>21675</v>
      </c>
      <c r="H10" s="28">
        <f t="shared" si="7"/>
        <v>22271</v>
      </c>
      <c r="I10" s="28">
        <f t="shared" si="7"/>
        <v>23250</v>
      </c>
      <c r="J10" s="28">
        <f t="shared" si="7"/>
        <v>22924</v>
      </c>
      <c r="K10" s="28">
        <f t="shared" si="7"/>
        <v>20389</v>
      </c>
      <c r="L10" s="28">
        <f t="shared" si="7"/>
        <v>23464</v>
      </c>
      <c r="M10" s="28">
        <f t="shared" si="7"/>
        <v>22864</v>
      </c>
      <c r="N10" s="28">
        <f t="shared" si="7"/>
        <v>22043</v>
      </c>
      <c r="O10" s="28">
        <f t="shared" si="7"/>
        <v>20970</v>
      </c>
      <c r="P10" s="28">
        <f t="shared" si="7"/>
        <v>21296</v>
      </c>
      <c r="Q10" s="28">
        <f t="shared" si="7"/>
        <v>20699</v>
      </c>
      <c r="R10" s="28">
        <f t="shared" si="7"/>
        <v>21406</v>
      </c>
      <c r="S10" s="28">
        <f t="shared" si="7"/>
        <v>21838</v>
      </c>
      <c r="T10" s="28">
        <f t="shared" si="7"/>
        <v>22794</v>
      </c>
      <c r="U10" s="28">
        <f t="shared" si="7"/>
        <v>22222</v>
      </c>
      <c r="V10" s="28">
        <f t="shared" si="7"/>
        <v>22094</v>
      </c>
      <c r="W10" s="28">
        <f t="shared" ref="W10:Y10" si="8">SUM(W11:W12)</f>
        <v>23449</v>
      </c>
      <c r="X10" s="28">
        <f t="shared" si="8"/>
        <v>23161</v>
      </c>
      <c r="Y10" s="28">
        <f t="shared" si="8"/>
        <v>21953</v>
      </c>
      <c r="DA10" s="173" t="s">
        <v>384</v>
      </c>
    </row>
    <row r="11" spans="1:105" ht="11.45" customHeight="1" x14ac:dyDescent="0.25">
      <c r="A11" s="83" t="s">
        <v>90</v>
      </c>
      <c r="B11" s="84">
        <v>1803.4198728970059</v>
      </c>
      <c r="C11" s="84">
        <v>1649.0394958302224</v>
      </c>
      <c r="D11" s="84">
        <v>1599.0350142381028</v>
      </c>
      <c r="E11" s="84">
        <v>1755.1575355908153</v>
      </c>
      <c r="F11" s="84">
        <v>1844.1058351386866</v>
      </c>
      <c r="G11" s="84">
        <v>2012.9917944776607</v>
      </c>
      <c r="H11" s="84">
        <v>1941.3869128813092</v>
      </c>
      <c r="I11" s="84">
        <v>1973.2547226435897</v>
      </c>
      <c r="J11" s="84">
        <v>2081.0085937711283</v>
      </c>
      <c r="K11" s="84">
        <v>1761.7281162550937</v>
      </c>
      <c r="L11" s="84">
        <v>1979.1493161893629</v>
      </c>
      <c r="M11" s="84">
        <v>1993.666106173433</v>
      </c>
      <c r="N11" s="84">
        <v>1694.343625385952</v>
      </c>
      <c r="O11" s="84">
        <v>1672.952817889179</v>
      </c>
      <c r="P11" s="84">
        <v>1421.5972242688924</v>
      </c>
      <c r="Q11" s="84">
        <v>1424.9187585654113</v>
      </c>
      <c r="R11" s="84">
        <v>1379.5595491995875</v>
      </c>
      <c r="S11" s="84">
        <v>1280.2227010397007</v>
      </c>
      <c r="T11" s="84">
        <v>1413.9225958144607</v>
      </c>
      <c r="U11" s="84">
        <v>1358.0907712032717</v>
      </c>
      <c r="V11" s="84">
        <v>1173.730616022782</v>
      </c>
      <c r="W11" s="84">
        <v>1017.7163844350886</v>
      </c>
      <c r="X11" s="84">
        <v>1341.9521819822762</v>
      </c>
      <c r="Y11" s="84">
        <v>1366.4324642273823</v>
      </c>
      <c r="DA11" s="171" t="s">
        <v>1033</v>
      </c>
    </row>
    <row r="12" spans="1:105" ht="11.45" customHeight="1" x14ac:dyDescent="0.25">
      <c r="A12" s="85" t="s">
        <v>93</v>
      </c>
      <c r="B12" s="86">
        <v>17671.580127102992</v>
      </c>
      <c r="C12" s="86">
        <v>17304.960504169776</v>
      </c>
      <c r="D12" s="86">
        <v>17597.964985761897</v>
      </c>
      <c r="E12" s="86">
        <v>18414.842464409187</v>
      </c>
      <c r="F12" s="86">
        <v>19011.894164861314</v>
      </c>
      <c r="G12" s="86">
        <v>19662.008205522339</v>
      </c>
      <c r="H12" s="86">
        <v>20329.613087118691</v>
      </c>
      <c r="I12" s="86">
        <v>21276.745277356411</v>
      </c>
      <c r="J12" s="86">
        <v>20842.991406228874</v>
      </c>
      <c r="K12" s="86">
        <v>18627.271883744907</v>
      </c>
      <c r="L12" s="86">
        <v>21484.850683810637</v>
      </c>
      <c r="M12" s="86">
        <v>20870.333893826566</v>
      </c>
      <c r="N12" s="86">
        <v>20348.656374614049</v>
      </c>
      <c r="O12" s="86">
        <v>19297.047182110822</v>
      </c>
      <c r="P12" s="86">
        <v>19874.402775731109</v>
      </c>
      <c r="Q12" s="86">
        <v>19274.081241434589</v>
      </c>
      <c r="R12" s="86">
        <v>20026.440450800412</v>
      </c>
      <c r="S12" s="86">
        <v>20557.7772989603</v>
      </c>
      <c r="T12" s="86">
        <v>21380.07740418554</v>
      </c>
      <c r="U12" s="86">
        <v>20863.909228796729</v>
      </c>
      <c r="V12" s="86">
        <v>20920.269383977218</v>
      </c>
      <c r="W12" s="86">
        <v>22431.283615564913</v>
      </c>
      <c r="X12" s="86">
        <v>21819.047818017723</v>
      </c>
      <c r="Y12" s="86">
        <v>20586.567535772618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149.54684610535458</v>
      </c>
      <c r="C14" s="62">
        <f t="shared" ref="C14:V14" si="10">C15+C21</f>
        <v>149.26816197687833</v>
      </c>
      <c r="D14" s="62">
        <f t="shared" si="10"/>
        <v>151.6206391162273</v>
      </c>
      <c r="E14" s="62">
        <f t="shared" si="10"/>
        <v>153.53786191197753</v>
      </c>
      <c r="F14" s="62">
        <f t="shared" si="10"/>
        <v>161.76150018611153</v>
      </c>
      <c r="G14" s="62">
        <f t="shared" si="10"/>
        <v>158.04368195755498</v>
      </c>
      <c r="H14" s="62">
        <f t="shared" si="10"/>
        <v>165.64637080654697</v>
      </c>
      <c r="I14" s="62">
        <f t="shared" si="10"/>
        <v>175.53400872187279</v>
      </c>
      <c r="J14" s="62">
        <f t="shared" si="10"/>
        <v>156.5947885303278</v>
      </c>
      <c r="K14" s="62">
        <f t="shared" si="10"/>
        <v>162.89074165010993</v>
      </c>
      <c r="L14" s="62">
        <f t="shared" si="10"/>
        <v>163.34372934233153</v>
      </c>
      <c r="M14" s="62">
        <f t="shared" si="10"/>
        <v>178.71467876338349</v>
      </c>
      <c r="N14" s="62">
        <f t="shared" si="10"/>
        <v>185.06954764155626</v>
      </c>
      <c r="O14" s="62">
        <f t="shared" si="10"/>
        <v>192.23807055915253</v>
      </c>
      <c r="P14" s="62">
        <f t="shared" si="10"/>
        <v>186.55218741811748</v>
      </c>
      <c r="Q14" s="62">
        <f t="shared" si="10"/>
        <v>188.5862620849658</v>
      </c>
      <c r="R14" s="62">
        <f t="shared" si="10"/>
        <v>196.31774357192745</v>
      </c>
      <c r="S14" s="62">
        <f t="shared" si="10"/>
        <v>184.23476903666364</v>
      </c>
      <c r="T14" s="62">
        <f t="shared" si="10"/>
        <v>194.01652852880395</v>
      </c>
      <c r="U14" s="62">
        <f t="shared" si="10"/>
        <v>188.13251900390847</v>
      </c>
      <c r="V14" s="62">
        <f t="shared" si="10"/>
        <v>175.34574017555909</v>
      </c>
      <c r="W14" s="62">
        <f t="shared" ref="W14:Y14" si="11">W15+W21</f>
        <v>195.34586850254027</v>
      </c>
      <c r="X14" s="62">
        <f t="shared" si="11"/>
        <v>198.02320564927254</v>
      </c>
      <c r="Y14" s="62">
        <f t="shared" si="11"/>
        <v>194.29917200657718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107.8390420882092</v>
      </c>
      <c r="C15" s="29">
        <f t="shared" ref="C15:V15" si="13">SUM(C16,C17,C20)</f>
        <v>110.30675281737872</v>
      </c>
      <c r="D15" s="29">
        <f t="shared" si="13"/>
        <v>112.01970682304704</v>
      </c>
      <c r="E15" s="29">
        <f t="shared" si="13"/>
        <v>113.77299294798016</v>
      </c>
      <c r="F15" s="29">
        <f t="shared" si="13"/>
        <v>118.09909128211329</v>
      </c>
      <c r="G15" s="29">
        <f t="shared" si="13"/>
        <v>113.72764905367821</v>
      </c>
      <c r="H15" s="29">
        <f t="shared" si="13"/>
        <v>119.17508240705573</v>
      </c>
      <c r="I15" s="29">
        <f t="shared" si="13"/>
        <v>124.51638035979035</v>
      </c>
      <c r="J15" s="29">
        <f t="shared" si="13"/>
        <v>114.40623787887135</v>
      </c>
      <c r="K15" s="29">
        <f t="shared" si="13"/>
        <v>124.3475724089063</v>
      </c>
      <c r="L15" s="29">
        <f t="shared" si="13"/>
        <v>122.88944713995723</v>
      </c>
      <c r="M15" s="29">
        <f t="shared" si="13"/>
        <v>135.35070259692756</v>
      </c>
      <c r="N15" s="29">
        <f t="shared" si="13"/>
        <v>143.2600676372555</v>
      </c>
      <c r="O15" s="29">
        <f t="shared" si="13"/>
        <v>152.08113946343602</v>
      </c>
      <c r="P15" s="29">
        <f t="shared" si="13"/>
        <v>149.45422541192858</v>
      </c>
      <c r="Q15" s="29">
        <f t="shared" si="13"/>
        <v>153.12818873604417</v>
      </c>
      <c r="R15" s="29">
        <f t="shared" si="13"/>
        <v>160.80039637118495</v>
      </c>
      <c r="S15" s="29">
        <f t="shared" si="13"/>
        <v>147.45339454156249</v>
      </c>
      <c r="T15" s="29">
        <f t="shared" si="13"/>
        <v>159.40232820290282</v>
      </c>
      <c r="U15" s="29">
        <f t="shared" si="13"/>
        <v>154.92263176459795</v>
      </c>
      <c r="V15" s="29">
        <f t="shared" si="13"/>
        <v>143.55211773074345</v>
      </c>
      <c r="W15" s="29">
        <f t="shared" ref="W15:Y15" si="14">SUM(W16,W17,W20)</f>
        <v>159.72035022819972</v>
      </c>
      <c r="X15" s="29">
        <f t="shared" si="14"/>
        <v>147.86329386431865</v>
      </c>
      <c r="Y15" s="29">
        <f t="shared" si="14"/>
        <v>149.57160125360048</v>
      </c>
      <c r="DA15" s="173" t="s">
        <v>1036</v>
      </c>
    </row>
    <row r="16" spans="1:105" ht="11.45" customHeight="1" x14ac:dyDescent="0.25">
      <c r="A16" s="107" t="s">
        <v>23</v>
      </c>
      <c r="B16" s="115">
        <v>26.954292008128775</v>
      </c>
      <c r="C16" s="115">
        <v>27.496316465678976</v>
      </c>
      <c r="D16" s="115">
        <v>25.967935596894229</v>
      </c>
      <c r="E16" s="115">
        <v>26.422057671433816</v>
      </c>
      <c r="F16" s="115">
        <v>26.733427815382363</v>
      </c>
      <c r="G16" s="115">
        <v>26.316701050553853</v>
      </c>
      <c r="H16" s="115">
        <v>28.161219068361834</v>
      </c>
      <c r="I16" s="115">
        <v>29.514984400686345</v>
      </c>
      <c r="J16" s="115">
        <v>29.410746018334514</v>
      </c>
      <c r="K16" s="115">
        <v>29.64824639606665</v>
      </c>
      <c r="L16" s="115">
        <v>30.203605152780948</v>
      </c>
      <c r="M16" s="115">
        <v>30.963309325586046</v>
      </c>
      <c r="N16" s="115">
        <v>31.606321432424181</v>
      </c>
      <c r="O16" s="115">
        <v>32.773115143742139</v>
      </c>
      <c r="P16" s="115">
        <v>32.706013000239253</v>
      </c>
      <c r="Q16" s="115">
        <v>33.492357884456744</v>
      </c>
      <c r="R16" s="115">
        <v>34.885925455879388</v>
      </c>
      <c r="S16" s="115">
        <v>35.188387107119283</v>
      </c>
      <c r="T16" s="115">
        <v>34.486246980194856</v>
      </c>
      <c r="U16" s="115">
        <v>33.98429412221838</v>
      </c>
      <c r="V16" s="115">
        <v>33.823947391725788</v>
      </c>
      <c r="W16" s="115">
        <v>33.962220710676391</v>
      </c>
      <c r="X16" s="115">
        <v>30.725013222778731</v>
      </c>
      <c r="Y16" s="115">
        <v>30.74343838659307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68.5148960028272</v>
      </c>
      <c r="C17" s="116">
        <f t="shared" ref="C17:V17" si="16">SUM(C18:C19)</f>
        <v>69.352856952558113</v>
      </c>
      <c r="D17" s="116">
        <f t="shared" si="16"/>
        <v>71.609196118856687</v>
      </c>
      <c r="E17" s="116">
        <f t="shared" si="16"/>
        <v>72.847930984700838</v>
      </c>
      <c r="F17" s="116">
        <f t="shared" si="16"/>
        <v>76.729714968876849</v>
      </c>
      <c r="G17" s="116">
        <f t="shared" si="16"/>
        <v>73.330948003124348</v>
      </c>
      <c r="H17" s="116">
        <f t="shared" si="16"/>
        <v>77.7738633386939</v>
      </c>
      <c r="I17" s="116">
        <f t="shared" si="16"/>
        <v>81.671395959104004</v>
      </c>
      <c r="J17" s="116">
        <f t="shared" si="16"/>
        <v>71.295491860536842</v>
      </c>
      <c r="K17" s="116">
        <f t="shared" si="16"/>
        <v>80.499326012839646</v>
      </c>
      <c r="L17" s="116">
        <f t="shared" si="16"/>
        <v>78.885841987176278</v>
      </c>
      <c r="M17" s="116">
        <f t="shared" si="16"/>
        <v>90.187393271341534</v>
      </c>
      <c r="N17" s="116">
        <f t="shared" si="16"/>
        <v>97.253746204831316</v>
      </c>
      <c r="O17" s="116">
        <f t="shared" si="16"/>
        <v>103.90802431969388</v>
      </c>
      <c r="P17" s="116">
        <f t="shared" si="16"/>
        <v>99.448212411689326</v>
      </c>
      <c r="Q17" s="116">
        <f t="shared" si="16"/>
        <v>103.13583085158743</v>
      </c>
      <c r="R17" s="116">
        <f t="shared" si="16"/>
        <v>108.71447091530555</v>
      </c>
      <c r="S17" s="116">
        <f t="shared" si="16"/>
        <v>93.76500743444322</v>
      </c>
      <c r="T17" s="116">
        <f t="shared" si="16"/>
        <v>107.0589383655651</v>
      </c>
      <c r="U17" s="116">
        <f t="shared" si="16"/>
        <v>101.17028281897419</v>
      </c>
      <c r="V17" s="116">
        <f t="shared" si="16"/>
        <v>93.779405082134318</v>
      </c>
      <c r="W17" s="116">
        <f t="shared" ref="W17:Y17" si="17">SUM(W18:W19)</f>
        <v>109.37767725146219</v>
      </c>
      <c r="X17" s="116">
        <f t="shared" si="17"/>
        <v>100.75782837547879</v>
      </c>
      <c r="Y17" s="116">
        <f t="shared" si="17"/>
        <v>102.44771060094627</v>
      </c>
      <c r="DA17" s="176" t="s">
        <v>1038</v>
      </c>
    </row>
    <row r="18" spans="1:105" ht="11.45" customHeight="1" x14ac:dyDescent="0.25">
      <c r="A18" s="111" t="s">
        <v>92</v>
      </c>
      <c r="B18" s="87">
        <v>3.3509542692692986</v>
      </c>
      <c r="C18" s="87">
        <v>3.9106230118690815</v>
      </c>
      <c r="D18" s="87">
        <v>5.5901471324020733</v>
      </c>
      <c r="E18" s="87">
        <v>4.5448101596282768</v>
      </c>
      <c r="F18" s="87">
        <v>2.5455347980672345</v>
      </c>
      <c r="G18" s="87">
        <v>2.0920186006006998</v>
      </c>
      <c r="H18" s="87">
        <v>3.0777350828010239</v>
      </c>
      <c r="I18" s="87">
        <v>2.9483671924020403</v>
      </c>
      <c r="J18" s="87">
        <v>3.8114451277200128</v>
      </c>
      <c r="K18" s="87">
        <v>3.8737274892951059</v>
      </c>
      <c r="L18" s="87">
        <v>3.4249772998148518</v>
      </c>
      <c r="M18" s="87">
        <v>2.7552899129572475</v>
      </c>
      <c r="N18" s="87">
        <v>3.8543212675055791</v>
      </c>
      <c r="O18" s="87">
        <v>2.9317498932382793</v>
      </c>
      <c r="P18" s="87">
        <v>3.201367282983949</v>
      </c>
      <c r="Q18" s="87">
        <v>3.027500287432372</v>
      </c>
      <c r="R18" s="87">
        <v>3.0448211914826504</v>
      </c>
      <c r="S18" s="87">
        <v>3.3808799858601457</v>
      </c>
      <c r="T18" s="87">
        <v>3.4866225991255728</v>
      </c>
      <c r="U18" s="87">
        <v>3.5718827190559277</v>
      </c>
      <c r="V18" s="87">
        <v>3.2444972267543437</v>
      </c>
      <c r="W18" s="87">
        <v>2.3169676302662978</v>
      </c>
      <c r="X18" s="87">
        <v>2.4673196764696415</v>
      </c>
      <c r="Y18" s="87">
        <v>2.4485630496268627</v>
      </c>
      <c r="DA18" s="171" t="s">
        <v>1039</v>
      </c>
    </row>
    <row r="19" spans="1:105" ht="11.45" customHeight="1" x14ac:dyDescent="0.25">
      <c r="A19" s="111" t="s">
        <v>93</v>
      </c>
      <c r="B19" s="87">
        <v>65.163941733557905</v>
      </c>
      <c r="C19" s="87">
        <v>65.442233940689036</v>
      </c>
      <c r="D19" s="87">
        <v>66.019048986454607</v>
      </c>
      <c r="E19" s="87">
        <v>68.303120825072568</v>
      </c>
      <c r="F19" s="87">
        <v>74.184180170809611</v>
      </c>
      <c r="G19" s="87">
        <v>71.238929402523652</v>
      </c>
      <c r="H19" s="87">
        <v>74.696128255892873</v>
      </c>
      <c r="I19" s="87">
        <v>78.723028766701958</v>
      </c>
      <c r="J19" s="87">
        <v>67.484046732816836</v>
      </c>
      <c r="K19" s="87">
        <v>76.625598523544539</v>
      </c>
      <c r="L19" s="87">
        <v>75.460864687361422</v>
      </c>
      <c r="M19" s="87">
        <v>87.432103358384282</v>
      </c>
      <c r="N19" s="87">
        <v>93.399424937325733</v>
      </c>
      <c r="O19" s="87">
        <v>100.9762744264556</v>
      </c>
      <c r="P19" s="87">
        <v>96.246845128705374</v>
      </c>
      <c r="Q19" s="87">
        <v>100.10833056415505</v>
      </c>
      <c r="R19" s="87">
        <v>105.6696497238229</v>
      </c>
      <c r="S19" s="87">
        <v>90.384127448583072</v>
      </c>
      <c r="T19" s="87">
        <v>103.57231576643953</v>
      </c>
      <c r="U19" s="87">
        <v>97.598400099918265</v>
      </c>
      <c r="V19" s="87">
        <v>90.53490785537997</v>
      </c>
      <c r="W19" s="87">
        <v>107.06070962119588</v>
      </c>
      <c r="X19" s="87">
        <v>98.290508699009152</v>
      </c>
      <c r="Y19" s="87">
        <v>99.999147551319396</v>
      </c>
      <c r="DA19" s="171" t="s">
        <v>1040</v>
      </c>
    </row>
    <row r="20" spans="1:105" ht="11.45" customHeight="1" x14ac:dyDescent="0.25">
      <c r="A20" s="112" t="s">
        <v>25</v>
      </c>
      <c r="B20" s="117">
        <v>12.369854077253219</v>
      </c>
      <c r="C20" s="117">
        <v>13.457579399141633</v>
      </c>
      <c r="D20" s="117">
        <v>14.442575107296138</v>
      </c>
      <c r="E20" s="117">
        <v>14.503004291845492</v>
      </c>
      <c r="F20" s="117">
        <v>14.635948497854075</v>
      </c>
      <c r="G20" s="117">
        <v>14.080000000000002</v>
      </c>
      <c r="H20" s="117">
        <v>13.24</v>
      </c>
      <c r="I20" s="117">
        <v>13.33</v>
      </c>
      <c r="J20" s="117">
        <v>13.7</v>
      </c>
      <c r="K20" s="117">
        <v>14.2</v>
      </c>
      <c r="L20" s="117">
        <v>13.800000000000002</v>
      </c>
      <c r="M20" s="117">
        <v>14.2</v>
      </c>
      <c r="N20" s="117">
        <v>14.4</v>
      </c>
      <c r="O20" s="117">
        <v>15.4</v>
      </c>
      <c r="P20" s="117">
        <v>17.3</v>
      </c>
      <c r="Q20" s="117">
        <v>16.5</v>
      </c>
      <c r="R20" s="117">
        <v>17.2</v>
      </c>
      <c r="S20" s="117">
        <v>18.5</v>
      </c>
      <c r="T20" s="117">
        <v>17.857142857142858</v>
      </c>
      <c r="U20" s="117">
        <v>19.768054823405375</v>
      </c>
      <c r="V20" s="117">
        <v>15.948765256883339</v>
      </c>
      <c r="W20" s="117">
        <v>16.380452266061123</v>
      </c>
      <c r="X20" s="117">
        <v>16.38045226606112</v>
      </c>
      <c r="Y20" s="117">
        <v>16.380452266061123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41.707804017145385</v>
      </c>
      <c r="C21" s="29">
        <f t="shared" ref="C21:V21" si="19">SUM(C22:C23)</f>
        <v>38.961409159499624</v>
      </c>
      <c r="D21" s="29">
        <f t="shared" si="19"/>
        <v>39.600932293180257</v>
      </c>
      <c r="E21" s="29">
        <f t="shared" si="19"/>
        <v>39.764868963997365</v>
      </c>
      <c r="F21" s="29">
        <f t="shared" si="19"/>
        <v>43.662408903998234</v>
      </c>
      <c r="G21" s="29">
        <f t="shared" si="19"/>
        <v>44.316032903876781</v>
      </c>
      <c r="H21" s="29">
        <f t="shared" si="19"/>
        <v>46.471288399491236</v>
      </c>
      <c r="I21" s="29">
        <f t="shared" si="19"/>
        <v>51.017628362082462</v>
      </c>
      <c r="J21" s="29">
        <f t="shared" si="19"/>
        <v>42.188550651456453</v>
      </c>
      <c r="K21" s="29">
        <f t="shared" si="19"/>
        <v>38.543169241203628</v>
      </c>
      <c r="L21" s="29">
        <f t="shared" si="19"/>
        <v>40.454282202374287</v>
      </c>
      <c r="M21" s="29">
        <f t="shared" si="19"/>
        <v>43.363976166455927</v>
      </c>
      <c r="N21" s="29">
        <f t="shared" si="19"/>
        <v>41.809480004300752</v>
      </c>
      <c r="O21" s="29">
        <f t="shared" si="19"/>
        <v>40.156931095716516</v>
      </c>
      <c r="P21" s="29">
        <f t="shared" si="19"/>
        <v>37.097962006188901</v>
      </c>
      <c r="Q21" s="29">
        <f t="shared" si="19"/>
        <v>35.458073348921637</v>
      </c>
      <c r="R21" s="29">
        <f t="shared" si="19"/>
        <v>35.51734720074252</v>
      </c>
      <c r="S21" s="29">
        <f t="shared" si="19"/>
        <v>36.781374495101147</v>
      </c>
      <c r="T21" s="29">
        <f t="shared" si="19"/>
        <v>34.614200325901116</v>
      </c>
      <c r="U21" s="29">
        <f t="shared" si="19"/>
        <v>33.209887239310518</v>
      </c>
      <c r="V21" s="29">
        <f t="shared" si="19"/>
        <v>31.793622444815647</v>
      </c>
      <c r="W21" s="29">
        <f t="shared" ref="W21:Y21" si="20">SUM(W22:W23)</f>
        <v>35.625518274340543</v>
      </c>
      <c r="X21" s="29">
        <f t="shared" si="20"/>
        <v>50.159911784953877</v>
      </c>
      <c r="Y21" s="29">
        <f t="shared" si="20"/>
        <v>44.727570752976689</v>
      </c>
      <c r="DA21" s="173" t="s">
        <v>1042</v>
      </c>
    </row>
    <row r="22" spans="1:105" ht="11.45" customHeight="1" x14ac:dyDescent="0.25">
      <c r="A22" s="83" t="s">
        <v>92</v>
      </c>
      <c r="B22" s="87">
        <v>2.9640452605979073</v>
      </c>
      <c r="C22" s="87">
        <v>2.7525990973386114</v>
      </c>
      <c r="D22" s="87">
        <v>2.5961365539906871</v>
      </c>
      <c r="E22" s="87">
        <v>2.8326731601485333</v>
      </c>
      <c r="F22" s="87">
        <v>3.1292425904209784</v>
      </c>
      <c r="G22" s="87">
        <v>3.3383317559456489</v>
      </c>
      <c r="H22" s="87">
        <v>3.1589500422317736</v>
      </c>
      <c r="I22" s="87">
        <v>3.083429440244315</v>
      </c>
      <c r="J22" s="87">
        <v>3.0095004470843834</v>
      </c>
      <c r="K22" s="87">
        <v>2.5329738341563415</v>
      </c>
      <c r="L22" s="87">
        <v>2.7038054754083887</v>
      </c>
      <c r="M22" s="87">
        <v>3.0594238114241321</v>
      </c>
      <c r="N22" s="87">
        <v>2.5477308333661548</v>
      </c>
      <c r="O22" s="87">
        <v>2.5640267088182056</v>
      </c>
      <c r="P22" s="87">
        <v>2.0657096768062382</v>
      </c>
      <c r="Q22" s="87">
        <v>2.1275895177726962</v>
      </c>
      <c r="R22" s="87">
        <v>2.0548543440899749</v>
      </c>
      <c r="S22" s="87">
        <v>1.7012314886311279</v>
      </c>
      <c r="T22" s="87">
        <v>1.9251551346027811</v>
      </c>
      <c r="U22" s="87">
        <v>1.920160254673261</v>
      </c>
      <c r="V22" s="87">
        <v>2.0126615198107545</v>
      </c>
      <c r="W22" s="87">
        <v>1.8118896329711653</v>
      </c>
      <c r="X22" s="87">
        <v>2.2935723181633021</v>
      </c>
      <c r="Y22" s="87">
        <v>2.0748188286972642</v>
      </c>
      <c r="DA22" s="171" t="s">
        <v>1043</v>
      </c>
    </row>
    <row r="23" spans="1:105" ht="11.45" customHeight="1" x14ac:dyDescent="0.25">
      <c r="A23" s="85" t="s">
        <v>93</v>
      </c>
      <c r="B23" s="88">
        <v>38.743758756547479</v>
      </c>
      <c r="C23" s="88">
        <v>36.208810062161014</v>
      </c>
      <c r="D23" s="88">
        <v>37.004795739189568</v>
      </c>
      <c r="E23" s="88">
        <v>36.932195803848835</v>
      </c>
      <c r="F23" s="88">
        <v>40.533166313577254</v>
      </c>
      <c r="G23" s="88">
        <v>40.977701147931135</v>
      </c>
      <c r="H23" s="88">
        <v>43.312338357259463</v>
      </c>
      <c r="I23" s="88">
        <v>47.934198921838146</v>
      </c>
      <c r="J23" s="88">
        <v>39.179050204372068</v>
      </c>
      <c r="K23" s="88">
        <v>36.010195407047284</v>
      </c>
      <c r="L23" s="88">
        <v>37.7504767269659</v>
      </c>
      <c r="M23" s="88">
        <v>40.304552355031795</v>
      </c>
      <c r="N23" s="88">
        <v>39.2617491709346</v>
      </c>
      <c r="O23" s="88">
        <v>37.592904386898311</v>
      </c>
      <c r="P23" s="88">
        <v>35.032252329382665</v>
      </c>
      <c r="Q23" s="88">
        <v>33.330483831148939</v>
      </c>
      <c r="R23" s="88">
        <v>33.462492856652545</v>
      </c>
      <c r="S23" s="88">
        <v>35.080143006470017</v>
      </c>
      <c r="T23" s="88">
        <v>32.689045191298334</v>
      </c>
      <c r="U23" s="88">
        <v>31.289726984637255</v>
      </c>
      <c r="V23" s="88">
        <v>29.780960925004891</v>
      </c>
      <c r="W23" s="88">
        <v>33.813628641369377</v>
      </c>
      <c r="X23" s="88">
        <v>47.866339466790578</v>
      </c>
      <c r="Y23" s="88">
        <v>42.652751924279428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937.83258000000001</v>
      </c>
      <c r="C25" s="62">
        <f t="shared" ref="C25:V25" si="22">C26+C32</f>
        <v>937.03167400000007</v>
      </c>
      <c r="D25" s="62">
        <f t="shared" si="22"/>
        <v>943.56605799999988</v>
      </c>
      <c r="E25" s="62">
        <f t="shared" si="22"/>
        <v>961.64158799999996</v>
      </c>
      <c r="F25" s="62">
        <f t="shared" si="22"/>
        <v>1021.228449</v>
      </c>
      <c r="G25" s="62">
        <f t="shared" si="22"/>
        <v>997.60372900000016</v>
      </c>
      <c r="H25" s="62">
        <f t="shared" si="22"/>
        <v>1044.0957100000001</v>
      </c>
      <c r="I25" s="62">
        <f t="shared" si="22"/>
        <v>1103.946402</v>
      </c>
      <c r="J25" s="62">
        <f t="shared" si="22"/>
        <v>1039.9486829999998</v>
      </c>
      <c r="K25" s="62">
        <f t="shared" si="22"/>
        <v>1052.239961</v>
      </c>
      <c r="L25" s="62">
        <f t="shared" si="22"/>
        <v>1034.179621</v>
      </c>
      <c r="M25" s="62">
        <f t="shared" si="22"/>
        <v>1134.097671</v>
      </c>
      <c r="N25" s="62">
        <f t="shared" si="22"/>
        <v>1177.8123479999999</v>
      </c>
      <c r="O25" s="62">
        <f t="shared" si="22"/>
        <v>1229.58096</v>
      </c>
      <c r="P25" s="62">
        <f t="shared" si="22"/>
        <v>1185.259294</v>
      </c>
      <c r="Q25" s="62">
        <f t="shared" si="22"/>
        <v>1206.0052229999999</v>
      </c>
      <c r="R25" s="62">
        <f t="shared" si="22"/>
        <v>1257.7168770000001</v>
      </c>
      <c r="S25" s="62">
        <f t="shared" si="22"/>
        <v>1228.7594120000001</v>
      </c>
      <c r="T25" s="62">
        <f t="shared" si="22"/>
        <v>1239.9911360000001</v>
      </c>
      <c r="U25" s="62">
        <f t="shared" si="22"/>
        <v>1193.3951299999999</v>
      </c>
      <c r="V25" s="62">
        <f t="shared" si="22"/>
        <v>1136.4820549999999</v>
      </c>
      <c r="W25" s="62">
        <f t="shared" ref="W25:Y25" si="23">W26+W32</f>
        <v>1258.4404320000001</v>
      </c>
      <c r="X25" s="62">
        <f t="shared" si="23"/>
        <v>1258.901609</v>
      </c>
      <c r="Y25" s="62">
        <f t="shared" si="23"/>
        <v>1229.2054620000001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729.29355900000007</v>
      </c>
      <c r="C26" s="29">
        <f t="shared" ref="C26:V26" si="25">SUM(C27,C28,C31)</f>
        <v>742.22462700000005</v>
      </c>
      <c r="D26" s="29">
        <f t="shared" si="25"/>
        <v>745.56139599999995</v>
      </c>
      <c r="E26" s="29">
        <f t="shared" si="25"/>
        <v>762.81724199999996</v>
      </c>
      <c r="F26" s="29">
        <f t="shared" si="25"/>
        <v>802.91640399999994</v>
      </c>
      <c r="G26" s="29">
        <f t="shared" si="25"/>
        <v>776.02356400000008</v>
      </c>
      <c r="H26" s="29">
        <f t="shared" si="25"/>
        <v>811.73926700000004</v>
      </c>
      <c r="I26" s="29">
        <f t="shared" si="25"/>
        <v>848.85825899999998</v>
      </c>
      <c r="J26" s="29">
        <f t="shared" si="25"/>
        <v>804.60206399999993</v>
      </c>
      <c r="K26" s="29">
        <f t="shared" si="25"/>
        <v>837.74724300000003</v>
      </c>
      <c r="L26" s="29">
        <f t="shared" si="25"/>
        <v>831.90820899999994</v>
      </c>
      <c r="M26" s="29">
        <f t="shared" si="25"/>
        <v>917.27778899999998</v>
      </c>
      <c r="N26" s="29">
        <f t="shared" si="25"/>
        <v>967.68850399999997</v>
      </c>
      <c r="O26" s="29">
        <f t="shared" si="25"/>
        <v>1028.796304</v>
      </c>
      <c r="P26" s="29">
        <f t="shared" si="25"/>
        <v>998.75991999999985</v>
      </c>
      <c r="Q26" s="29">
        <f t="shared" si="25"/>
        <v>1028.7148549999999</v>
      </c>
      <c r="R26" s="29">
        <f t="shared" si="25"/>
        <v>1080.13014</v>
      </c>
      <c r="S26" s="29">
        <f t="shared" si="25"/>
        <v>1044.566446</v>
      </c>
      <c r="T26" s="29">
        <f t="shared" si="25"/>
        <v>1066.9201340000002</v>
      </c>
      <c r="U26" s="29">
        <f t="shared" si="25"/>
        <v>1027.345693</v>
      </c>
      <c r="V26" s="29">
        <f t="shared" si="25"/>
        <v>977.51394200000004</v>
      </c>
      <c r="W26" s="29">
        <f t="shared" ref="W26:Y26" si="26">SUM(W27,W28,W31)</f>
        <v>1080.3128390000002</v>
      </c>
      <c r="X26" s="29">
        <f t="shared" si="26"/>
        <v>1008.1020490000001</v>
      </c>
      <c r="Y26" s="29">
        <f t="shared" si="26"/>
        <v>998.87154800000008</v>
      </c>
      <c r="DA26" s="173" t="s">
        <v>1046</v>
      </c>
    </row>
    <row r="27" spans="1:105" ht="11.45" customHeight="1" x14ac:dyDescent="0.25">
      <c r="A27" s="107" t="s">
        <v>23</v>
      </c>
      <c r="B27" s="115">
        <v>245.039019</v>
      </c>
      <c r="C27" s="115">
        <v>249.96651399999999</v>
      </c>
      <c r="D27" s="115">
        <v>236.07214199999999</v>
      </c>
      <c r="E27" s="115">
        <v>240.200525</v>
      </c>
      <c r="F27" s="115">
        <v>243.03116199999999</v>
      </c>
      <c r="G27" s="115">
        <v>239.24273700000001</v>
      </c>
      <c r="H27" s="115">
        <v>256.01108299999999</v>
      </c>
      <c r="I27" s="115">
        <v>268.31804099999999</v>
      </c>
      <c r="J27" s="115">
        <v>267.37041899999997</v>
      </c>
      <c r="K27" s="115">
        <v>269.52951300000001</v>
      </c>
      <c r="L27" s="115">
        <v>274.57822900000002</v>
      </c>
      <c r="M27" s="115">
        <v>281.48463099999998</v>
      </c>
      <c r="N27" s="115">
        <v>287.330195</v>
      </c>
      <c r="O27" s="115">
        <v>297.937411</v>
      </c>
      <c r="P27" s="115">
        <v>297.32739099999998</v>
      </c>
      <c r="Q27" s="115">
        <v>304.47598099999999</v>
      </c>
      <c r="R27" s="115">
        <v>317.14477699999998</v>
      </c>
      <c r="S27" s="115">
        <v>319.894429</v>
      </c>
      <c r="T27" s="115">
        <v>313.51133700000003</v>
      </c>
      <c r="U27" s="115">
        <v>308.94812899999999</v>
      </c>
      <c r="V27" s="115">
        <v>307.490431</v>
      </c>
      <c r="W27" s="115">
        <v>308.74746199999998</v>
      </c>
      <c r="X27" s="115">
        <v>284.243561</v>
      </c>
      <c r="Y27" s="115">
        <v>279.48580399999997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456.76597500000003</v>
      </c>
      <c r="C28" s="116">
        <f t="shared" ref="C28:V28" si="28">SUM(C29:C30)</f>
        <v>462.35238100000004</v>
      </c>
      <c r="D28" s="116">
        <f t="shared" si="28"/>
        <v>477.39464200000003</v>
      </c>
      <c r="E28" s="116">
        <f t="shared" si="28"/>
        <v>490.38781799999998</v>
      </c>
      <c r="F28" s="116">
        <f t="shared" si="28"/>
        <v>527.36091199999998</v>
      </c>
      <c r="G28" s="116">
        <f t="shared" si="28"/>
        <v>505.491938</v>
      </c>
      <c r="H28" s="116">
        <f t="shared" si="28"/>
        <v>526.30596100000002</v>
      </c>
      <c r="I28" s="116">
        <f t="shared" si="28"/>
        <v>550.91799500000002</v>
      </c>
      <c r="J28" s="116">
        <f t="shared" si="28"/>
        <v>506.78719999999998</v>
      </c>
      <c r="K28" s="116">
        <f t="shared" si="28"/>
        <v>536.66217400000005</v>
      </c>
      <c r="L28" s="116">
        <f t="shared" si="28"/>
        <v>526.66331300000002</v>
      </c>
      <c r="M28" s="116">
        <f t="shared" si="28"/>
        <v>604.23760199999992</v>
      </c>
      <c r="N28" s="116">
        <f t="shared" si="28"/>
        <v>648.35830899999996</v>
      </c>
      <c r="O28" s="116">
        <f t="shared" si="28"/>
        <v>696.63666999999998</v>
      </c>
      <c r="P28" s="116">
        <f t="shared" si="28"/>
        <v>662.98808399999996</v>
      </c>
      <c r="Q28" s="116">
        <f t="shared" si="28"/>
        <v>687.57220700000005</v>
      </c>
      <c r="R28" s="116">
        <f t="shared" si="28"/>
        <v>724.76314000000002</v>
      </c>
      <c r="S28" s="116">
        <f t="shared" si="28"/>
        <v>683.56090500000005</v>
      </c>
      <c r="T28" s="116">
        <f t="shared" si="28"/>
        <v>713.72625700000003</v>
      </c>
      <c r="U28" s="116">
        <f t="shared" si="28"/>
        <v>674.46855299999993</v>
      </c>
      <c r="V28" s="116">
        <f t="shared" si="28"/>
        <v>628.84335600000009</v>
      </c>
      <c r="W28" s="116">
        <f t="shared" ref="W28:Y28" si="29">SUM(W29:W30)</f>
        <v>733.13407800000004</v>
      </c>
      <c r="X28" s="116">
        <f t="shared" si="29"/>
        <v>687.45748200000003</v>
      </c>
      <c r="Y28" s="116">
        <f t="shared" si="29"/>
        <v>682.98473799999999</v>
      </c>
      <c r="DA28" s="176" t="s">
        <v>1048</v>
      </c>
    </row>
    <row r="29" spans="1:105" ht="11.45" customHeight="1" x14ac:dyDescent="0.25">
      <c r="A29" s="111" t="s">
        <v>92</v>
      </c>
      <c r="B29" s="87">
        <v>22.339696</v>
      </c>
      <c r="C29" s="87">
        <v>26.070821000000002</v>
      </c>
      <c r="D29" s="87">
        <v>37.267647999999994</v>
      </c>
      <c r="E29" s="87">
        <v>35.033678999999999</v>
      </c>
      <c r="F29" s="87">
        <v>32.799709999999997</v>
      </c>
      <c r="G29" s="87">
        <v>30.565741000000003</v>
      </c>
      <c r="H29" s="87">
        <v>28.331772000000001</v>
      </c>
      <c r="I29" s="87">
        <v>26.097803000000003</v>
      </c>
      <c r="J29" s="87">
        <v>25.409635000000002</v>
      </c>
      <c r="K29" s="87">
        <v>25.824850000000001</v>
      </c>
      <c r="L29" s="87">
        <v>23.590881</v>
      </c>
      <c r="M29" s="87">
        <v>21.356912000000001</v>
      </c>
      <c r="N29" s="87">
        <v>25.695475999999999</v>
      </c>
      <c r="O29" s="87">
        <v>23.461507000000001</v>
      </c>
      <c r="P29" s="87">
        <v>21.342449000000002</v>
      </c>
      <c r="Q29" s="87">
        <v>20.183336000000001</v>
      </c>
      <c r="R29" s="87">
        <v>20.298808000000001</v>
      </c>
      <c r="S29" s="87">
        <v>22.539200000000001</v>
      </c>
      <c r="T29" s="87">
        <v>23.244151000000002</v>
      </c>
      <c r="U29" s="87">
        <v>23.812552</v>
      </c>
      <c r="V29" s="87">
        <v>21.629982000000002</v>
      </c>
      <c r="W29" s="87">
        <v>19.396013</v>
      </c>
      <c r="X29" s="87">
        <v>17.162044000000002</v>
      </c>
      <c r="Y29" s="87">
        <v>16.323754000000001</v>
      </c>
      <c r="DA29" s="171" t="s">
        <v>1049</v>
      </c>
    </row>
    <row r="30" spans="1:105" ht="11.45" customHeight="1" x14ac:dyDescent="0.25">
      <c r="A30" s="111" t="s">
        <v>93</v>
      </c>
      <c r="B30" s="87">
        <v>434.42627900000002</v>
      </c>
      <c r="C30" s="87">
        <v>436.28156000000001</v>
      </c>
      <c r="D30" s="87">
        <v>440.12699400000002</v>
      </c>
      <c r="E30" s="87">
        <v>455.35413899999998</v>
      </c>
      <c r="F30" s="87">
        <v>494.56120199999998</v>
      </c>
      <c r="G30" s="87">
        <v>474.926197</v>
      </c>
      <c r="H30" s="87">
        <v>497.97418900000002</v>
      </c>
      <c r="I30" s="87">
        <v>524.82019200000002</v>
      </c>
      <c r="J30" s="87">
        <v>481.377565</v>
      </c>
      <c r="K30" s="87">
        <v>510.83732400000002</v>
      </c>
      <c r="L30" s="87">
        <v>503.07243199999999</v>
      </c>
      <c r="M30" s="87">
        <v>582.88068999999996</v>
      </c>
      <c r="N30" s="87">
        <v>622.66283299999998</v>
      </c>
      <c r="O30" s="87">
        <v>673.175163</v>
      </c>
      <c r="P30" s="87">
        <v>641.64563499999997</v>
      </c>
      <c r="Q30" s="87">
        <v>667.38887099999999</v>
      </c>
      <c r="R30" s="87">
        <v>704.46433200000001</v>
      </c>
      <c r="S30" s="87">
        <v>661.021705</v>
      </c>
      <c r="T30" s="87">
        <v>690.48210600000004</v>
      </c>
      <c r="U30" s="87">
        <v>650.65600099999995</v>
      </c>
      <c r="V30" s="87">
        <v>607.21337400000004</v>
      </c>
      <c r="W30" s="87">
        <v>713.73806500000001</v>
      </c>
      <c r="X30" s="87">
        <v>670.29543799999999</v>
      </c>
      <c r="Y30" s="87">
        <v>666.66098399999998</v>
      </c>
      <c r="DA30" s="171" t="s">
        <v>1050</v>
      </c>
    </row>
    <row r="31" spans="1:105" ht="11.45" customHeight="1" x14ac:dyDescent="0.25">
      <c r="A31" s="112" t="s">
        <v>25</v>
      </c>
      <c r="B31" s="117">
        <v>27.488565000000001</v>
      </c>
      <c r="C31" s="117">
        <v>29.905732</v>
      </c>
      <c r="D31" s="117">
        <v>32.094611999999998</v>
      </c>
      <c r="E31" s="117">
        <v>32.228898999999998</v>
      </c>
      <c r="F31" s="117">
        <v>32.524329999999999</v>
      </c>
      <c r="G31" s="117">
        <v>31.288889000000001</v>
      </c>
      <c r="H31" s="117">
        <v>29.422223000000002</v>
      </c>
      <c r="I31" s="117">
        <v>29.622223000000002</v>
      </c>
      <c r="J31" s="117">
        <v>30.444445000000002</v>
      </c>
      <c r="K31" s="117">
        <v>31.555555999999999</v>
      </c>
      <c r="L31" s="117">
        <v>30.666667</v>
      </c>
      <c r="M31" s="117">
        <v>31.555555999999999</v>
      </c>
      <c r="N31" s="117">
        <v>32</v>
      </c>
      <c r="O31" s="117">
        <v>34.222223</v>
      </c>
      <c r="P31" s="117">
        <v>38.444444999999995</v>
      </c>
      <c r="Q31" s="117">
        <v>36.666666999999997</v>
      </c>
      <c r="R31" s="117">
        <v>38.222223</v>
      </c>
      <c r="S31" s="117">
        <v>41.111111999999999</v>
      </c>
      <c r="T31" s="117">
        <v>39.682539999999996</v>
      </c>
      <c r="U31" s="117">
        <v>43.929010999999996</v>
      </c>
      <c r="V31" s="117">
        <v>41.180154999999999</v>
      </c>
      <c r="W31" s="117">
        <v>38.431298999999996</v>
      </c>
      <c r="X31" s="117">
        <v>36.401005999999995</v>
      </c>
      <c r="Y31" s="117">
        <v>36.401005999999995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208.53902099999999</v>
      </c>
      <c r="C32" s="29">
        <f t="shared" ref="C32:V32" si="31">SUM(C33:C34)</f>
        <v>194.80704699999998</v>
      </c>
      <c r="D32" s="29">
        <f t="shared" si="31"/>
        <v>198.004662</v>
      </c>
      <c r="E32" s="29">
        <f t="shared" si="31"/>
        <v>198.82434599999999</v>
      </c>
      <c r="F32" s="29">
        <f t="shared" si="31"/>
        <v>218.31204499999998</v>
      </c>
      <c r="G32" s="29">
        <f t="shared" si="31"/>
        <v>221.58016500000002</v>
      </c>
      <c r="H32" s="29">
        <f t="shared" si="31"/>
        <v>232.35644299999998</v>
      </c>
      <c r="I32" s="29">
        <f t="shared" si="31"/>
        <v>255.088143</v>
      </c>
      <c r="J32" s="29">
        <f t="shared" si="31"/>
        <v>235.346619</v>
      </c>
      <c r="K32" s="29">
        <f t="shared" si="31"/>
        <v>214.492718</v>
      </c>
      <c r="L32" s="29">
        <f t="shared" si="31"/>
        <v>202.271412</v>
      </c>
      <c r="M32" s="29">
        <f t="shared" si="31"/>
        <v>216.81988200000001</v>
      </c>
      <c r="N32" s="29">
        <f t="shared" si="31"/>
        <v>210.12384399999999</v>
      </c>
      <c r="O32" s="29">
        <f t="shared" si="31"/>
        <v>200.78465599999998</v>
      </c>
      <c r="P32" s="29">
        <f t="shared" si="31"/>
        <v>186.49937399999999</v>
      </c>
      <c r="Q32" s="29">
        <f t="shared" si="31"/>
        <v>177.290368</v>
      </c>
      <c r="R32" s="29">
        <f t="shared" si="31"/>
        <v>177.586737</v>
      </c>
      <c r="S32" s="29">
        <f t="shared" si="31"/>
        <v>184.19296599999998</v>
      </c>
      <c r="T32" s="29">
        <f t="shared" si="31"/>
        <v>173.07100199999999</v>
      </c>
      <c r="U32" s="29">
        <f t="shared" si="31"/>
        <v>166.04943699999998</v>
      </c>
      <c r="V32" s="29">
        <f t="shared" si="31"/>
        <v>158.96811300000002</v>
      </c>
      <c r="W32" s="29">
        <f t="shared" ref="W32:Y32" si="32">SUM(W33:W34)</f>
        <v>178.12759299999999</v>
      </c>
      <c r="X32" s="29">
        <f t="shared" si="32"/>
        <v>250.79955999999999</v>
      </c>
      <c r="Y32" s="29">
        <f t="shared" si="32"/>
        <v>230.33391400000002</v>
      </c>
      <c r="DA32" s="173" t="s">
        <v>1052</v>
      </c>
    </row>
    <row r="33" spans="1:105" ht="11.45" customHeight="1" x14ac:dyDescent="0.25">
      <c r="A33" s="83" t="s">
        <v>92</v>
      </c>
      <c r="B33" s="87">
        <v>14.820226999999999</v>
      </c>
      <c r="C33" s="87">
        <v>13.762995999999999</v>
      </c>
      <c r="D33" s="87">
        <v>12.980682999999999</v>
      </c>
      <c r="E33" s="87">
        <v>14.163366</v>
      </c>
      <c r="F33" s="87">
        <v>15.646212999999999</v>
      </c>
      <c r="G33" s="87">
        <v>16.691659000000001</v>
      </c>
      <c r="H33" s="87">
        <v>15.794751</v>
      </c>
      <c r="I33" s="87">
        <v>15.417147999999999</v>
      </c>
      <c r="J33" s="87">
        <v>15.047502999999999</v>
      </c>
      <c r="K33" s="87">
        <v>13.565481</v>
      </c>
      <c r="L33" s="87">
        <v>13.519027999999999</v>
      </c>
      <c r="M33" s="87">
        <v>15.29712</v>
      </c>
      <c r="N33" s="87">
        <v>13.815097999999999</v>
      </c>
      <c r="O33" s="87">
        <v>12.820133999999999</v>
      </c>
      <c r="P33" s="87">
        <v>11.338111999999999</v>
      </c>
      <c r="Q33" s="87">
        <v>10.637948</v>
      </c>
      <c r="R33" s="87">
        <v>10.274272</v>
      </c>
      <c r="S33" s="87">
        <v>8.7922499999999992</v>
      </c>
      <c r="T33" s="87">
        <v>9.6257760000000001</v>
      </c>
      <c r="U33" s="87">
        <v>9.6008019999999998</v>
      </c>
      <c r="V33" s="87">
        <v>10.063307999999999</v>
      </c>
      <c r="W33" s="87">
        <v>9.059448999999999</v>
      </c>
      <c r="X33" s="87">
        <v>11.467861999999998</v>
      </c>
      <c r="Y33" s="87">
        <v>10.374094999999999</v>
      </c>
      <c r="DA33" s="171" t="s">
        <v>1053</v>
      </c>
    </row>
    <row r="34" spans="1:105" ht="11.45" customHeight="1" x14ac:dyDescent="0.25">
      <c r="A34" s="85" t="s">
        <v>93</v>
      </c>
      <c r="B34" s="88">
        <v>193.718794</v>
      </c>
      <c r="C34" s="88">
        <v>181.044051</v>
      </c>
      <c r="D34" s="88">
        <v>185.023979</v>
      </c>
      <c r="E34" s="88">
        <v>184.66098</v>
      </c>
      <c r="F34" s="88">
        <v>202.66583199999999</v>
      </c>
      <c r="G34" s="88">
        <v>204.88850600000001</v>
      </c>
      <c r="H34" s="88">
        <v>216.56169199999999</v>
      </c>
      <c r="I34" s="88">
        <v>239.670995</v>
      </c>
      <c r="J34" s="88">
        <v>220.299116</v>
      </c>
      <c r="K34" s="88">
        <v>200.92723699999999</v>
      </c>
      <c r="L34" s="88">
        <v>188.75238400000001</v>
      </c>
      <c r="M34" s="88">
        <v>201.522762</v>
      </c>
      <c r="N34" s="88">
        <v>196.30874599999999</v>
      </c>
      <c r="O34" s="88">
        <v>187.96452199999999</v>
      </c>
      <c r="P34" s="88">
        <v>175.16126199999999</v>
      </c>
      <c r="Q34" s="88">
        <v>166.65242000000001</v>
      </c>
      <c r="R34" s="88">
        <v>167.312465</v>
      </c>
      <c r="S34" s="88">
        <v>175.40071599999999</v>
      </c>
      <c r="T34" s="88">
        <v>163.44522599999999</v>
      </c>
      <c r="U34" s="88">
        <v>156.448635</v>
      </c>
      <c r="V34" s="88">
        <v>148.90480500000001</v>
      </c>
      <c r="W34" s="88">
        <v>169.06814399999999</v>
      </c>
      <c r="X34" s="88">
        <v>239.33169799999999</v>
      </c>
      <c r="Y34" s="88">
        <v>219.95981900000001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35.451951999999984</v>
      </c>
      <c r="D36" s="54">
        <f t="shared" ref="D36:V36" si="34">D37+D43</f>
        <v>41.434537000000027</v>
      </c>
      <c r="E36" s="54">
        <f t="shared" si="34"/>
        <v>48.546677000000003</v>
      </c>
      <c r="F36" s="54">
        <f t="shared" si="34"/>
        <v>90.058008000000029</v>
      </c>
      <c r="G36" s="54">
        <f t="shared" si="34"/>
        <v>14.397235000000048</v>
      </c>
      <c r="H36" s="54">
        <f t="shared" si="34"/>
        <v>78.321732000000026</v>
      </c>
      <c r="I36" s="54">
        <f t="shared" si="34"/>
        <v>90.321839000000054</v>
      </c>
      <c r="J36" s="54">
        <f t="shared" si="34"/>
        <v>9.4230029999999871</v>
      </c>
      <c r="K36" s="54">
        <f t="shared" si="34"/>
        <v>55.66606300000003</v>
      </c>
      <c r="L36" s="54">
        <f t="shared" si="34"/>
        <v>18.585296999999947</v>
      </c>
      <c r="M36" s="54">
        <f t="shared" si="34"/>
        <v>130.38919699999997</v>
      </c>
      <c r="N36" s="54">
        <f t="shared" si="34"/>
        <v>73.752385000000075</v>
      </c>
      <c r="O36" s="54">
        <f t="shared" si="34"/>
        <v>84.993625000000037</v>
      </c>
      <c r="P36" s="54">
        <f t="shared" si="34"/>
        <v>12.798869999999987</v>
      </c>
      <c r="Q36" s="54">
        <f t="shared" si="34"/>
        <v>53.689232000000061</v>
      </c>
      <c r="R36" s="54">
        <f t="shared" si="34"/>
        <v>80.817860000000053</v>
      </c>
      <c r="S36" s="54">
        <f t="shared" si="34"/>
        <v>32.057682000000035</v>
      </c>
      <c r="T36" s="54">
        <f t="shared" si="34"/>
        <v>46.832740000000101</v>
      </c>
      <c r="U36" s="54">
        <f t="shared" si="34"/>
        <v>10.832905999999978</v>
      </c>
      <c r="V36" s="54">
        <f t="shared" si="34"/>
        <v>7.8875460000000182</v>
      </c>
      <c r="W36" s="54">
        <f t="shared" ref="W36:Y36" si="35">W37+W43</f>
        <v>154.77726899999996</v>
      </c>
      <c r="X36" s="54">
        <f t="shared" si="35"/>
        <v>79.257289000000014</v>
      </c>
      <c r="Y36" s="54">
        <f t="shared" si="35"/>
        <v>13.290382999999991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35.451951999999984</v>
      </c>
      <c r="D37" s="28">
        <f t="shared" ref="D37:V37" si="37">SUM(D38,D39,D42)</f>
        <v>31.419807000000013</v>
      </c>
      <c r="E37" s="28">
        <f t="shared" si="37"/>
        <v>41.141670999999988</v>
      </c>
      <c r="F37" s="28">
        <f t="shared" si="37"/>
        <v>63.984987000000025</v>
      </c>
      <c r="G37" s="28">
        <f t="shared" si="37"/>
        <v>4.5437930000000222</v>
      </c>
      <c r="H37" s="28">
        <f t="shared" si="37"/>
        <v>60.613744000000025</v>
      </c>
      <c r="I37" s="28">
        <f t="shared" si="37"/>
        <v>61.004817000000031</v>
      </c>
      <c r="J37" s="28">
        <f t="shared" si="37"/>
        <v>9.2421279999999868</v>
      </c>
      <c r="K37" s="28">
        <f t="shared" si="37"/>
        <v>55.66606300000003</v>
      </c>
      <c r="L37" s="28">
        <f t="shared" si="37"/>
        <v>18.081229999999948</v>
      </c>
      <c r="M37" s="28">
        <f t="shared" si="37"/>
        <v>109.25540499999995</v>
      </c>
      <c r="N37" s="28">
        <f t="shared" si="37"/>
        <v>72.931599000000077</v>
      </c>
      <c r="O37" s="28">
        <f t="shared" si="37"/>
        <v>84.993625000000037</v>
      </c>
      <c r="P37" s="28">
        <f t="shared" si="37"/>
        <v>12.798869999999987</v>
      </c>
      <c r="Q37" s="28">
        <f t="shared" si="37"/>
        <v>53.689232000000061</v>
      </c>
      <c r="R37" s="28">
        <f t="shared" si="37"/>
        <v>73.936169000000035</v>
      </c>
      <c r="S37" s="28">
        <f t="shared" si="37"/>
        <v>17.934629000000037</v>
      </c>
      <c r="T37" s="28">
        <f t="shared" si="37"/>
        <v>45.448694000000096</v>
      </c>
      <c r="U37" s="28">
        <f t="shared" si="37"/>
        <v>10.307359999999978</v>
      </c>
      <c r="V37" s="28">
        <f t="shared" si="37"/>
        <v>6.8745200000000182</v>
      </c>
      <c r="W37" s="28">
        <f t="shared" ref="W37:Y37" si="38">SUM(W38,W39,W42)</f>
        <v>128.57912799999997</v>
      </c>
      <c r="X37" s="28">
        <f t="shared" si="38"/>
        <v>0</v>
      </c>
      <c r="Y37" s="28">
        <f t="shared" si="38"/>
        <v>13.290382999999991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13.259712999999977</v>
      </c>
      <c r="D38" s="108">
        <v>0</v>
      </c>
      <c r="E38" s="108">
        <v>12.460601000000025</v>
      </c>
      <c r="F38" s="108">
        <v>11.162855000000008</v>
      </c>
      <c r="G38" s="108">
        <v>4.5437930000000222</v>
      </c>
      <c r="H38" s="108">
        <v>25.100563999999991</v>
      </c>
      <c r="I38" s="108">
        <v>20.63917600000002</v>
      </c>
      <c r="J38" s="108">
        <v>7.3845959999999877</v>
      </c>
      <c r="K38" s="108">
        <v>10.49131200000005</v>
      </c>
      <c r="L38" s="108">
        <v>13.380934000000025</v>
      </c>
      <c r="M38" s="108">
        <v>15.238619999999969</v>
      </c>
      <c r="N38" s="108">
        <v>14.177782000000036</v>
      </c>
      <c r="O38" s="108">
        <v>18.939434000000006</v>
      </c>
      <c r="P38" s="108">
        <v>7.7221979999999917</v>
      </c>
      <c r="Q38" s="108">
        <v>15.480808000000025</v>
      </c>
      <c r="R38" s="108">
        <v>21.001013999999998</v>
      </c>
      <c r="S38" s="108">
        <v>11.081870000000038</v>
      </c>
      <c r="T38" s="108">
        <v>1.9491260000000352</v>
      </c>
      <c r="U38" s="108">
        <v>3.7690099999999802</v>
      </c>
      <c r="V38" s="108">
        <v>6.8745200000000182</v>
      </c>
      <c r="W38" s="108">
        <v>9.5892489999999952</v>
      </c>
      <c r="X38" s="108">
        <v>0</v>
      </c>
      <c r="Y38" s="108">
        <v>3.5744609999999852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18.920622000000005</v>
      </c>
      <c r="D39" s="110">
        <f t="shared" ref="D39:V39" si="40">SUM(D40:D41)</f>
        <v>28.376477000000015</v>
      </c>
      <c r="E39" s="110">
        <f t="shared" si="40"/>
        <v>27.692332999999962</v>
      </c>
      <c r="F39" s="110">
        <f t="shared" si="40"/>
        <v>51.672251000000017</v>
      </c>
      <c r="G39" s="110">
        <f t="shared" si="40"/>
        <v>0</v>
      </c>
      <c r="H39" s="110">
        <f t="shared" si="40"/>
        <v>35.513180000000034</v>
      </c>
      <c r="I39" s="110">
        <f t="shared" si="40"/>
        <v>39.311191000000008</v>
      </c>
      <c r="J39" s="110">
        <f t="shared" si="40"/>
        <v>0.18085999999999913</v>
      </c>
      <c r="K39" s="110">
        <f t="shared" si="40"/>
        <v>43.209189999999978</v>
      </c>
      <c r="L39" s="110">
        <f t="shared" si="40"/>
        <v>4.7002959999999234</v>
      </c>
      <c r="M39" s="110">
        <f t="shared" si="40"/>
        <v>92.273445999999979</v>
      </c>
      <c r="N39" s="110">
        <f t="shared" si="40"/>
        <v>57.454923000000029</v>
      </c>
      <c r="O39" s="110">
        <f t="shared" si="40"/>
        <v>62.977518000000032</v>
      </c>
      <c r="P39" s="110">
        <f t="shared" si="40"/>
        <v>0</v>
      </c>
      <c r="Q39" s="110">
        <f t="shared" si="40"/>
        <v>38.208424000000036</v>
      </c>
      <c r="R39" s="110">
        <f t="shared" si="40"/>
        <v>50.525149000000027</v>
      </c>
      <c r="S39" s="110">
        <f t="shared" si="40"/>
        <v>3.1094200000000001</v>
      </c>
      <c r="T39" s="110">
        <f t="shared" si="40"/>
        <v>43.49956800000006</v>
      </c>
      <c r="U39" s="110">
        <f t="shared" si="40"/>
        <v>1.4374289999999981</v>
      </c>
      <c r="V39" s="110">
        <f t="shared" si="40"/>
        <v>0</v>
      </c>
      <c r="W39" s="110">
        <f t="shared" ref="W39:Y39" si="41">SUM(W40:W41)</f>
        <v>118.98987899999997</v>
      </c>
      <c r="X39" s="110">
        <f t="shared" si="41"/>
        <v>0</v>
      </c>
      <c r="Y39" s="110">
        <f t="shared" si="41"/>
        <v>8.8614720000000062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4.6001530000000024</v>
      </c>
      <c r="D40" s="84">
        <v>12.065854999999992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0.18085999999999913</v>
      </c>
      <c r="K40" s="84">
        <v>1.284243</v>
      </c>
      <c r="L40" s="84">
        <v>0</v>
      </c>
      <c r="M40" s="84">
        <v>0</v>
      </c>
      <c r="N40" s="84">
        <v>5.2075919999999982</v>
      </c>
      <c r="O40" s="84">
        <v>0</v>
      </c>
      <c r="P40" s="84">
        <v>0</v>
      </c>
      <c r="Q40" s="84">
        <v>0</v>
      </c>
      <c r="R40" s="84">
        <v>0.9845000000000006</v>
      </c>
      <c r="S40" s="84">
        <v>3.1094200000000001</v>
      </c>
      <c r="T40" s="84">
        <v>1.5739790000000013</v>
      </c>
      <c r="U40" s="84">
        <v>1.4374289999999981</v>
      </c>
      <c r="V40" s="84">
        <v>0</v>
      </c>
      <c r="W40" s="84">
        <v>0</v>
      </c>
      <c r="X40" s="84">
        <v>0</v>
      </c>
      <c r="Y40" s="84">
        <v>3.0737999999999488E-2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14.320469000000003</v>
      </c>
      <c r="D41" s="84">
        <v>16.310622000000023</v>
      </c>
      <c r="E41" s="84">
        <v>27.692332999999962</v>
      </c>
      <c r="F41" s="84">
        <v>51.672251000000017</v>
      </c>
      <c r="G41" s="84">
        <v>0</v>
      </c>
      <c r="H41" s="84">
        <v>35.513180000000034</v>
      </c>
      <c r="I41" s="84">
        <v>39.311191000000008</v>
      </c>
      <c r="J41" s="84">
        <v>0</v>
      </c>
      <c r="K41" s="84">
        <v>41.924946999999975</v>
      </c>
      <c r="L41" s="84">
        <v>4.7002959999999234</v>
      </c>
      <c r="M41" s="84">
        <v>92.273445999999979</v>
      </c>
      <c r="N41" s="84">
        <v>52.247331000000031</v>
      </c>
      <c r="O41" s="84">
        <v>62.977518000000032</v>
      </c>
      <c r="P41" s="84">
        <v>0</v>
      </c>
      <c r="Q41" s="84">
        <v>38.208424000000036</v>
      </c>
      <c r="R41" s="84">
        <v>49.54064900000003</v>
      </c>
      <c r="S41" s="84">
        <v>0</v>
      </c>
      <c r="T41" s="84">
        <v>41.925589000000059</v>
      </c>
      <c r="U41" s="84">
        <v>0</v>
      </c>
      <c r="V41" s="84">
        <v>0</v>
      </c>
      <c r="W41" s="84">
        <v>118.98987899999997</v>
      </c>
      <c r="X41" s="84">
        <v>0</v>
      </c>
      <c r="Y41" s="84">
        <v>8.8307340000000067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3.2716169999999991</v>
      </c>
      <c r="D42" s="113">
        <v>3.0433299999999974</v>
      </c>
      <c r="E42" s="113">
        <v>0.98873700000000042</v>
      </c>
      <c r="F42" s="113">
        <v>1.1498810000000006</v>
      </c>
      <c r="G42" s="113">
        <v>0</v>
      </c>
      <c r="H42" s="113">
        <v>0</v>
      </c>
      <c r="I42" s="113">
        <v>1.0544499999999992</v>
      </c>
      <c r="J42" s="113">
        <v>1.6766719999999999</v>
      </c>
      <c r="K42" s="113">
        <v>1.965561000000001</v>
      </c>
      <c r="L42" s="113">
        <v>0</v>
      </c>
      <c r="M42" s="113">
        <v>1.7433390000000024</v>
      </c>
      <c r="N42" s="113">
        <v>1.2988940000000007</v>
      </c>
      <c r="O42" s="113">
        <v>3.0766729999999995</v>
      </c>
      <c r="P42" s="113">
        <v>5.076671999999995</v>
      </c>
      <c r="Q42" s="113">
        <v>0</v>
      </c>
      <c r="R42" s="113">
        <v>2.4100060000000028</v>
      </c>
      <c r="S42" s="113">
        <v>3.7433389999999989</v>
      </c>
      <c r="T42" s="113">
        <v>0</v>
      </c>
      <c r="U42" s="113">
        <v>5.1009209999999996</v>
      </c>
      <c r="V42" s="113">
        <v>0</v>
      </c>
      <c r="W42" s="113">
        <v>0</v>
      </c>
      <c r="X42" s="113">
        <v>0</v>
      </c>
      <c r="Y42" s="113">
        <v>0.85444999999999993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10.014730000000014</v>
      </c>
      <c r="E43" s="28">
        <f t="shared" si="43"/>
        <v>7.4050060000000126</v>
      </c>
      <c r="F43" s="28">
        <f t="shared" si="43"/>
        <v>26.073021000000011</v>
      </c>
      <c r="G43" s="28">
        <f t="shared" si="43"/>
        <v>9.853442000000026</v>
      </c>
      <c r="H43" s="28">
        <f t="shared" si="43"/>
        <v>17.707988</v>
      </c>
      <c r="I43" s="28">
        <f t="shared" si="43"/>
        <v>29.317022000000023</v>
      </c>
      <c r="J43" s="28">
        <f t="shared" si="43"/>
        <v>0.18087500000000034</v>
      </c>
      <c r="K43" s="28">
        <f t="shared" si="43"/>
        <v>0</v>
      </c>
      <c r="L43" s="28">
        <f t="shared" si="43"/>
        <v>0.50406699999999915</v>
      </c>
      <c r="M43" s="28">
        <f t="shared" si="43"/>
        <v>21.133792000000007</v>
      </c>
      <c r="N43" s="28">
        <f t="shared" si="43"/>
        <v>0.82078599999999824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6.8816910000000107</v>
      </c>
      <c r="S43" s="28">
        <f t="shared" si="43"/>
        <v>14.123052999999999</v>
      </c>
      <c r="T43" s="28">
        <f t="shared" si="43"/>
        <v>1.3840460000000014</v>
      </c>
      <c r="U43" s="28">
        <f t="shared" si="43"/>
        <v>0.52554600000000029</v>
      </c>
      <c r="V43" s="28">
        <f t="shared" si="43"/>
        <v>1.013026</v>
      </c>
      <c r="W43" s="28">
        <f t="shared" ref="W43:Y43" si="44">SUM(W44:W45)</f>
        <v>26.198140999999993</v>
      </c>
      <c r="X43" s="28">
        <f t="shared" si="44"/>
        <v>79.257289000000014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1.7332030000000014</v>
      </c>
      <c r="F44" s="84">
        <v>2.0333669999999984</v>
      </c>
      <c r="G44" s="84">
        <v>1.5959660000000007</v>
      </c>
      <c r="H44" s="84">
        <v>0</v>
      </c>
      <c r="I44" s="84">
        <v>0.17291699999999999</v>
      </c>
      <c r="J44" s="84">
        <v>0.18087500000000034</v>
      </c>
      <c r="K44" s="84">
        <v>0</v>
      </c>
      <c r="L44" s="84">
        <v>0.50406699999999915</v>
      </c>
      <c r="M44" s="84">
        <v>2.3286120000000015</v>
      </c>
      <c r="N44" s="84">
        <v>0</v>
      </c>
      <c r="O44" s="84">
        <v>0</v>
      </c>
      <c r="P44" s="84">
        <v>0</v>
      </c>
      <c r="Q44" s="84">
        <v>0</v>
      </c>
      <c r="R44" s="84">
        <v>0.18684400000000068</v>
      </c>
      <c r="S44" s="84">
        <v>0</v>
      </c>
      <c r="T44" s="84">
        <v>1.3840460000000014</v>
      </c>
      <c r="U44" s="84">
        <v>0.52554600000000029</v>
      </c>
      <c r="V44" s="84">
        <v>1.013026</v>
      </c>
      <c r="W44" s="84">
        <v>0</v>
      </c>
      <c r="X44" s="84">
        <v>2.958933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10.014730000000014</v>
      </c>
      <c r="E45" s="86">
        <v>5.6718030000000113</v>
      </c>
      <c r="F45" s="86">
        <v>24.039654000000013</v>
      </c>
      <c r="G45" s="86">
        <v>8.2574760000000254</v>
      </c>
      <c r="H45" s="86">
        <v>17.707988</v>
      </c>
      <c r="I45" s="86">
        <v>29.144105000000025</v>
      </c>
      <c r="J45" s="86">
        <v>0</v>
      </c>
      <c r="K45" s="86">
        <v>0</v>
      </c>
      <c r="L45" s="86">
        <v>0</v>
      </c>
      <c r="M45" s="86">
        <v>18.805180000000007</v>
      </c>
      <c r="N45" s="86">
        <v>0.82078599999999824</v>
      </c>
      <c r="O45" s="86">
        <v>0</v>
      </c>
      <c r="P45" s="86">
        <v>0</v>
      </c>
      <c r="Q45" s="86">
        <v>0</v>
      </c>
      <c r="R45" s="86">
        <v>6.69484700000001</v>
      </c>
      <c r="S45" s="86">
        <v>14.123052999999999</v>
      </c>
      <c r="T45" s="86">
        <v>0</v>
      </c>
      <c r="U45" s="86">
        <v>0</v>
      </c>
      <c r="V45" s="86">
        <v>0</v>
      </c>
      <c r="W45" s="86">
        <v>26.198140999999993</v>
      </c>
      <c r="X45" s="86">
        <v>76.298356000000013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94.817236893074849</v>
      </c>
      <c r="C50" s="29">
        <f t="shared" si="45"/>
        <v>97.210730314514365</v>
      </c>
      <c r="D50" s="29">
        <f t="shared" si="45"/>
        <v>97.009716488243953</v>
      </c>
      <c r="E50" s="29">
        <f t="shared" si="45"/>
        <v>95.171971128076336</v>
      </c>
      <c r="F50" s="29">
        <f t="shared" si="45"/>
        <v>90.195444218572916</v>
      </c>
      <c r="G50" s="29">
        <f t="shared" si="45"/>
        <v>96.054038669558636</v>
      </c>
      <c r="H50" s="29">
        <f t="shared" si="45"/>
        <v>98.644781799655703</v>
      </c>
      <c r="I50" s="29">
        <f t="shared" si="45"/>
        <v>100.10731089341303</v>
      </c>
      <c r="J50" s="29">
        <f t="shared" si="45"/>
        <v>116.99536885542457</v>
      </c>
      <c r="K50" s="29">
        <f t="shared" ref="K50:V50" si="46">IF(K4=0,0,K4/K15)</f>
        <v>109.04917351670611</v>
      </c>
      <c r="L50" s="29">
        <f t="shared" si="46"/>
        <v>109.32590480856382</v>
      </c>
      <c r="M50" s="29">
        <f t="shared" si="46"/>
        <v>101.35891234236873</v>
      </c>
      <c r="N50" s="29">
        <f t="shared" si="46"/>
        <v>98.876122520525186</v>
      </c>
      <c r="O50" s="29">
        <f t="shared" si="46"/>
        <v>93.969574731098731</v>
      </c>
      <c r="P50" s="29">
        <f t="shared" si="46"/>
        <v>97.44789723982997</v>
      </c>
      <c r="Q50" s="29">
        <f t="shared" si="46"/>
        <v>99.529682456255259</v>
      </c>
      <c r="R50" s="29">
        <f t="shared" si="46"/>
        <v>95.820659324948508</v>
      </c>
      <c r="S50" s="29">
        <f t="shared" si="46"/>
        <v>108.35966204559843</v>
      </c>
      <c r="T50" s="29">
        <f t="shared" si="46"/>
        <v>102.15660074470266</v>
      </c>
      <c r="U50" s="29">
        <f t="shared" si="46"/>
        <v>111.80419414975428</v>
      </c>
      <c r="V50" s="29">
        <f t="shared" si="46"/>
        <v>68.386312617229805</v>
      </c>
      <c r="W50" s="29">
        <f t="shared" ref="W50:Y50" si="47">IF(W4=0,0,W4/W15)</f>
        <v>60.224010191919177</v>
      </c>
      <c r="X50" s="29">
        <f t="shared" si="47"/>
        <v>101.61413023699541</v>
      </c>
      <c r="Y50" s="29">
        <f t="shared" si="47"/>
        <v>104.33798842294826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73.531888702633182</v>
      </c>
      <c r="C51" s="115">
        <f t="shared" si="48"/>
        <v>72.409699040421458</v>
      </c>
      <c r="D51" s="115">
        <f t="shared" si="48"/>
        <v>76.748495950458349</v>
      </c>
      <c r="E51" s="115">
        <f t="shared" si="48"/>
        <v>75.467248796289297</v>
      </c>
      <c r="F51" s="115">
        <f t="shared" si="48"/>
        <v>75.486017503481051</v>
      </c>
      <c r="G51" s="115">
        <f t="shared" si="48"/>
        <v>76.529349029391881</v>
      </c>
      <c r="H51" s="115">
        <f t="shared" si="48"/>
        <v>75.955518644542408</v>
      </c>
      <c r="I51" s="115">
        <f t="shared" si="48"/>
        <v>74.673934096632877</v>
      </c>
      <c r="J51" s="115">
        <f t="shared" si="48"/>
        <v>76.128636744005689</v>
      </c>
      <c r="K51" s="115">
        <f t="shared" ref="K51:V51" si="49">IF(K5=0,0,K5/K16)</f>
        <v>75.518800339471071</v>
      </c>
      <c r="L51" s="115">
        <f t="shared" si="49"/>
        <v>75.487677330799471</v>
      </c>
      <c r="M51" s="115">
        <f t="shared" si="49"/>
        <v>75.573317289646994</v>
      </c>
      <c r="N51" s="115">
        <f t="shared" si="49"/>
        <v>75.07991732203277</v>
      </c>
      <c r="O51" s="115">
        <f t="shared" si="49"/>
        <v>74.725883983220442</v>
      </c>
      <c r="P51" s="115">
        <f t="shared" si="49"/>
        <v>74.695744784976654</v>
      </c>
      <c r="Q51" s="115">
        <f t="shared" si="49"/>
        <v>74.637922138056354</v>
      </c>
      <c r="R51" s="115">
        <f t="shared" si="49"/>
        <v>74.757942233705862</v>
      </c>
      <c r="S51" s="115">
        <f t="shared" si="49"/>
        <v>75.223680811004314</v>
      </c>
      <c r="T51" s="115">
        <f t="shared" si="49"/>
        <v>79.364971246996944</v>
      </c>
      <c r="U51" s="115">
        <f t="shared" si="49"/>
        <v>79.566166367191627</v>
      </c>
      <c r="V51" s="115">
        <f t="shared" si="49"/>
        <v>49.905470241268425</v>
      </c>
      <c r="W51" s="115">
        <f t="shared" ref="W51:Y51" si="50">IF(W5=0,0,W5/W16)</f>
        <v>46.875615512961367</v>
      </c>
      <c r="X51" s="115">
        <f t="shared" si="50"/>
        <v>69.845372707895564</v>
      </c>
      <c r="Y51" s="115">
        <f t="shared" si="50"/>
        <v>74.747657405885235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90.432889217905668</v>
      </c>
      <c r="C52" s="116">
        <f t="shared" si="51"/>
        <v>93.795703390414687</v>
      </c>
      <c r="D52" s="116">
        <f t="shared" si="51"/>
        <v>90.547029591532905</v>
      </c>
      <c r="E52" s="116">
        <f t="shared" si="51"/>
        <v>88.320971001238689</v>
      </c>
      <c r="F52" s="116">
        <f t="shared" si="51"/>
        <v>80.959508353702546</v>
      </c>
      <c r="G52" s="116">
        <f t="shared" si="51"/>
        <v>89.730191401857397</v>
      </c>
      <c r="H52" s="116">
        <f t="shared" si="51"/>
        <v>91.637469119451453</v>
      </c>
      <c r="I52" s="116">
        <f t="shared" si="51"/>
        <v>91.659998119152107</v>
      </c>
      <c r="J52" s="116">
        <f t="shared" si="51"/>
        <v>114.36908263358745</v>
      </c>
      <c r="K52" s="116">
        <f t="shared" ref="K52:V52" si="52">IF(K6=0,0,K6/K17)</f>
        <v>102.74620185864383</v>
      </c>
      <c r="L52" s="116">
        <f t="shared" si="52"/>
        <v>104.15683971954915</v>
      </c>
      <c r="M52" s="116">
        <f t="shared" si="52"/>
        <v>94.824783041129677</v>
      </c>
      <c r="N52" s="116">
        <f t="shared" si="52"/>
        <v>90.937371002379479</v>
      </c>
      <c r="O52" s="116">
        <f t="shared" si="52"/>
        <v>84.565172492983137</v>
      </c>
      <c r="P52" s="116">
        <f t="shared" si="52"/>
        <v>89.423427373287808</v>
      </c>
      <c r="Q52" s="116">
        <f t="shared" si="52"/>
        <v>90.909240004980177</v>
      </c>
      <c r="R52" s="116">
        <f t="shared" si="52"/>
        <v>85.719959095969884</v>
      </c>
      <c r="S52" s="116">
        <f t="shared" si="52"/>
        <v>103.73806035050691</v>
      </c>
      <c r="T52" s="116">
        <f t="shared" si="52"/>
        <v>93.630668798264139</v>
      </c>
      <c r="U52" s="116">
        <f t="shared" si="52"/>
        <v>105.93031571510106</v>
      </c>
      <c r="V52" s="116">
        <f t="shared" si="52"/>
        <v>67.509492030314689</v>
      </c>
      <c r="W52" s="116">
        <f t="shared" ref="W52:Y52" si="53">IF(W6=0,0,W6/W17)</f>
        <v>55.660351846780628</v>
      </c>
      <c r="X52" s="116">
        <f t="shared" si="53"/>
        <v>97.769078183084531</v>
      </c>
      <c r="Y52" s="116">
        <f t="shared" si="53"/>
        <v>98.743055756548671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114.83195383075234</v>
      </c>
      <c r="C53" s="87">
        <f t="shared" si="54"/>
        <v>114.19342147755521</v>
      </c>
      <c r="D53" s="87">
        <f t="shared" si="54"/>
        <v>109.78654200781794</v>
      </c>
      <c r="E53" s="87">
        <f t="shared" si="54"/>
        <v>102.89614431856182</v>
      </c>
      <c r="F53" s="87">
        <f t="shared" si="54"/>
        <v>102.99226636034182</v>
      </c>
      <c r="G53" s="87">
        <f t="shared" si="54"/>
        <v>106.94962114317579</v>
      </c>
      <c r="H53" s="87">
        <f t="shared" si="54"/>
        <v>109.19625050967814</v>
      </c>
      <c r="I53" s="87">
        <f t="shared" si="54"/>
        <v>109.9653322376396</v>
      </c>
      <c r="J53" s="87">
        <f t="shared" si="54"/>
        <v>109.36343938640927</v>
      </c>
      <c r="K53" s="87">
        <f t="shared" ref="K53:V53" si="55">IF(K7=0,0,K7/K18)</f>
        <v>108.94919611262662</v>
      </c>
      <c r="L53" s="87">
        <f t="shared" si="55"/>
        <v>113.01923463479703</v>
      </c>
      <c r="M53" s="87">
        <f t="shared" si="55"/>
        <v>102.87783082612509</v>
      </c>
      <c r="N53" s="87">
        <f t="shared" si="55"/>
        <v>102.28461013655932</v>
      </c>
      <c r="O53" s="87">
        <f t="shared" si="55"/>
        <v>103.4307297481113</v>
      </c>
      <c r="P53" s="87">
        <f t="shared" si="55"/>
        <v>103.63922085456279</v>
      </c>
      <c r="Q53" s="87">
        <f t="shared" si="55"/>
        <v>103.49895959178775</v>
      </c>
      <c r="R53" s="87">
        <f t="shared" si="55"/>
        <v>100.07241988885751</v>
      </c>
      <c r="S53" s="87">
        <f t="shared" si="55"/>
        <v>101.72467070087664</v>
      </c>
      <c r="T53" s="87">
        <f t="shared" si="55"/>
        <v>102.8265990769591</v>
      </c>
      <c r="U53" s="87">
        <f t="shared" si="55"/>
        <v>92.330187017709889</v>
      </c>
      <c r="V53" s="87">
        <f t="shared" si="55"/>
        <v>56.160551038903186</v>
      </c>
      <c r="W53" s="87">
        <f t="shared" ref="W53:Y53" si="56">IF(W7=0,0,W7/W18)</f>
        <v>58.920872165869319</v>
      </c>
      <c r="X53" s="87">
        <f t="shared" si="56"/>
        <v>77.931338315524158</v>
      </c>
      <c r="Y53" s="87">
        <f t="shared" si="56"/>
        <v>90.206750377663894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89.178205299844095</v>
      </c>
      <c r="C54" s="87">
        <f t="shared" si="57"/>
        <v>92.576799619289091</v>
      </c>
      <c r="D54" s="87">
        <f t="shared" si="57"/>
        <v>88.91792849398793</v>
      </c>
      <c r="E54" s="87">
        <f t="shared" si="57"/>
        <v>87.351155933189872</v>
      </c>
      <c r="F54" s="87">
        <f t="shared" si="57"/>
        <v>80.203482580092071</v>
      </c>
      <c r="G54" s="87">
        <f t="shared" si="57"/>
        <v>89.224521712367377</v>
      </c>
      <c r="H54" s="87">
        <f t="shared" si="57"/>
        <v>90.913987477795274</v>
      </c>
      <c r="I54" s="87">
        <f t="shared" si="57"/>
        <v>90.97441923065621</v>
      </c>
      <c r="J54" s="87">
        <f t="shared" si="57"/>
        <v>114.65179737120683</v>
      </c>
      <c r="K54" s="87">
        <f t="shared" ref="K54:V54" si="58">IF(K8=0,0,K8/K19)</f>
        <v>102.43261593147865</v>
      </c>
      <c r="L54" s="87">
        <f t="shared" si="58"/>
        <v>103.75459808698272</v>
      </c>
      <c r="M54" s="87">
        <f t="shared" si="58"/>
        <v>94.571003474148313</v>
      </c>
      <c r="N54" s="87">
        <f t="shared" si="58"/>
        <v>90.469103610458276</v>
      </c>
      <c r="O54" s="87">
        <f t="shared" si="58"/>
        <v>84.017429017768208</v>
      </c>
      <c r="P54" s="87">
        <f t="shared" si="58"/>
        <v>88.95058095331683</v>
      </c>
      <c r="Q54" s="87">
        <f t="shared" si="58"/>
        <v>90.528498667541456</v>
      </c>
      <c r="R54" s="87">
        <f t="shared" si="58"/>
        <v>85.306399697539746</v>
      </c>
      <c r="S54" s="87">
        <f t="shared" si="58"/>
        <v>103.81337256474546</v>
      </c>
      <c r="T54" s="87">
        <f t="shared" si="58"/>
        <v>93.321100183403928</v>
      </c>
      <c r="U54" s="87">
        <f t="shared" si="58"/>
        <v>106.42804994661935</v>
      </c>
      <c r="V54" s="87">
        <f t="shared" si="58"/>
        <v>67.91620374456366</v>
      </c>
      <c r="W54" s="87">
        <f t="shared" ref="W54:Y54" si="59">IF(W8=0,0,W8/W19)</f>
        <v>55.589788891763021</v>
      </c>
      <c r="X54" s="87">
        <f t="shared" si="59"/>
        <v>98.267051451915634</v>
      </c>
      <c r="Y54" s="87">
        <f t="shared" si="59"/>
        <v>98.952074357635667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165.48295454545456</v>
      </c>
      <c r="C55" s="117">
        <f t="shared" si="60"/>
        <v>165.48295454545453</v>
      </c>
      <c r="D55" s="117">
        <f t="shared" si="60"/>
        <v>165.48295454545453</v>
      </c>
      <c r="E55" s="117">
        <f t="shared" si="60"/>
        <v>165.48295454545456</v>
      </c>
      <c r="F55" s="117">
        <f t="shared" si="60"/>
        <v>165.48295454545456</v>
      </c>
      <c r="G55" s="117">
        <f t="shared" si="60"/>
        <v>165.48295454545453</v>
      </c>
      <c r="H55" s="117">
        <f t="shared" si="60"/>
        <v>188.06646525679758</v>
      </c>
      <c r="I55" s="117">
        <f t="shared" si="60"/>
        <v>208.17704426106528</v>
      </c>
      <c r="J55" s="117">
        <f t="shared" si="60"/>
        <v>218.39416058394161</v>
      </c>
      <c r="K55" s="117">
        <f t="shared" ref="K55:V55" si="61">IF(K9=0,0,K9/K20)</f>
        <v>214.78873239436621</v>
      </c>
      <c r="L55" s="117">
        <f t="shared" si="61"/>
        <v>212.93478260869563</v>
      </c>
      <c r="M55" s="117">
        <f t="shared" si="61"/>
        <v>199.08450704225353</v>
      </c>
      <c r="N55" s="117">
        <f t="shared" si="61"/>
        <v>204.72222222222223</v>
      </c>
      <c r="O55" s="117">
        <f t="shared" si="61"/>
        <v>198.37662337662337</v>
      </c>
      <c r="P55" s="117">
        <f t="shared" si="61"/>
        <v>186.58959537572252</v>
      </c>
      <c r="Q55" s="117">
        <f t="shared" si="61"/>
        <v>203.93939393939394</v>
      </c>
      <c r="R55" s="117">
        <f t="shared" si="61"/>
        <v>202.38372093023256</v>
      </c>
      <c r="S55" s="117">
        <f t="shared" si="61"/>
        <v>194.81081081081081</v>
      </c>
      <c r="T55" s="117">
        <f t="shared" si="61"/>
        <v>197.28799999999998</v>
      </c>
      <c r="U55" s="117">
        <f t="shared" si="61"/>
        <v>197.28800000000001</v>
      </c>
      <c r="V55" s="117">
        <f t="shared" si="61"/>
        <v>112.73599999999999</v>
      </c>
      <c r="W55" s="117">
        <f t="shared" ref="W55:Y55" si="62">IF(W9=0,0,W9/W20)</f>
        <v>118.3728</v>
      </c>
      <c r="X55" s="117">
        <f t="shared" si="62"/>
        <v>184.85448086642603</v>
      </c>
      <c r="Y55" s="117">
        <f t="shared" si="62"/>
        <v>194.8664144404332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466.93899280801622</v>
      </c>
      <c r="C56" s="29">
        <f t="shared" si="63"/>
        <v>486.48137757046732</v>
      </c>
      <c r="D56" s="29">
        <f t="shared" si="63"/>
        <v>484.76131465485594</v>
      </c>
      <c r="E56" s="29">
        <f t="shared" si="63"/>
        <v>507.23164756965946</v>
      </c>
      <c r="F56" s="29">
        <f t="shared" si="63"/>
        <v>477.66489581132993</v>
      </c>
      <c r="G56" s="29">
        <f t="shared" si="63"/>
        <v>489.10063874656669</v>
      </c>
      <c r="H56" s="29">
        <f t="shared" si="63"/>
        <v>479.2421464312967</v>
      </c>
      <c r="I56" s="29">
        <f t="shared" si="63"/>
        <v>455.72482975864796</v>
      </c>
      <c r="J56" s="29">
        <f t="shared" si="63"/>
        <v>543.37017143319679</v>
      </c>
      <c r="K56" s="29">
        <f t="shared" ref="K56:V56" si="64">IF(K10=0,0,K10/K21)</f>
        <v>528.99126878761285</v>
      </c>
      <c r="L56" s="29">
        <f t="shared" si="64"/>
        <v>580.01276311418235</v>
      </c>
      <c r="M56" s="29">
        <f t="shared" si="64"/>
        <v>527.25792284902093</v>
      </c>
      <c r="N56" s="29">
        <f t="shared" si="64"/>
        <v>527.22492596732934</v>
      </c>
      <c r="O56" s="29">
        <f t="shared" si="64"/>
        <v>522.20125960364635</v>
      </c>
      <c r="P56" s="29">
        <f t="shared" si="64"/>
        <v>574.04770635236719</v>
      </c>
      <c r="Q56" s="29">
        <f t="shared" si="64"/>
        <v>583.75986186033163</v>
      </c>
      <c r="R56" s="29">
        <f t="shared" si="64"/>
        <v>602.69140820158123</v>
      </c>
      <c r="S56" s="29">
        <f t="shared" si="64"/>
        <v>593.72441350468205</v>
      </c>
      <c r="T56" s="29">
        <f t="shared" si="64"/>
        <v>658.51586300965914</v>
      </c>
      <c r="U56" s="29">
        <f t="shared" si="64"/>
        <v>669.1380744495824</v>
      </c>
      <c r="V56" s="29">
        <f t="shared" si="64"/>
        <v>694.91924169221886</v>
      </c>
      <c r="W56" s="29">
        <f t="shared" ref="W56:Y56" si="65">IF(W10=0,0,W10/W21)</f>
        <v>658.20796821612157</v>
      </c>
      <c r="X56" s="29">
        <f t="shared" si="65"/>
        <v>461.7432362978646</v>
      </c>
      <c r="Y56" s="29">
        <f t="shared" si="65"/>
        <v>490.81583529861149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608.43196184299154</v>
      </c>
      <c r="C57" s="87">
        <f t="shared" si="66"/>
        <v>599.08451522222003</v>
      </c>
      <c r="D57" s="87">
        <f t="shared" si="66"/>
        <v>615.92870058399819</v>
      </c>
      <c r="E57" s="87">
        <f t="shared" si="66"/>
        <v>619.61173646266423</v>
      </c>
      <c r="F57" s="87">
        <f t="shared" si="66"/>
        <v>589.31379778088672</v>
      </c>
      <c r="G57" s="87">
        <f t="shared" si="66"/>
        <v>602.99333368904217</v>
      </c>
      <c r="H57" s="87">
        <f t="shared" si="66"/>
        <v>614.56714633883053</v>
      </c>
      <c r="I57" s="87">
        <f t="shared" si="66"/>
        <v>639.9545573798631</v>
      </c>
      <c r="J57" s="87">
        <f t="shared" si="66"/>
        <v>691.47974235631636</v>
      </c>
      <c r="K57" s="87">
        <f t="shared" ref="K57:V57" si="67">IF(K11=0,0,K11/K22)</f>
        <v>695.51769248412825</v>
      </c>
      <c r="L57" s="87">
        <f t="shared" si="67"/>
        <v>731.98657750718098</v>
      </c>
      <c r="M57" s="87">
        <f t="shared" si="67"/>
        <v>651.64757452985918</v>
      </c>
      <c r="N57" s="87">
        <f t="shared" si="67"/>
        <v>665.04027945029168</v>
      </c>
      <c r="O57" s="87">
        <f t="shared" si="67"/>
        <v>652.47090138942644</v>
      </c>
      <c r="P57" s="87">
        <f t="shared" si="67"/>
        <v>688.18829685050514</v>
      </c>
      <c r="Q57" s="87">
        <f t="shared" si="67"/>
        <v>669.73386861630718</v>
      </c>
      <c r="R57" s="87">
        <f t="shared" si="67"/>
        <v>671.36610104135991</v>
      </c>
      <c r="S57" s="87">
        <f t="shared" si="67"/>
        <v>752.52704267178478</v>
      </c>
      <c r="T57" s="87">
        <f t="shared" si="67"/>
        <v>734.44605600898581</v>
      </c>
      <c r="U57" s="87">
        <f t="shared" si="67"/>
        <v>707.27990952732625</v>
      </c>
      <c r="V57" s="87">
        <f t="shared" si="67"/>
        <v>583.17337737601554</v>
      </c>
      <c r="W57" s="87">
        <f t="shared" ref="W57:Y57" si="68">IF(W11=0,0,W11/W22)</f>
        <v>561.6878456146477</v>
      </c>
      <c r="X57" s="87">
        <f t="shared" si="68"/>
        <v>585.09259610218635</v>
      </c>
      <c r="Y57" s="87">
        <f t="shared" si="68"/>
        <v>658.57917102349461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456.11424121611827</v>
      </c>
      <c r="C58" s="88">
        <f t="shared" si="69"/>
        <v>477.92127038866244</v>
      </c>
      <c r="D58" s="88">
        <f t="shared" si="69"/>
        <v>475.55903590963328</v>
      </c>
      <c r="E58" s="88">
        <f t="shared" si="69"/>
        <v>498.61217465142192</v>
      </c>
      <c r="F58" s="88">
        <f t="shared" si="69"/>
        <v>469.04537429371675</v>
      </c>
      <c r="G58" s="88">
        <f t="shared" si="69"/>
        <v>479.82213874179291</v>
      </c>
      <c r="H58" s="88">
        <f t="shared" si="69"/>
        <v>469.37232802881675</v>
      </c>
      <c r="I58" s="88">
        <f t="shared" si="69"/>
        <v>443.87401387578058</v>
      </c>
      <c r="J58" s="88">
        <f t="shared" si="69"/>
        <v>531.99327950790814</v>
      </c>
      <c r="K58" s="88">
        <f t="shared" ref="K58:V58" si="70">IF(K12=0,0,K12/K23)</f>
        <v>517.27772296674357</v>
      </c>
      <c r="L58" s="88">
        <f t="shared" si="70"/>
        <v>569.12793020342417</v>
      </c>
      <c r="M58" s="88">
        <f t="shared" si="70"/>
        <v>517.81579683568975</v>
      </c>
      <c r="N58" s="88">
        <f t="shared" si="70"/>
        <v>518.28196156064598</v>
      </c>
      <c r="O58" s="88">
        <f t="shared" si="70"/>
        <v>513.31620945031671</v>
      </c>
      <c r="P58" s="88">
        <f t="shared" si="70"/>
        <v>567.3172991809555</v>
      </c>
      <c r="Q58" s="88">
        <f t="shared" si="70"/>
        <v>578.27187085181265</v>
      </c>
      <c r="R58" s="88">
        <f t="shared" si="70"/>
        <v>598.47425404288231</v>
      </c>
      <c r="S58" s="88">
        <f t="shared" si="70"/>
        <v>586.02318967652786</v>
      </c>
      <c r="T58" s="88">
        <f t="shared" si="70"/>
        <v>654.04410802053076</v>
      </c>
      <c r="U58" s="88">
        <f t="shared" si="70"/>
        <v>666.79742009383995</v>
      </c>
      <c r="V58" s="88">
        <f t="shared" si="70"/>
        <v>702.47126802453181</v>
      </c>
      <c r="W58" s="88">
        <f t="shared" ref="W58:Y58" si="71">IF(W12=0,0,W12/W23)</f>
        <v>663.37995999995394</v>
      </c>
      <c r="X58" s="88">
        <f t="shared" si="71"/>
        <v>455.83280570589</v>
      </c>
      <c r="Y58" s="88">
        <f t="shared" si="71"/>
        <v>482.65508336530166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355.92569383983823</v>
      </c>
      <c r="C61" s="29">
        <f t="shared" ref="C61" si="73">IF(C26=0,0,(C62*C27+C64*C29+C65*C30+C66*C31)/(C27+C29+C30+C31))</f>
        <v>356.61249682570826</v>
      </c>
      <c r="D61" s="29">
        <f t="shared" ref="D61" si="74">IF(D26=0,0,(D62*D27+D64*D29+D65*D30+D66*D31)/(D27+D29+D30+D31))</f>
        <v>355.66235910637204</v>
      </c>
      <c r="E61" s="29">
        <f t="shared" ref="E61" si="75">IF(E26=0,0,(E62*E27+E64*E29+E65*E30+E66*E31)/(E27+E29+E30+E31))</f>
        <v>355.33084502565566</v>
      </c>
      <c r="F61" s="29">
        <f t="shared" ref="F61" si="76">IF(F26=0,0,(F62*F27+F64*F29+F65*F30+F66*F31)/(F27+F29+F30+F31))</f>
        <v>353.93669879485986</v>
      </c>
      <c r="G61" s="29">
        <f t="shared" ref="G61" si="77">IF(G26=0,0,(G62*G27+G64*G29+G65*G30+G66*G31)/(G27+G29+G30+G31))</f>
        <v>354.34013289833553</v>
      </c>
      <c r="H61" s="29">
        <f t="shared" ref="H61" si="78">IF(H26=0,0,(H62*H27+H64*H29+H65*H30+H66*H31)/(H27+H29+H30+H31))</f>
        <v>353.92988522261544</v>
      </c>
      <c r="I61" s="29">
        <f t="shared" ref="I61" si="79">IF(I26=0,0,(I62*I27+I64*I29+I65*I30+I66*I31)/(I27+I29+I30+I31))</f>
        <v>353.6626009077919</v>
      </c>
      <c r="J61" s="29">
        <f t="shared" ref="J61" si="80">IF(J26=0,0,(J62*J27+J64*J29+J65*J30+J66*J31)/(J27+J29+J30+J31))</f>
        <v>355.66520843525944</v>
      </c>
      <c r="K61" s="29">
        <f t="shared" ref="K61" si="81">IF(K26=0,0,(K62*K27+K64*K29+K65*K30+K66*K31)/(K27+K29+K30+K31))</f>
        <v>354.77862174235764</v>
      </c>
      <c r="L61" s="29">
        <f t="shared" ref="L61" si="82">IF(L26=0,0,(L62*L27+L64*L29+L65*L30+L66*L31)/(L27+L29+L30+L31))</f>
        <v>355.25179591057503</v>
      </c>
      <c r="M61" s="29">
        <f t="shared" ref="M61" si="83">IF(M26=0,0,(M62*M27+M64*M29+M65*M30+M66*M31)/(M27+M29+M30+M31))</f>
        <v>352.80587874345656</v>
      </c>
      <c r="N61" s="29">
        <f t="shared" ref="N61" si="84">IF(N26=0,0,(N62*N27+N64*N29+N65*N30+N66*N31)/(N27+N29+N30+N31))</f>
        <v>351.69037915944904</v>
      </c>
      <c r="O61" s="29">
        <f t="shared" ref="O61" si="85">IF(O26=0,0,(O62*O27+O64*O29+O65*O30+O66*O31)/(O27+O29+O30+O31))</f>
        <v>351.15128454038461</v>
      </c>
      <c r="P61" s="29">
        <f t="shared" ref="P61" si="86">IF(P26=0,0,(P62*P27+P64*P29+P65*P30+P66*P31)/(P27+P29+P30+P31))</f>
        <v>353.05384749520186</v>
      </c>
      <c r="Q61" s="29">
        <f t="shared" ref="Q61" si="87">IF(Q26=0,0,(Q62*Q27+Q64*Q29+Q65*Q30+Q66*Q31)/(Q27+Q29+Q30+Q31))</f>
        <v>352.23252624265837</v>
      </c>
      <c r="R61" s="29">
        <f t="shared" ref="R61" si="88">IF(R26=0,0,(R62*R27+R64*R29+R65*R30+R66*R31)/(R27+R29+R30+R31))</f>
        <v>351.98217918444539</v>
      </c>
      <c r="S61" s="29">
        <f t="shared" ref="S61" si="89">IF(S26=0,0,(S62*S27+S64*S29+S65*S30+S66*S31)/(S27+S29+S30+S31))</f>
        <v>353.94539556174868</v>
      </c>
      <c r="T61" s="29">
        <f t="shared" ref="T61" si="90">IF(T26=0,0,(T62*T27+T64*T29+T65*T30+T66*T31)/(T27+T29+T30+T31))</f>
        <v>352.43421457449023</v>
      </c>
      <c r="U61" s="29">
        <f t="shared" ref="U61" si="91">IF(U26=0,0,(U62*U27+U64*U29+U65*U30+U66*U31)/(U27+U29+U30+U31))</f>
        <v>354.32030055729251</v>
      </c>
      <c r="V61" s="29">
        <f t="shared" ref="V61" si="92">IF(V26=0,0,(V62*V27+V64*V29+V65*V30+V66*V31)/(V27+V29+V30+V31))</f>
        <v>355.27568272780707</v>
      </c>
      <c r="W61" s="29">
        <f t="shared" ref="W61:Y61" si="93">IF(W26=0,0,(W62*W27+W64*W29+W65*W30+W66*W31)/(W27+W29+W30+W31))</f>
        <v>351.40137513444841</v>
      </c>
      <c r="X61" s="29">
        <f t="shared" si="93"/>
        <v>351.22275800473051</v>
      </c>
      <c r="Y61" s="29">
        <f t="shared" si="93"/>
        <v>351.13023473564783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319.99999999999994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319.99999999999994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2099.9999999999995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2099.9999999999995</v>
      </c>
      <c r="U67" s="29">
        <f t="shared" ref="U67" si="135">IF(U32=0,0,(U68*U33+U69*U34)/(U33+U34))</f>
        <v>2100.0000000000005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0.26639615665325173</v>
      </c>
      <c r="C72" s="30">
        <f t="shared" ref="C72:J72" si="138">IF(C50=0,0,C50/C61)</f>
        <v>0.27259485065669303</v>
      </c>
      <c r="D72" s="30">
        <f t="shared" si="138"/>
        <v>0.27275789524645799</v>
      </c>
      <c r="E72" s="30">
        <f t="shared" si="138"/>
        <v>0.26784044352019232</v>
      </c>
      <c r="F72" s="30">
        <f t="shared" si="138"/>
        <v>0.25483495926159888</v>
      </c>
      <c r="G72" s="30">
        <f t="shared" si="138"/>
        <v>0.27107863251018677</v>
      </c>
      <c r="H72" s="30">
        <f t="shared" si="138"/>
        <v>0.27871277876862516</v>
      </c>
      <c r="I72" s="30">
        <f t="shared" si="138"/>
        <v>0.28305879851715887</v>
      </c>
      <c r="J72" s="30">
        <f t="shared" si="138"/>
        <v>0.32894802775380505</v>
      </c>
      <c r="K72" s="30">
        <f t="shared" ref="K72:V72" si="139">IF(K50=0,0,K50/K61)</f>
        <v>0.30737244815133835</v>
      </c>
      <c r="L72" s="30">
        <f t="shared" si="139"/>
        <v>0.30774201866690531</v>
      </c>
      <c r="M72" s="30">
        <f t="shared" si="139"/>
        <v>0.28729371716640822</v>
      </c>
      <c r="N72" s="30">
        <f t="shared" si="139"/>
        <v>0.28114537212204155</v>
      </c>
      <c r="O72" s="30">
        <f t="shared" si="139"/>
        <v>0.26760424599925287</v>
      </c>
      <c r="P72" s="30">
        <f t="shared" si="139"/>
        <v>0.27601426221861053</v>
      </c>
      <c r="Q72" s="30">
        <f t="shared" si="139"/>
        <v>0.28256811918524455</v>
      </c>
      <c r="R72" s="30">
        <f t="shared" si="139"/>
        <v>0.27223156452684116</v>
      </c>
      <c r="S72" s="30">
        <f t="shared" si="139"/>
        <v>0.30614796351177337</v>
      </c>
      <c r="T72" s="30">
        <f t="shared" si="139"/>
        <v>0.28986005478509214</v>
      </c>
      <c r="U72" s="30">
        <f t="shared" si="139"/>
        <v>0.31554555009663038</v>
      </c>
      <c r="V72" s="30">
        <f t="shared" si="139"/>
        <v>0.19248801970390889</v>
      </c>
      <c r="W72" s="30">
        <f t="shared" ref="W72:Y72" si="140">IF(W50=0,0,W50/W61)</f>
        <v>0.17138239760409898</v>
      </c>
      <c r="X72" s="30">
        <f t="shared" si="140"/>
        <v>0.28931533598294562</v>
      </c>
      <c r="Y72" s="30">
        <f t="shared" si="140"/>
        <v>0.29714897237915222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0.18382972175658296</v>
      </c>
      <c r="C73" s="118">
        <f t="shared" si="141"/>
        <v>0.18102424760105365</v>
      </c>
      <c r="D73" s="118">
        <f t="shared" si="141"/>
        <v>0.19187123987614588</v>
      </c>
      <c r="E73" s="118">
        <f t="shared" si="141"/>
        <v>0.18866812199072325</v>
      </c>
      <c r="F73" s="118">
        <f t="shared" si="141"/>
        <v>0.18871504375870263</v>
      </c>
      <c r="G73" s="118">
        <f t="shared" si="141"/>
        <v>0.1913233725734797</v>
      </c>
      <c r="H73" s="118">
        <f t="shared" si="141"/>
        <v>0.18988879661135602</v>
      </c>
      <c r="I73" s="118">
        <f t="shared" si="141"/>
        <v>0.18668483524158219</v>
      </c>
      <c r="J73" s="118">
        <f t="shared" si="141"/>
        <v>0.19032159186001421</v>
      </c>
      <c r="K73" s="118">
        <f t="shared" ref="K73:V73" si="142">IF(K51=0,0,K51/K62)</f>
        <v>0.18879700084867768</v>
      </c>
      <c r="L73" s="118">
        <f t="shared" si="142"/>
        <v>0.18871919332699869</v>
      </c>
      <c r="M73" s="118">
        <f t="shared" si="142"/>
        <v>0.18893329322411748</v>
      </c>
      <c r="N73" s="118">
        <f t="shared" si="142"/>
        <v>0.18769979330508194</v>
      </c>
      <c r="O73" s="118">
        <f t="shared" si="142"/>
        <v>0.18681470995805111</v>
      </c>
      <c r="P73" s="118">
        <f t="shared" si="142"/>
        <v>0.18673936196244165</v>
      </c>
      <c r="Q73" s="118">
        <f t="shared" si="142"/>
        <v>0.18659480534514089</v>
      </c>
      <c r="R73" s="118">
        <f t="shared" si="142"/>
        <v>0.18689485558426466</v>
      </c>
      <c r="S73" s="118">
        <f t="shared" si="142"/>
        <v>0.18805920202751078</v>
      </c>
      <c r="T73" s="118">
        <f t="shared" si="142"/>
        <v>0.19841242811749235</v>
      </c>
      <c r="U73" s="118">
        <f t="shared" si="142"/>
        <v>0.19891541591797907</v>
      </c>
      <c r="V73" s="118">
        <f t="shared" si="142"/>
        <v>0.12476367560317106</v>
      </c>
      <c r="W73" s="118">
        <f t="shared" ref="W73:Y73" si="143">IF(W51=0,0,W51/W62)</f>
        <v>0.11718903878240342</v>
      </c>
      <c r="X73" s="118">
        <f t="shared" si="143"/>
        <v>0.1746134317697389</v>
      </c>
      <c r="Y73" s="118">
        <f t="shared" si="143"/>
        <v>0.18686914351471309</v>
      </c>
      <c r="DA73" s="203"/>
    </row>
    <row r="74" spans="1:105" ht="11.45" customHeight="1" x14ac:dyDescent="0.25">
      <c r="A74" s="109" t="s">
        <v>24</v>
      </c>
      <c r="B74" s="119">
        <f t="shared" si="141"/>
        <v>0.28260277880595513</v>
      </c>
      <c r="C74" s="119">
        <f t="shared" si="141"/>
        <v>0.29311157309504593</v>
      </c>
      <c r="D74" s="119">
        <f t="shared" si="141"/>
        <v>0.28295946747354034</v>
      </c>
      <c r="E74" s="119">
        <f t="shared" si="141"/>
        <v>0.27600303437887092</v>
      </c>
      <c r="F74" s="119">
        <f t="shared" si="141"/>
        <v>0.25299846360532052</v>
      </c>
      <c r="G74" s="119">
        <f t="shared" si="141"/>
        <v>0.28040684813080441</v>
      </c>
      <c r="H74" s="119">
        <f t="shared" si="141"/>
        <v>0.28636709099828578</v>
      </c>
      <c r="I74" s="119">
        <f t="shared" si="141"/>
        <v>0.28643749412235031</v>
      </c>
      <c r="J74" s="119">
        <f t="shared" si="141"/>
        <v>0.35740338322996085</v>
      </c>
      <c r="K74" s="119">
        <f t="shared" ref="K74:V74" si="144">IF(K52=0,0,K52/K63)</f>
        <v>0.321081880808262</v>
      </c>
      <c r="L74" s="119">
        <f t="shared" si="144"/>
        <v>0.32549012412359113</v>
      </c>
      <c r="M74" s="119">
        <f t="shared" si="144"/>
        <v>0.29632744700353025</v>
      </c>
      <c r="N74" s="119">
        <f t="shared" si="144"/>
        <v>0.28417928438243589</v>
      </c>
      <c r="O74" s="119">
        <f t="shared" si="144"/>
        <v>0.26426616404057229</v>
      </c>
      <c r="P74" s="119">
        <f t="shared" si="144"/>
        <v>0.27944821054152441</v>
      </c>
      <c r="Q74" s="119">
        <f t="shared" si="144"/>
        <v>0.28409137501556309</v>
      </c>
      <c r="R74" s="119">
        <f t="shared" si="144"/>
        <v>0.26787487217490591</v>
      </c>
      <c r="S74" s="119">
        <f t="shared" si="144"/>
        <v>0.3241814385953341</v>
      </c>
      <c r="T74" s="119">
        <f t="shared" si="144"/>
        <v>0.29259583999457545</v>
      </c>
      <c r="U74" s="119">
        <f t="shared" si="144"/>
        <v>0.33103223660969083</v>
      </c>
      <c r="V74" s="119">
        <f t="shared" si="144"/>
        <v>0.21096716259473342</v>
      </c>
      <c r="W74" s="119">
        <f t="shared" ref="W74:Y74" si="145">IF(W52=0,0,W52/W63)</f>
        <v>0.17393859952118945</v>
      </c>
      <c r="X74" s="119">
        <f t="shared" si="145"/>
        <v>0.30552836932213917</v>
      </c>
      <c r="Y74" s="119">
        <f t="shared" si="145"/>
        <v>0.30857204923921461</v>
      </c>
      <c r="DA74" s="176"/>
    </row>
    <row r="75" spans="1:105" ht="11.45" customHeight="1" x14ac:dyDescent="0.25">
      <c r="A75" s="111" t="s">
        <v>92</v>
      </c>
      <c r="B75" s="120">
        <f t="shared" si="141"/>
        <v>0.35884985572110106</v>
      </c>
      <c r="C75" s="120">
        <f t="shared" si="141"/>
        <v>0.35685444211736</v>
      </c>
      <c r="D75" s="120">
        <f t="shared" si="141"/>
        <v>0.34308294377443105</v>
      </c>
      <c r="E75" s="120">
        <f t="shared" si="141"/>
        <v>0.32155045099550572</v>
      </c>
      <c r="F75" s="120">
        <f t="shared" si="141"/>
        <v>0.32185083237606815</v>
      </c>
      <c r="G75" s="120">
        <f t="shared" si="141"/>
        <v>0.33421756607242437</v>
      </c>
      <c r="H75" s="120">
        <f t="shared" si="141"/>
        <v>0.34123828284274416</v>
      </c>
      <c r="I75" s="120">
        <f t="shared" si="141"/>
        <v>0.34364166324262374</v>
      </c>
      <c r="J75" s="120">
        <f t="shared" si="141"/>
        <v>0.34176074808252899</v>
      </c>
      <c r="K75" s="120">
        <f t="shared" ref="K75:V75" si="146">IF(K53=0,0,K53/K64)</f>
        <v>0.34046623785195818</v>
      </c>
      <c r="L75" s="120">
        <f t="shared" si="146"/>
        <v>0.35318510823374072</v>
      </c>
      <c r="M75" s="120">
        <f t="shared" si="146"/>
        <v>0.32149322133164093</v>
      </c>
      <c r="N75" s="120">
        <f t="shared" si="146"/>
        <v>0.31963940667674789</v>
      </c>
      <c r="O75" s="120">
        <f t="shared" si="146"/>
        <v>0.32322103046284784</v>
      </c>
      <c r="P75" s="120">
        <f t="shared" si="146"/>
        <v>0.32387256517050872</v>
      </c>
      <c r="Q75" s="120">
        <f t="shared" si="146"/>
        <v>0.32343424872433674</v>
      </c>
      <c r="R75" s="120">
        <f t="shared" si="146"/>
        <v>0.31272631215267971</v>
      </c>
      <c r="S75" s="120">
        <f t="shared" si="146"/>
        <v>0.31788959594023952</v>
      </c>
      <c r="T75" s="120">
        <f t="shared" si="146"/>
        <v>0.32133312211549719</v>
      </c>
      <c r="U75" s="120">
        <f t="shared" si="146"/>
        <v>0.28853183443034341</v>
      </c>
      <c r="V75" s="120">
        <f t="shared" si="146"/>
        <v>0.17550172199657246</v>
      </c>
      <c r="W75" s="120">
        <f t="shared" ref="W75:Y75" si="147">IF(W53=0,0,W53/W64)</f>
        <v>0.18412772551834161</v>
      </c>
      <c r="X75" s="120">
        <f t="shared" si="147"/>
        <v>0.24353543223601298</v>
      </c>
      <c r="Y75" s="120">
        <f t="shared" si="147"/>
        <v>0.28189609493019968</v>
      </c>
      <c r="DA75" s="171"/>
    </row>
    <row r="76" spans="1:105" ht="11.45" customHeight="1" x14ac:dyDescent="0.25">
      <c r="A76" s="111" t="s">
        <v>93</v>
      </c>
      <c r="B76" s="120">
        <f t="shared" si="141"/>
        <v>0.27868189156201278</v>
      </c>
      <c r="C76" s="120">
        <f t="shared" si="141"/>
        <v>0.28930249881027842</v>
      </c>
      <c r="D76" s="120">
        <f t="shared" si="141"/>
        <v>0.2778685265437123</v>
      </c>
      <c r="E76" s="120">
        <f t="shared" si="141"/>
        <v>0.27297236229121835</v>
      </c>
      <c r="F76" s="120">
        <f t="shared" si="141"/>
        <v>0.25063588306278772</v>
      </c>
      <c r="G76" s="120">
        <f t="shared" si="141"/>
        <v>0.27882663035114807</v>
      </c>
      <c r="H76" s="120">
        <f t="shared" si="141"/>
        <v>0.28410621086811022</v>
      </c>
      <c r="I76" s="120">
        <f t="shared" si="141"/>
        <v>0.28429506009580063</v>
      </c>
      <c r="J76" s="120">
        <f t="shared" si="141"/>
        <v>0.35828686678502131</v>
      </c>
      <c r="K76" s="120">
        <f t="shared" ref="K76:V76" si="148">IF(K54=0,0,K54/K65)</f>
        <v>0.3201019247858708</v>
      </c>
      <c r="L76" s="120">
        <f t="shared" si="148"/>
        <v>0.324233119021821</v>
      </c>
      <c r="M76" s="120">
        <f t="shared" si="148"/>
        <v>0.29553438585671349</v>
      </c>
      <c r="N76" s="120">
        <f t="shared" si="148"/>
        <v>0.28271594878268214</v>
      </c>
      <c r="O76" s="120">
        <f t="shared" si="148"/>
        <v>0.26255446568052565</v>
      </c>
      <c r="P76" s="120">
        <f t="shared" si="148"/>
        <v>0.27797056547911508</v>
      </c>
      <c r="Q76" s="120">
        <f t="shared" si="148"/>
        <v>0.28290155833606706</v>
      </c>
      <c r="R76" s="120">
        <f t="shared" si="148"/>
        <v>0.26658249905481168</v>
      </c>
      <c r="S76" s="120">
        <f t="shared" si="148"/>
        <v>0.32441678926482959</v>
      </c>
      <c r="T76" s="120">
        <f t="shared" si="148"/>
        <v>0.29162843807313726</v>
      </c>
      <c r="U76" s="120">
        <f t="shared" si="148"/>
        <v>0.33258765608318547</v>
      </c>
      <c r="V76" s="120">
        <f t="shared" si="148"/>
        <v>0.21223813670176145</v>
      </c>
      <c r="W76" s="120">
        <f t="shared" ref="W76:Y76" si="149">IF(W54=0,0,W54/W65)</f>
        <v>0.17371809028675944</v>
      </c>
      <c r="X76" s="120">
        <f t="shared" si="149"/>
        <v>0.30708453578723638</v>
      </c>
      <c r="Y76" s="120">
        <f t="shared" si="149"/>
        <v>0.30922523236761146</v>
      </c>
      <c r="DA76" s="171"/>
    </row>
    <row r="77" spans="1:105" ht="11.45" customHeight="1" x14ac:dyDescent="0.25">
      <c r="A77" s="112" t="s">
        <v>25</v>
      </c>
      <c r="B77" s="121">
        <f t="shared" si="141"/>
        <v>0.29550527597402598</v>
      </c>
      <c r="C77" s="121">
        <f t="shared" si="141"/>
        <v>0.29550527597402593</v>
      </c>
      <c r="D77" s="121">
        <f t="shared" si="141"/>
        <v>0.29550527597402593</v>
      </c>
      <c r="E77" s="121">
        <f t="shared" si="141"/>
        <v>0.29550527597402598</v>
      </c>
      <c r="F77" s="121">
        <f t="shared" si="141"/>
        <v>0.29550527597402598</v>
      </c>
      <c r="G77" s="121">
        <f t="shared" si="141"/>
        <v>0.29550527597402593</v>
      </c>
      <c r="H77" s="121">
        <f t="shared" si="141"/>
        <v>0.33583297367285281</v>
      </c>
      <c r="I77" s="121">
        <f t="shared" si="141"/>
        <v>0.37174472189475943</v>
      </c>
      <c r="J77" s="121">
        <f t="shared" si="141"/>
        <v>0.38998957247132432</v>
      </c>
      <c r="K77" s="121">
        <f t="shared" ref="K77:V77" si="150">IF(K55=0,0,K55/K66)</f>
        <v>0.38355130784708252</v>
      </c>
      <c r="L77" s="121">
        <f t="shared" si="150"/>
        <v>0.38024068322981364</v>
      </c>
      <c r="M77" s="121">
        <f t="shared" si="150"/>
        <v>0.35550804828973848</v>
      </c>
      <c r="N77" s="121">
        <f t="shared" si="150"/>
        <v>0.36557539682539686</v>
      </c>
      <c r="O77" s="121">
        <f t="shared" si="150"/>
        <v>0.35424397031539889</v>
      </c>
      <c r="P77" s="121">
        <f t="shared" si="150"/>
        <v>0.33319570602807591</v>
      </c>
      <c r="Q77" s="121">
        <f t="shared" si="150"/>
        <v>0.36417748917748916</v>
      </c>
      <c r="R77" s="121">
        <f t="shared" si="150"/>
        <v>0.36139950166112955</v>
      </c>
      <c r="S77" s="121">
        <f t="shared" si="150"/>
        <v>0.34787644787644789</v>
      </c>
      <c r="T77" s="121">
        <f t="shared" si="150"/>
        <v>0.35229999999999995</v>
      </c>
      <c r="U77" s="121">
        <f t="shared" si="150"/>
        <v>0.3523</v>
      </c>
      <c r="V77" s="121">
        <f t="shared" si="150"/>
        <v>0.2013142857142857</v>
      </c>
      <c r="W77" s="121">
        <f t="shared" ref="W77:Y77" si="151">IF(W55=0,0,W55/W66)</f>
        <v>0.21137999999999998</v>
      </c>
      <c r="X77" s="121">
        <f t="shared" si="151"/>
        <v>0.33009728726147508</v>
      </c>
      <c r="Y77" s="121">
        <f t="shared" si="151"/>
        <v>0.34797574007220217</v>
      </c>
      <c r="DA77" s="204"/>
    </row>
    <row r="78" spans="1:105" ht="11.45" customHeight="1" x14ac:dyDescent="0.25">
      <c r="A78" s="27" t="s">
        <v>34</v>
      </c>
      <c r="B78" s="30">
        <f t="shared" si="141"/>
        <v>0.22235190133715058</v>
      </c>
      <c r="C78" s="30">
        <f t="shared" si="141"/>
        <v>0.23165779884307969</v>
      </c>
      <c r="D78" s="30">
        <f t="shared" si="141"/>
        <v>0.23083872126421712</v>
      </c>
      <c r="E78" s="30">
        <f t="shared" si="141"/>
        <v>0.24153887979507593</v>
      </c>
      <c r="F78" s="30">
        <f t="shared" si="141"/>
        <v>0.2274594741958714</v>
      </c>
      <c r="G78" s="30">
        <f t="shared" si="141"/>
        <v>0.23290506606979372</v>
      </c>
      <c r="H78" s="30">
        <f t="shared" si="141"/>
        <v>0.22821054591966511</v>
      </c>
      <c r="I78" s="30">
        <f t="shared" si="141"/>
        <v>0.21701182369459426</v>
      </c>
      <c r="J78" s="30">
        <f t="shared" si="141"/>
        <v>0.25874770068247466</v>
      </c>
      <c r="K78" s="30">
        <f t="shared" ref="K78:V78" si="152">IF(K56=0,0,K56/K67)</f>
        <v>0.25190060418457755</v>
      </c>
      <c r="L78" s="30">
        <f t="shared" si="152"/>
        <v>0.27619655386389635</v>
      </c>
      <c r="M78" s="30">
        <f t="shared" si="152"/>
        <v>0.25107520135667666</v>
      </c>
      <c r="N78" s="30">
        <f t="shared" si="152"/>
        <v>0.25105948855587112</v>
      </c>
      <c r="O78" s="30">
        <f t="shared" si="152"/>
        <v>0.24866726647792683</v>
      </c>
      <c r="P78" s="30">
        <f t="shared" si="152"/>
        <v>0.27335605064398438</v>
      </c>
      <c r="Q78" s="30">
        <f t="shared" si="152"/>
        <v>0.27798088660015791</v>
      </c>
      <c r="R78" s="30">
        <f t="shared" si="152"/>
        <v>0.28699590866741964</v>
      </c>
      <c r="S78" s="30">
        <f t="shared" si="152"/>
        <v>0.28272591119270574</v>
      </c>
      <c r="T78" s="30">
        <f t="shared" si="152"/>
        <v>0.31357898238555204</v>
      </c>
      <c r="U78" s="30">
        <f t="shared" si="152"/>
        <v>0.31863717830932486</v>
      </c>
      <c r="V78" s="30">
        <f t="shared" si="152"/>
        <v>0.3309139246153423</v>
      </c>
      <c r="W78" s="30">
        <f t="shared" ref="W78:Y78" si="153">IF(W56=0,0,W56/W67)</f>
        <v>0.31343236581720074</v>
      </c>
      <c r="X78" s="30">
        <f t="shared" si="153"/>
        <v>0.21987773157041171</v>
      </c>
      <c r="Y78" s="30">
        <f t="shared" si="153"/>
        <v>0.23372182633267213</v>
      </c>
      <c r="DA78" s="173"/>
    </row>
    <row r="79" spans="1:105" ht="11.45" customHeight="1" x14ac:dyDescent="0.25">
      <c r="A79" s="83" t="s">
        <v>92</v>
      </c>
      <c r="B79" s="120">
        <f t="shared" si="141"/>
        <v>0.28972950563951977</v>
      </c>
      <c r="C79" s="120">
        <f t="shared" si="141"/>
        <v>0.28527834058200952</v>
      </c>
      <c r="D79" s="120">
        <f t="shared" si="141"/>
        <v>0.29329938123047533</v>
      </c>
      <c r="E79" s="120">
        <f t="shared" si="141"/>
        <v>0.2950532078393639</v>
      </c>
      <c r="F79" s="120">
        <f t="shared" si="141"/>
        <v>0.28062561799089841</v>
      </c>
      <c r="G79" s="120">
        <f t="shared" si="141"/>
        <v>0.2871396827090677</v>
      </c>
      <c r="H79" s="120">
        <f t="shared" si="141"/>
        <v>0.29265102206610977</v>
      </c>
      <c r="I79" s="120">
        <f t="shared" si="141"/>
        <v>0.30474026541898241</v>
      </c>
      <c r="J79" s="120">
        <f t="shared" si="141"/>
        <v>0.32927606778872209</v>
      </c>
      <c r="K79" s="120">
        <f t="shared" ref="K79:V79" si="154">IF(K57=0,0,K57/K68)</f>
        <v>0.33119890118291823</v>
      </c>
      <c r="L79" s="120">
        <f t="shared" si="154"/>
        <v>0.34856503690818141</v>
      </c>
      <c r="M79" s="120">
        <f t="shared" si="154"/>
        <v>0.31030836882374246</v>
      </c>
      <c r="N79" s="120">
        <f t="shared" si="154"/>
        <v>0.31668584735728172</v>
      </c>
      <c r="O79" s="120">
        <f t="shared" si="154"/>
        <v>0.31070042923306024</v>
      </c>
      <c r="P79" s="120">
        <f t="shared" si="154"/>
        <v>0.32770871278595481</v>
      </c>
      <c r="Q79" s="120">
        <f t="shared" si="154"/>
        <v>0.31892088981728911</v>
      </c>
      <c r="R79" s="120">
        <f t="shared" si="154"/>
        <v>0.31969814335302854</v>
      </c>
      <c r="S79" s="120">
        <f t="shared" si="154"/>
        <v>0.35834621079608797</v>
      </c>
      <c r="T79" s="120">
        <f t="shared" si="154"/>
        <v>0.3497362171471361</v>
      </c>
      <c r="U79" s="120">
        <f t="shared" si="154"/>
        <v>0.33679995691777442</v>
      </c>
      <c r="V79" s="120">
        <f t="shared" si="154"/>
        <v>0.27770160827429313</v>
      </c>
      <c r="W79" s="120">
        <f t="shared" ref="W79:Y79" si="155">IF(W57=0,0,W57/W68)</f>
        <v>0.26747040267364175</v>
      </c>
      <c r="X79" s="120">
        <f t="shared" si="155"/>
        <v>0.2786155219534221</v>
      </c>
      <c r="Y79" s="120">
        <f t="shared" si="155"/>
        <v>0.31360912905880695</v>
      </c>
      <c r="DA79" s="171"/>
    </row>
    <row r="80" spans="1:105" ht="11.45" customHeight="1" x14ac:dyDescent="0.25">
      <c r="A80" s="85" t="s">
        <v>93</v>
      </c>
      <c r="B80" s="122">
        <f t="shared" si="141"/>
        <v>0.21719725772196108</v>
      </c>
      <c r="C80" s="122">
        <f t="shared" si="141"/>
        <v>0.2275815573279345</v>
      </c>
      <c r="D80" s="122">
        <f t="shared" si="141"/>
        <v>0.22645668376649203</v>
      </c>
      <c r="E80" s="122">
        <f t="shared" si="141"/>
        <v>0.2374343688816295</v>
      </c>
      <c r="F80" s="122">
        <f t="shared" si="141"/>
        <v>0.22335494013986512</v>
      </c>
      <c r="G80" s="122">
        <f t="shared" si="141"/>
        <v>0.2284867327341871</v>
      </c>
      <c r="H80" s="122">
        <f t="shared" si="141"/>
        <v>0.22351063239467464</v>
      </c>
      <c r="I80" s="122">
        <f t="shared" si="141"/>
        <v>0.211368578036086</v>
      </c>
      <c r="J80" s="122">
        <f t="shared" si="141"/>
        <v>0.25333013309900387</v>
      </c>
      <c r="K80" s="122">
        <f t="shared" ref="K80:V80" si="156">IF(K58=0,0,K58/K69)</f>
        <v>0.24632272522225884</v>
      </c>
      <c r="L80" s="122">
        <f t="shared" si="156"/>
        <v>0.27101330009686864</v>
      </c>
      <c r="M80" s="122">
        <f t="shared" si="156"/>
        <v>0.24657895087413798</v>
      </c>
      <c r="N80" s="122">
        <f t="shared" si="156"/>
        <v>0.24680093407649809</v>
      </c>
      <c r="O80" s="122">
        <f t="shared" si="156"/>
        <v>0.24443629021443652</v>
      </c>
      <c r="P80" s="122">
        <f t="shared" si="156"/>
        <v>0.27015109484807404</v>
      </c>
      <c r="Q80" s="122">
        <f t="shared" si="156"/>
        <v>0.27536755754848219</v>
      </c>
      <c r="R80" s="122">
        <f t="shared" si="156"/>
        <v>0.28498774002042015</v>
      </c>
      <c r="S80" s="122">
        <f t="shared" si="156"/>
        <v>0.27905866175072758</v>
      </c>
      <c r="T80" s="122">
        <f t="shared" si="156"/>
        <v>0.31144957524787181</v>
      </c>
      <c r="U80" s="122">
        <f t="shared" si="156"/>
        <v>0.31752258099706665</v>
      </c>
      <c r="V80" s="122">
        <f t="shared" si="156"/>
        <v>0.33451012763072946</v>
      </c>
      <c r="W80" s="122">
        <f t="shared" ref="W80:Y80" si="157">IF(W58=0,0,W58/W69)</f>
        <v>0.3158952190475971</v>
      </c>
      <c r="X80" s="122">
        <f t="shared" si="157"/>
        <v>0.21706324081232856</v>
      </c>
      <c r="Y80" s="122">
        <f t="shared" si="157"/>
        <v>0.22983575398347697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159460.06706799904</v>
      </c>
      <c r="C82" s="54">
        <f t="shared" si="158"/>
        <v>159298.95020483408</v>
      </c>
      <c r="D82" s="54">
        <f t="shared" si="158"/>
        <v>160688.9500006022</v>
      </c>
      <c r="E82" s="54">
        <f t="shared" si="158"/>
        <v>159662.25236920343</v>
      </c>
      <c r="F82" s="54">
        <f t="shared" si="158"/>
        <v>158398.93644219419</v>
      </c>
      <c r="G82" s="54">
        <f t="shared" si="158"/>
        <v>158423.30713416464</v>
      </c>
      <c r="H82" s="54">
        <f t="shared" si="158"/>
        <v>158650.56164874669</v>
      </c>
      <c r="I82" s="54">
        <f t="shared" si="158"/>
        <v>159005.91587042718</v>
      </c>
      <c r="J82" s="54">
        <f t="shared" si="158"/>
        <v>150579.3421254112</v>
      </c>
      <c r="K82" s="54">
        <f t="shared" ref="K82:V82" si="159">IF(K14=0,0,K14/K25*1000000)</f>
        <v>154803.79731568656</v>
      </c>
      <c r="L82" s="54">
        <f t="shared" si="159"/>
        <v>157945.22153161973</v>
      </c>
      <c r="M82" s="54">
        <f t="shared" si="159"/>
        <v>157583.14590823589</v>
      </c>
      <c r="N82" s="54">
        <f t="shared" si="159"/>
        <v>157129.90949349111</v>
      </c>
      <c r="O82" s="54">
        <f t="shared" si="159"/>
        <v>156344.37813607047</v>
      </c>
      <c r="P82" s="54">
        <f t="shared" si="159"/>
        <v>157393.5664225363</v>
      </c>
      <c r="Q82" s="54">
        <f t="shared" si="159"/>
        <v>156372.6744199729</v>
      </c>
      <c r="R82" s="54">
        <f t="shared" si="159"/>
        <v>156090.56947712999</v>
      </c>
      <c r="S82" s="54">
        <f t="shared" si="159"/>
        <v>149935.59132685905</v>
      </c>
      <c r="T82" s="54">
        <f t="shared" si="159"/>
        <v>156466.06084190906</v>
      </c>
      <c r="U82" s="54">
        <f t="shared" si="159"/>
        <v>157644.7852639624</v>
      </c>
      <c r="V82" s="54">
        <f t="shared" si="159"/>
        <v>154288.17323082068</v>
      </c>
      <c r="W82" s="54">
        <f t="shared" ref="W82:Y82" si="160">IF(W14=0,0,W14/W25*1000000)</f>
        <v>155228.53806602763</v>
      </c>
      <c r="X82" s="54">
        <f t="shared" si="160"/>
        <v>157298.39745504092</v>
      </c>
      <c r="Y82" s="54">
        <f t="shared" si="160"/>
        <v>158068.91363014231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147867.81092112893</v>
      </c>
      <c r="C83" s="28">
        <f t="shared" si="161"/>
        <v>148616.40102569477</v>
      </c>
      <c r="D83" s="28">
        <f t="shared" si="161"/>
        <v>150248.80234416947</v>
      </c>
      <c r="E83" s="28">
        <f t="shared" si="161"/>
        <v>149148.42859304452</v>
      </c>
      <c r="F83" s="28">
        <f t="shared" si="161"/>
        <v>147087.65531973526</v>
      </c>
      <c r="G83" s="28">
        <f t="shared" si="161"/>
        <v>146551.7985916188</v>
      </c>
      <c r="H83" s="28">
        <f t="shared" si="161"/>
        <v>146814.48496079189</v>
      </c>
      <c r="I83" s="28">
        <f t="shared" si="161"/>
        <v>146686.89270512279</v>
      </c>
      <c r="J83" s="28">
        <f t="shared" si="161"/>
        <v>142189.83892498611</v>
      </c>
      <c r="K83" s="28">
        <f t="shared" ref="K83:V83" si="162">IF(K15=0,0,K15/K26*1000000)</f>
        <v>148430.89422009152</v>
      </c>
      <c r="L83" s="28">
        <f t="shared" si="162"/>
        <v>147719.95973892024</v>
      </c>
      <c r="M83" s="28">
        <f t="shared" si="162"/>
        <v>147556.93882491637</v>
      </c>
      <c r="N83" s="28">
        <f t="shared" si="162"/>
        <v>148043.57708609867</v>
      </c>
      <c r="O83" s="28">
        <f t="shared" si="162"/>
        <v>147824.34469499809</v>
      </c>
      <c r="P83" s="28">
        <f t="shared" si="162"/>
        <v>149639.79072360913</v>
      </c>
      <c r="Q83" s="28">
        <f t="shared" si="162"/>
        <v>148853.87140253183</v>
      </c>
      <c r="R83" s="28">
        <f t="shared" si="162"/>
        <v>148871.31690555823</v>
      </c>
      <c r="S83" s="28">
        <f t="shared" si="162"/>
        <v>141162.29284045228</v>
      </c>
      <c r="T83" s="28">
        <f t="shared" si="162"/>
        <v>149404.18042846947</v>
      </c>
      <c r="U83" s="28">
        <f t="shared" si="162"/>
        <v>150798.93050624582</v>
      </c>
      <c r="V83" s="28">
        <f t="shared" si="162"/>
        <v>146854.29185494262</v>
      </c>
      <c r="W83" s="28">
        <f t="shared" ref="W83:Y83" si="163">IF(W15=0,0,W15/W26*1000000)</f>
        <v>147846.38714101192</v>
      </c>
      <c r="X83" s="28">
        <f t="shared" si="163"/>
        <v>146674.92642336513</v>
      </c>
      <c r="Y83" s="28">
        <f t="shared" si="163"/>
        <v>149740.57630641462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109999.99966588494</v>
      </c>
      <c r="C84" s="108">
        <f t="shared" si="161"/>
        <v>109999.99970267608</v>
      </c>
      <c r="D84" s="108">
        <f t="shared" si="161"/>
        <v>109999.99990212411</v>
      </c>
      <c r="E84" s="108">
        <f t="shared" si="161"/>
        <v>109999.99967291419</v>
      </c>
      <c r="F84" s="108">
        <f t="shared" si="161"/>
        <v>109999.99998099983</v>
      </c>
      <c r="G84" s="108">
        <f t="shared" si="161"/>
        <v>109999.99991871792</v>
      </c>
      <c r="H84" s="108">
        <f t="shared" si="161"/>
        <v>109999.99975923634</v>
      </c>
      <c r="I84" s="108">
        <f t="shared" si="161"/>
        <v>109999.99959259671</v>
      </c>
      <c r="J84" s="108">
        <f t="shared" si="161"/>
        <v>109999.99973196181</v>
      </c>
      <c r="K84" s="108">
        <f t="shared" ref="K84:V84" si="164">IF(K16=0,0,K16/K27*1000000)</f>
        <v>109999.99987410154</v>
      </c>
      <c r="L84" s="108">
        <f t="shared" si="164"/>
        <v>109999.9998644501</v>
      </c>
      <c r="M84" s="108">
        <f t="shared" si="164"/>
        <v>109999.99970011167</v>
      </c>
      <c r="N84" s="108">
        <f t="shared" si="164"/>
        <v>109999.99993883059</v>
      </c>
      <c r="O84" s="108">
        <f t="shared" si="164"/>
        <v>109999.99977761148</v>
      </c>
      <c r="P84" s="108">
        <f t="shared" si="164"/>
        <v>109999.99996717174</v>
      </c>
      <c r="Q84" s="108">
        <f t="shared" si="164"/>
        <v>109999.99991610748</v>
      </c>
      <c r="R84" s="108">
        <f t="shared" si="164"/>
        <v>109999.99995547583</v>
      </c>
      <c r="S84" s="108">
        <f t="shared" si="164"/>
        <v>109999.99974091227</v>
      </c>
      <c r="T84" s="108">
        <f t="shared" si="164"/>
        <v>109999.99971355057</v>
      </c>
      <c r="U84" s="108">
        <f t="shared" si="164"/>
        <v>109999.99978060518</v>
      </c>
      <c r="V84" s="108">
        <f t="shared" si="164"/>
        <v>109999.99994056982</v>
      </c>
      <c r="W84" s="108">
        <f t="shared" ref="W84:Y84" si="165">IF(W16=0,0,W16/W27*1000000)</f>
        <v>109999.99964591254</v>
      </c>
      <c r="X84" s="108">
        <f t="shared" si="165"/>
        <v>108093.9639043529</v>
      </c>
      <c r="Y84" s="108">
        <f t="shared" si="165"/>
        <v>109999.99980891006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149999.99945886337</v>
      </c>
      <c r="C85" s="110">
        <f t="shared" si="161"/>
        <v>149999.99957296232</v>
      </c>
      <c r="D85" s="110">
        <f t="shared" si="161"/>
        <v>149999.99962055855</v>
      </c>
      <c r="E85" s="110">
        <f t="shared" si="161"/>
        <v>148551.67341188079</v>
      </c>
      <c r="F85" s="110">
        <f t="shared" si="161"/>
        <v>145497.53920494745</v>
      </c>
      <c r="G85" s="110">
        <f t="shared" si="161"/>
        <v>145068.48179075081</v>
      </c>
      <c r="H85" s="110">
        <f t="shared" si="161"/>
        <v>147773.09987316275</v>
      </c>
      <c r="I85" s="110">
        <f t="shared" si="161"/>
        <v>148246.01247433206</v>
      </c>
      <c r="J85" s="110">
        <f t="shared" si="161"/>
        <v>140681.31922143427</v>
      </c>
      <c r="K85" s="110">
        <f t="shared" ref="K85:V85" si="166">IF(K17=0,0,K17/K28*1000000)</f>
        <v>149999.99983758802</v>
      </c>
      <c r="L85" s="110">
        <f t="shared" si="166"/>
        <v>149784.19806350983</v>
      </c>
      <c r="M85" s="110">
        <f t="shared" si="166"/>
        <v>149258.16098307227</v>
      </c>
      <c r="N85" s="110">
        <f t="shared" si="166"/>
        <v>149999.99977609806</v>
      </c>
      <c r="O85" s="110">
        <f t="shared" si="166"/>
        <v>149156.69644506928</v>
      </c>
      <c r="P85" s="110">
        <f t="shared" si="166"/>
        <v>149999.99971596673</v>
      </c>
      <c r="Q85" s="110">
        <f t="shared" si="166"/>
        <v>149999.9997114302</v>
      </c>
      <c r="R85" s="110">
        <f t="shared" si="166"/>
        <v>149999.99988314189</v>
      </c>
      <c r="S85" s="110">
        <f t="shared" si="166"/>
        <v>137171.40162432668</v>
      </c>
      <c r="T85" s="110">
        <f t="shared" si="166"/>
        <v>149999.99974158872</v>
      </c>
      <c r="U85" s="110">
        <f t="shared" si="166"/>
        <v>149999.99980573475</v>
      </c>
      <c r="V85" s="110">
        <f t="shared" si="166"/>
        <v>149129.99268793152</v>
      </c>
      <c r="W85" s="110">
        <f t="shared" ref="W85:Y85" si="167">IF(W17=0,0,W17/W28*1000000)</f>
        <v>149191.91527673355</v>
      </c>
      <c r="X85" s="110">
        <f t="shared" si="167"/>
        <v>146565.90554858313</v>
      </c>
      <c r="Y85" s="110">
        <f t="shared" si="167"/>
        <v>149999.99985496933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149999.99414805369</v>
      </c>
      <c r="C86" s="84">
        <f t="shared" si="161"/>
        <v>149999.9947017043</v>
      </c>
      <c r="D86" s="84">
        <f t="shared" si="161"/>
        <v>149999.99818614993</v>
      </c>
      <c r="E86" s="84">
        <f t="shared" si="161"/>
        <v>129726.88822171022</v>
      </c>
      <c r="F86" s="84">
        <f t="shared" si="161"/>
        <v>77608.454406067453</v>
      </c>
      <c r="G86" s="84">
        <f t="shared" si="161"/>
        <v>68443.248295557423</v>
      </c>
      <c r="H86" s="84">
        <f t="shared" si="161"/>
        <v>108631.93035723371</v>
      </c>
      <c r="I86" s="84">
        <f t="shared" si="161"/>
        <v>112973.76995305084</v>
      </c>
      <c r="J86" s="84">
        <f t="shared" si="161"/>
        <v>149999.99518765273</v>
      </c>
      <c r="K86" s="84">
        <f t="shared" ref="K86:V86" si="168">IF(K18=0,0,K18/K29*1000000)</f>
        <v>149999.99958548089</v>
      </c>
      <c r="L86" s="84">
        <f t="shared" si="168"/>
        <v>145182.25494905646</v>
      </c>
      <c r="M86" s="84">
        <f t="shared" si="168"/>
        <v>129011.62457181298</v>
      </c>
      <c r="N86" s="84">
        <f t="shared" si="168"/>
        <v>149999.99484366737</v>
      </c>
      <c r="O86" s="84">
        <f t="shared" si="168"/>
        <v>124959.99908438444</v>
      </c>
      <c r="P86" s="84">
        <f t="shared" si="168"/>
        <v>149999.99685996433</v>
      </c>
      <c r="Q86" s="84">
        <f t="shared" si="168"/>
        <v>149999.99442274417</v>
      </c>
      <c r="R86" s="84">
        <f t="shared" si="168"/>
        <v>149999.99958040146</v>
      </c>
      <c r="S86" s="84">
        <f t="shared" si="168"/>
        <v>149999.999372655</v>
      </c>
      <c r="T86" s="84">
        <f t="shared" si="168"/>
        <v>149999.99781130196</v>
      </c>
      <c r="U86" s="84">
        <f t="shared" si="168"/>
        <v>149999.99660078128</v>
      </c>
      <c r="V86" s="84">
        <f t="shared" si="168"/>
        <v>149999.99661369776</v>
      </c>
      <c r="W86" s="84">
        <f t="shared" ref="W86:Y86" si="169">IF(W18=0,0,W18/W29*1000000)</f>
        <v>119455.87117652982</v>
      </c>
      <c r="X86" s="84">
        <f t="shared" si="169"/>
        <v>143766.07334590456</v>
      </c>
      <c r="Y86" s="84">
        <f t="shared" si="169"/>
        <v>149999.99691412054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149999.9997319635</v>
      </c>
      <c r="C87" s="84">
        <f t="shared" si="161"/>
        <v>149999.99986405348</v>
      </c>
      <c r="D87" s="84">
        <f t="shared" si="161"/>
        <v>149999.99974201675</v>
      </c>
      <c r="E87" s="84">
        <f t="shared" si="161"/>
        <v>149999.99994525706</v>
      </c>
      <c r="F87" s="84">
        <f t="shared" si="161"/>
        <v>149999.99973877775</v>
      </c>
      <c r="G87" s="84">
        <f t="shared" si="161"/>
        <v>149999.99968947523</v>
      </c>
      <c r="H87" s="84">
        <f t="shared" si="161"/>
        <v>149999.99981102004</v>
      </c>
      <c r="I87" s="84">
        <f t="shared" si="161"/>
        <v>149999.99993655342</v>
      </c>
      <c r="J87" s="84">
        <f t="shared" si="161"/>
        <v>140189.43058307428</v>
      </c>
      <c r="K87" s="84">
        <f t="shared" ref="K87:V87" si="170">IF(K19=0,0,K19/K30*1000000)</f>
        <v>149999.99985033306</v>
      </c>
      <c r="L87" s="84">
        <f t="shared" si="170"/>
        <v>149999.99977609867</v>
      </c>
      <c r="M87" s="84">
        <f t="shared" si="170"/>
        <v>149999.99975704166</v>
      </c>
      <c r="N87" s="84">
        <f t="shared" si="170"/>
        <v>149999.99997964504</v>
      </c>
      <c r="O87" s="84">
        <f t="shared" si="170"/>
        <v>149999.99996502485</v>
      </c>
      <c r="P87" s="84">
        <f t="shared" si="170"/>
        <v>149999.99981096323</v>
      </c>
      <c r="Q87" s="84">
        <f t="shared" si="170"/>
        <v>149999.99987137193</v>
      </c>
      <c r="R87" s="84">
        <f t="shared" si="170"/>
        <v>149999.99989186521</v>
      </c>
      <c r="S87" s="84">
        <f t="shared" si="170"/>
        <v>136733.97827168638</v>
      </c>
      <c r="T87" s="84">
        <f t="shared" si="170"/>
        <v>149999.99980656925</v>
      </c>
      <c r="U87" s="84">
        <f t="shared" si="170"/>
        <v>149999.99992302887</v>
      </c>
      <c r="V87" s="84">
        <f t="shared" si="170"/>
        <v>149099.00165568481</v>
      </c>
      <c r="W87" s="84">
        <f t="shared" ref="W87:Y87" si="171">IF(W19=0,0,W19/W30*1000000)</f>
        <v>149999.99981953588</v>
      </c>
      <c r="X87" s="84">
        <f t="shared" si="171"/>
        <v>146637.59161525004</v>
      </c>
      <c r="Y87" s="84">
        <f t="shared" si="171"/>
        <v>149999.99992697849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449999.99371568573</v>
      </c>
      <c r="C88" s="113">
        <f t="shared" si="161"/>
        <v>449999.99997129757</v>
      </c>
      <c r="D88" s="113">
        <f t="shared" si="161"/>
        <v>449999.99087996886</v>
      </c>
      <c r="E88" s="113">
        <f t="shared" si="161"/>
        <v>449999.99198996817</v>
      </c>
      <c r="F88" s="113">
        <f t="shared" si="161"/>
        <v>449999.99993402098</v>
      </c>
      <c r="G88" s="113">
        <f t="shared" si="161"/>
        <v>449999.99840198871</v>
      </c>
      <c r="H88" s="113">
        <f t="shared" si="161"/>
        <v>449999.98810422985</v>
      </c>
      <c r="I88" s="113">
        <f t="shared" si="161"/>
        <v>449999.98818454641</v>
      </c>
      <c r="J88" s="113">
        <f t="shared" si="161"/>
        <v>449999.99178832129</v>
      </c>
      <c r="K88" s="113">
        <f t="shared" ref="K88:V88" si="172">IF(K20=0,0,K20/K31*1000000)</f>
        <v>449999.99366197194</v>
      </c>
      <c r="L88" s="113">
        <f t="shared" si="172"/>
        <v>449999.99510869576</v>
      </c>
      <c r="M88" s="113">
        <f t="shared" si="172"/>
        <v>449999.99366197194</v>
      </c>
      <c r="N88" s="113">
        <f t="shared" si="172"/>
        <v>450000</v>
      </c>
      <c r="O88" s="113">
        <f t="shared" si="172"/>
        <v>449999.98977272754</v>
      </c>
      <c r="P88" s="113">
        <f t="shared" si="172"/>
        <v>449999.99349711003</v>
      </c>
      <c r="Q88" s="113">
        <f t="shared" si="172"/>
        <v>449999.99590909103</v>
      </c>
      <c r="R88" s="113">
        <f t="shared" si="172"/>
        <v>449999.99084302346</v>
      </c>
      <c r="S88" s="113">
        <f t="shared" si="172"/>
        <v>449999.9902702705</v>
      </c>
      <c r="T88" s="113">
        <f t="shared" si="172"/>
        <v>449999.99640000012</v>
      </c>
      <c r="U88" s="113">
        <f t="shared" si="172"/>
        <v>449999.99711820006</v>
      </c>
      <c r="V88" s="113">
        <f t="shared" si="172"/>
        <v>387292.50185880408</v>
      </c>
      <c r="W88" s="113">
        <f t="shared" ref="W88:Y88" si="173">IF(W20=0,0,W20/W31*1000000)</f>
        <v>426226.86956433934</v>
      </c>
      <c r="X88" s="113">
        <f t="shared" si="173"/>
        <v>449999.9880789317</v>
      </c>
      <c r="Y88" s="113">
        <f t="shared" si="173"/>
        <v>449999.98807893181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199999.99912316355</v>
      </c>
      <c r="C89" s="28">
        <f t="shared" si="161"/>
        <v>199999.99876544316</v>
      </c>
      <c r="D89" s="28">
        <f t="shared" si="161"/>
        <v>199999.99946051906</v>
      </c>
      <c r="E89" s="28">
        <f t="shared" si="161"/>
        <v>199999.99881300938</v>
      </c>
      <c r="F89" s="28">
        <f t="shared" si="161"/>
        <v>199999.99956025439</v>
      </c>
      <c r="G89" s="28">
        <f t="shared" si="161"/>
        <v>199999.9995661921</v>
      </c>
      <c r="H89" s="28">
        <f t="shared" si="161"/>
        <v>199999.99913706389</v>
      </c>
      <c r="I89" s="28">
        <f t="shared" si="161"/>
        <v>199999.99906731246</v>
      </c>
      <c r="J89" s="28">
        <f t="shared" si="161"/>
        <v>179261.34155110363</v>
      </c>
      <c r="K89" s="28">
        <f t="shared" ref="K89:V89" si="174">IF(K21=0,0,K21/K32*1000000)</f>
        <v>179694.53509001472</v>
      </c>
      <c r="L89" s="28">
        <f t="shared" si="174"/>
        <v>199999.99902296765</v>
      </c>
      <c r="M89" s="28">
        <f t="shared" si="174"/>
        <v>199999.99892286595</v>
      </c>
      <c r="N89" s="28">
        <f t="shared" si="174"/>
        <v>198975.41948785572</v>
      </c>
      <c r="O89" s="28">
        <f t="shared" si="174"/>
        <v>199999.99948062029</v>
      </c>
      <c r="P89" s="28">
        <f t="shared" si="174"/>
        <v>198917.35403995996</v>
      </c>
      <c r="Q89" s="28">
        <f t="shared" si="174"/>
        <v>199999.99858380144</v>
      </c>
      <c r="R89" s="28">
        <f t="shared" si="174"/>
        <v>199999.99887797094</v>
      </c>
      <c r="S89" s="28">
        <f t="shared" si="174"/>
        <v>199689.3545603753</v>
      </c>
      <c r="T89" s="28">
        <f t="shared" si="174"/>
        <v>199999.9995718585</v>
      </c>
      <c r="U89" s="28">
        <f t="shared" si="174"/>
        <v>199999.9990322793</v>
      </c>
      <c r="V89" s="28">
        <f t="shared" si="174"/>
        <v>199999.99902380197</v>
      </c>
      <c r="W89" s="28">
        <f t="shared" ref="W89:Y89" si="175">IF(W21=0,0,W21/W32*1000000)</f>
        <v>199999.998171763</v>
      </c>
      <c r="X89" s="28">
        <f t="shared" si="175"/>
        <v>199999.99914255785</v>
      </c>
      <c r="Y89" s="28">
        <f t="shared" si="175"/>
        <v>194185.78001056623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199999.99059379505</v>
      </c>
      <c r="C90" s="84">
        <f t="shared" si="161"/>
        <v>199999.99254076739</v>
      </c>
      <c r="D90" s="84">
        <f t="shared" si="161"/>
        <v>199999.99645555532</v>
      </c>
      <c r="E90" s="84">
        <f t="shared" si="161"/>
        <v>199999.99718629973</v>
      </c>
      <c r="F90" s="84">
        <f t="shared" si="161"/>
        <v>199999.9993877738</v>
      </c>
      <c r="G90" s="84">
        <f t="shared" si="161"/>
        <v>199999.99736069664</v>
      </c>
      <c r="H90" s="84">
        <f t="shared" si="161"/>
        <v>199999.99001135083</v>
      </c>
      <c r="I90" s="84">
        <f t="shared" si="161"/>
        <v>199999.98963779261</v>
      </c>
      <c r="J90" s="84">
        <f t="shared" si="161"/>
        <v>199999.98983780787</v>
      </c>
      <c r="K90" s="84">
        <f t="shared" ref="K90:V90" si="176">IF(K22=0,0,K22/K33*1000000)</f>
        <v>186722.00669893986</v>
      </c>
      <c r="L90" s="84">
        <f t="shared" si="176"/>
        <v>199999.9907839816</v>
      </c>
      <c r="M90" s="84">
        <f t="shared" si="176"/>
        <v>199999.98767245942</v>
      </c>
      <c r="N90" s="84">
        <f t="shared" si="176"/>
        <v>184416.4140830673</v>
      </c>
      <c r="O90" s="84">
        <f t="shared" si="176"/>
        <v>199999.9928876099</v>
      </c>
      <c r="P90" s="84">
        <f t="shared" si="176"/>
        <v>182191.68030852391</v>
      </c>
      <c r="Q90" s="84">
        <f t="shared" si="176"/>
        <v>199999.99227037924</v>
      </c>
      <c r="R90" s="84">
        <f t="shared" si="176"/>
        <v>199999.99455824945</v>
      </c>
      <c r="S90" s="84">
        <f t="shared" si="176"/>
        <v>193492.16510348639</v>
      </c>
      <c r="T90" s="84">
        <f t="shared" si="176"/>
        <v>199999.9932060315</v>
      </c>
      <c r="U90" s="84">
        <f t="shared" si="176"/>
        <v>199999.98486306259</v>
      </c>
      <c r="V90" s="84">
        <f t="shared" si="176"/>
        <v>199999.9920315223</v>
      </c>
      <c r="W90" s="84">
        <f t="shared" ref="W90:Y90" si="177">IF(W22=0,0,W22/W33*1000000)</f>
        <v>199999.98156302504</v>
      </c>
      <c r="X90" s="84">
        <f t="shared" si="177"/>
        <v>199999.99286382261</v>
      </c>
      <c r="Y90" s="84">
        <f t="shared" si="177"/>
        <v>199999.98348745258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199999.99977569279</v>
      </c>
      <c r="C91" s="86">
        <f t="shared" si="161"/>
        <v>199999.99923864394</v>
      </c>
      <c r="D91" s="86">
        <f t="shared" si="161"/>
        <v>199999.99967133754</v>
      </c>
      <c r="E91" s="86">
        <f t="shared" si="161"/>
        <v>199999.99893777687</v>
      </c>
      <c r="F91" s="86">
        <f t="shared" si="161"/>
        <v>199999.99957357024</v>
      </c>
      <c r="G91" s="86">
        <f t="shared" si="161"/>
        <v>199999.99974586733</v>
      </c>
      <c r="H91" s="86">
        <f t="shared" si="161"/>
        <v>199999.99980264038</v>
      </c>
      <c r="I91" s="86">
        <f t="shared" si="161"/>
        <v>199999.99967387854</v>
      </c>
      <c r="J91" s="86">
        <f t="shared" si="161"/>
        <v>177844.79082690494</v>
      </c>
      <c r="K91" s="86">
        <f t="shared" ref="K91:V91" si="178">IF(K23=0,0,K23/K34*1000000)</f>
        <v>179220.07959053994</v>
      </c>
      <c r="L91" s="86">
        <f t="shared" si="178"/>
        <v>199999.99961306926</v>
      </c>
      <c r="M91" s="86">
        <f t="shared" si="178"/>
        <v>199999.99977685796</v>
      </c>
      <c r="N91" s="86">
        <f t="shared" si="178"/>
        <v>199999.9998519404</v>
      </c>
      <c r="O91" s="86">
        <f t="shared" si="178"/>
        <v>199999.99993029702</v>
      </c>
      <c r="P91" s="86">
        <f t="shared" si="178"/>
        <v>199999.9995968439</v>
      </c>
      <c r="Q91" s="86">
        <f t="shared" si="178"/>
        <v>199999.99898680701</v>
      </c>
      <c r="R91" s="86">
        <f t="shared" si="178"/>
        <v>199999.99914323504</v>
      </c>
      <c r="S91" s="86">
        <f t="shared" si="178"/>
        <v>199999.99889664087</v>
      </c>
      <c r="T91" s="86">
        <f t="shared" si="178"/>
        <v>199999.99994676097</v>
      </c>
      <c r="U91" s="86">
        <f t="shared" si="178"/>
        <v>199999.99990180327</v>
      </c>
      <c r="V91" s="86">
        <f t="shared" si="178"/>
        <v>199999.99949635533</v>
      </c>
      <c r="W91" s="86">
        <f t="shared" ref="W91:Y91" si="179">IF(W23=0,0,W23/W34*1000000)</f>
        <v>199999.99906173561</v>
      </c>
      <c r="X91" s="86">
        <f t="shared" si="179"/>
        <v>199999.99944341087</v>
      </c>
      <c r="Y91" s="86">
        <f t="shared" si="179"/>
        <v>193911.56129419903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14020417.256969081</v>
      </c>
      <c r="C94" s="28">
        <f t="shared" si="180"/>
        <v>14447108.880422529</v>
      </c>
      <c r="D94" s="28">
        <f t="shared" si="180"/>
        <v>14575593.718106082</v>
      </c>
      <c r="E94" s="28">
        <f t="shared" si="180"/>
        <v>14194749.939855188</v>
      </c>
      <c r="F94" s="28">
        <f t="shared" si="180"/>
        <v>13266636.410631862</v>
      </c>
      <c r="G94" s="28">
        <f t="shared" si="180"/>
        <v>14076892.129012719</v>
      </c>
      <c r="H94" s="28">
        <f t="shared" si="180"/>
        <v>14482482.833986148</v>
      </c>
      <c r="I94" s="28">
        <f t="shared" si="180"/>
        <v>14684430.372020449</v>
      </c>
      <c r="J94" s="28">
        <f t="shared" si="180"/>
        <v>16635552.652522154</v>
      </c>
      <c r="K94" s="28">
        <f t="shared" ref="K94:V94" si="181">IF(K4=0,0,K4/K26*1000000)</f>
        <v>16186266.339046607</v>
      </c>
      <c r="L94" s="28">
        <f t="shared" si="181"/>
        <v>16149618.256742073</v>
      </c>
      <c r="M94" s="28">
        <f t="shared" si="181"/>
        <v>14956210.827862965</v>
      </c>
      <c r="N94" s="28">
        <f t="shared" si="181"/>
        <v>14637974.866341908</v>
      </c>
      <c r="O94" s="28">
        <f t="shared" si="181"/>
        <v>13890990.80589232</v>
      </c>
      <c r="P94" s="28">
        <f t="shared" si="181"/>
        <v>14582082.949423924</v>
      </c>
      <c r="Q94" s="28">
        <f t="shared" si="181"/>
        <v>14815378.553078249</v>
      </c>
      <c r="R94" s="28">
        <f t="shared" si="181"/>
        <v>14264947.74046394</v>
      </c>
      <c r="S94" s="28">
        <f t="shared" si="181"/>
        <v>15296298.345773207</v>
      </c>
      <c r="T94" s="28">
        <f t="shared" si="181"/>
        <v>15262623.209620673</v>
      </c>
      <c r="U94" s="28">
        <f t="shared" si="181"/>
        <v>16859952.903895609</v>
      </c>
      <c r="V94" s="28">
        <f t="shared" si="181"/>
        <v>10042823.511974011</v>
      </c>
      <c r="W94" s="28">
        <f t="shared" ref="W94:Y94" si="182">IF(W4=0,0,W4/W26*1000000)</f>
        <v>8903902.3260187302</v>
      </c>
      <c r="X94" s="28">
        <f t="shared" si="182"/>
        <v>14904245.076085545</v>
      </c>
      <c r="Y94" s="28">
        <f t="shared" si="182"/>
        <v>15623630.517104287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8088507.7327215401</v>
      </c>
      <c r="C95" s="108">
        <f t="shared" si="180"/>
        <v>7965066.8729172256</v>
      </c>
      <c r="D95" s="108">
        <f t="shared" si="180"/>
        <v>8442334.5470385905</v>
      </c>
      <c r="E95" s="108">
        <f t="shared" si="180"/>
        <v>8301397.3429075563</v>
      </c>
      <c r="F95" s="108">
        <f t="shared" si="180"/>
        <v>8303461.923948667</v>
      </c>
      <c r="G95" s="108">
        <f t="shared" si="180"/>
        <v>8418228.3870126419</v>
      </c>
      <c r="H95" s="108">
        <f t="shared" si="180"/>
        <v>8355107.0326123359</v>
      </c>
      <c r="I95" s="108">
        <f t="shared" si="180"/>
        <v>8214132.7202072088</v>
      </c>
      <c r="J95" s="108">
        <f t="shared" si="180"/>
        <v>8374150.0214352449</v>
      </c>
      <c r="K95" s="108">
        <f t="shared" ref="K95:V95" si="183">IF(K5=0,0,K5/K27*1000000)</f>
        <v>8307068.0278341165</v>
      </c>
      <c r="L95" s="108">
        <f t="shared" si="183"/>
        <v>8303644.4961555935</v>
      </c>
      <c r="M95" s="108">
        <f t="shared" si="183"/>
        <v>8313064.8791976152</v>
      </c>
      <c r="N95" s="108">
        <f t="shared" si="183"/>
        <v>8258790.9008310111</v>
      </c>
      <c r="O95" s="108">
        <f t="shared" si="183"/>
        <v>8219847.2215360692</v>
      </c>
      <c r="P95" s="108">
        <f t="shared" si="183"/>
        <v>8216531.9238952994</v>
      </c>
      <c r="Q95" s="108">
        <f t="shared" si="183"/>
        <v>8210171.4289246351</v>
      </c>
      <c r="R95" s="108">
        <f t="shared" si="183"/>
        <v>8223373.6423791088</v>
      </c>
      <c r="S95" s="108">
        <f t="shared" si="183"/>
        <v>8274604.8697209423</v>
      </c>
      <c r="T95" s="108">
        <f t="shared" si="183"/>
        <v>8730146.8144356124</v>
      </c>
      <c r="U95" s="108">
        <f t="shared" si="183"/>
        <v>8752278.2829346731</v>
      </c>
      <c r="V95" s="108">
        <f t="shared" si="183"/>
        <v>5489601.7235736353</v>
      </c>
      <c r="W95" s="108">
        <f t="shared" ref="W95:Y95" si="184">IF(W5=0,0,W5/W27*1000000)</f>
        <v>5156317.6898276825</v>
      </c>
      <c r="X95" s="108">
        <f t="shared" si="184"/>
        <v>7549863.1963733379</v>
      </c>
      <c r="Y95" s="108">
        <f t="shared" si="184"/>
        <v>8222242.3003638508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13564933.3337493</v>
      </c>
      <c r="C96" s="110">
        <f t="shared" si="180"/>
        <v>14069355.468507903</v>
      </c>
      <c r="D96" s="110">
        <f t="shared" si="180"/>
        <v>13582054.40437264</v>
      </c>
      <c r="E96" s="110">
        <f t="shared" si="180"/>
        <v>13120228.039596204</v>
      </c>
      <c r="F96" s="110">
        <f t="shared" si="180"/>
        <v>11779409.240706107</v>
      </c>
      <c r="G96" s="110">
        <f t="shared" si="180"/>
        <v>13017022.637460936</v>
      </c>
      <c r="H96" s="110">
        <f t="shared" si="180"/>
        <v>13541552.876312567</v>
      </c>
      <c r="I96" s="110">
        <f t="shared" si="180"/>
        <v>13588229.224569075</v>
      </c>
      <c r="J96" s="110">
        <f t="shared" si="180"/>
        <v>16089593.423038309</v>
      </c>
      <c r="K96" s="110">
        <f t="shared" ref="K96:V96" si="185">IF(K6=0,0,K6/K28*1000000)</f>
        <v>15411930.26210936</v>
      </c>
      <c r="L96" s="110">
        <f t="shared" si="185"/>
        <v>15601048.710222198</v>
      </c>
      <c r="M96" s="110">
        <f t="shared" si="185"/>
        <v>14153372.732337834</v>
      </c>
      <c r="N96" s="110">
        <f t="shared" si="185"/>
        <v>13640605.629995868</v>
      </c>
      <c r="O96" s="110">
        <f t="shared" si="185"/>
        <v>12613461.763360806</v>
      </c>
      <c r="P96" s="110">
        <f t="shared" si="185"/>
        <v>13413514.080593944</v>
      </c>
      <c r="Q96" s="110">
        <f t="shared" si="185"/>
        <v>13636385.974513363</v>
      </c>
      <c r="R96" s="110">
        <f t="shared" si="185"/>
        <v>12857993.85437841</v>
      </c>
      <c r="S96" s="110">
        <f t="shared" si="185"/>
        <v>14229895.140068023</v>
      </c>
      <c r="T96" s="110">
        <f t="shared" si="185"/>
        <v>14044600.295544403</v>
      </c>
      <c r="U96" s="110">
        <f t="shared" si="185"/>
        <v>15889547.33668658</v>
      </c>
      <c r="V96" s="110">
        <f t="shared" si="185"/>
        <v>10067690.052846801</v>
      </c>
      <c r="W96" s="110">
        <f t="shared" ref="W96:Y96" si="186">IF(W6=0,0,W6/W28*1000000)</f>
        <v>8304074.4969980763</v>
      </c>
      <c r="X96" s="110">
        <f t="shared" si="186"/>
        <v>14329613.478554009</v>
      </c>
      <c r="Y96" s="110">
        <f t="shared" si="186"/>
        <v>14811458.34916153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17224792.402622424</v>
      </c>
      <c r="C97" s="84">
        <f t="shared" si="180"/>
        <v>17129012.616602764</v>
      </c>
      <c r="D97" s="84">
        <f t="shared" si="180"/>
        <v>16467981.102036364</v>
      </c>
      <c r="E97" s="84">
        <f t="shared" si="180"/>
        <v>13348396.612459034</v>
      </c>
      <c r="F97" s="84">
        <f t="shared" si="180"/>
        <v>7993070.6080041425</v>
      </c>
      <c r="G97" s="84">
        <f t="shared" si="180"/>
        <v>7319979.475018179</v>
      </c>
      <c r="H97" s="84">
        <f t="shared" si="180"/>
        <v>11862199.4806384</v>
      </c>
      <c r="I97" s="84">
        <f t="shared" si="180"/>
        <v>12423198.147025902</v>
      </c>
      <c r="J97" s="84">
        <f t="shared" si="180"/>
        <v>16404515.381666541</v>
      </c>
      <c r="K97" s="84">
        <f t="shared" ref="K97:V97" si="187">IF(K7=0,0,K7/K29*1000000)</f>
        <v>16342379.37173247</v>
      </c>
      <c r="L97" s="84">
        <f t="shared" si="187"/>
        <v>16408387.336896332</v>
      </c>
      <c r="M97" s="84">
        <f t="shared" si="187"/>
        <v>13272436.087302538</v>
      </c>
      <c r="N97" s="84">
        <f t="shared" si="187"/>
        <v>15342690.993070429</v>
      </c>
      <c r="O97" s="84">
        <f t="shared" si="187"/>
        <v>12924703.894621203</v>
      </c>
      <c r="P97" s="84">
        <f t="shared" si="187"/>
        <v>15545882.802753568</v>
      </c>
      <c r="Q97" s="84">
        <f t="shared" si="187"/>
        <v>15524843.361527989</v>
      </c>
      <c r="R97" s="84">
        <f t="shared" si="187"/>
        <v>15010862.941338386</v>
      </c>
      <c r="S97" s="84">
        <f t="shared" si="187"/>
        <v>15258700.541315032</v>
      </c>
      <c r="T97" s="84">
        <f t="shared" si="187"/>
        <v>15423989.636487491</v>
      </c>
      <c r="U97" s="84">
        <f t="shared" si="187"/>
        <v>13849527.738805983</v>
      </c>
      <c r="V97" s="84">
        <f t="shared" si="187"/>
        <v>8424082.4656588789</v>
      </c>
      <c r="W97" s="84">
        <f t="shared" ref="W97:Y97" si="188">IF(W7=0,0,W7/W29*1000000)</f>
        <v>7038444.1150548682</v>
      </c>
      <c r="X97" s="84">
        <f t="shared" si="188"/>
        <v>11203882.500214148</v>
      </c>
      <c r="Y97" s="84">
        <f t="shared" si="188"/>
        <v>13531012.278282424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13376730.771073602</v>
      </c>
      <c r="C98" s="84">
        <f t="shared" si="180"/>
        <v>13886519.930307867</v>
      </c>
      <c r="D98" s="84">
        <f t="shared" si="180"/>
        <v>13337689.251158852</v>
      </c>
      <c r="E98" s="84">
        <f t="shared" si="180"/>
        <v>13102673.385196621</v>
      </c>
      <c r="F98" s="84">
        <f t="shared" si="180"/>
        <v>12030522.366062878</v>
      </c>
      <c r="G98" s="84">
        <f t="shared" si="180"/>
        <v>13383678.229148682</v>
      </c>
      <c r="H98" s="84">
        <f t="shared" si="180"/>
        <v>13637098.104488371</v>
      </c>
      <c r="I98" s="84">
        <f t="shared" si="180"/>
        <v>13646162.878826417</v>
      </c>
      <c r="J98" s="84">
        <f t="shared" si="180"/>
        <v>16072970.188795498</v>
      </c>
      <c r="K98" s="84">
        <f t="shared" ref="K98:V98" si="189">IF(K8=0,0,K8/K30*1000000)</f>
        <v>15364892.374391021</v>
      </c>
      <c r="L98" s="84">
        <f t="shared" si="189"/>
        <v>15563189.68981662</v>
      </c>
      <c r="M98" s="84">
        <f t="shared" si="189"/>
        <v>14185650.498145435</v>
      </c>
      <c r="N98" s="84">
        <f t="shared" si="189"/>
        <v>13570365.539727248</v>
      </c>
      <c r="O98" s="84">
        <f t="shared" si="189"/>
        <v>12602614.34972671</v>
      </c>
      <c r="P98" s="84">
        <f t="shared" si="189"/>
        <v>13342587.126182595</v>
      </c>
      <c r="Q98" s="84">
        <f t="shared" si="189"/>
        <v>13579274.788486712</v>
      </c>
      <c r="R98" s="84">
        <f t="shared" si="189"/>
        <v>12795959.945406374</v>
      </c>
      <c r="S98" s="84">
        <f t="shared" si="189"/>
        <v>14194815.428578388</v>
      </c>
      <c r="T98" s="84">
        <f t="shared" si="189"/>
        <v>13998165.009459419</v>
      </c>
      <c r="U98" s="84">
        <f t="shared" si="189"/>
        <v>15964207.483801017</v>
      </c>
      <c r="V98" s="84">
        <f t="shared" si="189"/>
        <v>10126238.174558524</v>
      </c>
      <c r="W98" s="84">
        <f t="shared" ref="W98:Y98" si="190">IF(W8=0,0,W8/W30*1000000)</f>
        <v>8338468.3237324907</v>
      </c>
      <c r="X98" s="84">
        <f t="shared" si="190"/>
        <v>14409643.760040769</v>
      </c>
      <c r="Y98" s="84">
        <f t="shared" si="190"/>
        <v>14842811.146419721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74467328.505507648</v>
      </c>
      <c r="C99" s="113">
        <f t="shared" si="180"/>
        <v>74467329.540704772</v>
      </c>
      <c r="D99" s="113">
        <f t="shared" si="180"/>
        <v>74467328.036244839</v>
      </c>
      <c r="E99" s="113">
        <f t="shared" si="180"/>
        <v>74467328.219930828</v>
      </c>
      <c r="F99" s="113">
        <f t="shared" si="180"/>
        <v>74467329.534536153</v>
      </c>
      <c r="G99" s="113">
        <f t="shared" si="180"/>
        <v>74467329.281010911</v>
      </c>
      <c r="H99" s="113">
        <f t="shared" si="180"/>
        <v>84629907.128363475</v>
      </c>
      <c r="I99" s="113">
        <f t="shared" si="180"/>
        <v>93679667.457773164</v>
      </c>
      <c r="J99" s="113">
        <f t="shared" si="180"/>
        <v>98277370.469391048</v>
      </c>
      <c r="K99" s="113">
        <f t="shared" ref="K99:V99" si="191">IF(K9=0,0,K9/K31*1000000)</f>
        <v>96654928.216127768</v>
      </c>
      <c r="L99" s="113">
        <f t="shared" si="191"/>
        <v>95820651.132384226</v>
      </c>
      <c r="M99" s="113">
        <f t="shared" si="191"/>
        <v>89588026.907210886</v>
      </c>
      <c r="N99" s="113">
        <f t="shared" si="191"/>
        <v>92125000</v>
      </c>
      <c r="O99" s="113">
        <f t="shared" si="191"/>
        <v>89269478.490628749</v>
      </c>
      <c r="P99" s="113">
        <f t="shared" si="191"/>
        <v>83965316.705703527</v>
      </c>
      <c r="Q99" s="113">
        <f t="shared" si="191"/>
        <v>91772726.438429773</v>
      </c>
      <c r="R99" s="113">
        <f t="shared" si="191"/>
        <v>91072672.565381661</v>
      </c>
      <c r="S99" s="113">
        <f t="shared" si="191"/>
        <v>87664862.969408378</v>
      </c>
      <c r="T99" s="113">
        <f t="shared" si="191"/>
        <v>88779599.289763212</v>
      </c>
      <c r="U99" s="113">
        <f t="shared" si="191"/>
        <v>88779599.431455448</v>
      </c>
      <c r="V99" s="113">
        <f t="shared" si="191"/>
        <v>43661807.489554137</v>
      </c>
      <c r="W99" s="113">
        <f t="shared" ref="W99:Y99" si="192">IF(W9=0,0,W9/W31*1000000)</f>
        <v>50453667.985565625</v>
      </c>
      <c r="X99" s="113">
        <f t="shared" si="192"/>
        <v>83184514.186228827</v>
      </c>
      <c r="Y99" s="113">
        <f t="shared" si="192"/>
        <v>87689884.175179124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93387798.15217413</v>
      </c>
      <c r="C100" s="28">
        <f t="shared" si="180"/>
        <v>97296274.913504541</v>
      </c>
      <c r="D100" s="28">
        <f t="shared" si="180"/>
        <v>96952262.669451699</v>
      </c>
      <c r="E100" s="28">
        <f t="shared" si="180"/>
        <v>101446328.91185267</v>
      </c>
      <c r="F100" s="28">
        <f t="shared" si="180"/>
        <v>95532978.952214941</v>
      </c>
      <c r="G100" s="28">
        <f t="shared" si="180"/>
        <v>97820127.537137628</v>
      </c>
      <c r="H100" s="28">
        <f t="shared" si="180"/>
        <v>95848428.872703999</v>
      </c>
      <c r="I100" s="28">
        <f t="shared" si="180"/>
        <v>91144965.526680708</v>
      </c>
      <c r="J100" s="28">
        <f t="shared" si="180"/>
        <v>97405265.889968023</v>
      </c>
      <c r="K100" s="28">
        <f t="shared" ref="K100:V100" si="193">IF(K10=0,0,K10/K32*1000000)</f>
        <v>95056840.111467093</v>
      </c>
      <c r="L100" s="28">
        <f t="shared" si="193"/>
        <v>116002552.05614524</v>
      </c>
      <c r="M100" s="28">
        <f t="shared" si="193"/>
        <v>105451584.00187673</v>
      </c>
      <c r="N100" s="28">
        <f t="shared" si="193"/>
        <v>104904800.80880304</v>
      </c>
      <c r="O100" s="28">
        <f t="shared" si="193"/>
        <v>104440251.64950852</v>
      </c>
      <c r="P100" s="28">
        <f t="shared" si="193"/>
        <v>114188050.84032078</v>
      </c>
      <c r="Q100" s="28">
        <f t="shared" si="193"/>
        <v>116751971.54534645</v>
      </c>
      <c r="R100" s="28">
        <f t="shared" si="193"/>
        <v>120538280.96407898</v>
      </c>
      <c r="S100" s="28">
        <f t="shared" si="193"/>
        <v>118560444.91948733</v>
      </c>
      <c r="T100" s="28">
        <f t="shared" si="193"/>
        <v>131703172.31999385</v>
      </c>
      <c r="U100" s="28">
        <f t="shared" si="193"/>
        <v>133827614.24237773</v>
      </c>
      <c r="V100" s="28">
        <f t="shared" si="193"/>
        <v>138983847.660065</v>
      </c>
      <c r="W100" s="28">
        <f t="shared" ref="W100:Y100" si="194">IF(W10=0,0,W10/W32*1000000)</f>
        <v>131641592.43986416</v>
      </c>
      <c r="X100" s="28">
        <f t="shared" si="194"/>
        <v>92348646.863654792</v>
      </c>
      <c r="Y100" s="28">
        <f t="shared" si="194"/>
        <v>95309455.818998486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121686386.64556257</v>
      </c>
      <c r="C101" s="84">
        <f t="shared" si="180"/>
        <v>119816898.57573326</v>
      </c>
      <c r="D101" s="84">
        <f t="shared" si="180"/>
        <v>123185737.93367444</v>
      </c>
      <c r="E101" s="84">
        <f t="shared" si="180"/>
        <v>123922345.54913114</v>
      </c>
      <c r="F101" s="84">
        <f t="shared" si="180"/>
        <v>117862759.195384</v>
      </c>
      <c r="G101" s="84">
        <f t="shared" si="180"/>
        <v>120598665.14632611</v>
      </c>
      <c r="H101" s="84">
        <f t="shared" si="180"/>
        <v>122913423.12907048</v>
      </c>
      <c r="I101" s="84">
        <f t="shared" si="180"/>
        <v>127990904.84463079</v>
      </c>
      <c r="J101" s="84">
        <f t="shared" si="180"/>
        <v>138295941.44431329</v>
      </c>
      <c r="K101" s="84">
        <f t="shared" ref="K101:V101" si="195">IF(K11=0,0,K11/K33*1000000)</f>
        <v>129868459.2352526</v>
      </c>
      <c r="L101" s="84">
        <f t="shared" si="195"/>
        <v>146397308.75543442</v>
      </c>
      <c r="M101" s="84">
        <f t="shared" si="195"/>
        <v>130329506.87275991</v>
      </c>
      <c r="N101" s="84">
        <f t="shared" si="195"/>
        <v>122644343.55702379</v>
      </c>
      <c r="O101" s="84">
        <f t="shared" si="195"/>
        <v>130494175.63725768</v>
      </c>
      <c r="P101" s="84">
        <f t="shared" si="195"/>
        <v>125382182.17185476</v>
      </c>
      <c r="Q101" s="84">
        <f t="shared" si="195"/>
        <v>133946768.54647261</v>
      </c>
      <c r="R101" s="84">
        <f t="shared" si="195"/>
        <v>134273216.55486518</v>
      </c>
      <c r="S101" s="84">
        <f t="shared" si="195"/>
        <v>145608086.78548729</v>
      </c>
      <c r="T101" s="84">
        <f t="shared" si="195"/>
        <v>146889206.21199378</v>
      </c>
      <c r="U101" s="84">
        <f t="shared" si="195"/>
        <v>141455971.19941351</v>
      </c>
      <c r="V101" s="84">
        <f t="shared" si="195"/>
        <v>116634670.82819904</v>
      </c>
      <c r="W101" s="84">
        <f t="shared" ref="W101:Y101" si="196">IF(W11=0,0,W11/W33*1000000)</f>
        <v>112337558.76710477</v>
      </c>
      <c r="X101" s="84">
        <f t="shared" si="196"/>
        <v>117018515.04511271</v>
      </c>
      <c r="Y101" s="84">
        <f t="shared" si="196"/>
        <v>131715823.32987913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91222848.140913948</v>
      </c>
      <c r="C102" s="86">
        <f t="shared" si="180"/>
        <v>95584253.713864237</v>
      </c>
      <c r="D102" s="86">
        <f t="shared" si="180"/>
        <v>95111807.025628269</v>
      </c>
      <c r="E102" s="86">
        <f t="shared" si="180"/>
        <v>99722434.400646999</v>
      </c>
      <c r="F102" s="86">
        <f t="shared" si="180"/>
        <v>93809074.658728436</v>
      </c>
      <c r="G102" s="86">
        <f t="shared" si="180"/>
        <v>95964427.626420096</v>
      </c>
      <c r="H102" s="86">
        <f t="shared" si="180"/>
        <v>93874465.513128206</v>
      </c>
      <c r="I102" s="86">
        <f t="shared" si="180"/>
        <v>88774802.630399272</v>
      </c>
      <c r="J102" s="86">
        <f t="shared" si="180"/>
        <v>94612233.515403092</v>
      </c>
      <c r="K102" s="86">
        <f t="shared" ref="K102:V102" si="197">IF(K12=0,0,K12/K34*1000000)</f>
        <v>92706554.680513069</v>
      </c>
      <c r="L102" s="86">
        <f t="shared" si="197"/>
        <v>113825585.82047173</v>
      </c>
      <c r="M102" s="86">
        <f t="shared" si="197"/>
        <v>103563159.25159147</v>
      </c>
      <c r="N102" s="86">
        <f t="shared" si="197"/>
        <v>103656392.23539256</v>
      </c>
      <c r="O102" s="86">
        <f t="shared" si="197"/>
        <v>102663241.85428368</v>
      </c>
      <c r="P102" s="86">
        <f t="shared" si="197"/>
        <v>113463459.60747366</v>
      </c>
      <c r="Q102" s="86">
        <f t="shared" si="197"/>
        <v>115654373.58446153</v>
      </c>
      <c r="R102" s="86">
        <f t="shared" si="197"/>
        <v>119694850.29582471</v>
      </c>
      <c r="S102" s="86">
        <f t="shared" si="197"/>
        <v>117204637.28871153</v>
      </c>
      <c r="T102" s="86">
        <f t="shared" si="197"/>
        <v>130808821.5692855</v>
      </c>
      <c r="U102" s="86">
        <f t="shared" si="197"/>
        <v>133359483.95329066</v>
      </c>
      <c r="V102" s="86">
        <f t="shared" si="197"/>
        <v>140494253.25111046</v>
      </c>
      <c r="W102" s="86">
        <f t="shared" ref="W102:Y102" si="198">IF(W12=0,0,W12/W34*1000000)</f>
        <v>132675991.37756497</v>
      </c>
      <c r="X102" s="86">
        <f t="shared" si="198"/>
        <v>91166560.887466416</v>
      </c>
      <c r="Y102" s="86">
        <f t="shared" si="198"/>
        <v>93592400.781947434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0.19383863080684599</v>
      </c>
      <c r="C106" s="123">
        <f t="shared" si="199"/>
        <v>0.18567565047095028</v>
      </c>
      <c r="D106" s="123">
        <f t="shared" si="199"/>
        <v>0.18339928223060642</v>
      </c>
      <c r="E106" s="123">
        <f t="shared" si="199"/>
        <v>0.18415219800517177</v>
      </c>
      <c r="F106" s="123">
        <f t="shared" si="199"/>
        <v>0.18944799098760798</v>
      </c>
      <c r="G106" s="123">
        <f t="shared" si="199"/>
        <v>0.18436470157451482</v>
      </c>
      <c r="H106" s="123">
        <f t="shared" si="199"/>
        <v>0.18194964273562439</v>
      </c>
      <c r="I106" s="123">
        <f t="shared" si="199"/>
        <v>0.17681508223024464</v>
      </c>
      <c r="J106" s="123">
        <f t="shared" si="199"/>
        <v>0.16727680239073589</v>
      </c>
      <c r="K106" s="123">
        <f t="shared" ref="K106:V106" si="202">IF(K5=0,0,K5/K$4)</f>
        <v>0.16511799410029498</v>
      </c>
      <c r="L106" s="123">
        <f t="shared" si="202"/>
        <v>0.16970599181243026</v>
      </c>
      <c r="M106" s="123">
        <f t="shared" si="202"/>
        <v>0.17056636781106493</v>
      </c>
      <c r="N106" s="123">
        <f t="shared" si="202"/>
        <v>0.16752559124602895</v>
      </c>
      <c r="O106" s="123">
        <f t="shared" si="202"/>
        <v>0.17136659436008678</v>
      </c>
      <c r="P106" s="123">
        <f t="shared" si="202"/>
        <v>0.16774237846745399</v>
      </c>
      <c r="Q106" s="123">
        <f t="shared" si="202"/>
        <v>0.16402026140360088</v>
      </c>
      <c r="R106" s="123">
        <f t="shared" si="202"/>
        <v>0.16926272066458983</v>
      </c>
      <c r="S106" s="123">
        <f t="shared" si="202"/>
        <v>0.1656652897734385</v>
      </c>
      <c r="T106" s="123">
        <f t="shared" si="202"/>
        <v>0.16807909604519775</v>
      </c>
      <c r="U106" s="123">
        <f t="shared" si="202"/>
        <v>0.15611107903700711</v>
      </c>
      <c r="V106" s="123">
        <f t="shared" si="202"/>
        <v>0.17194662320464502</v>
      </c>
      <c r="W106" s="123">
        <f t="shared" ref="W106:Y106" si="203">IF(W5=0,0,W5/W$4)</f>
        <v>0.16550576983054371</v>
      </c>
      <c r="X106" s="123">
        <f t="shared" si="203"/>
        <v>0.14282861896838603</v>
      </c>
      <c r="Y106" s="123">
        <f t="shared" si="203"/>
        <v>0.14725105728565935</v>
      </c>
      <c r="DA106" s="203"/>
    </row>
    <row r="107" spans="1:105" ht="11.45" customHeight="1" x14ac:dyDescent="0.25">
      <c r="A107" s="109" t="s">
        <v>24</v>
      </c>
      <c r="B107" s="124">
        <f t="shared" si="199"/>
        <v>0.60596577017114917</v>
      </c>
      <c r="C107" s="124">
        <f t="shared" si="199"/>
        <v>0.6066399328546116</v>
      </c>
      <c r="D107" s="124">
        <f t="shared" si="199"/>
        <v>0.5966688138400662</v>
      </c>
      <c r="E107" s="124">
        <f t="shared" si="199"/>
        <v>0.59420022164758035</v>
      </c>
      <c r="F107" s="124">
        <f t="shared" si="199"/>
        <v>0.58317686819376646</v>
      </c>
      <c r="G107" s="124">
        <f t="shared" si="199"/>
        <v>0.60234346393262539</v>
      </c>
      <c r="H107" s="124">
        <f t="shared" si="199"/>
        <v>0.60624362027900647</v>
      </c>
      <c r="I107" s="124">
        <f t="shared" si="199"/>
        <v>0.60056157240272767</v>
      </c>
      <c r="J107" s="124">
        <f t="shared" si="199"/>
        <v>0.60918939110945092</v>
      </c>
      <c r="K107" s="124">
        <f t="shared" ref="K107:V107" si="204">IF(K6=0,0,K6/K$4)</f>
        <v>0.6099557522123894</v>
      </c>
      <c r="L107" s="124">
        <f t="shared" si="204"/>
        <v>0.61157424637141788</v>
      </c>
      <c r="M107" s="124">
        <f t="shared" si="204"/>
        <v>0.62336905022231937</v>
      </c>
      <c r="N107" s="124">
        <f t="shared" si="204"/>
        <v>0.62435580656547829</v>
      </c>
      <c r="O107" s="124">
        <f t="shared" si="204"/>
        <v>0.61486250087467642</v>
      </c>
      <c r="P107" s="124">
        <f t="shared" si="204"/>
        <v>0.6106152156001099</v>
      </c>
      <c r="Q107" s="124">
        <f t="shared" si="204"/>
        <v>0.61519080363235523</v>
      </c>
      <c r="R107" s="124">
        <f t="shared" si="204"/>
        <v>0.60481568016614751</v>
      </c>
      <c r="S107" s="124">
        <f t="shared" si="204"/>
        <v>0.60877456502691196</v>
      </c>
      <c r="T107" s="124">
        <f t="shared" si="204"/>
        <v>0.61557356914762962</v>
      </c>
      <c r="U107" s="124">
        <f t="shared" si="204"/>
        <v>0.61872871081346348</v>
      </c>
      <c r="V107" s="124">
        <f t="shared" si="204"/>
        <v>0.64490170113069167</v>
      </c>
      <c r="W107" s="124">
        <f t="shared" ref="W107:Y107" si="205">IF(W6=0,0,W6/W$4)</f>
        <v>0.63291402432685306</v>
      </c>
      <c r="X107" s="124">
        <f t="shared" si="205"/>
        <v>0.65564059900166394</v>
      </c>
      <c r="Y107" s="124">
        <f t="shared" si="205"/>
        <v>0.64821222606689732</v>
      </c>
      <c r="DA107" s="176"/>
    </row>
    <row r="108" spans="1:105" ht="11.45" customHeight="1" x14ac:dyDescent="0.25">
      <c r="A108" s="111" t="s">
        <v>92</v>
      </c>
      <c r="B108" s="125">
        <f t="shared" si="199"/>
        <v>3.7632921852097267E-2</v>
      </c>
      <c r="C108" s="125">
        <f t="shared" si="199"/>
        <v>4.1645754157809606E-2</v>
      </c>
      <c r="D108" s="125">
        <f t="shared" si="199"/>
        <v>5.6475837211865575E-2</v>
      </c>
      <c r="E108" s="125">
        <f t="shared" si="199"/>
        <v>4.3188348918136055E-2</v>
      </c>
      <c r="F108" s="125">
        <f t="shared" si="199"/>
        <v>2.4612316743527932E-2</v>
      </c>
      <c r="G108" s="125">
        <f t="shared" si="199"/>
        <v>2.048156323313087E-2</v>
      </c>
      <c r="H108" s="125">
        <f t="shared" si="199"/>
        <v>2.8587711050014085E-2</v>
      </c>
      <c r="I108" s="125">
        <f t="shared" si="199"/>
        <v>2.601028302214577E-2</v>
      </c>
      <c r="J108" s="125">
        <f t="shared" si="199"/>
        <v>3.1141781710872809E-2</v>
      </c>
      <c r="K108" s="125">
        <f t="shared" ref="K108:V108" si="206">IF(K7=0,0,K7/K$4)</f>
        <v>3.1123856631127232E-2</v>
      </c>
      <c r="L108" s="125">
        <f t="shared" si="206"/>
        <v>2.8811932494724846E-2</v>
      </c>
      <c r="M108" s="125">
        <f t="shared" si="206"/>
        <v>2.0661728226703452E-2</v>
      </c>
      <c r="N108" s="125">
        <f t="shared" si="206"/>
        <v>2.7831821262820848E-2</v>
      </c>
      <c r="O108" s="125">
        <f t="shared" si="206"/>
        <v>2.1218461332067919E-2</v>
      </c>
      <c r="P108" s="125">
        <f t="shared" si="206"/>
        <v>2.2781324559032212E-2</v>
      </c>
      <c r="Q108" s="125">
        <f t="shared" si="206"/>
        <v>2.0559493590434158E-2</v>
      </c>
      <c r="R108" s="125">
        <f t="shared" si="206"/>
        <v>1.9775611679682191E-2</v>
      </c>
      <c r="S108" s="125">
        <f t="shared" si="206"/>
        <v>2.1524527678107887E-2</v>
      </c>
      <c r="T108" s="125">
        <f t="shared" si="206"/>
        <v>2.2016552697921295E-2</v>
      </c>
      <c r="U108" s="125">
        <f t="shared" si="206"/>
        <v>1.904004384595346E-2</v>
      </c>
      <c r="V108" s="125">
        <f t="shared" si="206"/>
        <v>1.8560940419549473E-2</v>
      </c>
      <c r="W108" s="125">
        <f t="shared" ref="W108:Y108" si="207">IF(W7=0,0,W7/W$4)</f>
        <v>1.4192509986004544E-2</v>
      </c>
      <c r="X108" s="125">
        <f t="shared" si="207"/>
        <v>1.2797439230582712E-2</v>
      </c>
      <c r="Y108" s="125">
        <f t="shared" si="207"/>
        <v>1.4153333064312563E-2</v>
      </c>
      <c r="DA108" s="171"/>
    </row>
    <row r="109" spans="1:105" ht="11.45" customHeight="1" x14ac:dyDescent="0.25">
      <c r="A109" s="111" t="s">
        <v>93</v>
      </c>
      <c r="B109" s="125">
        <f t="shared" si="199"/>
        <v>0.56833284831905184</v>
      </c>
      <c r="C109" s="125">
        <f t="shared" si="199"/>
        <v>0.56499417869680202</v>
      </c>
      <c r="D109" s="125">
        <f t="shared" si="199"/>
        <v>0.54019297662820076</v>
      </c>
      <c r="E109" s="125">
        <f t="shared" si="199"/>
        <v>0.5510118727294443</v>
      </c>
      <c r="F109" s="125">
        <f t="shared" si="199"/>
        <v>0.55856455145023842</v>
      </c>
      <c r="G109" s="125">
        <f t="shared" si="199"/>
        <v>0.58186190069949451</v>
      </c>
      <c r="H109" s="125">
        <f t="shared" si="199"/>
        <v>0.57765590922899246</v>
      </c>
      <c r="I109" s="125">
        <f t="shared" si="199"/>
        <v>0.57455128938058186</v>
      </c>
      <c r="J109" s="125">
        <f t="shared" si="199"/>
        <v>0.57804760939857813</v>
      </c>
      <c r="K109" s="125">
        <f t="shared" ref="K109:V109" si="208">IF(K8=0,0,K8/K$4)</f>
        <v>0.57883189558126213</v>
      </c>
      <c r="L109" s="125">
        <f t="shared" si="208"/>
        <v>0.58276231387669308</v>
      </c>
      <c r="M109" s="125">
        <f t="shared" si="208"/>
        <v>0.60270732199561594</v>
      </c>
      <c r="N109" s="125">
        <f t="shared" si="208"/>
        <v>0.59652398530265738</v>
      </c>
      <c r="O109" s="125">
        <f t="shared" si="208"/>
        <v>0.59364403954260847</v>
      </c>
      <c r="P109" s="125">
        <f t="shared" si="208"/>
        <v>0.58783389104107764</v>
      </c>
      <c r="Q109" s="125">
        <f t="shared" si="208"/>
        <v>0.59463131004192105</v>
      </c>
      <c r="R109" s="125">
        <f t="shared" si="208"/>
        <v>0.58504006848646528</v>
      </c>
      <c r="S109" s="125">
        <f t="shared" si="208"/>
        <v>0.5872500373488041</v>
      </c>
      <c r="T109" s="125">
        <f t="shared" si="208"/>
        <v>0.59355701644970826</v>
      </c>
      <c r="U109" s="125">
        <f t="shared" si="208"/>
        <v>0.59968866696751</v>
      </c>
      <c r="V109" s="125">
        <f t="shared" si="208"/>
        <v>0.6263407607111422</v>
      </c>
      <c r="W109" s="125">
        <f t="shared" ref="W109:Y109" si="209">IF(W8=0,0,W8/W$4)</f>
        <v>0.61872151434084843</v>
      </c>
      <c r="X109" s="125">
        <f t="shared" si="209"/>
        <v>0.64284315977108109</v>
      </c>
      <c r="Y109" s="125">
        <f t="shared" si="209"/>
        <v>0.63405889300258478</v>
      </c>
      <c r="DA109" s="171"/>
    </row>
    <row r="110" spans="1:105" ht="11.45" customHeight="1" x14ac:dyDescent="0.25">
      <c r="A110" s="112" t="s">
        <v>25</v>
      </c>
      <c r="B110" s="126">
        <f t="shared" si="199"/>
        <v>0.2001955990220049</v>
      </c>
      <c r="C110" s="126">
        <f t="shared" si="199"/>
        <v>0.20768441667443813</v>
      </c>
      <c r="D110" s="126">
        <f t="shared" si="199"/>
        <v>0.21993190392932732</v>
      </c>
      <c r="E110" s="126">
        <f t="shared" si="199"/>
        <v>0.22164758034724788</v>
      </c>
      <c r="F110" s="126">
        <f t="shared" si="199"/>
        <v>0.22737514081862562</v>
      </c>
      <c r="G110" s="126">
        <f t="shared" si="199"/>
        <v>0.21329183449285977</v>
      </c>
      <c r="H110" s="126">
        <f t="shared" si="199"/>
        <v>0.21180673698536917</v>
      </c>
      <c r="I110" s="126">
        <f t="shared" si="199"/>
        <v>0.22262334536702769</v>
      </c>
      <c r="J110" s="126">
        <f t="shared" si="199"/>
        <v>0.22353380649981322</v>
      </c>
      <c r="K110" s="126">
        <f t="shared" ref="K110:V110" si="210">IF(K9=0,0,K9/K$4)</f>
        <v>0.22492625368731564</v>
      </c>
      <c r="L110" s="126">
        <f t="shared" si="210"/>
        <v>0.21871976181615185</v>
      </c>
      <c r="M110" s="126">
        <f t="shared" si="210"/>
        <v>0.20606458196661565</v>
      </c>
      <c r="N110" s="126">
        <f t="shared" si="210"/>
        <v>0.20811860218849276</v>
      </c>
      <c r="O110" s="126">
        <f t="shared" si="210"/>
        <v>0.21377090476523686</v>
      </c>
      <c r="P110" s="126">
        <f t="shared" si="210"/>
        <v>0.22164240593243614</v>
      </c>
      <c r="Q110" s="126">
        <f t="shared" si="210"/>
        <v>0.22078893496404389</v>
      </c>
      <c r="R110" s="126">
        <f t="shared" si="210"/>
        <v>0.22592159916926272</v>
      </c>
      <c r="S110" s="126">
        <f t="shared" si="210"/>
        <v>0.22556014519964951</v>
      </c>
      <c r="T110" s="126">
        <f t="shared" si="210"/>
        <v>0.21634733480717269</v>
      </c>
      <c r="U110" s="126">
        <f t="shared" si="210"/>
        <v>0.22516021014952947</v>
      </c>
      <c r="V110" s="126">
        <f t="shared" si="210"/>
        <v>0.18315167566466334</v>
      </c>
      <c r="W110" s="126">
        <f t="shared" ref="W110:Y110" si="211">IF(W9=0,0,W9/W$4)</f>
        <v>0.20158020584260319</v>
      </c>
      <c r="X110" s="126">
        <f t="shared" si="211"/>
        <v>0.20153078202995009</v>
      </c>
      <c r="Y110" s="126">
        <f t="shared" si="211"/>
        <v>0.2045367166474433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9.260179064939697E-2</v>
      </c>
      <c r="C112" s="125">
        <f t="shared" si="212"/>
        <v>8.7002189291454174E-2</v>
      </c>
      <c r="D112" s="125">
        <f t="shared" si="212"/>
        <v>8.3296088672089541E-2</v>
      </c>
      <c r="E112" s="125">
        <f t="shared" si="212"/>
        <v>8.7018221893446476E-2</v>
      </c>
      <c r="F112" s="125">
        <f t="shared" si="212"/>
        <v>8.8420878171206682E-2</v>
      </c>
      <c r="G112" s="125">
        <f t="shared" si="212"/>
        <v>9.2871593747527598E-2</v>
      </c>
      <c r="H112" s="125">
        <f t="shared" si="212"/>
        <v>8.7171070579736387E-2</v>
      </c>
      <c r="I112" s="125">
        <f t="shared" si="212"/>
        <v>8.4871170866390955E-2</v>
      </c>
      <c r="J112" s="125">
        <f t="shared" si="212"/>
        <v>9.077859857665016E-2</v>
      </c>
      <c r="K112" s="125">
        <f t="shared" ref="K112:V112" si="215">IF(K11=0,0,K11/K$10)</f>
        <v>8.6405812754676237E-2</v>
      </c>
      <c r="L112" s="125">
        <f t="shared" si="215"/>
        <v>8.4348334307422557E-2</v>
      </c>
      <c r="M112" s="125">
        <f t="shared" si="215"/>
        <v>8.7196733125150153E-2</v>
      </c>
      <c r="N112" s="125">
        <f t="shared" si="215"/>
        <v>7.6865382451841949E-2</v>
      </c>
      <c r="O112" s="125">
        <f t="shared" si="215"/>
        <v>7.9778389026665661E-2</v>
      </c>
      <c r="P112" s="125">
        <f t="shared" si="215"/>
        <v>6.6754189719613652E-2</v>
      </c>
      <c r="Q112" s="125">
        <f t="shared" si="215"/>
        <v>6.88399806060878E-2</v>
      </c>
      <c r="R112" s="125">
        <f t="shared" si="215"/>
        <v>6.4447330150405852E-2</v>
      </c>
      <c r="S112" s="125">
        <f t="shared" si="215"/>
        <v>5.8623624005847641E-2</v>
      </c>
      <c r="T112" s="125">
        <f t="shared" si="215"/>
        <v>6.2030472747848585E-2</v>
      </c>
      <c r="U112" s="125">
        <f t="shared" si="215"/>
        <v>6.1114695851105738E-2</v>
      </c>
      <c r="V112" s="125">
        <f t="shared" si="215"/>
        <v>5.312440554099674E-2</v>
      </c>
      <c r="W112" s="125">
        <f t="shared" ref="W112:Y112" si="216">IF(W11=0,0,W11/W$10)</f>
        <v>4.340127017932912E-2</v>
      </c>
      <c r="X112" s="125">
        <f t="shared" si="216"/>
        <v>5.7940165881536901E-2</v>
      </c>
      <c r="Y112" s="125">
        <f t="shared" si="216"/>
        <v>6.2243541394223216E-2</v>
      </c>
      <c r="DA112" s="171"/>
    </row>
    <row r="113" spans="1:105" ht="11.45" customHeight="1" x14ac:dyDescent="0.25">
      <c r="A113" s="85" t="s">
        <v>93</v>
      </c>
      <c r="B113" s="127">
        <f t="shared" si="212"/>
        <v>0.90739820935060289</v>
      </c>
      <c r="C113" s="127">
        <f t="shared" si="212"/>
        <v>0.91299781070854569</v>
      </c>
      <c r="D113" s="127">
        <f t="shared" si="212"/>
        <v>0.9167039113279104</v>
      </c>
      <c r="E113" s="127">
        <f t="shared" si="212"/>
        <v>0.91298177810655357</v>
      </c>
      <c r="F113" s="127">
        <f t="shared" si="212"/>
        <v>0.91157912182879342</v>
      </c>
      <c r="G113" s="127">
        <f t="shared" si="212"/>
        <v>0.90712840625247237</v>
      </c>
      <c r="H113" s="127">
        <f t="shared" si="212"/>
        <v>0.91282892942026361</v>
      </c>
      <c r="I113" s="127">
        <f t="shared" si="212"/>
        <v>0.91512882913360905</v>
      </c>
      <c r="J113" s="127">
        <f t="shared" si="212"/>
        <v>0.90922140142334995</v>
      </c>
      <c r="K113" s="127">
        <f t="shared" ref="K113:V113" si="217">IF(K12=0,0,K12/K$10)</f>
        <v>0.91359418724532382</v>
      </c>
      <c r="L113" s="127">
        <f t="shared" si="217"/>
        <v>0.91565166569257739</v>
      </c>
      <c r="M113" s="127">
        <f t="shared" si="217"/>
        <v>0.91280326687484981</v>
      </c>
      <c r="N113" s="127">
        <f t="shared" si="217"/>
        <v>0.92313461754815807</v>
      </c>
      <c r="O113" s="127">
        <f t="shared" si="217"/>
        <v>0.92022161097333444</v>
      </c>
      <c r="P113" s="127">
        <f t="shared" si="217"/>
        <v>0.93324581028038645</v>
      </c>
      <c r="Q113" s="127">
        <f t="shared" si="217"/>
        <v>0.93116001939391224</v>
      </c>
      <c r="R113" s="127">
        <f t="shared" si="217"/>
        <v>0.93555266984959418</v>
      </c>
      <c r="S113" s="127">
        <f t="shared" si="217"/>
        <v>0.94137637599415236</v>
      </c>
      <c r="T113" s="127">
        <f t="shared" si="217"/>
        <v>0.93796952725215144</v>
      </c>
      <c r="U113" s="127">
        <f t="shared" si="217"/>
        <v>0.93888530414889426</v>
      </c>
      <c r="V113" s="127">
        <f t="shared" si="217"/>
        <v>0.94687559445900327</v>
      </c>
      <c r="W113" s="127">
        <f t="shared" ref="W113:Y113" si="218">IF(W12=0,0,W12/W$10)</f>
        <v>0.95659872982067096</v>
      </c>
      <c r="X113" s="127">
        <f t="shared" si="218"/>
        <v>0.94205983411846306</v>
      </c>
      <c r="Y113" s="127">
        <f t="shared" si="218"/>
        <v>0.93775645860577683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0.24994929003617214</v>
      </c>
      <c r="C117" s="123">
        <f t="shared" si="219"/>
        <v>0.24927137970602067</v>
      </c>
      <c r="D117" s="123">
        <f t="shared" si="219"/>
        <v>0.23181577896748753</v>
      </c>
      <c r="E117" s="123">
        <f t="shared" si="219"/>
        <v>0.23223488269764195</v>
      </c>
      <c r="F117" s="123">
        <f t="shared" si="219"/>
        <v>0.2263643820215514</v>
      </c>
      <c r="G117" s="123">
        <f t="shared" si="219"/>
        <v>0.23140108205466076</v>
      </c>
      <c r="H117" s="123">
        <f t="shared" si="219"/>
        <v>0.23630123428129099</v>
      </c>
      <c r="I117" s="123">
        <f t="shared" si="219"/>
        <v>0.23703696104402275</v>
      </c>
      <c r="J117" s="123">
        <f t="shared" si="219"/>
        <v>0.25707292332672815</v>
      </c>
      <c r="K117" s="123">
        <f t="shared" ref="K117:V117" si="222">IF(K16=0,0,K16/K$15)</f>
        <v>0.23843043994916877</v>
      </c>
      <c r="L117" s="123">
        <f t="shared" si="222"/>
        <v>0.24577867225964853</v>
      </c>
      <c r="M117" s="123">
        <f t="shared" si="222"/>
        <v>0.22876356554863506</v>
      </c>
      <c r="N117" s="123">
        <f t="shared" si="222"/>
        <v>0.22062199155492229</v>
      </c>
      <c r="O117" s="123">
        <f t="shared" si="222"/>
        <v>0.21549756438813103</v>
      </c>
      <c r="P117" s="123">
        <f t="shared" si="222"/>
        <v>0.21883632202498335</v>
      </c>
      <c r="Q117" s="123">
        <f t="shared" si="222"/>
        <v>0.2187210477764446</v>
      </c>
      <c r="R117" s="123">
        <f t="shared" si="222"/>
        <v>0.21695173795063397</v>
      </c>
      <c r="S117" s="123">
        <f t="shared" si="222"/>
        <v>0.23864073944530848</v>
      </c>
      <c r="T117" s="123">
        <f t="shared" si="222"/>
        <v>0.21634719749072548</v>
      </c>
      <c r="U117" s="123">
        <f t="shared" si="222"/>
        <v>0.21936300548945542</v>
      </c>
      <c r="V117" s="123">
        <f t="shared" si="222"/>
        <v>0.2356213751939793</v>
      </c>
      <c r="W117" s="123">
        <f t="shared" ref="W117:Y117" si="223">IF(W16=0,0,W16/W$15)</f>
        <v>0.21263552616903872</v>
      </c>
      <c r="X117" s="123">
        <f t="shared" si="223"/>
        <v>0.20779337738122092</v>
      </c>
      <c r="Y117" s="123">
        <f t="shared" si="223"/>
        <v>0.20554328581711975</v>
      </c>
      <c r="DA117" s="203"/>
    </row>
    <row r="118" spans="1:105" ht="11.45" customHeight="1" x14ac:dyDescent="0.25">
      <c r="A118" s="109" t="s">
        <v>24</v>
      </c>
      <c r="B118" s="124">
        <f t="shared" si="219"/>
        <v>0.63534407090508105</v>
      </c>
      <c r="C118" s="124">
        <f t="shared" si="219"/>
        <v>0.62872721008637689</v>
      </c>
      <c r="D118" s="124">
        <f t="shared" si="219"/>
        <v>0.63925534309757481</v>
      </c>
      <c r="E118" s="124">
        <f t="shared" si="219"/>
        <v>0.64029194536535328</v>
      </c>
      <c r="F118" s="124">
        <f t="shared" si="219"/>
        <v>0.649706226660001</v>
      </c>
      <c r="G118" s="124">
        <f t="shared" si="219"/>
        <v>0.64479437158252473</v>
      </c>
      <c r="H118" s="124">
        <f t="shared" si="219"/>
        <v>0.65260171646492871</v>
      </c>
      <c r="I118" s="124">
        <f t="shared" si="219"/>
        <v>0.65590885089266437</v>
      </c>
      <c r="J118" s="124">
        <f t="shared" si="219"/>
        <v>0.6231783614458295</v>
      </c>
      <c r="K118" s="124">
        <f t="shared" ref="K118:V118" si="224">IF(K17=0,0,K17/K$15)</f>
        <v>0.64737352288731886</v>
      </c>
      <c r="L118" s="124">
        <f t="shared" si="224"/>
        <v>0.6419252736757306</v>
      </c>
      <c r="M118" s="124">
        <f t="shared" si="224"/>
        <v>0.66632379101805106</v>
      </c>
      <c r="N118" s="124">
        <f t="shared" si="224"/>
        <v>0.67886151255410965</v>
      </c>
      <c r="O118" s="124">
        <f t="shared" si="224"/>
        <v>0.68324070089359035</v>
      </c>
      <c r="P118" s="124">
        <f t="shared" si="224"/>
        <v>0.6654091721902694</v>
      </c>
      <c r="Q118" s="124">
        <f t="shared" si="224"/>
        <v>0.67352609407121355</v>
      </c>
      <c r="R118" s="124">
        <f t="shared" si="224"/>
        <v>0.67608335158797495</v>
      </c>
      <c r="S118" s="124">
        <f t="shared" si="224"/>
        <v>0.63589588917882667</v>
      </c>
      <c r="T118" s="124">
        <f t="shared" si="224"/>
        <v>0.67162719373389601</v>
      </c>
      <c r="U118" s="124">
        <f t="shared" si="224"/>
        <v>0.65303746564737253</v>
      </c>
      <c r="V118" s="124">
        <f t="shared" si="224"/>
        <v>0.65327775420237011</v>
      </c>
      <c r="W118" s="124">
        <f t="shared" ref="W118:Y118" si="225">IF(W17=0,0,W17/W$15)</f>
        <v>0.68480739677310587</v>
      </c>
      <c r="X118" s="124">
        <f t="shared" si="225"/>
        <v>0.68142556372331009</v>
      </c>
      <c r="Y118" s="124">
        <f t="shared" si="225"/>
        <v>0.68494092289113706</v>
      </c>
      <c r="DA118" s="176"/>
    </row>
    <row r="119" spans="1:105" ht="11.45" customHeight="1" x14ac:dyDescent="0.25">
      <c r="A119" s="111" t="s">
        <v>92</v>
      </c>
      <c r="B119" s="125">
        <f t="shared" si="219"/>
        <v>3.107366501390392E-2</v>
      </c>
      <c r="C119" s="125">
        <f t="shared" si="219"/>
        <v>3.5452253937194735E-2</v>
      </c>
      <c r="D119" s="125">
        <f t="shared" si="219"/>
        <v>4.9903247303017859E-2</v>
      </c>
      <c r="E119" s="125">
        <f t="shared" si="219"/>
        <v>3.9946300452043809E-2</v>
      </c>
      <c r="F119" s="125">
        <f t="shared" si="219"/>
        <v>2.155422849094156E-2</v>
      </c>
      <c r="G119" s="125">
        <f t="shared" si="219"/>
        <v>1.8394986777694577E-2</v>
      </c>
      <c r="H119" s="125">
        <f t="shared" si="219"/>
        <v>2.5825323722358993E-2</v>
      </c>
      <c r="I119" s="125">
        <f t="shared" si="219"/>
        <v>2.3678548829340583E-2</v>
      </c>
      <c r="J119" s="125">
        <f t="shared" si="219"/>
        <v>3.331501147477129E-2</v>
      </c>
      <c r="K119" s="125">
        <f t="shared" ref="K119:V119" si="226">IF(K18=0,0,K18/K$15)</f>
        <v>3.1152417487948104E-2</v>
      </c>
      <c r="L119" s="125">
        <f t="shared" si="226"/>
        <v>2.7870393915225191E-2</v>
      </c>
      <c r="M119" s="125">
        <f t="shared" si="226"/>
        <v>2.0356672407992302E-2</v>
      </c>
      <c r="N119" s="125">
        <f t="shared" si="226"/>
        <v>2.6904365822756623E-2</v>
      </c>
      <c r="O119" s="125">
        <f t="shared" si="226"/>
        <v>1.9277537659054315E-2</v>
      </c>
      <c r="P119" s="125">
        <f t="shared" si="226"/>
        <v>2.1420386570940232E-2</v>
      </c>
      <c r="Q119" s="125">
        <f t="shared" si="226"/>
        <v>1.9771018728962097E-2</v>
      </c>
      <c r="R119" s="125">
        <f t="shared" si="226"/>
        <v>1.8935408495226042E-2</v>
      </c>
      <c r="S119" s="125">
        <f t="shared" si="226"/>
        <v>2.29284649320649E-2</v>
      </c>
      <c r="T119" s="125">
        <f t="shared" si="226"/>
        <v>2.1873097077273924E-2</v>
      </c>
      <c r="U119" s="125">
        <f t="shared" si="226"/>
        <v>2.3055912995870977E-2</v>
      </c>
      <c r="V119" s="125">
        <f t="shared" si="226"/>
        <v>2.2601528128201865E-2</v>
      </c>
      <c r="W119" s="125">
        <f t="shared" ref="W119:Y119" si="227">IF(W18=0,0,W18/W$15)</f>
        <v>1.4506402139464013E-2</v>
      </c>
      <c r="X119" s="125">
        <f t="shared" si="227"/>
        <v>1.6686492042668054E-2</v>
      </c>
      <c r="Y119" s="125">
        <f t="shared" si="227"/>
        <v>1.6370507697348873E-2</v>
      </c>
      <c r="DA119" s="171"/>
    </row>
    <row r="120" spans="1:105" ht="11.45" customHeight="1" x14ac:dyDescent="0.25">
      <c r="A120" s="111" t="s">
        <v>93</v>
      </c>
      <c r="B120" s="125">
        <f t="shared" si="219"/>
        <v>0.60427040589117709</v>
      </c>
      <c r="C120" s="125">
        <f t="shared" si="219"/>
        <v>0.59327495614918213</v>
      </c>
      <c r="D120" s="125">
        <f t="shared" si="219"/>
        <v>0.58935209579455694</v>
      </c>
      <c r="E120" s="125">
        <f t="shared" si="219"/>
        <v>0.60034564491330955</v>
      </c>
      <c r="F120" s="125">
        <f t="shared" si="219"/>
        <v>0.62815199816905942</v>
      </c>
      <c r="G120" s="125">
        <f t="shared" si="219"/>
        <v>0.62639938480483015</v>
      </c>
      <c r="H120" s="125">
        <f t="shared" si="219"/>
        <v>0.62677639274256969</v>
      </c>
      <c r="I120" s="125">
        <f t="shared" si="219"/>
        <v>0.63223030206332376</v>
      </c>
      <c r="J120" s="125">
        <f t="shared" si="219"/>
        <v>0.58986334997105827</v>
      </c>
      <c r="K120" s="125">
        <f t="shared" ref="K120:V120" si="228">IF(K19=0,0,K19/K$15)</f>
        <v>0.61622110539937081</v>
      </c>
      <c r="L120" s="125">
        <f t="shared" si="228"/>
        <v>0.61405487976050543</v>
      </c>
      <c r="M120" s="125">
        <f t="shared" si="228"/>
        <v>0.64596711861005862</v>
      </c>
      <c r="N120" s="125">
        <f t="shared" si="228"/>
        <v>0.65195714673135297</v>
      </c>
      <c r="O120" s="125">
        <f t="shared" si="228"/>
        <v>0.66396316323453597</v>
      </c>
      <c r="P120" s="125">
        <f t="shared" si="228"/>
        <v>0.64398878561932915</v>
      </c>
      <c r="Q120" s="125">
        <f t="shared" si="228"/>
        <v>0.65375507534225141</v>
      </c>
      <c r="R120" s="125">
        <f t="shared" si="228"/>
        <v>0.65714794309274882</v>
      </c>
      <c r="S120" s="125">
        <f t="shared" si="228"/>
        <v>0.61296742424676176</v>
      </c>
      <c r="T120" s="125">
        <f t="shared" si="228"/>
        <v>0.6497540966566222</v>
      </c>
      <c r="U120" s="125">
        <f t="shared" si="228"/>
        <v>0.62998155265150169</v>
      </c>
      <c r="V120" s="125">
        <f t="shared" si="228"/>
        <v>0.63067622607416829</v>
      </c>
      <c r="W120" s="125">
        <f t="shared" ref="W120:Y120" si="229">IF(W19=0,0,W19/W$15)</f>
        <v>0.67030099463364179</v>
      </c>
      <c r="X120" s="125">
        <f t="shared" si="229"/>
        <v>0.66473907168064206</v>
      </c>
      <c r="Y120" s="125">
        <f t="shared" si="229"/>
        <v>0.66857041519378813</v>
      </c>
      <c r="DA120" s="171"/>
    </row>
    <row r="121" spans="1:105" ht="11.45" customHeight="1" x14ac:dyDescent="0.25">
      <c r="A121" s="112" t="s">
        <v>25</v>
      </c>
      <c r="B121" s="126">
        <f t="shared" si="219"/>
        <v>0.11470663905874681</v>
      </c>
      <c r="C121" s="126">
        <f t="shared" si="219"/>
        <v>0.12200141020760248</v>
      </c>
      <c r="D121" s="126">
        <f t="shared" si="219"/>
        <v>0.12892887793493768</v>
      </c>
      <c r="E121" s="126">
        <f t="shared" si="219"/>
        <v>0.12747317193700466</v>
      </c>
      <c r="F121" s="126">
        <f t="shared" si="219"/>
        <v>0.12392939131844755</v>
      </c>
      <c r="G121" s="126">
        <f t="shared" si="219"/>
        <v>0.12380454636281452</v>
      </c>
      <c r="H121" s="126">
        <f t="shared" si="219"/>
        <v>0.11109704925378033</v>
      </c>
      <c r="I121" s="126">
        <f t="shared" si="219"/>
        <v>0.10705418806331293</v>
      </c>
      <c r="J121" s="126">
        <f t="shared" si="219"/>
        <v>0.1197487152274424</v>
      </c>
      <c r="K121" s="126">
        <f t="shared" ref="K121:V121" si="230">IF(K20=0,0,K20/K$15)</f>
        <v>0.11419603716351229</v>
      </c>
      <c r="L121" s="126">
        <f t="shared" si="230"/>
        <v>0.11229605406462084</v>
      </c>
      <c r="M121" s="126">
        <f t="shared" si="230"/>
        <v>0.10491264343331408</v>
      </c>
      <c r="N121" s="126">
        <f t="shared" si="230"/>
        <v>0.10051649589096807</v>
      </c>
      <c r="O121" s="126">
        <f t="shared" si="230"/>
        <v>0.10126173471827868</v>
      </c>
      <c r="P121" s="126">
        <f t="shared" si="230"/>
        <v>0.11575450578474722</v>
      </c>
      <c r="Q121" s="126">
        <f t="shared" si="230"/>
        <v>0.10775285815234187</v>
      </c>
      <c r="R121" s="126">
        <f t="shared" si="230"/>
        <v>0.10696491046139112</v>
      </c>
      <c r="S121" s="126">
        <f t="shared" si="230"/>
        <v>0.125463371375865</v>
      </c>
      <c r="T121" s="126">
        <f t="shared" si="230"/>
        <v>0.1120256087753784</v>
      </c>
      <c r="U121" s="126">
        <f t="shared" si="230"/>
        <v>0.12759952886317194</v>
      </c>
      <c r="V121" s="126">
        <f t="shared" si="230"/>
        <v>0.11110087060365056</v>
      </c>
      <c r="W121" s="126">
        <f t="shared" ref="W121:Y121" si="231">IF(W20=0,0,W20/W$15)</f>
        <v>0.10255707705785536</v>
      </c>
      <c r="X121" s="126">
        <f t="shared" si="231"/>
        <v>0.11078105889546896</v>
      </c>
      <c r="Y121" s="126">
        <f t="shared" si="231"/>
        <v>0.10951579129174305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7.1066922137148186E-2</v>
      </c>
      <c r="C123" s="125">
        <f t="shared" si="232"/>
        <v>7.0649372204944202E-2</v>
      </c>
      <c r="D123" s="125">
        <f t="shared" si="232"/>
        <v>6.5557460485286906E-2</v>
      </c>
      <c r="E123" s="125">
        <f t="shared" si="232"/>
        <v>7.123557134598385E-2</v>
      </c>
      <c r="F123" s="125">
        <f t="shared" si="232"/>
        <v>7.16690322171947E-2</v>
      </c>
      <c r="G123" s="125">
        <f t="shared" si="232"/>
        <v>7.5330112764981055E-2</v>
      </c>
      <c r="H123" s="125">
        <f t="shared" si="232"/>
        <v>6.7976381783862005E-2</v>
      </c>
      <c r="I123" s="125">
        <f t="shared" si="232"/>
        <v>6.0438509966801876E-2</v>
      </c>
      <c r="J123" s="125">
        <f t="shared" si="232"/>
        <v>7.1334530355109227E-2</v>
      </c>
      <c r="K123" s="125">
        <f t="shared" ref="K123:V123" si="235">IF(K22=0,0,K22/K$21)</f>
        <v>6.5717840126351831E-2</v>
      </c>
      <c r="L123" s="125">
        <f t="shared" si="235"/>
        <v>6.6836075891360161E-2</v>
      </c>
      <c r="M123" s="125">
        <f t="shared" si="235"/>
        <v>7.0552197512522855E-2</v>
      </c>
      <c r="N123" s="125">
        <f t="shared" si="235"/>
        <v>6.0936678310853934E-2</v>
      </c>
      <c r="O123" s="125">
        <f t="shared" si="235"/>
        <v>6.3850165808405288E-2</v>
      </c>
      <c r="P123" s="125">
        <f t="shared" si="235"/>
        <v>5.5682564892961625E-2</v>
      </c>
      <c r="Q123" s="125">
        <f t="shared" si="235"/>
        <v>6.0002964538889737E-2</v>
      </c>
      <c r="R123" s="125">
        <f t="shared" si="235"/>
        <v>5.785494993407099E-2</v>
      </c>
      <c r="S123" s="125">
        <f t="shared" si="235"/>
        <v>4.6252526230571189E-2</v>
      </c>
      <c r="T123" s="125">
        <f t="shared" si="235"/>
        <v>5.5617495608073483E-2</v>
      </c>
      <c r="U123" s="125">
        <f t="shared" si="235"/>
        <v>5.7818933284433702E-2</v>
      </c>
      <c r="V123" s="125">
        <f t="shared" si="235"/>
        <v>6.3303938495971684E-2</v>
      </c>
      <c r="W123" s="125">
        <f t="shared" ref="W123:Y123" si="236">IF(W22=0,0,W22/W$21)</f>
        <v>5.0859319968860298E-2</v>
      </c>
      <c r="X123" s="125">
        <f t="shared" si="236"/>
        <v>4.5725206375886993E-2</v>
      </c>
      <c r="Y123" s="125">
        <f t="shared" si="236"/>
        <v>4.6387916753989636E-2</v>
      </c>
      <c r="DA123" s="171"/>
    </row>
    <row r="124" spans="1:105" ht="11.45" customHeight="1" x14ac:dyDescent="0.25">
      <c r="A124" s="85" t="s">
        <v>93</v>
      </c>
      <c r="B124" s="127">
        <f t="shared" si="232"/>
        <v>0.92893307786285184</v>
      </c>
      <c r="C124" s="127">
        <f t="shared" si="232"/>
        <v>0.92935062779505584</v>
      </c>
      <c r="D124" s="127">
        <f t="shared" si="232"/>
        <v>0.93444253951471301</v>
      </c>
      <c r="E124" s="127">
        <f t="shared" si="232"/>
        <v>0.92876442865401621</v>
      </c>
      <c r="F124" s="127">
        <f t="shared" si="232"/>
        <v>0.92833096778280533</v>
      </c>
      <c r="G124" s="127">
        <f t="shared" si="232"/>
        <v>0.92466988723501897</v>
      </c>
      <c r="H124" s="127">
        <f t="shared" si="232"/>
        <v>0.93202361821613799</v>
      </c>
      <c r="I124" s="127">
        <f t="shared" si="232"/>
        <v>0.93956149003319811</v>
      </c>
      <c r="J124" s="127">
        <f t="shared" si="232"/>
        <v>0.92866546964489072</v>
      </c>
      <c r="K124" s="127">
        <f t="shared" ref="K124:V124" si="237">IF(K23=0,0,K23/K$21)</f>
        <v>0.93428215987364815</v>
      </c>
      <c r="L124" s="127">
        <f t="shared" si="237"/>
        <v>0.93316392410863991</v>
      </c>
      <c r="M124" s="127">
        <f t="shared" si="237"/>
        <v>0.92944780248747716</v>
      </c>
      <c r="N124" s="127">
        <f t="shared" si="237"/>
        <v>0.93906332168914608</v>
      </c>
      <c r="O124" s="127">
        <f t="shared" si="237"/>
        <v>0.9361498341915947</v>
      </c>
      <c r="P124" s="127">
        <f t="shared" si="237"/>
        <v>0.94431743510703847</v>
      </c>
      <c r="Q124" s="127">
        <f t="shared" si="237"/>
        <v>0.93999703546111024</v>
      </c>
      <c r="R124" s="127">
        <f t="shared" si="237"/>
        <v>0.94214505006592897</v>
      </c>
      <c r="S124" s="127">
        <f t="shared" si="237"/>
        <v>0.9537474737694287</v>
      </c>
      <c r="T124" s="127">
        <f t="shared" si="237"/>
        <v>0.9443825043919265</v>
      </c>
      <c r="U124" s="127">
        <f t="shared" si="237"/>
        <v>0.94218106671556623</v>
      </c>
      <c r="V124" s="127">
        <f t="shared" si="237"/>
        <v>0.93669606150402829</v>
      </c>
      <c r="W124" s="127">
        <f t="shared" ref="W124:Y124" si="238">IF(W23=0,0,W23/W$21)</f>
        <v>0.94914068003113972</v>
      </c>
      <c r="X124" s="127">
        <f t="shared" si="238"/>
        <v>0.95427479362411305</v>
      </c>
      <c r="Y124" s="127">
        <f t="shared" si="238"/>
        <v>0.95361208324601043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299.2834909716251</v>
      </c>
      <c r="C4" s="146">
        <f t="shared" ref="C4:V4" si="0">SUM(C5,C8)</f>
        <v>270.73662940670675</v>
      </c>
      <c r="D4" s="146">
        <f t="shared" si="0"/>
        <v>274.2476354256234</v>
      </c>
      <c r="E4" s="146">
        <f t="shared" si="0"/>
        <v>269.7</v>
      </c>
      <c r="F4" s="146">
        <f t="shared" si="0"/>
        <v>278.57549441100599</v>
      </c>
      <c r="G4" s="146">
        <f t="shared" si="0"/>
        <v>263.47059329320723</v>
      </c>
      <c r="H4" s="146">
        <f t="shared" si="0"/>
        <v>270.49484092863287</v>
      </c>
      <c r="I4" s="146">
        <f t="shared" si="0"/>
        <v>273.3804815133276</v>
      </c>
      <c r="J4" s="146">
        <f t="shared" si="0"/>
        <v>226.87669819432497</v>
      </c>
      <c r="K4" s="146">
        <f t="shared" si="0"/>
        <v>230.1022355975924</v>
      </c>
      <c r="L4" s="146">
        <f t="shared" si="0"/>
        <v>226.50808254514189</v>
      </c>
      <c r="M4" s="146">
        <f t="shared" si="0"/>
        <v>246.46973344797934</v>
      </c>
      <c r="N4" s="146">
        <f t="shared" si="0"/>
        <v>250.17678417884784</v>
      </c>
      <c r="O4" s="146">
        <f t="shared" si="0"/>
        <v>253.68701633705936</v>
      </c>
      <c r="P4" s="146">
        <f t="shared" si="0"/>
        <v>240.22321582115219</v>
      </c>
      <c r="Q4" s="146">
        <f t="shared" si="0"/>
        <v>238.13078245915733</v>
      </c>
      <c r="R4" s="146">
        <f t="shared" si="0"/>
        <v>243.52553740326741</v>
      </c>
      <c r="S4" s="146">
        <f t="shared" si="0"/>
        <v>226.2501289767842</v>
      </c>
      <c r="T4" s="146">
        <f t="shared" si="0"/>
        <v>235.50782459157347</v>
      </c>
      <c r="U4" s="146">
        <f t="shared" si="0"/>
        <v>227.73697334479795</v>
      </c>
      <c r="V4" s="146">
        <f t="shared" si="0"/>
        <v>208.41349957007739</v>
      </c>
      <c r="W4" s="146">
        <f t="shared" ref="W4:Y4" si="1">SUM(W5,W8)</f>
        <v>231.42734307824585</v>
      </c>
      <c r="X4" s="146">
        <f t="shared" si="1"/>
        <v>242.26242476354255</v>
      </c>
      <c r="Y4" s="146">
        <f t="shared" si="1"/>
        <v>234.93895098882197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24.648925193465171</v>
      </c>
      <c r="C5" s="101">
        <f t="shared" ref="C5:V5" si="2">SUM(C6:C7)</f>
        <v>24.648925193465171</v>
      </c>
      <c r="D5" s="101">
        <f t="shared" si="2"/>
        <v>27.73000859845228</v>
      </c>
      <c r="E5" s="101">
        <f t="shared" si="2"/>
        <v>25.67592433361995</v>
      </c>
      <c r="F5" s="101">
        <f t="shared" si="2"/>
        <v>21.56775580395529</v>
      </c>
      <c r="G5" s="101">
        <f t="shared" si="2"/>
        <v>21.16620808254514</v>
      </c>
      <c r="H5" s="101">
        <f t="shared" si="2"/>
        <v>22.429492691315559</v>
      </c>
      <c r="I5" s="101">
        <f t="shared" si="2"/>
        <v>21.531814273430779</v>
      </c>
      <c r="J5" s="101">
        <f t="shared" si="2"/>
        <v>22.921410146173692</v>
      </c>
      <c r="K5" s="101">
        <f t="shared" si="2"/>
        <v>20.4719690455718</v>
      </c>
      <c r="L5" s="101">
        <f t="shared" si="2"/>
        <v>19.801289767841791</v>
      </c>
      <c r="M5" s="101">
        <f t="shared" si="2"/>
        <v>19.470593293207219</v>
      </c>
      <c r="N5" s="101">
        <f t="shared" si="2"/>
        <v>19.30834049871023</v>
      </c>
      <c r="O5" s="101">
        <f t="shared" si="2"/>
        <v>17.229578675838351</v>
      </c>
      <c r="P5" s="101">
        <f t="shared" si="2"/>
        <v>15.373688736027511</v>
      </c>
      <c r="Q5" s="101">
        <f t="shared" si="2"/>
        <v>15.00094582975064</v>
      </c>
      <c r="R5" s="101">
        <f t="shared" si="2"/>
        <v>14.462768701633699</v>
      </c>
      <c r="S5" s="101">
        <f t="shared" si="2"/>
        <v>13.352450558899401</v>
      </c>
      <c r="T5" s="101">
        <f t="shared" si="2"/>
        <v>14.269647463456581</v>
      </c>
      <c r="U5" s="101">
        <f t="shared" si="2"/>
        <v>14.23740326741186</v>
      </c>
      <c r="V5" s="101">
        <f t="shared" si="2"/>
        <v>13.91650902837489</v>
      </c>
      <c r="W5" s="101">
        <f t="shared" ref="W5:Y5" si="3">SUM(W6:W7)</f>
        <v>11.392949269131559</v>
      </c>
      <c r="X5" s="101">
        <f t="shared" si="3"/>
        <v>13.543594153052451</v>
      </c>
      <c r="Y5" s="101">
        <f t="shared" si="3"/>
        <v>12.582975064488391</v>
      </c>
      <c r="DA5" s="175"/>
    </row>
    <row r="6" spans="1:105" ht="11.45" customHeight="1" x14ac:dyDescent="0.25">
      <c r="A6" s="164" t="s">
        <v>175</v>
      </c>
      <c r="B6" s="165">
        <v>24.648925193465171</v>
      </c>
      <c r="C6" s="165">
        <v>24.648925193465171</v>
      </c>
      <c r="D6" s="165">
        <v>27.73000859845228</v>
      </c>
      <c r="E6" s="165">
        <v>25.67592433361995</v>
      </c>
      <c r="F6" s="165">
        <v>21.56775580395529</v>
      </c>
      <c r="G6" s="165">
        <v>21.16620808254514</v>
      </c>
      <c r="H6" s="165">
        <v>22.429492691315559</v>
      </c>
      <c r="I6" s="165">
        <v>21.531814273430779</v>
      </c>
      <c r="J6" s="165">
        <v>22.921410146173692</v>
      </c>
      <c r="K6" s="165">
        <v>20.4719690455718</v>
      </c>
      <c r="L6" s="165">
        <v>19.801289767841791</v>
      </c>
      <c r="M6" s="165">
        <v>19.470593293207219</v>
      </c>
      <c r="N6" s="165">
        <v>19.30834049871023</v>
      </c>
      <c r="O6" s="165">
        <v>17.229578675838351</v>
      </c>
      <c r="P6" s="165">
        <v>15.373688736027511</v>
      </c>
      <c r="Q6" s="165">
        <v>15.00094582975064</v>
      </c>
      <c r="R6" s="165">
        <v>14.462768701633699</v>
      </c>
      <c r="S6" s="165">
        <v>13.352450558899401</v>
      </c>
      <c r="T6" s="165">
        <v>14.269647463456581</v>
      </c>
      <c r="U6" s="165">
        <v>14.23740326741186</v>
      </c>
      <c r="V6" s="165">
        <v>13.91650902837489</v>
      </c>
      <c r="W6" s="165">
        <v>11.392949269131559</v>
      </c>
      <c r="X6" s="165">
        <v>12.539208942390371</v>
      </c>
      <c r="Y6" s="165">
        <v>11.57858985382631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1.004385210662081</v>
      </c>
      <c r="Y7" s="167">
        <v>1.004385210662081</v>
      </c>
      <c r="DA7" s="177" t="s">
        <v>1105</v>
      </c>
    </row>
    <row r="8" spans="1:105" ht="11.45" customHeight="1" x14ac:dyDescent="0.25">
      <c r="A8" s="85" t="s">
        <v>91</v>
      </c>
      <c r="B8" s="88">
        <v>274.63456577815992</v>
      </c>
      <c r="C8" s="88">
        <v>246.08770421324161</v>
      </c>
      <c r="D8" s="88">
        <v>246.51762682717111</v>
      </c>
      <c r="E8" s="88">
        <v>244.02407566638001</v>
      </c>
      <c r="F8" s="88">
        <v>257.00773860705073</v>
      </c>
      <c r="G8" s="88">
        <v>242.3043852106621</v>
      </c>
      <c r="H8" s="88">
        <v>248.06534823731729</v>
      </c>
      <c r="I8" s="88">
        <v>251.8486672398968</v>
      </c>
      <c r="J8" s="88">
        <v>203.95528804815129</v>
      </c>
      <c r="K8" s="88">
        <v>209.6302665520206</v>
      </c>
      <c r="L8" s="88">
        <v>206.70679277730011</v>
      </c>
      <c r="M8" s="88">
        <v>226.99914015477211</v>
      </c>
      <c r="N8" s="88">
        <v>230.8684436801376</v>
      </c>
      <c r="O8" s="88">
        <v>236.45743766122101</v>
      </c>
      <c r="P8" s="88">
        <v>224.84952708512469</v>
      </c>
      <c r="Q8" s="88">
        <v>223.1298366294067</v>
      </c>
      <c r="R8" s="88">
        <v>229.0627687016337</v>
      </c>
      <c r="S8" s="88">
        <v>212.8976784178848</v>
      </c>
      <c r="T8" s="88">
        <v>221.23817712811689</v>
      </c>
      <c r="U8" s="88">
        <v>213.4995700773861</v>
      </c>
      <c r="V8" s="88">
        <v>194.4969905417025</v>
      </c>
      <c r="W8" s="88">
        <v>220.03439380911431</v>
      </c>
      <c r="X8" s="88">
        <v>228.7188306104901</v>
      </c>
      <c r="Y8" s="88">
        <v>222.35597592433359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299.28349097162516</v>
      </c>
      <c r="C10" s="62">
        <f t="shared" ref="C10:V10" si="5">SUM(C11,C17)</f>
        <v>270.73662940670675</v>
      </c>
      <c r="D10" s="62">
        <f t="shared" si="5"/>
        <v>274.2476354256234</v>
      </c>
      <c r="E10" s="62">
        <f t="shared" si="5"/>
        <v>269.7</v>
      </c>
      <c r="F10" s="62">
        <f t="shared" si="5"/>
        <v>278.57549441100599</v>
      </c>
      <c r="G10" s="62">
        <f t="shared" si="5"/>
        <v>263.47059329320723</v>
      </c>
      <c r="H10" s="62">
        <f t="shared" si="5"/>
        <v>270.49484092863287</v>
      </c>
      <c r="I10" s="62">
        <f t="shared" si="5"/>
        <v>273.3804815133276</v>
      </c>
      <c r="J10" s="62">
        <f t="shared" si="5"/>
        <v>226.87669819432497</v>
      </c>
      <c r="K10" s="62">
        <f t="shared" si="5"/>
        <v>230.10223559759243</v>
      </c>
      <c r="L10" s="62">
        <f t="shared" si="5"/>
        <v>226.50808254514192</v>
      </c>
      <c r="M10" s="62">
        <f t="shared" si="5"/>
        <v>246.46973344797934</v>
      </c>
      <c r="N10" s="62">
        <f t="shared" si="5"/>
        <v>250.17678417884787</v>
      </c>
      <c r="O10" s="62">
        <f t="shared" si="5"/>
        <v>253.68701633705933</v>
      </c>
      <c r="P10" s="62">
        <f t="shared" si="5"/>
        <v>240.22321582115222</v>
      </c>
      <c r="Q10" s="62">
        <f t="shared" si="5"/>
        <v>238.13078245915733</v>
      </c>
      <c r="R10" s="62">
        <f t="shared" si="5"/>
        <v>243.52553740326741</v>
      </c>
      <c r="S10" s="62">
        <f t="shared" si="5"/>
        <v>226.25012897678423</v>
      </c>
      <c r="T10" s="62">
        <f t="shared" si="5"/>
        <v>235.50782459157341</v>
      </c>
      <c r="U10" s="62">
        <f t="shared" si="5"/>
        <v>227.73697334479795</v>
      </c>
      <c r="V10" s="62">
        <f t="shared" si="5"/>
        <v>208.41349957007736</v>
      </c>
      <c r="W10" s="62">
        <f t="shared" ref="W10:Y10" si="6">SUM(W11,W17)</f>
        <v>231.42734307824588</v>
      </c>
      <c r="X10" s="62">
        <f t="shared" si="6"/>
        <v>242.26242476354253</v>
      </c>
      <c r="Y10" s="62">
        <f t="shared" si="6"/>
        <v>234.938950988822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179.61328115939918</v>
      </c>
      <c r="C11" s="29">
        <f t="shared" ref="C11:V11" si="8">SUM(C12,C13,C16)</f>
        <v>170.49190397181079</v>
      </c>
      <c r="D11" s="29">
        <f t="shared" si="8"/>
        <v>173.46237993055595</v>
      </c>
      <c r="E11" s="29">
        <f t="shared" si="8"/>
        <v>171.10540803084174</v>
      </c>
      <c r="F11" s="29">
        <f t="shared" si="8"/>
        <v>172.54025185948512</v>
      </c>
      <c r="G11" s="29">
        <f t="shared" si="8"/>
        <v>159.42725968409823</v>
      </c>
      <c r="H11" s="29">
        <f t="shared" si="8"/>
        <v>163.22168374972614</v>
      </c>
      <c r="I11" s="29">
        <f t="shared" si="8"/>
        <v>162.90648228914884</v>
      </c>
      <c r="J11" s="29">
        <f t="shared" si="8"/>
        <v>144.89010331474557</v>
      </c>
      <c r="K11" s="29">
        <f t="shared" si="8"/>
        <v>156.45676389808909</v>
      </c>
      <c r="L11" s="29">
        <f t="shared" si="8"/>
        <v>149.89605708713441</v>
      </c>
      <c r="M11" s="29">
        <f t="shared" si="8"/>
        <v>164.57416475219867</v>
      </c>
      <c r="N11" s="29">
        <f t="shared" si="8"/>
        <v>173.29095353031741</v>
      </c>
      <c r="O11" s="29">
        <f t="shared" si="8"/>
        <v>180.34599050560175</v>
      </c>
      <c r="P11" s="29">
        <f t="shared" si="8"/>
        <v>175.08396021453967</v>
      </c>
      <c r="Q11" s="29">
        <f t="shared" si="8"/>
        <v>175.81684023596983</v>
      </c>
      <c r="R11" s="29">
        <f t="shared" si="8"/>
        <v>181.89672012438925</v>
      </c>
      <c r="S11" s="29">
        <f t="shared" si="8"/>
        <v>164.32678345695481</v>
      </c>
      <c r="T11" s="29">
        <f t="shared" si="8"/>
        <v>177.1971860201823</v>
      </c>
      <c r="U11" s="29">
        <f t="shared" si="8"/>
        <v>172.18935924457222</v>
      </c>
      <c r="V11" s="29">
        <f t="shared" si="8"/>
        <v>155.20579298428947</v>
      </c>
      <c r="W11" s="29">
        <f t="shared" ref="W11:Y11" si="9">SUM(W12,W13,W16)</f>
        <v>173.29089476865875</v>
      </c>
      <c r="X11" s="29">
        <f t="shared" si="9"/>
        <v>161.42487170451534</v>
      </c>
      <c r="Y11" s="29">
        <f t="shared" si="9"/>
        <v>163.02095526188711</v>
      </c>
      <c r="DA11" s="173" t="s">
        <v>395</v>
      </c>
    </row>
    <row r="12" spans="1:105" ht="11.45" customHeight="1" x14ac:dyDescent="0.25">
      <c r="A12" s="107" t="s">
        <v>23</v>
      </c>
      <c r="B12" s="115">
        <v>13.159133621069508</v>
      </c>
      <c r="C12" s="115">
        <v>13.060838119795735</v>
      </c>
      <c r="D12" s="115">
        <v>12.061395205247324</v>
      </c>
      <c r="E12" s="115">
        <v>11.956159866324967</v>
      </c>
      <c r="F12" s="115">
        <v>11.880759165510957</v>
      </c>
      <c r="G12" s="115">
        <v>11.500950285146017</v>
      </c>
      <c r="H12" s="115">
        <v>12.073210807926676</v>
      </c>
      <c r="I12" s="115">
        <v>12.487855243274488</v>
      </c>
      <c r="J12" s="115">
        <v>12.326539414169222</v>
      </c>
      <c r="K12" s="115">
        <v>12.254763308428476</v>
      </c>
      <c r="L12" s="115">
        <v>12.377476769679815</v>
      </c>
      <c r="M12" s="115">
        <v>12.646943657447071</v>
      </c>
      <c r="N12" s="115">
        <v>12.761261139306418</v>
      </c>
      <c r="O12" s="115">
        <v>13.074526339320876</v>
      </c>
      <c r="P12" s="115">
        <v>12.859609085255608</v>
      </c>
      <c r="Q12" s="115">
        <v>13.075352244082447</v>
      </c>
      <c r="R12" s="115">
        <v>13.546857326081748</v>
      </c>
      <c r="S12" s="115">
        <v>13.609687246394479</v>
      </c>
      <c r="T12" s="115">
        <v>13.298114716520246</v>
      </c>
      <c r="U12" s="115">
        <v>13.07506667710912</v>
      </c>
      <c r="V12" s="115">
        <v>12.991403951960494</v>
      </c>
      <c r="W12" s="115">
        <v>13.027991914115624</v>
      </c>
      <c r="X12" s="115">
        <v>11.774993648250192</v>
      </c>
      <c r="Y12" s="115">
        <v>11.773658725270806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136.40813675975343</v>
      </c>
      <c r="C13" s="116">
        <f t="shared" ref="C13:V13" si="11">SUM(C14:C15)</f>
        <v>125.62672829263209</v>
      </c>
      <c r="D13" s="116">
        <f t="shared" si="11"/>
        <v>128.02549618147046</v>
      </c>
      <c r="E13" s="116">
        <f t="shared" si="11"/>
        <v>126.1178673878287</v>
      </c>
      <c r="F13" s="116">
        <f t="shared" si="11"/>
        <v>127.90298973408284</v>
      </c>
      <c r="G13" s="116">
        <f t="shared" si="11"/>
        <v>116.95578138827294</v>
      </c>
      <c r="H13" s="116">
        <f t="shared" si="11"/>
        <v>122.41187642760896</v>
      </c>
      <c r="I13" s="116">
        <f t="shared" si="11"/>
        <v>122.03165154522459</v>
      </c>
      <c r="J13" s="116">
        <f t="shared" si="11"/>
        <v>103.66454637438703</v>
      </c>
      <c r="K13" s="116">
        <f t="shared" si="11"/>
        <v>114.70767237077079</v>
      </c>
      <c r="L13" s="116">
        <f t="shared" si="11"/>
        <v>109.20365583889358</v>
      </c>
      <c r="M13" s="116">
        <f t="shared" si="11"/>
        <v>123.07033726662617</v>
      </c>
      <c r="N13" s="116">
        <f t="shared" si="11"/>
        <v>131.60258486972634</v>
      </c>
      <c r="O13" s="116">
        <f t="shared" si="11"/>
        <v>136.70453323160919</v>
      </c>
      <c r="P13" s="116">
        <f t="shared" si="11"/>
        <v>128.27979982845633</v>
      </c>
      <c r="Q13" s="116">
        <f t="shared" si="11"/>
        <v>130.6924872828705</v>
      </c>
      <c r="R13" s="116">
        <f t="shared" si="11"/>
        <v>135.35950614377327</v>
      </c>
      <c r="S13" s="116">
        <f t="shared" si="11"/>
        <v>115.74276775247688</v>
      </c>
      <c r="T13" s="116">
        <f t="shared" si="11"/>
        <v>130.67123755686626</v>
      </c>
      <c r="U13" s="116">
        <f t="shared" si="11"/>
        <v>122.76564198725336</v>
      </c>
      <c r="V13" s="116">
        <f t="shared" si="11"/>
        <v>113.14893264970146</v>
      </c>
      <c r="W13" s="116">
        <f t="shared" ref="W13:Y13" si="12">SUM(W14:W15)</f>
        <v>130.60979187975175</v>
      </c>
      <c r="X13" s="116">
        <f t="shared" si="12"/>
        <v>120.1451930001009</v>
      </c>
      <c r="Y13" s="116">
        <f t="shared" si="12"/>
        <v>121.85344316596814</v>
      </c>
      <c r="DA13" s="176" t="s">
        <v>397</v>
      </c>
    </row>
    <row r="14" spans="1:105" ht="11.45" customHeight="1" x14ac:dyDescent="0.25">
      <c r="A14" s="111" t="s">
        <v>95</v>
      </c>
      <c r="B14" s="87">
        <v>9.3834067972037456</v>
      </c>
      <c r="C14" s="87">
        <v>10.614999351554172</v>
      </c>
      <c r="D14" s="87">
        <v>14.731957378248129</v>
      </c>
      <c r="E14" s="87">
        <v>11.724693604154954</v>
      </c>
      <c r="F14" s="87">
        <v>6.3887342487498424</v>
      </c>
      <c r="G14" s="87">
        <v>5.1393579416405419</v>
      </c>
      <c r="H14" s="87">
        <v>7.3713605853152915</v>
      </c>
      <c r="I14" s="87">
        <v>6.9493689279829578</v>
      </c>
      <c r="J14" s="87">
        <v>8.7799964819241136</v>
      </c>
      <c r="K14" s="87">
        <v>8.7288894867361098</v>
      </c>
      <c r="L14" s="87">
        <v>7.5665425323123117</v>
      </c>
      <c r="M14" s="87">
        <v>5.9398542956855218</v>
      </c>
      <c r="N14" s="87">
        <v>8.1359970554460013</v>
      </c>
      <c r="O14" s="87">
        <v>6.054601417898601</v>
      </c>
      <c r="P14" s="87">
        <v>6.4020158303992902</v>
      </c>
      <c r="Q14" s="87">
        <v>5.8226942587612847</v>
      </c>
      <c r="R14" s="87">
        <v>5.6871607128019681</v>
      </c>
      <c r="S14" s="87">
        <v>6.1778007568219424</v>
      </c>
      <c r="T14" s="87">
        <v>6.2670319745778595</v>
      </c>
      <c r="U14" s="87">
        <v>6.3415260426632249</v>
      </c>
      <c r="V14" s="87">
        <v>5.70720814717781</v>
      </c>
      <c r="W14" s="87">
        <v>4.0474459452577189</v>
      </c>
      <c r="X14" s="87">
        <v>4.287707025222768</v>
      </c>
      <c r="Y14" s="87">
        <v>4.2385266122926737</v>
      </c>
      <c r="DA14" s="171" t="s">
        <v>1108</v>
      </c>
    </row>
    <row r="15" spans="1:105" ht="11.45" customHeight="1" x14ac:dyDescent="0.25">
      <c r="A15" s="111" t="s">
        <v>93</v>
      </c>
      <c r="B15" s="87">
        <v>127.02472996254969</v>
      </c>
      <c r="C15" s="87">
        <v>115.01172894107792</v>
      </c>
      <c r="D15" s="87">
        <v>113.29353880322232</v>
      </c>
      <c r="E15" s="87">
        <v>114.39317378367375</v>
      </c>
      <c r="F15" s="87">
        <v>121.514255485333</v>
      </c>
      <c r="G15" s="87">
        <v>111.8164234466324</v>
      </c>
      <c r="H15" s="87">
        <v>115.04051584229367</v>
      </c>
      <c r="I15" s="87">
        <v>115.08228261724163</v>
      </c>
      <c r="J15" s="87">
        <v>94.884549892462914</v>
      </c>
      <c r="K15" s="87">
        <v>105.97878288403469</v>
      </c>
      <c r="L15" s="87">
        <v>101.63711330658127</v>
      </c>
      <c r="M15" s="87">
        <v>117.13048297094065</v>
      </c>
      <c r="N15" s="87">
        <v>123.46658781428033</v>
      </c>
      <c r="O15" s="87">
        <v>130.64993181371059</v>
      </c>
      <c r="P15" s="87">
        <v>121.87778399805705</v>
      </c>
      <c r="Q15" s="87">
        <v>124.86979302410921</v>
      </c>
      <c r="R15" s="87">
        <v>129.67234543097132</v>
      </c>
      <c r="S15" s="87">
        <v>109.56496699565494</v>
      </c>
      <c r="T15" s="87">
        <v>124.40420558228841</v>
      </c>
      <c r="U15" s="87">
        <v>116.42411594459014</v>
      </c>
      <c r="V15" s="87">
        <v>107.44172450252366</v>
      </c>
      <c r="W15" s="87">
        <v>126.56234593449403</v>
      </c>
      <c r="X15" s="87">
        <v>115.85748597487813</v>
      </c>
      <c r="Y15" s="87">
        <v>117.61491655367547</v>
      </c>
      <c r="DA15" s="171" t="s">
        <v>1109</v>
      </c>
    </row>
    <row r="16" spans="1:105" ht="11.45" customHeight="1" x14ac:dyDescent="0.25">
      <c r="A16" s="112" t="s">
        <v>25</v>
      </c>
      <c r="B16" s="117">
        <v>30.046010778576221</v>
      </c>
      <c r="C16" s="117">
        <v>31.804337559382969</v>
      </c>
      <c r="D16" s="117">
        <v>33.375488543838173</v>
      </c>
      <c r="E16" s="117">
        <v>33.031380776688081</v>
      </c>
      <c r="F16" s="117">
        <v>32.756502959891314</v>
      </c>
      <c r="G16" s="117">
        <v>30.970528010679278</v>
      </c>
      <c r="H16" s="117">
        <v>28.736596514190499</v>
      </c>
      <c r="I16" s="117">
        <v>28.386975500649765</v>
      </c>
      <c r="J16" s="117">
        <v>28.899017526189329</v>
      </c>
      <c r="K16" s="117">
        <v>29.494328218889827</v>
      </c>
      <c r="L16" s="117">
        <v>28.314924478561011</v>
      </c>
      <c r="M16" s="117">
        <v>28.856883828125444</v>
      </c>
      <c r="N16" s="117">
        <v>28.927107521284654</v>
      </c>
      <c r="O16" s="117">
        <v>30.566930934671696</v>
      </c>
      <c r="P16" s="117">
        <v>33.944551300827733</v>
      </c>
      <c r="Q16" s="117">
        <v>32.049000709016894</v>
      </c>
      <c r="R16" s="117">
        <v>32.990356654534224</v>
      </c>
      <c r="S16" s="117">
        <v>34.974328458083448</v>
      </c>
      <c r="T16" s="117">
        <v>33.22783374679581</v>
      </c>
      <c r="U16" s="117">
        <v>36.34865058020975</v>
      </c>
      <c r="V16" s="117">
        <v>29.065456382627524</v>
      </c>
      <c r="W16" s="117">
        <v>29.653110974791371</v>
      </c>
      <c r="X16" s="117">
        <v>29.504685056164242</v>
      </c>
      <c r="Y16" s="117">
        <v>29.393853370648149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119.67020981222595</v>
      </c>
      <c r="C17" s="29">
        <f t="shared" si="13"/>
        <v>100.24472543489598</v>
      </c>
      <c r="D17" s="29">
        <f t="shared" si="13"/>
        <v>100.78525549506746</v>
      </c>
      <c r="E17" s="29">
        <f t="shared" si="13"/>
        <v>98.59459196915823</v>
      </c>
      <c r="F17" s="29">
        <f t="shared" si="13"/>
        <v>106.03524255152088</v>
      </c>
      <c r="G17" s="29">
        <f t="shared" si="13"/>
        <v>104.043333609109</v>
      </c>
      <c r="H17" s="29">
        <f t="shared" si="13"/>
        <v>107.27315717890673</v>
      </c>
      <c r="I17" s="29">
        <f t="shared" si="13"/>
        <v>110.47399922417875</v>
      </c>
      <c r="J17" s="29">
        <f t="shared" si="13"/>
        <v>81.9865948795794</v>
      </c>
      <c r="K17" s="29">
        <f t="shared" si="13"/>
        <v>73.645471699503318</v>
      </c>
      <c r="L17" s="29">
        <f t="shared" si="13"/>
        <v>76.612025458007494</v>
      </c>
      <c r="M17" s="29">
        <f t="shared" si="13"/>
        <v>81.895568695780668</v>
      </c>
      <c r="N17" s="29">
        <f t="shared" si="13"/>
        <v>76.885830648530444</v>
      </c>
      <c r="O17" s="29">
        <f t="shared" si="13"/>
        <v>73.341025831457571</v>
      </c>
      <c r="P17" s="29">
        <f t="shared" si="13"/>
        <v>65.139255606612537</v>
      </c>
      <c r="Q17" s="29">
        <f t="shared" si="13"/>
        <v>62.313942223187503</v>
      </c>
      <c r="R17" s="29">
        <f t="shared" si="13"/>
        <v>61.628817278878167</v>
      </c>
      <c r="S17" s="29">
        <f t="shared" si="13"/>
        <v>61.923345519829411</v>
      </c>
      <c r="T17" s="29">
        <f t="shared" si="13"/>
        <v>58.310638571391124</v>
      </c>
      <c r="U17" s="29">
        <f t="shared" si="13"/>
        <v>55.547614100225744</v>
      </c>
      <c r="V17" s="29">
        <f t="shared" si="13"/>
        <v>53.207706585787903</v>
      </c>
      <c r="W17" s="29">
        <f t="shared" si="13"/>
        <v>58.136448309587138</v>
      </c>
      <c r="X17" s="29">
        <f t="shared" ref="X17:Y17" si="14">SUM(X18:X19)</f>
        <v>80.837553059027186</v>
      </c>
      <c r="Y17" s="29">
        <f t="shared" si="14"/>
        <v>71.91799572693489</v>
      </c>
      <c r="DA17" s="173" t="s">
        <v>402</v>
      </c>
    </row>
    <row r="18" spans="1:105" ht="11.45" customHeight="1" x14ac:dyDescent="0.25">
      <c r="A18" s="83" t="s">
        <v>95</v>
      </c>
      <c r="B18" s="87">
        <v>15.265518396261426</v>
      </c>
      <c r="C18" s="87">
        <v>14.033925841911</v>
      </c>
      <c r="D18" s="87">
        <v>12.998051220204152</v>
      </c>
      <c r="E18" s="87">
        <v>13.951230729464992</v>
      </c>
      <c r="F18" s="87">
        <v>15.179021555205448</v>
      </c>
      <c r="G18" s="87">
        <v>16.026850140904596</v>
      </c>
      <c r="H18" s="87">
        <v>15.058132106000267</v>
      </c>
      <c r="I18" s="87">
        <v>14.58244534544782</v>
      </c>
      <c r="J18" s="87">
        <v>14.141413664249576</v>
      </c>
      <c r="K18" s="87">
        <v>11.74307955883569</v>
      </c>
      <c r="L18" s="87">
        <v>12.234747235529479</v>
      </c>
      <c r="M18" s="87">
        <v>13.530738997521695</v>
      </c>
      <c r="N18" s="87">
        <v>11.172343443264227</v>
      </c>
      <c r="O18" s="87">
        <v>11.17497725793975</v>
      </c>
      <c r="P18" s="87">
        <v>8.9716729056282194</v>
      </c>
      <c r="Q18" s="87">
        <v>9.1782515709893548</v>
      </c>
      <c r="R18" s="87">
        <v>8.775607988831732</v>
      </c>
      <c r="S18" s="87">
        <v>7.1746498020774592</v>
      </c>
      <c r="T18" s="87">
        <v>8.0026154888787211</v>
      </c>
      <c r="U18" s="87">
        <v>7.8958772247486362</v>
      </c>
      <c r="V18" s="87">
        <v>8.2093008811970805</v>
      </c>
      <c r="W18" s="87">
        <v>7.3455033238738396</v>
      </c>
      <c r="X18" s="87">
        <v>9.2558871278296841</v>
      </c>
      <c r="Y18" s="87">
        <v>8.3444484521957172</v>
      </c>
      <c r="DA18" s="171" t="s">
        <v>1110</v>
      </c>
    </row>
    <row r="19" spans="1:105" ht="11.45" customHeight="1" x14ac:dyDescent="0.25">
      <c r="A19" s="85" t="s">
        <v>93</v>
      </c>
      <c r="B19" s="88">
        <v>104.40469141596452</v>
      </c>
      <c r="C19" s="88">
        <v>86.210799592984984</v>
      </c>
      <c r="D19" s="88">
        <v>87.787204274863313</v>
      </c>
      <c r="E19" s="88">
        <v>84.643361239693235</v>
      </c>
      <c r="F19" s="88">
        <v>90.856220996315429</v>
      </c>
      <c r="G19" s="88">
        <v>88.016483468204399</v>
      </c>
      <c r="H19" s="88">
        <v>92.215025072906457</v>
      </c>
      <c r="I19" s="88">
        <v>95.891553878730932</v>
      </c>
      <c r="J19" s="88">
        <v>67.845181215329831</v>
      </c>
      <c r="K19" s="88">
        <v>61.902392140667629</v>
      </c>
      <c r="L19" s="88">
        <v>64.377278222478012</v>
      </c>
      <c r="M19" s="88">
        <v>68.364829698258973</v>
      </c>
      <c r="N19" s="88">
        <v>65.713487205266219</v>
      </c>
      <c r="O19" s="88">
        <v>62.166048573517827</v>
      </c>
      <c r="P19" s="88">
        <v>56.167582700984312</v>
      </c>
      <c r="Q19" s="88">
        <v>53.13569065219815</v>
      </c>
      <c r="R19" s="88">
        <v>52.853209290046436</v>
      </c>
      <c r="S19" s="88">
        <v>54.74869571775195</v>
      </c>
      <c r="T19" s="88">
        <v>50.308023082512399</v>
      </c>
      <c r="U19" s="88">
        <v>47.651736875477106</v>
      </c>
      <c r="V19" s="88">
        <v>44.998405704590823</v>
      </c>
      <c r="W19" s="88">
        <v>50.790944985713296</v>
      </c>
      <c r="X19" s="88">
        <v>71.581665931197506</v>
      </c>
      <c r="Y19" s="88">
        <v>63.573547274739177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200.12691592357777</v>
      </c>
      <c r="C23" s="62">
        <f>IF(C10=0,0,C10/TrRail_act!C14*100)</f>
        <v>181.37600531896675</v>
      </c>
      <c r="D23" s="62">
        <f>IF(D10=0,0,D10/TrRail_act!D14*100)</f>
        <v>180.87750917300539</v>
      </c>
      <c r="E23" s="62">
        <f>IF(E10=0,0,E10/TrRail_act!E14*100)</f>
        <v>175.65699863309129</v>
      </c>
      <c r="F23" s="62">
        <f>IF(F10=0,0,F10/TrRail_act!F14*100)</f>
        <v>172.21371840054425</v>
      </c>
      <c r="G23" s="62">
        <f>IF(G10=0,0,G10/TrRail_act!G14*100)</f>
        <v>166.70745076919067</v>
      </c>
      <c r="H23" s="62">
        <f>IF(H10=0,0,H10/TrRail_act!H14*100)</f>
        <v>163.2965694398068</v>
      </c>
      <c r="I23" s="62">
        <f>IF(I10=0,0,I10/TrRail_act!I14*100)</f>
        <v>155.74217412563564</v>
      </c>
      <c r="J23" s="62">
        <f>IF(J10=0,0,J10/TrRail_act!J14*100)</f>
        <v>144.88138482998468</v>
      </c>
      <c r="K23" s="62">
        <f>IF(K10=0,0,K10/TrRail_act!K14*100)</f>
        <v>141.26170294678448</v>
      </c>
      <c r="L23" s="62">
        <f>IF(L10=0,0,L10/TrRail_act!L14*100)</f>
        <v>138.66959169912926</v>
      </c>
      <c r="M23" s="62">
        <f>IF(M10=0,0,M10/TrRail_act!M14*100)</f>
        <v>137.91241724150868</v>
      </c>
      <c r="N23" s="62">
        <f>IF(N10=0,0,N10/TrRail_act!N14*100)</f>
        <v>135.17987554786251</v>
      </c>
      <c r="O23" s="62">
        <f>IF(O10=0,0,O10/TrRail_act!O14*100)</f>
        <v>131.96502420107191</v>
      </c>
      <c r="P23" s="62">
        <f>IF(P10=0,0,P10/TrRail_act!P14*100)</f>
        <v>128.76998074685795</v>
      </c>
      <c r="Q23" s="62">
        <f>IF(Q10=0,0,Q10/TrRail_act!Q14*100)</f>
        <v>126.27154270223019</v>
      </c>
      <c r="R23" s="62">
        <f>IF(R10=0,0,R10/TrRail_act!R14*100)</f>
        <v>124.04662613394588</v>
      </c>
      <c r="S23" s="62">
        <f>IF(S10=0,0,S10/TrRail_act!S14*100)</f>
        <v>122.80533699464694</v>
      </c>
      <c r="T23" s="62">
        <f>IF(T10=0,0,T10/TrRail_act!T14*100)</f>
        <v>121.38544400180298</v>
      </c>
      <c r="U23" s="62">
        <f>IF(U10=0,0,U10/TrRail_act!U14*100)</f>
        <v>121.05136025955549</v>
      </c>
      <c r="V23" s="62">
        <f>IF(V10=0,0,V10/TrRail_act!V14*100)</f>
        <v>118.85860435583453</v>
      </c>
      <c r="W23" s="62">
        <f>IF(W10=0,0,W10/TrRail_act!W14*100)</f>
        <v>118.47055934803987</v>
      </c>
      <c r="X23" s="62">
        <f>IF(X10=0,0,X10/TrRail_act!X14*100)</f>
        <v>122.34042165372476</v>
      </c>
      <c r="Y23" s="62">
        <f>IF(Y10=0,0,Y10/TrRail_act!Y14*100)</f>
        <v>120.91608449101838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166.55682179787979</v>
      </c>
      <c r="C24" s="29">
        <f>IF(C11=0,0,C11/TrRail_act!C15*100)</f>
        <v>154.56161986208878</v>
      </c>
      <c r="D24" s="29">
        <f>IF(D11=0,0,D11/TrRail_act!D15*100)</f>
        <v>154.84987851697147</v>
      </c>
      <c r="E24" s="29">
        <f>IF(E11=0,0,E11/TrRail_act!E15*100)</f>
        <v>150.39193713491866</v>
      </c>
      <c r="F24" s="29">
        <f>IF(F11=0,0,F11/TrRail_act!F15*100)</f>
        <v>146.09786577216215</v>
      </c>
      <c r="G24" s="29">
        <f>IF(G11=0,0,G11/TrRail_act!G15*100)</f>
        <v>140.18337757852561</v>
      </c>
      <c r="H24" s="29">
        <f>IF(H11=0,0,H11/TrRail_act!H15*100)</f>
        <v>136.95957280081782</v>
      </c>
      <c r="I24" s="29">
        <f>IF(I11=0,0,I11/TrRail_act!I15*100)</f>
        <v>130.83136677955963</v>
      </c>
      <c r="J24" s="29">
        <f>IF(J11=0,0,J11/TrRail_act!J15*100)</f>
        <v>126.64528263585531</v>
      </c>
      <c r="K24" s="29">
        <f>IF(K11=0,0,K11/TrRail_act!K15*100)</f>
        <v>125.82212975062713</v>
      </c>
      <c r="L24" s="29">
        <f>IF(L11=0,0,L11/TrRail_act!L15*100)</f>
        <v>121.9763458748575</v>
      </c>
      <c r="M24" s="29">
        <f>IF(M11=0,0,M11/TrRail_act!M15*100)</f>
        <v>121.59092017593596</v>
      </c>
      <c r="N24" s="29">
        <f>IF(N11=0,0,N11/TrRail_act!N15*100)</f>
        <v>120.96249596161172</v>
      </c>
      <c r="O24" s="29">
        <f>IF(O11=0,0,O11/TrRail_act!O15*100)</f>
        <v>118.58537563690552</v>
      </c>
      <c r="P24" s="29">
        <f>IF(P11=0,0,P11/TrRail_act!P15*100)</f>
        <v>117.14888604318141</v>
      </c>
      <c r="Q24" s="29">
        <f>IF(Q11=0,0,Q11/TrRail_act!Q15*100)</f>
        <v>114.81676998023885</v>
      </c>
      <c r="R24" s="29">
        <f>IF(R11=0,0,R11/TrRail_act!R15*100)</f>
        <v>113.11957198445359</v>
      </c>
      <c r="S24" s="29">
        <f>IF(S11=0,0,S11/TrRail_act!S15*100)</f>
        <v>111.44320140465551</v>
      </c>
      <c r="T24" s="29">
        <f>IF(T11=0,0,T11/TrRail_act!T15*100)</f>
        <v>111.16348676829139</v>
      </c>
      <c r="U24" s="29">
        <f>IF(U11=0,0,U11/TrRail_act!U15*100)</f>
        <v>111.14538739969943</v>
      </c>
      <c r="V24" s="29">
        <f>IF(V11=0,0,V11/TrRail_act!V15*100)</f>
        <v>108.11807964784225</v>
      </c>
      <c r="W24" s="29">
        <f>IF(W11=0,0,W11/TrRail_act!W15*100)</f>
        <v>108.49644051059879</v>
      </c>
      <c r="X24" s="29">
        <f>IF(X11=0,0,X11/TrRail_act!X15*100)</f>
        <v>109.17170007902095</v>
      </c>
      <c r="Y24" s="29">
        <f>IF(Y11=0,0,Y11/TrRail_act!Y15*100)</f>
        <v>108.99191684488494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48.82017905386283</v>
      </c>
      <c r="C25" s="115">
        <f>IF(C12=0,0,C12/TrRail_act!C16*100)</f>
        <v>47.500319310400471</v>
      </c>
      <c r="D25" s="115">
        <f>IF(D12=0,0,D12/TrRail_act!D16*100)</f>
        <v>46.447262471992076</v>
      </c>
      <c r="E25" s="115">
        <f>IF(E12=0,0,E12/TrRail_act!E16*100)</f>
        <v>45.25067659378913</v>
      </c>
      <c r="F25" s="115">
        <f>IF(F12=0,0,F12/TrRail_act!F16*100)</f>
        <v>44.44158544709628</v>
      </c>
      <c r="G25" s="115">
        <f>IF(G12=0,0,G12/TrRail_act!G16*100)</f>
        <v>43.702097246356686</v>
      </c>
      <c r="H25" s="115">
        <f>IF(H12=0,0,H12/TrRail_act!H16*100)</f>
        <v>42.871761973864672</v>
      </c>
      <c r="I25" s="115">
        <f>IF(I12=0,0,I12/TrRail_act!I16*100)</f>
        <v>42.310221390407015</v>
      </c>
      <c r="J25" s="115">
        <f>IF(J12=0,0,J12/TrRail_act!J16*100)</f>
        <v>41.911685635192377</v>
      </c>
      <c r="K25" s="115">
        <f>IF(K12=0,0,K12/TrRail_act!K16*100)</f>
        <v>41.333855448713088</v>
      </c>
      <c r="L25" s="115">
        <f>IF(L12=0,0,L12/TrRail_act!L16*100)</f>
        <v>40.980130375397181</v>
      </c>
      <c r="M25" s="115">
        <f>IF(M12=0,0,M12/TrRail_act!M16*100)</f>
        <v>40.844935289253684</v>
      </c>
      <c r="N25" s="115">
        <f>IF(N12=0,0,N12/TrRail_act!N16*100)</f>
        <v>40.375660820227374</v>
      </c>
      <c r="O25" s="115">
        <f>IF(O12=0,0,O12/TrRail_act!O16*100)</f>
        <v>39.894060366176056</v>
      </c>
      <c r="P25" s="115">
        <f>IF(P12=0,0,P12/TrRail_act!P16*100)</f>
        <v>39.318791578666392</v>
      </c>
      <c r="Q25" s="115">
        <f>IF(Q12=0,0,Q12/TrRail_act!Q16*100)</f>
        <v>39.03980809350692</v>
      </c>
      <c r="R25" s="115">
        <f>IF(R12=0,0,R12/TrRail_act!R16*100)</f>
        <v>38.831870300286589</v>
      </c>
      <c r="S25" s="115">
        <f>IF(S12=0,0,S12/TrRail_act!S16*100)</f>
        <v>38.676644101260834</v>
      </c>
      <c r="T25" s="115">
        <f>IF(T12=0,0,T12/TrRail_act!T16*100)</f>
        <v>38.560631790862118</v>
      </c>
      <c r="U25" s="115">
        <f>IF(U12=0,0,U12/TrRail_act!U16*100)</f>
        <v>38.473850979770255</v>
      </c>
      <c r="V25" s="115">
        <f>IF(V12=0,0,V12/TrRail_act!V16*100)</f>
        <v>38.408893561425437</v>
      </c>
      <c r="W25" s="115">
        <f>IF(W12=0,0,W12/TrRail_act!W16*100)</f>
        <v>38.36024747940035</v>
      </c>
      <c r="X25" s="115">
        <f>IF(X12=0,0,X12/TrRail_act!X16*100)</f>
        <v>38.323803354852636</v>
      </c>
      <c r="Y25" s="115">
        <f>IF(Y12=0,0,Y12/TrRail_act!Y16*100)</f>
        <v>38.296492985655078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199.0926714011573</v>
      </c>
      <c r="C26" s="116">
        <f>IF(C13=0,0,C13/TrRail_act!C17*100)</f>
        <v>181.14138885232802</v>
      </c>
      <c r="D26" s="116">
        <f>IF(D13=0,0,D13/TrRail_act!D17*100)</f>
        <v>178.78359640984408</v>
      </c>
      <c r="E26" s="116">
        <f>IF(E13=0,0,E13/TrRail_act!E17*100)</f>
        <v>173.12484470467027</v>
      </c>
      <c r="F26" s="116">
        <f>IF(F13=0,0,F13/TrRail_act!F17*100)</f>
        <v>166.69290350676127</v>
      </c>
      <c r="G26" s="116">
        <f>IF(G13=0,0,G13/TrRail_act!G17*100)</f>
        <v>159.49034421768269</v>
      </c>
      <c r="H26" s="116">
        <f>IF(H13=0,0,H13/TrRail_act!H17*100)</f>
        <v>157.3946196995808</v>
      </c>
      <c r="I26" s="116">
        <f>IF(I13=0,0,I13/TrRail_act!I17*100)</f>
        <v>149.41785935228842</v>
      </c>
      <c r="J26" s="116">
        <f>IF(J13=0,0,J13/TrRail_act!J17*100)</f>
        <v>145.40126404789834</v>
      </c>
      <c r="K26" s="116">
        <f>IF(K13=0,0,K13/TrRail_act!K17*100)</f>
        <v>142.49519598769672</v>
      </c>
      <c r="L26" s="116">
        <f>IF(L13=0,0,L13/TrRail_act!L17*100)</f>
        <v>138.43251601047217</v>
      </c>
      <c r="M26" s="116">
        <f>IF(M13=0,0,M13/TrRail_act!M17*100)</f>
        <v>136.46068791050612</v>
      </c>
      <c r="N26" s="116">
        <f>IF(N13=0,0,N13/TrRail_act!N17*100)</f>
        <v>135.31878205755808</v>
      </c>
      <c r="O26" s="116">
        <f>IF(O13=0,0,O13/TrRail_act!O17*100)</f>
        <v>131.56301847392487</v>
      </c>
      <c r="P26" s="116">
        <f>IF(P13=0,0,P13/TrRail_act!P17*100)</f>
        <v>128.99155924232389</v>
      </c>
      <c r="Q26" s="116">
        <f>IF(Q13=0,0,Q13/TrRail_act!Q17*100)</f>
        <v>126.71880005595449</v>
      </c>
      <c r="R26" s="116">
        <f>IF(R13=0,0,R13/TrRail_act!R17*100)</f>
        <v>124.50918907495362</v>
      </c>
      <c r="S26" s="116">
        <f>IF(S13=0,0,S13/TrRail_act!S17*100)</f>
        <v>123.43919220973736</v>
      </c>
      <c r="T26" s="116">
        <f>IF(T13=0,0,T13/TrRail_act!T17*100)</f>
        <v>122.05542064192178</v>
      </c>
      <c r="U26" s="116">
        <f>IF(U13=0,0,U13/TrRail_act!U17*100)</f>
        <v>121.34555579618191</v>
      </c>
      <c r="V26" s="116">
        <f>IF(V13=0,0,V13/TrRail_act!V17*100)</f>
        <v>120.65435108124522</v>
      </c>
      <c r="W26" s="116">
        <f>IF(W13=0,0,W13/TrRail_act!W17*100)</f>
        <v>119.4117439333406</v>
      </c>
      <c r="X26" s="116">
        <f>IF(X13=0,0,X13/TrRail_act!X17*100)</f>
        <v>119.24154672366913</v>
      </c>
      <c r="Y26" s="116">
        <f>IF(Y13=0,0,Y13/TrRail_act!Y17*100)</f>
        <v>118.94208513903348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280.02192937267</v>
      </c>
      <c r="C27" s="87">
        <f>IF(C14=0,0,C14/TrRail_act!C18*100)</f>
        <v>271.44010863068939</v>
      </c>
      <c r="D27" s="87">
        <f>IF(D14=0,0,D14/TrRail_act!D18*100)</f>
        <v>263.53434049807987</v>
      </c>
      <c r="E27" s="87">
        <f>IF(E14=0,0,E14/TrRail_act!E18*100)</f>
        <v>257.9798317717615</v>
      </c>
      <c r="F27" s="87">
        <f>IF(F14=0,0,F14/TrRail_act!F18*100)</f>
        <v>250.97807555412953</v>
      </c>
      <c r="G27" s="87">
        <f>IF(G14=0,0,G14/TrRail_act!G18*100)</f>
        <v>245.66502134181945</v>
      </c>
      <c r="H27" s="87">
        <f>IF(H14=0,0,H14/TrRail_act!H18*100)</f>
        <v>239.50601292839897</v>
      </c>
      <c r="I27" s="87">
        <f>IF(I14=0,0,I14/TrRail_act!I18*100)</f>
        <v>235.70228789316076</v>
      </c>
      <c r="J27" s="87">
        <f>IF(J14=0,0,J14/TrRail_act!J18*100)</f>
        <v>230.35872714180363</v>
      </c>
      <c r="K27" s="87">
        <f>IF(K14=0,0,K14/TrRail_act!K18*100)</f>
        <v>225.33566212022023</v>
      </c>
      <c r="L27" s="87">
        <f>IF(L14=0,0,L14/TrRail_act!L18*100)</f>
        <v>220.92241407618513</v>
      </c>
      <c r="M27" s="87">
        <f>IF(M14=0,0,M14/TrRail_act!M18*100)</f>
        <v>215.58001093650026</v>
      </c>
      <c r="N27" s="87">
        <f>IF(N14=0,0,N14/TrRail_act!N18*100)</f>
        <v>211.08767253102945</v>
      </c>
      <c r="O27" s="87">
        <f>IF(O14=0,0,O14/TrRail_act!O18*100)</f>
        <v>206.51834700711663</v>
      </c>
      <c r="P27" s="87">
        <f>IF(P14=0,0,P14/TrRail_act!P18*100)</f>
        <v>199.97754910620759</v>
      </c>
      <c r="Q27" s="87">
        <f>IF(Q14=0,0,Q14/TrRail_act!Q18*100)</f>
        <v>192.32679458139776</v>
      </c>
      <c r="R27" s="87">
        <f>IF(R14=0,0,R14/TrRail_act!R18*100)</f>
        <v>186.7814349397855</v>
      </c>
      <c r="S27" s="87">
        <f>IF(S14=0,0,S14/TrRail_act!S18*100)</f>
        <v>182.72759703566405</v>
      </c>
      <c r="T27" s="87">
        <f>IF(T14=0,0,T14/TrRail_act!T18*100)</f>
        <v>179.74506263309365</v>
      </c>
      <c r="U27" s="87">
        <f>IF(U14=0,0,U14/TrRail_act!U18*100)</f>
        <v>177.54015295158774</v>
      </c>
      <c r="V27" s="87">
        <f>IF(V14=0,0,V14/TrRail_act!V18*100)</f>
        <v>175.90423872505684</v>
      </c>
      <c r="W27" s="87">
        <f>IF(W14=0,0,W14/TrRail_act!W18*100)</f>
        <v>174.68720289340126</v>
      </c>
      <c r="X27" s="87">
        <f>IF(X14=0,0,X14/TrRail_act!X18*100)</f>
        <v>173.77995507083313</v>
      </c>
      <c r="Y27" s="87">
        <f>IF(Y14=0,0,Y14/TrRail_act!Y18*100)</f>
        <v>173.1026126910877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194.93101028468774</v>
      </c>
      <c r="C28" s="87">
        <f>IF(C15=0,0,C15/TrRail_act!C19*100)</f>
        <v>175.74542006819973</v>
      </c>
      <c r="D28" s="87">
        <f>IF(D15=0,0,D15/TrRail_act!D19*100)</f>
        <v>171.60734748915758</v>
      </c>
      <c r="E28" s="87">
        <f>IF(E15=0,0,E15/TrRail_act!E19*100)</f>
        <v>167.47869263051675</v>
      </c>
      <c r="F28" s="87">
        <f>IF(F15=0,0,F15/TrRail_act!F19*100)</f>
        <v>163.80076615465123</v>
      </c>
      <c r="G28" s="87">
        <f>IF(G15=0,0,G15/TrRail_act!G19*100)</f>
        <v>156.95971905309301</v>
      </c>
      <c r="H28" s="87">
        <f>IF(H15=0,0,H15/TrRail_act!H19*100)</f>
        <v>154.01135042527184</v>
      </c>
      <c r="I28" s="87">
        <f>IF(I15=0,0,I15/TrRail_act!I19*100)</f>
        <v>146.18629951127949</v>
      </c>
      <c r="J28" s="87">
        <f>IF(J15=0,0,J15/TrRail_act!J19*100)</f>
        <v>140.60293430257715</v>
      </c>
      <c r="K28" s="87">
        <f>IF(K15=0,0,K15/TrRail_act!K19*100)</f>
        <v>138.30728232611568</v>
      </c>
      <c r="L28" s="87">
        <f>IF(L15=0,0,L15/TrRail_act!L19*100)</f>
        <v>134.68850870934159</v>
      </c>
      <c r="M28" s="87">
        <f>IF(M15=0,0,M15/TrRail_act!M19*100)</f>
        <v>133.96736264118306</v>
      </c>
      <c r="N28" s="87">
        <f>IF(N15=0,0,N15/TrRail_act!N19*100)</f>
        <v>132.19202141461867</v>
      </c>
      <c r="O28" s="87">
        <f>IF(O15=0,0,O15/TrRail_act!O19*100)</f>
        <v>129.38676194561657</v>
      </c>
      <c r="P28" s="87">
        <f>IF(P15=0,0,P15/TrRail_act!P19*100)</f>
        <v>126.6304197660473</v>
      </c>
      <c r="Q28" s="87">
        <f>IF(Q15=0,0,Q15/TrRail_act!Q19*100)</f>
        <v>124.73466725537455</v>
      </c>
      <c r="R28" s="87">
        <f>IF(R15=0,0,R15/TrRail_act!R19*100)</f>
        <v>122.71484363758336</v>
      </c>
      <c r="S28" s="87">
        <f>IF(S15=0,0,S15/TrRail_act!S19*100)</f>
        <v>121.22146895535757</v>
      </c>
      <c r="T28" s="87">
        <f>IF(T15=0,0,T15/TrRail_act!T19*100)</f>
        <v>120.11337649611482</v>
      </c>
      <c r="U28" s="87">
        <f>IF(U15=0,0,U15/TrRail_act!U19*100)</f>
        <v>119.28895947617859</v>
      </c>
      <c r="V28" s="87">
        <f>IF(V15=0,0,V15/TrRail_act!V19*100)</f>
        <v>118.67436224064043</v>
      </c>
      <c r="W28" s="87">
        <f>IF(W15=0,0,W15/TrRail_act!W19*100)</f>
        <v>118.21549323024216</v>
      </c>
      <c r="X28" s="87">
        <f>IF(X15=0,0,X15/TrRail_act!X19*100)</f>
        <v>117.87250621488144</v>
      </c>
      <c r="Y28" s="87">
        <f>IF(Y15=0,0,Y15/TrRail_act!Y19*100)</f>
        <v>117.61591916902661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242.89705109640286</v>
      </c>
      <c r="C29" s="117">
        <f>IF(C16=0,0,C16/TrRail_act!C20*100)</f>
        <v>236.33029845925745</v>
      </c>
      <c r="D29" s="117">
        <f>IF(D16=0,0,D16/TrRail_act!D20*100)</f>
        <v>231.09098132352764</v>
      </c>
      <c r="E29" s="117">
        <f>IF(E16=0,0,E16/TrRail_act!E20*100)</f>
        <v>227.75543681842811</v>
      </c>
      <c r="F29" s="117">
        <f>IF(F16=0,0,F16/TrRail_act!F20*100)</f>
        <v>223.8085421296343</v>
      </c>
      <c r="G29" s="117">
        <f>IF(G16=0,0,G16/TrRail_act!G20*100)</f>
        <v>219.96113643948348</v>
      </c>
      <c r="H29" s="117">
        <f>IF(H16=0,0,H16/TrRail_act!H20*100)</f>
        <v>217.04378031865934</v>
      </c>
      <c r="I29" s="117">
        <f>IF(I16=0,0,I16/TrRail_act!I20*100)</f>
        <v>212.95555514365913</v>
      </c>
      <c r="J29" s="117">
        <f>IF(J16=0,0,J16/TrRail_act!J20*100)</f>
        <v>210.94173376780532</v>
      </c>
      <c r="K29" s="117">
        <f>IF(K16=0,0,K16/TrRail_act!K20*100)</f>
        <v>207.70653675274525</v>
      </c>
      <c r="L29" s="117">
        <f>IF(L16=0,0,L16/TrRail_act!L20*100)</f>
        <v>205.18061216348556</v>
      </c>
      <c r="M29" s="117">
        <f>IF(M16=0,0,M16/TrRail_act!M20*100)</f>
        <v>203.21749174736229</v>
      </c>
      <c r="N29" s="117">
        <f>IF(N16=0,0,N16/TrRail_act!N20*100)</f>
        <v>200.88269112003232</v>
      </c>
      <c r="O29" s="117">
        <f>IF(O16=0,0,O16/TrRail_act!O20*100)</f>
        <v>198.48656451085515</v>
      </c>
      <c r="P29" s="117">
        <f>IF(P16=0,0,P16/TrRail_act!P20*100)</f>
        <v>196.21127919553604</v>
      </c>
      <c r="Q29" s="117">
        <f>IF(Q16=0,0,Q16/TrRail_act!Q20*100)</f>
        <v>194.23636793343573</v>
      </c>
      <c r="R29" s="117">
        <f>IF(R16=0,0,R16/TrRail_act!R20*100)</f>
        <v>191.80439915426874</v>
      </c>
      <c r="S29" s="117">
        <f>IF(S16=0,0,S16/TrRail_act!S20*100)</f>
        <v>189.05042409774836</v>
      </c>
      <c r="T29" s="117">
        <f>IF(T16=0,0,T16/TrRail_act!T20*100)</f>
        <v>186.07586898205653</v>
      </c>
      <c r="U29" s="117">
        <f>IF(U16=0,0,U16/TrRail_act!U20*100)</f>
        <v>183.87570706842106</v>
      </c>
      <c r="V29" s="117">
        <f>IF(V16=0,0,V16/TrRail_act!V20*100)</f>
        <v>182.2426746803057</v>
      </c>
      <c r="W29" s="117">
        <f>IF(W16=0,0,W16/TrRail_act!W20*100)</f>
        <v>181.02742520870467</v>
      </c>
      <c r="X29" s="117">
        <f>IF(X16=0,0,X16/TrRail_act!X20*100)</f>
        <v>180.12130908799995</v>
      </c>
      <c r="Y29" s="117">
        <f>IF(Y16=0,0,Y16/TrRail_act!Y20*100)</f>
        <v>179.44469965307164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286.9252233060065</v>
      </c>
      <c r="C30" s="29">
        <f>IF(C17=0,0,C17/TrRail_act!C21*100)</f>
        <v>257.29235055260875</v>
      </c>
      <c r="D30" s="29">
        <f>IF(D17=0,0,D17/TrRail_act!D21*100)</f>
        <v>254.5022292629809</v>
      </c>
      <c r="E30" s="29">
        <f>IF(E17=0,0,E17/TrRail_act!E21*100)</f>
        <v>247.94396294484105</v>
      </c>
      <c r="F30" s="29">
        <f>IF(F17=0,0,F17/TrRail_act!F21*100)</f>
        <v>242.85247931387283</v>
      </c>
      <c r="G30" s="29">
        <f>IF(G17=0,0,G17/TrRail_act!G21*100)</f>
        <v>234.77582895288279</v>
      </c>
      <c r="H30" s="29">
        <f>IF(H17=0,0,H17/TrRail_act!H21*100)</f>
        <v>230.83749315648657</v>
      </c>
      <c r="I30" s="29">
        <f>IF(I17=0,0,I17/TrRail_act!I21*100)</f>
        <v>216.54083651267041</v>
      </c>
      <c r="J30" s="29">
        <f>IF(J17=0,0,J17/TrRail_act!J21*100)</f>
        <v>194.33375551797729</v>
      </c>
      <c r="K30" s="29">
        <f>IF(K17=0,0,K17/TrRail_act!K21*100)</f>
        <v>191.07269368180144</v>
      </c>
      <c r="L30" s="29">
        <f>IF(L17=0,0,L17/TrRail_act!L21*100)</f>
        <v>189.37927281654027</v>
      </c>
      <c r="M30" s="29">
        <f>IF(M17=0,0,M17/TrRail_act!M21*100)</f>
        <v>188.8562256870041</v>
      </c>
      <c r="N30" s="29">
        <f>IF(N17=0,0,N17/TrRail_act!N21*100)</f>
        <v>183.89568739104516</v>
      </c>
      <c r="O30" s="29">
        <f>IF(O17=0,0,O17/TrRail_act!O21*100)</f>
        <v>182.63603276018461</v>
      </c>
      <c r="P30" s="29">
        <f>IF(P17=0,0,P17/TrRail_act!P21*100)</f>
        <v>175.58715380576868</v>
      </c>
      <c r="Q30" s="29">
        <f>IF(Q17=0,0,Q17/TrRail_act!Q21*100)</f>
        <v>175.73978600019623</v>
      </c>
      <c r="R30" s="29">
        <f>IF(R17=0,0,R17/TrRail_act!R21*100)</f>
        <v>173.51751224705703</v>
      </c>
      <c r="S30" s="29">
        <f>IF(S17=0,0,S17/TrRail_act!S21*100)</f>
        <v>168.35516989197041</v>
      </c>
      <c r="T30" s="29">
        <f>IF(T17=0,0,T17/TrRail_act!T21*100)</f>
        <v>168.45871931860992</v>
      </c>
      <c r="U30" s="29">
        <f>IF(U17=0,0,U17/TrRail_act!U21*100)</f>
        <v>167.26227854960638</v>
      </c>
      <c r="V30" s="29">
        <f>IF(V17=0,0,V17/TrRail_act!V21*100)</f>
        <v>167.35339509721106</v>
      </c>
      <c r="W30" s="29">
        <f>IF(W17=0,0,W17/TrRail_act!W21*100)</f>
        <v>163.18765628024619</v>
      </c>
      <c r="X30" s="29">
        <f>IF(X17=0,0,X17/TrRail_act!X21*100)</f>
        <v>161.15967947789628</v>
      </c>
      <c r="Y30" s="29">
        <f>IF(Y17=0,0,Y17/TrRail_act!Y21*100)</f>
        <v>160.79119548907903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515.02312057077245</v>
      </c>
      <c r="C31" s="87">
        <f>IF(C18=0,0,C18/TrRail_act!C22*100)</f>
        <v>509.84271031258766</v>
      </c>
      <c r="D31" s="87">
        <f>IF(D18=0,0,D18/TrRail_act!D22*100)</f>
        <v>500.6690114286946</v>
      </c>
      <c r="E31" s="87">
        <f>IF(E18=0,0,E18/TrRail_act!E22*100)</f>
        <v>492.5111349144654</v>
      </c>
      <c r="F31" s="87">
        <f>IF(F18=0,0,F18/TrRail_act!F22*100)</f>
        <v>485.07014450303154</v>
      </c>
      <c r="G31" s="87">
        <f>IF(G18=0,0,G18/TrRail_act!G22*100)</f>
        <v>480.08560300696274</v>
      </c>
      <c r="H31" s="87">
        <f>IF(H18=0,0,H18/TrRail_act!H22*100)</f>
        <v>476.68155256300963</v>
      </c>
      <c r="I31" s="87">
        <f>IF(I18=0,0,I18/TrRail_act!I22*100)</f>
        <v>472.92943224581722</v>
      </c>
      <c r="J31" s="87">
        <f>IF(J18=0,0,J18/TrRail_act!J22*100)</f>
        <v>469.89239287037947</v>
      </c>
      <c r="K31" s="87">
        <f>IF(K18=0,0,K18/TrRail_act!K22*100)</f>
        <v>463.60840370650578</v>
      </c>
      <c r="L31" s="87">
        <f>IF(L18=0,0,L18/TrRail_act!L22*100)</f>
        <v>452.50101557995828</v>
      </c>
      <c r="M31" s="87">
        <f>IF(M18=0,0,M18/TrRail_act!M22*100)</f>
        <v>442.2642899946336</v>
      </c>
      <c r="N31" s="87">
        <f>IF(N18=0,0,N18/TrRail_act!N22*100)</f>
        <v>438.5213420878892</v>
      </c>
      <c r="O31" s="87">
        <f>IF(O18=0,0,O18/TrRail_act!O22*100)</f>
        <v>435.83700667027944</v>
      </c>
      <c r="P31" s="87">
        <f>IF(P18=0,0,P18/TrRail_act!P22*100)</f>
        <v>434.31431852994871</v>
      </c>
      <c r="Q31" s="87">
        <f>IF(Q18=0,0,Q18/TrRail_act!Q22*100)</f>
        <v>431.39202812945643</v>
      </c>
      <c r="R31" s="87">
        <f>IF(R18=0,0,R18/TrRail_act!R22*100)</f>
        <v>427.06715510379161</v>
      </c>
      <c r="S31" s="87">
        <f>IF(S18=0,0,S18/TrRail_act!S22*100)</f>
        <v>421.732718329264</v>
      </c>
      <c r="T31" s="87">
        <f>IF(T18=0,0,T18/TrRail_act!T22*100)</f>
        <v>415.68678518627058</v>
      </c>
      <c r="U31" s="87">
        <f>IF(U18=0,0,U18/TrRail_act!U22*100)</f>
        <v>411.20928347161401</v>
      </c>
      <c r="V31" s="87">
        <f>IF(V18=0,0,V18/TrRail_act!V22*100)</f>
        <v>407.8828357571511</v>
      </c>
      <c r="W31" s="87">
        <f>IF(W18=0,0,W18/TrRail_act!W22*100)</f>
        <v>405.4056709750343</v>
      </c>
      <c r="X31" s="87">
        <f>IF(X18=0,0,X18/TrRail_act!X22*100)</f>
        <v>403.55767527059356</v>
      </c>
      <c r="Y31" s="87">
        <f>IF(Y18=0,0,Y18/TrRail_act!Y22*100)</f>
        <v>402.17720876550089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269.47486451174723</v>
      </c>
      <c r="C32" s="88">
        <f>IF(C19=0,0,C19/TrRail_act!C23*100)</f>
        <v>238.0934348435745</v>
      </c>
      <c r="D32" s="88">
        <f>IF(D19=0,0,D19/TrRail_act!D23*100)</f>
        <v>237.23196553654566</v>
      </c>
      <c r="E32" s="88">
        <f>IF(E19=0,0,E19/TrRail_act!E23*100)</f>
        <v>229.18583473683483</v>
      </c>
      <c r="F32" s="88">
        <f>IF(F19=0,0,F19/TrRail_act!F23*100)</f>
        <v>224.15278464411904</v>
      </c>
      <c r="G32" s="88">
        <f>IF(G19=0,0,G19/TrRail_act!G23*100)</f>
        <v>214.79116934954789</v>
      </c>
      <c r="H32" s="88">
        <f>IF(H19=0,0,H19/TrRail_act!H23*100)</f>
        <v>212.90705736613859</v>
      </c>
      <c r="I32" s="88">
        <f>IF(I19=0,0,I19/TrRail_act!I23*100)</f>
        <v>200.04830796294812</v>
      </c>
      <c r="J32" s="88">
        <f>IF(J19=0,0,J19/TrRail_act!J23*100)</f>
        <v>173.16698812611554</v>
      </c>
      <c r="K32" s="88">
        <f>IF(K19=0,0,K19/TrRail_act!K23*100)</f>
        <v>171.90240552972168</v>
      </c>
      <c r="L32" s="88">
        <f>IF(L19=0,0,L19/TrRail_act!L23*100)</f>
        <v>170.53368276139429</v>
      </c>
      <c r="M32" s="88">
        <f>IF(M19=0,0,M19/TrRail_act!M23*100)</f>
        <v>169.62061529936335</v>
      </c>
      <c r="N32" s="88">
        <f>IF(N19=0,0,N19/TrRail_act!N23*100)</f>
        <v>167.37279564180446</v>
      </c>
      <c r="O32" s="88">
        <f>IF(O19=0,0,O19/TrRail_act!O23*100)</f>
        <v>165.36644238422721</v>
      </c>
      <c r="P32" s="88">
        <f>IF(P19=0,0,P19/TrRail_act!P23*100)</f>
        <v>160.33106342373188</v>
      </c>
      <c r="Q32" s="88">
        <f>IF(Q19=0,0,Q19/TrRail_act!Q23*100)</f>
        <v>159.42070004558497</v>
      </c>
      <c r="R32" s="88">
        <f>IF(R19=0,0,R19/TrRail_act!R23*100)</f>
        <v>157.94761471137349</v>
      </c>
      <c r="S32" s="88">
        <f>IF(S19=0,0,S19/TrRail_act!S23*100)</f>
        <v>156.06748155973696</v>
      </c>
      <c r="T32" s="88">
        <f>IF(T19=0,0,T19/TrRail_act!T23*100)</f>
        <v>153.89872291499097</v>
      </c>
      <c r="U32" s="88">
        <f>IF(U19=0,0,U19/TrRail_act!U23*100)</f>
        <v>152.29195479677188</v>
      </c>
      <c r="V32" s="88">
        <f>IF(V19=0,0,V19/TrRail_act!V23*100)</f>
        <v>151.09789713604894</v>
      </c>
      <c r="W32" s="88">
        <f>IF(W19=0,0,W19/TrRail_act!W23*100)</f>
        <v>150.20850179791995</v>
      </c>
      <c r="X32" s="88">
        <f>IF(X19=0,0,X19/TrRail_act!X23*100)</f>
        <v>149.54489256664488</v>
      </c>
      <c r="Y32" s="88">
        <f>IF(Y19=0,0,Y19/TrRail_act!Y23*100)</f>
        <v>149.04911033079415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17.566091066933904</v>
      </c>
      <c r="C35" s="29">
        <f>IF(C11=0,0,C11/TrRail_act!C4*1000)</f>
        <v>15.899645991962212</v>
      </c>
      <c r="D35" s="29">
        <f>IF(D11=0,0,D11/TrRail_act!D4*1000)</f>
        <v>15.962306057840797</v>
      </c>
      <c r="E35" s="29">
        <f>IF(E11=0,0,E11/TrRail_act!E4*1000)</f>
        <v>15.802124864318593</v>
      </c>
      <c r="F35" s="29">
        <f>IF(F11=0,0,F11/TrRail_act!F4*1000)</f>
        <v>16.197920752861915</v>
      </c>
      <c r="G35" s="29">
        <f>IF(G11=0,0,G11/TrRail_act!G4*1000)</f>
        <v>14.594220036991782</v>
      </c>
      <c r="H35" s="29">
        <f>IF(H11=0,0,H11/TrRail_act!H4*1000)</f>
        <v>13.884117365577248</v>
      </c>
      <c r="I35" s="29">
        <f>IF(I11=0,0,I11/TrRail_act!I4*1000)</f>
        <v>13.069112097003517</v>
      </c>
      <c r="J35" s="29">
        <f>IF(J11=0,0,J11/TrRail_act!J4*1000)</f>
        <v>10.824811603641807</v>
      </c>
      <c r="K35" s="29">
        <f>IF(K11=0,0,K11/TrRail_act!K4*1000)</f>
        <v>11.538109432012471</v>
      </c>
      <c r="L35" s="29">
        <f>IF(L11=0,0,L11/TrRail_act!L4*1000)</f>
        <v>11.157131156467019</v>
      </c>
      <c r="M35" s="29">
        <f>IF(M11=0,0,M11/TrRail_act!M4*1000)</f>
        <v>11.996075862103556</v>
      </c>
      <c r="N35" s="29">
        <f>IF(N11=0,0,N11/TrRail_act!N4*1000)</f>
        <v>12.233741865888982</v>
      </c>
      <c r="O35" s="29">
        <f>IF(O11=0,0,O11/TrRail_act!O4*1000)</f>
        <v>12.619550101854436</v>
      </c>
      <c r="P35" s="29">
        <f>IF(P11=0,0,P11/TrRail_act!P4*1000)</f>
        <v>12.021694604129339</v>
      </c>
      <c r="Q35" s="29">
        <f>IF(Q11=0,0,Q11/TrRail_act!Q4*1000)</f>
        <v>11.535932512464559</v>
      </c>
      <c r="R35" s="29">
        <f>IF(R11=0,0,R11/TrRail_act!R4*1000)</f>
        <v>11.805342687200756</v>
      </c>
      <c r="S35" s="29">
        <f>IF(S11=0,0,S11/TrRail_act!S4*1000)</f>
        <v>10.284565243269171</v>
      </c>
      <c r="T35" s="29">
        <f>IF(T11=0,0,T11/TrRail_act!T4*1000)</f>
        <v>10.881674405562658</v>
      </c>
      <c r="U35" s="29">
        <f>IF(U11=0,0,U11/TrRail_act!U4*1000)</f>
        <v>9.9410749520565904</v>
      </c>
      <c r="V35" s="29">
        <f>IF(V11=0,0,V11/TrRail_act!V4*1000)</f>
        <v>15.809900477160992</v>
      </c>
      <c r="W35" s="29">
        <f>IF(W11=0,0,W11/TrRail_act!W4*1000)</f>
        <v>18.015479235747868</v>
      </c>
      <c r="X35" s="29">
        <f>IF(X11=0,0,X11/TrRail_act!X4*1000)</f>
        <v>10.743751860533466</v>
      </c>
      <c r="Y35" s="29">
        <f>IF(Y11=0,0,Y11/TrRail_act!Y4*1000)</f>
        <v>10.44604352568801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6.6393206968060063</v>
      </c>
      <c r="C36" s="115">
        <f>IF(C12=0,0,C12/TrRail_act!C5*1000)</f>
        <v>6.5599387844277928</v>
      </c>
      <c r="D36" s="115">
        <f>IF(D12=0,0,D12/TrRail_act!D5*1000)</f>
        <v>6.0518791797527962</v>
      </c>
      <c r="E36" s="115">
        <f>IF(E12=0,0,E12/TrRail_act!E5*1000)</f>
        <v>5.9960681375752092</v>
      </c>
      <c r="F36" s="115">
        <f>IF(F12=0,0,F12/TrRail_act!F5*1000)</f>
        <v>5.887393045347352</v>
      </c>
      <c r="G36" s="115">
        <f>IF(G12=0,0,G12/TrRail_act!G5*1000)</f>
        <v>5.7105016311549237</v>
      </c>
      <c r="H36" s="115">
        <f>IF(H12=0,0,H12/TrRail_act!H5*1000)</f>
        <v>5.644324828390217</v>
      </c>
      <c r="I36" s="115">
        <f>IF(I12=0,0,I12/TrRail_act!I5*1000)</f>
        <v>5.6659960268940521</v>
      </c>
      <c r="J36" s="115">
        <f>IF(J12=0,0,J12/TrRail_act!J5*1000)</f>
        <v>5.5053771389768746</v>
      </c>
      <c r="K36" s="115">
        <f>IF(K12=0,0,K12/TrRail_act!K5*1000)</f>
        <v>5.4733199233713599</v>
      </c>
      <c r="L36" s="115">
        <f>IF(L12=0,0,L12/TrRail_act!L5*1000)</f>
        <v>5.428717881438514</v>
      </c>
      <c r="M36" s="115">
        <f>IF(M12=0,0,M12/TrRail_act!M5*1000)</f>
        <v>5.4046767766867827</v>
      </c>
      <c r="N36" s="115">
        <f>IF(N12=0,0,N12/TrRail_act!N5*1000)</f>
        <v>5.377691167006498</v>
      </c>
      <c r="O36" s="115">
        <f>IF(O12=0,0,O12/TrRail_act!O5*1000)</f>
        <v>5.33872043255242</v>
      </c>
      <c r="P36" s="115">
        <f>IF(P12=0,0,P12/TrRail_act!P5*1000)</f>
        <v>5.2638596337517836</v>
      </c>
      <c r="Q36" s="115">
        <f>IF(Q12=0,0,Q12/TrRail_act!Q5*1000)</f>
        <v>5.2305593423803689</v>
      </c>
      <c r="R36" s="115">
        <f>IF(R12=0,0,R12/TrRail_act!R5*1000)</f>
        <v>5.1943471342337988</v>
      </c>
      <c r="S36" s="115">
        <f>IF(S12=0,0,S12/TrRail_act!S5*1000)</f>
        <v>5.1415516608970444</v>
      </c>
      <c r="T36" s="115">
        <f>IF(T12=0,0,T12/TrRail_act!T5*1000)</f>
        <v>4.85864622452329</v>
      </c>
      <c r="U36" s="115">
        <f>IF(U12=0,0,U12/TrRail_act!U5*1000)</f>
        <v>4.8354536527770415</v>
      </c>
      <c r="V36" s="115">
        <f>IF(V12=0,0,V12/TrRail_act!V5*1000)</f>
        <v>7.6963293554268333</v>
      </c>
      <c r="W36" s="115">
        <f>IF(W12=0,0,W12/TrRail_act!W5*1000)</f>
        <v>8.1834120063540343</v>
      </c>
      <c r="X36" s="115">
        <f>IF(X12=0,0,X12/TrRail_act!X5*1000)</f>
        <v>5.4869495099022325</v>
      </c>
      <c r="Y36" s="115">
        <f>IF(Y12=0,0,Y12/TrRail_act!Y5*1000)</f>
        <v>5.1234372172631879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22.015515939275893</v>
      </c>
      <c r="C37" s="116">
        <f>IF(C13=0,0,C13/TrRail_act!C6*1000)</f>
        <v>19.31233332707642</v>
      </c>
      <c r="D37" s="116">
        <f>IF(D13=0,0,D13/TrRail_act!D6*1000)</f>
        <v>19.744832847234804</v>
      </c>
      <c r="E37" s="116">
        <f>IF(E13=0,0,E13/TrRail_act!E6*1000)</f>
        <v>19.601782310821992</v>
      </c>
      <c r="F37" s="116">
        <f>IF(F13=0,0,F13/TrRail_act!F6*1000)</f>
        <v>20.589663511603806</v>
      </c>
      <c r="G37" s="116">
        <f>IF(G13=0,0,G13/TrRail_act!G6*1000)</f>
        <v>17.774434861439659</v>
      </c>
      <c r="H37" s="116">
        <f>IF(H13=0,0,H13/TrRail_act!H6*1000)</f>
        <v>17.175792960236979</v>
      </c>
      <c r="I37" s="116">
        <f>IF(I13=0,0,I13/TrRail_act!I6*1000)</f>
        <v>16.301315995888938</v>
      </c>
      <c r="J37" s="116">
        <f>IF(J13=0,0,J13/TrRail_act!J6*1000)</f>
        <v>12.713336567866939</v>
      </c>
      <c r="K37" s="116">
        <f>IF(K13=0,0,K13/TrRail_act!K6*1000)</f>
        <v>13.868658248188948</v>
      </c>
      <c r="L37" s="116">
        <f>IF(L13=0,0,L13/TrRail_act!L6*1000)</f>
        <v>13.290775371373892</v>
      </c>
      <c r="M37" s="116">
        <f>IF(M13=0,0,M13/TrRail_act!M6*1000)</f>
        <v>14.390825218267794</v>
      </c>
      <c r="N37" s="116">
        <f>IF(N13=0,0,N13/TrRail_act!N6*1000)</f>
        <v>14.88043700471804</v>
      </c>
      <c r="O37" s="116">
        <f>IF(O13=0,0,O13/TrRail_act!O6*1000)</f>
        <v>15.557588850757845</v>
      </c>
      <c r="P37" s="116">
        <f>IF(P13=0,0,P13/TrRail_act!P6*1000)</f>
        <v>14.424806007922673</v>
      </c>
      <c r="Q37" s="116">
        <f>IF(Q13=0,0,Q13/TrRail_act!Q6*1000)</f>
        <v>13.939045145357348</v>
      </c>
      <c r="R37" s="116">
        <f>IF(R13=0,0,R13/TrRail_act!R6*1000)</f>
        <v>14.52511064961619</v>
      </c>
      <c r="S37" s="116">
        <f>IF(S13=0,0,S13/TrRail_act!S6*1000)</f>
        <v>11.899122828464776</v>
      </c>
      <c r="T37" s="116">
        <f>IF(T13=0,0,T13/TrRail_act!T6*1000)</f>
        <v>13.035837745098389</v>
      </c>
      <c r="U37" s="116">
        <f>IF(U13=0,0,U13/TrRail_act!U6*1000)</f>
        <v>11.455224595246184</v>
      </c>
      <c r="V37" s="116">
        <f>IF(V13=0,0,V13/TrRail_act!V6*1000)</f>
        <v>17.872205441431287</v>
      </c>
      <c r="W37" s="116">
        <f>IF(W13=0,0,W13/TrRail_act!W6*1000)</f>
        <v>21.453645183927691</v>
      </c>
      <c r="X37" s="116">
        <f>IF(X13=0,0,X13/TrRail_act!X6*1000)</f>
        <v>12.196243325560948</v>
      </c>
      <c r="Y37" s="116">
        <f>IF(Y13=0,0,Y13/TrRail_act!Y6*1000)</f>
        <v>12.045615180502979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24.385366618893084</v>
      </c>
      <c r="C38" s="87">
        <f>IF(C14=0,0,C14/TrRail_act!C7*1000)</f>
        <v>23.77020542151293</v>
      </c>
      <c r="D38" s="87">
        <f>IF(D14=0,0,D14/TrRail_act!D7*1000)</f>
        <v>24.004248214623018</v>
      </c>
      <c r="E38" s="87">
        <f>IF(E14=0,0,E14/TrRail_act!E7*1000)</f>
        <v>25.071865761370763</v>
      </c>
      <c r="F38" s="87">
        <f>IF(F14=0,0,F14/TrRail_act!F7*1000)</f>
        <v>24.368633143388241</v>
      </c>
      <c r="G38" s="87">
        <f>IF(G14=0,0,G14/TrRail_act!G7*1000)</f>
        <v>22.970162840777373</v>
      </c>
      <c r="H38" s="87">
        <f>IF(H14=0,0,H14/TrRail_act!H7*1000)</f>
        <v>21.933538176493652</v>
      </c>
      <c r="I38" s="87">
        <f>IF(I14=0,0,I14/TrRail_act!I7*1000)</f>
        <v>21.434235963003179</v>
      </c>
      <c r="J38" s="87">
        <f>IF(J14=0,0,J14/TrRail_act!J7*1000)</f>
        <v>21.063595698365592</v>
      </c>
      <c r="K38" s="87">
        <f>IF(K14=0,0,K14/TrRail_act!K7*1000)</f>
        <v>20.682636509523089</v>
      </c>
      <c r="L38" s="87">
        <f>IF(L14=0,0,L14/TrRail_act!L7*1000)</f>
        <v>19.547328805584232</v>
      </c>
      <c r="M38" s="87">
        <f>IF(M14=0,0,M14/TrRail_act!M7*1000)</f>
        <v>20.954952996710659</v>
      </c>
      <c r="N38" s="87">
        <f>IF(N14=0,0,N14/TrRail_act!N7*1000)</f>
        <v>20.637285731373282</v>
      </c>
      <c r="O38" s="87">
        <f>IF(O14=0,0,O14/TrRail_act!O7*1000)</f>
        <v>19.96682683280476</v>
      </c>
      <c r="P38" s="87">
        <f>IF(P14=0,0,P14/TrRail_act!P7*1000)</f>
        <v>19.295547328249082</v>
      </c>
      <c r="Q38" s="87">
        <f>IF(Q14=0,0,Q14/TrRail_act!Q7*1000)</f>
        <v>18.582485789225089</v>
      </c>
      <c r="R38" s="87">
        <f>IF(R14=0,0,R14/TrRail_act!R7*1000)</f>
        <v>18.664626592144849</v>
      </c>
      <c r="S38" s="87">
        <f>IF(S14=0,0,S14/TrRail_act!S7*1000)</f>
        <v>17.96295783281305</v>
      </c>
      <c r="T38" s="87">
        <f>IF(T14=0,0,T14/TrRail_act!T7*1000)</f>
        <v>17.480405288768335</v>
      </c>
      <c r="U38" s="87">
        <f>IF(U14=0,0,U14/TrRail_act!U7*1000)</f>
        <v>19.228830644254373</v>
      </c>
      <c r="V38" s="87">
        <f>IF(V14=0,0,V14/TrRail_act!V7*1000)</f>
        <v>31.321672503392204</v>
      </c>
      <c r="W38" s="87">
        <f>IF(W14=0,0,W14/TrRail_act!W7*1000)</f>
        <v>29.647762579215705</v>
      </c>
      <c r="X38" s="87">
        <f>IF(X14=0,0,X14/TrRail_act!X7*1000)</f>
        <v>22.299110836162249</v>
      </c>
      <c r="Y38" s="87">
        <f>IF(Y14=0,0,Y14/TrRail_act!Y7*1000)</f>
        <v>19.18954091200138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21.858593097861828</v>
      </c>
      <c r="C39" s="87">
        <f>IF(C15=0,0,C15/TrRail_act!C8*1000)</f>
        <v>18.983743312680019</v>
      </c>
      <c r="D39" s="87">
        <f>IF(D15=0,0,D15/TrRail_act!D8*1000)</f>
        <v>19.29952152458889</v>
      </c>
      <c r="E39" s="87">
        <f>IF(E15=0,0,E15/TrRail_act!E8*1000)</f>
        <v>19.173036789417193</v>
      </c>
      <c r="F39" s="87">
        <f>IF(F15=0,0,F15/TrRail_act!F8*1000)</f>
        <v>20.423148831608152</v>
      </c>
      <c r="G39" s="87">
        <f>IF(G15=0,0,G15/TrRail_act!G8*1000)</f>
        <v>17.591545019325881</v>
      </c>
      <c r="H39" s="87">
        <f>IF(H15=0,0,H15/TrRail_act!H8*1000)</f>
        <v>16.940336102064315</v>
      </c>
      <c r="I39" s="87">
        <f>IF(I15=0,0,I15/TrRail_act!I8*1000)</f>
        <v>16.068945616529774</v>
      </c>
      <c r="J39" s="87">
        <f>IF(J15=0,0,J15/TrRail_act!J8*1000)</f>
        <v>12.263474060275621</v>
      </c>
      <c r="K39" s="87">
        <f>IF(K15=0,0,K15/TrRail_act!K8*1000)</f>
        <v>13.502269864769936</v>
      </c>
      <c r="L39" s="87">
        <f>IF(L15=0,0,L15/TrRail_act!L8*1000)</f>
        <v>12.981449612134337</v>
      </c>
      <c r="M39" s="87">
        <f>IF(M15=0,0,M15/TrRail_act!M8*1000)</f>
        <v>14.165796884856361</v>
      </c>
      <c r="N39" s="87">
        <f>IF(N15=0,0,N15/TrRail_act!N8*1000)</f>
        <v>14.611841627591545</v>
      </c>
      <c r="O39" s="87">
        <f>IF(O15=0,0,O15/TrRail_act!O8*1000)</f>
        <v>15.399990627927155</v>
      </c>
      <c r="P39" s="87">
        <f>IF(P15=0,0,P15/TrRail_act!P8*1000)</f>
        <v>14.236041902020364</v>
      </c>
      <c r="Q39" s="87">
        <f>IF(Q15=0,0,Q15/TrRail_act!Q8*1000)</f>
        <v>13.77849727890136</v>
      </c>
      <c r="R39" s="87">
        <f>IF(R15=0,0,R15/TrRail_act!R8*1000)</f>
        <v>14.385186114134234</v>
      </c>
      <c r="S39" s="87">
        <f>IF(S15=0,0,S15/TrRail_act!S8*1000)</f>
        <v>11.676864546497145</v>
      </c>
      <c r="T39" s="87">
        <f>IF(T15=0,0,T15/TrRail_act!T8*1000)</f>
        <v>12.870977330963314</v>
      </c>
      <c r="U39" s="87">
        <f>IF(U15=0,0,U15/TrRail_act!U8*1000)</f>
        <v>11.20841352782559</v>
      </c>
      <c r="V39" s="87">
        <f>IF(V15=0,0,V15/TrRail_act!V8*1000)</f>
        <v>17.473644829587474</v>
      </c>
      <c r="W39" s="87">
        <f>IF(W15=0,0,W15/TrRail_act!W8*1000)</f>
        <v>21.265684865329405</v>
      </c>
      <c r="X39" s="87">
        <f>IF(X15=0,0,X15/TrRail_act!X8*1000)</f>
        <v>11.995119877241782</v>
      </c>
      <c r="Y39" s="87">
        <f>IF(Y15=0,0,Y15/TrRail_act!Y8*1000)</f>
        <v>11.886149929908036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14.678070727198934</v>
      </c>
      <c r="C40" s="117">
        <f>IF(C16=0,0,C16/TrRail_act!C9*1000)</f>
        <v>14.281247220198908</v>
      </c>
      <c r="D40" s="117">
        <f>IF(D16=0,0,D16/TrRail_act!D9*1000)</f>
        <v>13.964639558091285</v>
      </c>
      <c r="E40" s="117">
        <f>IF(E16=0,0,E16/TrRail_act!E9*1000)</f>
        <v>13.763075323620033</v>
      </c>
      <c r="F40" s="117">
        <f>IF(F16=0,0,F16/TrRail_act!F9*1000)</f>
        <v>13.524567696074037</v>
      </c>
      <c r="G40" s="117">
        <f>IF(G16=0,0,G16/TrRail_act!G9*1000)</f>
        <v>13.292072107587673</v>
      </c>
      <c r="H40" s="117">
        <f>IF(H16=0,0,H16/TrRail_act!H9*1000)</f>
        <v>11.54080181292791</v>
      </c>
      <c r="I40" s="117">
        <f>IF(I16=0,0,I16/TrRail_act!I9*1000)</f>
        <v>10.229540720954871</v>
      </c>
      <c r="J40" s="117">
        <f>IF(J16=0,0,J16/TrRail_act!J9*1000)</f>
        <v>9.6587625421755785</v>
      </c>
      <c r="K40" s="117">
        <f>IF(K16=0,0,K16/TrRail_act!K9*1000)</f>
        <v>9.6702715471769931</v>
      </c>
      <c r="L40" s="117">
        <f>IF(L16=0,0,L16/TrRail_act!L9*1000)</f>
        <v>9.6358429397859489</v>
      </c>
      <c r="M40" s="117">
        <f>IF(M16=0,0,M16/TrRail_act!M9*1000)</f>
        <v>10.207599514724246</v>
      </c>
      <c r="N40" s="117">
        <f>IF(N16=0,0,N16/TrRail_act!N9*1000)</f>
        <v>9.8124516693638579</v>
      </c>
      <c r="O40" s="117">
        <f>IF(O16=0,0,O16/TrRail_act!O9*1000)</f>
        <v>10.005542040809065</v>
      </c>
      <c r="P40" s="117">
        <f>IF(P16=0,0,P16/TrRail_act!P9*1000)</f>
        <v>10.515660254283684</v>
      </c>
      <c r="Q40" s="117">
        <f>IF(Q16=0,0,Q16/TrRail_act!Q9*1000)</f>
        <v>9.524220121550341</v>
      </c>
      <c r="R40" s="117">
        <f>IF(R16=0,0,R16/TrRail_act!R9*1000)</f>
        <v>9.4772641926268957</v>
      </c>
      <c r="S40" s="117">
        <f>IF(S16=0,0,S16/TrRail_act!S9*1000)</f>
        <v>9.7043086731641104</v>
      </c>
      <c r="T40" s="117">
        <f>IF(T16=0,0,T16/TrRail_act!T9*1000)</f>
        <v>9.4316871265386926</v>
      </c>
      <c r="U40" s="117">
        <f>IF(U16=0,0,U16/TrRail_act!U9*1000)</f>
        <v>9.3201668154383963</v>
      </c>
      <c r="V40" s="117">
        <f>IF(V16=0,0,V16/TrRail_act!V9*1000)</f>
        <v>16.165437365198844</v>
      </c>
      <c r="W40" s="117">
        <f>IF(W16=0,0,W16/TrRail_act!W9*1000)</f>
        <v>15.292991735323037</v>
      </c>
      <c r="X40" s="117">
        <f>IF(X16=0,0,X16/TrRail_act!X9*1000)</f>
        <v>9.7439514716526556</v>
      </c>
      <c r="Y40" s="117">
        <f>IF(Y16=0,0,Y16/TrRail_act!Y9*1000)</f>
        <v>9.2086006800276152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6.1448118003710368</v>
      </c>
      <c r="C41" s="29">
        <f>IF(C17=0,0,C17/TrRail_act!C10*1000)</f>
        <v>5.2888427474356856</v>
      </c>
      <c r="D41" s="29">
        <f>IF(D17=0,0,D17/TrRail_act!D10*1000)</f>
        <v>5.2500523777187826</v>
      </c>
      <c r="E41" s="29">
        <f>IF(E17=0,0,E17/TrRail_act!E10*1000)</f>
        <v>4.8881800678809242</v>
      </c>
      <c r="F41" s="29">
        <f>IF(F17=0,0,F17/TrRail_act!F10*1000)</f>
        <v>5.0841600763099777</v>
      </c>
      <c r="G41" s="29">
        <f>IF(G17=0,0,G17/TrRail_act!G10*1000)</f>
        <v>4.8001537997282124</v>
      </c>
      <c r="H41" s="29">
        <f>IF(H17=0,0,H17/TrRail_act!H10*1000)</f>
        <v>4.8167193740248182</v>
      </c>
      <c r="I41" s="29">
        <f>IF(I17=0,0,I17/TrRail_act!I10*1000)</f>
        <v>4.7515698591044631</v>
      </c>
      <c r="J41" s="29">
        <f>IF(J17=0,0,J17/TrRail_act!J10*1000)</f>
        <v>3.5764524027036906</v>
      </c>
      <c r="K41" s="29">
        <f>IF(K17=0,0,K17/TrRail_act!K10*1000)</f>
        <v>3.6120197998677384</v>
      </c>
      <c r="L41" s="29">
        <f>IF(L17=0,0,L17/TrRail_act!L10*1000)</f>
        <v>3.2650880266794875</v>
      </c>
      <c r="M41" s="29">
        <f>IF(M17=0,0,M17/TrRail_act!M10*1000)</f>
        <v>3.5818565734683636</v>
      </c>
      <c r="N41" s="29">
        <f>IF(N17=0,0,N17/TrRail_act!N10*1000)</f>
        <v>3.4879930430762802</v>
      </c>
      <c r="O41" s="29">
        <f>IF(O17=0,0,O17/TrRail_act!O10*1000)</f>
        <v>3.4974261245330269</v>
      </c>
      <c r="P41" s="29">
        <f>IF(P17=0,0,P17/TrRail_act!P10*1000)</f>
        <v>3.0587554285599428</v>
      </c>
      <c r="Q41" s="29">
        <f>IF(Q17=0,0,Q17/TrRail_act!Q10*1000)</f>
        <v>3.0104808069562541</v>
      </c>
      <c r="R41" s="29">
        <f>IF(R17=0,0,R17/TrRail_act!R10*1000)</f>
        <v>2.8790440660972703</v>
      </c>
      <c r="S41" s="29">
        <f>IF(S17=0,0,S17/TrRail_act!S10*1000)</f>
        <v>2.8355776865935258</v>
      </c>
      <c r="T41" s="29">
        <f>IF(T17=0,0,T17/TrRail_act!T10*1000)</f>
        <v>2.5581573471699186</v>
      </c>
      <c r="U41" s="29">
        <f>IF(U17=0,0,U17/TrRail_act!U10*1000)</f>
        <v>2.4996676311864703</v>
      </c>
      <c r="V41" s="29">
        <f>IF(V17=0,0,V17/TrRail_act!V10*1000)</f>
        <v>2.4082423547473479</v>
      </c>
      <c r="W41" s="29">
        <f>IF(W17=0,0,W17/TrRail_act!W10*1000)</f>
        <v>2.4792719650981763</v>
      </c>
      <c r="X41" s="29">
        <f>IF(X17=0,0,X17/TrRail_act!X10*1000)</f>
        <v>3.4902445083989115</v>
      </c>
      <c r="Y41" s="29">
        <f>IF(Y17=0,0,Y17/TrRail_act!Y10*1000)</f>
        <v>3.2759985299018308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8.4647611050991483</v>
      </c>
      <c r="C42" s="87">
        <f>IF(C18=0,0,C18/TrRail_act!C11*1000)</f>
        <v>8.510363685889466</v>
      </c>
      <c r="D42" s="87">
        <f>IF(D18=0,0,D18/TrRail_act!D11*1000)</f>
        <v>8.1286845531630689</v>
      </c>
      <c r="E42" s="87">
        <f>IF(E18=0,0,E18/TrRail_act!E11*1000)</f>
        <v>7.9487057124868148</v>
      </c>
      <c r="F42" s="87">
        <f>IF(F18=0,0,F18/TrRail_act!F11*1000)</f>
        <v>8.2311010929933452</v>
      </c>
      <c r="G42" s="87">
        <f>IF(G18=0,0,G18/TrRail_act!G11*1000)</f>
        <v>7.9617066422584744</v>
      </c>
      <c r="H42" s="87">
        <f>IF(H18=0,0,H18/TrRail_act!H11*1000)</f>
        <v>7.756378703332115</v>
      </c>
      <c r="I42" s="87">
        <f>IF(I18=0,0,I18/TrRail_act!I11*1000)</f>
        <v>7.3900471024397527</v>
      </c>
      <c r="J42" s="87">
        <f>IF(J18=0,0,J18/TrRail_act!J11*1000)</f>
        <v>6.7954614443100496</v>
      </c>
      <c r="K42" s="87">
        <f>IF(K18=0,0,K18/TrRail_act!K11*1000)</f>
        <v>6.6656593889174909</v>
      </c>
      <c r="L42" s="87">
        <f>IF(L18=0,0,L18/TrRail_act!L11*1000)</f>
        <v>6.1818212175553056</v>
      </c>
      <c r="M42" s="87">
        <f>IF(M18=0,0,M18/TrRail_act!M11*1000)</f>
        <v>6.7868631340139904</v>
      </c>
      <c r="N42" s="87">
        <f>IF(N18=0,0,N18/TrRail_act!N11*1000)</f>
        <v>6.5939064991726779</v>
      </c>
      <c r="O42" s="87">
        <f>IF(O18=0,0,O18/TrRail_act!O11*1000)</f>
        <v>6.6797922442544406</v>
      </c>
      <c r="P42" s="87">
        <f>IF(P18=0,0,P18/TrRail_act!P11*1000)</f>
        <v>6.3109808829587619</v>
      </c>
      <c r="Q42" s="87">
        <f>IF(Q18=0,0,Q18/TrRail_act!Q11*1000)</f>
        <v>6.4412455207129797</v>
      </c>
      <c r="R42" s="87">
        <f>IF(R18=0,0,R18/TrRail_act!R11*1000)</f>
        <v>6.3611664997884931</v>
      </c>
      <c r="S42" s="87">
        <f>IF(S18=0,0,S18/TrRail_act!S11*1000)</f>
        <v>5.6042201065882891</v>
      </c>
      <c r="T42" s="87">
        <f>IF(T18=0,0,T18/TrRail_act!T11*1000)</f>
        <v>5.6598681657456513</v>
      </c>
      <c r="U42" s="87">
        <f>IF(U18=0,0,U18/TrRail_act!U11*1000)</f>
        <v>5.8139539655017831</v>
      </c>
      <c r="V42" s="87">
        <f>IF(V18=0,0,V18/TrRail_act!V11*1000)</f>
        <v>6.9941950641234181</v>
      </c>
      <c r="W42" s="87">
        <f>IF(W18=0,0,W18/TrRail_act!W11*1000)</f>
        <v>7.2176329635796943</v>
      </c>
      <c r="X42" s="87">
        <f>IF(X18=0,0,X18/TrRail_act!X11*1000)</f>
        <v>6.8973300629514762</v>
      </c>
      <c r="Y42" s="87">
        <f>IF(Y18=0,0,Y18/TrRail_act!Y11*1000)</f>
        <v>6.1067404871077127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5.9080563631001235</v>
      </c>
      <c r="C43" s="88">
        <f>IF(C19=0,0,C19/TrRail_act!C12*1000)</f>
        <v>4.9818547446098922</v>
      </c>
      <c r="D43" s="88">
        <f>IF(D19=0,0,D19/TrRail_act!D12*1000)</f>
        <v>4.9884861315436133</v>
      </c>
      <c r="E43" s="88">
        <f>IF(E19=0,0,E19/TrRail_act!E12*1000)</f>
        <v>4.5964749035070769</v>
      </c>
      <c r="F43" s="88">
        <f>IF(F19=0,0,F19/TrRail_act!F12*1000)</f>
        <v>4.7789147261423439</v>
      </c>
      <c r="G43" s="88">
        <f>IF(G19=0,0,G19/TrRail_act!G12*1000)</f>
        <v>4.4764747602680686</v>
      </c>
      <c r="H43" s="88">
        <f>IF(H19=0,0,H19/TrRail_act!H12*1000)</f>
        <v>4.5359950864650749</v>
      </c>
      <c r="I43" s="88">
        <f>IF(I19=0,0,I19/TrRail_act!I12*1000)</f>
        <v>4.5068713578473245</v>
      </c>
      <c r="J43" s="88">
        <f>IF(J19=0,0,J19/TrRail_act!J12*1000)</f>
        <v>3.2550596933535401</v>
      </c>
      <c r="K43" s="88">
        <f>IF(K19=0,0,K19/TrRail_act!K12*1000)</f>
        <v>3.3232130033323219</v>
      </c>
      <c r="L43" s="88">
        <f>IF(L19=0,0,L19/TrRail_act!L12*1000)</f>
        <v>2.9964033341403611</v>
      </c>
      <c r="M43" s="88">
        <f>IF(M19=0,0,M19/TrRail_act!M12*1000)</f>
        <v>3.2756941046583474</v>
      </c>
      <c r="N43" s="88">
        <f>IF(N19=0,0,N19/TrRail_act!N12*1000)</f>
        <v>3.2293772127012295</v>
      </c>
      <c r="O43" s="88">
        <f>IF(O19=0,0,O19/TrRail_act!O12*1000)</f>
        <v>3.2215316668318237</v>
      </c>
      <c r="P43" s="88">
        <f>IF(P19=0,0,P19/TrRail_act!P12*1000)</f>
        <v>2.8261268192456721</v>
      </c>
      <c r="Q43" s="88">
        <f>IF(Q19=0,0,Q19/TrRail_act!Q12*1000)</f>
        <v>2.7568468756876117</v>
      </c>
      <c r="R43" s="88">
        <f>IF(R19=0,0,R19/TrRail_act!R12*1000)</f>
        <v>2.6391714203975778</v>
      </c>
      <c r="S43" s="88">
        <f>IF(S19=0,0,S19/TrRail_act!S12*1000)</f>
        <v>2.6631622145513192</v>
      </c>
      <c r="T43" s="88">
        <f>IF(T19=0,0,T19/TrRail_act!T12*1000)</f>
        <v>2.3530327852163757</v>
      </c>
      <c r="U43" s="88">
        <f>IF(U19=0,0,U19/TrRail_act!U12*1000)</f>
        <v>2.2839313741696765</v>
      </c>
      <c r="V43" s="88">
        <f>IF(V19=0,0,V19/TrRail_act!V12*1000)</f>
        <v>2.1509477186299995</v>
      </c>
      <c r="W43" s="88">
        <f>IF(W19=0,0,W19/TrRail_act!W12*1000)</f>
        <v>2.2642906155611091</v>
      </c>
      <c r="X43" s="88">
        <f>IF(X19=0,0,X19/TrRail_act!X12*1000)</f>
        <v>3.2806961389069795</v>
      </c>
      <c r="Y43" s="88">
        <f>IF(Y19=0,0,Y19/TrRail_act!Y12*1000)</f>
        <v>3.0881081639408543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319122.5143528551</v>
      </c>
      <c r="C45" s="54">
        <f>IF(C10=0,0,1000000*C10/TrRail_act!C25)</f>
        <v>288930.07239657803</v>
      </c>
      <c r="D45" s="54">
        <f>IF(D10=0,0,1000000*D10/TrRail_act!D25)</f>
        <v>290650.17027734529</v>
      </c>
      <c r="E45" s="54">
        <f>IF(E10=0,0,1000000*E10/TrRail_act!E25)</f>
        <v>280457.92046173447</v>
      </c>
      <c r="F45" s="54">
        <f>IF(F10=0,0,1000000*F10/TrRail_act!F25)</f>
        <v>272784.69835401734</v>
      </c>
      <c r="G45" s="54">
        <f>IF(G10=0,0,1000000*G10/TrRail_act!G25)</f>
        <v>264103.45674761123</v>
      </c>
      <c r="H45" s="54">
        <f>IF(H10=0,0,1000000*H10/TrRail_act!H25)</f>
        <v>259070.92456938917</v>
      </c>
      <c r="I45" s="54">
        <f>IF(I10=0,0,1000000*I10/TrRail_act!I25)</f>
        <v>247639.27036498243</v>
      </c>
      <c r="J45" s="54">
        <f>IF(J10=0,0,1000000*J10/TrRail_act!J25)</f>
        <v>218161.43613917631</v>
      </c>
      <c r="K45" s="54">
        <f>IF(K10=0,0,1000000*K10/TrRail_act!K25)</f>
        <v>218678.48031442746</v>
      </c>
      <c r="L45" s="54">
        <f>IF(L10=0,0,1000000*L10/TrRail_act!L25)</f>
        <v>219021.99380618226</v>
      </c>
      <c r="M45" s="54">
        <f>IF(M10=0,0,1000000*M10/TrRail_act!M25)</f>
        <v>217326.72568726167</v>
      </c>
      <c r="N45" s="54">
        <f>IF(N10=0,0,1000000*N10/TrRail_act!N25)</f>
        <v>212408.01610177031</v>
      </c>
      <c r="O45" s="54">
        <f>IF(O10=0,0,1000000*O10/TrRail_act!O25)</f>
        <v>206319.89644428075</v>
      </c>
      <c r="P45" s="54">
        <f>IF(P10=0,0,1000000*P10/TrRail_act!P25)</f>
        <v>202675.66517909305</v>
      </c>
      <c r="Q45" s="54">
        <f>IF(Q10=0,0,1000000*Q10/TrRail_act!Q25)</f>
        <v>197454.18835483547</v>
      </c>
      <c r="R45" s="54">
        <f>IF(R10=0,0,1000000*R10/TrRail_act!R25)</f>
        <v>193625.08514964246</v>
      </c>
      <c r="S45" s="54">
        <f>IF(S10=0,0,1000000*S10/TrRail_act!S25)</f>
        <v>184128.90820386587</v>
      </c>
      <c r="T45" s="54">
        <f>IF(T10=0,0,1000000*T10/TrRail_act!T25)</f>
        <v>189927.02266508251</v>
      </c>
      <c r="U45" s="54">
        <f>IF(U10=0,0,1000000*U10/TrRail_act!U25)</f>
        <v>190831.15694028177</v>
      </c>
      <c r="V45" s="54">
        <f>IF(V10=0,0,1000000*V10/TrRail_act!V25)</f>
        <v>183384.76938826576</v>
      </c>
      <c r="W45" s="54">
        <f>IF(W10=0,0,1000000*W10/TrRail_act!W25)</f>
        <v>183900.11731460792</v>
      </c>
      <c r="X45" s="54">
        <f>IF(X10=0,0,1000000*X10/TrRail_act!X25)</f>
        <v>192439.52270104893</v>
      </c>
      <c r="Y45" s="54">
        <f>IF(Y10=0,0,1000000*Y10/TrRail_act!Y25)</f>
        <v>191130.74115905774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246283.92633233056</v>
      </c>
      <c r="C46" s="28">
        <f>IF(C11=0,0,1000000*C11/TrRail_act!C26)</f>
        <v>229703.91680605174</v>
      </c>
      <c r="D46" s="28">
        <f>IF(D11=0,0,1000000*D11/TrRail_act!D26)</f>
        <v>232660.08790315097</v>
      </c>
      <c r="E46" s="28">
        <f>IF(E11=0,0,1000000*E11/TrRail_act!E26)</f>
        <v>224307.21096737054</v>
      </c>
      <c r="F46" s="28">
        <f>IF(F11=0,0,1000000*F11/TrRail_act!F26)</f>
        <v>214891.92523644731</v>
      </c>
      <c r="G46" s="28">
        <f>IF(G11=0,0,1000000*G11/TrRail_act!G26)</f>
        <v>205441.26116780937</v>
      </c>
      <c r="H46" s="28">
        <f>IF(H11=0,0,1000000*H11/TrRail_act!H26)</f>
        <v>201076.49141202151</v>
      </c>
      <c r="I46" s="28">
        <f>IF(I11=0,0,1000000*I11/TrRail_act!I26)</f>
        <v>191912.46661257831</v>
      </c>
      <c r="J46" s="28">
        <f>IF(J11=0,0,1000000*J11/TrRail_act!J26)</f>
        <v>180076.72338601606</v>
      </c>
      <c r="K46" s="28">
        <f>IF(K11=0,0,1000000*K11/TrRail_act!K26)</f>
        <v>186758.91231561961</v>
      </c>
      <c r="L46" s="28">
        <f>IF(L11=0,0,1000000*L11/TrRail_act!L26)</f>
        <v>180183.40901734561</v>
      </c>
      <c r="M46" s="28">
        <f>IF(M11=0,0,1000000*M11/TrRail_act!M26)</f>
        <v>179415.83970065875</v>
      </c>
      <c r="N46" s="28">
        <f>IF(N11=0,0,1000000*N11/TrRail_act!N26)</f>
        <v>179077.20595419765</v>
      </c>
      <c r="O46" s="28">
        <f>IF(O11=0,0,1000000*O11/TrRail_act!O26)</f>
        <v>175298.05443935745</v>
      </c>
      <c r="P46" s="28">
        <f>IF(P11=0,0,1000000*P11/TrRail_act!P26)</f>
        <v>175301.34791005601</v>
      </c>
      <c r="Q46" s="28">
        <f>IF(Q11=0,0,1000000*Q11/TrRail_act!Q26)</f>
        <v>170909.2071349255</v>
      </c>
      <c r="R46" s="28">
        <f>IF(R11=0,0,1000000*R11/TrRail_act!R26)</f>
        <v>168402.59649118694</v>
      </c>
      <c r="S46" s="28">
        <f>IF(S11=0,0,1000000*S11/TrRail_act!S26)</f>
        <v>157315.77831761484</v>
      </c>
      <c r="T46" s="28">
        <f>IF(T11=0,0,1000000*T11/TrRail_act!T26)</f>
        <v>166082.89634187584</v>
      </c>
      <c r="U46" s="28">
        <f>IF(U11=0,0,1000000*U11/TrRail_act!U26)</f>
        <v>167606.05550577046</v>
      </c>
      <c r="V46" s="28">
        <f>IF(V11=0,0,1000000*V11/TrRail_act!V26)</f>
        <v>158776.04023400156</v>
      </c>
      <c r="W46" s="28">
        <f>IF(W11=0,0,1000000*W11/TrRail_act!W26)</f>
        <v>160408.0674715176</v>
      </c>
      <c r="X46" s="28">
        <f>IF(X11=0,0,1000000*X11/TrRail_act!X26)</f>
        <v>160127.51076604082</v>
      </c>
      <c r="Y46" s="28">
        <f>IF(Y11=0,0,1000000*Y11/TrRail_act!Y26)</f>
        <v>163205.12441093885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53702.196796133547</v>
      </c>
      <c r="C47" s="108">
        <f>IF(C12=0,0,1000000*C12/TrRail_act!C27)</f>
        <v>52250.351100210704</v>
      </c>
      <c r="D47" s="108">
        <f>IF(D12=0,0,1000000*D12/TrRail_act!D27)</f>
        <v>51091.988673730615</v>
      </c>
      <c r="E47" s="108">
        <f>IF(E12=0,0,1000000*E12/TrRail_act!E27)</f>
        <v>49775.744105159501</v>
      </c>
      <c r="F47" s="108">
        <f>IF(F12=0,0,1000000*F12/TrRail_act!F27)</f>
        <v>48885.743983361928</v>
      </c>
      <c r="G47" s="108">
        <f>IF(G12=0,0,1000000*G12/TrRail_act!G27)</f>
        <v>48072.306935470384</v>
      </c>
      <c r="H47" s="108">
        <f>IF(H12=0,0,1000000*H12/TrRail_act!H27)</f>
        <v>47158.938068031515</v>
      </c>
      <c r="I47" s="108">
        <f>IF(I12=0,0,1000000*I12/TrRail_act!I27)</f>
        <v>46541.243357074476</v>
      </c>
      <c r="J47" s="108">
        <f>IF(J12=0,0,1000000*J12/TrRail_act!J27)</f>
        <v>46102.854086372296</v>
      </c>
      <c r="K47" s="108">
        <f>IF(K12=0,0,1000000*K12/TrRail_act!K27)</f>
        <v>45467.240941545708</v>
      </c>
      <c r="L47" s="108">
        <f>IF(L12=0,0,1000000*L12/TrRail_act!L27)</f>
        <v>45078.143357388377</v>
      </c>
      <c r="M47" s="108">
        <f>IF(M12=0,0,1000000*M12/TrRail_act!M27)</f>
        <v>44929.428695689865</v>
      </c>
      <c r="N47" s="108">
        <f>IF(N12=0,0,1000000*N12/TrRail_act!N27)</f>
        <v>44413.226877552559</v>
      </c>
      <c r="O47" s="108">
        <f>IF(O12=0,0,1000000*O12/TrRail_act!O27)</f>
        <v>43883.466314073848</v>
      </c>
      <c r="P47" s="108">
        <f>IF(P12=0,0,1000000*P12/TrRail_act!P27)</f>
        <v>43250.670723625357</v>
      </c>
      <c r="Q47" s="108">
        <f>IF(Q12=0,0,1000000*Q12/TrRail_act!Q27)</f>
        <v>42943.788870106138</v>
      </c>
      <c r="R47" s="108">
        <f>IF(R12=0,0,1000000*R12/TrRail_act!R27)</f>
        <v>42715.057313025682</v>
      </c>
      <c r="S47" s="108">
        <f>IF(S12=0,0,1000000*S12/TrRail_act!S27)</f>
        <v>42544.308411180486</v>
      </c>
      <c r="T47" s="108">
        <f>IF(T12=0,0,1000000*T12/TrRail_act!T27)</f>
        <v>42416.694859491618</v>
      </c>
      <c r="U47" s="108">
        <f>IF(U12=0,0,1000000*U12/TrRail_act!U27)</f>
        <v>42321.235993337643</v>
      </c>
      <c r="V47" s="108">
        <f>IF(V12=0,0,1000000*V12/TrRail_act!V27)</f>
        <v>42249.782894741511</v>
      </c>
      <c r="W47" s="108">
        <f>IF(W12=0,0,1000000*W12/TrRail_act!W27)</f>
        <v>42196.272091511557</v>
      </c>
      <c r="X47" s="108">
        <f>IF(X12=0,0,1000000*X12/TrRail_act!X27)</f>
        <v>41425.718165169594</v>
      </c>
      <c r="Y47" s="108">
        <f>IF(Y12=0,0,1000000*Y12/TrRail_act!Y27)</f>
        <v>42126.142211039842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298639.00602437259</v>
      </c>
      <c r="C48" s="110">
        <f>IF(C13=0,0,1000000*C13/TrRail_act!C28)</f>
        <v>271712.08250495</v>
      </c>
      <c r="D48" s="110">
        <f>IF(D13=0,0,1000000*D13/TrRail_act!D28)</f>
        <v>268175.39393638703</v>
      </c>
      <c r="E48" s="110">
        <f>IF(E13=0,0,1000000*E13/TrRail_act!E28)</f>
        <v>257179.85390050756</v>
      </c>
      <c r="F48" s="110">
        <f>IF(F13=0,0,1000000*F13/TrRail_act!F28)</f>
        <v>242534.07263161521</v>
      </c>
      <c r="G48" s="110">
        <f>IF(G13=0,0,1000000*G13/TrRail_act!G28)</f>
        <v>231370.22095943484</v>
      </c>
      <c r="H48" s="110">
        <f>IF(H13=0,0,1000000*H13/TrRail_act!H28)</f>
        <v>232586.9085636462</v>
      </c>
      <c r="I48" s="110">
        <f>IF(I13=0,0,1000000*I13/TrRail_act!I28)</f>
        <v>221506.01841427342</v>
      </c>
      <c r="J48" s="110">
        <f>IF(J13=0,0,1000000*J13/TrRail_act!J28)</f>
        <v>204552.41642722435</v>
      </c>
      <c r="K48" s="110">
        <f>IF(K13=0,0,1000000*K13/TrRail_act!K28)</f>
        <v>213742.79375011584</v>
      </c>
      <c r="L48" s="110">
        <f>IF(L13=0,0,1000000*L13/TrRail_act!L28)</f>
        <v>207350.03396542559</v>
      </c>
      <c r="M48" s="110">
        <f>IF(M13=0,0,1000000*M13/TrRail_act!M28)</f>
        <v>203678.71324007105</v>
      </c>
      <c r="N48" s="110">
        <f>IF(N13=0,0,1000000*N13/TrRail_act!N28)</f>
        <v>202978.17278335575</v>
      </c>
      <c r="O48" s="110">
        <f>IF(O13=0,0,1000000*O13/TrRail_act!O28)</f>
        <v>196235.05209912249</v>
      </c>
      <c r="P48" s="110">
        <f>IF(P13=0,0,1000000*P13/TrRail_act!P28)</f>
        <v>193487.33849710689</v>
      </c>
      <c r="Q48" s="110">
        <f>IF(Q13=0,0,1000000*Q13/TrRail_act!Q28)</f>
        <v>190078.19971825954</v>
      </c>
      <c r="R48" s="110">
        <f>IF(R13=0,0,1000000*R13/TrRail_act!R28)</f>
        <v>186763.7834669314</v>
      </c>
      <c r="S48" s="110">
        <f>IF(S13=0,0,1000000*S13/TrRail_act!S28)</f>
        <v>169323.27010784339</v>
      </c>
      <c r="T48" s="110">
        <f>IF(T13=0,0,1000000*T13/TrRail_act!T28)</f>
        <v>183083.13064747772</v>
      </c>
      <c r="U48" s="110">
        <f>IF(U13=0,0,1000000*U13/TrRail_act!U28)</f>
        <v>182018.33345854061</v>
      </c>
      <c r="V48" s="110">
        <f>IF(V13=0,0,1000000*V13/TrRail_act!V28)</f>
        <v>179931.82494513219</v>
      </c>
      <c r="W48" s="110">
        <f>IF(W13=0,0,1000000*W13/TrRail_act!W28)</f>
        <v>178152.66783949954</v>
      </c>
      <c r="X48" s="110">
        <f>IF(X13=0,0,1000000*X13/TrRail_act!X28)</f>
        <v>174767.45274568253</v>
      </c>
      <c r="Y48" s="110">
        <f>IF(Y13=0,0,1000000*Y13/TrRail_act!Y28)</f>
        <v>178413.12753604774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420032.87767227209</v>
      </c>
      <c r="C49" s="84">
        <f>IF(C14=0,0,1000000*C14/TrRail_act!C29)</f>
        <v>407160.14856433449</v>
      </c>
      <c r="D49" s="84">
        <f>IF(D14=0,0,1000000*D14/TrRail_act!D29)</f>
        <v>395301.50596700201</v>
      </c>
      <c r="E49" s="84">
        <f>IF(E14=0,0,1000000*E14/TrRail_act!E29)</f>
        <v>334669.2079971091</v>
      </c>
      <c r="F49" s="84">
        <f>IF(F14=0,0,1000000*F14/TrRail_act!F29)</f>
        <v>194780.20533565216</v>
      </c>
      <c r="G49" s="84">
        <f>IF(G14=0,0,1000000*G14/TrRail_act!G29)</f>
        <v>168141.12053231563</v>
      </c>
      <c r="H49" s="84">
        <f>IF(H14=0,0,1000000*H14/TrRail_act!H29)</f>
        <v>260180.00516576556</v>
      </c>
      <c r="I49" s="84">
        <f>IF(I14=0,0,1000000*I14/TrRail_act!I29)</f>
        <v>266281.76049849705</v>
      </c>
      <c r="J49" s="84">
        <f>IF(J14=0,0,1000000*J14/TrRail_act!J29)</f>
        <v>345538.07962704351</v>
      </c>
      <c r="K49" s="84">
        <f>IF(K14=0,0,1000000*K14/TrRail_act!K29)</f>
        <v>338003.49224627088</v>
      </c>
      <c r="L49" s="84">
        <f>IF(L14=0,0,1000000*L14/TrRail_act!L29)</f>
        <v>320740.14244369726</v>
      </c>
      <c r="M49" s="84">
        <f>IF(M14=0,0,1000000*M14/TrRail_act!M29)</f>
        <v>278123.27436127106</v>
      </c>
      <c r="N49" s="84">
        <f>IF(N14=0,0,1000000*N14/TrRail_act!N29)</f>
        <v>316631.49791216175</v>
      </c>
      <c r="O49" s="84">
        <f>IF(O14=0,0,1000000*O14/TrRail_act!O29)</f>
        <v>258065.32452917882</v>
      </c>
      <c r="P49" s="84">
        <f>IF(P14=0,0,1000000*P14/TrRail_act!P29)</f>
        <v>299966.31737994502</v>
      </c>
      <c r="Q49" s="84">
        <f>IF(Q14=0,0,1000000*Q14/TrRail_act!Q29)</f>
        <v>288490.18114553933</v>
      </c>
      <c r="R49" s="84">
        <f>IF(R14=0,0,1000000*R14/TrRail_act!R29)</f>
        <v>280172.15162594611</v>
      </c>
      <c r="S49" s="84">
        <f>IF(S14=0,0,1000000*S14/TrRail_act!S29)</f>
        <v>274091.39440716361</v>
      </c>
      <c r="T49" s="84">
        <f>IF(T14=0,0,1000000*T14/TrRail_act!T29)</f>
        <v>269617.59001556388</v>
      </c>
      <c r="U49" s="84">
        <f>IF(U14=0,0,1000000*U14/TrRail_act!U29)</f>
        <v>266310.22339240351</v>
      </c>
      <c r="V49" s="84">
        <f>IF(V14=0,0,1000000*V14/TrRail_act!V29)</f>
        <v>263856.35213093611</v>
      </c>
      <c r="W49" s="84">
        <f>IF(W14=0,0,1000000*W14/TrRail_act!W29)</f>
        <v>208674.12005022471</v>
      </c>
      <c r="X49" s="84">
        <f>IF(X14=0,0,1000000*X14/TrRail_act!X29)</f>
        <v>249836.61766761393</v>
      </c>
      <c r="Y49" s="84">
        <f>IF(Y14=0,0,1000000*Y14/TrRail_act!Y29)</f>
        <v>259653.91369489353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292396.51490454533</v>
      </c>
      <c r="C50" s="84">
        <f>IF(C15=0,0,1000000*C15/TrRail_act!C30)</f>
        <v>263618.12986337976</v>
      </c>
      <c r="D50" s="84">
        <f>IF(D15=0,0,1000000*D15/TrRail_act!D30)</f>
        <v>257411.02079101812</v>
      </c>
      <c r="E50" s="84">
        <f>IF(E15=0,0,1000000*E15/TrRail_act!E30)</f>
        <v>251218.03885409233</v>
      </c>
      <c r="F50" s="84">
        <f>IF(F15=0,0,1000000*F15/TrRail_act!F30)</f>
        <v>245701.14880409281</v>
      </c>
      <c r="G50" s="84">
        <f>IF(G15=0,0,1000000*G15/TrRail_act!G30)</f>
        <v>235439.57809224073</v>
      </c>
      <c r="H50" s="84">
        <f>IF(H15=0,0,1000000*H15/TrRail_act!H30)</f>
        <v>231017.0253468572</v>
      </c>
      <c r="I50" s="84">
        <f>IF(I15=0,0,1000000*I15/TrRail_act!I30)</f>
        <v>219279.44917416904</v>
      </c>
      <c r="J50" s="84">
        <f>IF(J15=0,0,1000000*J15/TrRail_act!J30)</f>
        <v>197110.45298187694</v>
      </c>
      <c r="K50" s="84">
        <f>IF(K15=0,0,1000000*K15/TrRail_act!K30)</f>
        <v>207460.92328217326</v>
      </c>
      <c r="L50" s="84">
        <f>IF(L15=0,0,1000000*L15/TrRail_act!L30)</f>
        <v>202032.76276244308</v>
      </c>
      <c r="M50" s="84">
        <f>IF(M15=0,0,1000000*M15/TrRail_act!M30)</f>
        <v>200951.04363628972</v>
      </c>
      <c r="N50" s="84">
        <f>IF(N15=0,0,1000000*N15/TrRail_act!N30)</f>
        <v>198288.0320950204</v>
      </c>
      <c r="O50" s="84">
        <f>IF(O15=0,0,1000000*O15/TrRail_act!O30)</f>
        <v>194080.14287317163</v>
      </c>
      <c r="P50" s="84">
        <f>IF(P15=0,0,1000000*P15/TrRail_act!P30)</f>
        <v>189945.62940969286</v>
      </c>
      <c r="Q50" s="84">
        <f>IF(Q15=0,0,1000000*Q15/TrRail_act!Q30)</f>
        <v>187102.00072261802</v>
      </c>
      <c r="R50" s="84">
        <f>IF(R15=0,0,1000000*R15/TrRail_act!R30)</f>
        <v>184072.26532367762</v>
      </c>
      <c r="S50" s="84">
        <f>IF(S15=0,0,1000000*S15/TrRail_act!S30)</f>
        <v>165750.93702203763</v>
      </c>
      <c r="T50" s="84">
        <f>IF(T15=0,0,1000000*T15/TrRail_act!T30)</f>
        <v>180170.06451183604</v>
      </c>
      <c r="U50" s="84">
        <f>IF(U15=0,0,1000000*U15/TrRail_act!U30)</f>
        <v>178933.43912244981</v>
      </c>
      <c r="V50" s="84">
        <f>IF(V15=0,0,1000000*V15/TrRail_act!V30)</f>
        <v>176942.28932204589</v>
      </c>
      <c r="W50" s="84">
        <f>IF(W15=0,0,1000000*W15/TrRail_act!W30)</f>
        <v>177323.23963202667</v>
      </c>
      <c r="X50" s="84">
        <f>IF(X15=0,0,1000000*X15/TrRail_act!X30)</f>
        <v>172845.40429003804</v>
      </c>
      <c r="Y50" s="84">
        <f>IF(Y15=0,0,1000000*Y15/TrRail_act!Y30)</f>
        <v>176423.87866765496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1093036.7146693987</v>
      </c>
      <c r="C51" s="113">
        <f>IF(C16=0,0,1000000*C16/TrRail_act!C31)</f>
        <v>1063486.3429988259</v>
      </c>
      <c r="D51" s="113">
        <f>IF(D16=0,0,1000000*D16/TrRail_act!D31)</f>
        <v>1039909.394880305</v>
      </c>
      <c r="E51" s="113">
        <f>IF(E16=0,0,1000000*E16/TrRail_act!E31)</f>
        <v>1024899.4474396436</v>
      </c>
      <c r="F51" s="113">
        <f>IF(F16=0,0,1000000*F16/TrRail_act!F31)</f>
        <v>1007138.4394356876</v>
      </c>
      <c r="G51" s="113">
        <f>IF(G16=0,0,1000000*G16/TrRail_act!G31)</f>
        <v>989825.11046267184</v>
      </c>
      <c r="H51" s="113">
        <f>IF(H16=0,0,1000000*H16/TrRail_act!H31)</f>
        <v>976696.98561493796</v>
      </c>
      <c r="I51" s="113">
        <f>IF(I16=0,0,1000000*I16/TrRail_act!I31)</f>
        <v>958299.9729848014</v>
      </c>
      <c r="J51" s="113">
        <f>IF(J16=0,0,1000000*J16/TrRail_act!J31)</f>
        <v>949237.78463326662</v>
      </c>
      <c r="K51" s="113">
        <f>IF(K16=0,0,1000000*K16/TrRail_act!K31)</f>
        <v>934679.40222285502</v>
      </c>
      <c r="L51" s="113">
        <f>IF(L16=0,0,1000000*L16/TrRail_act!L31)</f>
        <v>923312.74469967699</v>
      </c>
      <c r="M51" s="113">
        <f>IF(M16=0,0,1000000*M16/TrRail_act!M31)</f>
        <v>914478.6999831486</v>
      </c>
      <c r="N51" s="113">
        <f>IF(N16=0,0,1000000*N16/TrRail_act!N31)</f>
        <v>903972.11004014546</v>
      </c>
      <c r="O51" s="113">
        <f>IF(O16=0,0,1000000*O16/TrRail_act!O31)</f>
        <v>893189.51999908651</v>
      </c>
      <c r="P51" s="113">
        <f>IF(P16=0,0,1000000*P16/TrRail_act!P31)</f>
        <v>882950.74362050847</v>
      </c>
      <c r="Q51" s="113">
        <f>IF(Q16=0,0,1000000*Q16/TrRail_act!Q31)</f>
        <v>874063.64775442763</v>
      </c>
      <c r="R51" s="113">
        <f>IF(R16=0,0,1000000*R16/TrRail_act!R31)</f>
        <v>863119.77863072546</v>
      </c>
      <c r="S51" s="113">
        <f>IF(S16=0,0,1000000*S16/TrRail_act!S31)</f>
        <v>850726.89004577289</v>
      </c>
      <c r="T51" s="113">
        <f>IF(T16=0,0,1000000*T16/TrRail_act!T31)</f>
        <v>837341.40372052323</v>
      </c>
      <c r="U51" s="113">
        <f>IF(U16=0,0,1000000*U16/TrRail_act!U31)</f>
        <v>827440.67650896462</v>
      </c>
      <c r="V51" s="113">
        <f>IF(V16=0,0,1000000*V16/TrRail_act!V31)</f>
        <v>705812.21422375715</v>
      </c>
      <c r="W51" s="113">
        <f>IF(W16=0,0,1000000*W16/TrRail_act!W31)</f>
        <v>771587.52751998766</v>
      </c>
      <c r="X51" s="113">
        <f>IF(X16=0,0,1000000*X16/TrRail_act!X31)</f>
        <v>810545.86942361551</v>
      </c>
      <c r="Y51" s="113">
        <f>IF(Y16=0,0,1000000*Y16/TrRail_act!Y31)</f>
        <v>807501.12704709731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573850.44409614813</v>
      </c>
      <c r="C52" s="28">
        <f>IF(C17=0,0,1000000*C17/TrRail_act!C32)</f>
        <v>514584.69792879716</v>
      </c>
      <c r="D52" s="28">
        <f>IF(D17=0,0,1000000*D17/TrRail_act!D32)</f>
        <v>509004.45715297078</v>
      </c>
      <c r="E52" s="28">
        <f>IF(E17=0,0,1000000*E17/TrRail_act!E32)</f>
        <v>495887.92294661055</v>
      </c>
      <c r="F52" s="28">
        <f>IF(F17=0,0,1000000*F17/TrRail_act!F32)</f>
        <v>485704.95755981258</v>
      </c>
      <c r="G52" s="28">
        <f>IF(G17=0,0,1000000*G17/TrRail_act!G32)</f>
        <v>469551.65688728949</v>
      </c>
      <c r="H52" s="28">
        <f>IF(H17=0,0,1000000*H17/TrRail_act!H32)</f>
        <v>461674.98432099313</v>
      </c>
      <c r="I52" s="28">
        <f>IF(I17=0,0,1000000*I17/TrRail_act!I32)</f>
        <v>433081.6710056914</v>
      </c>
      <c r="J52" s="28">
        <f>IF(J17=0,0,1000000*J17/TrRail_act!J32)</f>
        <v>348365.29722816794</v>
      </c>
      <c r="K52" s="28">
        <f>IF(K17=0,0,1000000*K17/TrRail_act!K32)</f>
        <v>343347.18859548098</v>
      </c>
      <c r="L52" s="28">
        <f>IF(L17=0,0,1000000*L17/TrRail_act!L32)</f>
        <v>378758.54378278379</v>
      </c>
      <c r="M52" s="28">
        <f>IF(M17=0,0,1000000*M17/TrRail_act!M32)</f>
        <v>377712.44933977345</v>
      </c>
      <c r="N52" s="28">
        <f>IF(N17=0,0,1000000*N17/TrRail_act!N32)</f>
        <v>365907.21540640783</v>
      </c>
      <c r="O52" s="28">
        <f>IF(O17=0,0,1000000*O17/TrRail_act!O32)</f>
        <v>365272.06457179465</v>
      </c>
      <c r="P52" s="28">
        <f>IF(P17=0,0,1000000*P17/TrRail_act!P32)</f>
        <v>349273.32038450992</v>
      </c>
      <c r="Q52" s="28">
        <f>IF(Q17=0,0,1000000*Q17/TrRail_act!Q32)</f>
        <v>351479.56951156817</v>
      </c>
      <c r="R52" s="28">
        <f>IF(R17=0,0,1000000*R17/TrRail_act!R32)</f>
        <v>347035.02254719712</v>
      </c>
      <c r="S52" s="28">
        <f>IF(S17=0,0,1000000*S17/TrRail_act!S32)</f>
        <v>336187.35212629894</v>
      </c>
      <c r="T52" s="28">
        <f>IF(T17=0,0,1000000*T17/TrRail_act!T32)</f>
        <v>336917.43791597808</v>
      </c>
      <c r="U52" s="28">
        <f>IF(U17=0,0,1000000*U17/TrRail_act!U32)</f>
        <v>334524.55548058107</v>
      </c>
      <c r="V52" s="28">
        <f>IF(V17=0,0,1000000*V17/TrRail_act!V32)</f>
        <v>334706.78856072156</v>
      </c>
      <c r="W52" s="28">
        <f>IF(W17=0,0,1000000*W17/TrRail_act!W32)</f>
        <v>326375.30957703525</v>
      </c>
      <c r="X52" s="28">
        <f>IF(X17=0,0,1000000*X17/TrRail_act!X32)</f>
        <v>322319.35757394147</v>
      </c>
      <c r="Y52" s="28">
        <f>IF(Y17=0,0,1000000*Y17/TrRail_act!Y32)</f>
        <v>312233.63714878255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1030046.1926974145</v>
      </c>
      <c r="C53" s="84">
        <f>IF(C18=0,0,1000000*C18/TrRail_act!C33)</f>
        <v>1019685.3825948216</v>
      </c>
      <c r="D53" s="84">
        <f>IF(D18=0,0,1000000*D18/TrRail_act!D33)</f>
        <v>1001338.0051114531</v>
      </c>
      <c r="E53" s="84">
        <f>IF(E18=0,0,1000000*E18/TrRail_act!E33)</f>
        <v>985022.2559711436</v>
      </c>
      <c r="F53" s="84">
        <f>IF(F18=0,0,1000000*F18/TrRail_act!F33)</f>
        <v>970140.28603633656</v>
      </c>
      <c r="G53" s="84">
        <f>IF(G18=0,0,1000000*G18/TrRail_act!G33)</f>
        <v>960171.19334301015</v>
      </c>
      <c r="H53" s="84">
        <f>IF(H18=0,0,1000000*H18/TrRail_act!H33)</f>
        <v>953363.05751197133</v>
      </c>
      <c r="I53" s="84">
        <f>IF(I18=0,0,1000000*I18/TrRail_act!I33)</f>
        <v>945858.81548570597</v>
      </c>
      <c r="J53" s="84">
        <f>IF(J18=0,0,1000000*J18/TrRail_act!J33)</f>
        <v>939784.7379893912</v>
      </c>
      <c r="K53" s="84">
        <f>IF(K18=0,0,1000000*K18/TrRail_act!K33)</f>
        <v>865658.91462570999</v>
      </c>
      <c r="L53" s="84">
        <f>IF(L18=0,0,1000000*L18/TrRail_act!L33)</f>
        <v>905001.98945733963</v>
      </c>
      <c r="M53" s="84">
        <f>IF(M18=0,0,1000000*M18/TrRail_act!M33)</f>
        <v>884528.52546895726</v>
      </c>
      <c r="N53" s="84">
        <f>IF(N18=0,0,1000000*N18/TrRail_act!N33)</f>
        <v>808705.33406742592</v>
      </c>
      <c r="O53" s="84">
        <f>IF(O18=0,0,1000000*O18/TrRail_act!O33)</f>
        <v>871673.98234213085</v>
      </c>
      <c r="P53" s="84">
        <f>IF(P18=0,0,1000000*P18/TrRail_act!P33)</f>
        <v>791284.5547502283</v>
      </c>
      <c r="Q53" s="84">
        <f>IF(Q18=0,0,1000000*Q18/TrRail_act!Q33)</f>
        <v>862784.02291394502</v>
      </c>
      <c r="R53" s="84">
        <f>IF(R18=0,0,1000000*R18/TrRail_act!R33)</f>
        <v>854134.28696765401</v>
      </c>
      <c r="S53" s="84">
        <f>IF(S18=0,0,1000000*S18/TrRail_act!S33)</f>
        <v>816019.76764508057</v>
      </c>
      <c r="T53" s="84">
        <f>IF(T18=0,0,1000000*T18/TrRail_act!T33)</f>
        <v>831373.54213091196</v>
      </c>
      <c r="U53" s="84">
        <f>IF(U18=0,0,1000000*U18/TrRail_act!U33)</f>
        <v>822418.50469873624</v>
      </c>
      <c r="V53" s="84">
        <f>IF(V18=0,0,1000000*V18/TrRail_act!V33)</f>
        <v>815765.6390122493</v>
      </c>
      <c r="W53" s="84">
        <f>IF(W18=0,0,1000000*W18/TrRail_act!W33)</f>
        <v>810811.26720552659</v>
      </c>
      <c r="X53" s="84">
        <f>IF(X18=0,0,1000000*X18/TrRail_act!X33)</f>
        <v>807115.32174259552</v>
      </c>
      <c r="Y53" s="84">
        <f>IF(Y18=0,0,1000000*Y18/TrRail_act!Y33)</f>
        <v>804354.35112129955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538949.72841904289</v>
      </c>
      <c r="C54" s="86">
        <f>IF(C19=0,0,1000000*C19/TrRail_act!C34)</f>
        <v>476186.86787441024</v>
      </c>
      <c r="D54" s="86">
        <f>IF(D19=0,0,1000000*D19/TrRail_act!D34)</f>
        <v>474463.93029339897</v>
      </c>
      <c r="E54" s="86">
        <f>IF(E19=0,0,1000000*E19/TrRail_act!E34)</f>
        <v>458371.66703920474</v>
      </c>
      <c r="F54" s="86">
        <f>IF(F19=0,0,1000000*F19/TrRail_act!F34)</f>
        <v>448305.56833238393</v>
      </c>
      <c r="G54" s="86">
        <f>IF(G19=0,0,1000000*G19/TrRail_act!G34)</f>
        <v>429582.3381532412</v>
      </c>
      <c r="H54" s="86">
        <f>IF(H19=0,0,1000000*H19/TrRail_act!H34)</f>
        <v>425814.11431208457</v>
      </c>
      <c r="I54" s="86">
        <f>IF(I19=0,0,1000000*I19/TrRail_act!I34)</f>
        <v>400096.61527349579</v>
      </c>
      <c r="J54" s="86">
        <f>IF(J19=0,0,1000000*J19/TrRail_act!J34)</f>
        <v>307968.46781414154</v>
      </c>
      <c r="K54" s="86">
        <f>IF(K19=0,0,1000000*K19/TrRail_act!K34)</f>
        <v>308083.62800841994</v>
      </c>
      <c r="L54" s="86">
        <f>IF(L19=0,0,1000000*L19/TrRail_act!L34)</f>
        <v>341067.36486294132</v>
      </c>
      <c r="M54" s="86">
        <f>IF(M19=0,0,1000000*M19/TrRail_act!M34)</f>
        <v>339241.23022023175</v>
      </c>
      <c r="N54" s="86">
        <f>IF(N19=0,0,1000000*N19/TrRail_act!N34)</f>
        <v>334745.59103579738</v>
      </c>
      <c r="O54" s="86">
        <f>IF(O19=0,0,1000000*O19/TrRail_act!O34)</f>
        <v>330732.88465318916</v>
      </c>
      <c r="P54" s="86">
        <f>IF(P19=0,0,1000000*P19/TrRail_act!P34)</f>
        <v>320662.12620107929</v>
      </c>
      <c r="Q54" s="86">
        <f>IF(Q19=0,0,1000000*Q19/TrRail_act!Q34)</f>
        <v>318841.39847593062</v>
      </c>
      <c r="R54" s="86">
        <f>IF(R19=0,0,1000000*R19/TrRail_act!R34)</f>
        <v>315895.22806950717</v>
      </c>
      <c r="S54" s="86">
        <f>IF(S19=0,0,1000000*S19/TrRail_act!S34)</f>
        <v>312134.96139748913</v>
      </c>
      <c r="T54" s="86">
        <f>IF(T19=0,0,1000000*T19/TrRail_act!T34)</f>
        <v>307797.44574804773</v>
      </c>
      <c r="U54" s="86">
        <f>IF(U19=0,0,1000000*U19/TrRail_act!U34)</f>
        <v>304583.90944399807</v>
      </c>
      <c r="V54" s="86">
        <f>IF(V19=0,0,1000000*V19/TrRail_act!V34)</f>
        <v>302195.79351110139</v>
      </c>
      <c r="W54" s="86">
        <f>IF(W19=0,0,1000000*W19/TrRail_act!W34)</f>
        <v>300417.00218648702</v>
      </c>
      <c r="X54" s="86">
        <f>IF(X19=0,0,1000000*X19/TrRail_act!X34)</f>
        <v>299089.78430093918</v>
      </c>
      <c r="Y54" s="86">
        <f>IF(Y19=0,0,1000000*Y19/TrRail_act!Y34)</f>
        <v>289023.45693755627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0.60014429989533968</v>
      </c>
      <c r="C57" s="31">
        <f t="shared" ref="C57:V57" si="18">IF(C11=0,0,C11/C$10)</f>
        <v>0.62973342153748224</v>
      </c>
      <c r="D57" s="31">
        <f t="shared" si="18"/>
        <v>0.63250273666479562</v>
      </c>
      <c r="E57" s="31">
        <f t="shared" si="18"/>
        <v>0.63442865417442251</v>
      </c>
      <c r="F57" s="31">
        <f t="shared" si="18"/>
        <v>0.61936622323613966</v>
      </c>
      <c r="G57" s="31">
        <f t="shared" si="18"/>
        <v>0.60510456856442119</v>
      </c>
      <c r="H57" s="31">
        <f t="shared" si="18"/>
        <v>0.60341884225729248</v>
      </c>
      <c r="I57" s="31">
        <f t="shared" si="18"/>
        <v>0.59589653726323899</v>
      </c>
      <c r="J57" s="31">
        <f t="shared" si="18"/>
        <v>0.6386292839586547</v>
      </c>
      <c r="K57" s="31">
        <f t="shared" si="18"/>
        <v>0.67994456243225698</v>
      </c>
      <c r="L57" s="31">
        <f t="shared" si="18"/>
        <v>0.66176913160377349</v>
      </c>
      <c r="M57" s="31">
        <f t="shared" si="18"/>
        <v>0.66772565722328014</v>
      </c>
      <c r="N57" s="31">
        <f t="shared" si="18"/>
        <v>0.69267399890484704</v>
      </c>
      <c r="O57" s="31">
        <f t="shared" si="18"/>
        <v>0.7108995687267905</v>
      </c>
      <c r="P57" s="31">
        <f t="shared" si="18"/>
        <v>0.72883863291918816</v>
      </c>
      <c r="Q57" s="31">
        <f t="shared" si="18"/>
        <v>0.73832050783323155</v>
      </c>
      <c r="R57" s="31">
        <f t="shared" si="18"/>
        <v>0.74693078214288633</v>
      </c>
      <c r="S57" s="31">
        <f t="shared" si="18"/>
        <v>0.72630581118394222</v>
      </c>
      <c r="T57" s="31">
        <f t="shared" si="18"/>
        <v>0.75240466565170128</v>
      </c>
      <c r="U57" s="31">
        <f t="shared" si="18"/>
        <v>0.75608873129210497</v>
      </c>
      <c r="V57" s="31">
        <f t="shared" si="18"/>
        <v>0.74470124682159933</v>
      </c>
      <c r="W57" s="31">
        <f t="shared" ref="W57:Y57" si="19">IF(W11=0,0,W11/W$10)</f>
        <v>0.74879179125376238</v>
      </c>
      <c r="X57" s="31">
        <f t="shared" si="19"/>
        <v>0.66632236452711247</v>
      </c>
      <c r="Y57" s="31">
        <f t="shared" si="19"/>
        <v>0.69388645252631342</v>
      </c>
      <c r="DA57" s="173"/>
    </row>
    <row r="58" spans="1:105" ht="11.45" customHeight="1" x14ac:dyDescent="0.25">
      <c r="A58" s="107" t="s">
        <v>23</v>
      </c>
      <c r="B58" s="123">
        <f t="shared" si="15"/>
        <v>4.3968792192139713E-2</v>
      </c>
      <c r="C58" s="123">
        <f t="shared" ref="C58:V58" si="20">IF(C12=0,0,C12/C$10)</f>
        <v>4.8241858327102996E-2</v>
      </c>
      <c r="D58" s="123">
        <f t="shared" si="20"/>
        <v>4.3979942385021592E-2</v>
      </c>
      <c r="E58" s="123">
        <f t="shared" si="20"/>
        <v>4.4331330612995802E-2</v>
      </c>
      <c r="F58" s="123">
        <f t="shared" si="20"/>
        <v>4.2648256590661446E-2</v>
      </c>
      <c r="G58" s="123">
        <f t="shared" si="20"/>
        <v>4.3651741704422438E-2</v>
      </c>
      <c r="H58" s="123">
        <f t="shared" si="20"/>
        <v>4.4633793260079449E-2</v>
      </c>
      <c r="I58" s="123">
        <f t="shared" si="20"/>
        <v>4.5679395888640617E-2</v>
      </c>
      <c r="J58" s="123">
        <f t="shared" si="20"/>
        <v>5.4331447487882892E-2</v>
      </c>
      <c r="K58" s="123">
        <f t="shared" si="20"/>
        <v>5.3257906324125685E-2</v>
      </c>
      <c r="L58" s="123">
        <f t="shared" si="20"/>
        <v>5.464474658299686E-2</v>
      </c>
      <c r="M58" s="123">
        <f t="shared" si="20"/>
        <v>5.1312359860673826E-2</v>
      </c>
      <c r="N58" s="123">
        <f t="shared" si="20"/>
        <v>5.1008974238727009E-2</v>
      </c>
      <c r="O58" s="123">
        <f t="shared" si="20"/>
        <v>5.1538019281008478E-2</v>
      </c>
      <c r="P58" s="123">
        <f t="shared" si="20"/>
        <v>5.3531916310826808E-2</v>
      </c>
      <c r="Q58" s="123">
        <f t="shared" si="20"/>
        <v>5.4908282369269285E-2</v>
      </c>
      <c r="R58" s="123">
        <f t="shared" si="20"/>
        <v>5.5628076917653022E-2</v>
      </c>
      <c r="S58" s="123">
        <f t="shared" si="20"/>
        <v>6.0153279505051616E-2</v>
      </c>
      <c r="T58" s="123">
        <f t="shared" si="20"/>
        <v>5.6465702316185633E-2</v>
      </c>
      <c r="U58" s="123">
        <f t="shared" si="20"/>
        <v>5.7413016802121235E-2</v>
      </c>
      <c r="V58" s="123">
        <f t="shared" si="20"/>
        <v>6.2334752685212887E-2</v>
      </c>
      <c r="W58" s="123">
        <f t="shared" ref="W58:Y58" si="21">IF(W12=0,0,W12/W$10)</f>
        <v>5.6294091012879334E-2</v>
      </c>
      <c r="X58" s="123">
        <f t="shared" si="21"/>
        <v>4.8604292059501342E-2</v>
      </c>
      <c r="Y58" s="123">
        <f t="shared" si="21"/>
        <v>5.0113694113799706E-2</v>
      </c>
      <c r="DA58" s="203"/>
    </row>
    <row r="59" spans="1:105" ht="11.45" customHeight="1" x14ac:dyDescent="0.25">
      <c r="A59" s="109" t="s">
        <v>24</v>
      </c>
      <c r="B59" s="124">
        <f t="shared" si="15"/>
        <v>0.45578236312635828</v>
      </c>
      <c r="C59" s="124">
        <f t="shared" ref="C59:V59" si="22">IF(C13=0,0,C13/C$10)</f>
        <v>0.46401821788182473</v>
      </c>
      <c r="D59" s="124">
        <f t="shared" si="22"/>
        <v>0.46682443034660648</v>
      </c>
      <c r="E59" s="124">
        <f t="shared" si="22"/>
        <v>0.46762279342910162</v>
      </c>
      <c r="F59" s="124">
        <f t="shared" si="22"/>
        <v>0.45913223632433631</v>
      </c>
      <c r="G59" s="124">
        <f t="shared" si="22"/>
        <v>0.4439044977521151</v>
      </c>
      <c r="H59" s="124">
        <f t="shared" si="22"/>
        <v>0.45254791554381624</v>
      </c>
      <c r="I59" s="124">
        <f t="shared" si="22"/>
        <v>0.44638026412750836</v>
      </c>
      <c r="J59" s="124">
        <f t="shared" si="22"/>
        <v>0.45692020026488583</v>
      </c>
      <c r="K59" s="124">
        <f t="shared" si="22"/>
        <v>0.49850742246317831</v>
      </c>
      <c r="L59" s="124">
        <f t="shared" si="22"/>
        <v>0.48211814170971073</v>
      </c>
      <c r="M59" s="124">
        <f t="shared" si="22"/>
        <v>0.49933245573376567</v>
      </c>
      <c r="N59" s="124">
        <f t="shared" si="22"/>
        <v>0.5260383584419468</v>
      </c>
      <c r="O59" s="124">
        <f t="shared" si="22"/>
        <v>0.5388708307009995</v>
      </c>
      <c r="P59" s="124">
        <f t="shared" si="22"/>
        <v>0.53400250841684471</v>
      </c>
      <c r="Q59" s="124">
        <f t="shared" si="22"/>
        <v>0.5488265142927754</v>
      </c>
      <c r="R59" s="124">
        <f t="shared" si="22"/>
        <v>0.55583290190886214</v>
      </c>
      <c r="S59" s="124">
        <f t="shared" si="22"/>
        <v>0.51156995258267179</v>
      </c>
      <c r="T59" s="124">
        <f t="shared" si="22"/>
        <v>0.55484881567515332</v>
      </c>
      <c r="U59" s="124">
        <f t="shared" si="22"/>
        <v>0.53906768050958476</v>
      </c>
      <c r="V59" s="124">
        <f t="shared" si="22"/>
        <v>0.54290596762258214</v>
      </c>
      <c r="W59" s="124">
        <f t="shared" ref="W59:Y59" si="23">IF(W13=0,0,W13/W$10)</f>
        <v>0.56436629372525104</v>
      </c>
      <c r="X59" s="124">
        <f t="shared" si="23"/>
        <v>0.49592995330318868</v>
      </c>
      <c r="Y59" s="124">
        <f t="shared" si="23"/>
        <v>0.51866002913993481</v>
      </c>
      <c r="DA59" s="176"/>
    </row>
    <row r="60" spans="1:105" ht="11.45" customHeight="1" x14ac:dyDescent="0.25">
      <c r="A60" s="111" t="s">
        <v>92</v>
      </c>
      <c r="B60" s="125">
        <f t="shared" si="15"/>
        <v>3.1352904788501612E-2</v>
      </c>
      <c r="C60" s="125">
        <f t="shared" ref="C60:V60" si="24">IF(C14=0,0,C14/C$10)</f>
        <v>3.9207843337696564E-2</v>
      </c>
      <c r="D60" s="125">
        <f t="shared" si="24"/>
        <v>5.371771886158512E-2</v>
      </c>
      <c r="E60" s="125">
        <f t="shared" si="24"/>
        <v>4.3473094564905279E-2</v>
      </c>
      <c r="F60" s="125">
        <f t="shared" si="24"/>
        <v>2.2933583093005312E-2</v>
      </c>
      <c r="G60" s="125">
        <f t="shared" si="24"/>
        <v>1.9506381632204129E-2</v>
      </c>
      <c r="H60" s="125">
        <f t="shared" si="24"/>
        <v>2.7251390673510647E-2</v>
      </c>
      <c r="I60" s="125">
        <f t="shared" si="24"/>
        <v>2.5420135664089714E-2</v>
      </c>
      <c r="J60" s="125">
        <f t="shared" si="24"/>
        <v>3.8699419340120375E-2</v>
      </c>
      <c r="K60" s="125">
        <f t="shared" si="24"/>
        <v>3.793483128952025E-2</v>
      </c>
      <c r="L60" s="125">
        <f t="shared" si="24"/>
        <v>3.3405176748182212E-2</v>
      </c>
      <c r="M60" s="125">
        <f t="shared" si="24"/>
        <v>2.409973108093293E-2</v>
      </c>
      <c r="N60" s="125">
        <f t="shared" si="24"/>
        <v>3.2520991434719586E-2</v>
      </c>
      <c r="O60" s="125">
        <f t="shared" si="24"/>
        <v>2.3866422118561246E-2</v>
      </c>
      <c r="P60" s="125">
        <f t="shared" si="24"/>
        <v>2.6650279443289251E-2</v>
      </c>
      <c r="Q60" s="125">
        <f t="shared" si="24"/>
        <v>2.4451665587417099E-2</v>
      </c>
      <c r="R60" s="125">
        <f t="shared" si="24"/>
        <v>2.3353446925709002E-2</v>
      </c>
      <c r="S60" s="125">
        <f t="shared" si="24"/>
        <v>2.7305181149557944E-2</v>
      </c>
      <c r="T60" s="125">
        <f t="shared" si="24"/>
        <v>2.6610716588488657E-2</v>
      </c>
      <c r="U60" s="125">
        <f t="shared" si="24"/>
        <v>2.7845834383080338E-2</v>
      </c>
      <c r="V60" s="125">
        <f t="shared" si="24"/>
        <v>2.7384061775992622E-2</v>
      </c>
      <c r="W60" s="125">
        <f t="shared" ref="W60:Y60" si="25">IF(W14=0,0,W14/W$10)</f>
        <v>1.7489056787422359E-2</v>
      </c>
      <c r="X60" s="125">
        <f t="shared" si="25"/>
        <v>1.7698605260009825E-2</v>
      </c>
      <c r="Y60" s="125">
        <f t="shared" si="25"/>
        <v>1.8040970194398865E-2</v>
      </c>
      <c r="DA60" s="171"/>
    </row>
    <row r="61" spans="1:105" ht="11.45" customHeight="1" x14ac:dyDescent="0.25">
      <c r="A61" s="111" t="s">
        <v>93</v>
      </c>
      <c r="B61" s="125">
        <f t="shared" si="15"/>
        <v>0.42442945833785667</v>
      </c>
      <c r="C61" s="125">
        <f t="shared" ref="C61:V61" si="26">IF(C15=0,0,C15/C$10)</f>
        <v>0.42481037454412818</v>
      </c>
      <c r="D61" s="125">
        <f t="shared" si="26"/>
        <v>0.41310671148502132</v>
      </c>
      <c r="E61" s="125">
        <f t="shared" si="26"/>
        <v>0.42414969886419635</v>
      </c>
      <c r="F61" s="125">
        <f t="shared" si="26"/>
        <v>0.436198653231331</v>
      </c>
      <c r="G61" s="125">
        <f t="shared" si="26"/>
        <v>0.42439811611991096</v>
      </c>
      <c r="H61" s="125">
        <f t="shared" si="26"/>
        <v>0.42529652487030561</v>
      </c>
      <c r="I61" s="125">
        <f t="shared" si="26"/>
        <v>0.42096012846341863</v>
      </c>
      <c r="J61" s="125">
        <f t="shared" si="26"/>
        <v>0.41822078092476545</v>
      </c>
      <c r="K61" s="125">
        <f t="shared" si="26"/>
        <v>0.46057259117365806</v>
      </c>
      <c r="L61" s="125">
        <f t="shared" si="26"/>
        <v>0.44871296496152852</v>
      </c>
      <c r="M61" s="125">
        <f t="shared" si="26"/>
        <v>0.47523272465283273</v>
      </c>
      <c r="N61" s="125">
        <f t="shared" si="26"/>
        <v>0.4935173670072272</v>
      </c>
      <c r="O61" s="125">
        <f t="shared" si="26"/>
        <v>0.51500440858243823</v>
      </c>
      <c r="P61" s="125">
        <f t="shared" si="26"/>
        <v>0.50735222897355547</v>
      </c>
      <c r="Q61" s="125">
        <f t="shared" si="26"/>
        <v>0.52437484870535833</v>
      </c>
      <c r="R61" s="125">
        <f t="shared" si="26"/>
        <v>0.53247945498315319</v>
      </c>
      <c r="S61" s="125">
        <f t="shared" si="26"/>
        <v>0.48426477143311386</v>
      </c>
      <c r="T61" s="125">
        <f t="shared" si="26"/>
        <v>0.52823809908666475</v>
      </c>
      <c r="U61" s="125">
        <f t="shared" si="26"/>
        <v>0.51122184612650445</v>
      </c>
      <c r="V61" s="125">
        <f t="shared" si="26"/>
        <v>0.51552190584658952</v>
      </c>
      <c r="W61" s="125">
        <f t="shared" ref="W61:Y61" si="27">IF(W15=0,0,W15/W$10)</f>
        <v>0.54687723693782864</v>
      </c>
      <c r="X61" s="125">
        <f t="shared" si="27"/>
        <v>0.47823134804317885</v>
      </c>
      <c r="Y61" s="125">
        <f t="shared" si="27"/>
        <v>0.50061905894553593</v>
      </c>
      <c r="DA61" s="171"/>
    </row>
    <row r="62" spans="1:105" ht="11.45" customHeight="1" x14ac:dyDescent="0.25">
      <c r="A62" s="112" t="s">
        <v>25</v>
      </c>
      <c r="B62" s="126">
        <f t="shared" si="15"/>
        <v>0.10039314457684156</v>
      </c>
      <c r="C62" s="126">
        <f t="shared" ref="C62:V62" si="28">IF(C16=0,0,C16/C$10)</f>
        <v>0.11747334532855458</v>
      </c>
      <c r="D62" s="126">
        <f t="shared" si="28"/>
        <v>0.12169836393316756</v>
      </c>
      <c r="E62" s="126">
        <f t="shared" si="28"/>
        <v>0.12247453013232511</v>
      </c>
      <c r="F62" s="126">
        <f t="shared" si="28"/>
        <v>0.11758573032114186</v>
      </c>
      <c r="G62" s="126">
        <f t="shared" si="28"/>
        <v>0.11754832910788361</v>
      </c>
      <c r="H62" s="126">
        <f t="shared" si="28"/>
        <v>0.10623713345339676</v>
      </c>
      <c r="I62" s="126">
        <f t="shared" si="28"/>
        <v>0.10383687724709004</v>
      </c>
      <c r="J62" s="126">
        <f t="shared" si="28"/>
        <v>0.12737763620588605</v>
      </c>
      <c r="K62" s="126">
        <f t="shared" si="28"/>
        <v>0.12817923364495301</v>
      </c>
      <c r="L62" s="126">
        <f t="shared" si="28"/>
        <v>0.12500624331106591</v>
      </c>
      <c r="M62" s="126">
        <f t="shared" si="28"/>
        <v>0.11708084162884068</v>
      </c>
      <c r="N62" s="126">
        <f t="shared" si="28"/>
        <v>0.11562666622417318</v>
      </c>
      <c r="O62" s="126">
        <f t="shared" si="28"/>
        <v>0.12049071874478265</v>
      </c>
      <c r="P62" s="126">
        <f t="shared" si="28"/>
        <v>0.14130420819151665</v>
      </c>
      <c r="Q62" s="126">
        <f t="shared" si="28"/>
        <v>0.13458571117118692</v>
      </c>
      <c r="R62" s="126">
        <f t="shared" si="28"/>
        <v>0.13546980331637115</v>
      </c>
      <c r="S62" s="126">
        <f t="shared" si="28"/>
        <v>0.15458257909621878</v>
      </c>
      <c r="T62" s="126">
        <f t="shared" si="28"/>
        <v>0.14109014766036235</v>
      </c>
      <c r="U62" s="126">
        <f t="shared" si="28"/>
        <v>0.15960803398039908</v>
      </c>
      <c r="V62" s="126">
        <f t="shared" si="28"/>
        <v>0.13946052651380433</v>
      </c>
      <c r="W62" s="126">
        <f t="shared" ref="W62:Y62" si="29">IF(W16=0,0,W16/W$10)</f>
        <v>0.12813140651563207</v>
      </c>
      <c r="X62" s="126">
        <f t="shared" si="29"/>
        <v>0.12178811916442243</v>
      </c>
      <c r="Y62" s="126">
        <f t="shared" si="29"/>
        <v>0.1251127292725788</v>
      </c>
      <c r="DA62" s="204"/>
    </row>
    <row r="63" spans="1:105" ht="11.45" customHeight="1" x14ac:dyDescent="0.25">
      <c r="A63" s="27" t="s">
        <v>34</v>
      </c>
      <c r="B63" s="31">
        <f t="shared" si="15"/>
        <v>0.39985570010466026</v>
      </c>
      <c r="C63" s="31">
        <f t="shared" ref="C63:V63" si="30">IF(C17=0,0,C17/C$10)</f>
        <v>0.37026657846251776</v>
      </c>
      <c r="D63" s="31">
        <f t="shared" si="30"/>
        <v>0.36749726333520444</v>
      </c>
      <c r="E63" s="31">
        <f t="shared" si="30"/>
        <v>0.36557134582557743</v>
      </c>
      <c r="F63" s="31">
        <f t="shared" si="30"/>
        <v>0.38063377676386034</v>
      </c>
      <c r="G63" s="31">
        <f t="shared" si="30"/>
        <v>0.39489543143557887</v>
      </c>
      <c r="H63" s="31">
        <f t="shared" si="30"/>
        <v>0.39658115774270752</v>
      </c>
      <c r="I63" s="31">
        <f t="shared" si="30"/>
        <v>0.40410346273676101</v>
      </c>
      <c r="J63" s="31">
        <f t="shared" si="30"/>
        <v>0.36137071604134524</v>
      </c>
      <c r="K63" s="31">
        <f t="shared" si="30"/>
        <v>0.32005543756774291</v>
      </c>
      <c r="L63" s="31">
        <f t="shared" si="30"/>
        <v>0.33823086839622646</v>
      </c>
      <c r="M63" s="31">
        <f t="shared" si="30"/>
        <v>0.33227434277671986</v>
      </c>
      <c r="N63" s="31">
        <f t="shared" si="30"/>
        <v>0.30732600109515296</v>
      </c>
      <c r="O63" s="31">
        <f t="shared" si="30"/>
        <v>0.28910043127320939</v>
      </c>
      <c r="P63" s="31">
        <f t="shared" si="30"/>
        <v>0.27116136708081179</v>
      </c>
      <c r="Q63" s="31">
        <f t="shared" si="30"/>
        <v>0.26167949216676845</v>
      </c>
      <c r="R63" s="31">
        <f t="shared" si="30"/>
        <v>0.25306921785711367</v>
      </c>
      <c r="S63" s="31">
        <f t="shared" si="30"/>
        <v>0.27369418881605778</v>
      </c>
      <c r="T63" s="31">
        <f t="shared" si="30"/>
        <v>0.24759533434829881</v>
      </c>
      <c r="U63" s="31">
        <f t="shared" si="30"/>
        <v>0.24391126870789503</v>
      </c>
      <c r="V63" s="31">
        <f t="shared" si="30"/>
        <v>0.25529875317840073</v>
      </c>
      <c r="W63" s="31">
        <f t="shared" ref="W63:Y63" si="31">IF(W17=0,0,W17/W$10)</f>
        <v>0.25120820874623762</v>
      </c>
      <c r="X63" s="31">
        <f t="shared" si="31"/>
        <v>0.33367763547288753</v>
      </c>
      <c r="Y63" s="31">
        <f t="shared" si="31"/>
        <v>0.30611354747368658</v>
      </c>
      <c r="DA63" s="173"/>
    </row>
    <row r="64" spans="1:105" ht="11.45" customHeight="1" x14ac:dyDescent="0.25">
      <c r="A64" s="83" t="s">
        <v>92</v>
      </c>
      <c r="B64" s="125">
        <f t="shared" si="15"/>
        <v>5.1006884297900477E-2</v>
      </c>
      <c r="C64" s="125">
        <f t="shared" ref="C64:V64" si="32">IF(C18=0,0,C18/C$10)</f>
        <v>5.1836080964238182E-2</v>
      </c>
      <c r="D64" s="125">
        <f t="shared" si="32"/>
        <v>4.7395308258653165E-2</v>
      </c>
      <c r="E64" s="125">
        <f t="shared" si="32"/>
        <v>5.1728701258676284E-2</v>
      </c>
      <c r="F64" s="125">
        <f t="shared" si="32"/>
        <v>5.4488000056496545E-2</v>
      </c>
      <c r="G64" s="125">
        <f t="shared" si="32"/>
        <v>6.0829749311221516E-2</v>
      </c>
      <c r="H64" s="125">
        <f t="shared" si="32"/>
        <v>5.5668832922300328E-2</v>
      </c>
      <c r="I64" s="125">
        <f t="shared" si="32"/>
        <v>5.3341208797076864E-2</v>
      </c>
      <c r="J64" s="125">
        <f t="shared" si="32"/>
        <v>6.2330833341629199E-2</v>
      </c>
      <c r="K64" s="125">
        <f t="shared" si="32"/>
        <v>5.1034182820249657E-2</v>
      </c>
      <c r="L64" s="125">
        <f t="shared" si="32"/>
        <v>5.401461660023172E-2</v>
      </c>
      <c r="M64" s="125">
        <f t="shared" si="32"/>
        <v>5.4898176779087295E-2</v>
      </c>
      <c r="N64" s="125">
        <f t="shared" si="32"/>
        <v>4.4657794606861985E-2</v>
      </c>
      <c r="O64" s="125">
        <f t="shared" si="32"/>
        <v>4.4050253021590199E-2</v>
      </c>
      <c r="P64" s="125">
        <f t="shared" si="32"/>
        <v>3.7347235049536964E-2</v>
      </c>
      <c r="Q64" s="125">
        <f t="shared" si="32"/>
        <v>3.8542902669727507E-2</v>
      </c>
      <c r="R64" s="125">
        <f t="shared" si="32"/>
        <v>3.6035678567458485E-2</v>
      </c>
      <c r="S64" s="125">
        <f t="shared" si="32"/>
        <v>3.1711141268846117E-2</v>
      </c>
      <c r="T64" s="125">
        <f t="shared" si="32"/>
        <v>3.3980253109454683E-2</v>
      </c>
      <c r="U64" s="125">
        <f t="shared" si="32"/>
        <v>3.4671037859074966E-2</v>
      </c>
      <c r="V64" s="125">
        <f t="shared" si="32"/>
        <v>3.9389487236342717E-2</v>
      </c>
      <c r="W64" s="125">
        <f t="shared" ref="W64:Y64" si="33">IF(W18=0,0,W18/W$10)</f>
        <v>3.1739997643192554E-2</v>
      </c>
      <c r="X64" s="125">
        <f t="shared" si="33"/>
        <v>3.8206036849766478E-2</v>
      </c>
      <c r="Y64" s="125">
        <f t="shared" si="33"/>
        <v>3.5517518134286434E-2</v>
      </c>
      <c r="DA64" s="171"/>
    </row>
    <row r="65" spans="1:105" ht="11.45" customHeight="1" x14ac:dyDescent="0.25">
      <c r="A65" s="85" t="s">
        <v>93</v>
      </c>
      <c r="B65" s="127">
        <f t="shared" si="15"/>
        <v>0.3488488158067598</v>
      </c>
      <c r="C65" s="127">
        <f t="shared" ref="C65:V65" si="34">IF(C19=0,0,C19/C$10)</f>
        <v>0.31843049749827956</v>
      </c>
      <c r="D65" s="127">
        <f t="shared" si="34"/>
        <v>0.32010195507655126</v>
      </c>
      <c r="E65" s="127">
        <f t="shared" si="34"/>
        <v>0.31384264456690114</v>
      </c>
      <c r="F65" s="127">
        <f t="shared" si="34"/>
        <v>0.32614577670736378</v>
      </c>
      <c r="G65" s="127">
        <f t="shared" si="34"/>
        <v>0.33406568212435733</v>
      </c>
      <c r="H65" s="127">
        <f t="shared" si="34"/>
        <v>0.34091232482040718</v>
      </c>
      <c r="I65" s="127">
        <f t="shared" si="34"/>
        <v>0.35076225393968413</v>
      </c>
      <c r="J65" s="127">
        <f t="shared" si="34"/>
        <v>0.2990398826997161</v>
      </c>
      <c r="K65" s="127">
        <f t="shared" si="34"/>
        <v>0.26902125474749328</v>
      </c>
      <c r="L65" s="127">
        <f t="shared" si="34"/>
        <v>0.28421625179599475</v>
      </c>
      <c r="M65" s="127">
        <f t="shared" si="34"/>
        <v>0.2773761659976326</v>
      </c>
      <c r="N65" s="127">
        <f t="shared" si="34"/>
        <v>0.26266820648829098</v>
      </c>
      <c r="O65" s="127">
        <f t="shared" si="34"/>
        <v>0.24505017825161923</v>
      </c>
      <c r="P65" s="127">
        <f t="shared" si="34"/>
        <v>0.23381413203127482</v>
      </c>
      <c r="Q65" s="127">
        <f t="shared" si="34"/>
        <v>0.22313658949704096</v>
      </c>
      <c r="R65" s="127">
        <f t="shared" si="34"/>
        <v>0.21703353928965521</v>
      </c>
      <c r="S65" s="127">
        <f t="shared" si="34"/>
        <v>0.24198304754721167</v>
      </c>
      <c r="T65" s="127">
        <f t="shared" si="34"/>
        <v>0.2136150812388441</v>
      </c>
      <c r="U65" s="127">
        <f t="shared" si="34"/>
        <v>0.20924023084882007</v>
      </c>
      <c r="V65" s="127">
        <f t="shared" si="34"/>
        <v>0.215909265942058</v>
      </c>
      <c r="W65" s="127">
        <f t="shared" ref="W65:Y65" si="35">IF(W19=0,0,W19/W$10)</f>
        <v>0.21946821110304504</v>
      </c>
      <c r="X65" s="127">
        <f t="shared" si="35"/>
        <v>0.29547159862312106</v>
      </c>
      <c r="Y65" s="127">
        <f t="shared" si="35"/>
        <v>0.27059602933940019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76.471288919999992</v>
      </c>
      <c r="C4" s="26">
        <f t="shared" ref="C4:W4" si="0">SUM(C5:C6)</f>
        <v>76.471288919999992</v>
      </c>
      <c r="D4" s="26">
        <f t="shared" si="0"/>
        <v>86.030100000000004</v>
      </c>
      <c r="E4" s="26">
        <f t="shared" si="0"/>
        <v>79.657470360000005</v>
      </c>
      <c r="F4" s="26">
        <f t="shared" si="0"/>
        <v>66.912211080000006</v>
      </c>
      <c r="G4" s="26">
        <f t="shared" si="0"/>
        <v>65.666441879999994</v>
      </c>
      <c r="H4" s="26">
        <f t="shared" si="0"/>
        <v>69.585679799999994</v>
      </c>
      <c r="I4" s="26">
        <f t="shared" si="0"/>
        <v>66.800705399999998</v>
      </c>
      <c r="J4" s="26">
        <f t="shared" si="0"/>
        <v>71.111813760000018</v>
      </c>
      <c r="K4" s="26">
        <f t="shared" si="0"/>
        <v>63.512621640000013</v>
      </c>
      <c r="L4" s="26">
        <f t="shared" si="0"/>
        <v>61.431893640000013</v>
      </c>
      <c r="M4" s="26">
        <f t="shared" si="0"/>
        <v>60.405934679999994</v>
      </c>
      <c r="N4" s="26">
        <f t="shared" si="0"/>
        <v>59.902558559999996</v>
      </c>
      <c r="O4" s="26">
        <f t="shared" si="0"/>
        <v>53.453368800000007</v>
      </c>
      <c r="P4" s="26">
        <f t="shared" si="0"/>
        <v>47.695620959999985</v>
      </c>
      <c r="Q4" s="26">
        <f t="shared" si="0"/>
        <v>46.539216359999983</v>
      </c>
      <c r="R4" s="26">
        <f t="shared" si="0"/>
        <v>44.869565519999981</v>
      </c>
      <c r="S4" s="26">
        <f t="shared" si="0"/>
        <v>41.424893640000008</v>
      </c>
      <c r="T4" s="26">
        <f t="shared" si="0"/>
        <v>44.270422560000014</v>
      </c>
      <c r="U4" s="26">
        <f t="shared" si="0"/>
        <v>44.170387559999988</v>
      </c>
      <c r="V4" s="26">
        <f t="shared" si="0"/>
        <v>43.17483923999999</v>
      </c>
      <c r="W4" s="26">
        <f t="shared" si="0"/>
        <v>35.345700000000008</v>
      </c>
      <c r="X4" s="26">
        <f t="shared" ref="X4:Y4" si="1">SUM(X5:X6)</f>
        <v>38.901877560000003</v>
      </c>
      <c r="Y4" s="26">
        <f t="shared" si="1"/>
        <v>35.921634839999996</v>
      </c>
      <c r="DA4" s="202" t="s">
        <v>1137</v>
      </c>
    </row>
    <row r="5" spans="1:105" ht="11.45" customHeight="1" x14ac:dyDescent="0.25">
      <c r="A5" s="107" t="s">
        <v>92</v>
      </c>
      <c r="B5" s="129">
        <v>76.471288919999992</v>
      </c>
      <c r="C5" s="129">
        <v>76.471288919999992</v>
      </c>
      <c r="D5" s="129">
        <v>86.030100000000004</v>
      </c>
      <c r="E5" s="129">
        <v>79.657470360000005</v>
      </c>
      <c r="F5" s="129">
        <v>66.912211080000006</v>
      </c>
      <c r="G5" s="129">
        <v>65.666441879999994</v>
      </c>
      <c r="H5" s="129">
        <v>69.585679799999994</v>
      </c>
      <c r="I5" s="129">
        <v>66.800705399999998</v>
      </c>
      <c r="J5" s="129">
        <v>71.111813760000018</v>
      </c>
      <c r="K5" s="129">
        <v>63.512621640000013</v>
      </c>
      <c r="L5" s="129">
        <v>61.431893640000013</v>
      </c>
      <c r="M5" s="129">
        <v>60.405934679999994</v>
      </c>
      <c r="N5" s="129">
        <v>59.902558559999996</v>
      </c>
      <c r="O5" s="129">
        <v>53.453368800000007</v>
      </c>
      <c r="P5" s="129">
        <v>47.695620959999985</v>
      </c>
      <c r="Q5" s="129">
        <v>46.539216359999983</v>
      </c>
      <c r="R5" s="129">
        <v>44.869565519999981</v>
      </c>
      <c r="S5" s="129">
        <v>41.424893640000008</v>
      </c>
      <c r="T5" s="129">
        <v>44.270422560000014</v>
      </c>
      <c r="U5" s="129">
        <v>44.170387559999988</v>
      </c>
      <c r="V5" s="129">
        <v>43.17483923999999</v>
      </c>
      <c r="W5" s="129">
        <v>35.345700000000008</v>
      </c>
      <c r="X5" s="129">
        <v>38.901877560000003</v>
      </c>
      <c r="Y5" s="129">
        <v>35.921634839999996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76.471288919999978</v>
      </c>
      <c r="C8" s="79">
        <f t="shared" si="2"/>
        <v>76.471288919999978</v>
      </c>
      <c r="D8" s="79">
        <f t="shared" si="2"/>
        <v>86.030100000000004</v>
      </c>
      <c r="E8" s="79">
        <f t="shared" si="2"/>
        <v>79.657470359999991</v>
      </c>
      <c r="F8" s="79">
        <f t="shared" si="2"/>
        <v>66.912211080000006</v>
      </c>
      <c r="G8" s="79">
        <f t="shared" si="2"/>
        <v>65.666441879999994</v>
      </c>
      <c r="H8" s="79">
        <f t="shared" si="2"/>
        <v>69.58567979999998</v>
      </c>
      <c r="I8" s="79">
        <f t="shared" si="2"/>
        <v>66.800705399999998</v>
      </c>
      <c r="J8" s="79">
        <f t="shared" si="2"/>
        <v>71.111813760000018</v>
      </c>
      <c r="K8" s="79">
        <f t="shared" si="2"/>
        <v>63.51262164000002</v>
      </c>
      <c r="L8" s="79">
        <f t="shared" si="2"/>
        <v>61.431893640000013</v>
      </c>
      <c r="M8" s="79">
        <f t="shared" si="2"/>
        <v>60.40593467999998</v>
      </c>
      <c r="N8" s="79">
        <f t="shared" si="2"/>
        <v>59.902558559999989</v>
      </c>
      <c r="O8" s="79">
        <f t="shared" si="2"/>
        <v>53.453368800000007</v>
      </c>
      <c r="P8" s="79">
        <f t="shared" si="2"/>
        <v>47.695620959999985</v>
      </c>
      <c r="Q8" s="79">
        <f t="shared" si="2"/>
        <v>46.539216359999983</v>
      </c>
      <c r="R8" s="79">
        <f t="shared" si="2"/>
        <v>44.869565519999981</v>
      </c>
      <c r="S8" s="79">
        <f t="shared" si="2"/>
        <v>41.424893640000015</v>
      </c>
      <c r="T8" s="79">
        <f t="shared" si="2"/>
        <v>44.270422560000014</v>
      </c>
      <c r="U8" s="79">
        <f t="shared" si="2"/>
        <v>44.170387559999988</v>
      </c>
      <c r="V8" s="79">
        <f t="shared" si="2"/>
        <v>43.174839239999997</v>
      </c>
      <c r="W8" s="79">
        <f t="shared" si="2"/>
        <v>35.345700000000008</v>
      </c>
      <c r="X8" s="79">
        <f t="shared" ref="X8:Y8" si="3">SUM(X9,X15)</f>
        <v>38.90187756000001</v>
      </c>
      <c r="Y8" s="79">
        <f t="shared" si="3"/>
        <v>35.921634840000003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29.11125765569269</v>
      </c>
      <c r="C9" s="32">
        <f t="shared" si="4"/>
        <v>32.932173550249473</v>
      </c>
      <c r="D9" s="32">
        <f t="shared" si="4"/>
        <v>45.704701531075706</v>
      </c>
      <c r="E9" s="32">
        <f t="shared" si="4"/>
        <v>36.374909861770085</v>
      </c>
      <c r="F9" s="32">
        <f t="shared" si="4"/>
        <v>19.820529241525389</v>
      </c>
      <c r="G9" s="32">
        <f t="shared" si="4"/>
        <v>15.944440698074921</v>
      </c>
      <c r="H9" s="32">
        <f t="shared" si="4"/>
        <v>22.869047661461167</v>
      </c>
      <c r="I9" s="32">
        <f t="shared" si="4"/>
        <v>21.559852810310179</v>
      </c>
      <c r="J9" s="32">
        <f t="shared" si="4"/>
        <v>27.239226149455234</v>
      </c>
      <c r="K9" s="32">
        <f t="shared" si="4"/>
        <v>27.08067084677246</v>
      </c>
      <c r="L9" s="32">
        <f t="shared" si="4"/>
        <v>23.474583803245324</v>
      </c>
      <c r="M9" s="32">
        <f t="shared" si="4"/>
        <v>18.427915636195522</v>
      </c>
      <c r="N9" s="32">
        <f t="shared" si="4"/>
        <v>25.241270221560317</v>
      </c>
      <c r="O9" s="32">
        <f t="shared" si="4"/>
        <v>18.783909265395277</v>
      </c>
      <c r="P9" s="32">
        <f t="shared" si="4"/>
        <v>19.86173427012837</v>
      </c>
      <c r="Q9" s="32">
        <f t="shared" si="4"/>
        <v>18.064436135033073</v>
      </c>
      <c r="R9" s="32">
        <f t="shared" si="4"/>
        <v>17.643954314018227</v>
      </c>
      <c r="S9" s="32">
        <f t="shared" si="4"/>
        <v>19.166125210618624</v>
      </c>
      <c r="T9" s="32">
        <f t="shared" si="4"/>
        <v>19.442957818131479</v>
      </c>
      <c r="U9" s="32">
        <f t="shared" si="4"/>
        <v>19.674069615447991</v>
      </c>
      <c r="V9" s="32">
        <f t="shared" si="4"/>
        <v>17.706149851317605</v>
      </c>
      <c r="W9" s="32">
        <f t="shared" si="4"/>
        <v>12.556872392551316</v>
      </c>
      <c r="X9" s="32">
        <f t="shared" ref="X9:Y9" si="5">SUM(X10,X11,X14)</f>
        <v>12.315774662427748</v>
      </c>
      <c r="Y9" s="32">
        <f t="shared" si="5"/>
        <v>12.100064129991994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29.11125765569269</v>
      </c>
      <c r="C11" s="130">
        <f t="shared" si="6"/>
        <v>32.932173550249473</v>
      </c>
      <c r="D11" s="130">
        <f t="shared" si="6"/>
        <v>45.704701531075706</v>
      </c>
      <c r="E11" s="130">
        <f t="shared" si="6"/>
        <v>36.374909861770085</v>
      </c>
      <c r="F11" s="130">
        <f t="shared" si="6"/>
        <v>19.820529241525389</v>
      </c>
      <c r="G11" s="130">
        <f t="shared" si="6"/>
        <v>15.944440698074921</v>
      </c>
      <c r="H11" s="130">
        <f t="shared" si="6"/>
        <v>22.869047661461167</v>
      </c>
      <c r="I11" s="130">
        <f t="shared" si="6"/>
        <v>21.559852810310179</v>
      </c>
      <c r="J11" s="130">
        <f t="shared" si="6"/>
        <v>27.239226149455234</v>
      </c>
      <c r="K11" s="130">
        <f t="shared" si="6"/>
        <v>27.08067084677246</v>
      </c>
      <c r="L11" s="130">
        <f t="shared" si="6"/>
        <v>23.474583803245324</v>
      </c>
      <c r="M11" s="130">
        <f t="shared" si="6"/>
        <v>18.427915636195522</v>
      </c>
      <c r="N11" s="130">
        <f t="shared" si="6"/>
        <v>25.241270221560317</v>
      </c>
      <c r="O11" s="130">
        <f t="shared" si="6"/>
        <v>18.783909265395277</v>
      </c>
      <c r="P11" s="130">
        <f t="shared" si="6"/>
        <v>19.86173427012837</v>
      </c>
      <c r="Q11" s="130">
        <f t="shared" si="6"/>
        <v>18.064436135033073</v>
      </c>
      <c r="R11" s="130">
        <f t="shared" si="6"/>
        <v>17.643954314018227</v>
      </c>
      <c r="S11" s="130">
        <f t="shared" si="6"/>
        <v>19.166125210618624</v>
      </c>
      <c r="T11" s="130">
        <f t="shared" si="6"/>
        <v>19.442957818131479</v>
      </c>
      <c r="U11" s="130">
        <f t="shared" si="6"/>
        <v>19.674069615447991</v>
      </c>
      <c r="V11" s="130">
        <f t="shared" si="6"/>
        <v>17.706149851317605</v>
      </c>
      <c r="W11" s="130">
        <f t="shared" si="6"/>
        <v>12.556872392551316</v>
      </c>
      <c r="X11" s="130">
        <f t="shared" ref="X11:Y11" si="7">SUM(X12:X13)</f>
        <v>12.315774662427748</v>
      </c>
      <c r="Y11" s="130">
        <f t="shared" si="7"/>
        <v>12.100064129991994</v>
      </c>
      <c r="DA11" s="176" t="s">
        <v>409</v>
      </c>
    </row>
    <row r="12" spans="1:105" ht="11.45" customHeight="1" x14ac:dyDescent="0.25">
      <c r="A12" s="111" t="s">
        <v>92</v>
      </c>
      <c r="B12" s="96">
        <v>29.11125765569269</v>
      </c>
      <c r="C12" s="96">
        <v>32.932173550249473</v>
      </c>
      <c r="D12" s="96">
        <v>45.704701531075706</v>
      </c>
      <c r="E12" s="96">
        <v>36.374909861770085</v>
      </c>
      <c r="F12" s="96">
        <v>19.820529241525389</v>
      </c>
      <c r="G12" s="96">
        <v>15.944440698074921</v>
      </c>
      <c r="H12" s="96">
        <v>22.869047661461167</v>
      </c>
      <c r="I12" s="96">
        <v>21.559852810310179</v>
      </c>
      <c r="J12" s="96">
        <v>27.239226149455234</v>
      </c>
      <c r="K12" s="96">
        <v>27.08067084677246</v>
      </c>
      <c r="L12" s="96">
        <v>23.474583803245324</v>
      </c>
      <c r="M12" s="96">
        <v>18.427915636195522</v>
      </c>
      <c r="N12" s="96">
        <v>25.241270221560317</v>
      </c>
      <c r="O12" s="96">
        <v>18.783909265395277</v>
      </c>
      <c r="P12" s="96">
        <v>19.86173427012837</v>
      </c>
      <c r="Q12" s="96">
        <v>18.064436135033073</v>
      </c>
      <c r="R12" s="96">
        <v>17.643954314018227</v>
      </c>
      <c r="S12" s="96">
        <v>19.166125210618624</v>
      </c>
      <c r="T12" s="96">
        <v>19.442957818131479</v>
      </c>
      <c r="U12" s="96">
        <v>19.674069615447991</v>
      </c>
      <c r="V12" s="96">
        <v>17.706149851317605</v>
      </c>
      <c r="W12" s="96">
        <v>12.556872392551316</v>
      </c>
      <c r="X12" s="96">
        <v>12.315774662427748</v>
      </c>
      <c r="Y12" s="96">
        <v>12.100064129991994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47.360031264307295</v>
      </c>
      <c r="C15" s="32">
        <f t="shared" si="8"/>
        <v>43.539115369750512</v>
      </c>
      <c r="D15" s="32">
        <f t="shared" si="8"/>
        <v>40.325398468924305</v>
      </c>
      <c r="E15" s="32">
        <f t="shared" si="8"/>
        <v>43.282560498229905</v>
      </c>
      <c r="F15" s="32">
        <f t="shared" si="8"/>
        <v>47.091681838474621</v>
      </c>
      <c r="G15" s="32">
        <f t="shared" si="8"/>
        <v>49.722001181925073</v>
      </c>
      <c r="H15" s="32">
        <f t="shared" si="8"/>
        <v>46.71663213853882</v>
      </c>
      <c r="I15" s="32">
        <f t="shared" si="8"/>
        <v>45.240852589689823</v>
      </c>
      <c r="J15" s="32">
        <f t="shared" si="8"/>
        <v>43.872587610544784</v>
      </c>
      <c r="K15" s="32">
        <f t="shared" si="8"/>
        <v>36.431950793227557</v>
      </c>
      <c r="L15" s="32">
        <f t="shared" si="8"/>
        <v>37.957309836754689</v>
      </c>
      <c r="M15" s="32">
        <f t="shared" si="8"/>
        <v>41.978019043804458</v>
      </c>
      <c r="N15" s="32">
        <f t="shared" si="8"/>
        <v>34.661288338439675</v>
      </c>
      <c r="O15" s="32">
        <f t="shared" si="8"/>
        <v>34.669459534604734</v>
      </c>
      <c r="P15" s="32">
        <f t="shared" si="8"/>
        <v>27.833886689871616</v>
      </c>
      <c r="Q15" s="32">
        <f t="shared" si="8"/>
        <v>28.47478022496691</v>
      </c>
      <c r="R15" s="32">
        <f t="shared" si="8"/>
        <v>27.225611205981757</v>
      </c>
      <c r="S15" s="32">
        <f t="shared" si="8"/>
        <v>22.258768429381391</v>
      </c>
      <c r="T15" s="32">
        <f t="shared" si="8"/>
        <v>24.827464741868539</v>
      </c>
      <c r="U15" s="32">
        <f t="shared" si="8"/>
        <v>24.496317944551997</v>
      </c>
      <c r="V15" s="32">
        <f t="shared" si="8"/>
        <v>25.468689388682389</v>
      </c>
      <c r="W15" s="32">
        <f t="shared" si="8"/>
        <v>22.788827607448688</v>
      </c>
      <c r="X15" s="32">
        <f t="shared" ref="X15:Y15" si="9">SUM(X16:X17)</f>
        <v>26.58610289757226</v>
      </c>
      <c r="Y15" s="32">
        <f t="shared" si="9"/>
        <v>23.821570710008007</v>
      </c>
      <c r="DA15" s="173" t="s">
        <v>414</v>
      </c>
    </row>
    <row r="16" spans="1:105" ht="11.45" customHeight="1" x14ac:dyDescent="0.25">
      <c r="A16" s="83" t="s">
        <v>92</v>
      </c>
      <c r="B16" s="96">
        <v>47.360031264307295</v>
      </c>
      <c r="C16" s="96">
        <v>43.539115369750512</v>
      </c>
      <c r="D16" s="96">
        <v>40.325398468924305</v>
      </c>
      <c r="E16" s="96">
        <v>43.282560498229905</v>
      </c>
      <c r="F16" s="96">
        <v>47.091681838474621</v>
      </c>
      <c r="G16" s="96">
        <v>49.722001181925073</v>
      </c>
      <c r="H16" s="96">
        <v>46.71663213853882</v>
      </c>
      <c r="I16" s="96">
        <v>45.240852589689823</v>
      </c>
      <c r="J16" s="96">
        <v>43.872587610544784</v>
      </c>
      <c r="K16" s="96">
        <v>36.431950793227557</v>
      </c>
      <c r="L16" s="96">
        <v>37.957309836754689</v>
      </c>
      <c r="M16" s="96">
        <v>41.978019043804458</v>
      </c>
      <c r="N16" s="96">
        <v>34.661288338439675</v>
      </c>
      <c r="O16" s="96">
        <v>34.669459534604734</v>
      </c>
      <c r="P16" s="96">
        <v>27.833886689871616</v>
      </c>
      <c r="Q16" s="96">
        <v>28.47478022496691</v>
      </c>
      <c r="R16" s="96">
        <v>27.225611205981757</v>
      </c>
      <c r="S16" s="96">
        <v>22.258768429381391</v>
      </c>
      <c r="T16" s="96">
        <v>24.827464741868539</v>
      </c>
      <c r="U16" s="96">
        <v>24.496317944551997</v>
      </c>
      <c r="V16" s="96">
        <v>25.468689388682389</v>
      </c>
      <c r="W16" s="96">
        <v>22.788827607448688</v>
      </c>
      <c r="X16" s="96">
        <v>26.58610289757226</v>
      </c>
      <c r="Y16" s="96">
        <v>23.821570710008007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0.25551455802568873</v>
      </c>
      <c r="C22" s="134">
        <f>IF(C4=0,0,C4/TrRail_ene!C4)</f>
        <v>0.28245638238009929</v>
      </c>
      <c r="D22" s="134">
        <f>IF(D4=0,0,D4/TrRail_ene!D4)</f>
        <v>0.31369495626273713</v>
      </c>
      <c r="E22" s="134">
        <f>IF(E4=0,0,E4/TrRail_ene!E4)</f>
        <v>0.29535584115684099</v>
      </c>
      <c r="F22" s="134">
        <f>IF(F4=0,0,F4/TrRail_ene!F4)</f>
        <v>0.24019417508877777</v>
      </c>
      <c r="G22" s="134">
        <f>IF(G4=0,0,G4/TrRail_ene!G4)</f>
        <v>0.24923632295814546</v>
      </c>
      <c r="H22" s="134">
        <f>IF(H4=0,0,H4/TrRail_ene!H4)</f>
        <v>0.25725326058384757</v>
      </c>
      <c r="I22" s="134">
        <f>IF(I4=0,0,I4/TrRail_ene!I4)</f>
        <v>0.24435067576959912</v>
      </c>
      <c r="J22" s="134">
        <f>IF(J4=0,0,J4/TrRail_ene!J4)</f>
        <v>0.31343815528861035</v>
      </c>
      <c r="K22" s="134">
        <f>IF(K4=0,0,K4/TrRail_ene!K4)</f>
        <v>0.27601914199161548</v>
      </c>
      <c r="L22" s="134">
        <f>IF(L4=0,0,L4/TrRail_ene!L4)</f>
        <v>0.2712128103762344</v>
      </c>
      <c r="M22" s="134">
        <f>IF(M4=0,0,M4/TrRail_ene!M4)</f>
        <v>0.24508459450559456</v>
      </c>
      <c r="N22" s="134">
        <f>IF(N4=0,0,N4/TrRail_ene!N4)</f>
        <v>0.2394409167765803</v>
      </c>
      <c r="O22" s="134">
        <f>IF(O4=0,0,O4/TrRail_ene!O4)</f>
        <v>0.21070596978829845</v>
      </c>
      <c r="P22" s="134">
        <f>IF(P4=0,0,P4/TrRail_ene!P4)</f>
        <v>0.19854709211581656</v>
      </c>
      <c r="Q22" s="134">
        <f>IF(Q4=0,0,Q4/TrRail_ene!Q4)</f>
        <v>0.19543553285884865</v>
      </c>
      <c r="R22" s="134">
        <f>IF(R4=0,0,R4/TrRail_ene!R4)</f>
        <v>0.18424993944556206</v>
      </c>
      <c r="S22" s="134">
        <f>IF(S4=0,0,S4/TrRail_ene!S4)</f>
        <v>0.18309334817771825</v>
      </c>
      <c r="T22" s="134">
        <f>IF(T4=0,0,T4/TrRail_ene!T4)</f>
        <v>0.18797856350112974</v>
      </c>
      <c r="U22" s="134">
        <f>IF(U4=0,0,U4/TrRail_ene!U4)</f>
        <v>0.19395351976126077</v>
      </c>
      <c r="V22" s="134">
        <f>IF(V4=0,0,V4/TrRail_ene!V4)</f>
        <v>0.20715951379859054</v>
      </c>
      <c r="W22" s="134">
        <f>IF(W4=0,0,W4/TrRail_ene!W4)</f>
        <v>0.15272914397176304</v>
      </c>
      <c r="X22" s="134">
        <f>IF(X4=0,0,X4/TrRail_ene!X4)</f>
        <v>0.16057743002436192</v>
      </c>
      <c r="Y22" s="134">
        <f>IF(Y4=0,0,Y4/TrRail_ene!Y4)</f>
        <v>0.15289774083357124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1.5512094000000003</v>
      </c>
      <c r="J23" s="129">
        <f>IF(J5=0,0,J5/SUM(TrRail_ene!J5:J7))</f>
        <v>1.5512094000000003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1.5512094000000003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1.5512093999999998</v>
      </c>
      <c r="X23" s="129">
        <f>IF(X5=0,0,X5/SUM(TrRail_ene!X5:X7))</f>
        <v>1.4361725964459851</v>
      </c>
      <c r="Y23" s="129">
        <f>IF(Y5=0,0,Y5/SUM(TrRail_ene!Y5:Y7))</f>
        <v>1.4273903689667895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511.3534047125712</v>
      </c>
      <c r="C26" s="54">
        <f>IF(C8=0,0,C8/TrRail_act!C14*1000)</f>
        <v>512.30810312948984</v>
      </c>
      <c r="D26" s="54">
        <f>IF(D8=0,0,D8/TrRail_act!D14*1000)</f>
        <v>567.4036232893875</v>
      </c>
      <c r="E26" s="54">
        <f>IF(E8=0,0,E8/TrRail_act!E14*1000)</f>
        <v>518.81320586362733</v>
      </c>
      <c r="F26" s="54">
        <f>IF(F8=0,0,F8/TrRail_act!F14*1000)</f>
        <v>413.64732030189799</v>
      </c>
      <c r="G26" s="54">
        <f>IF(G8=0,0,G8/TrRail_act!G14*1000)</f>
        <v>415.49552039439141</v>
      </c>
      <c r="H26" s="54">
        <f>IF(H8=0,0,H8/TrRail_act!H14*1000)</f>
        <v>420.08574930546979</v>
      </c>
      <c r="I26" s="54">
        <f>IF(I8=0,0,I8/TrRail_act!I14*1000)</f>
        <v>380.55705493425643</v>
      </c>
      <c r="J26" s="54">
        <f>IF(J8=0,0,J8/TrRail_act!J14*1000)</f>
        <v>454.11353996769668</v>
      </c>
      <c r="K26" s="54">
        <f>IF(K8=0,0,K8/TrRail_act!K14*1000)</f>
        <v>389.9093404364591</v>
      </c>
      <c r="L26" s="54">
        <f>IF(L8=0,0,L8/TrRail_act!L14*1000)</f>
        <v>376.08969678445789</v>
      </c>
      <c r="M26" s="54">
        <f>IF(M8=0,0,M8/TrRail_act!M14*1000)</f>
        <v>338.00208856921518</v>
      </c>
      <c r="N26" s="54">
        <f>IF(N8=0,0,N8/TrRail_act!N14*1000)</f>
        <v>323.67593330924223</v>
      </c>
      <c r="O26" s="54">
        <f>IF(O8=0,0,O8/TrRail_act!O14*1000)</f>
        <v>278.05818402423137</v>
      </c>
      <c r="P26" s="54">
        <f>IF(P8=0,0,P8/TrRail_act!P14*1000)</f>
        <v>255.66905229098325</v>
      </c>
      <c r="Q26" s="54">
        <f>IF(Q8=0,0,Q8/TrRail_act!Q14*1000)</f>
        <v>246.7794623291922</v>
      </c>
      <c r="R26" s="54">
        <f>IF(R8=0,0,R8/TrRail_act!R14*1000)</f>
        <v>228.55583353605803</v>
      </c>
      <c r="S26" s="54">
        <f>IF(S8=0,0,S8/TrRail_act!S14*1000)</f>
        <v>224.84840324442914</v>
      </c>
      <c r="T26" s="54">
        <f>IF(T8=0,0,T8/TrRail_act!T14*1000)</f>
        <v>228.17861393405752</v>
      </c>
      <c r="U26" s="54">
        <f>IF(U8=0,0,U8/TrRail_act!U14*1000)</f>
        <v>234.78337394229192</v>
      </c>
      <c r="V26" s="54">
        <f>IF(V8=0,0,V8/TrRail_act!V14*1000)</f>
        <v>246.22690689133722</v>
      </c>
      <c r="W26" s="54">
        <f>IF(W8=0,0,W8/TrRail_act!W14*1000)</f>
        <v>180.93907115082075</v>
      </c>
      <c r="X26" s="54">
        <f>IF(X8=0,0,X8/TrRail_act!X14*1000)</f>
        <v>196.45110497251926</v>
      </c>
      <c r="Y26" s="54">
        <f>IF(Y8=0,0,Y8/TrRail_act!Y14*1000)</f>
        <v>184.87796149117932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269.9510037550271</v>
      </c>
      <c r="C27" s="28">
        <f>IF(C9=0,0,C9/TrRail_act!C15*1000)</f>
        <v>298.55083853996871</v>
      </c>
      <c r="D27" s="28">
        <f>IF(D9=0,0,D9/TrRail_act!D15*1000)</f>
        <v>408.0059020621573</v>
      </c>
      <c r="E27" s="28">
        <f>IF(E9=0,0,E9/TrRail_act!E15*1000)</f>
        <v>319.71480154698571</v>
      </c>
      <c r="F27" s="28">
        <f>IF(F9=0,0,F9/TrRail_act!F15*1000)</f>
        <v>167.82965073099854</v>
      </c>
      <c r="G27" s="28">
        <f>IF(G9=0,0,G9/TrRail_act!G15*1000)</f>
        <v>140.19845508763942</v>
      </c>
      <c r="H27" s="28">
        <f>IF(H9=0,0,H9/TrRail_act!H15*1000)</f>
        <v>191.89454036498498</v>
      </c>
      <c r="I27" s="28">
        <f>IF(I9=0,0,I9/TrRail_act!I15*1000)</f>
        <v>173.14872748479306</v>
      </c>
      <c r="J27" s="28">
        <f>IF(J9=0,0,J9/TrRail_act!J15*1000)</f>
        <v>238.09214125452684</v>
      </c>
      <c r="K27" s="28">
        <f>IF(K9=0,0,K9/TrRail_act!K15*1000)</f>
        <v>217.78206298808956</v>
      </c>
      <c r="L27" s="28">
        <f>IF(L9=0,0,L9/TrRail_act!L15*1000)</f>
        <v>191.02196608070358</v>
      </c>
      <c r="M27" s="28">
        <f>IF(M9=0,0,M9/TrRail_act!M15*1000)</f>
        <v>136.14939030699816</v>
      </c>
      <c r="N27" s="28">
        <f>IF(N9=0,0,N9/TrRail_act!N15*1000)</f>
        <v>176.19194684085292</v>
      </c>
      <c r="O27" s="28">
        <f>IF(O9=0,0,O9/TrRail_act!O15*1000)</f>
        <v>123.51241798731645</v>
      </c>
      <c r="P27" s="28">
        <f>IF(P9=0,0,P9/TrRail_act!P15*1000)</f>
        <v>132.89510025818996</v>
      </c>
      <c r="Q27" s="28">
        <f>IF(Q9=0,0,Q9/TrRail_act!Q15*1000)</f>
        <v>117.96937117940955</v>
      </c>
      <c r="R27" s="28">
        <f>IF(R9=0,0,R9/TrRail_act!R15*1000)</f>
        <v>109.72581356882765</v>
      </c>
      <c r="S27" s="28">
        <f>IF(S9=0,0,S9/TrRail_act!S15*1000)</f>
        <v>129.98090189925259</v>
      </c>
      <c r="T27" s="28">
        <f>IF(T9=0,0,T9/TrRail_act!T15*1000)</f>
        <v>121.97411441433017</v>
      </c>
      <c r="U27" s="28">
        <f>IF(U9=0,0,U9/TrRail_act!U15*1000)</f>
        <v>126.99286986902192</v>
      </c>
      <c r="V27" s="28">
        <f>IF(V9=0,0,V9/TrRail_act!V15*1000)</f>
        <v>123.34300692469419</v>
      </c>
      <c r="W27" s="28">
        <f>IF(W9=0,0,W9/TrRail_act!W15*1000)</f>
        <v>78.617861622584357</v>
      </c>
      <c r="X27" s="28">
        <f>IF(X9=0,0,X9/TrRail_act!X15*1000)</f>
        <v>83.29162931896316</v>
      </c>
      <c r="Y27" s="28">
        <f>IF(Y9=0,0,Y9/TrRail_act!Y15*1000)</f>
        <v>80.8981386077173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424.88946716771551</v>
      </c>
      <c r="C29" s="110">
        <f>IF(C11=0,0,C11/TrRail_act!C17*1000)</f>
        <v>474.8495591577032</v>
      </c>
      <c r="D29" s="110">
        <f>IF(D11=0,0,D11/TrRail_act!D17*1000)</f>
        <v>638.25184484985982</v>
      </c>
      <c r="E29" s="110">
        <f>IF(E11=0,0,E11/TrRail_act!E17*1000)</f>
        <v>499.32660228070671</v>
      </c>
      <c r="F29" s="110">
        <f>IF(F11=0,0,F11/TrRail_act!F17*1000)</f>
        <v>258.31621099550551</v>
      </c>
      <c r="G29" s="110">
        <f>IF(G11=0,0,G11/TrRail_act!G17*1000)</f>
        <v>217.4312637741379</v>
      </c>
      <c r="H29" s="110">
        <f>IF(H11=0,0,H11/TrRail_act!H17*1000)</f>
        <v>294.04541165545265</v>
      </c>
      <c r="I29" s="110">
        <f>IF(I11=0,0,I11/TrRail_act!I17*1000)</f>
        <v>263.98291050524011</v>
      </c>
      <c r="J29" s="110">
        <f>IF(J11=0,0,J11/TrRail_act!J17*1000)</f>
        <v>382.06098925214889</v>
      </c>
      <c r="K29" s="110">
        <f>IF(K11=0,0,K11/TrRail_act!K17*1000)</f>
        <v>336.40866561358649</v>
      </c>
      <c r="L29" s="110">
        <f>IF(L11=0,0,L11/TrRail_act!L17*1000)</f>
        <v>297.57664001433068</v>
      </c>
      <c r="M29" s="110">
        <f>IF(M11=0,0,M11/TrRail_act!M17*1000)</f>
        <v>204.32917470796087</v>
      </c>
      <c r="N29" s="110">
        <f>IF(N11=0,0,N11/TrRail_act!N17*1000)</f>
        <v>259.54033861480593</v>
      </c>
      <c r="O29" s="110">
        <f>IF(O11=0,0,O11/TrRail_act!O17*1000)</f>
        <v>180.77438569713163</v>
      </c>
      <c r="P29" s="110">
        <f>IF(P11=0,0,P11/TrRail_act!P17*1000)</f>
        <v>199.71936939304689</v>
      </c>
      <c r="Q29" s="110">
        <f>IF(Q11=0,0,Q11/TrRail_act!Q17*1000)</f>
        <v>175.15189421441531</v>
      </c>
      <c r="R29" s="110">
        <f>IF(R11=0,0,R11/TrRail_act!R17*1000)</f>
        <v>162.29628094095975</v>
      </c>
      <c r="S29" s="110">
        <f>IF(S11=0,0,S11/TrRail_act!S17*1000)</f>
        <v>204.40594775208459</v>
      </c>
      <c r="T29" s="110">
        <f>IF(T11=0,0,T11/TrRail_act!T17*1000)</f>
        <v>181.60985075100646</v>
      </c>
      <c r="U29" s="110">
        <f>IF(U11=0,0,U11/TrRail_act!U17*1000)</f>
        <v>194.46490676171339</v>
      </c>
      <c r="V29" s="110">
        <f>IF(V11=0,0,V11/TrRail_act!V17*1000)</f>
        <v>188.8063784986706</v>
      </c>
      <c r="W29" s="110">
        <f>IF(W11=0,0,W11/TrRail_act!W17*1000)</f>
        <v>114.80288033254475</v>
      </c>
      <c r="X29" s="110">
        <f>IF(X11=0,0,X11/TrRail_act!X17*1000)</f>
        <v>122.23144207249518</v>
      </c>
      <c r="Y29" s="110">
        <f>IF(Y11=0,0,Y11/TrRail_act!Y17*1000)</f>
        <v>118.10965866405833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8687.4529809804371</v>
      </c>
      <c r="C30" s="84">
        <f>IF(C12=0,0,C12/TrRail_act!C18*1000)</f>
        <v>8421.2089608989299</v>
      </c>
      <c r="D30" s="84">
        <f>IF(D12=0,0,D12/TrRail_act!D18*1000)</f>
        <v>8175.9389240684432</v>
      </c>
      <c r="E30" s="84">
        <f>IF(E12=0,0,E12/TrRail_act!E18*1000)</f>
        <v>8003.6148010955021</v>
      </c>
      <c r="F30" s="84">
        <f>IF(F12=0,0,F12/TrRail_act!F18*1000)</f>
        <v>7786.3909998695199</v>
      </c>
      <c r="G30" s="84">
        <f>IF(G12=0,0,G12/TrRail_act!G18*1000)</f>
        <v>7621.5578071326199</v>
      </c>
      <c r="H30" s="84">
        <f>IF(H12=0,0,H12/TrRail_act!H18*1000)</f>
        <v>7430.4795722210811</v>
      </c>
      <c r="I30" s="84">
        <f>IF(I12=0,0,I12/TrRail_act!I18*1000)</f>
        <v>7312.4720916275455</v>
      </c>
      <c r="J30" s="84">
        <f>IF(J12=0,0,J12/TrRail_act!J18*1000)</f>
        <v>7146.6924582880201</v>
      </c>
      <c r="K30" s="84">
        <f>IF(K12=0,0,K12/TrRail_act!K18*1000)</f>
        <v>6990.8559447221905</v>
      </c>
      <c r="L30" s="84">
        <f>IF(L12=0,0,L12/TrRail_act!L18*1000)</f>
        <v>6853.9385077134139</v>
      </c>
      <c r="M30" s="84">
        <f>IF(M12=0,0,M12/TrRail_act!M18*1000)</f>
        <v>6688.194788336039</v>
      </c>
      <c r="N30" s="84">
        <f>IF(N12=0,0,N12/TrRail_act!N18*1000)</f>
        <v>6548.8236370850946</v>
      </c>
      <c r="O30" s="84">
        <f>IF(O12=0,0,O12/TrRail_act!O18*1000)</f>
        <v>6407.0640229980236</v>
      </c>
      <c r="P30" s="84">
        <f>IF(P12=0,0,P12/TrRail_act!P18*1000)</f>
        <v>6204.1410792502156</v>
      </c>
      <c r="Q30" s="84">
        <f>IF(Q12=0,0,Q12/TrRail_act!Q18*1000)</f>
        <v>5966.7826325306642</v>
      </c>
      <c r="R30" s="84">
        <f>IF(R12=0,0,R12/TrRail_act!R18*1000)</f>
        <v>5794.7423524816741</v>
      </c>
      <c r="S30" s="84">
        <f>IF(S12=0,0,S12/TrRail_act!S18*1000)</f>
        <v>5668.9753232226849</v>
      </c>
      <c r="T30" s="84">
        <f>IF(T12=0,0,T12/TrRail_act!T18*1000)</f>
        <v>5576.444615200875</v>
      </c>
      <c r="U30" s="84">
        <f>IF(U12=0,0,U12/TrRail_act!U18*1000)</f>
        <v>5508.0390827188121</v>
      </c>
      <c r="V30" s="84">
        <f>IF(V12=0,0,V12/TrRail_act!V18*1000)</f>
        <v>5457.2861722030448</v>
      </c>
      <c r="W30" s="84">
        <f>IF(W12=0,0,W12/TrRail_act!W18*1000)</f>
        <v>5419.5286237590235</v>
      </c>
      <c r="X30" s="84">
        <f>IF(X12=0,0,X12/TrRail_act!X18*1000)</f>
        <v>4991.5601856869016</v>
      </c>
      <c r="Y30" s="84">
        <f>IF(Y12=0,0,Y12/TrRail_act!Y18*1000)</f>
        <v>4941.7000439649391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1135.5196558619671</v>
      </c>
      <c r="C33" s="28">
        <f>IF(C15=0,0,C15/TrRail_act!C21*1000)</f>
        <v>1117.493343002835</v>
      </c>
      <c r="D33" s="28">
        <f>IF(D15=0,0,D15/TrRail_act!D21*1000)</f>
        <v>1018.2941697023838</v>
      </c>
      <c r="E33" s="28">
        <f>IF(E15=0,0,E15/TrRail_act!E21*1000)</f>
        <v>1088.4622941274474</v>
      </c>
      <c r="F33" s="28">
        <f>IF(F15=0,0,F15/TrRail_act!F21*1000)</f>
        <v>1078.5406261486037</v>
      </c>
      <c r="G33" s="28">
        <f>IF(G15=0,0,G15/TrRail_act!G21*1000)</f>
        <v>1121.986737616475</v>
      </c>
      <c r="H33" s="28">
        <f>IF(H15=0,0,H15/TrRail_act!H21*1000)</f>
        <v>1005.279469270111</v>
      </c>
      <c r="I33" s="28">
        <f>IF(I15=0,0,I15/TrRail_act!I21*1000)</f>
        <v>886.76902557300991</v>
      </c>
      <c r="J33" s="28">
        <f>IF(J15=0,0,J15/TrRail_act!J21*1000)</f>
        <v>1039.9169190001599</v>
      </c>
      <c r="K33" s="28">
        <f>IF(K15=0,0,K15/TrRail_act!K21*1000)</f>
        <v>945.22457572795736</v>
      </c>
      <c r="L33" s="28">
        <f>IF(L15=0,0,L15/TrRail_act!L21*1000)</f>
        <v>938.27668593578335</v>
      </c>
      <c r="M33" s="28">
        <f>IF(M15=0,0,M15/TrRail_act!M21*1000)</f>
        <v>968.03897508541729</v>
      </c>
      <c r="N33" s="28">
        <f>IF(N15=0,0,N15/TrRail_act!N21*1000)</f>
        <v>829.02940517017259</v>
      </c>
      <c r="O33" s="28">
        <f>IF(O15=0,0,O15/TrRail_act!O21*1000)</f>
        <v>863.3493294586666</v>
      </c>
      <c r="P33" s="28">
        <f>IF(P15=0,0,P15/TrRail_act!P21*1000)</f>
        <v>750.28074817770857</v>
      </c>
      <c r="Q33" s="28">
        <f>IF(Q15=0,0,Q15/TrRail_act!Q21*1000)</f>
        <v>803.05491910865192</v>
      </c>
      <c r="R33" s="28">
        <f>IF(R15=0,0,R15/TrRail_act!R21*1000)</f>
        <v>766.54405105493311</v>
      </c>
      <c r="S33" s="28">
        <f>IF(S15=0,0,S15/TrRail_act!S21*1000)</f>
        <v>605.16412817432911</v>
      </c>
      <c r="T33" s="28">
        <f>IF(T15=0,0,T15/TrRail_act!T21*1000)</f>
        <v>717.26240988126017</v>
      </c>
      <c r="U33" s="28">
        <f>IF(U15=0,0,U15/TrRail_act!U21*1000)</f>
        <v>737.6212321358239</v>
      </c>
      <c r="V33" s="28">
        <f>IF(V15=0,0,V15/TrRail_act!V21*1000)</f>
        <v>801.06283682799983</v>
      </c>
      <c r="W33" s="28">
        <f>IF(W15=0,0,W15/TrRail_act!W21*1000)</f>
        <v>639.67708292576481</v>
      </c>
      <c r="X33" s="28">
        <f>IF(X15=0,0,X15/TrRail_act!X21*1000)</f>
        <v>530.02690697608273</v>
      </c>
      <c r="Y33" s="28">
        <f>IF(Y15=0,0,Y15/TrRail_act!Y21*1000)</f>
        <v>532.59254435191167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15978.174116934309</v>
      </c>
      <c r="C34" s="84">
        <f>IF(C16=0,0,C16/TrRail_act!C22*1000)</f>
        <v>15817.456095167259</v>
      </c>
      <c r="D34" s="84">
        <f>IF(D16=0,0,D16/TrRail_act!D22*1000)</f>
        <v>15532.849536337972</v>
      </c>
      <c r="E34" s="84">
        <f>IF(E16=0,0,E16/TrRail_act!E22*1000)</f>
        <v>15279.758041679735</v>
      </c>
      <c r="F34" s="84">
        <f>IF(F16=0,0,F16/TrRail_act!F22*1000)</f>
        <v>15048.907356249218</v>
      </c>
      <c r="G34" s="84">
        <f>IF(G16=0,0,G16/TrRail_act!G22*1000)</f>
        <v>14894.266003781378</v>
      </c>
      <c r="H34" s="84">
        <f>IF(H16=0,0,H16/TrRail_act!H22*1000)</f>
        <v>14788.658102846694</v>
      </c>
      <c r="I34" s="84">
        <f>IF(I16=0,0,I16/TrRail_act!I22*1000)</f>
        <v>14672.251616727501</v>
      </c>
      <c r="J34" s="84">
        <f>IF(J16=0,0,J16/TrRail_act!J22*1000)</f>
        <v>14578.029936180516</v>
      </c>
      <c r="K34" s="84">
        <f>IF(K16=0,0,K16/TrRail_act!K22*1000)</f>
        <v>14383.074274970533</v>
      </c>
      <c r="L34" s="84">
        <f>IF(L16=0,0,L16/TrRail_act!L22*1000)</f>
        <v>14038.476577543557</v>
      </c>
      <c r="M34" s="84">
        <f>IF(M16=0,0,M16/TrRail_act!M22*1000)</f>
        <v>13720.890478480029</v>
      </c>
      <c r="N34" s="84">
        <f>IF(N16=0,0,N16/TrRail_act!N22*1000)</f>
        <v>13604.768558946989</v>
      </c>
      <c r="O34" s="84">
        <f>IF(O16=0,0,O16/TrRail_act!O22*1000)</f>
        <v>13521.489232296006</v>
      </c>
      <c r="P34" s="84">
        <f>IF(P16=0,0,P16/TrRail_act!P22*1000)</f>
        <v>13474.249069165013</v>
      </c>
      <c r="Q34" s="84">
        <f>IF(Q16=0,0,Q16/TrRail_act!Q22*1000)</f>
        <v>13383.587382389542</v>
      </c>
      <c r="R34" s="84">
        <f>IF(R16=0,0,R16/TrRail_act!R22*1000)</f>
        <v>13249.411708565189</v>
      </c>
      <c r="S34" s="84">
        <f>IF(S16=0,0,S16/TrRail_act!S22*1000)</f>
        <v>13083.915139198134</v>
      </c>
      <c r="T34" s="84">
        <f>IF(T16=0,0,T16/TrRail_act!T22*1000)</f>
        <v>12896.344972734476</v>
      </c>
      <c r="U34" s="84">
        <f>IF(U16=0,0,U16/TrRail_act!U22*1000)</f>
        <v>12757.434117768647</v>
      </c>
      <c r="V34" s="84">
        <f>IF(V16=0,0,V16/TrRail_act!V22*1000)</f>
        <v>12654.233778502978</v>
      </c>
      <c r="W34" s="84">
        <f>IF(W16=0,0,W16/TrRail_act!W22*1000)</f>
        <v>12577.381752595607</v>
      </c>
      <c r="X34" s="84">
        <f>IF(X16=0,0,X16/TrRail_act!X22*1000)</f>
        <v>11591.569486181483</v>
      </c>
      <c r="Y34" s="84">
        <f>IF(Y16=0,0,Y16/TrRail_act!Y22*1000)</f>
        <v>11481.277488196441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2.8470667633929279</v>
      </c>
      <c r="C38" s="29">
        <f>IF(C9=0,0,C9/TrRail_act!C4*1000)</f>
        <v>3.0711716450852813</v>
      </c>
      <c r="D38" s="29">
        <f>IF(D9=0,0,D9/TrRail_act!D4*1000)</f>
        <v>4.2058251155862436</v>
      </c>
      <c r="E38" s="29">
        <f>IF(E9=0,0,E9/TrRail_act!E4*1000)</f>
        <v>3.3593378150877435</v>
      </c>
      <c r="F38" s="29">
        <f>IF(F9=0,0,F9/TrRail_act!F4*1000)</f>
        <v>1.860733124439109</v>
      </c>
      <c r="G38" s="29">
        <f>IF(G9=0,0,G9/TrRail_act!G4*1000)</f>
        <v>1.4595789727274735</v>
      </c>
      <c r="H38" s="29">
        <f>IF(H9=0,0,H9/TrRail_act!H4*1000)</f>
        <v>1.9453085795730833</v>
      </c>
      <c r="I38" s="29">
        <f>IF(I9=0,0,I9/TrRail_act!I4*1000)</f>
        <v>1.7296311921628704</v>
      </c>
      <c r="J38" s="29">
        <f>IF(J9=0,0,J9/TrRail_act!J4*1000)</f>
        <v>2.0350561187489902</v>
      </c>
      <c r="K38" s="29">
        <f>IF(K9=0,0,K9/TrRail_act!K4*1000)</f>
        <v>1.9970996199684707</v>
      </c>
      <c r="L38" s="29">
        <f>IF(L9=0,0,L9/TrRail_act!L4*1000)</f>
        <v>1.7472708450498937</v>
      </c>
      <c r="M38" s="29">
        <f>IF(M9=0,0,M9/TrRail_act!M4*1000)</f>
        <v>1.3432404429036753</v>
      </c>
      <c r="N38" s="29">
        <f>IF(N9=0,0,N9/TrRail_act!N4*1000)</f>
        <v>1.7819463622704073</v>
      </c>
      <c r="O38" s="29">
        <f>IF(O9=0,0,O9/TrRail_act!O4*1000)</f>
        <v>1.3143873252673204</v>
      </c>
      <c r="P38" s="29">
        <f>IF(P9=0,0,P9/TrRail_act!P4*1000)</f>
        <v>1.3637554428816514</v>
      </c>
      <c r="Q38" s="29">
        <f>IF(Q9=0,0,Q9/TrRail_act!Q4*1000)</f>
        <v>1.1852682362496112</v>
      </c>
      <c r="R38" s="29">
        <f>IF(R9=0,0,R9/TrRail_act!R4*1000)</f>
        <v>1.1451164534020137</v>
      </c>
      <c r="S38" s="29">
        <f>IF(S9=0,0,S9/TrRail_act!S4*1000)</f>
        <v>1.1995321824144838</v>
      </c>
      <c r="T38" s="29">
        <f>IF(T9=0,0,T9/TrRail_act!T4*1000)</f>
        <v>1.1939915142551878</v>
      </c>
      <c r="U38" s="29">
        <f>IF(U9=0,0,U9/TrRail_act!U4*1000)</f>
        <v>1.1358506792591647</v>
      </c>
      <c r="V38" s="29">
        <f>IF(V9=0,0,V9/TrRail_act!V4*1000)</f>
        <v>1.8036212540814509</v>
      </c>
      <c r="W38" s="29">
        <f>IF(W9=0,0,W9/TrRail_act!W4*1000)</f>
        <v>1.3054238894429062</v>
      </c>
      <c r="X38" s="29">
        <f>IF(X9=0,0,X9/TrRail_act!X4*1000)</f>
        <v>0.81968550165908471</v>
      </c>
      <c r="Y38" s="29">
        <f>IF(Y9=0,0,Y9/TrRail_act!Y4*1000)</f>
        <v>0.77534692618172463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4.6983953608283873</v>
      </c>
      <c r="C40" s="116">
        <f>IF(C11=0,0,C11/TrRail_act!C6*1000)</f>
        <v>5.0625939354726324</v>
      </c>
      <c r="D40" s="116">
        <f>IF(D11=0,0,D11/TrRail_act!D6*1000)</f>
        <v>7.0488435427322189</v>
      </c>
      <c r="E40" s="116">
        <f>IF(E11=0,0,E11/TrRail_act!E6*1000)</f>
        <v>5.6535452069894445</v>
      </c>
      <c r="F40" s="116">
        <f>IF(F11=0,0,F11/TrRail_act!F6*1000)</f>
        <v>3.1906840375926251</v>
      </c>
      <c r="G40" s="116">
        <f>IF(G11=0,0,G11/TrRail_act!G6*1000)</f>
        <v>2.4231672793426928</v>
      </c>
      <c r="H40" s="116">
        <f>IF(H11=0,0,H11/TrRail_act!H6*1000)</f>
        <v>3.2087901868193023</v>
      </c>
      <c r="I40" s="116">
        <f>IF(I11=0,0,I11/TrRail_act!I6*1000)</f>
        <v>2.8800230844656936</v>
      </c>
      <c r="J40" s="116">
        <f>IF(J11=0,0,J11/TrRail_act!J6*1000)</f>
        <v>3.3405967806543089</v>
      </c>
      <c r="K40" s="116">
        <f>IF(K11=0,0,K11/TrRail_act!K6*1000)</f>
        <v>3.2741713029588269</v>
      </c>
      <c r="L40" s="116">
        <f>IF(L11=0,0,L11/TrRail_act!L6*1000)</f>
        <v>2.857005270278747</v>
      </c>
      <c r="M40" s="116">
        <f>IF(M11=0,0,M11/TrRail_act!M6*1000)</f>
        <v>2.1548077217253887</v>
      </c>
      <c r="N40" s="116">
        <f>IF(N11=0,0,N11/TrRail_act!N6*1000)</f>
        <v>2.8540558821302935</v>
      </c>
      <c r="O40" s="116">
        <f>IF(O11=0,0,O11/TrRail_act!O6*1000)</f>
        <v>2.1376930995101033</v>
      </c>
      <c r="P40" s="116">
        <f>IF(P11=0,0,P11/TrRail_act!P6*1000)</f>
        <v>2.2334121522690169</v>
      </c>
      <c r="Q40" s="116">
        <f>IF(Q11=0,0,Q11/TrRail_act!Q6*1000)</f>
        <v>1.9266676765180326</v>
      </c>
      <c r="R40" s="116">
        <f>IF(R11=0,0,R11/TrRail_act!R6*1000)</f>
        <v>1.893331292415305</v>
      </c>
      <c r="S40" s="116">
        <f>IF(S11=0,0,S11/TrRail_act!S6*1000)</f>
        <v>1.9704045657056257</v>
      </c>
      <c r="T40" s="116">
        <f>IF(T11=0,0,T11/TrRail_act!T6*1000)</f>
        <v>1.9396406442669072</v>
      </c>
      <c r="U40" s="116">
        <f>IF(U11=0,0,U11/TrRail_act!U6*1000)</f>
        <v>1.8357814328121667</v>
      </c>
      <c r="V40" s="116">
        <f>IF(V11=0,0,V11/TrRail_act!V6*1000)</f>
        <v>2.7967382485101258</v>
      </c>
      <c r="W40" s="116">
        <f>IF(W11=0,0,W11/TrRail_act!W6*1000)</f>
        <v>2.0625611682902956</v>
      </c>
      <c r="X40" s="116">
        <f>IF(X11=0,0,X11/TrRail_act!X6*1000)</f>
        <v>1.2502055286192009</v>
      </c>
      <c r="Y40" s="116">
        <f>IF(Y11=0,0,Y11/TrRail_act!Y6*1000)</f>
        <v>1.1961312900347956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75.653619843346348</v>
      </c>
      <c r="C41" s="87">
        <f>IF(C12=0,0,C12/TrRail_act!C7*1000)</f>
        <v>73.74513217956364</v>
      </c>
      <c r="D41" s="87">
        <f>IF(D12=0,0,D12/TrRail_act!D7*1000)</f>
        <v>74.471230940912889</v>
      </c>
      <c r="E41" s="87">
        <f>IF(E12=0,0,E12/TrRail_act!E7*1000)</f>
        <v>77.783427689152958</v>
      </c>
      <c r="F41" s="87">
        <f>IF(F12=0,0,F12/TrRail_act!F7*1000)</f>
        <v>75.601705594350761</v>
      </c>
      <c r="G41" s="87">
        <f>IF(G12=0,0,G12/TrRail_act!G7*1000)</f>
        <v>71.26306503628912</v>
      </c>
      <c r="H41" s="87">
        <f>IF(H12=0,0,H12/TrRail_act!H7*1000)</f>
        <v>68.047021189271632</v>
      </c>
      <c r="I41" s="87">
        <f>IF(I12=0,0,I12/TrRail_act!I7*1000)</f>
        <v>66.497976615257173</v>
      </c>
      <c r="J41" s="87">
        <f>IF(J12=0,0,J12/TrRail_act!J7*1000)</f>
        <v>65.348095290208548</v>
      </c>
      <c r="K41" s="87">
        <f>IF(K12=0,0,K12/TrRail_act!K7*1000)</f>
        <v>64.166200340710802</v>
      </c>
      <c r="L41" s="87">
        <f>IF(L12=0,0,L12/TrRail_act!L7*1000)</f>
        <v>60.644000376226074</v>
      </c>
      <c r="M41" s="87">
        <f>IF(M12=0,0,M12/TrRail_act!M7*1000)</f>
        <v>65.011040130111482</v>
      </c>
      <c r="N41" s="87">
        <f>IF(N12=0,0,N12/TrRail_act!N7*1000)</f>
        <v>64.025503233984224</v>
      </c>
      <c r="O41" s="87">
        <f>IF(O12=0,0,O12/TrRail_act!O7*1000)</f>
        <v>61.945458942437945</v>
      </c>
      <c r="P41" s="87">
        <f>IF(P12=0,0,P12/TrRail_act!P7*1000)</f>
        <v>59.862868787449727</v>
      </c>
      <c r="Q41" s="87">
        <f>IF(Q12=0,0,Q12/TrRail_act!Q7*1000)</f>
        <v>57.650653263224747</v>
      </c>
      <c r="R41" s="87">
        <f>IF(R12=0,0,R12/TrRail_act!R7*1000)</f>
        <v>57.90548843445012</v>
      </c>
      <c r="S41" s="87">
        <f>IF(S12=0,0,S12/TrRail_act!S7*1000)</f>
        <v>55.728618084126474</v>
      </c>
      <c r="T41" s="87">
        <f>IF(T12=0,0,T12/TrRail_act!T7*1000)</f>
        <v>54.231537999494314</v>
      </c>
      <c r="U41" s="87">
        <f>IF(U12=0,0,U12/TrRail_act!U7*1000)</f>
        <v>59.655885692750886</v>
      </c>
      <c r="V41" s="87">
        <f>IF(V12=0,0,V12/TrRail_act!V7*1000)</f>
        <v>97.172945621967045</v>
      </c>
      <c r="W41" s="87">
        <f>IF(W12=0,0,W12/TrRail_act!W7*1000)</f>
        <v>91.979776003695278</v>
      </c>
      <c r="X41" s="87">
        <f>IF(X12=0,0,X12/TrRail_act!X7*1000)</f>
        <v>64.050743816015881</v>
      </c>
      <c r="Y41" s="87">
        <f>IF(Y12=0,0,Y12/TrRail_act!Y7*1000)</f>
        <v>54.781931765369904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2.4318372921338791</v>
      </c>
      <c r="C44" s="29">
        <f>IF(C15=0,0,C15/TrRail_act!C10*1000)</f>
        <v>2.2970937728052396</v>
      </c>
      <c r="D44" s="29">
        <f>IF(D15=0,0,D15/TrRail_act!D10*1000)</f>
        <v>2.1006093904737355</v>
      </c>
      <c r="E44" s="29">
        <f>IF(E15=0,0,E15/TrRail_act!E10*1000)</f>
        <v>2.1458879771060935</v>
      </c>
      <c r="F44" s="29">
        <f>IF(F15=0,0,F15/TrRail_act!F10*1000)</f>
        <v>2.2579440850822126</v>
      </c>
      <c r="G44" s="29">
        <f>IF(G15=0,0,G15/TrRail_act!G10*1000)</f>
        <v>2.2939792932837406</v>
      </c>
      <c r="H44" s="29">
        <f>IF(H15=0,0,H15/TrRail_act!H10*1000)</f>
        <v>2.0976441173965612</v>
      </c>
      <c r="I44" s="29">
        <f>IF(I15=0,0,I15/TrRail_act!I10*1000)</f>
        <v>1.9458431221371966</v>
      </c>
      <c r="J44" s="29">
        <f>IF(J15=0,0,J15/TrRail_act!J10*1000)</f>
        <v>1.9138277617581916</v>
      </c>
      <c r="K44" s="29">
        <f>IF(K15=0,0,K15/TrRail_act!K10*1000)</f>
        <v>1.7868434348534776</v>
      </c>
      <c r="L44" s="29">
        <f>IF(L15=0,0,L15/TrRail_act!L10*1000)</f>
        <v>1.6176828263192418</v>
      </c>
      <c r="M44" s="29">
        <f>IF(M15=0,0,M15/TrRail_act!M10*1000)</f>
        <v>1.8359875369053735</v>
      </c>
      <c r="N44" s="29">
        <f>IF(N15=0,0,N15/TrRail_act!N10*1000)</f>
        <v>1.5724397014217517</v>
      </c>
      <c r="O44" s="29">
        <f>IF(O15=0,0,O15/TrRail_act!O10*1000)</f>
        <v>1.6532884851981275</v>
      </c>
      <c r="P44" s="29">
        <f>IF(P15=0,0,P15/TrRail_act!P10*1000)</f>
        <v>1.3070006897948729</v>
      </c>
      <c r="Q44" s="29">
        <f>IF(Q15=0,0,Q15/TrRail_act!Q10*1000)</f>
        <v>1.3756597045735015</v>
      </c>
      <c r="R44" s="29">
        <f>IF(R15=0,0,R15/TrRail_act!R10*1000)</f>
        <v>1.2718682241419115</v>
      </c>
      <c r="S44" s="29">
        <f>IF(S15=0,0,S15/TrRail_act!S10*1000)</f>
        <v>1.0192677181693099</v>
      </c>
      <c r="T44" s="29">
        <f>IF(T15=0,0,T15/TrRail_act!T10*1000)</f>
        <v>1.0892105265363052</v>
      </c>
      <c r="U44" s="29">
        <f>IF(U15=0,0,U15/TrRail_act!U10*1000)</f>
        <v>1.1023453309581495</v>
      </c>
      <c r="V44" s="29">
        <f>IF(V15=0,0,V15/TrRail_act!V10*1000)</f>
        <v>1.1527423458261243</v>
      </c>
      <c r="W44" s="29">
        <f>IF(W15=0,0,W15/TrRail_act!W10*1000)</f>
        <v>0.97184645858879648</v>
      </c>
      <c r="X44" s="29">
        <f>IF(X15=0,0,X15/TrRail_act!X10*1000)</f>
        <v>1.1478823408994543</v>
      </c>
      <c r="Y44" s="29">
        <f>IF(Y15=0,0,Y15/TrRail_act!Y10*1000)</f>
        <v>1.0851168728651213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26.261233989968375</v>
      </c>
      <c r="C45" s="87">
        <f>IF(C16=0,0,C16/TrRail_act!C11*1000)</f>
        <v>26.402712293940777</v>
      </c>
      <c r="D45" s="87">
        <f>IF(D16=0,0,D16/TrRail_act!D11*1000)</f>
        <v>25.218583777002703</v>
      </c>
      <c r="E45" s="87">
        <f>IF(E16=0,0,E16/TrRail_act!E11*1000)</f>
        <v>24.660214038086487</v>
      </c>
      <c r="F45" s="87">
        <f>IF(F16=0,0,F16/TrRail_act!F11*1000)</f>
        <v>25.5363227756031</v>
      </c>
      <c r="G45" s="87">
        <f>IF(G16=0,0,G16/TrRail_act!G11*1000)</f>
        <v>24.700548367027569</v>
      </c>
      <c r="H45" s="87">
        <f>IF(H16=0,0,H16/TrRail_act!H11*1000)</f>
        <v>24.063535109137174</v>
      </c>
      <c r="I45" s="87">
        <f>IF(I16=0,0,I16/TrRail_act!I11*1000)</f>
        <v>22.927021063494625</v>
      </c>
      <c r="J45" s="87">
        <f>IF(J16=0,0,J16/TrRail_act!J11*1000)</f>
        <v>21.082367339502657</v>
      </c>
      <c r="K45" s="87">
        <f>IF(K16=0,0,K16/TrRail_act!K11*1000)</f>
        <v>20.679667002574138</v>
      </c>
      <c r="L45" s="87">
        <f>IF(L16=0,0,L16/TrRail_act!L11*1000)</f>
        <v>19.178598363582473</v>
      </c>
      <c r="M45" s="87">
        <f>IF(M16=0,0,M16/TrRail_act!M11*1000)</f>
        <v>21.055691779991925</v>
      </c>
      <c r="N45" s="87">
        <f>IF(N16=0,0,N16/TrRail_act!N11*1000)</f>
        <v>20.457059488475505</v>
      </c>
      <c r="O45" s="87">
        <f>IF(O16=0,0,O16/TrRail_act!O11*1000)</f>
        <v>20.723513038669171</v>
      </c>
      <c r="P45" s="87">
        <f>IF(P16=0,0,P16/TrRail_act!P11*1000)</f>
        <v>19.579305737731865</v>
      </c>
      <c r="Q45" s="87">
        <f>IF(Q16=0,0,Q16/TrRail_act!Q11*1000)</f>
        <v>19.983441198875738</v>
      </c>
      <c r="R45" s="87">
        <f>IF(R16=0,0,R16/TrRail_act!R11*1000)</f>
        <v>19.735002538874021</v>
      </c>
      <c r="S45" s="87">
        <f>IF(S16=0,0,S16/TrRail_act!S11*1000)</f>
        <v>17.386637818017515</v>
      </c>
      <c r="T45" s="87">
        <f>IF(T16=0,0,T16/TrRail_act!T11*1000)</f>
        <v>17.559281402930829</v>
      </c>
      <c r="U45" s="87">
        <f>IF(U16=0,0,U16/TrRail_act!U11*1000)</f>
        <v>18.037320084907286</v>
      </c>
      <c r="V45" s="87">
        <f>IF(V16=0,0,V16/TrRail_act!V11*1000)</f>
        <v>21.698922257803698</v>
      </c>
      <c r="W45" s="87">
        <f>IF(W16=0,0,W16/TrRail_act!W11*1000)</f>
        <v>22.392120197709357</v>
      </c>
      <c r="X45" s="87">
        <f>IF(X16=0,0,X16/TrRail_act!X11*1000)</f>
        <v>19.811512850107945</v>
      </c>
      <c r="Y45" s="87">
        <f>IF(Y16=0,0,Y16/TrRail_act!Y11*1000)</f>
        <v>17.433405114154226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81.540448210916253</v>
      </c>
      <c r="C48" s="62">
        <f>IF(C8=0,0,1000000*C8/TrRail_act!C25/1000)</f>
        <v>81.610143009957596</v>
      </c>
      <c r="D48" s="62">
        <f>IF(D8=0,0,1000000*D8/TrRail_act!D25/1000)</f>
        <v>91.175492452908898</v>
      </c>
      <c r="E48" s="62">
        <f>IF(E8=0,0,1000000*E8/TrRail_act!E25/1000)</f>
        <v>82.83488500707395</v>
      </c>
      <c r="F48" s="62">
        <f>IF(F8=0,0,1000000*F8/TrRail_act!F25/1000)</f>
        <v>65.521295597984277</v>
      </c>
      <c r="G48" s="62">
        <f>IF(G8=0,0,1000000*G8/TrRail_act!G25/1000)</f>
        <v>65.82417444031023</v>
      </c>
      <c r="H48" s="62">
        <f>IF(H8=0,0,1000000*H8/TrRail_act!H25/1000)</f>
        <v>66.64684006794738</v>
      </c>
      <c r="I48" s="62">
        <f>IF(I8=0,0,1000000*I8/TrRail_act!I25/1000)</f>
        <v>60.510823060773916</v>
      </c>
      <c r="J48" s="62">
        <f>IF(J8=0,0,1000000*J8/TrRail_act!J25/1000)</f>
        <v>68.380118098577398</v>
      </c>
      <c r="K48" s="62">
        <f>IF(K8=0,0,1000000*K8/TrRail_act!K25/1000)</f>
        <v>60.359446508418642</v>
      </c>
      <c r="L48" s="62">
        <f>IF(L8=0,0,1000000*L8/TrRail_act!L25/1000)</f>
        <v>59.40157047438089</v>
      </c>
      <c r="M48" s="62">
        <f>IF(M8=0,0,1000000*M8/TrRail_act!M25/1000)</f>
        <v>53.263432440291091</v>
      </c>
      <c r="N48" s="62">
        <f>IF(N8=0,0,1000000*N8/TrRail_act!N25/1000)</f>
        <v>50.859170106102496</v>
      </c>
      <c r="O48" s="62">
        <f>IF(O8=0,0,1000000*O8/TrRail_act!O25/1000)</f>
        <v>43.47283386691349</v>
      </c>
      <c r="P48" s="62">
        <f>IF(P8=0,0,1000000*P8/TrRail_act!P25/1000)</f>
        <v>40.240663963947782</v>
      </c>
      <c r="Q48" s="62">
        <f>IF(Q8=0,0,1000000*Q8/TrRail_act!Q25/1000)</f>
        <v>38.58956451633874</v>
      </c>
      <c r="R48" s="62">
        <f>IF(R8=0,0,1000000*R8/TrRail_act!R25/1000)</f>
        <v>35.675410213963417</v>
      </c>
      <c r="S48" s="62">
        <f>IF(S8=0,0,1000000*S8/TrRail_act!S25/1000)</f>
        <v>33.712778299353538</v>
      </c>
      <c r="T48" s="62">
        <f>IF(T8=0,0,1000000*T8/TrRail_act!T25/1000)</f>
        <v>35.702208890628725</v>
      </c>
      <c r="U48" s="62">
        <f>IF(U8=0,0,1000000*U8/TrRail_act!U25/1000)</f>
        <v>37.012374568681196</v>
      </c>
      <c r="V48" s="62">
        <f>IF(V8=0,0,1000000*V8/TrRail_act!V25/1000)</f>
        <v>37.989899664539792</v>
      </c>
      <c r="W48" s="62">
        <f>IF(W8=0,0,1000000*W8/TrRail_act!W25/1000)</f>
        <v>28.086907493766859</v>
      </c>
      <c r="X48" s="62">
        <f>IF(X8=0,0,1000000*X8/TrRail_act!X25/1000)</f>
        <v>30.901443990449305</v>
      </c>
      <c r="Y48" s="62">
        <f>IF(Y8=0,0,1000000*Y8/TrRail_act!Y25/1000)</f>
        <v>29.223458527066001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39.917063981217318</v>
      </c>
      <c r="C49" s="29">
        <f>IF(C9=0,0,1000000*C9/TrRail_act!C26/1000)</f>
        <v>44.369551147013439</v>
      </c>
      <c r="D49" s="29">
        <f>IF(D9=0,0,1000000*D9/TrRail_act!D26/1000)</f>
        <v>61.302398134191634</v>
      </c>
      <c r="E49" s="29">
        <f>IF(E9=0,0,1000000*E9/TrRail_act!E26/1000)</f>
        <v>47.684960248670002</v>
      </c>
      <c r="F49" s="29">
        <f>IF(F9=0,0,1000000*F9/TrRail_act!F26/1000)</f>
        <v>24.685669819152668</v>
      </c>
      <c r="G49" s="29">
        <f>IF(G9=0,0,1000000*G9/TrRail_act!G26/1000)</f>
        <v>20.546335752859843</v>
      </c>
      <c r="H49" s="29">
        <f>IF(H9=0,0,1000000*H9/TrRail_act!H26/1000)</f>
        <v>28.172898110473156</v>
      </c>
      <c r="I49" s="29">
        <f>IF(I9=0,0,1000000*I9/TrRail_act!I26/1000)</f>
        <v>25.398648810590387</v>
      </c>
      <c r="J49" s="29">
        <f>IF(J9=0,0,1000000*J9/TrRail_act!J26/1000)</f>
        <v>33.854283214286212</v>
      </c>
      <c r="K49" s="29">
        <f>IF(K9=0,0,1000000*K9/TrRail_act!K26/1000)</f>
        <v>32.325586354418427</v>
      </c>
      <c r="L49" s="29">
        <f>IF(L9=0,0,1000000*L9/TrRail_act!L26/1000)</f>
        <v>28.217757138690917</v>
      </c>
      <c r="M49" s="29">
        <f>IF(M9=0,0,1000000*M9/TrRail_act!M26/1000)</f>
        <v>20.089787256579395</v>
      </c>
      <c r="N49" s="29">
        <f>IF(N9=0,0,1000000*N9/TrRail_act!N26/1000)</f>
        <v>26.084086064083611</v>
      </c>
      <c r="O49" s="29">
        <f>IF(O9=0,0,1000000*O9/TrRail_act!O26/1000)</f>
        <v>18.258142250669746</v>
      </c>
      <c r="P49" s="29">
        <f>IF(P9=0,0,1000000*P9/TrRail_act!P26/1000)</f>
        <v>19.886394990828599</v>
      </c>
      <c r="Q49" s="29">
        <f>IF(Q9=0,0,1000000*Q9/TrRail_act!Q26/1000)</f>
        <v>17.560197606977372</v>
      </c>
      <c r="R49" s="29">
        <f>IF(R9=0,0,1000000*R9/TrRail_act!R26/1000)</f>
        <v>16.335026364525138</v>
      </c>
      <c r="S49" s="29">
        <f>IF(S9=0,0,1000000*S9/TrRail_act!S26/1000)</f>
        <v>18.348402137568396</v>
      </c>
      <c r="T49" s="29">
        <f>IF(T9=0,0,1000000*T9/TrRail_act!T26/1000)</f>
        <v>18.223442597561363</v>
      </c>
      <c r="U49" s="29">
        <f>IF(U9=0,0,1000000*U9/TrRail_act!U26/1000)</f>
        <v>19.150388958167358</v>
      </c>
      <c r="V49" s="29">
        <f>IF(V9=0,0,1000000*V9/TrRail_act!V26/1000)</f>
        <v>18.113449937185248</v>
      </c>
      <c r="W49" s="29">
        <f>IF(W9=0,0,1000000*W9/TrRail_act!W26/1000)</f>
        <v>11.623366805651113</v>
      </c>
      <c r="X49" s="29">
        <f>IF(X9=0,0,1000000*X9/TrRail_act!X26/1000)</f>
        <v>12.216793602041124</v>
      </c>
      <c r="Y49" s="29">
        <f>IF(Y9=0,0,1000000*Y9/TrRail_act!Y26/1000)</f>
        <v>12.113733897235795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63.733419845234067</v>
      </c>
      <c r="C51" s="116">
        <f>IF(C11=0,0,1000000*C11/TrRail_act!C28/1000)</f>
        <v>71.22743367087682</v>
      </c>
      <c r="D51" s="116">
        <f>IF(D11=0,0,1000000*D11/TrRail_act!D28/1000)</f>
        <v>95.737776485299776</v>
      </c>
      <c r="E51" s="116">
        <f>IF(E11=0,0,1000000*E11/TrRail_act!E28/1000)</f>
        <v>74.175802347867631</v>
      </c>
      <c r="F51" s="116">
        <f>IF(F11=0,0,1000000*F11/TrRail_act!F28/1000)</f>
        <v>37.584373036592041</v>
      </c>
      <c r="G51" s="116">
        <f>IF(G11=0,0,1000000*G11/TrRail_act!G28/1000)</f>
        <v>31.542423329558464</v>
      </c>
      <c r="H51" s="116">
        <f>IF(H11=0,0,1000000*H11/TrRail_act!H28/1000)</f>
        <v>43.452001983806461</v>
      </c>
      <c r="I51" s="116">
        <f>IF(I11=0,0,1000000*I11/TrRail_act!I28/1000)</f>
        <v>39.134413843770304</v>
      </c>
      <c r="J51" s="116">
        <f>IF(J11=0,0,1000000*J11/TrRail_act!J28/1000)</f>
        <v>53.74884399103852</v>
      </c>
      <c r="K51" s="116">
        <f>IF(K11=0,0,1000000*K11/TrRail_act!K28/1000)</f>
        <v>50.461299787401181</v>
      </c>
      <c r="L51" s="116">
        <f>IF(L11=0,0,1000000*L11/TrRail_act!L28/1000)</f>
        <v>44.572278386980265</v>
      </c>
      <c r="M51" s="116">
        <f>IF(M11=0,0,1000000*M11/TrRail_act!M28/1000)</f>
        <v>30.497796852099125</v>
      </c>
      <c r="N51" s="116">
        <f>IF(N11=0,0,1000000*N11/TrRail_act!N28/1000)</f>
        <v>38.931050734109313</v>
      </c>
      <c r="O51" s="116">
        <f>IF(O11=0,0,1000000*O11/TrRail_act!O28/1000)</f>
        <v>26.963710172470932</v>
      </c>
      <c r="P51" s="116">
        <f>IF(P11=0,0,1000000*P11/TrRail_act!P28/1000)</f>
        <v>29.957905352230085</v>
      </c>
      <c r="Q51" s="116">
        <f>IF(Q11=0,0,1000000*Q11/TrRail_act!Q28/1000)</f>
        <v>26.272784081618752</v>
      </c>
      <c r="R51" s="116">
        <f>IF(R11=0,0,1000000*R11/TrRail_act!R28/1000)</f>
        <v>24.344442122178325</v>
      </c>
      <c r="S51" s="116">
        <f>IF(S11=0,0,1000000*S11/TrRail_act!S28/1000)</f>
        <v>28.03865035350233</v>
      </c>
      <c r="T51" s="116">
        <f>IF(T11=0,0,1000000*T11/TrRail_act!T28/1000)</f>
        <v>27.241477565720942</v>
      </c>
      <c r="U51" s="116">
        <f>IF(U11=0,0,1000000*U11/TrRail_act!U28/1000)</f>
        <v>29.169735976479238</v>
      </c>
      <c r="V51" s="116">
        <f>IF(V11=0,0,1000000*V11/TrRail_act!V28/1000)</f>
        <v>28.156693844941572</v>
      </c>
      <c r="W51" s="116">
        <f>IF(W11=0,0,1000000*W11/TrRail_act!W28/1000)</f>
        <v>17.127661596097997</v>
      </c>
      <c r="X51" s="116">
        <f>IF(X11=0,0,1000000*X11/TrRail_act!X28/1000)</f>
        <v>17.914961993864438</v>
      </c>
      <c r="Y51" s="116">
        <f>IF(Y11=0,0,1000000*Y11/TrRail_act!Y28/1000)</f>
        <v>17.716448782479226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1303.1178963085572</v>
      </c>
      <c r="C52" s="87">
        <f>IF(C12=0,0,1000000*C12/TrRail_act!C29/1000)</f>
        <v>1263.1812995167843</v>
      </c>
      <c r="D52" s="87">
        <f>IF(D12=0,0,1000000*D12/TrRail_act!D29/1000)</f>
        <v>1226.3908237803394</v>
      </c>
      <c r="E52" s="87">
        <f>IF(E12=0,0,1000000*E12/TrRail_act!E29/1000)</f>
        <v>1038.2840426713417</v>
      </c>
      <c r="F52" s="87">
        <f>IF(F12=0,0,1000000*F12/TrRail_act!F29/1000)</f>
        <v>604.28977090118758</v>
      </c>
      <c r="G52" s="87">
        <f>IF(G12=0,0,1000000*G12/TrRail_act!G29/1000)</f>
        <v>521.64417339252202</v>
      </c>
      <c r="H52" s="87">
        <f>IF(H12=0,0,1000000*H12/TrRail_act!H29/1000)</f>
        <v>807.18733941036828</v>
      </c>
      <c r="I52" s="87">
        <f>IF(I12=0,0,1000000*I12/TrRail_act!I29/1000)</f>
        <v>826.1175398676346</v>
      </c>
      <c r="J52" s="87">
        <f>IF(J12=0,0,1000000*J12/TrRail_act!J29/1000)</f>
        <v>1072.0038343508372</v>
      </c>
      <c r="K52" s="87">
        <f>IF(K12=0,0,1000000*K12/TrRail_act!K29/1000)</f>
        <v>1048.6283888104851</v>
      </c>
      <c r="L52" s="87">
        <f>IF(L12=0,0,1000000*L12/TrRail_act!L29/1000)</f>
        <v>995.0702478320045</v>
      </c>
      <c r="M52" s="87">
        <f>IF(M12=0,0,1000000*M12/TrRail_act!M29/1000)</f>
        <v>862.85487509596521</v>
      </c>
      <c r="N52" s="87">
        <f>IF(N12=0,0,1000000*N12/TrRail_act!N29/1000)</f>
        <v>982.32351179485124</v>
      </c>
      <c r="O52" s="87">
        <f>IF(O12=0,0,1000000*O12/TrRail_act!O29/1000)</f>
        <v>800.62671444742557</v>
      </c>
      <c r="P52" s="87">
        <f>IF(P12=0,0,1000000*P12/TrRail_act!P29/1000)</f>
        <v>930.62114240630808</v>
      </c>
      <c r="Q52" s="87">
        <f>IF(Q12=0,0,1000000*Q12/TrRail_act!Q29/1000)</f>
        <v>895.01736160132657</v>
      </c>
      <c r="R52" s="87">
        <f>IF(R12=0,0,1000000*R12/TrRail_act!R29/1000)</f>
        <v>869.21135044078574</v>
      </c>
      <c r="S52" s="87">
        <f>IF(S12=0,0,1000000*S12/TrRail_act!S29/1000)</f>
        <v>850.34629492699924</v>
      </c>
      <c r="T52" s="87">
        <f>IF(T12=0,0,1000000*T12/TrRail_act!T29/1000)</f>
        <v>836.46668007497794</v>
      </c>
      <c r="U52" s="87">
        <f>IF(U12=0,0,1000000*U12/TrRail_act!U29/1000)</f>
        <v>826.2058436847924</v>
      </c>
      <c r="V52" s="87">
        <f>IF(V12=0,0,1000000*V12/TrRail_act!V29/1000)</f>
        <v>818.59290735043623</v>
      </c>
      <c r="W52" s="87">
        <f>IF(W12=0,0,1000000*W12/TrRail_act!W29/1000)</f>
        <v>647.39451311727396</v>
      </c>
      <c r="X52" s="87">
        <f>IF(X12=0,0,1000000*X12/TrRail_act!X29/1000)</f>
        <v>717.6170077659599</v>
      </c>
      <c r="Y52" s="87">
        <f>IF(Y12=0,0,1000000*Y12/TrRail_act!Y29/1000)</f>
        <v>741.25499134525012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227.1039301767284</v>
      </c>
      <c r="C55" s="29">
        <f>IF(C15=0,0,1000000*C15/TrRail_act!C32/1000)</f>
        <v>223.49866722095797</v>
      </c>
      <c r="D55" s="29">
        <f>IF(D15=0,0,1000000*D15/TrRail_act!D32/1000)</f>
        <v>203.65883339112645</v>
      </c>
      <c r="E55" s="29">
        <f>IF(E15=0,0,1000000*E15/TrRail_act!E32/1000)</f>
        <v>217.69245753349495</v>
      </c>
      <c r="F55" s="29">
        <f>IF(F15=0,0,1000000*F15/TrRail_act!F32/1000)</f>
        <v>215.70812475543721</v>
      </c>
      <c r="G55" s="29">
        <f>IF(G15=0,0,1000000*G15/TrRail_act!G32/1000)</f>
        <v>224.39734703656831</v>
      </c>
      <c r="H55" s="29">
        <f>IF(H15=0,0,1000000*H15/TrRail_act!H32/1000)</f>
        <v>201.0558929865303</v>
      </c>
      <c r="I55" s="29">
        <f>IF(I15=0,0,1000000*I15/TrRail_act!I32/1000)</f>
        <v>177.35380428752356</v>
      </c>
      <c r="J55" s="29">
        <f>IF(J15=0,0,1000000*J15/TrRail_act!J32/1000)</f>
        <v>186.41690200165903</v>
      </c>
      <c r="K55" s="29">
        <f>IF(K15=0,0,1000000*K15/TrRail_act!K32/1000)</f>
        <v>169.85169069109168</v>
      </c>
      <c r="L55" s="29">
        <f>IF(L15=0,0,1000000*L15/TrRail_act!L32/1000)</f>
        <v>187.65533627042998</v>
      </c>
      <c r="M55" s="29">
        <f>IF(M15=0,0,1000000*M15/TrRail_act!M32/1000)</f>
        <v>193.60779397437574</v>
      </c>
      <c r="N55" s="29">
        <f>IF(N15=0,0,1000000*N15/TrRail_act!N32/1000)</f>
        <v>164.95647366150257</v>
      </c>
      <c r="O55" s="29">
        <f>IF(O15=0,0,1000000*O15/TrRail_act!O32/1000)</f>
        <v>172.66986544332721</v>
      </c>
      <c r="P55" s="29">
        <f>IF(P15=0,0,1000000*P15/TrRail_act!P32/1000)</f>
        <v>149.24386121463129</v>
      </c>
      <c r="Q55" s="29">
        <f>IF(Q15=0,0,1000000*Q15/TrRail_act!Q32/1000)</f>
        <v>160.61098268444516</v>
      </c>
      <c r="R55" s="29">
        <f>IF(R15=0,0,1000000*R15/TrRail_act!R32/1000)</f>
        <v>153.3088093509019</v>
      </c>
      <c r="S55" s="29">
        <f>IF(S15=0,0,1000000*S15/TrRail_act!S32/1000)</f>
        <v>120.84483415822399</v>
      </c>
      <c r="T55" s="29">
        <f>IF(T15=0,0,1000000*T15/TrRail_act!T32/1000)</f>
        <v>143.45248166916227</v>
      </c>
      <c r="U55" s="29">
        <f>IF(U15=0,0,1000000*U15/TrRail_act!U32/1000)</f>
        <v>147.52424571335342</v>
      </c>
      <c r="V55" s="29">
        <f>IF(V15=0,0,1000000*V15/TrRail_act!V32/1000)</f>
        <v>160.212566583604</v>
      </c>
      <c r="W55" s="29">
        <f>IF(W15=0,0,1000000*W15/TrRail_act!W32/1000)</f>
        <v>127.93541541567168</v>
      </c>
      <c r="X55" s="29">
        <f>IF(X15=0,0,1000000*X15/TrRail_act!X32/1000)</f>
        <v>106.00538094074911</v>
      </c>
      <c r="Y55" s="29">
        <f>IF(Y15=0,0,1000000*Y15/TrRail_act!Y32/1000)</f>
        <v>103.42189865278807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3195.6346730928817</v>
      </c>
      <c r="C56" s="87">
        <f>IF(C16=0,0,1000000*C16/TrRail_act!C33/1000)</f>
        <v>3163.4911010473679</v>
      </c>
      <c r="D56" s="87">
        <f>IF(D16=0,0,1000000*D16/TrRail_act!D33/1000)</f>
        <v>3106.5698522122689</v>
      </c>
      <c r="E56" s="87">
        <f>IF(E16=0,0,1000000*E16/TrRail_act!E33/1000)</f>
        <v>3055.9515653432882</v>
      </c>
      <c r="F56" s="87">
        <f>IF(F16=0,0,1000000*F16/TrRail_act!F33/1000)</f>
        <v>3009.7814620365084</v>
      </c>
      <c r="G56" s="87">
        <f>IF(G16=0,0,1000000*G16/TrRail_act!G33/1000)</f>
        <v>2978.8531614457893</v>
      </c>
      <c r="H56" s="87">
        <f>IF(H16=0,0,1000000*H16/TrRail_act!H33/1000)</f>
        <v>2957.7314728506212</v>
      </c>
      <c r="I56" s="87">
        <f>IF(I16=0,0,1000000*I16/TrRail_act!I33/1000)</f>
        <v>2934.4501713085861</v>
      </c>
      <c r="J56" s="87">
        <f>IF(J16=0,0,1000000*J16/TrRail_act!J33/1000)</f>
        <v>2915.6058390913618</v>
      </c>
      <c r="K56" s="87">
        <f>IF(K16=0,0,1000000*K16/TrRail_act!K33/1000)</f>
        <v>2685.6364911223977</v>
      </c>
      <c r="L56" s="87">
        <f>IF(L16=0,0,1000000*L16/TrRail_act!L33/1000)</f>
        <v>2807.6951861298526</v>
      </c>
      <c r="M56" s="87">
        <f>IF(M16=0,0,1000000*M16/TrRail_act!M33/1000)</f>
        <v>2744.1779265511714</v>
      </c>
      <c r="N56" s="87">
        <f>IF(N16=0,0,1000000*N16/TrRail_act!N33/1000)</f>
        <v>2508.9426320710631</v>
      </c>
      <c r="O56" s="87">
        <f>IF(O16=0,0,1000000*O16/TrRail_act!O33/1000)</f>
        <v>2704.2977502890949</v>
      </c>
      <c r="P56" s="87">
        <f>IF(P16=0,0,1000000*P16/TrRail_act!P33/1000)</f>
        <v>2454.8960788067379</v>
      </c>
      <c r="Q56" s="87">
        <f>IF(Q16=0,0,1000000*Q16/TrRail_act!Q33/1000)</f>
        <v>2676.7173730278537</v>
      </c>
      <c r="R56" s="87">
        <f>IF(R16=0,0,1000000*R16/TrRail_act!R33/1000)</f>
        <v>2649.8822696130446</v>
      </c>
      <c r="S56" s="87">
        <f>IF(S16=0,0,1000000*S16/TrRail_act!S33/1000)</f>
        <v>2531.6350683137298</v>
      </c>
      <c r="T56" s="87">
        <f>IF(T16=0,0,1000000*T16/TrRail_act!T33/1000)</f>
        <v>2579.2689069295338</v>
      </c>
      <c r="U56" s="87">
        <f>IF(U16=0,0,1000000*U16/TrRail_act!U33/1000)</f>
        <v>2551.486630445248</v>
      </c>
      <c r="V56" s="87">
        <f>IF(V16=0,0,1000000*V16/TrRail_act!V33/1000)</f>
        <v>2530.8466548656156</v>
      </c>
      <c r="W56" s="87">
        <f>IF(W16=0,0,1000000*W16/TrRail_act!W33/1000)</f>
        <v>2515.4761186302489</v>
      </c>
      <c r="X56" s="87">
        <f>IF(X16=0,0,1000000*X16/TrRail_act!X33/1000)</f>
        <v>2318.3138145168004</v>
      </c>
      <c r="Y56" s="87">
        <f>IF(Y16=0,0,1000000*Y16/TrRail_act!Y33/1000)</f>
        <v>2296.2553080541493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0.3806821889212208</v>
      </c>
      <c r="C60" s="31">
        <f t="shared" ref="C60:V60" si="13">IF(C9=0,0,C9/C$8)</f>
        <v>0.43064755433508239</v>
      </c>
      <c r="D60" s="31">
        <f t="shared" si="13"/>
        <v>0.53126407537682396</v>
      </c>
      <c r="E60" s="31">
        <f t="shared" si="13"/>
        <v>0.45664153904686072</v>
      </c>
      <c r="F60" s="31">
        <f t="shared" si="13"/>
        <v>0.29621692246618531</v>
      </c>
      <c r="G60" s="31">
        <f t="shared" si="13"/>
        <v>0.2428095727679607</v>
      </c>
      <c r="H60" s="31">
        <f t="shared" si="13"/>
        <v>0.32864588988985022</v>
      </c>
      <c r="I60" s="31">
        <f t="shared" si="13"/>
        <v>0.32274887938997993</v>
      </c>
      <c r="J60" s="31">
        <f t="shared" si="13"/>
        <v>0.38304783283107791</v>
      </c>
      <c r="K60" s="31">
        <f t="shared" si="13"/>
        <v>0.42638250709079767</v>
      </c>
      <c r="L60" s="31">
        <f t="shared" si="13"/>
        <v>0.38212372128409161</v>
      </c>
      <c r="M60" s="31">
        <f t="shared" si="13"/>
        <v>0.30506796614963871</v>
      </c>
      <c r="N60" s="31">
        <f t="shared" si="13"/>
        <v>0.42137215551950075</v>
      </c>
      <c r="O60" s="31">
        <f t="shared" si="13"/>
        <v>0.35140739839385526</v>
      </c>
      <c r="P60" s="31">
        <f t="shared" si="13"/>
        <v>0.41642678867281019</v>
      </c>
      <c r="Q60" s="31">
        <f t="shared" si="13"/>
        <v>0.38815514200534079</v>
      </c>
      <c r="R60" s="31">
        <f t="shared" si="13"/>
        <v>0.39322766132321207</v>
      </c>
      <c r="S60" s="31">
        <f t="shared" si="13"/>
        <v>0.46267168184378271</v>
      </c>
      <c r="T60" s="31">
        <f t="shared" si="13"/>
        <v>0.43918618106209178</v>
      </c>
      <c r="U60" s="31">
        <f t="shared" si="13"/>
        <v>0.44541310824414232</v>
      </c>
      <c r="V60" s="31">
        <f t="shared" si="13"/>
        <v>0.41010343438438257</v>
      </c>
      <c r="W60" s="31">
        <f t="shared" ref="W60:Y60" si="14">IF(W9=0,0,W9/W$8)</f>
        <v>0.35525884032714911</v>
      </c>
      <c r="X60" s="31">
        <f t="shared" si="14"/>
        <v>0.31658561064135293</v>
      </c>
      <c r="Y60" s="31">
        <f t="shared" si="14"/>
        <v>0.33684614255134476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0.3806821889212208</v>
      </c>
      <c r="C62" s="124">
        <f t="shared" ref="C62:V62" si="17">IF(C11=0,0,C11/C$8)</f>
        <v>0.43064755433508239</v>
      </c>
      <c r="D62" s="124">
        <f t="shared" si="17"/>
        <v>0.53126407537682396</v>
      </c>
      <c r="E62" s="124">
        <f t="shared" si="17"/>
        <v>0.45664153904686072</v>
      </c>
      <c r="F62" s="124">
        <f t="shared" si="17"/>
        <v>0.29621692246618531</v>
      </c>
      <c r="G62" s="124">
        <f t="shared" si="17"/>
        <v>0.2428095727679607</v>
      </c>
      <c r="H62" s="124">
        <f t="shared" si="17"/>
        <v>0.32864588988985022</v>
      </c>
      <c r="I62" s="124">
        <f t="shared" si="17"/>
        <v>0.32274887938997993</v>
      </c>
      <c r="J62" s="124">
        <f t="shared" si="17"/>
        <v>0.38304783283107791</v>
      </c>
      <c r="K62" s="124">
        <f t="shared" si="17"/>
        <v>0.42638250709079767</v>
      </c>
      <c r="L62" s="124">
        <f t="shared" si="17"/>
        <v>0.38212372128409161</v>
      </c>
      <c r="M62" s="124">
        <f t="shared" si="17"/>
        <v>0.30506796614963871</v>
      </c>
      <c r="N62" s="124">
        <f t="shared" si="17"/>
        <v>0.42137215551950075</v>
      </c>
      <c r="O62" s="124">
        <f t="shared" si="17"/>
        <v>0.35140739839385526</v>
      </c>
      <c r="P62" s="124">
        <f t="shared" si="17"/>
        <v>0.41642678867281019</v>
      </c>
      <c r="Q62" s="124">
        <f t="shared" si="17"/>
        <v>0.38815514200534079</v>
      </c>
      <c r="R62" s="124">
        <f t="shared" si="17"/>
        <v>0.39322766132321207</v>
      </c>
      <c r="S62" s="124">
        <f t="shared" si="17"/>
        <v>0.46267168184378271</v>
      </c>
      <c r="T62" s="124">
        <f t="shared" si="17"/>
        <v>0.43918618106209178</v>
      </c>
      <c r="U62" s="124">
        <f t="shared" si="17"/>
        <v>0.44541310824414232</v>
      </c>
      <c r="V62" s="124">
        <f t="shared" si="17"/>
        <v>0.41010343438438257</v>
      </c>
      <c r="W62" s="124">
        <f t="shared" ref="W62:Y62" si="18">IF(W11=0,0,W11/W$8)</f>
        <v>0.35525884032714911</v>
      </c>
      <c r="X62" s="124">
        <f t="shared" si="18"/>
        <v>0.31658561064135293</v>
      </c>
      <c r="Y62" s="124">
        <f t="shared" si="18"/>
        <v>0.33684614255134476</v>
      </c>
      <c r="DA62" s="176"/>
    </row>
    <row r="63" spans="1:105" ht="11.45" customHeight="1" x14ac:dyDescent="0.25">
      <c r="A63" s="111" t="s">
        <v>92</v>
      </c>
      <c r="B63" s="125">
        <f t="shared" si="10"/>
        <v>0.3806821889212208</v>
      </c>
      <c r="C63" s="125">
        <f t="shared" ref="C63:V63" si="19">IF(C12=0,0,C12/C$8)</f>
        <v>0.43064755433508239</v>
      </c>
      <c r="D63" s="125">
        <f t="shared" si="19"/>
        <v>0.53126407537682396</v>
      </c>
      <c r="E63" s="125">
        <f t="shared" si="19"/>
        <v>0.45664153904686072</v>
      </c>
      <c r="F63" s="125">
        <f t="shared" si="19"/>
        <v>0.29621692246618531</v>
      </c>
      <c r="G63" s="125">
        <f t="shared" si="19"/>
        <v>0.2428095727679607</v>
      </c>
      <c r="H63" s="125">
        <f t="shared" si="19"/>
        <v>0.32864588988985022</v>
      </c>
      <c r="I63" s="125">
        <f t="shared" si="19"/>
        <v>0.32274887938997993</v>
      </c>
      <c r="J63" s="125">
        <f t="shared" si="19"/>
        <v>0.38304783283107791</v>
      </c>
      <c r="K63" s="125">
        <f t="shared" si="19"/>
        <v>0.42638250709079767</v>
      </c>
      <c r="L63" s="125">
        <f t="shared" si="19"/>
        <v>0.38212372128409161</v>
      </c>
      <c r="M63" s="125">
        <f t="shared" si="19"/>
        <v>0.30506796614963871</v>
      </c>
      <c r="N63" s="125">
        <f t="shared" si="19"/>
        <v>0.42137215551950075</v>
      </c>
      <c r="O63" s="125">
        <f t="shared" si="19"/>
        <v>0.35140739839385526</v>
      </c>
      <c r="P63" s="125">
        <f t="shared" si="19"/>
        <v>0.41642678867281019</v>
      </c>
      <c r="Q63" s="125">
        <f t="shared" si="19"/>
        <v>0.38815514200534079</v>
      </c>
      <c r="R63" s="125">
        <f t="shared" si="19"/>
        <v>0.39322766132321207</v>
      </c>
      <c r="S63" s="125">
        <f t="shared" si="19"/>
        <v>0.46267168184378271</v>
      </c>
      <c r="T63" s="125">
        <f t="shared" si="19"/>
        <v>0.43918618106209178</v>
      </c>
      <c r="U63" s="125">
        <f t="shared" si="19"/>
        <v>0.44541310824414232</v>
      </c>
      <c r="V63" s="125">
        <f t="shared" si="19"/>
        <v>0.41010343438438257</v>
      </c>
      <c r="W63" s="125">
        <f t="shared" ref="W63:Y63" si="20">IF(W12=0,0,W12/W$8)</f>
        <v>0.35525884032714911</v>
      </c>
      <c r="X63" s="125">
        <f t="shared" si="20"/>
        <v>0.31658561064135293</v>
      </c>
      <c r="Y63" s="125">
        <f t="shared" si="20"/>
        <v>0.33684614255134476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0.61931781107877926</v>
      </c>
      <c r="C66" s="31">
        <f t="shared" ref="C66:V66" si="25">IF(C15=0,0,C15/C$8)</f>
        <v>0.56935244566491772</v>
      </c>
      <c r="D66" s="31">
        <f t="shared" si="25"/>
        <v>0.46873592462317609</v>
      </c>
      <c r="E66" s="31">
        <f t="shared" si="25"/>
        <v>0.54335846095313933</v>
      </c>
      <c r="F66" s="31">
        <f t="shared" si="25"/>
        <v>0.70378307753381475</v>
      </c>
      <c r="G66" s="31">
        <f t="shared" si="25"/>
        <v>0.75719042723203933</v>
      </c>
      <c r="H66" s="31">
        <f t="shared" si="25"/>
        <v>0.67135411011014989</v>
      </c>
      <c r="I66" s="31">
        <f t="shared" si="25"/>
        <v>0.67725112061002013</v>
      </c>
      <c r="J66" s="31">
        <f t="shared" si="25"/>
        <v>0.61695216716892209</v>
      </c>
      <c r="K66" s="31">
        <f t="shared" si="25"/>
        <v>0.57361749290920228</v>
      </c>
      <c r="L66" s="31">
        <f t="shared" si="25"/>
        <v>0.61787627871590844</v>
      </c>
      <c r="M66" s="31">
        <f t="shared" si="25"/>
        <v>0.69493203385036129</v>
      </c>
      <c r="N66" s="31">
        <f t="shared" si="25"/>
        <v>0.57862784448049931</v>
      </c>
      <c r="O66" s="31">
        <f t="shared" si="25"/>
        <v>0.64859260160614474</v>
      </c>
      <c r="P66" s="31">
        <f t="shared" si="25"/>
        <v>0.58357321132718987</v>
      </c>
      <c r="Q66" s="31">
        <f t="shared" si="25"/>
        <v>0.61184485799465915</v>
      </c>
      <c r="R66" s="31">
        <f t="shared" si="25"/>
        <v>0.60677233867678804</v>
      </c>
      <c r="S66" s="31">
        <f t="shared" si="25"/>
        <v>0.53732831815621729</v>
      </c>
      <c r="T66" s="31">
        <f t="shared" si="25"/>
        <v>0.56081381893790827</v>
      </c>
      <c r="U66" s="31">
        <f t="shared" si="25"/>
        <v>0.55458689175585774</v>
      </c>
      <c r="V66" s="31">
        <f t="shared" si="25"/>
        <v>0.58989656561561732</v>
      </c>
      <c r="W66" s="31">
        <f t="shared" ref="W66:Y66" si="26">IF(W15=0,0,W15/W$8)</f>
        <v>0.64474115967285084</v>
      </c>
      <c r="X66" s="31">
        <f t="shared" si="26"/>
        <v>0.68341438935864707</v>
      </c>
      <c r="Y66" s="31">
        <f t="shared" si="26"/>
        <v>0.66315385744865518</v>
      </c>
      <c r="DA66" s="173"/>
    </row>
    <row r="67" spans="1:105" ht="11.45" customHeight="1" x14ac:dyDescent="0.25">
      <c r="A67" s="83" t="s">
        <v>92</v>
      </c>
      <c r="B67" s="125">
        <f t="shared" si="10"/>
        <v>0.61931781107877926</v>
      </c>
      <c r="C67" s="125">
        <f t="shared" ref="C67:V67" si="27">IF(C16=0,0,C16/C$8)</f>
        <v>0.56935244566491772</v>
      </c>
      <c r="D67" s="125">
        <f t="shared" si="27"/>
        <v>0.46873592462317609</v>
      </c>
      <c r="E67" s="125">
        <f t="shared" si="27"/>
        <v>0.54335846095313933</v>
      </c>
      <c r="F67" s="125">
        <f t="shared" si="27"/>
        <v>0.70378307753381475</v>
      </c>
      <c r="G67" s="125">
        <f t="shared" si="27"/>
        <v>0.75719042723203933</v>
      </c>
      <c r="H67" s="125">
        <f t="shared" si="27"/>
        <v>0.67135411011014989</v>
      </c>
      <c r="I67" s="125">
        <f t="shared" si="27"/>
        <v>0.67725112061002013</v>
      </c>
      <c r="J67" s="125">
        <f t="shared" si="27"/>
        <v>0.61695216716892209</v>
      </c>
      <c r="K67" s="125">
        <f t="shared" si="27"/>
        <v>0.57361749290920228</v>
      </c>
      <c r="L67" s="125">
        <f t="shared" si="27"/>
        <v>0.61787627871590844</v>
      </c>
      <c r="M67" s="125">
        <f t="shared" si="27"/>
        <v>0.69493203385036129</v>
      </c>
      <c r="N67" s="125">
        <f t="shared" si="27"/>
        <v>0.57862784448049931</v>
      </c>
      <c r="O67" s="125">
        <f t="shared" si="27"/>
        <v>0.64859260160614474</v>
      </c>
      <c r="P67" s="125">
        <f t="shared" si="27"/>
        <v>0.58357321132718987</v>
      </c>
      <c r="Q67" s="125">
        <f t="shared" si="27"/>
        <v>0.61184485799465915</v>
      </c>
      <c r="R67" s="125">
        <f t="shared" si="27"/>
        <v>0.60677233867678804</v>
      </c>
      <c r="S67" s="125">
        <f t="shared" si="27"/>
        <v>0.53732831815621729</v>
      </c>
      <c r="T67" s="125">
        <f t="shared" si="27"/>
        <v>0.56081381893790827</v>
      </c>
      <c r="U67" s="125">
        <f t="shared" si="27"/>
        <v>0.55458689175585774</v>
      </c>
      <c r="V67" s="125">
        <f t="shared" si="27"/>
        <v>0.58989656561561732</v>
      </c>
      <c r="W67" s="125">
        <f t="shared" ref="W67:Y67" si="28">IF(W16=0,0,W16/W$8)</f>
        <v>0.64474115967285084</v>
      </c>
      <c r="X67" s="125">
        <f t="shared" si="28"/>
        <v>0.68341438935864707</v>
      </c>
      <c r="Y67" s="125">
        <f t="shared" si="28"/>
        <v>0.66315385744865518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18831.314024171672</v>
      </c>
      <c r="C4" s="11">
        <f t="shared" si="0"/>
        <v>18626.969243793272</v>
      </c>
      <c r="D4" s="11">
        <f t="shared" ref="D4:V4" si="1">SUM(D5:D7)</f>
        <v>16683.202184586531</v>
      </c>
      <c r="E4" s="11">
        <f t="shared" si="1"/>
        <v>15480.356808792734</v>
      </c>
      <c r="F4" s="11">
        <f t="shared" si="1"/>
        <v>16760.803410028373</v>
      </c>
      <c r="G4" s="11">
        <f t="shared" si="1"/>
        <v>18509.061567474615</v>
      </c>
      <c r="H4" s="11">
        <f t="shared" si="1"/>
        <v>21136.245023021293</v>
      </c>
      <c r="I4" s="11">
        <f t="shared" si="1"/>
        <v>22375.807641961437</v>
      </c>
      <c r="J4" s="11">
        <f t="shared" si="1"/>
        <v>23316.238498172293</v>
      </c>
      <c r="K4" s="11">
        <f t="shared" si="1"/>
        <v>21177.013678989537</v>
      </c>
      <c r="L4" s="11">
        <f t="shared" si="1"/>
        <v>22388.265325990615</v>
      </c>
      <c r="M4" s="11">
        <f t="shared" si="1"/>
        <v>24448.430784425123</v>
      </c>
      <c r="N4" s="11">
        <f t="shared" si="1"/>
        <v>25075.056975930427</v>
      </c>
      <c r="O4" s="11">
        <f t="shared" si="1"/>
        <v>26725.68532209393</v>
      </c>
      <c r="P4" s="11">
        <f t="shared" si="1"/>
        <v>28466.43877109071</v>
      </c>
      <c r="Q4" s="11">
        <f t="shared" si="1"/>
        <v>29204.047150904044</v>
      </c>
      <c r="R4" s="11">
        <f t="shared" si="1"/>
        <v>31066.066934749782</v>
      </c>
      <c r="S4" s="11">
        <f t="shared" si="1"/>
        <v>34269.38172651131</v>
      </c>
      <c r="T4" s="11">
        <f t="shared" si="1"/>
        <v>34768.677859986645</v>
      </c>
      <c r="U4" s="11">
        <f t="shared" si="1"/>
        <v>32956.051665258747</v>
      </c>
      <c r="V4" s="11">
        <f t="shared" si="1"/>
        <v>8118.0030432209505</v>
      </c>
      <c r="W4" s="11">
        <f t="shared" ref="W4:Y4" si="2">SUM(W5:W7)</f>
        <v>9281.5601425596869</v>
      </c>
      <c r="X4" s="11">
        <f t="shared" si="2"/>
        <v>22060.456088463256</v>
      </c>
      <c r="Y4" s="11">
        <f t="shared" si="2"/>
        <v>25968.20367588033</v>
      </c>
      <c r="DA4" s="189" t="s">
        <v>190</v>
      </c>
    </row>
    <row r="5" spans="1:105" ht="11.45" customHeight="1" x14ac:dyDescent="0.25">
      <c r="A5" s="83" t="s">
        <v>27</v>
      </c>
      <c r="B5" s="84">
        <v>3801.1395656481068</v>
      </c>
      <c r="C5" s="84">
        <v>3807.0084480390547</v>
      </c>
      <c r="D5" s="84">
        <v>3542.0252043307332</v>
      </c>
      <c r="E5" s="84">
        <v>3246.0611296523175</v>
      </c>
      <c r="F5" s="84">
        <v>3330.077655152757</v>
      </c>
      <c r="G5" s="84">
        <v>3484.4698847569025</v>
      </c>
      <c r="H5" s="84">
        <v>3457.4560323985338</v>
      </c>
      <c r="I5" s="84">
        <v>3401.9302261107655</v>
      </c>
      <c r="J5" s="84">
        <v>3384.383043411407</v>
      </c>
      <c r="K5" s="84">
        <v>3040.1297578433382</v>
      </c>
      <c r="L5" s="84">
        <v>3108.8674286069954</v>
      </c>
      <c r="M5" s="84">
        <v>3444.8090104102598</v>
      </c>
      <c r="N5" s="84">
        <v>3624.4654815520748</v>
      </c>
      <c r="O5" s="84">
        <v>3634.3524236877229</v>
      </c>
      <c r="P5" s="84">
        <v>3793.699762896078</v>
      </c>
      <c r="Q5" s="84">
        <v>3797.5357989533477</v>
      </c>
      <c r="R5" s="84">
        <v>3992.374010835988</v>
      </c>
      <c r="S5" s="84">
        <v>4107.5734443686024</v>
      </c>
      <c r="T5" s="84">
        <v>3976.5545698936676</v>
      </c>
      <c r="U5" s="84">
        <v>3584.2012254829779</v>
      </c>
      <c r="V5" s="84">
        <v>1092.9742101499157</v>
      </c>
      <c r="W5" s="84">
        <v>1197.4753514580848</v>
      </c>
      <c r="X5" s="84">
        <v>2314.9630115019645</v>
      </c>
      <c r="Y5" s="84">
        <v>2455.6452440119742</v>
      </c>
      <c r="DA5" s="171" t="s">
        <v>191</v>
      </c>
    </row>
    <row r="6" spans="1:105" ht="11.45" customHeight="1" x14ac:dyDescent="0.25">
      <c r="A6" s="83" t="s">
        <v>181</v>
      </c>
      <c r="B6" s="84">
        <v>10891.479755029872</v>
      </c>
      <c r="C6" s="84">
        <v>10987.280208490141</v>
      </c>
      <c r="D6" s="84">
        <v>10031.302441573047</v>
      </c>
      <c r="E6" s="84">
        <v>9050.4913434444406</v>
      </c>
      <c r="F6" s="84">
        <v>9332.9531523549776</v>
      </c>
      <c r="G6" s="84">
        <v>9673.2287858920281</v>
      </c>
      <c r="H6" s="84">
        <v>11951.355957244214</v>
      </c>
      <c r="I6" s="84">
        <v>12210.127210056256</v>
      </c>
      <c r="J6" s="84">
        <v>12121.736468590061</v>
      </c>
      <c r="K6" s="84">
        <v>10890.74484146851</v>
      </c>
      <c r="L6" s="84">
        <v>11612.301527424632</v>
      </c>
      <c r="M6" s="84">
        <v>13194.504849551882</v>
      </c>
      <c r="N6" s="84">
        <v>13609.839297895254</v>
      </c>
      <c r="O6" s="84">
        <v>14872.81395402682</v>
      </c>
      <c r="P6" s="84">
        <v>15550.789095937122</v>
      </c>
      <c r="Q6" s="84">
        <v>15943.602551645163</v>
      </c>
      <c r="R6" s="84">
        <v>17444.121245644885</v>
      </c>
      <c r="S6" s="84">
        <v>19603.840616821239</v>
      </c>
      <c r="T6" s="84">
        <v>19313.407015830351</v>
      </c>
      <c r="U6" s="84">
        <v>18415.621462649367</v>
      </c>
      <c r="V6" s="84">
        <v>4217.5216877365729</v>
      </c>
      <c r="W6" s="84">
        <v>5668.118749040028</v>
      </c>
      <c r="X6" s="84">
        <v>13438.298241494966</v>
      </c>
      <c r="Y6" s="84">
        <v>16160.54853601713</v>
      </c>
      <c r="DA6" s="171" t="s">
        <v>192</v>
      </c>
    </row>
    <row r="7" spans="1:105" ht="11.45" customHeight="1" x14ac:dyDescent="0.25">
      <c r="A7" s="83" t="s">
        <v>182</v>
      </c>
      <c r="B7" s="84">
        <v>4138.6947034936939</v>
      </c>
      <c r="C7" s="84">
        <v>3832.6805872640775</v>
      </c>
      <c r="D7" s="84">
        <v>3109.8745386827486</v>
      </c>
      <c r="E7" s="84">
        <v>3183.8043356959747</v>
      </c>
      <c r="F7" s="84">
        <v>4097.7726025206384</v>
      </c>
      <c r="G7" s="84">
        <v>5351.3628968256862</v>
      </c>
      <c r="H7" s="84">
        <v>5727.4330333785465</v>
      </c>
      <c r="I7" s="84">
        <v>6763.750205794413</v>
      </c>
      <c r="J7" s="84">
        <v>7810.1189861708244</v>
      </c>
      <c r="K7" s="84">
        <v>7246.1390796776896</v>
      </c>
      <c r="L7" s="84">
        <v>7667.0963699589902</v>
      </c>
      <c r="M7" s="84">
        <v>7809.1169244629828</v>
      </c>
      <c r="N7" s="84">
        <v>7840.7521964830994</v>
      </c>
      <c r="O7" s="84">
        <v>8218.5189443793843</v>
      </c>
      <c r="P7" s="84">
        <v>9121.9499122575089</v>
      </c>
      <c r="Q7" s="84">
        <v>9462.9088003055349</v>
      </c>
      <c r="R7" s="84">
        <v>9629.5716782689069</v>
      </c>
      <c r="S7" s="84">
        <v>10557.967665321472</v>
      </c>
      <c r="T7" s="84">
        <v>11478.716274262622</v>
      </c>
      <c r="U7" s="84">
        <v>10956.228977126399</v>
      </c>
      <c r="V7" s="84">
        <v>2807.5071453344617</v>
      </c>
      <c r="W7" s="84">
        <v>2415.9660420615751</v>
      </c>
      <c r="X7" s="84">
        <v>6307.1948354663255</v>
      </c>
      <c r="Y7" s="84">
        <v>7352.0098958512262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118.91793442761283</v>
      </c>
      <c r="C8" s="13">
        <f t="shared" si="3"/>
        <v>152.09817444921941</v>
      </c>
      <c r="D8" s="13">
        <f t="shared" ref="D8:V8" si="4">SUM(D9:D11)</f>
        <v>190.90234199635753</v>
      </c>
      <c r="E8" s="13">
        <f t="shared" si="4"/>
        <v>233.25596214981206</v>
      </c>
      <c r="F8" s="13">
        <f t="shared" si="4"/>
        <v>260.76963428104403</v>
      </c>
      <c r="G8" s="13">
        <f t="shared" si="4"/>
        <v>331.42754338450698</v>
      </c>
      <c r="H8" s="13">
        <f t="shared" si="4"/>
        <v>359.57965897422332</v>
      </c>
      <c r="I8" s="13">
        <f t="shared" si="4"/>
        <v>401.556753921628</v>
      </c>
      <c r="J8" s="13">
        <f t="shared" si="4"/>
        <v>421.77053175264609</v>
      </c>
      <c r="K8" s="13">
        <f t="shared" si="4"/>
        <v>343.2762513321548</v>
      </c>
      <c r="L8" s="13">
        <f t="shared" si="4"/>
        <v>403.48322564973301</v>
      </c>
      <c r="M8" s="13">
        <f t="shared" si="4"/>
        <v>368.38357466759714</v>
      </c>
      <c r="N8" s="13">
        <f t="shared" si="4"/>
        <v>320.87528364865943</v>
      </c>
      <c r="O8" s="13">
        <f t="shared" si="4"/>
        <v>233.28167414411922</v>
      </c>
      <c r="P8" s="13">
        <f t="shared" si="4"/>
        <v>238.30466234820972</v>
      </c>
      <c r="Q8" s="13">
        <f t="shared" si="4"/>
        <v>221.36579597538918</v>
      </c>
      <c r="R8" s="13">
        <f t="shared" si="4"/>
        <v>201.64843845710413</v>
      </c>
      <c r="S8" s="13">
        <f t="shared" si="4"/>
        <v>183.75679837995</v>
      </c>
      <c r="T8" s="13">
        <f t="shared" si="4"/>
        <v>159.05815884408204</v>
      </c>
      <c r="U8" s="13">
        <f t="shared" si="4"/>
        <v>139.22719952968814</v>
      </c>
      <c r="V8" s="13">
        <f t="shared" si="4"/>
        <v>107.61429478399637</v>
      </c>
      <c r="W8" s="13">
        <f t="shared" ref="W8:Y8" si="5">SUM(W9:W11)</f>
        <v>118.49558170563068</v>
      </c>
      <c r="X8" s="13">
        <f t="shared" si="5"/>
        <v>259.10801246698151</v>
      </c>
      <c r="Y8" s="13">
        <f t="shared" si="5"/>
        <v>237.12884334013822</v>
      </c>
      <c r="DA8" s="193" t="s">
        <v>194</v>
      </c>
    </row>
    <row r="9" spans="1:105" ht="11.45" customHeight="1" x14ac:dyDescent="0.25">
      <c r="A9" s="92" t="s">
        <v>27</v>
      </c>
      <c r="B9" s="102">
        <v>2.9730829130285348</v>
      </c>
      <c r="C9" s="102">
        <v>2.4351946783349034</v>
      </c>
      <c r="D9" s="102">
        <v>3.1416062819923414</v>
      </c>
      <c r="E9" s="102">
        <v>3.6895237215589116</v>
      </c>
      <c r="F9" s="102">
        <v>5.3979427922883128</v>
      </c>
      <c r="G9" s="102">
        <v>5.6975104075416905</v>
      </c>
      <c r="H9" s="102">
        <v>6.7308438959998931</v>
      </c>
      <c r="I9" s="102">
        <v>7.9912189714179922</v>
      </c>
      <c r="J9" s="102">
        <v>8.4200401474431921</v>
      </c>
      <c r="K9" s="102">
        <v>6.9948189184922018</v>
      </c>
      <c r="L9" s="102">
        <v>6.389156378939151</v>
      </c>
      <c r="M9" s="102">
        <v>5.9993007384337531</v>
      </c>
      <c r="N9" s="102">
        <v>6.1546291897600103</v>
      </c>
      <c r="O9" s="102">
        <v>5.9826138369544486</v>
      </c>
      <c r="P9" s="102">
        <v>6.1867319330093826</v>
      </c>
      <c r="Q9" s="102">
        <v>5.9938887578484685</v>
      </c>
      <c r="R9" s="102">
        <v>5.9306939865130008</v>
      </c>
      <c r="S9" s="102">
        <v>5.9431117637790161</v>
      </c>
      <c r="T9" s="102">
        <v>4.5222379892116047</v>
      </c>
      <c r="U9" s="102">
        <v>3.1147211176581822</v>
      </c>
      <c r="V9" s="102">
        <v>2.3514963612140067</v>
      </c>
      <c r="W9" s="102">
        <v>2.9035602118859258</v>
      </c>
      <c r="X9" s="102">
        <v>3.1830235553061894</v>
      </c>
      <c r="Y9" s="102">
        <v>2.9162865053420384</v>
      </c>
      <c r="DA9" s="175" t="s">
        <v>195</v>
      </c>
    </row>
    <row r="10" spans="1:105" ht="11.45" customHeight="1" x14ac:dyDescent="0.25">
      <c r="A10" s="92" t="s">
        <v>181</v>
      </c>
      <c r="B10" s="102">
        <v>25.494963810534195</v>
      </c>
      <c r="C10" s="102">
        <v>22.549153621171236</v>
      </c>
      <c r="D10" s="102">
        <v>27.50525210211757</v>
      </c>
      <c r="E10" s="102">
        <v>31.63433794749594</v>
      </c>
      <c r="F10" s="102">
        <v>37.873078960040807</v>
      </c>
      <c r="G10" s="102">
        <v>40.102089856957754</v>
      </c>
      <c r="H10" s="102">
        <v>45.342512692345473</v>
      </c>
      <c r="I10" s="102">
        <v>53.474679657952684</v>
      </c>
      <c r="J10" s="102">
        <v>54.034919494630863</v>
      </c>
      <c r="K10" s="102">
        <v>43.484680990866067</v>
      </c>
      <c r="L10" s="102">
        <v>48.223263561060214</v>
      </c>
      <c r="M10" s="102">
        <v>38.077347782103665</v>
      </c>
      <c r="N10" s="102">
        <v>34.281548036159485</v>
      </c>
      <c r="O10" s="102">
        <v>33.490613306083468</v>
      </c>
      <c r="P10" s="102">
        <v>36.886072932835994</v>
      </c>
      <c r="Q10" s="102">
        <v>36.61490732960624</v>
      </c>
      <c r="R10" s="102">
        <v>34.810135306480909</v>
      </c>
      <c r="S10" s="102">
        <v>36.334325576144757</v>
      </c>
      <c r="T10" s="102">
        <v>37.135375782250954</v>
      </c>
      <c r="U10" s="102">
        <v>60.912140669596681</v>
      </c>
      <c r="V10" s="102">
        <v>51.624833163975154</v>
      </c>
      <c r="W10" s="102">
        <v>52.553159730658706</v>
      </c>
      <c r="X10" s="102">
        <v>42.369197579820487</v>
      </c>
      <c r="Y10" s="102">
        <v>36.704470945036377</v>
      </c>
      <c r="DA10" s="175" t="s">
        <v>196</v>
      </c>
    </row>
    <row r="11" spans="1:105" ht="11.45" customHeight="1" x14ac:dyDescent="0.25">
      <c r="A11" s="85" t="s">
        <v>182</v>
      </c>
      <c r="B11" s="86">
        <v>90.449887704050099</v>
      </c>
      <c r="C11" s="86">
        <v>127.11382614971329</v>
      </c>
      <c r="D11" s="86">
        <v>160.25548361224762</v>
      </c>
      <c r="E11" s="86">
        <v>197.93210048075721</v>
      </c>
      <c r="F11" s="86">
        <v>217.49861252871492</v>
      </c>
      <c r="G11" s="86">
        <v>285.62794312000756</v>
      </c>
      <c r="H11" s="86">
        <v>307.50630238587797</v>
      </c>
      <c r="I11" s="86">
        <v>340.09085529225734</v>
      </c>
      <c r="J11" s="86">
        <v>359.31557211057202</v>
      </c>
      <c r="K11" s="86">
        <v>292.79675142279655</v>
      </c>
      <c r="L11" s="86">
        <v>348.87080570973365</v>
      </c>
      <c r="M11" s="86">
        <v>324.3069261470597</v>
      </c>
      <c r="N11" s="86">
        <v>280.43910642273994</v>
      </c>
      <c r="O11" s="86">
        <v>193.8084470010813</v>
      </c>
      <c r="P11" s="86">
        <v>195.23185748236435</v>
      </c>
      <c r="Q11" s="86">
        <v>178.75699988793446</v>
      </c>
      <c r="R11" s="86">
        <v>160.90760916411023</v>
      </c>
      <c r="S11" s="86">
        <v>141.47936104002622</v>
      </c>
      <c r="T11" s="86">
        <v>117.40054507261948</v>
      </c>
      <c r="U11" s="86">
        <v>75.200337742433277</v>
      </c>
      <c r="V11" s="86">
        <v>53.63796525880722</v>
      </c>
      <c r="W11" s="86">
        <v>63.038861763086054</v>
      </c>
      <c r="X11" s="86">
        <v>213.55579133185483</v>
      </c>
      <c r="Y11" s="86">
        <v>197.5080858897598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197.48510153541011</v>
      </c>
      <c r="C13" s="54">
        <f t="shared" si="6"/>
        <v>193.14165713447986</v>
      </c>
      <c r="D13" s="54">
        <f t="shared" ref="D13:V13" si="7">SUM(D14,D18)</f>
        <v>173.9926115286778</v>
      </c>
      <c r="E13" s="54">
        <f t="shared" si="7"/>
        <v>166.72878507755436</v>
      </c>
      <c r="F13" s="54">
        <f t="shared" si="7"/>
        <v>178.35713463573819</v>
      </c>
      <c r="G13" s="54">
        <f t="shared" si="7"/>
        <v>179.48779824354659</v>
      </c>
      <c r="H13" s="54">
        <f t="shared" si="7"/>
        <v>192.13918023135187</v>
      </c>
      <c r="I13" s="54">
        <f t="shared" si="7"/>
        <v>197.32585039782066</v>
      </c>
      <c r="J13" s="54">
        <f t="shared" si="7"/>
        <v>210.87799184554899</v>
      </c>
      <c r="K13" s="54">
        <f t="shared" si="7"/>
        <v>188.31777838746765</v>
      </c>
      <c r="L13" s="54">
        <f t="shared" si="7"/>
        <v>194.47612387519766</v>
      </c>
      <c r="M13" s="54">
        <f t="shared" si="7"/>
        <v>211.52893497664641</v>
      </c>
      <c r="N13" s="54">
        <f t="shared" si="7"/>
        <v>205.0966930096817</v>
      </c>
      <c r="O13" s="54">
        <f t="shared" si="7"/>
        <v>213.23946890413953</v>
      </c>
      <c r="P13" s="54">
        <f t="shared" si="7"/>
        <v>219.48271846311133</v>
      </c>
      <c r="Q13" s="54">
        <f t="shared" si="7"/>
        <v>219.91003131303509</v>
      </c>
      <c r="R13" s="54">
        <f t="shared" si="7"/>
        <v>231.20179001547939</v>
      </c>
      <c r="S13" s="54">
        <f t="shared" si="7"/>
        <v>249.3821630500407</v>
      </c>
      <c r="T13" s="54">
        <f t="shared" si="7"/>
        <v>253.45186023023669</v>
      </c>
      <c r="U13" s="54">
        <f t="shared" si="7"/>
        <v>240.24211517932085</v>
      </c>
      <c r="V13" s="54">
        <f t="shared" si="7"/>
        <v>78.630441328027985</v>
      </c>
      <c r="W13" s="54">
        <f t="shared" ref="W13:Y13" si="8">SUM(W14,W18)</f>
        <v>89.379935182885816</v>
      </c>
      <c r="X13" s="54">
        <f t="shared" si="8"/>
        <v>158.5851297286693</v>
      </c>
      <c r="Y13" s="54">
        <f t="shared" si="8"/>
        <v>182.7681513934254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195.11515140556975</v>
      </c>
      <c r="C14" s="11">
        <f t="shared" si="9"/>
        <v>190.60235904684311</v>
      </c>
      <c r="D14" s="11">
        <f t="shared" ref="D14:V14" si="10">SUM(D15:D17)</f>
        <v>170.65836414133568</v>
      </c>
      <c r="E14" s="11">
        <f t="shared" si="10"/>
        <v>162.53221895721359</v>
      </c>
      <c r="F14" s="11">
        <f t="shared" si="10"/>
        <v>173.30584342250259</v>
      </c>
      <c r="G14" s="11">
        <f t="shared" si="10"/>
        <v>173.0594549438953</v>
      </c>
      <c r="H14" s="11">
        <f t="shared" si="10"/>
        <v>184.57278603921171</v>
      </c>
      <c r="I14" s="11">
        <f t="shared" si="10"/>
        <v>188.56526926489519</v>
      </c>
      <c r="J14" s="11">
        <f t="shared" si="10"/>
        <v>201.53823663897373</v>
      </c>
      <c r="K14" s="11">
        <f t="shared" si="10"/>
        <v>181.33530112714755</v>
      </c>
      <c r="L14" s="11">
        <f t="shared" si="10"/>
        <v>186.70626218734265</v>
      </c>
      <c r="M14" s="11">
        <f t="shared" si="10"/>
        <v>204.91092882750101</v>
      </c>
      <c r="N14" s="11">
        <f t="shared" si="10"/>
        <v>199.72676706855344</v>
      </c>
      <c r="O14" s="11">
        <f t="shared" si="10"/>
        <v>208.92263871022675</v>
      </c>
      <c r="P14" s="11">
        <f t="shared" si="10"/>
        <v>215.56633135947965</v>
      </c>
      <c r="Q14" s="11">
        <f t="shared" si="10"/>
        <v>216.17444807376876</v>
      </c>
      <c r="R14" s="11">
        <f t="shared" si="10"/>
        <v>228.03680108981885</v>
      </c>
      <c r="S14" s="11">
        <f t="shared" si="10"/>
        <v>246.21475976764782</v>
      </c>
      <c r="T14" s="11">
        <f t="shared" si="10"/>
        <v>250.61140137896885</v>
      </c>
      <c r="U14" s="11">
        <f t="shared" si="10"/>
        <v>237.23706268612483</v>
      </c>
      <c r="V14" s="11">
        <f t="shared" si="10"/>
        <v>75.581581523888374</v>
      </c>
      <c r="W14" s="11">
        <f t="shared" ref="W14:Y14" si="11">SUM(W15:W17)</f>
        <v>85.94497180941211</v>
      </c>
      <c r="X14" s="11">
        <f t="shared" si="11"/>
        <v>153.62380094186318</v>
      </c>
      <c r="Y14" s="11">
        <f t="shared" si="11"/>
        <v>178.49530780299057</v>
      </c>
      <c r="DA14" s="189" t="s">
        <v>199</v>
      </c>
    </row>
    <row r="15" spans="1:105" ht="11.45" customHeight="1" x14ac:dyDescent="0.25">
      <c r="A15" s="83" t="s">
        <v>27</v>
      </c>
      <c r="B15" s="84">
        <v>59.506729834741037</v>
      </c>
      <c r="C15" s="84">
        <v>58.295952625500618</v>
      </c>
      <c r="D15" s="84">
        <v>54.212538378327963</v>
      </c>
      <c r="E15" s="84">
        <v>50.784757086952041</v>
      </c>
      <c r="F15" s="84">
        <v>53.099570172711189</v>
      </c>
      <c r="G15" s="84">
        <v>51.065454915530523</v>
      </c>
      <c r="H15" s="84">
        <v>49.108557264181066</v>
      </c>
      <c r="I15" s="84">
        <v>46.842623814156944</v>
      </c>
      <c r="J15" s="84">
        <v>47.352536182168784</v>
      </c>
      <c r="K15" s="84">
        <v>44.867120293466876</v>
      </c>
      <c r="L15" s="84">
        <v>43.802102921192244</v>
      </c>
      <c r="M15" s="84">
        <v>47.782864948080217</v>
      </c>
      <c r="N15" s="84">
        <v>46.655313830896169</v>
      </c>
      <c r="O15" s="84">
        <v>46.8305596598683</v>
      </c>
      <c r="P15" s="84">
        <v>47.936984078699993</v>
      </c>
      <c r="Q15" s="84">
        <v>47.15128557042825</v>
      </c>
      <c r="R15" s="84">
        <v>48.58000261589622</v>
      </c>
      <c r="S15" s="84">
        <v>49.412342261878415</v>
      </c>
      <c r="T15" s="84">
        <v>48.360589598531206</v>
      </c>
      <c r="U15" s="84">
        <v>44.052265751761034</v>
      </c>
      <c r="V15" s="84">
        <v>16.618719461567387</v>
      </c>
      <c r="W15" s="84">
        <v>17.565930417977142</v>
      </c>
      <c r="X15" s="84">
        <v>26.445794319684296</v>
      </c>
      <c r="Y15" s="84">
        <v>29.679980515205635</v>
      </c>
      <c r="DA15" s="171" t="s">
        <v>200</v>
      </c>
    </row>
    <row r="16" spans="1:105" ht="11.45" customHeight="1" x14ac:dyDescent="0.25">
      <c r="A16" s="83" t="s">
        <v>181</v>
      </c>
      <c r="B16" s="84">
        <v>113.46635113700748</v>
      </c>
      <c r="C16" s="84">
        <v>112.75327762269981</v>
      </c>
      <c r="D16" s="84">
        <v>99.632415030001454</v>
      </c>
      <c r="E16" s="84">
        <v>94.834759341587898</v>
      </c>
      <c r="F16" s="84">
        <v>99.391770898781886</v>
      </c>
      <c r="G16" s="84">
        <v>95.871743922414964</v>
      </c>
      <c r="H16" s="84">
        <v>107.76307417338647</v>
      </c>
      <c r="I16" s="84">
        <v>110.91362699253948</v>
      </c>
      <c r="J16" s="84">
        <v>117.39558279655775</v>
      </c>
      <c r="K16" s="84">
        <v>101.20178252136192</v>
      </c>
      <c r="L16" s="84">
        <v>106.14667850245212</v>
      </c>
      <c r="M16" s="84">
        <v>117.92397891521128</v>
      </c>
      <c r="N16" s="84">
        <v>114.47736815176667</v>
      </c>
      <c r="O16" s="84">
        <v>119.64440750764514</v>
      </c>
      <c r="P16" s="84">
        <v>120.79804623754355</v>
      </c>
      <c r="Q16" s="84">
        <v>121.92148864176411</v>
      </c>
      <c r="R16" s="84">
        <v>130.92446767143878</v>
      </c>
      <c r="S16" s="84">
        <v>143.62411925043457</v>
      </c>
      <c r="T16" s="84">
        <v>144.68917501600535</v>
      </c>
      <c r="U16" s="84">
        <v>137.30525795344622</v>
      </c>
      <c r="V16" s="84">
        <v>40.525985482580019</v>
      </c>
      <c r="W16" s="84">
        <v>49.920302562318959</v>
      </c>
      <c r="X16" s="84">
        <v>94.150535409553953</v>
      </c>
      <c r="Y16" s="84">
        <v>112.77745375837317</v>
      </c>
      <c r="DA16" s="171" t="s">
        <v>201</v>
      </c>
    </row>
    <row r="17" spans="1:105" ht="11.45" customHeight="1" x14ac:dyDescent="0.25">
      <c r="A17" s="83" t="s">
        <v>182</v>
      </c>
      <c r="B17" s="84">
        <v>22.142070433821239</v>
      </c>
      <c r="C17" s="84">
        <v>19.553128798642671</v>
      </c>
      <c r="D17" s="84">
        <v>16.813410733006261</v>
      </c>
      <c r="E17" s="84">
        <v>16.912702528673623</v>
      </c>
      <c r="F17" s="84">
        <v>20.814502351009502</v>
      </c>
      <c r="G17" s="84">
        <v>26.12225610594982</v>
      </c>
      <c r="H17" s="84">
        <v>27.701154601644152</v>
      </c>
      <c r="I17" s="84">
        <v>30.809018458198771</v>
      </c>
      <c r="J17" s="84">
        <v>36.790117660247205</v>
      </c>
      <c r="K17" s="84">
        <v>35.266398312318742</v>
      </c>
      <c r="L17" s="84">
        <v>36.757480763698283</v>
      </c>
      <c r="M17" s="84">
        <v>39.2040849642095</v>
      </c>
      <c r="N17" s="84">
        <v>38.594085085890619</v>
      </c>
      <c r="O17" s="84">
        <v>42.447671542713287</v>
      </c>
      <c r="P17" s="84">
        <v>46.831301043236131</v>
      </c>
      <c r="Q17" s="84">
        <v>47.101673861576387</v>
      </c>
      <c r="R17" s="84">
        <v>48.532330802483877</v>
      </c>
      <c r="S17" s="84">
        <v>53.178298255334809</v>
      </c>
      <c r="T17" s="84">
        <v>57.561636764432286</v>
      </c>
      <c r="U17" s="84">
        <v>55.879538980917573</v>
      </c>
      <c r="V17" s="84">
        <v>18.436876579740964</v>
      </c>
      <c r="W17" s="84">
        <v>18.458738829116001</v>
      </c>
      <c r="X17" s="84">
        <v>33.027471212624931</v>
      </c>
      <c r="Y17" s="84">
        <v>36.037873529411762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2.3699501298403565</v>
      </c>
      <c r="C18" s="13">
        <f t="shared" si="12"/>
        <v>2.5392980876367526</v>
      </c>
      <c r="D18" s="13">
        <f t="shared" ref="D18:V18" si="13">SUM(D19:D21)</f>
        <v>3.3342473873421126</v>
      </c>
      <c r="E18" s="13">
        <f t="shared" si="13"/>
        <v>4.1965661203407807</v>
      </c>
      <c r="F18" s="13">
        <f t="shared" si="13"/>
        <v>5.0512912132355936</v>
      </c>
      <c r="G18" s="13">
        <f t="shared" si="13"/>
        <v>6.4283432996512779</v>
      </c>
      <c r="H18" s="13">
        <f t="shared" si="13"/>
        <v>7.5663941921401738</v>
      </c>
      <c r="I18" s="13">
        <f t="shared" si="13"/>
        <v>8.7605811329254557</v>
      </c>
      <c r="J18" s="13">
        <f t="shared" si="13"/>
        <v>9.3397552065752745</v>
      </c>
      <c r="K18" s="13">
        <f t="shared" si="13"/>
        <v>6.9824772603201124</v>
      </c>
      <c r="L18" s="13">
        <f t="shared" si="13"/>
        <v>7.7698616878550055</v>
      </c>
      <c r="M18" s="13">
        <f t="shared" si="13"/>
        <v>6.6180061491454012</v>
      </c>
      <c r="N18" s="13">
        <f t="shared" si="13"/>
        <v>5.3699259411282636</v>
      </c>
      <c r="O18" s="13">
        <f t="shared" si="13"/>
        <v>4.3168301939127716</v>
      </c>
      <c r="P18" s="13">
        <f t="shared" si="13"/>
        <v>3.9163871036316849</v>
      </c>
      <c r="Q18" s="13">
        <f t="shared" si="13"/>
        <v>3.7355832392663322</v>
      </c>
      <c r="R18" s="13">
        <f t="shared" si="13"/>
        <v>3.164988925660531</v>
      </c>
      <c r="S18" s="13">
        <f t="shared" si="13"/>
        <v>3.1674032823928693</v>
      </c>
      <c r="T18" s="13">
        <f t="shared" si="13"/>
        <v>2.8404588512678473</v>
      </c>
      <c r="U18" s="13">
        <f t="shared" si="13"/>
        <v>3.0050524931960245</v>
      </c>
      <c r="V18" s="13">
        <f t="shared" si="13"/>
        <v>3.0488598041396058</v>
      </c>
      <c r="W18" s="13">
        <f t="shared" ref="W18:Y18" si="14">SUM(W19:W21)</f>
        <v>3.4349633734737051</v>
      </c>
      <c r="X18" s="13">
        <f t="shared" si="14"/>
        <v>4.9613287868061349</v>
      </c>
      <c r="Y18" s="13">
        <f t="shared" si="14"/>
        <v>4.2728435904348281</v>
      </c>
      <c r="DA18" s="193" t="s">
        <v>203</v>
      </c>
    </row>
    <row r="19" spans="1:105" ht="11.45" customHeight="1" x14ac:dyDescent="0.25">
      <c r="A19" s="92" t="s">
        <v>27</v>
      </c>
      <c r="B19" s="102">
        <v>0.26463792577152978</v>
      </c>
      <c r="C19" s="102">
        <v>0.21842557311292704</v>
      </c>
      <c r="D19" s="102">
        <v>0.27402480990530848</v>
      </c>
      <c r="E19" s="102">
        <v>0.30254649631178987</v>
      </c>
      <c r="F19" s="102">
        <v>0.4700662746992248</v>
      </c>
      <c r="G19" s="102">
        <v>0.50698581201881943</v>
      </c>
      <c r="H19" s="102">
        <v>0.62266453643584507</v>
      </c>
      <c r="I19" s="102">
        <v>0.74201582522568144</v>
      </c>
      <c r="J19" s="102">
        <v>0.81263852293347882</v>
      </c>
      <c r="K19" s="102">
        <v>0.66930594752441919</v>
      </c>
      <c r="L19" s="102">
        <v>0.5715920506699147</v>
      </c>
      <c r="M19" s="102">
        <v>0.49917762259064247</v>
      </c>
      <c r="N19" s="102">
        <v>0.4881061887122139</v>
      </c>
      <c r="O19" s="102">
        <v>0.46361283334878944</v>
      </c>
      <c r="P19" s="102">
        <v>0.42963584888944678</v>
      </c>
      <c r="Q19" s="102">
        <v>0.40894087283614755</v>
      </c>
      <c r="R19" s="102">
        <v>0.34955825554676651</v>
      </c>
      <c r="S19" s="102">
        <v>0.38252232329901109</v>
      </c>
      <c r="T19" s="102">
        <v>0.28627442499716971</v>
      </c>
      <c r="U19" s="102">
        <v>0.17862927345763227</v>
      </c>
      <c r="V19" s="102">
        <v>0.14007723563086788</v>
      </c>
      <c r="W19" s="102">
        <v>0.16919048252397156</v>
      </c>
      <c r="X19" s="102">
        <v>0.18833297523427042</v>
      </c>
      <c r="Y19" s="102">
        <v>0.17869269434904778</v>
      </c>
      <c r="DA19" s="175" t="s">
        <v>204</v>
      </c>
    </row>
    <row r="20" spans="1:105" ht="11.45" customHeight="1" x14ac:dyDescent="0.25">
      <c r="A20" s="92" t="s">
        <v>181</v>
      </c>
      <c r="B20" s="102">
        <v>1.0342491227164652</v>
      </c>
      <c r="C20" s="102">
        <v>0.88448559146988415</v>
      </c>
      <c r="D20" s="102">
        <v>1.1422724085035063</v>
      </c>
      <c r="E20" s="102">
        <v>1.286935844613166</v>
      </c>
      <c r="F20" s="102">
        <v>1.6295743538792802</v>
      </c>
      <c r="G20" s="102">
        <v>1.7995711463309971</v>
      </c>
      <c r="H20" s="102">
        <v>2.3534072924505849</v>
      </c>
      <c r="I20" s="102">
        <v>2.8557077832241045</v>
      </c>
      <c r="J20" s="102">
        <v>2.9602505383720388</v>
      </c>
      <c r="K20" s="102">
        <v>2.2909277286242342</v>
      </c>
      <c r="L20" s="102">
        <v>2.4839102142460225</v>
      </c>
      <c r="M20" s="102">
        <v>1.8658959056689504</v>
      </c>
      <c r="N20" s="102">
        <v>1.5266821836087097</v>
      </c>
      <c r="O20" s="102">
        <v>1.4459235462475855</v>
      </c>
      <c r="P20" s="102">
        <v>1.3637940892339011</v>
      </c>
      <c r="Q20" s="102">
        <v>1.3704033435630874</v>
      </c>
      <c r="R20" s="102">
        <v>1.1974041164472109</v>
      </c>
      <c r="S20" s="102">
        <v>1.3317000482651942</v>
      </c>
      <c r="T20" s="102">
        <v>1.3587702707151221</v>
      </c>
      <c r="U20" s="102">
        <v>2.0773094697383918</v>
      </c>
      <c r="V20" s="102">
        <v>2.073940054772474</v>
      </c>
      <c r="W20" s="102">
        <v>2.2523087104271684</v>
      </c>
      <c r="X20" s="102">
        <v>1.8368100271852483</v>
      </c>
      <c r="Y20" s="102">
        <v>1.5903372331644328</v>
      </c>
      <c r="DA20" s="175" t="s">
        <v>205</v>
      </c>
    </row>
    <row r="21" spans="1:105" ht="11.45" customHeight="1" x14ac:dyDescent="0.25">
      <c r="A21" s="85" t="s">
        <v>182</v>
      </c>
      <c r="B21" s="86">
        <v>1.0710630813523612</v>
      </c>
      <c r="C21" s="86">
        <v>1.4363869230539417</v>
      </c>
      <c r="D21" s="86">
        <v>1.9179501689332981</v>
      </c>
      <c r="E21" s="86">
        <v>2.607083779415825</v>
      </c>
      <c r="F21" s="86">
        <v>2.9516505846570884</v>
      </c>
      <c r="G21" s="86">
        <v>4.121786341301461</v>
      </c>
      <c r="H21" s="86">
        <v>4.590322363253744</v>
      </c>
      <c r="I21" s="86">
        <v>5.1628575244756707</v>
      </c>
      <c r="J21" s="86">
        <v>5.5668661452697563</v>
      </c>
      <c r="K21" s="86">
        <v>4.0222435841714592</v>
      </c>
      <c r="L21" s="86">
        <v>4.7143594229390686</v>
      </c>
      <c r="M21" s="86">
        <v>4.252932620885808</v>
      </c>
      <c r="N21" s="86">
        <v>3.3551375688073399</v>
      </c>
      <c r="O21" s="86">
        <v>2.4072938143163971</v>
      </c>
      <c r="P21" s="86">
        <v>2.1229571655083368</v>
      </c>
      <c r="Q21" s="86">
        <v>1.9562390228670969</v>
      </c>
      <c r="R21" s="86">
        <v>1.6180265536665537</v>
      </c>
      <c r="S21" s="86">
        <v>1.453180910828664</v>
      </c>
      <c r="T21" s="86">
        <v>1.1954141555555555</v>
      </c>
      <c r="U21" s="86">
        <v>0.74911375000000002</v>
      </c>
      <c r="V21" s="86">
        <v>0.83484251373626372</v>
      </c>
      <c r="W21" s="86">
        <v>1.0134641805225653</v>
      </c>
      <c r="X21" s="86">
        <v>2.9361857843866166</v>
      </c>
      <c r="Y21" s="86">
        <v>2.5038136629213481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245210</v>
      </c>
      <c r="C23" s="54">
        <f t="shared" si="15"/>
        <v>239389</v>
      </c>
      <c r="D23" s="54">
        <f t="shared" ref="D23:V23" si="16">SUM(D24,D28)</f>
        <v>217796</v>
      </c>
      <c r="E23" s="54">
        <f t="shared" si="16"/>
        <v>206756</v>
      </c>
      <c r="F23" s="54">
        <f t="shared" si="16"/>
        <v>219098</v>
      </c>
      <c r="G23" s="54">
        <f t="shared" si="16"/>
        <v>211675</v>
      </c>
      <c r="H23" s="54">
        <f t="shared" si="16"/>
        <v>215252</v>
      </c>
      <c r="I23" s="54">
        <f t="shared" si="16"/>
        <v>211157</v>
      </c>
      <c r="J23" s="54">
        <f t="shared" si="16"/>
        <v>217660</v>
      </c>
      <c r="K23" s="54">
        <f t="shared" si="16"/>
        <v>197584</v>
      </c>
      <c r="L23" s="54">
        <f t="shared" si="16"/>
        <v>199865</v>
      </c>
      <c r="M23" s="54">
        <f t="shared" si="16"/>
        <v>218402</v>
      </c>
      <c r="N23" s="54">
        <f t="shared" si="16"/>
        <v>211475</v>
      </c>
      <c r="O23" s="54">
        <f t="shared" si="16"/>
        <v>214188</v>
      </c>
      <c r="P23" s="54">
        <f t="shared" si="16"/>
        <v>217235</v>
      </c>
      <c r="Q23" s="54">
        <f t="shared" si="16"/>
        <v>217387</v>
      </c>
      <c r="R23" s="54">
        <f t="shared" si="16"/>
        <v>223010</v>
      </c>
      <c r="S23" s="54">
        <f t="shared" si="16"/>
        <v>231858</v>
      </c>
      <c r="T23" s="54">
        <f t="shared" si="16"/>
        <v>231873</v>
      </c>
      <c r="U23" s="54">
        <f t="shared" si="16"/>
        <v>219674</v>
      </c>
      <c r="V23" s="54">
        <f t="shared" si="16"/>
        <v>76980</v>
      </c>
      <c r="W23" s="54">
        <f t="shared" ref="W23:Y23" si="17">SUM(W24,W28)</f>
        <v>83392</v>
      </c>
      <c r="X23" s="54">
        <f t="shared" si="17"/>
        <v>135029</v>
      </c>
      <c r="Y23" s="54">
        <f t="shared" si="17"/>
        <v>156959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242977</v>
      </c>
      <c r="C24" s="11">
        <f t="shared" si="18"/>
        <v>237374</v>
      </c>
      <c r="D24" s="11">
        <f t="shared" ref="D24:V24" si="19">SUM(D25:D27)</f>
        <v>215200</v>
      </c>
      <c r="E24" s="11">
        <f t="shared" si="19"/>
        <v>203741</v>
      </c>
      <c r="F24" s="11">
        <f t="shared" si="19"/>
        <v>214984</v>
      </c>
      <c r="G24" s="11">
        <f t="shared" si="19"/>
        <v>207192</v>
      </c>
      <c r="H24" s="11">
        <f t="shared" si="19"/>
        <v>209924</v>
      </c>
      <c r="I24" s="11">
        <f t="shared" si="19"/>
        <v>205033</v>
      </c>
      <c r="J24" s="11">
        <f t="shared" si="19"/>
        <v>211282</v>
      </c>
      <c r="K24" s="11">
        <f t="shared" si="19"/>
        <v>192542</v>
      </c>
      <c r="L24" s="11">
        <f t="shared" si="19"/>
        <v>194738</v>
      </c>
      <c r="M24" s="11">
        <f t="shared" si="19"/>
        <v>214200</v>
      </c>
      <c r="N24" s="11">
        <f t="shared" si="19"/>
        <v>207811</v>
      </c>
      <c r="O24" s="11">
        <f t="shared" si="19"/>
        <v>210812</v>
      </c>
      <c r="P24" s="11">
        <f t="shared" si="19"/>
        <v>214029</v>
      </c>
      <c r="Q24" s="11">
        <f t="shared" si="19"/>
        <v>214119</v>
      </c>
      <c r="R24" s="11">
        <f t="shared" si="19"/>
        <v>220171</v>
      </c>
      <c r="S24" s="11">
        <f t="shared" si="19"/>
        <v>228733</v>
      </c>
      <c r="T24" s="11">
        <f t="shared" si="19"/>
        <v>228782</v>
      </c>
      <c r="U24" s="11">
        <f t="shared" si="19"/>
        <v>216191</v>
      </c>
      <c r="V24" s="11">
        <f t="shared" si="19"/>
        <v>73697</v>
      </c>
      <c r="W24" s="11">
        <f t="shared" ref="W24:Y24" si="20">SUM(W25:W27)</f>
        <v>79740</v>
      </c>
      <c r="X24" s="11">
        <f t="shared" si="20"/>
        <v>131756</v>
      </c>
      <c r="Y24" s="11">
        <f t="shared" si="20"/>
        <v>154122</v>
      </c>
      <c r="DA24" s="189" t="s">
        <v>208</v>
      </c>
    </row>
    <row r="25" spans="1:105" ht="11.45" customHeight="1" x14ac:dyDescent="0.25">
      <c r="A25" s="83" t="s">
        <v>27</v>
      </c>
      <c r="B25" s="84">
        <v>133239</v>
      </c>
      <c r="C25" s="84">
        <v>130528</v>
      </c>
      <c r="D25" s="84">
        <v>121385</v>
      </c>
      <c r="E25" s="84">
        <v>113710</v>
      </c>
      <c r="F25" s="84">
        <v>118893</v>
      </c>
      <c r="G25" s="84">
        <v>113992</v>
      </c>
      <c r="H25" s="84">
        <v>109113</v>
      </c>
      <c r="I25" s="84">
        <v>103387</v>
      </c>
      <c r="J25" s="84">
        <v>102664</v>
      </c>
      <c r="K25" s="84">
        <v>96585</v>
      </c>
      <c r="L25" s="84">
        <v>94761</v>
      </c>
      <c r="M25" s="84">
        <v>104076</v>
      </c>
      <c r="N25" s="84">
        <v>100316</v>
      </c>
      <c r="O25" s="84">
        <v>100671</v>
      </c>
      <c r="P25" s="84">
        <v>102278</v>
      </c>
      <c r="Q25" s="84">
        <v>100440</v>
      </c>
      <c r="R25" s="84">
        <v>101735</v>
      </c>
      <c r="S25" s="84">
        <v>103075</v>
      </c>
      <c r="T25" s="84">
        <v>100711</v>
      </c>
      <c r="U25" s="84">
        <v>92119</v>
      </c>
      <c r="V25" s="84">
        <v>35074</v>
      </c>
      <c r="W25" s="84">
        <v>37019</v>
      </c>
      <c r="X25" s="84">
        <v>53071</v>
      </c>
      <c r="Y25" s="84">
        <v>60451</v>
      </c>
      <c r="DA25" s="171" t="s">
        <v>209</v>
      </c>
    </row>
    <row r="26" spans="1:105" ht="11.45" customHeight="1" x14ac:dyDescent="0.25">
      <c r="A26" s="83" t="s">
        <v>181</v>
      </c>
      <c r="B26" s="84">
        <v>103717</v>
      </c>
      <c r="C26" s="84">
        <v>101529</v>
      </c>
      <c r="D26" s="84">
        <v>89243</v>
      </c>
      <c r="E26" s="84">
        <v>85432</v>
      </c>
      <c r="F26" s="84">
        <v>90431</v>
      </c>
      <c r="G26" s="84">
        <v>86401</v>
      </c>
      <c r="H26" s="84">
        <v>94006</v>
      </c>
      <c r="I26" s="84">
        <v>94447</v>
      </c>
      <c r="J26" s="84">
        <v>100016</v>
      </c>
      <c r="K26" s="84">
        <v>87465</v>
      </c>
      <c r="L26" s="84">
        <v>90383</v>
      </c>
      <c r="M26" s="84">
        <v>99346</v>
      </c>
      <c r="N26" s="84">
        <v>96491</v>
      </c>
      <c r="O26" s="84">
        <v>97974</v>
      </c>
      <c r="P26" s="84">
        <v>98757</v>
      </c>
      <c r="Q26" s="84">
        <v>100918</v>
      </c>
      <c r="R26" s="84">
        <v>106234</v>
      </c>
      <c r="S26" s="84">
        <v>112326</v>
      </c>
      <c r="T26" s="84">
        <v>113364</v>
      </c>
      <c r="U26" s="84">
        <v>109428</v>
      </c>
      <c r="V26" s="84">
        <v>33712</v>
      </c>
      <c r="W26" s="84">
        <v>36768</v>
      </c>
      <c r="X26" s="84">
        <v>69878</v>
      </c>
      <c r="Y26" s="84">
        <v>84246</v>
      </c>
      <c r="DA26" s="171" t="s">
        <v>210</v>
      </c>
    </row>
    <row r="27" spans="1:105" ht="11.45" customHeight="1" x14ac:dyDescent="0.25">
      <c r="A27" s="83" t="s">
        <v>182</v>
      </c>
      <c r="B27" s="84">
        <v>6021</v>
      </c>
      <c r="C27" s="84">
        <v>5317</v>
      </c>
      <c r="D27" s="84">
        <v>4572</v>
      </c>
      <c r="E27" s="84">
        <v>4599</v>
      </c>
      <c r="F27" s="84">
        <v>5660</v>
      </c>
      <c r="G27" s="84">
        <v>6799</v>
      </c>
      <c r="H27" s="84">
        <v>6805</v>
      </c>
      <c r="I27" s="84">
        <v>7199</v>
      </c>
      <c r="J27" s="84">
        <v>8602</v>
      </c>
      <c r="K27" s="84">
        <v>8492</v>
      </c>
      <c r="L27" s="84">
        <v>9594</v>
      </c>
      <c r="M27" s="84">
        <v>10778</v>
      </c>
      <c r="N27" s="84">
        <v>11004</v>
      </c>
      <c r="O27" s="84">
        <v>12167</v>
      </c>
      <c r="P27" s="84">
        <v>12994</v>
      </c>
      <c r="Q27" s="84">
        <v>12761</v>
      </c>
      <c r="R27" s="84">
        <v>12202</v>
      </c>
      <c r="S27" s="84">
        <v>13332</v>
      </c>
      <c r="T27" s="84">
        <v>14707</v>
      </c>
      <c r="U27" s="84">
        <v>14644</v>
      </c>
      <c r="V27" s="84">
        <v>4911</v>
      </c>
      <c r="W27" s="84">
        <v>5953</v>
      </c>
      <c r="X27" s="84">
        <v>8807</v>
      </c>
      <c r="Y27" s="84">
        <v>9425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2233</v>
      </c>
      <c r="C28" s="13">
        <f t="shared" si="21"/>
        <v>2015</v>
      </c>
      <c r="D28" s="13">
        <f t="shared" ref="D28:V28" si="22">SUM(D29:D31)</f>
        <v>2596</v>
      </c>
      <c r="E28" s="13">
        <f t="shared" si="22"/>
        <v>3015</v>
      </c>
      <c r="F28" s="13">
        <f t="shared" si="22"/>
        <v>4114</v>
      </c>
      <c r="G28" s="13">
        <f t="shared" si="22"/>
        <v>4483</v>
      </c>
      <c r="H28" s="13">
        <f t="shared" si="22"/>
        <v>5328</v>
      </c>
      <c r="I28" s="13">
        <f t="shared" si="22"/>
        <v>6124</v>
      </c>
      <c r="J28" s="13">
        <f t="shared" si="22"/>
        <v>6378</v>
      </c>
      <c r="K28" s="13">
        <f t="shared" si="22"/>
        <v>5042</v>
      </c>
      <c r="L28" s="13">
        <f t="shared" si="22"/>
        <v>5127</v>
      </c>
      <c r="M28" s="13">
        <f t="shared" si="22"/>
        <v>4202</v>
      </c>
      <c r="N28" s="13">
        <f t="shared" si="22"/>
        <v>3664</v>
      </c>
      <c r="O28" s="13">
        <f t="shared" si="22"/>
        <v>3376</v>
      </c>
      <c r="P28" s="13">
        <f t="shared" si="22"/>
        <v>3206</v>
      </c>
      <c r="Q28" s="13">
        <f t="shared" si="22"/>
        <v>3268</v>
      </c>
      <c r="R28" s="13">
        <f t="shared" si="22"/>
        <v>2839</v>
      </c>
      <c r="S28" s="13">
        <f t="shared" si="22"/>
        <v>3125</v>
      </c>
      <c r="T28" s="13">
        <f t="shared" si="22"/>
        <v>3091</v>
      </c>
      <c r="U28" s="13">
        <f t="shared" si="22"/>
        <v>3483</v>
      </c>
      <c r="V28" s="13">
        <f t="shared" si="22"/>
        <v>3283</v>
      </c>
      <c r="W28" s="13">
        <f t="shared" ref="W28:Y28" si="23">SUM(W29:W31)</f>
        <v>3652</v>
      </c>
      <c r="X28" s="13">
        <f t="shared" si="23"/>
        <v>3273</v>
      </c>
      <c r="Y28" s="13">
        <f t="shared" si="23"/>
        <v>2837</v>
      </c>
      <c r="DA28" s="193" t="s">
        <v>212</v>
      </c>
    </row>
    <row r="29" spans="1:105" ht="11.45" customHeight="1" x14ac:dyDescent="0.25">
      <c r="A29" s="92" t="s">
        <v>27</v>
      </c>
      <c r="B29" s="102">
        <v>733</v>
      </c>
      <c r="C29" s="102">
        <v>605</v>
      </c>
      <c r="D29" s="102">
        <v>759</v>
      </c>
      <c r="E29" s="102">
        <v>838</v>
      </c>
      <c r="F29" s="102">
        <v>1302</v>
      </c>
      <c r="G29" s="102">
        <v>1399</v>
      </c>
      <c r="H29" s="102">
        <v>1688</v>
      </c>
      <c r="I29" s="102">
        <v>1972</v>
      </c>
      <c r="J29" s="102">
        <v>2090</v>
      </c>
      <c r="K29" s="102">
        <v>1688</v>
      </c>
      <c r="L29" s="102">
        <v>1434</v>
      </c>
      <c r="M29" s="102">
        <v>1282</v>
      </c>
      <c r="N29" s="102">
        <v>1254</v>
      </c>
      <c r="O29" s="102">
        <v>1204</v>
      </c>
      <c r="P29" s="102">
        <v>1118</v>
      </c>
      <c r="Q29" s="102">
        <v>1074</v>
      </c>
      <c r="R29" s="102">
        <v>909</v>
      </c>
      <c r="S29" s="102">
        <v>1001</v>
      </c>
      <c r="T29" s="102">
        <v>756</v>
      </c>
      <c r="U29" s="102">
        <v>497</v>
      </c>
      <c r="V29" s="102">
        <v>364</v>
      </c>
      <c r="W29" s="102">
        <v>463</v>
      </c>
      <c r="X29" s="102">
        <v>510</v>
      </c>
      <c r="Y29" s="102">
        <v>460</v>
      </c>
      <c r="DA29" s="175" t="s">
        <v>213</v>
      </c>
    </row>
    <row r="30" spans="1:105" ht="11.45" customHeight="1" x14ac:dyDescent="0.25">
      <c r="A30" s="92" t="s">
        <v>181</v>
      </c>
      <c r="B30" s="102">
        <v>1242</v>
      </c>
      <c r="C30" s="102">
        <v>1064</v>
      </c>
      <c r="D30" s="102">
        <v>1375</v>
      </c>
      <c r="E30" s="102">
        <v>1549</v>
      </c>
      <c r="F30" s="102">
        <v>2101</v>
      </c>
      <c r="G30" s="102">
        <v>2129</v>
      </c>
      <c r="H30" s="102">
        <v>2661</v>
      </c>
      <c r="I30" s="102">
        <v>3128</v>
      </c>
      <c r="J30" s="102">
        <v>3214</v>
      </c>
      <c r="K30" s="102">
        <v>2581</v>
      </c>
      <c r="L30" s="102">
        <v>2755</v>
      </c>
      <c r="M30" s="102">
        <v>2042</v>
      </c>
      <c r="N30" s="102">
        <v>1700</v>
      </c>
      <c r="O30" s="102">
        <v>1589</v>
      </c>
      <c r="P30" s="102">
        <v>1509</v>
      </c>
      <c r="Q30" s="102">
        <v>1578</v>
      </c>
      <c r="R30" s="102">
        <v>1369</v>
      </c>
      <c r="S30" s="102">
        <v>1497</v>
      </c>
      <c r="T30" s="102">
        <v>1617</v>
      </c>
      <c r="U30" s="102">
        <v>2561</v>
      </c>
      <c r="V30" s="102">
        <v>2444</v>
      </c>
      <c r="W30" s="102">
        <v>2612</v>
      </c>
      <c r="X30" s="102">
        <v>2099</v>
      </c>
      <c r="Y30" s="102">
        <v>1861</v>
      </c>
      <c r="DA30" s="175" t="s">
        <v>214</v>
      </c>
    </row>
    <row r="31" spans="1:105" ht="11.45" customHeight="1" x14ac:dyDescent="0.25">
      <c r="A31" s="85" t="s">
        <v>182</v>
      </c>
      <c r="B31" s="86">
        <v>258</v>
      </c>
      <c r="C31" s="86">
        <v>346</v>
      </c>
      <c r="D31" s="86">
        <v>462</v>
      </c>
      <c r="E31" s="86">
        <v>628</v>
      </c>
      <c r="F31" s="86">
        <v>711</v>
      </c>
      <c r="G31" s="86">
        <v>955</v>
      </c>
      <c r="H31" s="86">
        <v>979</v>
      </c>
      <c r="I31" s="86">
        <v>1024</v>
      </c>
      <c r="J31" s="86">
        <v>1074</v>
      </c>
      <c r="K31" s="86">
        <v>773</v>
      </c>
      <c r="L31" s="86">
        <v>938</v>
      </c>
      <c r="M31" s="86">
        <v>878</v>
      </c>
      <c r="N31" s="86">
        <v>710</v>
      </c>
      <c r="O31" s="86">
        <v>583</v>
      </c>
      <c r="P31" s="86">
        <v>579</v>
      </c>
      <c r="Q31" s="86">
        <v>616</v>
      </c>
      <c r="R31" s="86">
        <v>561</v>
      </c>
      <c r="S31" s="86">
        <v>627</v>
      </c>
      <c r="T31" s="86">
        <v>718</v>
      </c>
      <c r="U31" s="86">
        <v>425</v>
      </c>
      <c r="V31" s="86">
        <v>475</v>
      </c>
      <c r="W31" s="86">
        <v>577</v>
      </c>
      <c r="X31" s="86">
        <v>664</v>
      </c>
      <c r="Y31" s="86">
        <v>516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15695781</v>
      </c>
      <c r="C34" s="11">
        <f t="shared" si="24"/>
        <v>15643882</v>
      </c>
      <c r="D34" s="11">
        <f t="shared" ref="D34:V34" si="25">SUM(D35:D37)</f>
        <v>14381356</v>
      </c>
      <c r="E34" s="11">
        <f t="shared" si="25"/>
        <v>13274619</v>
      </c>
      <c r="F34" s="11">
        <f t="shared" si="25"/>
        <v>14000864</v>
      </c>
      <c r="G34" s="11">
        <f t="shared" si="25"/>
        <v>14753462</v>
      </c>
      <c r="H34" s="11">
        <f t="shared" si="25"/>
        <v>16391775</v>
      </c>
      <c r="I34" s="11">
        <f t="shared" si="25"/>
        <v>16838204</v>
      </c>
      <c r="J34" s="11">
        <f t="shared" si="25"/>
        <v>17144980</v>
      </c>
      <c r="K34" s="11">
        <f t="shared" si="25"/>
        <v>15517888</v>
      </c>
      <c r="L34" s="11">
        <f t="shared" si="25"/>
        <v>16329963</v>
      </c>
      <c r="M34" s="11">
        <f t="shared" si="25"/>
        <v>18256652</v>
      </c>
      <c r="N34" s="11">
        <f t="shared" si="25"/>
        <v>18624291</v>
      </c>
      <c r="O34" s="11">
        <f t="shared" si="25"/>
        <v>19176366</v>
      </c>
      <c r="P34" s="11">
        <f t="shared" si="25"/>
        <v>19962335</v>
      </c>
      <c r="Q34" s="11">
        <f t="shared" si="25"/>
        <v>20631195</v>
      </c>
      <c r="R34" s="11">
        <f t="shared" si="25"/>
        <v>21668940</v>
      </c>
      <c r="S34" s="11">
        <f t="shared" si="25"/>
        <v>23056715</v>
      </c>
      <c r="T34" s="11">
        <f t="shared" si="25"/>
        <v>23213867</v>
      </c>
      <c r="U34" s="11">
        <f t="shared" si="25"/>
        <v>22183331</v>
      </c>
      <c r="V34" s="11">
        <f t="shared" si="25"/>
        <v>5543346</v>
      </c>
      <c r="W34" s="11">
        <f t="shared" ref="W34:Y34" si="26">SUM(W35:W37)</f>
        <v>6517142</v>
      </c>
      <c r="X34" s="11">
        <f t="shared" si="26"/>
        <v>14578832</v>
      </c>
      <c r="Y34" s="11">
        <f t="shared" si="26"/>
        <v>16993216</v>
      </c>
      <c r="DA34" s="189" t="s">
        <v>216</v>
      </c>
    </row>
    <row r="35" spans="1:105" ht="11.45" customHeight="1" x14ac:dyDescent="0.25">
      <c r="A35" s="83" t="s">
        <v>27</v>
      </c>
      <c r="B35" s="84">
        <v>7593364</v>
      </c>
      <c r="C35" s="84">
        <v>7605088</v>
      </c>
      <c r="D35" s="84">
        <v>7075743</v>
      </c>
      <c r="E35" s="84">
        <v>6484509</v>
      </c>
      <c r="F35" s="84">
        <v>6652345</v>
      </c>
      <c r="G35" s="84">
        <v>6939673</v>
      </c>
      <c r="H35" s="84">
        <v>6853795</v>
      </c>
      <c r="I35" s="84">
        <v>6698927</v>
      </c>
      <c r="J35" s="84">
        <v>6546506</v>
      </c>
      <c r="K35" s="84">
        <v>5838869</v>
      </c>
      <c r="L35" s="84">
        <v>6000563</v>
      </c>
      <c r="M35" s="84">
        <v>6802095</v>
      </c>
      <c r="N35" s="84">
        <v>6916832</v>
      </c>
      <c r="O35" s="84">
        <v>6945902</v>
      </c>
      <c r="P35" s="84">
        <v>7232597</v>
      </c>
      <c r="Q35" s="84">
        <v>7307430</v>
      </c>
      <c r="R35" s="84">
        <v>7520514</v>
      </c>
      <c r="S35" s="84">
        <v>7741641</v>
      </c>
      <c r="T35" s="84">
        <v>7490070</v>
      </c>
      <c r="U35" s="84">
        <v>6792937</v>
      </c>
      <c r="V35" s="84">
        <v>2001464</v>
      </c>
      <c r="W35" s="84">
        <v>2166619</v>
      </c>
      <c r="X35" s="84">
        <v>4096461</v>
      </c>
      <c r="Y35" s="84">
        <v>4533042</v>
      </c>
      <c r="DA35" s="171" t="s">
        <v>217</v>
      </c>
    </row>
    <row r="36" spans="1:105" ht="11.45" customHeight="1" x14ac:dyDescent="0.25">
      <c r="A36" s="83" t="s">
        <v>181</v>
      </c>
      <c r="B36" s="84">
        <v>7234873</v>
      </c>
      <c r="C36" s="84">
        <v>7235396</v>
      </c>
      <c r="D36" s="84">
        <v>6653728</v>
      </c>
      <c r="E36" s="84">
        <v>6122728</v>
      </c>
      <c r="F36" s="84">
        <v>6489553</v>
      </c>
      <c r="G36" s="84">
        <v>6740105</v>
      </c>
      <c r="H36" s="84">
        <v>8453384</v>
      </c>
      <c r="I36" s="84">
        <v>8920962</v>
      </c>
      <c r="J36" s="84">
        <v>9190795</v>
      </c>
      <c r="K36" s="84">
        <v>8333985</v>
      </c>
      <c r="L36" s="84">
        <v>8786767</v>
      </c>
      <c r="M36" s="84">
        <v>9779716</v>
      </c>
      <c r="N36" s="84">
        <v>9972550</v>
      </c>
      <c r="O36" s="84">
        <v>10314997</v>
      </c>
      <c r="P36" s="84">
        <v>10659997</v>
      </c>
      <c r="Q36" s="84">
        <v>11218379</v>
      </c>
      <c r="R36" s="84">
        <v>12160062</v>
      </c>
      <c r="S36" s="84">
        <v>13106028</v>
      </c>
      <c r="T36" s="84">
        <v>13253430</v>
      </c>
      <c r="U36" s="84">
        <v>12923086</v>
      </c>
      <c r="V36" s="84">
        <v>2884271</v>
      </c>
      <c r="W36" s="84">
        <v>3616969</v>
      </c>
      <c r="X36" s="84">
        <v>8971185</v>
      </c>
      <c r="Y36" s="84">
        <v>10807894</v>
      </c>
      <c r="DA36" s="171" t="s">
        <v>218</v>
      </c>
    </row>
    <row r="37" spans="1:105" ht="11.45" customHeight="1" x14ac:dyDescent="0.25">
      <c r="A37" s="83" t="s">
        <v>182</v>
      </c>
      <c r="B37" s="84">
        <v>867544</v>
      </c>
      <c r="C37" s="84">
        <v>803398</v>
      </c>
      <c r="D37" s="84">
        <v>651885</v>
      </c>
      <c r="E37" s="84">
        <v>667382</v>
      </c>
      <c r="F37" s="84">
        <v>858966</v>
      </c>
      <c r="G37" s="84">
        <v>1073684</v>
      </c>
      <c r="H37" s="84">
        <v>1084596</v>
      </c>
      <c r="I37" s="84">
        <v>1218315</v>
      </c>
      <c r="J37" s="84">
        <v>1407679</v>
      </c>
      <c r="K37" s="84">
        <v>1345034</v>
      </c>
      <c r="L37" s="84">
        <v>1542633</v>
      </c>
      <c r="M37" s="84">
        <v>1674841</v>
      </c>
      <c r="N37" s="84">
        <v>1734909</v>
      </c>
      <c r="O37" s="84">
        <v>1915467</v>
      </c>
      <c r="P37" s="84">
        <v>2069741</v>
      </c>
      <c r="Q37" s="84">
        <v>2105386</v>
      </c>
      <c r="R37" s="84">
        <v>1988364</v>
      </c>
      <c r="S37" s="84">
        <v>2209046</v>
      </c>
      <c r="T37" s="84">
        <v>2470367</v>
      </c>
      <c r="U37" s="84">
        <v>2467308</v>
      </c>
      <c r="V37" s="84">
        <v>657611</v>
      </c>
      <c r="W37" s="84">
        <v>733554</v>
      </c>
      <c r="X37" s="84">
        <v>1511186</v>
      </c>
      <c r="Y37" s="84">
        <v>1652280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40879.172099256153</v>
      </c>
      <c r="C38" s="13">
        <f t="shared" si="27"/>
        <v>42049.728868778853</v>
      </c>
      <c r="D38" s="13">
        <f t="shared" ref="D38:V38" si="28">SUM(D39:D41)</f>
        <v>54706.86765568905</v>
      </c>
      <c r="E38" s="13">
        <f t="shared" si="28"/>
        <v>66394.248620924729</v>
      </c>
      <c r="F38" s="13">
        <f t="shared" si="28"/>
        <v>81264.327655496891</v>
      </c>
      <c r="G38" s="13">
        <f t="shared" si="28"/>
        <v>88618.82791810589</v>
      </c>
      <c r="H38" s="13">
        <f t="shared" si="28"/>
        <v>97796.749878685136</v>
      </c>
      <c r="I38" s="13">
        <f t="shared" si="28"/>
        <v>108343.46463635316</v>
      </c>
      <c r="J38" s="13">
        <f t="shared" si="28"/>
        <v>111608.42504774267</v>
      </c>
      <c r="K38" s="13">
        <f t="shared" si="28"/>
        <v>89668.575152338221</v>
      </c>
      <c r="L38" s="13">
        <f t="shared" si="28"/>
        <v>103532.68994206632</v>
      </c>
      <c r="M38" s="13">
        <f t="shared" si="28"/>
        <v>94159.191176781402</v>
      </c>
      <c r="N38" s="13">
        <f t="shared" si="28"/>
        <v>84318.25217011309</v>
      </c>
      <c r="O38" s="13">
        <f t="shared" si="28"/>
        <v>75224.416660591145</v>
      </c>
      <c r="P38" s="13">
        <f t="shared" si="28"/>
        <v>80706.965032202032</v>
      </c>
      <c r="Q38" s="13">
        <f t="shared" si="28"/>
        <v>84196.632241382758</v>
      </c>
      <c r="R38" s="13">
        <f t="shared" si="28"/>
        <v>83614.395100677182</v>
      </c>
      <c r="S38" s="13">
        <f t="shared" si="28"/>
        <v>89034.958578914404</v>
      </c>
      <c r="T38" s="13">
        <f t="shared" si="28"/>
        <v>94728.713299481329</v>
      </c>
      <c r="U38" s="13">
        <f t="shared" si="28"/>
        <v>90358.296553904482</v>
      </c>
      <c r="V38" s="13">
        <f t="shared" si="28"/>
        <v>72416.168736286549</v>
      </c>
      <c r="W38" s="13">
        <f t="shared" ref="W38:Y38" si="29">SUM(W39:W41)</f>
        <v>84152.545539789629</v>
      </c>
      <c r="X38" s="13">
        <f t="shared" si="29"/>
        <v>85325.814977226488</v>
      </c>
      <c r="Y38" s="13">
        <f t="shared" si="29"/>
        <v>72789.056886603488</v>
      </c>
      <c r="DA38" s="193" t="s">
        <v>220</v>
      </c>
    </row>
    <row r="39" spans="1:105" ht="11.45" customHeight="1" x14ac:dyDescent="0.25">
      <c r="A39" s="92" t="s">
        <v>27</v>
      </c>
      <c r="B39" s="102">
        <v>7347.0675835198563</v>
      </c>
      <c r="C39" s="102">
        <v>6017.8408756616845</v>
      </c>
      <c r="D39" s="102">
        <v>7763.521687693591</v>
      </c>
      <c r="E39" s="102">
        <v>9117.5325163334419</v>
      </c>
      <c r="F39" s="102">
        <v>13339.369155540089</v>
      </c>
      <c r="G39" s="102">
        <v>14026.914797632537</v>
      </c>
      <c r="H39" s="102">
        <v>16279.570859118154</v>
      </c>
      <c r="I39" s="102">
        <v>18947.935476754268</v>
      </c>
      <c r="J39" s="102">
        <v>19320.491278386089</v>
      </c>
      <c r="K39" s="102">
        <v>15739.080519616517</v>
      </c>
      <c r="L39" s="102">
        <v>14300.842119870384</v>
      </c>
      <c r="M39" s="102">
        <v>13967.950515015373</v>
      </c>
      <c r="N39" s="102">
        <v>14033.929236454773</v>
      </c>
      <c r="O39" s="102">
        <v>13813.018295323254</v>
      </c>
      <c r="P39" s="102">
        <v>14385.414501639547</v>
      </c>
      <c r="Q39" s="102">
        <v>14220.080718600357</v>
      </c>
      <c r="R39" s="102">
        <v>13872.453710597723</v>
      </c>
      <c r="S39" s="102">
        <v>14051.444690090279</v>
      </c>
      <c r="T39" s="102">
        <v>10801.554645213151</v>
      </c>
      <c r="U39" s="102">
        <v>7854.2941655727645</v>
      </c>
      <c r="V39" s="102">
        <v>5301.8600485546722</v>
      </c>
      <c r="W39" s="102">
        <v>6821.7898778177287</v>
      </c>
      <c r="X39" s="102">
        <v>7600.5982012269151</v>
      </c>
      <c r="Y39" s="102">
        <v>6804.0181147517005</v>
      </c>
      <c r="DA39" s="175" t="s">
        <v>221</v>
      </c>
    </row>
    <row r="40" spans="1:105" ht="11.45" customHeight="1" x14ac:dyDescent="0.25">
      <c r="A40" s="92" t="s">
        <v>181</v>
      </c>
      <c r="B40" s="102">
        <v>20080.417244666016</v>
      </c>
      <c r="C40" s="102">
        <v>17393.773814180942</v>
      </c>
      <c r="D40" s="102">
        <v>22502.072910729985</v>
      </c>
      <c r="E40" s="102">
        <v>26676.408153151173</v>
      </c>
      <c r="F40" s="102">
        <v>33754.55512249608</v>
      </c>
      <c r="G40" s="102">
        <v>32366.071178418257</v>
      </c>
      <c r="H40" s="102">
        <v>37301.493108270268</v>
      </c>
      <c r="I40" s="102">
        <v>43125.247288495128</v>
      </c>
      <c r="J40" s="102">
        <v>44051.243143303174</v>
      </c>
      <c r="K40" s="102">
        <v>35356.846070357111</v>
      </c>
      <c r="L40" s="102">
        <v>39960.653578277212</v>
      </c>
      <c r="M40" s="102">
        <v>31842.929574967682</v>
      </c>
      <c r="N40" s="102">
        <v>28336.063155989097</v>
      </c>
      <c r="O40" s="102">
        <v>26626.883463645907</v>
      </c>
      <c r="P40" s="102">
        <v>27840.163732104746</v>
      </c>
      <c r="Q40" s="102">
        <v>29157.663149302887</v>
      </c>
      <c r="R40" s="102">
        <v>28540.801662738559</v>
      </c>
      <c r="S40" s="102">
        <v>29008.155202060232</v>
      </c>
      <c r="T40" s="102">
        <v>31087.570754430646</v>
      </c>
      <c r="U40" s="102">
        <v>50458.355059755449</v>
      </c>
      <c r="V40" s="102">
        <v>43113.396943810476</v>
      </c>
      <c r="W40" s="102">
        <v>46411.04971328711</v>
      </c>
      <c r="X40" s="102">
        <v>37552.105199166013</v>
      </c>
      <c r="Y40" s="102">
        <v>33442.239309860772</v>
      </c>
      <c r="DA40" s="175" t="s">
        <v>222</v>
      </c>
    </row>
    <row r="41" spans="1:105" ht="11.45" customHeight="1" x14ac:dyDescent="0.25">
      <c r="A41" s="85" t="s">
        <v>182</v>
      </c>
      <c r="B41" s="86">
        <v>13451.687271070281</v>
      </c>
      <c r="C41" s="86">
        <v>18638.11417893623</v>
      </c>
      <c r="D41" s="86">
        <v>24441.273057265473</v>
      </c>
      <c r="E41" s="86">
        <v>30600.307951440122</v>
      </c>
      <c r="F41" s="86">
        <v>34170.403377460716</v>
      </c>
      <c r="G41" s="86">
        <v>42225.841942055093</v>
      </c>
      <c r="H41" s="86">
        <v>44215.685911296721</v>
      </c>
      <c r="I41" s="86">
        <v>46270.281871103776</v>
      </c>
      <c r="J41" s="86">
        <v>48236.690626053394</v>
      </c>
      <c r="K41" s="86">
        <v>38572.648562364593</v>
      </c>
      <c r="L41" s="86">
        <v>49271.194243918733</v>
      </c>
      <c r="M41" s="86">
        <v>48348.311086798356</v>
      </c>
      <c r="N41" s="86">
        <v>41948.259777669227</v>
      </c>
      <c r="O41" s="86">
        <v>34784.51490162198</v>
      </c>
      <c r="P41" s="86">
        <v>38481.386798457737</v>
      </c>
      <c r="Q41" s="86">
        <v>40818.888373479524</v>
      </c>
      <c r="R41" s="86">
        <v>41201.139727340902</v>
      </c>
      <c r="S41" s="86">
        <v>45975.358686763902</v>
      </c>
      <c r="T41" s="86">
        <v>52839.587899837534</v>
      </c>
      <c r="U41" s="86">
        <v>32045.647328576262</v>
      </c>
      <c r="V41" s="86">
        <v>24000.911743921402</v>
      </c>
      <c r="W41" s="86">
        <v>30919.705948684787</v>
      </c>
      <c r="X41" s="86">
        <v>40173.111576833551</v>
      </c>
      <c r="Y41" s="86">
        <v>32542.799461991021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152.91370900821536</v>
      </c>
      <c r="C43" s="54">
        <f t="shared" si="30"/>
        <v>150.24352313204625</v>
      </c>
      <c r="D43" s="54">
        <f t="shared" ref="D43:V43" si="31">SUM(D44,D48)</f>
        <v>137.8359091842492</v>
      </c>
      <c r="E43" s="54">
        <f t="shared" si="31"/>
        <v>130.401131115948</v>
      </c>
      <c r="F43" s="54">
        <f t="shared" si="31"/>
        <v>138.94957504745628</v>
      </c>
      <c r="G43" s="54">
        <f t="shared" si="31"/>
        <v>137.38425952009038</v>
      </c>
      <c r="H43" s="54">
        <f t="shared" si="31"/>
        <v>143.57800889072044</v>
      </c>
      <c r="I43" s="54">
        <f t="shared" si="31"/>
        <v>144.52686445681246</v>
      </c>
      <c r="J43" s="54">
        <f t="shared" si="31"/>
        <v>152.49087253024723</v>
      </c>
      <c r="K43" s="54">
        <f t="shared" si="31"/>
        <v>141.6738082646221</v>
      </c>
      <c r="L43" s="54">
        <f t="shared" si="31"/>
        <v>141.53029443549124</v>
      </c>
      <c r="M43" s="54">
        <f t="shared" si="31"/>
        <v>154.39832348814409</v>
      </c>
      <c r="N43" s="54">
        <f t="shared" si="31"/>
        <v>150.20982053178207</v>
      </c>
      <c r="O43" s="54">
        <f t="shared" si="31"/>
        <v>154.69162722953777</v>
      </c>
      <c r="P43" s="54">
        <f t="shared" si="31"/>
        <v>158.35470299638243</v>
      </c>
      <c r="Q43" s="54">
        <f t="shared" si="31"/>
        <v>158.53633144888821</v>
      </c>
      <c r="R43" s="54">
        <f t="shared" si="31"/>
        <v>164.6069492385821</v>
      </c>
      <c r="S43" s="54">
        <f t="shared" si="31"/>
        <v>174.15300322808974</v>
      </c>
      <c r="T43" s="54">
        <f t="shared" si="31"/>
        <v>176.17534942152051</v>
      </c>
      <c r="U43" s="54">
        <f t="shared" si="31"/>
        <v>167.74609313853617</v>
      </c>
      <c r="V43" s="54">
        <f t="shared" si="31"/>
        <v>160.10177659051379</v>
      </c>
      <c r="W43" s="54">
        <f t="shared" ref="W43:Y43" si="32">SUM(W44,W48)</f>
        <v>152.58761028527854</v>
      </c>
      <c r="X43" s="54">
        <f t="shared" si="32"/>
        <v>145.01836610315516</v>
      </c>
      <c r="Y43" s="54">
        <f t="shared" si="32"/>
        <v>138.29691491828811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150.67341128839632</v>
      </c>
      <c r="C44" s="11">
        <f t="shared" si="33"/>
        <v>147.90709836218559</v>
      </c>
      <c r="D44" s="11">
        <f t="shared" ref="D44:V44" si="34">SUM(D45:D47)</f>
        <v>134.96272693261008</v>
      </c>
      <c r="E44" s="11">
        <f t="shared" si="34"/>
        <v>126.9135042366422</v>
      </c>
      <c r="F44" s="11">
        <f t="shared" si="34"/>
        <v>134.44238047695995</v>
      </c>
      <c r="G44" s="11">
        <f t="shared" si="34"/>
        <v>131.9635951352974</v>
      </c>
      <c r="H44" s="11">
        <f t="shared" si="34"/>
        <v>137.2386655859018</v>
      </c>
      <c r="I44" s="11">
        <f t="shared" si="34"/>
        <v>137.26559906115224</v>
      </c>
      <c r="J44" s="11">
        <f t="shared" si="34"/>
        <v>144.85435694231705</v>
      </c>
      <c r="K44" s="11">
        <f t="shared" si="34"/>
        <v>134.26132244867381</v>
      </c>
      <c r="L44" s="11">
        <f t="shared" si="34"/>
        <v>134.29637063919461</v>
      </c>
      <c r="M44" s="11">
        <f t="shared" si="34"/>
        <v>147.38842946382937</v>
      </c>
      <c r="N44" s="11">
        <f t="shared" si="34"/>
        <v>143.42395627944924</v>
      </c>
      <c r="O44" s="11">
        <f t="shared" si="34"/>
        <v>148.12979274918686</v>
      </c>
      <c r="P44" s="11">
        <f t="shared" si="34"/>
        <v>152.01689828801341</v>
      </c>
      <c r="Q44" s="11">
        <f t="shared" si="34"/>
        <v>152.4225565125011</v>
      </c>
      <c r="R44" s="11">
        <f t="shared" si="34"/>
        <v>158.71720407417689</v>
      </c>
      <c r="S44" s="11">
        <f t="shared" si="34"/>
        <v>168.48728783566645</v>
      </c>
      <c r="T44" s="11">
        <f t="shared" si="34"/>
        <v>170.7336638010791</v>
      </c>
      <c r="U44" s="11">
        <f t="shared" si="34"/>
        <v>161.97664997912921</v>
      </c>
      <c r="V44" s="11">
        <f t="shared" si="34"/>
        <v>154.44297941470936</v>
      </c>
      <c r="W44" s="11">
        <f t="shared" ref="W44:Y44" si="35">SUM(W45:W47)</f>
        <v>146.90930885028956</v>
      </c>
      <c r="X44" s="11">
        <f t="shared" si="35"/>
        <v>139.45207955415714</v>
      </c>
      <c r="Y44" s="11">
        <f t="shared" si="35"/>
        <v>132.84264325528102</v>
      </c>
      <c r="DA44" s="189" t="s">
        <v>225</v>
      </c>
    </row>
    <row r="45" spans="1:105" ht="11.45" customHeight="1" x14ac:dyDescent="0.25">
      <c r="A45" s="83" t="s">
        <v>27</v>
      </c>
      <c r="B45" s="84">
        <v>61.090784044016509</v>
      </c>
      <c r="C45" s="84">
        <v>59.847776249426872</v>
      </c>
      <c r="D45" s="84">
        <v>55.655662540119209</v>
      </c>
      <c r="E45" s="84">
        <v>52.13663457129757</v>
      </c>
      <c r="F45" s="84">
        <v>54.513067400275105</v>
      </c>
      <c r="G45" s="84">
        <v>52.313905461220742</v>
      </c>
      <c r="H45" s="84">
        <v>50.143841911764703</v>
      </c>
      <c r="I45" s="84">
        <v>47.621833256563797</v>
      </c>
      <c r="J45" s="84">
        <v>47.573679332715479</v>
      </c>
      <c r="K45" s="84">
        <v>44.860659544821182</v>
      </c>
      <c r="L45" s="84">
        <v>43.952226345083488</v>
      </c>
      <c r="M45" s="84">
        <v>48.161036557149465</v>
      </c>
      <c r="N45" s="84">
        <v>46.615241635687731</v>
      </c>
      <c r="O45" s="84">
        <v>46.780204460966544</v>
      </c>
      <c r="P45" s="84">
        <v>47.659832246039144</v>
      </c>
      <c r="Q45" s="84">
        <v>46.825174825174827</v>
      </c>
      <c r="R45" s="84">
        <v>47.695733708391934</v>
      </c>
      <c r="S45" s="84">
        <v>48.39201877934272</v>
      </c>
      <c r="T45" s="84">
        <v>47.326597744360903</v>
      </c>
      <c r="U45" s="84">
        <v>43.228061942749882</v>
      </c>
      <c r="V45" s="84">
        <v>40.173522740549053</v>
      </c>
      <c r="W45" s="84">
        <v>37.118983538348225</v>
      </c>
      <c r="X45" s="84">
        <v>34.064444336147396</v>
      </c>
      <c r="Y45" s="84">
        <v>31.009905133946571</v>
      </c>
      <c r="DA45" s="171" t="s">
        <v>226</v>
      </c>
    </row>
    <row r="46" spans="1:105" ht="11.45" customHeight="1" x14ac:dyDescent="0.25">
      <c r="A46" s="83" t="s">
        <v>181</v>
      </c>
      <c r="B46" s="84">
        <v>76.717242628995209</v>
      </c>
      <c r="C46" s="84">
        <v>76.480475958912564</v>
      </c>
      <c r="D46" s="84">
        <v>69.014756700183185</v>
      </c>
      <c r="E46" s="84">
        <v>64.949946588421554</v>
      </c>
      <c r="F46" s="84">
        <v>67.835295982667759</v>
      </c>
      <c r="G46" s="84">
        <v>64.607654275846556</v>
      </c>
      <c r="H46" s="84">
        <v>71.30596056508837</v>
      </c>
      <c r="I46" s="84">
        <v>72.254876915699569</v>
      </c>
      <c r="J46" s="84">
        <v>76.502899831823811</v>
      </c>
      <c r="K46" s="84">
        <v>69.372361017060157</v>
      </c>
      <c r="L46" s="84">
        <v>69.165336347091255</v>
      </c>
      <c r="M46" s="84">
        <v>76.392647143968048</v>
      </c>
      <c r="N46" s="84">
        <v>74.166739335119544</v>
      </c>
      <c r="O46" s="84">
        <v>76.417211239039986</v>
      </c>
      <c r="P46" s="84">
        <v>77.058746714243156</v>
      </c>
      <c r="Q46" s="84">
        <v>78.27189988861106</v>
      </c>
      <c r="R46" s="84">
        <v>83.226481755306608</v>
      </c>
      <c r="S46" s="84">
        <v>89.656912891940195</v>
      </c>
      <c r="T46" s="84">
        <v>90.357627854471019</v>
      </c>
      <c r="U46" s="84">
        <v>86.493081428449784</v>
      </c>
      <c r="V46" s="84">
        <v>82.657219297000026</v>
      </c>
      <c r="W46" s="84">
        <v>78.821357165550268</v>
      </c>
      <c r="X46" s="84">
        <v>75.061936302387934</v>
      </c>
      <c r="Y46" s="84">
        <v>72.150308436481851</v>
      </c>
      <c r="DA46" s="171" t="s">
        <v>227</v>
      </c>
    </row>
    <row r="47" spans="1:105" ht="11.45" customHeight="1" x14ac:dyDescent="0.25">
      <c r="A47" s="83" t="s">
        <v>182</v>
      </c>
      <c r="B47" s="84">
        <v>12.865384615384615</v>
      </c>
      <c r="C47" s="84">
        <v>11.578846153846154</v>
      </c>
      <c r="D47" s="84">
        <v>10.292307692307693</v>
      </c>
      <c r="E47" s="84">
        <v>9.8269230769230766</v>
      </c>
      <c r="F47" s="84">
        <v>12.094017094017094</v>
      </c>
      <c r="G47" s="84">
        <v>15.042035398230089</v>
      </c>
      <c r="H47" s="84">
        <v>15.788863109048723</v>
      </c>
      <c r="I47" s="84">
        <v>17.388888888888889</v>
      </c>
      <c r="J47" s="84">
        <v>20.777777777777779</v>
      </c>
      <c r="K47" s="84">
        <v>20.028301886792452</v>
      </c>
      <c r="L47" s="84">
        <v>21.178807947019866</v>
      </c>
      <c r="M47" s="84">
        <v>22.834745762711865</v>
      </c>
      <c r="N47" s="84">
        <v>22.641975308641975</v>
      </c>
      <c r="O47" s="84">
        <v>24.932377049180328</v>
      </c>
      <c r="P47" s="84">
        <v>27.298319327731093</v>
      </c>
      <c r="Q47" s="84">
        <v>27.325481798715202</v>
      </c>
      <c r="R47" s="84">
        <v>27.794988610478359</v>
      </c>
      <c r="S47" s="84">
        <v>30.438356164383563</v>
      </c>
      <c r="T47" s="84">
        <v>33.049438202247188</v>
      </c>
      <c r="U47" s="84">
        <v>32.255506607929519</v>
      </c>
      <c r="V47" s="84">
        <v>31.612237377160287</v>
      </c>
      <c r="W47" s="84">
        <v>30.968968146391056</v>
      </c>
      <c r="X47" s="84">
        <v>30.325698915621825</v>
      </c>
      <c r="Y47" s="84">
        <v>29.682429684852593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2.2402977198190417</v>
      </c>
      <c r="C48" s="13">
        <f t="shared" si="36"/>
        <v>2.3364247698606544</v>
      </c>
      <c r="D48" s="13">
        <f t="shared" ref="D48:V48" si="37">SUM(D49:D51)</f>
        <v>2.8731822516391299</v>
      </c>
      <c r="E48" s="13">
        <f t="shared" si="37"/>
        <v>3.4876268793058118</v>
      </c>
      <c r="F48" s="13">
        <f t="shared" si="37"/>
        <v>4.5071945704963152</v>
      </c>
      <c r="G48" s="13">
        <f t="shared" si="37"/>
        <v>5.420664384792989</v>
      </c>
      <c r="H48" s="13">
        <f t="shared" si="37"/>
        <v>6.3393433048186427</v>
      </c>
      <c r="I48" s="13">
        <f t="shared" si="37"/>
        <v>7.2612653956602067</v>
      </c>
      <c r="J48" s="13">
        <f t="shared" si="37"/>
        <v>7.6365155879301829</v>
      </c>
      <c r="K48" s="13">
        <f t="shared" si="37"/>
        <v>7.4124858159482798</v>
      </c>
      <c r="L48" s="13">
        <f t="shared" si="37"/>
        <v>7.2339237962966321</v>
      </c>
      <c r="M48" s="13">
        <f t="shared" si="37"/>
        <v>7.009894024314729</v>
      </c>
      <c r="N48" s="13">
        <f t="shared" si="37"/>
        <v>6.785864252332825</v>
      </c>
      <c r="O48" s="13">
        <f t="shared" si="37"/>
        <v>6.561834480350921</v>
      </c>
      <c r="P48" s="13">
        <f t="shared" si="37"/>
        <v>6.337804708369017</v>
      </c>
      <c r="Q48" s="13">
        <f t="shared" si="37"/>
        <v>6.113774936387113</v>
      </c>
      <c r="R48" s="13">
        <f t="shared" si="37"/>
        <v>5.889745164405209</v>
      </c>
      <c r="S48" s="13">
        <f t="shared" si="37"/>
        <v>5.665715392423305</v>
      </c>
      <c r="T48" s="13">
        <f t="shared" si="37"/>
        <v>5.441685620441401</v>
      </c>
      <c r="U48" s="13">
        <f t="shared" si="37"/>
        <v>5.769443159406964</v>
      </c>
      <c r="V48" s="13">
        <f t="shared" si="37"/>
        <v>5.6587971758044331</v>
      </c>
      <c r="W48" s="13">
        <f t="shared" ref="W48:Y48" si="38">SUM(W49:W51)</f>
        <v>5.6783014349889847</v>
      </c>
      <c r="X48" s="13">
        <f t="shared" si="38"/>
        <v>5.5662865489980327</v>
      </c>
      <c r="Y48" s="13">
        <f t="shared" si="38"/>
        <v>5.4542716630070807</v>
      </c>
      <c r="DA48" s="193" t="s">
        <v>229</v>
      </c>
    </row>
    <row r="49" spans="1:105" ht="11.45" customHeight="1" x14ac:dyDescent="0.25">
      <c r="A49" s="92" t="s">
        <v>27</v>
      </c>
      <c r="B49" s="102">
        <v>0.52059659090909094</v>
      </c>
      <c r="C49" s="102">
        <v>0.46853693181818185</v>
      </c>
      <c r="D49" s="102">
        <v>0.5390625</v>
      </c>
      <c r="E49" s="102">
        <v>0.59517045454545459</v>
      </c>
      <c r="F49" s="102">
        <v>0.92471590909090906</v>
      </c>
      <c r="G49" s="102">
        <v>0.99431414356787495</v>
      </c>
      <c r="H49" s="102">
        <v>1.2039942938659058</v>
      </c>
      <c r="I49" s="102">
        <v>1.41159627773801</v>
      </c>
      <c r="J49" s="102">
        <v>1.5046796256299495</v>
      </c>
      <c r="K49" s="102">
        <v>1.4526199665390405</v>
      </c>
      <c r="L49" s="102">
        <v>1.4005603074481314</v>
      </c>
      <c r="M49" s="102">
        <v>1.3485006483572224</v>
      </c>
      <c r="N49" s="102">
        <v>1.2964409892663133</v>
      </c>
      <c r="O49" s="102">
        <v>1.2443813301754043</v>
      </c>
      <c r="P49" s="102">
        <v>1.1923216710844953</v>
      </c>
      <c r="Q49" s="102">
        <v>1.1402620119935862</v>
      </c>
      <c r="R49" s="102">
        <v>1.0882023529026772</v>
      </c>
      <c r="S49" s="102">
        <v>1.0361426938117682</v>
      </c>
      <c r="T49" s="102">
        <v>0.98408303472085912</v>
      </c>
      <c r="U49" s="102">
        <v>0.93202337562995008</v>
      </c>
      <c r="V49" s="102">
        <v>0.90599354608449556</v>
      </c>
      <c r="W49" s="102">
        <v>0.87996371653904104</v>
      </c>
      <c r="X49" s="102">
        <v>0.85393388699358652</v>
      </c>
      <c r="Y49" s="102">
        <v>0.827904057448132</v>
      </c>
      <c r="DA49" s="175" t="s">
        <v>230</v>
      </c>
    </row>
    <row r="50" spans="1:105" ht="11.45" customHeight="1" x14ac:dyDescent="0.25">
      <c r="A50" s="92" t="s">
        <v>181</v>
      </c>
      <c r="B50" s="102">
        <v>1.0888942829441806</v>
      </c>
      <c r="C50" s="102">
        <v>1.0219220678713234</v>
      </c>
      <c r="D50" s="102">
        <v>1.2045353995608903</v>
      </c>
      <c r="E50" s="102">
        <v>1.3570041020219712</v>
      </c>
      <c r="F50" s="102">
        <v>1.8440923533369462</v>
      </c>
      <c r="G50" s="102">
        <v>2.0208086795122671</v>
      </c>
      <c r="H50" s="102">
        <v>2.5036285808452097</v>
      </c>
      <c r="I50" s="102">
        <v>2.9405782088312873</v>
      </c>
      <c r="J50" s="102">
        <v>3.0187924840393645</v>
      </c>
      <c r="K50" s="102">
        <v>2.9099030557449468</v>
      </c>
      <c r="L50" s="102">
        <v>2.8464813797807857</v>
      </c>
      <c r="M50" s="102">
        <v>2.7375919514863685</v>
      </c>
      <c r="N50" s="102">
        <v>2.6287025231919499</v>
      </c>
      <c r="O50" s="102">
        <v>2.5198130948975321</v>
      </c>
      <c r="P50" s="102">
        <v>2.4109236666031144</v>
      </c>
      <c r="Q50" s="102">
        <v>2.3020342383086962</v>
      </c>
      <c r="R50" s="102">
        <v>2.1931448100142785</v>
      </c>
      <c r="S50" s="102">
        <v>2.0842553817198604</v>
      </c>
      <c r="T50" s="102">
        <v>1.9753659534254426</v>
      </c>
      <c r="U50" s="102">
        <v>2.4182638360784914</v>
      </c>
      <c r="V50" s="102">
        <v>2.3651880243197039</v>
      </c>
      <c r="W50" s="102">
        <v>2.4422624553479979</v>
      </c>
      <c r="X50" s="102">
        <v>2.3878177412007893</v>
      </c>
      <c r="Y50" s="102">
        <v>2.3333730270535806</v>
      </c>
      <c r="DA50" s="175" t="s">
        <v>231</v>
      </c>
    </row>
    <row r="51" spans="1:105" ht="11.45" customHeight="1" x14ac:dyDescent="0.25">
      <c r="A51" s="85" t="s">
        <v>182</v>
      </c>
      <c r="B51" s="86">
        <v>0.63080684596577019</v>
      </c>
      <c r="C51" s="86">
        <v>0.84596577017114916</v>
      </c>
      <c r="D51" s="86">
        <v>1.1295843520782396</v>
      </c>
      <c r="E51" s="86">
        <v>1.5354523227383863</v>
      </c>
      <c r="F51" s="86">
        <v>1.7383863080684596</v>
      </c>
      <c r="G51" s="86">
        <v>2.4055415617128464</v>
      </c>
      <c r="H51" s="86">
        <v>2.631720430107527</v>
      </c>
      <c r="I51" s="86">
        <v>2.9090909090909092</v>
      </c>
      <c r="J51" s="86">
        <v>3.1130434782608694</v>
      </c>
      <c r="K51" s="86">
        <v>3.0499627936642923</v>
      </c>
      <c r="L51" s="86">
        <v>2.9868821090677153</v>
      </c>
      <c r="M51" s="86">
        <v>2.9238014244711383</v>
      </c>
      <c r="N51" s="86">
        <v>2.8607207398745613</v>
      </c>
      <c r="O51" s="86">
        <v>2.7976400552779843</v>
      </c>
      <c r="P51" s="86">
        <v>2.7345593706814073</v>
      </c>
      <c r="Q51" s="86">
        <v>2.6714786860848303</v>
      </c>
      <c r="R51" s="86">
        <v>2.6083980014882533</v>
      </c>
      <c r="S51" s="86">
        <v>2.5453173168916763</v>
      </c>
      <c r="T51" s="86">
        <v>2.4822366322950993</v>
      </c>
      <c r="U51" s="86">
        <v>2.4191559476985223</v>
      </c>
      <c r="V51" s="86">
        <v>2.3876156054002338</v>
      </c>
      <c r="W51" s="86">
        <v>2.3560752631019453</v>
      </c>
      <c r="X51" s="86">
        <v>2.3245349208036568</v>
      </c>
      <c r="Y51" s="86">
        <v>2.2929945785053683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8.1948578252963706</v>
      </c>
      <c r="C53" s="54">
        <f t="shared" si="39"/>
        <v>3.8023584710698519</v>
      </c>
      <c r="D53" s="54">
        <f t="shared" ref="D53:V53" si="40">SUM(D54,D58)</f>
        <v>0.61463830744047543</v>
      </c>
      <c r="E53" s="54">
        <f t="shared" si="40"/>
        <v>0.69232545332868201</v>
      </c>
      <c r="F53" s="54">
        <f t="shared" si="40"/>
        <v>13.804326126772878</v>
      </c>
      <c r="G53" s="54">
        <f t="shared" si="40"/>
        <v>4.5666941853588305</v>
      </c>
      <c r="H53" s="54">
        <f t="shared" si="40"/>
        <v>11.614154064683056</v>
      </c>
      <c r="I53" s="54">
        <f t="shared" si="40"/>
        <v>6.8214143666467901</v>
      </c>
      <c r="J53" s="54">
        <f t="shared" si="40"/>
        <v>12.975524720656313</v>
      </c>
      <c r="K53" s="54">
        <f t="shared" si="40"/>
        <v>0.17804375215637203</v>
      </c>
      <c r="L53" s="54">
        <f t="shared" si="40"/>
        <v>4.9652848025938177</v>
      </c>
      <c r="M53" s="54">
        <f t="shared" si="40"/>
        <v>18.022295436707761</v>
      </c>
      <c r="N53" s="54">
        <f t="shared" si="40"/>
        <v>1.5286781254094519</v>
      </c>
      <c r="O53" s="54">
        <f t="shared" si="40"/>
        <v>9.7114530707222197</v>
      </c>
      <c r="P53" s="54">
        <f t="shared" si="40"/>
        <v>8.8939764706287221</v>
      </c>
      <c r="Q53" s="54">
        <f t="shared" si="40"/>
        <v>5.5244803782246645</v>
      </c>
      <c r="R53" s="54">
        <f t="shared" si="40"/>
        <v>11.224884173748812</v>
      </c>
      <c r="S53" s="54">
        <f t="shared" si="40"/>
        <v>14.700320373562578</v>
      </c>
      <c r="T53" s="54">
        <f t="shared" si="40"/>
        <v>7.1766125774856473</v>
      </c>
      <c r="U53" s="54">
        <f t="shared" si="40"/>
        <v>0.57491622106228757</v>
      </c>
      <c r="V53" s="54">
        <f t="shared" si="40"/>
        <v>0</v>
      </c>
      <c r="W53" s="54">
        <f t="shared" ref="W53:Y53" si="41">SUM(W54,W58)</f>
        <v>0.11156169994613407</v>
      </c>
      <c r="X53" s="54">
        <f t="shared" si="41"/>
        <v>2.3521995126726924E-2</v>
      </c>
      <c r="Y53" s="54">
        <f t="shared" si="41"/>
        <v>0.60330614846183983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7.9273886245459053</v>
      </c>
      <c r="C54" s="11">
        <f t="shared" si="42"/>
        <v>3.5220577756985922</v>
      </c>
      <c r="D54" s="11">
        <f t="shared" ref="D54:V54" si="43">SUM(D55:D57)</f>
        <v>0</v>
      </c>
      <c r="E54" s="11">
        <f t="shared" si="43"/>
        <v>0</v>
      </c>
      <c r="F54" s="11">
        <f t="shared" si="43"/>
        <v>12.692863224747184</v>
      </c>
      <c r="G54" s="11">
        <f t="shared" si="43"/>
        <v>3.5703692443384769</v>
      </c>
      <c r="H54" s="11">
        <f t="shared" si="43"/>
        <v>10.614195109508865</v>
      </c>
      <c r="I54" s="11">
        <f t="shared" si="43"/>
        <v>5.8182122406566883</v>
      </c>
      <c r="J54" s="11">
        <f t="shared" si="43"/>
        <v>12.518994493237798</v>
      </c>
      <c r="K54" s="11">
        <f t="shared" si="43"/>
        <v>0.17804375215637203</v>
      </c>
      <c r="L54" s="11">
        <f t="shared" si="43"/>
        <v>4.9652848025938177</v>
      </c>
      <c r="M54" s="11">
        <f t="shared" si="43"/>
        <v>18.022295436707761</v>
      </c>
      <c r="N54" s="11">
        <f t="shared" si="43"/>
        <v>1.5286781254094519</v>
      </c>
      <c r="O54" s="11">
        <f t="shared" si="43"/>
        <v>9.7114530707222197</v>
      </c>
      <c r="P54" s="11">
        <f t="shared" si="43"/>
        <v>8.8939764706287221</v>
      </c>
      <c r="Q54" s="11">
        <f t="shared" si="43"/>
        <v>5.5244803782246645</v>
      </c>
      <c r="R54" s="11">
        <f t="shared" si="43"/>
        <v>11.224884173748812</v>
      </c>
      <c r="S54" s="11">
        <f t="shared" si="43"/>
        <v>14.700320373562578</v>
      </c>
      <c r="T54" s="11">
        <f t="shared" si="43"/>
        <v>7.1766125774856473</v>
      </c>
      <c r="U54" s="11">
        <f t="shared" si="43"/>
        <v>8.3939884307046686E-2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2.3521995126726924E-2</v>
      </c>
      <c r="Y54" s="11">
        <f t="shared" si="44"/>
        <v>0.60330614846183983</v>
      </c>
      <c r="DA54" s="189" t="s">
        <v>234</v>
      </c>
    </row>
    <row r="55" spans="1:105" ht="11.45" customHeight="1" x14ac:dyDescent="0.25">
      <c r="A55" s="83" t="s">
        <v>27</v>
      </c>
      <c r="B55" s="84">
        <v>0.26865352284895039</v>
      </c>
      <c r="C55" s="84">
        <v>0.75191808039136276</v>
      </c>
      <c r="D55" s="84">
        <v>0</v>
      </c>
      <c r="E55" s="84">
        <v>0</v>
      </c>
      <c r="F55" s="84">
        <v>4.3713587039585349</v>
      </c>
      <c r="G55" s="84">
        <v>0</v>
      </c>
      <c r="H55" s="84">
        <v>0</v>
      </c>
      <c r="I55" s="84">
        <v>0</v>
      </c>
      <c r="J55" s="84">
        <v>1.946771951132682</v>
      </c>
      <c r="K55" s="84">
        <v>0</v>
      </c>
      <c r="L55" s="84">
        <v>1.0864926752433064</v>
      </c>
      <c r="M55" s="84">
        <v>6.2037360870469769</v>
      </c>
      <c r="N55" s="84">
        <v>0.44913095351926557</v>
      </c>
      <c r="O55" s="84">
        <v>2.1598887002598133</v>
      </c>
      <c r="P55" s="84">
        <v>2.8745536600535999</v>
      </c>
      <c r="Q55" s="84">
        <v>1.1602684541166823</v>
      </c>
      <c r="R55" s="84">
        <v>2.8654847581981073</v>
      </c>
      <c r="S55" s="84">
        <v>2.6912109459317861</v>
      </c>
      <c r="T55" s="84">
        <v>0.92950483999918276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5.5249103153717076</v>
      </c>
      <c r="C56" s="84">
        <v>2.7701396953072295</v>
      </c>
      <c r="D56" s="84">
        <v>0</v>
      </c>
      <c r="E56" s="84">
        <v>0</v>
      </c>
      <c r="F56" s="84">
        <v>5.6684489652326322</v>
      </c>
      <c r="G56" s="84">
        <v>0.2363894016634811</v>
      </c>
      <c r="H56" s="84">
        <v>9.4814058602282323</v>
      </c>
      <c r="I56" s="84">
        <v>3.8322249223545235</v>
      </c>
      <c r="J56" s="84">
        <v>6.7973721147542285</v>
      </c>
      <c r="K56" s="84">
        <v>0.17804375215637203</v>
      </c>
      <c r="L56" s="84">
        <v>2.3423245286610985</v>
      </c>
      <c r="M56" s="84">
        <v>9.7766599955067868</v>
      </c>
      <c r="N56" s="84">
        <v>0.88635608749807826</v>
      </c>
      <c r="O56" s="84">
        <v>4.8752010914620545</v>
      </c>
      <c r="P56" s="84">
        <v>3.2675189935623585</v>
      </c>
      <c r="Q56" s="84">
        <v>3.9510879146618745</v>
      </c>
      <c r="R56" s="84">
        <v>7.50393106532555</v>
      </c>
      <c r="S56" s="84">
        <v>8.9797803352635892</v>
      </c>
      <c r="T56" s="84">
        <v>3.2500641611608407</v>
      </c>
      <c r="U56" s="84">
        <v>8.3939884307046686E-2</v>
      </c>
      <c r="V56" s="84">
        <v>0</v>
      </c>
      <c r="W56" s="84">
        <v>0</v>
      </c>
      <c r="X56" s="84">
        <v>2.3521995126726924E-2</v>
      </c>
      <c r="Y56" s="84">
        <v>0.60330614846183983</v>
      </c>
      <c r="DA56" s="171" t="s">
        <v>236</v>
      </c>
    </row>
    <row r="57" spans="1:105" ht="11.45" customHeight="1" x14ac:dyDescent="0.25">
      <c r="A57" s="83" t="s">
        <v>182</v>
      </c>
      <c r="B57" s="84">
        <v>2.1338247863252473</v>
      </c>
      <c r="C57" s="84">
        <v>0</v>
      </c>
      <c r="D57" s="84">
        <v>0</v>
      </c>
      <c r="E57" s="84">
        <v>0</v>
      </c>
      <c r="F57" s="84">
        <v>2.6530555555560174</v>
      </c>
      <c r="G57" s="84">
        <v>3.3339798426749958</v>
      </c>
      <c r="H57" s="84">
        <v>1.1327892492806324</v>
      </c>
      <c r="I57" s="84">
        <v>1.9859873183021648</v>
      </c>
      <c r="J57" s="84">
        <v>3.7748504273508878</v>
      </c>
      <c r="K57" s="84">
        <v>0</v>
      </c>
      <c r="L57" s="84">
        <v>1.5364675986894127</v>
      </c>
      <c r="M57" s="84">
        <v>2.0418993541539976</v>
      </c>
      <c r="N57" s="84">
        <v>0.19319108439210808</v>
      </c>
      <c r="O57" s="84">
        <v>2.676363279000352</v>
      </c>
      <c r="P57" s="84">
        <v>2.7519038170127637</v>
      </c>
      <c r="Q57" s="84">
        <v>0.41312400944610772</v>
      </c>
      <c r="R57" s="84">
        <v>0.85546835022515566</v>
      </c>
      <c r="S57" s="84">
        <v>3.0293290923672025</v>
      </c>
      <c r="T57" s="84">
        <v>2.9970435763256233</v>
      </c>
      <c r="U57" s="84">
        <v>0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0.26746920075046499</v>
      </c>
      <c r="C58" s="13">
        <f t="shared" si="45"/>
        <v>0.28030069537125968</v>
      </c>
      <c r="D58" s="13">
        <f t="shared" ref="D58:V58" si="46">SUM(D59:D61)</f>
        <v>0.61463830744047543</v>
      </c>
      <c r="E58" s="13">
        <f t="shared" si="46"/>
        <v>0.69232545332868201</v>
      </c>
      <c r="F58" s="13">
        <f t="shared" si="46"/>
        <v>1.1114629020256945</v>
      </c>
      <c r="G58" s="13">
        <f t="shared" si="46"/>
        <v>0.99632494102035407</v>
      </c>
      <c r="H58" s="13">
        <f t="shared" si="46"/>
        <v>0.99995895517419109</v>
      </c>
      <c r="I58" s="13">
        <f t="shared" si="46"/>
        <v>1.0032021259901018</v>
      </c>
      <c r="J58" s="13">
        <f t="shared" si="46"/>
        <v>0.45653022741851434</v>
      </c>
      <c r="K58" s="13">
        <f t="shared" si="46"/>
        <v>0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0</v>
      </c>
      <c r="U58" s="13">
        <f t="shared" si="46"/>
        <v>0.49097633675524088</v>
      </c>
      <c r="V58" s="13">
        <f t="shared" si="46"/>
        <v>0</v>
      </c>
      <c r="W58" s="13">
        <f t="shared" ref="W58:Y58" si="47">SUM(W59:W61)</f>
        <v>0.11156169994613407</v>
      </c>
      <c r="X58" s="13">
        <f t="shared" si="47"/>
        <v>0</v>
      </c>
      <c r="Y58" s="13">
        <f t="shared" si="47"/>
        <v>0</v>
      </c>
      <c r="DA58" s="193" t="s">
        <v>238</v>
      </c>
    </row>
    <row r="59" spans="1:105" ht="11.45" customHeight="1" x14ac:dyDescent="0.25">
      <c r="A59" s="92" t="s">
        <v>27</v>
      </c>
      <c r="B59" s="102">
        <v>2.6981534090636305E-2</v>
      </c>
      <c r="C59" s="102">
        <v>0</v>
      </c>
      <c r="D59" s="102">
        <v>8.6143465908818107E-2</v>
      </c>
      <c r="E59" s="102">
        <v>7.1725852272454538E-2</v>
      </c>
      <c r="F59" s="102">
        <v>0.34516335227245443</v>
      </c>
      <c r="G59" s="102">
        <v>8.5216132203965844E-2</v>
      </c>
      <c r="H59" s="102">
        <v>0.22529804802503095</v>
      </c>
      <c r="I59" s="102">
        <v>0.22321988159910422</v>
      </c>
      <c r="J59" s="102">
        <v>0.10870124561893957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0.13893917440199499</v>
      </c>
      <c r="C60" s="102">
        <v>3.6942912159880659E-2</v>
      </c>
      <c r="D60" s="102">
        <v>0.21667740061856683</v>
      </c>
      <c r="E60" s="102">
        <v>0.18653277139008073</v>
      </c>
      <c r="F60" s="102">
        <v>0.5351667054171666</v>
      </c>
      <c r="G60" s="102">
        <v>0.21575469616600162</v>
      </c>
      <c r="H60" s="102">
        <v>0.52028317974847971</v>
      </c>
      <c r="I60" s="102">
        <v>0.47441290640161549</v>
      </c>
      <c r="J60" s="102">
        <v>0.11567755362361479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102">
        <v>0.49097633675524088</v>
      </c>
      <c r="V60" s="102">
        <v>0</v>
      </c>
      <c r="W60" s="102">
        <v>0.11156169994613407</v>
      </c>
      <c r="X60" s="102">
        <v>0</v>
      </c>
      <c r="Y60" s="102">
        <v>0</v>
      </c>
      <c r="DA60" s="175" t="s">
        <v>240</v>
      </c>
    </row>
    <row r="61" spans="1:105" ht="11.45" customHeight="1" x14ac:dyDescent="0.25">
      <c r="A61" s="85" t="s">
        <v>182</v>
      </c>
      <c r="B61" s="86">
        <v>0.10154849225783369</v>
      </c>
      <c r="C61" s="86">
        <v>0.24335778321137902</v>
      </c>
      <c r="D61" s="86">
        <v>0.31181744091309049</v>
      </c>
      <c r="E61" s="86">
        <v>0.43406682966614674</v>
      </c>
      <c r="F61" s="86">
        <v>0.2311328443360734</v>
      </c>
      <c r="G61" s="86">
        <v>0.6953541126503866</v>
      </c>
      <c r="H61" s="86">
        <v>0.25437772740068043</v>
      </c>
      <c r="I61" s="86">
        <v>0.30556933798938202</v>
      </c>
      <c r="J61" s="86">
        <v>0.23215142817596002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64.597805553612076</v>
      </c>
      <c r="C66" s="14">
        <f t="shared" si="48"/>
        <v>65.903940616916771</v>
      </c>
      <c r="D66" s="14">
        <f t="shared" ref="D66:V66" si="49">IF(D34=0,0,D34/D24)</f>
        <v>66.827862453531594</v>
      </c>
      <c r="E66" s="14">
        <f t="shared" si="49"/>
        <v>65.154382279462652</v>
      </c>
      <c r="F66" s="14">
        <f t="shared" si="49"/>
        <v>65.125144196777441</v>
      </c>
      <c r="G66" s="14">
        <f t="shared" si="49"/>
        <v>71.206716475539594</v>
      </c>
      <c r="H66" s="14">
        <f t="shared" si="49"/>
        <v>78.084330519616628</v>
      </c>
      <c r="I66" s="14">
        <f t="shared" si="49"/>
        <v>82.124360468802578</v>
      </c>
      <c r="J66" s="14">
        <f t="shared" si="49"/>
        <v>81.147376492081676</v>
      </c>
      <c r="K66" s="14">
        <f t="shared" si="49"/>
        <v>80.594820870251681</v>
      </c>
      <c r="L66" s="14">
        <f t="shared" si="49"/>
        <v>83.856068153108282</v>
      </c>
      <c r="M66" s="14">
        <f t="shared" si="49"/>
        <v>85.231802054154997</v>
      </c>
      <c r="N66" s="14">
        <f t="shared" si="49"/>
        <v>89.621295311605252</v>
      </c>
      <c r="O66" s="14">
        <f t="shared" si="49"/>
        <v>90.96429994497467</v>
      </c>
      <c r="P66" s="14">
        <f t="shared" si="49"/>
        <v>93.269299954679042</v>
      </c>
      <c r="Q66" s="14">
        <f t="shared" si="49"/>
        <v>96.353873313437859</v>
      </c>
      <c r="R66" s="14">
        <f t="shared" si="49"/>
        <v>98.418683659519189</v>
      </c>
      <c r="S66" s="14">
        <f t="shared" si="49"/>
        <v>100.8018738004573</v>
      </c>
      <c r="T66" s="14">
        <f t="shared" si="49"/>
        <v>101.46719147485379</v>
      </c>
      <c r="U66" s="14">
        <f t="shared" si="49"/>
        <v>102.60987275140964</v>
      </c>
      <c r="V66" s="14">
        <f t="shared" si="49"/>
        <v>75.218068578096805</v>
      </c>
      <c r="W66" s="14">
        <f t="shared" ref="W66:Y66" si="50">IF(W34=0,0,W34/W24)</f>
        <v>81.729897165788813</v>
      </c>
      <c r="X66" s="14">
        <f t="shared" si="50"/>
        <v>110.65023224748778</v>
      </c>
      <c r="Y66" s="14">
        <f t="shared" si="50"/>
        <v>110.25821102762747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56.9905508147014</v>
      </c>
      <c r="C67" s="87">
        <f t="shared" si="48"/>
        <v>58.264035302770289</v>
      </c>
      <c r="D67" s="87">
        <f t="shared" ref="D67:V67" si="51">IF(D35=0,0,D35/D25)</f>
        <v>58.291741154178851</v>
      </c>
      <c r="E67" s="87">
        <f t="shared" si="51"/>
        <v>57.026725881628707</v>
      </c>
      <c r="F67" s="87">
        <f t="shared" si="51"/>
        <v>55.95236893677508</v>
      </c>
      <c r="G67" s="87">
        <f t="shared" si="51"/>
        <v>60.878596743631135</v>
      </c>
      <c r="H67" s="87">
        <f t="shared" si="51"/>
        <v>62.813734385453614</v>
      </c>
      <c r="I67" s="87">
        <f t="shared" si="51"/>
        <v>64.794674378790376</v>
      </c>
      <c r="J67" s="87">
        <f t="shared" si="51"/>
        <v>63.766325099353232</v>
      </c>
      <c r="K67" s="87">
        <f t="shared" si="51"/>
        <v>60.453165605425276</v>
      </c>
      <c r="L67" s="87">
        <f t="shared" si="51"/>
        <v>63.323128713289222</v>
      </c>
      <c r="M67" s="87">
        <f t="shared" si="51"/>
        <v>65.356998731696066</v>
      </c>
      <c r="N67" s="87">
        <f t="shared" si="51"/>
        <v>68.950436620279916</v>
      </c>
      <c r="O67" s="87">
        <f t="shared" si="51"/>
        <v>68.996056461145713</v>
      </c>
      <c r="P67" s="87">
        <f t="shared" si="51"/>
        <v>70.71508046696259</v>
      </c>
      <c r="Q67" s="87">
        <f t="shared" si="51"/>
        <v>72.754181600955789</v>
      </c>
      <c r="R67" s="87">
        <f t="shared" si="51"/>
        <v>73.922583181795844</v>
      </c>
      <c r="S67" s="87">
        <f t="shared" si="51"/>
        <v>75.106873635702158</v>
      </c>
      <c r="T67" s="87">
        <f t="shared" si="51"/>
        <v>74.371915679518622</v>
      </c>
      <c r="U67" s="87">
        <f t="shared" si="51"/>
        <v>73.740889501622902</v>
      </c>
      <c r="V67" s="87">
        <f t="shared" si="51"/>
        <v>57.06403603809089</v>
      </c>
      <c r="W67" s="87">
        <f t="shared" ref="W67:Y67" si="52">IF(W35=0,0,W35/W25)</f>
        <v>58.52721575407223</v>
      </c>
      <c r="X67" s="87">
        <f t="shared" si="52"/>
        <v>77.188313768348067</v>
      </c>
      <c r="Y67" s="87">
        <f t="shared" si="52"/>
        <v>74.987047360672278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69.755903082426215</v>
      </c>
      <c r="C68" s="87">
        <f t="shared" si="48"/>
        <v>71.264328418481412</v>
      </c>
      <c r="D68" s="87">
        <f t="shared" ref="D68:V68" si="53">IF(D36=0,0,D36/D26)</f>
        <v>74.557421870622903</v>
      </c>
      <c r="E68" s="87">
        <f t="shared" si="53"/>
        <v>71.667852795205548</v>
      </c>
      <c r="F68" s="87">
        <f t="shared" si="53"/>
        <v>71.762481892271452</v>
      </c>
      <c r="G68" s="87">
        <f t="shared" si="53"/>
        <v>78.009571648476296</v>
      </c>
      <c r="H68" s="87">
        <f t="shared" si="53"/>
        <v>89.923877199327706</v>
      </c>
      <c r="I68" s="87">
        <f t="shared" si="53"/>
        <v>94.45468887312461</v>
      </c>
      <c r="J68" s="87">
        <f t="shared" si="53"/>
        <v>91.89324708046712</v>
      </c>
      <c r="K68" s="87">
        <f t="shared" si="53"/>
        <v>95.283656319670726</v>
      </c>
      <c r="L68" s="87">
        <f t="shared" si="53"/>
        <v>97.217031963975529</v>
      </c>
      <c r="M68" s="87">
        <f t="shared" si="53"/>
        <v>98.440963903931717</v>
      </c>
      <c r="N68" s="87">
        <f t="shared" si="53"/>
        <v>103.35212610502533</v>
      </c>
      <c r="O68" s="87">
        <f t="shared" si="53"/>
        <v>105.28300365403067</v>
      </c>
      <c r="P68" s="87">
        <f t="shared" si="53"/>
        <v>107.94168514636937</v>
      </c>
      <c r="Q68" s="87">
        <f t="shared" si="53"/>
        <v>111.16331080679363</v>
      </c>
      <c r="R68" s="87">
        <f t="shared" si="53"/>
        <v>114.46487941713576</v>
      </c>
      <c r="S68" s="87">
        <f t="shared" si="53"/>
        <v>116.67848939693393</v>
      </c>
      <c r="T68" s="87">
        <f t="shared" si="53"/>
        <v>116.91039483433894</v>
      </c>
      <c r="U68" s="87">
        <f t="shared" si="53"/>
        <v>118.09670285484519</v>
      </c>
      <c r="V68" s="87">
        <f t="shared" si="53"/>
        <v>85.556211438063599</v>
      </c>
      <c r="W68" s="87">
        <f t="shared" ref="W68:Y68" si="54">IF(W36=0,0,W36/W26)</f>
        <v>98.372742602262832</v>
      </c>
      <c r="X68" s="87">
        <f t="shared" si="54"/>
        <v>128.38353988379748</v>
      </c>
      <c r="Y68" s="87">
        <f t="shared" si="54"/>
        <v>128.28969921420602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144.08636439129714</v>
      </c>
      <c r="C69" s="87">
        <f t="shared" si="48"/>
        <v>151.09986834681212</v>
      </c>
      <c r="D69" s="87">
        <f t="shared" ref="D69:V69" si="55">IF(D37=0,0,D37/D27)</f>
        <v>142.58202099737534</v>
      </c>
      <c r="E69" s="87">
        <f t="shared" si="55"/>
        <v>145.11459012828877</v>
      </c>
      <c r="F69" s="87">
        <f t="shared" si="55"/>
        <v>151.760777385159</v>
      </c>
      <c r="G69" s="87">
        <f t="shared" si="55"/>
        <v>157.91792910722165</v>
      </c>
      <c r="H69" s="87">
        <f t="shared" si="55"/>
        <v>159.38221895664952</v>
      </c>
      <c r="I69" s="87">
        <f t="shared" si="55"/>
        <v>169.23392137796915</v>
      </c>
      <c r="J69" s="87">
        <f t="shared" si="55"/>
        <v>163.64554754708206</v>
      </c>
      <c r="K69" s="87">
        <f t="shared" si="55"/>
        <v>158.38836552048988</v>
      </c>
      <c r="L69" s="87">
        <f t="shared" si="55"/>
        <v>160.79143214509068</v>
      </c>
      <c r="M69" s="87">
        <f t="shared" si="55"/>
        <v>155.39441454815363</v>
      </c>
      <c r="N69" s="87">
        <f t="shared" si="55"/>
        <v>157.66166848418757</v>
      </c>
      <c r="O69" s="87">
        <f t="shared" si="55"/>
        <v>157.43133064847538</v>
      </c>
      <c r="P69" s="87">
        <f t="shared" si="55"/>
        <v>159.28436201323689</v>
      </c>
      <c r="Q69" s="87">
        <f t="shared" si="55"/>
        <v>164.98597288613746</v>
      </c>
      <c r="R69" s="87">
        <f t="shared" si="55"/>
        <v>162.95394197672513</v>
      </c>
      <c r="S69" s="87">
        <f t="shared" si="55"/>
        <v>165.69501950195018</v>
      </c>
      <c r="T69" s="87">
        <f t="shared" si="55"/>
        <v>167.97219011355136</v>
      </c>
      <c r="U69" s="87">
        <f t="shared" si="55"/>
        <v>168.48593280524446</v>
      </c>
      <c r="V69" s="87">
        <f t="shared" si="55"/>
        <v>133.90572184891062</v>
      </c>
      <c r="W69" s="87">
        <f t="shared" ref="W69:Y69" si="56">IF(W37=0,0,W37/W27)</f>
        <v>123.22425667730556</v>
      </c>
      <c r="X69" s="87">
        <f t="shared" si="56"/>
        <v>171.58919041671399</v>
      </c>
      <c r="Y69" s="87">
        <f t="shared" si="56"/>
        <v>175.3082228116711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18.306839274185471</v>
      </c>
      <c r="C70" s="15">
        <f t="shared" si="48"/>
        <v>20.868351795920027</v>
      </c>
      <c r="D70" s="15">
        <f t="shared" ref="D70:V70" si="57">IF(D38=0,0,D38/D28)</f>
        <v>21.073523750265426</v>
      </c>
      <c r="E70" s="15">
        <f t="shared" si="57"/>
        <v>22.021309658681503</v>
      </c>
      <c r="F70" s="15">
        <f t="shared" si="57"/>
        <v>19.753118049464486</v>
      </c>
      <c r="G70" s="15">
        <f t="shared" si="57"/>
        <v>19.76775104129063</v>
      </c>
      <c r="H70" s="15">
        <f t="shared" si="57"/>
        <v>18.355245848101564</v>
      </c>
      <c r="I70" s="15">
        <f t="shared" si="57"/>
        <v>17.691617347542973</v>
      </c>
      <c r="J70" s="15">
        <f t="shared" si="57"/>
        <v>17.49896912006</v>
      </c>
      <c r="K70" s="15">
        <f t="shared" si="57"/>
        <v>17.784326686302702</v>
      </c>
      <c r="L70" s="15">
        <f t="shared" si="57"/>
        <v>20.193620039412195</v>
      </c>
      <c r="M70" s="15">
        <f t="shared" si="57"/>
        <v>22.408184478053641</v>
      </c>
      <c r="N70" s="15">
        <f t="shared" si="57"/>
        <v>23.012623408873662</v>
      </c>
      <c r="O70" s="15">
        <f t="shared" si="57"/>
        <v>22.282113939748562</v>
      </c>
      <c r="P70" s="15">
        <f t="shared" si="57"/>
        <v>25.173725836619472</v>
      </c>
      <c r="Q70" s="15">
        <f t="shared" si="57"/>
        <v>25.763963354156292</v>
      </c>
      <c r="R70" s="15">
        <f t="shared" si="57"/>
        <v>29.452058858991609</v>
      </c>
      <c r="S70" s="15">
        <f t="shared" si="57"/>
        <v>28.491186745252609</v>
      </c>
      <c r="T70" s="15">
        <f t="shared" si="57"/>
        <v>30.646623519728674</v>
      </c>
      <c r="U70" s="15">
        <f t="shared" si="57"/>
        <v>25.942663380391753</v>
      </c>
      <c r="V70" s="15">
        <f t="shared" si="57"/>
        <v>22.057925292807354</v>
      </c>
      <c r="W70" s="15">
        <f t="shared" ref="W70:Y70" si="58">IF(W38=0,0,W38/W28)</f>
        <v>23.042865700928157</v>
      </c>
      <c r="X70" s="15">
        <f t="shared" si="58"/>
        <v>26.069604331569352</v>
      </c>
      <c r="Y70" s="15">
        <f t="shared" si="58"/>
        <v>25.657052127812296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15.261225204177913</v>
      </c>
      <c r="S71" s="41">
        <f t="shared" si="59"/>
        <v>14.037407282807472</v>
      </c>
      <c r="T71" s="41">
        <f t="shared" si="59"/>
        <v>14.28777069472639</v>
      </c>
      <c r="U71" s="41">
        <f t="shared" si="59"/>
        <v>15.803408783848621</v>
      </c>
      <c r="V71" s="41">
        <f t="shared" si="59"/>
        <v>14.565549583941406</v>
      </c>
      <c r="W71" s="41">
        <f t="shared" ref="W71:Y71" si="60">IF(W39=0,0,W39/W29)</f>
        <v>14.733887425092286</v>
      </c>
      <c r="X71" s="41">
        <f t="shared" si="60"/>
        <v>14.903133727895911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16.365143935076354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14.017847842266166</v>
      </c>
      <c r="I72" s="41">
        <f t="shared" si="61"/>
        <v>13.786843762306626</v>
      </c>
      <c r="J72" s="41">
        <f t="shared" si="61"/>
        <v>13.706049515651268</v>
      </c>
      <c r="K72" s="41">
        <f t="shared" si="61"/>
        <v>13.698894254303413</v>
      </c>
      <c r="L72" s="41">
        <f t="shared" si="61"/>
        <v>14.504774438576121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53.867382020046911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805.37132064520256</v>
      </c>
      <c r="C75" s="62">
        <f t="shared" si="65"/>
        <v>806.81091083750653</v>
      </c>
      <c r="D75" s="62">
        <f t="shared" ref="D75:V75" si="66">IF(D13=0,0,D13*1000000/D23)</f>
        <v>798.87882022019596</v>
      </c>
      <c r="E75" s="62">
        <f t="shared" si="66"/>
        <v>806.40361139485367</v>
      </c>
      <c r="F75" s="62">
        <f t="shared" si="66"/>
        <v>814.05186097425894</v>
      </c>
      <c r="G75" s="62">
        <f t="shared" si="66"/>
        <v>847.940466486579</v>
      </c>
      <c r="H75" s="62">
        <f t="shared" si="66"/>
        <v>892.6243669343462</v>
      </c>
      <c r="I75" s="62">
        <f t="shared" si="66"/>
        <v>934.49826620865349</v>
      </c>
      <c r="J75" s="62">
        <f t="shared" si="66"/>
        <v>968.84127467402823</v>
      </c>
      <c r="K75" s="62">
        <f t="shared" si="66"/>
        <v>953.10236854941525</v>
      </c>
      <c r="L75" s="62">
        <f t="shared" si="66"/>
        <v>973.03741963424136</v>
      </c>
      <c r="M75" s="62">
        <f t="shared" si="66"/>
        <v>968.53021023912981</v>
      </c>
      <c r="N75" s="62">
        <f t="shared" si="66"/>
        <v>969.83895500499682</v>
      </c>
      <c r="O75" s="62">
        <f t="shared" si="66"/>
        <v>995.571502157635</v>
      </c>
      <c r="P75" s="62">
        <f t="shared" si="66"/>
        <v>1010.3469443833236</v>
      </c>
      <c r="Q75" s="62">
        <f t="shared" si="66"/>
        <v>1011.6061738422036</v>
      </c>
      <c r="R75" s="62">
        <f t="shared" si="66"/>
        <v>1036.7328371619183</v>
      </c>
      <c r="S75" s="62">
        <f t="shared" si="66"/>
        <v>1075.5814466183642</v>
      </c>
      <c r="T75" s="62">
        <f t="shared" si="66"/>
        <v>1093.0632726977124</v>
      </c>
      <c r="U75" s="62">
        <f t="shared" si="66"/>
        <v>1093.6301755297434</v>
      </c>
      <c r="V75" s="62">
        <f t="shared" si="66"/>
        <v>1021.4398717592619</v>
      </c>
      <c r="W75" s="62">
        <f t="shared" ref="W75:Y75" si="67">IF(W13=0,0,W13*1000000/W23)</f>
        <v>1071.8046717057489</v>
      </c>
      <c r="X75" s="62">
        <f t="shared" si="67"/>
        <v>1174.4523748873894</v>
      </c>
      <c r="Y75" s="62">
        <f t="shared" si="67"/>
        <v>1164.4324402769221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803.01901581454115</v>
      </c>
      <c r="C76" s="14">
        <f t="shared" si="65"/>
        <v>802.96224121783814</v>
      </c>
      <c r="D76" s="14">
        <f t="shared" ref="D76:V76" si="68">IF(D14=0,0,D14*1000000/D24)</f>
        <v>793.02213820323277</v>
      </c>
      <c r="E76" s="14">
        <f t="shared" si="68"/>
        <v>797.73937968898542</v>
      </c>
      <c r="F76" s="14">
        <f t="shared" si="68"/>
        <v>806.13368168097429</v>
      </c>
      <c r="G76" s="14">
        <f t="shared" si="68"/>
        <v>835.26127912224081</v>
      </c>
      <c r="H76" s="14">
        <f t="shared" si="68"/>
        <v>879.23622853609743</v>
      </c>
      <c r="I76" s="14">
        <f t="shared" si="68"/>
        <v>919.68253532307097</v>
      </c>
      <c r="J76" s="14">
        <f t="shared" si="68"/>
        <v>953.88266221908987</v>
      </c>
      <c r="K76" s="14">
        <f t="shared" si="68"/>
        <v>941.79608151544892</v>
      </c>
      <c r="L76" s="14">
        <f t="shared" si="68"/>
        <v>958.75618619551733</v>
      </c>
      <c r="M76" s="14">
        <f t="shared" si="68"/>
        <v>956.63365465686741</v>
      </c>
      <c r="N76" s="14">
        <f t="shared" si="68"/>
        <v>961.09814720372572</v>
      </c>
      <c r="O76" s="14">
        <f t="shared" si="68"/>
        <v>991.03769572048429</v>
      </c>
      <c r="P76" s="14">
        <f t="shared" si="68"/>
        <v>1007.1828180269011</v>
      </c>
      <c r="Q76" s="14">
        <f t="shared" si="68"/>
        <v>1009.5995594681872</v>
      </c>
      <c r="R76" s="14">
        <f t="shared" si="68"/>
        <v>1035.725872570951</v>
      </c>
      <c r="S76" s="14">
        <f t="shared" si="68"/>
        <v>1076.4286734649038</v>
      </c>
      <c r="T76" s="14">
        <f t="shared" si="68"/>
        <v>1095.4157292923783</v>
      </c>
      <c r="U76" s="14">
        <f t="shared" si="68"/>
        <v>1097.3493932963206</v>
      </c>
      <c r="V76" s="14">
        <f t="shared" si="68"/>
        <v>1025.5720249655803</v>
      </c>
      <c r="W76" s="14">
        <f t="shared" ref="W76:Y76" si="69">IF(W14=0,0,W14*1000000/W24)</f>
        <v>1077.8150465188376</v>
      </c>
      <c r="X76" s="14">
        <f t="shared" si="69"/>
        <v>1165.9719552951151</v>
      </c>
      <c r="Y76" s="14">
        <f t="shared" si="69"/>
        <v>1158.1429504093546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446.61645490240119</v>
      </c>
      <c r="C77" s="39">
        <f t="shared" si="65"/>
        <v>446.61645490240119</v>
      </c>
      <c r="D77" s="39">
        <f t="shared" ref="D77:V77" si="70">IF(D15=0,0,D15*1000000/D25)</f>
        <v>446.61645490240119</v>
      </c>
      <c r="E77" s="39">
        <f t="shared" si="70"/>
        <v>446.61645490240119</v>
      </c>
      <c r="F77" s="39">
        <f t="shared" si="70"/>
        <v>446.61645490240119</v>
      </c>
      <c r="G77" s="39">
        <f t="shared" si="70"/>
        <v>447.97402375193457</v>
      </c>
      <c r="H77" s="39">
        <f t="shared" si="70"/>
        <v>450.07063561794712</v>
      </c>
      <c r="I77" s="39">
        <f t="shared" si="70"/>
        <v>453.08040482997808</v>
      </c>
      <c r="J77" s="39">
        <f t="shared" si="70"/>
        <v>461.23798198169544</v>
      </c>
      <c r="K77" s="39">
        <f t="shared" si="70"/>
        <v>464.53507577229254</v>
      </c>
      <c r="L77" s="39">
        <f t="shared" si="70"/>
        <v>462.23766023144799</v>
      </c>
      <c r="M77" s="39">
        <f t="shared" si="70"/>
        <v>459.11511729966776</v>
      </c>
      <c r="N77" s="39">
        <f t="shared" si="70"/>
        <v>465.08347452944861</v>
      </c>
      <c r="O77" s="39">
        <f t="shared" si="70"/>
        <v>465.18421054591988</v>
      </c>
      <c r="P77" s="39">
        <f t="shared" si="70"/>
        <v>468.69301392968174</v>
      </c>
      <c r="Q77" s="39">
        <f t="shared" si="70"/>
        <v>469.44728763867238</v>
      </c>
      <c r="R77" s="39">
        <f t="shared" si="70"/>
        <v>477.51513850588509</v>
      </c>
      <c r="S77" s="39">
        <f t="shared" si="70"/>
        <v>479.38241340653326</v>
      </c>
      <c r="T77" s="39">
        <f t="shared" si="70"/>
        <v>480.19173276535042</v>
      </c>
      <c r="U77" s="39">
        <f t="shared" si="70"/>
        <v>478.21042077922073</v>
      </c>
      <c r="V77" s="39">
        <f t="shared" si="70"/>
        <v>473.81876779287757</v>
      </c>
      <c r="W77" s="39">
        <f t="shared" ref="W77:Y77" si="71">IF(W15=0,0,W15*1000000/W25)</f>
        <v>474.51120824379757</v>
      </c>
      <c r="X77" s="39">
        <f t="shared" si="71"/>
        <v>498.30970435236378</v>
      </c>
      <c r="Y77" s="39">
        <f t="shared" si="71"/>
        <v>490.97584018801405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1093.9995481647895</v>
      </c>
      <c r="C78" s="39">
        <f t="shared" si="65"/>
        <v>1110.5524295787393</v>
      </c>
      <c r="D78" s="39">
        <f t="shared" ref="D78:V78" si="72">IF(D16=0,0,D16*1000000/D26)</f>
        <v>1116.4171422968911</v>
      </c>
      <c r="E78" s="39">
        <f t="shared" si="72"/>
        <v>1110.0613276241677</v>
      </c>
      <c r="F78" s="39">
        <f t="shared" si="72"/>
        <v>1099.089592051198</v>
      </c>
      <c r="G78" s="39">
        <f t="shared" si="72"/>
        <v>1109.6138230161105</v>
      </c>
      <c r="H78" s="39">
        <f t="shared" si="72"/>
        <v>1146.342511896969</v>
      </c>
      <c r="I78" s="39">
        <f t="shared" si="72"/>
        <v>1174.3478034510306</v>
      </c>
      <c r="J78" s="39">
        <f t="shared" si="72"/>
        <v>1173.7680250815645</v>
      </c>
      <c r="K78" s="39">
        <f t="shared" si="72"/>
        <v>1157.0546220929734</v>
      </c>
      <c r="L78" s="39">
        <f t="shared" si="72"/>
        <v>1174.4097728826453</v>
      </c>
      <c r="M78" s="39">
        <f t="shared" si="72"/>
        <v>1187.0027873815884</v>
      </c>
      <c r="N78" s="39">
        <f t="shared" si="72"/>
        <v>1186.4046196201373</v>
      </c>
      <c r="O78" s="39">
        <f t="shared" si="72"/>
        <v>1221.1852890322448</v>
      </c>
      <c r="P78" s="39">
        <f t="shared" si="72"/>
        <v>1223.1846475444124</v>
      </c>
      <c r="Q78" s="39">
        <f t="shared" si="72"/>
        <v>1208.1243052950329</v>
      </c>
      <c r="R78" s="39">
        <f t="shared" si="72"/>
        <v>1232.4158712976898</v>
      </c>
      <c r="S78" s="39">
        <f t="shared" si="72"/>
        <v>1278.6364621764737</v>
      </c>
      <c r="T78" s="39">
        <f t="shared" si="72"/>
        <v>1276.3238331040307</v>
      </c>
      <c r="U78" s="39">
        <f t="shared" si="72"/>
        <v>1254.7543403283091</v>
      </c>
      <c r="V78" s="39">
        <f t="shared" si="72"/>
        <v>1202.1234421743006</v>
      </c>
      <c r="W78" s="39">
        <f t="shared" ref="W78:Y78" si="73">IF(W16=0,0,W16*1000000/W26)</f>
        <v>1357.7105788272127</v>
      </c>
      <c r="X78" s="39">
        <f t="shared" si="73"/>
        <v>1347.3558975579433</v>
      </c>
      <c r="Y78" s="39">
        <f t="shared" si="73"/>
        <v>1338.6683493385226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3677.4739136059188</v>
      </c>
      <c r="C79" s="39">
        <f t="shared" si="65"/>
        <v>3677.4739136059193</v>
      </c>
      <c r="D79" s="39">
        <f t="shared" ref="D79:V79" si="74">IF(D17=0,0,D17*1000000/D27)</f>
        <v>3677.4739136059188</v>
      </c>
      <c r="E79" s="39">
        <f t="shared" si="74"/>
        <v>3677.4739136059193</v>
      </c>
      <c r="F79" s="39">
        <f t="shared" si="74"/>
        <v>3677.4739136059193</v>
      </c>
      <c r="G79" s="39">
        <f t="shared" si="74"/>
        <v>3842.0732616487453</v>
      </c>
      <c r="H79" s="39">
        <f t="shared" si="74"/>
        <v>4070.7060399183174</v>
      </c>
      <c r="I79" s="39">
        <f t="shared" si="74"/>
        <v>4279.6247337406267</v>
      </c>
      <c r="J79" s="39">
        <f t="shared" si="74"/>
        <v>4276.9260242091614</v>
      </c>
      <c r="K79" s="39">
        <f t="shared" si="74"/>
        <v>4152.8966453507701</v>
      </c>
      <c r="L79" s="39">
        <f t="shared" si="74"/>
        <v>3831.2988079735542</v>
      </c>
      <c r="M79" s="39">
        <f t="shared" si="74"/>
        <v>3637.4174210623028</v>
      </c>
      <c r="N79" s="39">
        <f t="shared" si="74"/>
        <v>3507.2778158751926</v>
      </c>
      <c r="O79" s="39">
        <f t="shared" si="74"/>
        <v>3488.7541335344199</v>
      </c>
      <c r="P79" s="39">
        <f t="shared" si="74"/>
        <v>3604.0711900289461</v>
      </c>
      <c r="Q79" s="39">
        <f t="shared" si="74"/>
        <v>3691.0644825308664</v>
      </c>
      <c r="R79" s="39">
        <f t="shared" si="74"/>
        <v>3977.4078677662578</v>
      </c>
      <c r="S79" s="39">
        <f t="shared" si="74"/>
        <v>3988.7712462747381</v>
      </c>
      <c r="T79" s="39">
        <f t="shared" si="74"/>
        <v>3913.8938440492479</v>
      </c>
      <c r="U79" s="39">
        <f t="shared" si="74"/>
        <v>3815.8658140479088</v>
      </c>
      <c r="V79" s="39">
        <f t="shared" si="74"/>
        <v>3754.20007732457</v>
      </c>
      <c r="W79" s="39">
        <f t="shared" ref="W79:Y79" si="75">IF(W17=0,0,W17*1000000/W27)</f>
        <v>3100.7456457443309</v>
      </c>
      <c r="X79" s="39">
        <f t="shared" si="75"/>
        <v>3750.1386638611252</v>
      </c>
      <c r="Y79" s="39">
        <f t="shared" si="75"/>
        <v>3823.6470588235293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1061.3301074072353</v>
      </c>
      <c r="C80" s="15">
        <f t="shared" si="65"/>
        <v>1260.1975621026068</v>
      </c>
      <c r="D80" s="15">
        <f t="shared" ref="D80:V80" si="76">IF(D18=0,0,D18*1000000/D28)</f>
        <v>1284.3788086834024</v>
      </c>
      <c r="E80" s="15">
        <f t="shared" si="76"/>
        <v>1391.8958939770416</v>
      </c>
      <c r="F80" s="15">
        <f t="shared" si="76"/>
        <v>1227.8296580543495</v>
      </c>
      <c r="G80" s="15">
        <f t="shared" si="76"/>
        <v>1433.9378317312689</v>
      </c>
      <c r="H80" s="15">
        <f t="shared" si="76"/>
        <v>1420.1190300563389</v>
      </c>
      <c r="I80" s="15">
        <f t="shared" si="76"/>
        <v>1430.5325168069</v>
      </c>
      <c r="J80" s="15">
        <f t="shared" si="76"/>
        <v>1464.3705247060636</v>
      </c>
      <c r="K80" s="15">
        <f t="shared" si="76"/>
        <v>1384.8626061721761</v>
      </c>
      <c r="L80" s="15">
        <f t="shared" si="76"/>
        <v>1515.4791667359091</v>
      </c>
      <c r="M80" s="15">
        <f t="shared" si="76"/>
        <v>1574.9657660983819</v>
      </c>
      <c r="N80" s="15">
        <f t="shared" si="76"/>
        <v>1465.5911411376264</v>
      </c>
      <c r="O80" s="15">
        <f t="shared" si="76"/>
        <v>1278.6819294765319</v>
      </c>
      <c r="P80" s="15">
        <f t="shared" si="76"/>
        <v>1221.5805064353353</v>
      </c>
      <c r="Q80" s="15">
        <f t="shared" si="76"/>
        <v>1143.079326580885</v>
      </c>
      <c r="R80" s="15">
        <f t="shared" si="76"/>
        <v>1114.8252644101906</v>
      </c>
      <c r="S80" s="15">
        <f t="shared" si="76"/>
        <v>1013.5690503657181</v>
      </c>
      <c r="T80" s="15">
        <f t="shared" si="76"/>
        <v>918.94495349978877</v>
      </c>
      <c r="U80" s="15">
        <f t="shared" si="76"/>
        <v>862.77705805226083</v>
      </c>
      <c r="V80" s="15">
        <f t="shared" si="76"/>
        <v>928.68102471507939</v>
      </c>
      <c r="W80" s="15">
        <f t="shared" ref="W80:Y80" si="77">IF(W18=0,0,W18*1000000/W28)</f>
        <v>940.57047466421284</v>
      </c>
      <c r="X80" s="15">
        <f t="shared" si="77"/>
        <v>1515.8352541418071</v>
      </c>
      <c r="Y80" s="15">
        <f t="shared" si="77"/>
        <v>1506.1133558106549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361.03400514533394</v>
      </c>
      <c r="C81" s="41">
        <f t="shared" si="65"/>
        <v>361.03400514533394</v>
      </c>
      <c r="D81" s="41">
        <f t="shared" ref="D81:V81" si="78">IF(D19=0,0,D19*1000000/D29)</f>
        <v>361.03400514533394</v>
      </c>
      <c r="E81" s="41">
        <f t="shared" si="78"/>
        <v>361.03400514533394</v>
      </c>
      <c r="F81" s="41">
        <f t="shared" si="78"/>
        <v>361.03400514533394</v>
      </c>
      <c r="G81" s="41">
        <f t="shared" si="78"/>
        <v>362.39157399486737</v>
      </c>
      <c r="H81" s="41">
        <f t="shared" si="78"/>
        <v>368.87709504493193</v>
      </c>
      <c r="I81" s="41">
        <f t="shared" si="78"/>
        <v>376.27577344101491</v>
      </c>
      <c r="J81" s="41">
        <f t="shared" si="78"/>
        <v>388.82225977678411</v>
      </c>
      <c r="K81" s="41">
        <f t="shared" si="78"/>
        <v>396.50826275143316</v>
      </c>
      <c r="L81" s="41">
        <f t="shared" si="78"/>
        <v>398.59975639464068</v>
      </c>
      <c r="M81" s="41">
        <f t="shared" si="78"/>
        <v>389.37412058552457</v>
      </c>
      <c r="N81" s="41">
        <f t="shared" si="78"/>
        <v>389.23938493796959</v>
      </c>
      <c r="O81" s="41">
        <f t="shared" si="78"/>
        <v>385.06049281460918</v>
      </c>
      <c r="P81" s="41">
        <f t="shared" si="78"/>
        <v>384.28966805853912</v>
      </c>
      <c r="Q81" s="41">
        <f t="shared" si="78"/>
        <v>380.7643136276979</v>
      </c>
      <c r="R81" s="41">
        <f t="shared" si="78"/>
        <v>384.55253635507864</v>
      </c>
      <c r="S81" s="41">
        <f t="shared" si="78"/>
        <v>382.14018311589518</v>
      </c>
      <c r="T81" s="41">
        <f t="shared" si="78"/>
        <v>378.66987433488055</v>
      </c>
      <c r="U81" s="41">
        <f t="shared" si="78"/>
        <v>359.41503713809311</v>
      </c>
      <c r="V81" s="41">
        <f t="shared" si="78"/>
        <v>384.82757041447223</v>
      </c>
      <c r="W81" s="41">
        <f t="shared" ref="W81:Y81" si="79">IF(W19=0,0,W19*1000000/W29)</f>
        <v>365.42220847510055</v>
      </c>
      <c r="X81" s="41">
        <f t="shared" si="79"/>
        <v>369.28034359660865</v>
      </c>
      <c r="Y81" s="41">
        <f t="shared" si="79"/>
        <v>388.46237901966907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832.72876225158222</v>
      </c>
      <c r="C82" s="41">
        <f t="shared" si="65"/>
        <v>831.28345062959033</v>
      </c>
      <c r="D82" s="41">
        <f t="shared" ref="D82:V82" si="80">IF(D20=0,0,D20*1000000/D30)</f>
        <v>830.74356982073186</v>
      </c>
      <c r="E82" s="41">
        <f t="shared" si="80"/>
        <v>830.81720117053976</v>
      </c>
      <c r="F82" s="41">
        <f t="shared" si="80"/>
        <v>775.61844544468352</v>
      </c>
      <c r="G82" s="41">
        <f t="shared" si="80"/>
        <v>845.26592124518413</v>
      </c>
      <c r="H82" s="41">
        <f t="shared" si="80"/>
        <v>884.40709975595075</v>
      </c>
      <c r="I82" s="41">
        <f t="shared" si="80"/>
        <v>912.95005857548097</v>
      </c>
      <c r="J82" s="41">
        <f t="shared" si="80"/>
        <v>921.04870515620371</v>
      </c>
      <c r="K82" s="41">
        <f t="shared" si="80"/>
        <v>887.61244813027292</v>
      </c>
      <c r="L82" s="41">
        <f t="shared" si="80"/>
        <v>901.6008037190644</v>
      </c>
      <c r="M82" s="41">
        <f t="shared" si="80"/>
        <v>913.75901354992675</v>
      </c>
      <c r="N82" s="41">
        <f t="shared" si="80"/>
        <v>898.04834329924097</v>
      </c>
      <c r="O82" s="41">
        <f t="shared" si="80"/>
        <v>909.95817888457236</v>
      </c>
      <c r="P82" s="41">
        <f t="shared" si="80"/>
        <v>903.77341897541487</v>
      </c>
      <c r="Q82" s="41">
        <f t="shared" si="80"/>
        <v>868.44318350005528</v>
      </c>
      <c r="R82" s="41">
        <f t="shared" si="80"/>
        <v>874.65603831059968</v>
      </c>
      <c r="S82" s="41">
        <f t="shared" si="80"/>
        <v>889.57919055791183</v>
      </c>
      <c r="T82" s="41">
        <f t="shared" si="80"/>
        <v>840.303197721164</v>
      </c>
      <c r="U82" s="41">
        <f t="shared" si="80"/>
        <v>811.13216311534245</v>
      </c>
      <c r="V82" s="41">
        <f t="shared" si="80"/>
        <v>848.58431046336909</v>
      </c>
      <c r="W82" s="41">
        <f t="shared" ref="W82:Y82" si="81">IF(W20=0,0,W20*1000000/W30)</f>
        <v>862.29276815741514</v>
      </c>
      <c r="X82" s="41">
        <f t="shared" si="81"/>
        <v>875.08815015971823</v>
      </c>
      <c r="Y82" s="41">
        <f t="shared" si="81"/>
        <v>854.56057666009281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4151.4072920634153</v>
      </c>
      <c r="C83" s="40">
        <f t="shared" si="65"/>
        <v>4151.4072920634153</v>
      </c>
      <c r="D83" s="40">
        <f t="shared" ref="D83:V83" si="82">IF(D21=0,0,D21*1000000/D31)</f>
        <v>4151.4072920634153</v>
      </c>
      <c r="E83" s="40">
        <f t="shared" si="82"/>
        <v>4151.4072920634153</v>
      </c>
      <c r="F83" s="40">
        <f t="shared" si="82"/>
        <v>4151.4072920634153</v>
      </c>
      <c r="G83" s="40">
        <f t="shared" si="82"/>
        <v>4316.0066401062422</v>
      </c>
      <c r="H83" s="40">
        <f t="shared" si="82"/>
        <v>4688.7868878996369</v>
      </c>
      <c r="I83" s="40">
        <f t="shared" si="82"/>
        <v>5041.8530512457719</v>
      </c>
      <c r="J83" s="40">
        <f t="shared" si="82"/>
        <v>5183.3018112381342</v>
      </c>
      <c r="K83" s="40">
        <f t="shared" si="82"/>
        <v>5203.4199019035696</v>
      </c>
      <c r="L83" s="40">
        <f t="shared" si="82"/>
        <v>5025.9695340501794</v>
      </c>
      <c r="M83" s="40">
        <f t="shared" si="82"/>
        <v>4843.8868119428334</v>
      </c>
      <c r="N83" s="40">
        <f t="shared" si="82"/>
        <v>4725.5458715596333</v>
      </c>
      <c r="O83" s="40">
        <f t="shared" si="82"/>
        <v>4129.1489096336145</v>
      </c>
      <c r="P83" s="40">
        <f t="shared" si="82"/>
        <v>3666.592686542896</v>
      </c>
      <c r="Q83" s="40">
        <f t="shared" si="82"/>
        <v>3175.7126994595733</v>
      </c>
      <c r="R83" s="40">
        <f t="shared" si="82"/>
        <v>2884.1828051097214</v>
      </c>
      <c r="S83" s="40">
        <f t="shared" si="82"/>
        <v>2317.6729040329569</v>
      </c>
      <c r="T83" s="40">
        <f t="shared" si="82"/>
        <v>1664.9222222222222</v>
      </c>
      <c r="U83" s="40">
        <f t="shared" si="82"/>
        <v>1762.620588235294</v>
      </c>
      <c r="V83" s="40">
        <f t="shared" si="82"/>
        <v>1757.5631868131868</v>
      </c>
      <c r="W83" s="40">
        <f t="shared" ref="W83:Y83" si="83">IF(W21=0,0,W21*1000000/W31)</f>
        <v>1756.4370546318289</v>
      </c>
      <c r="X83" s="40">
        <f t="shared" si="83"/>
        <v>4421.966542750929</v>
      </c>
      <c r="Y83" s="40">
        <f t="shared" si="83"/>
        <v>4852.3520599250933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77502.455064354537</v>
      </c>
      <c r="C86" s="11">
        <f t="shared" si="84"/>
        <v>78470.975101709832</v>
      </c>
      <c r="D86" s="11">
        <f t="shared" ref="D86:V86" si="85">IF(D4=0,0,D4*1000000/D24)</f>
        <v>77524.173720197636</v>
      </c>
      <c r="E86" s="11">
        <f t="shared" si="85"/>
        <v>75980.567528345957</v>
      </c>
      <c r="F86" s="11">
        <f t="shared" si="85"/>
        <v>77963.027062611043</v>
      </c>
      <c r="G86" s="11">
        <f t="shared" si="85"/>
        <v>89332.896866069219</v>
      </c>
      <c r="H86" s="11">
        <f t="shared" si="85"/>
        <v>100685.22428603348</v>
      </c>
      <c r="I86" s="11">
        <f t="shared" si="85"/>
        <v>109132.71347520368</v>
      </c>
      <c r="J86" s="11">
        <f t="shared" si="85"/>
        <v>110356.00996853634</v>
      </c>
      <c r="K86" s="11">
        <f t="shared" si="85"/>
        <v>109986.46362346676</v>
      </c>
      <c r="L86" s="11">
        <f t="shared" si="85"/>
        <v>114966.08430809916</v>
      </c>
      <c r="M86" s="11">
        <f t="shared" si="85"/>
        <v>114138.33232691468</v>
      </c>
      <c r="N86" s="11">
        <f t="shared" si="85"/>
        <v>120662.79925475759</v>
      </c>
      <c r="O86" s="11">
        <f t="shared" si="85"/>
        <v>126774.97164342603</v>
      </c>
      <c r="P86" s="11">
        <f t="shared" si="85"/>
        <v>133002.71818814604</v>
      </c>
      <c r="Q86" s="11">
        <f t="shared" si="85"/>
        <v>136391.6660871013</v>
      </c>
      <c r="R86" s="11">
        <f t="shared" si="85"/>
        <v>141099.72219206791</v>
      </c>
      <c r="S86" s="11">
        <f t="shared" si="85"/>
        <v>149822.63917541987</v>
      </c>
      <c r="T86" s="11">
        <f t="shared" si="85"/>
        <v>151972.96054753716</v>
      </c>
      <c r="U86" s="11">
        <f t="shared" si="85"/>
        <v>152439.51721051638</v>
      </c>
      <c r="V86" s="11">
        <f t="shared" si="85"/>
        <v>110153.77889494755</v>
      </c>
      <c r="W86" s="11">
        <f t="shared" ref="W86:Y86" si="86">IF(W4=0,0,W4*1000000/W24)</f>
        <v>116397.79461449319</v>
      </c>
      <c r="X86" s="11">
        <f t="shared" si="86"/>
        <v>167434.16685739745</v>
      </c>
      <c r="Y86" s="11">
        <f t="shared" si="86"/>
        <v>168491.21913730894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28528.730819415538</v>
      </c>
      <c r="C87" s="36">
        <f t="shared" si="84"/>
        <v>29166.220642613498</v>
      </c>
      <c r="D87" s="36">
        <f t="shared" ref="D87:V87" si="87">IF(D5=0,0,D5*1000000/D25)</f>
        <v>29180.089832604797</v>
      </c>
      <c r="E87" s="36">
        <f t="shared" si="87"/>
        <v>28546.839588886796</v>
      </c>
      <c r="F87" s="36">
        <f t="shared" si="87"/>
        <v>28009.030432008254</v>
      </c>
      <c r="G87" s="36">
        <f t="shared" si="87"/>
        <v>30567.670404562625</v>
      </c>
      <c r="H87" s="36">
        <f t="shared" si="87"/>
        <v>31686.930360255275</v>
      </c>
      <c r="I87" s="36">
        <f t="shared" si="87"/>
        <v>32904.816138496768</v>
      </c>
      <c r="J87" s="36">
        <f t="shared" si="87"/>
        <v>32965.626153387821</v>
      </c>
      <c r="K87" s="36">
        <f t="shared" si="87"/>
        <v>31476.210155234643</v>
      </c>
      <c r="L87" s="36">
        <f t="shared" si="87"/>
        <v>32807.456955994508</v>
      </c>
      <c r="M87" s="36">
        <f t="shared" si="87"/>
        <v>33098.975848517046</v>
      </c>
      <c r="N87" s="36">
        <f t="shared" si="87"/>
        <v>36130.482490849667</v>
      </c>
      <c r="O87" s="36">
        <f t="shared" si="87"/>
        <v>36101.284617096506</v>
      </c>
      <c r="P87" s="36">
        <f t="shared" si="87"/>
        <v>37092.04093642893</v>
      </c>
      <c r="Q87" s="36">
        <f t="shared" si="87"/>
        <v>37808.998396588489</v>
      </c>
      <c r="R87" s="36">
        <f t="shared" si="87"/>
        <v>39242.876206182613</v>
      </c>
      <c r="S87" s="36">
        <f t="shared" si="87"/>
        <v>39850.336593437809</v>
      </c>
      <c r="T87" s="36">
        <f t="shared" si="87"/>
        <v>39484.808709015575</v>
      </c>
      <c r="U87" s="36">
        <f t="shared" si="87"/>
        <v>38908.381826582765</v>
      </c>
      <c r="V87" s="36">
        <f t="shared" si="87"/>
        <v>31161.949311453376</v>
      </c>
      <c r="W87" s="36">
        <f t="shared" ref="W87:Y87" si="88">IF(W5=0,0,W5*1000000/W25)</f>
        <v>32347.587764609656</v>
      </c>
      <c r="X87" s="36">
        <f t="shared" si="88"/>
        <v>43620.112895968879</v>
      </c>
      <c r="Y87" s="36">
        <f t="shared" si="88"/>
        <v>40622.078113049814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105011.5193751253</v>
      </c>
      <c r="C88" s="36">
        <f t="shared" si="84"/>
        <v>108218.14662303519</v>
      </c>
      <c r="D88" s="36">
        <f t="shared" ref="D88:V88" si="89">IF(D6=0,0,D6*1000000/D26)</f>
        <v>112404.36159220384</v>
      </c>
      <c r="E88" s="36">
        <f t="shared" si="89"/>
        <v>105937.95467090131</v>
      </c>
      <c r="F88" s="36">
        <f t="shared" si="89"/>
        <v>103205.24103852638</v>
      </c>
      <c r="G88" s="36">
        <f t="shared" si="89"/>
        <v>111957.37070047834</v>
      </c>
      <c r="H88" s="36">
        <f t="shared" si="89"/>
        <v>127133.9697172969</v>
      </c>
      <c r="I88" s="36">
        <f t="shared" si="89"/>
        <v>129280.20170102023</v>
      </c>
      <c r="J88" s="36">
        <f t="shared" si="89"/>
        <v>121197.97301021898</v>
      </c>
      <c r="K88" s="36">
        <f t="shared" si="89"/>
        <v>124515.46151567495</v>
      </c>
      <c r="L88" s="36">
        <f t="shared" si="89"/>
        <v>128478.82375473963</v>
      </c>
      <c r="M88" s="36">
        <f t="shared" si="89"/>
        <v>132813.64976498179</v>
      </c>
      <c r="N88" s="36">
        <f t="shared" si="89"/>
        <v>141047.75883652625</v>
      </c>
      <c r="O88" s="36">
        <f t="shared" si="89"/>
        <v>151803.6821404334</v>
      </c>
      <c r="P88" s="36">
        <f t="shared" si="89"/>
        <v>157465.18318637789</v>
      </c>
      <c r="Q88" s="36">
        <f t="shared" si="89"/>
        <v>157985.71663771739</v>
      </c>
      <c r="R88" s="36">
        <f t="shared" si="89"/>
        <v>164204.69195968227</v>
      </c>
      <c r="S88" s="36">
        <f t="shared" si="89"/>
        <v>174526.29504140839</v>
      </c>
      <c r="T88" s="36">
        <f t="shared" si="89"/>
        <v>170366.3157248364</v>
      </c>
      <c r="U88" s="36">
        <f t="shared" si="89"/>
        <v>168289.84777798524</v>
      </c>
      <c r="V88" s="36">
        <f t="shared" si="89"/>
        <v>125104.4639219439</v>
      </c>
      <c r="W88" s="36">
        <f t="shared" ref="W88:Y88" si="90">IF(W6=0,0,W6*1000000/W26)</f>
        <v>154159.01732593635</v>
      </c>
      <c r="X88" s="36">
        <f t="shared" si="90"/>
        <v>192310.85951937616</v>
      </c>
      <c r="Y88" s="36">
        <f t="shared" si="90"/>
        <v>191825.70728600919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687376.6323689908</v>
      </c>
      <c r="C89" s="36">
        <f t="shared" si="84"/>
        <v>720835.16781344323</v>
      </c>
      <c r="D89" s="36">
        <f t="shared" ref="D89:V89" si="91">IF(D7=0,0,D7*1000000/D27)</f>
        <v>680200.03033305972</v>
      </c>
      <c r="E89" s="36">
        <f t="shared" si="91"/>
        <v>692281.87338464335</v>
      </c>
      <c r="F89" s="36">
        <f t="shared" si="91"/>
        <v>723988.09231813403</v>
      </c>
      <c r="G89" s="36">
        <f t="shared" si="91"/>
        <v>787080.87907422951</v>
      </c>
      <c r="H89" s="36">
        <f t="shared" si="91"/>
        <v>841650.70292116783</v>
      </c>
      <c r="I89" s="36">
        <f t="shared" si="91"/>
        <v>939540.24250512745</v>
      </c>
      <c r="J89" s="36">
        <f t="shared" si="91"/>
        <v>907942.22113122814</v>
      </c>
      <c r="K89" s="36">
        <f t="shared" si="91"/>
        <v>853290.04706520133</v>
      </c>
      <c r="L89" s="36">
        <f t="shared" si="91"/>
        <v>799155.34396070358</v>
      </c>
      <c r="M89" s="36">
        <f t="shared" si="91"/>
        <v>724542.30139756761</v>
      </c>
      <c r="N89" s="36">
        <f t="shared" si="91"/>
        <v>712536.5500257269</v>
      </c>
      <c r="O89" s="36">
        <f t="shared" si="91"/>
        <v>675476.20155990659</v>
      </c>
      <c r="P89" s="36">
        <f t="shared" si="91"/>
        <v>702012.46054005763</v>
      </c>
      <c r="Q89" s="36">
        <f t="shared" si="91"/>
        <v>741549.15761347348</v>
      </c>
      <c r="R89" s="36">
        <f t="shared" si="91"/>
        <v>789179.78022200521</v>
      </c>
      <c r="S89" s="36">
        <f t="shared" si="91"/>
        <v>791926.76757586806</v>
      </c>
      <c r="T89" s="36">
        <f t="shared" si="91"/>
        <v>780493.38915228273</v>
      </c>
      <c r="U89" s="36">
        <f t="shared" si="91"/>
        <v>748171.87770598184</v>
      </c>
      <c r="V89" s="36">
        <f t="shared" si="91"/>
        <v>571677.28473517846</v>
      </c>
      <c r="W89" s="36">
        <f t="shared" ref="W89:Y89" si="92">IF(W7=0,0,W7*1000000/W27)</f>
        <v>405840.08769722405</v>
      </c>
      <c r="X89" s="36">
        <f t="shared" si="92"/>
        <v>716157.01549521124</v>
      </c>
      <c r="Y89" s="36">
        <f t="shared" si="92"/>
        <v>780054.10035556776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53254.784786212644</v>
      </c>
      <c r="C90" s="13">
        <f t="shared" si="84"/>
        <v>75482.964987205662</v>
      </c>
      <c r="D90" s="13">
        <f t="shared" ref="D90:V90" si="93">IF(D8=0,0,D8*1000000/D28)</f>
        <v>73537.111708920464</v>
      </c>
      <c r="E90" s="13">
        <f t="shared" si="93"/>
        <v>77365.161575393722</v>
      </c>
      <c r="F90" s="13">
        <f t="shared" si="93"/>
        <v>63385.910131512894</v>
      </c>
      <c r="G90" s="13">
        <f t="shared" si="93"/>
        <v>73929.855762772029</v>
      </c>
      <c r="H90" s="13">
        <f t="shared" si="93"/>
        <v>67488.674732399275</v>
      </c>
      <c r="I90" s="13">
        <f t="shared" si="93"/>
        <v>65570.991822604177</v>
      </c>
      <c r="J90" s="13">
        <f t="shared" si="93"/>
        <v>66128.96389975636</v>
      </c>
      <c r="K90" s="13">
        <f t="shared" si="93"/>
        <v>68083.350125377794</v>
      </c>
      <c r="L90" s="13">
        <f t="shared" si="93"/>
        <v>78697.722966595087</v>
      </c>
      <c r="M90" s="13">
        <f t="shared" si="93"/>
        <v>87668.627955163538</v>
      </c>
      <c r="N90" s="13">
        <f t="shared" si="93"/>
        <v>87575.132000179976</v>
      </c>
      <c r="O90" s="13">
        <f t="shared" si="93"/>
        <v>69100.02196212062</v>
      </c>
      <c r="P90" s="13">
        <f t="shared" si="93"/>
        <v>74330.836665068535</v>
      </c>
      <c r="Q90" s="13">
        <f t="shared" si="93"/>
        <v>67737.391669335731</v>
      </c>
      <c r="R90" s="13">
        <f t="shared" si="93"/>
        <v>71027.981140226897</v>
      </c>
      <c r="S90" s="13">
        <f t="shared" si="93"/>
        <v>58802.175481583996</v>
      </c>
      <c r="T90" s="13">
        <f t="shared" si="93"/>
        <v>51458.479082524122</v>
      </c>
      <c r="U90" s="13">
        <f t="shared" si="93"/>
        <v>39973.356167007798</v>
      </c>
      <c r="V90" s="13">
        <f t="shared" si="93"/>
        <v>32779.255188545954</v>
      </c>
      <c r="W90" s="13">
        <f t="shared" ref="W90:Y90" si="94">IF(W8=0,0,W8*1000000/W28)</f>
        <v>32446.763884345753</v>
      </c>
      <c r="X90" s="13">
        <f t="shared" si="94"/>
        <v>79165.295590278489</v>
      </c>
      <c r="Y90" s="13">
        <f t="shared" si="94"/>
        <v>83584.364941888693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4056.0476303254227</v>
      </c>
      <c r="C91" s="34">
        <f t="shared" si="84"/>
        <v>4025.1151708014932</v>
      </c>
      <c r="D91" s="34">
        <f t="shared" ref="D91:V91" si="95">IF(D9=0,0,D9*1000000/D29)</f>
        <v>4139.1387114523604</v>
      </c>
      <c r="E91" s="34">
        <f t="shared" si="95"/>
        <v>4402.7729374211358</v>
      </c>
      <c r="F91" s="34">
        <f t="shared" si="95"/>
        <v>4145.8854011430976</v>
      </c>
      <c r="G91" s="34">
        <f t="shared" si="95"/>
        <v>4072.5592620026378</v>
      </c>
      <c r="H91" s="34">
        <f t="shared" si="95"/>
        <v>3987.4667630331119</v>
      </c>
      <c r="I91" s="34">
        <f t="shared" si="95"/>
        <v>4052.3422775953309</v>
      </c>
      <c r="J91" s="34">
        <f t="shared" si="95"/>
        <v>4028.7273432742545</v>
      </c>
      <c r="K91" s="34">
        <f t="shared" si="95"/>
        <v>4143.8500701968023</v>
      </c>
      <c r="L91" s="34">
        <f t="shared" si="95"/>
        <v>4455.4786464010813</v>
      </c>
      <c r="M91" s="34">
        <f t="shared" si="95"/>
        <v>4679.6417616487934</v>
      </c>
      <c r="N91" s="34">
        <f t="shared" si="95"/>
        <v>4907.9977589792752</v>
      </c>
      <c r="O91" s="34">
        <f t="shared" si="95"/>
        <v>4968.9483695634954</v>
      </c>
      <c r="P91" s="34">
        <f t="shared" si="95"/>
        <v>5533.7494928527567</v>
      </c>
      <c r="Q91" s="34">
        <f t="shared" si="95"/>
        <v>5580.9020091698967</v>
      </c>
      <c r="R91" s="34">
        <f t="shared" si="95"/>
        <v>6524.4158267469757</v>
      </c>
      <c r="S91" s="34">
        <f t="shared" si="95"/>
        <v>5937.1745891898263</v>
      </c>
      <c r="T91" s="34">
        <f t="shared" si="95"/>
        <v>5981.7962820259327</v>
      </c>
      <c r="U91" s="34">
        <f t="shared" si="95"/>
        <v>6267.0445023303464</v>
      </c>
      <c r="V91" s="34">
        <f t="shared" si="95"/>
        <v>6460.1548385000187</v>
      </c>
      <c r="W91" s="34">
        <f t="shared" ref="W91:Y91" si="96">IF(W9=0,0,W9*1000000/W29)</f>
        <v>6271.188362604591</v>
      </c>
      <c r="X91" s="34">
        <f t="shared" si="96"/>
        <v>6241.2226574631159</v>
      </c>
      <c r="Y91" s="34">
        <f t="shared" si="96"/>
        <v>6339.7532724826924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20527.346063232042</v>
      </c>
      <c r="C92" s="34">
        <f t="shared" si="84"/>
        <v>21192.813553732365</v>
      </c>
      <c r="D92" s="34">
        <f t="shared" ref="D92:V92" si="97">IF(D10=0,0,D10*1000000/D30)</f>
        <v>20003.81971063096</v>
      </c>
      <c r="E92" s="34">
        <f t="shared" si="97"/>
        <v>20422.426047447349</v>
      </c>
      <c r="F92" s="34">
        <f t="shared" si="97"/>
        <v>18026.215592594388</v>
      </c>
      <c r="G92" s="34">
        <f t="shared" si="97"/>
        <v>18836.115480017736</v>
      </c>
      <c r="H92" s="34">
        <f t="shared" si="97"/>
        <v>17039.651519107654</v>
      </c>
      <c r="I92" s="34">
        <f t="shared" si="97"/>
        <v>17095.485824153671</v>
      </c>
      <c r="J92" s="34">
        <f t="shared" si="97"/>
        <v>16812.358274620681</v>
      </c>
      <c r="K92" s="34">
        <f t="shared" si="97"/>
        <v>16847.997284334004</v>
      </c>
      <c r="L92" s="34">
        <f t="shared" si="97"/>
        <v>17503.90691871514</v>
      </c>
      <c r="M92" s="34">
        <f t="shared" si="97"/>
        <v>18647.085103870551</v>
      </c>
      <c r="N92" s="34">
        <f t="shared" si="97"/>
        <v>20165.61649185852</v>
      </c>
      <c r="O92" s="34">
        <f t="shared" si="97"/>
        <v>21076.534490927294</v>
      </c>
      <c r="P92" s="34">
        <f t="shared" si="97"/>
        <v>24444.050982661363</v>
      </c>
      <c r="Q92" s="34">
        <f t="shared" si="97"/>
        <v>23203.363326746668</v>
      </c>
      <c r="R92" s="34">
        <f t="shared" si="97"/>
        <v>25427.418047100735</v>
      </c>
      <c r="S92" s="34">
        <f t="shared" si="97"/>
        <v>24271.426570570977</v>
      </c>
      <c r="T92" s="34">
        <f t="shared" si="97"/>
        <v>22965.600360080985</v>
      </c>
      <c r="U92" s="34">
        <f t="shared" si="97"/>
        <v>23784.514123231816</v>
      </c>
      <c r="V92" s="34">
        <f t="shared" si="97"/>
        <v>21123.090492624859</v>
      </c>
      <c r="W92" s="34">
        <f t="shared" ref="W92:Y92" si="98">IF(W10=0,0,W10*1000000/W30)</f>
        <v>20119.892699333348</v>
      </c>
      <c r="X92" s="34">
        <f t="shared" si="98"/>
        <v>20185.420476331816</v>
      </c>
      <c r="Y92" s="34">
        <f t="shared" si="98"/>
        <v>19722.98277540912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350580.96009321744</v>
      </c>
      <c r="C93" s="35">
        <f t="shared" si="84"/>
        <v>367381.00043269736</v>
      </c>
      <c r="D93" s="35">
        <f t="shared" ref="D93:V93" si="99">IF(D11=0,0,D11*1000000/D31)</f>
        <v>346873.34115205111</v>
      </c>
      <c r="E93" s="35">
        <f t="shared" si="99"/>
        <v>315178.50395025034</v>
      </c>
      <c r="F93" s="35">
        <f t="shared" si="99"/>
        <v>305905.22155937401</v>
      </c>
      <c r="G93" s="35">
        <f t="shared" si="99"/>
        <v>299086.85143456288</v>
      </c>
      <c r="H93" s="35">
        <f t="shared" si="99"/>
        <v>314102.4539181593</v>
      </c>
      <c r="I93" s="35">
        <f t="shared" si="99"/>
        <v>332119.97587134509</v>
      </c>
      <c r="J93" s="35">
        <f t="shared" si="99"/>
        <v>334558.26081058849</v>
      </c>
      <c r="K93" s="35">
        <f t="shared" si="99"/>
        <v>378779.75604501495</v>
      </c>
      <c r="L93" s="35">
        <f t="shared" si="99"/>
        <v>371930.49649225338</v>
      </c>
      <c r="M93" s="35">
        <f t="shared" si="99"/>
        <v>369370.07533833676</v>
      </c>
      <c r="N93" s="35">
        <f t="shared" si="99"/>
        <v>394984.65693343652</v>
      </c>
      <c r="O93" s="35">
        <f t="shared" si="99"/>
        <v>332433.01372398168</v>
      </c>
      <c r="P93" s="35">
        <f t="shared" si="99"/>
        <v>337188.00946867763</v>
      </c>
      <c r="Q93" s="35">
        <f t="shared" si="99"/>
        <v>290189.93488301046</v>
      </c>
      <c r="R93" s="35">
        <f t="shared" si="99"/>
        <v>286822.8327345993</v>
      </c>
      <c r="S93" s="35">
        <f t="shared" si="99"/>
        <v>225644.91393943576</v>
      </c>
      <c r="T93" s="35">
        <f t="shared" si="99"/>
        <v>163510.50845768731</v>
      </c>
      <c r="U93" s="35">
        <f t="shared" si="99"/>
        <v>176941.97115866654</v>
      </c>
      <c r="V93" s="35">
        <f t="shared" si="99"/>
        <v>112922.03212380467</v>
      </c>
      <c r="W93" s="35">
        <f t="shared" ref="W93:Y93" si="100">IF(W11=0,0,W11*1000000/W31)</f>
        <v>109252.79335023579</v>
      </c>
      <c r="X93" s="35">
        <f t="shared" si="100"/>
        <v>321620.16766845604</v>
      </c>
      <c r="Y93" s="35">
        <f t="shared" si="100"/>
        <v>382767.60831348802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1603.5841494553374</v>
      </c>
      <c r="C95" s="62">
        <f t="shared" si="101"/>
        <v>1593.339899182246</v>
      </c>
      <c r="D95" s="62">
        <f t="shared" ref="D95:V95" si="102">IF(D23=0,0,D23/D43)</f>
        <v>1580.110736664898</v>
      </c>
      <c r="E95" s="62">
        <f t="shared" si="102"/>
        <v>1585.5383939588683</v>
      </c>
      <c r="F95" s="62">
        <f t="shared" si="102"/>
        <v>1576.816625205008</v>
      </c>
      <c r="G95" s="62">
        <f t="shared" si="102"/>
        <v>1540.7514713797741</v>
      </c>
      <c r="H95" s="62">
        <f t="shared" si="102"/>
        <v>1499.1989488016359</v>
      </c>
      <c r="I95" s="62">
        <f t="shared" si="102"/>
        <v>1461.0224942858147</v>
      </c>
      <c r="J95" s="62">
        <f t="shared" si="102"/>
        <v>1427.3641194939466</v>
      </c>
      <c r="K95" s="62">
        <f t="shared" si="102"/>
        <v>1394.6402826339458</v>
      </c>
      <c r="L95" s="62">
        <f t="shared" si="102"/>
        <v>1412.1711595187658</v>
      </c>
      <c r="M95" s="62">
        <f t="shared" si="102"/>
        <v>1414.5360847572326</v>
      </c>
      <c r="N95" s="62">
        <f t="shared" si="102"/>
        <v>1407.8640081675296</v>
      </c>
      <c r="O95" s="62">
        <f t="shared" si="102"/>
        <v>1384.6127540062596</v>
      </c>
      <c r="P95" s="62">
        <f t="shared" si="102"/>
        <v>1371.8253761302099</v>
      </c>
      <c r="Q95" s="62">
        <f t="shared" si="102"/>
        <v>1371.2125038675133</v>
      </c>
      <c r="R95" s="62">
        <f t="shared" si="102"/>
        <v>1354.803068956513</v>
      </c>
      <c r="S95" s="62">
        <f t="shared" si="102"/>
        <v>1331.3465498859846</v>
      </c>
      <c r="T95" s="62">
        <f t="shared" si="102"/>
        <v>1316.1489434325811</v>
      </c>
      <c r="U95" s="62">
        <f t="shared" si="102"/>
        <v>1309.5625411590256</v>
      </c>
      <c r="V95" s="62">
        <f t="shared" si="102"/>
        <v>480.81914916465172</v>
      </c>
      <c r="W95" s="62">
        <f t="shared" ref="W95:Y95" si="103">IF(W23=0,0,W23/W43)</f>
        <v>546.51881528316687</v>
      </c>
      <c r="X95" s="62">
        <f t="shared" si="103"/>
        <v>931.11654494817935</v>
      </c>
      <c r="Y95" s="62">
        <f t="shared" si="103"/>
        <v>1134.9421647817544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1612.6070148828719</v>
      </c>
      <c r="C96" s="11">
        <f t="shared" si="104"/>
        <v>1604.8857872847555</v>
      </c>
      <c r="D96" s="11">
        <f t="shared" ref="D96:V96" si="105">IF(D24=0,0,D24/D44)</f>
        <v>1594.5143143666191</v>
      </c>
      <c r="E96" s="11">
        <f t="shared" si="105"/>
        <v>1605.3531988219763</v>
      </c>
      <c r="F96" s="11">
        <f t="shared" si="105"/>
        <v>1599.0790942357858</v>
      </c>
      <c r="G96" s="11">
        <f t="shared" si="105"/>
        <v>1570.0693800254055</v>
      </c>
      <c r="H96" s="11">
        <f t="shared" si="105"/>
        <v>1529.6272308083778</v>
      </c>
      <c r="I96" s="11">
        <f t="shared" si="105"/>
        <v>1493.6954444693545</v>
      </c>
      <c r="J96" s="11">
        <f t="shared" si="105"/>
        <v>1458.582292309891</v>
      </c>
      <c r="K96" s="11">
        <f t="shared" si="105"/>
        <v>1434.0838931748647</v>
      </c>
      <c r="L96" s="11">
        <f t="shared" si="105"/>
        <v>1450.0615249178254</v>
      </c>
      <c r="M96" s="11">
        <f t="shared" si="105"/>
        <v>1453.3026831157522</v>
      </c>
      <c r="N96" s="11">
        <f t="shared" si="105"/>
        <v>1448.9280967476461</v>
      </c>
      <c r="O96" s="11">
        <f t="shared" si="105"/>
        <v>1423.1573276886072</v>
      </c>
      <c r="P96" s="11">
        <f t="shared" si="105"/>
        <v>1407.9290026987499</v>
      </c>
      <c r="Q96" s="11">
        <f t="shared" si="105"/>
        <v>1404.7723965477433</v>
      </c>
      <c r="R96" s="11">
        <f t="shared" si="105"/>
        <v>1387.1905146281592</v>
      </c>
      <c r="S96" s="11">
        <f t="shared" si="105"/>
        <v>1357.5682945475032</v>
      </c>
      <c r="T96" s="11">
        <f t="shared" si="105"/>
        <v>1339.9935016128554</v>
      </c>
      <c r="U96" s="11">
        <f t="shared" si="105"/>
        <v>1334.7047245875028</v>
      </c>
      <c r="V96" s="11">
        <f t="shared" si="105"/>
        <v>477.17934657365851</v>
      </c>
      <c r="W96" s="11">
        <f t="shared" ref="W96:Y96" si="106">IF(W24=0,0,W24/W44)</f>
        <v>542.78384823973545</v>
      </c>
      <c r="X96" s="11">
        <f t="shared" si="106"/>
        <v>944.81201299570216</v>
      </c>
      <c r="Y96" s="11">
        <f t="shared" si="106"/>
        <v>1160.1846833461968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2181</v>
      </c>
      <c r="C97" s="36">
        <f t="shared" si="104"/>
        <v>2181</v>
      </c>
      <c r="D97" s="36">
        <f t="shared" ref="D97:V97" si="107">IF(D25=0,0,D25/D45)</f>
        <v>2181</v>
      </c>
      <c r="E97" s="36">
        <f t="shared" si="107"/>
        <v>2181</v>
      </c>
      <c r="F97" s="36">
        <f t="shared" si="107"/>
        <v>2181</v>
      </c>
      <c r="G97" s="36">
        <f t="shared" si="107"/>
        <v>2179</v>
      </c>
      <c r="H97" s="36">
        <f t="shared" si="107"/>
        <v>2176</v>
      </c>
      <c r="I97" s="36">
        <f t="shared" si="107"/>
        <v>2171</v>
      </c>
      <c r="J97" s="36">
        <f t="shared" si="107"/>
        <v>2158</v>
      </c>
      <c r="K97" s="36">
        <f t="shared" si="107"/>
        <v>2153</v>
      </c>
      <c r="L97" s="36">
        <f t="shared" si="107"/>
        <v>2156</v>
      </c>
      <c r="M97" s="36">
        <f t="shared" si="107"/>
        <v>2161</v>
      </c>
      <c r="N97" s="36">
        <f t="shared" si="107"/>
        <v>2152</v>
      </c>
      <c r="O97" s="36">
        <f t="shared" si="107"/>
        <v>2152</v>
      </c>
      <c r="P97" s="36">
        <f t="shared" si="107"/>
        <v>2146</v>
      </c>
      <c r="Q97" s="36">
        <f t="shared" si="107"/>
        <v>2145</v>
      </c>
      <c r="R97" s="36">
        <f t="shared" si="107"/>
        <v>2133</v>
      </c>
      <c r="S97" s="36">
        <f t="shared" si="107"/>
        <v>2130</v>
      </c>
      <c r="T97" s="36">
        <f t="shared" si="107"/>
        <v>2128</v>
      </c>
      <c r="U97" s="36">
        <f t="shared" si="107"/>
        <v>2131</v>
      </c>
      <c r="V97" s="36">
        <f t="shared" si="107"/>
        <v>873.06259464764685</v>
      </c>
      <c r="W97" s="36">
        <f t="shared" ref="W97:Y97" si="108">IF(W25=0,0,W25/W45)</f>
        <v>997.30640419490658</v>
      </c>
      <c r="X97" s="36">
        <f t="shared" si="108"/>
        <v>1557.9587759100432</v>
      </c>
      <c r="Y97" s="36">
        <f t="shared" si="108"/>
        <v>1949.4093819017924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1351.9385792001897</v>
      </c>
      <c r="C98" s="36">
        <f t="shared" si="104"/>
        <v>1327.515274022931</v>
      </c>
      <c r="D98" s="36">
        <f t="shared" ref="D98:V98" si="109">IF(D26=0,0,D26/D46)</f>
        <v>1293.1002624220382</v>
      </c>
      <c r="E98" s="36">
        <f t="shared" si="109"/>
        <v>1315.3513511161182</v>
      </c>
      <c r="F98" s="36">
        <f t="shared" si="109"/>
        <v>1333.0965641117796</v>
      </c>
      <c r="G98" s="36">
        <f t="shared" si="109"/>
        <v>1337.3183250254738</v>
      </c>
      <c r="H98" s="36">
        <f t="shared" si="109"/>
        <v>1318.3470113159888</v>
      </c>
      <c r="I98" s="36">
        <f t="shared" si="109"/>
        <v>1307.1366810325092</v>
      </c>
      <c r="J98" s="36">
        <f t="shared" si="109"/>
        <v>1307.3491360440585</v>
      </c>
      <c r="K98" s="36">
        <f t="shared" si="109"/>
        <v>1260.8047170038003</v>
      </c>
      <c r="L98" s="36">
        <f t="shared" si="109"/>
        <v>1306.767302430693</v>
      </c>
      <c r="M98" s="36">
        <f t="shared" si="109"/>
        <v>1300.4654729764047</v>
      </c>
      <c r="N98" s="36">
        <f t="shared" si="109"/>
        <v>1301.0009724710851</v>
      </c>
      <c r="O98" s="36">
        <f t="shared" si="109"/>
        <v>1282.0933715250144</v>
      </c>
      <c r="P98" s="36">
        <f t="shared" si="109"/>
        <v>1281.5806668413704</v>
      </c>
      <c r="Q98" s="36">
        <f t="shared" si="109"/>
        <v>1289.3260562681712</v>
      </c>
      <c r="R98" s="36">
        <f t="shared" si="109"/>
        <v>1276.4446815418387</v>
      </c>
      <c r="S98" s="36">
        <f t="shared" si="109"/>
        <v>1252.842601611567</v>
      </c>
      <c r="T98" s="36">
        <f t="shared" si="109"/>
        <v>1254.6146096551226</v>
      </c>
      <c r="U98" s="36">
        <f t="shared" si="109"/>
        <v>1265.1647761043503</v>
      </c>
      <c r="V98" s="36">
        <f t="shared" si="109"/>
        <v>407.85306216106341</v>
      </c>
      <c r="W98" s="36">
        <f t="shared" ref="W98:Y98" si="110">IF(W26=0,0,W26/W46)</f>
        <v>466.47255670535264</v>
      </c>
      <c r="X98" s="36">
        <f t="shared" si="110"/>
        <v>930.93788199781602</v>
      </c>
      <c r="Y98" s="36">
        <f t="shared" si="110"/>
        <v>1167.6457360423719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468</v>
      </c>
      <c r="C99" s="36">
        <f t="shared" si="104"/>
        <v>459.19946852682278</v>
      </c>
      <c r="D99" s="36">
        <f t="shared" ref="D99:V99" si="111">IF(D27=0,0,D27/D47)</f>
        <v>444.21524663677127</v>
      </c>
      <c r="E99" s="36">
        <f t="shared" si="111"/>
        <v>468</v>
      </c>
      <c r="F99" s="36">
        <f t="shared" si="111"/>
        <v>468</v>
      </c>
      <c r="G99" s="36">
        <f t="shared" si="111"/>
        <v>452</v>
      </c>
      <c r="H99" s="36">
        <f t="shared" si="111"/>
        <v>431</v>
      </c>
      <c r="I99" s="36">
        <f t="shared" si="111"/>
        <v>414</v>
      </c>
      <c r="J99" s="36">
        <f t="shared" si="111"/>
        <v>414</v>
      </c>
      <c r="K99" s="36">
        <f t="shared" si="111"/>
        <v>424</v>
      </c>
      <c r="L99" s="36">
        <f t="shared" si="111"/>
        <v>453.00000000000006</v>
      </c>
      <c r="M99" s="36">
        <f t="shared" si="111"/>
        <v>472</v>
      </c>
      <c r="N99" s="36">
        <f t="shared" si="111"/>
        <v>486</v>
      </c>
      <c r="O99" s="36">
        <f t="shared" si="111"/>
        <v>488</v>
      </c>
      <c r="P99" s="36">
        <f t="shared" si="111"/>
        <v>476</v>
      </c>
      <c r="Q99" s="36">
        <f t="shared" si="111"/>
        <v>467</v>
      </c>
      <c r="R99" s="36">
        <f t="shared" si="111"/>
        <v>439</v>
      </c>
      <c r="S99" s="36">
        <f t="shared" si="111"/>
        <v>438</v>
      </c>
      <c r="T99" s="36">
        <f t="shared" si="111"/>
        <v>445.00000000000006</v>
      </c>
      <c r="U99" s="36">
        <f t="shared" si="111"/>
        <v>453.99999999999994</v>
      </c>
      <c r="V99" s="36">
        <f t="shared" si="111"/>
        <v>155.35123127818144</v>
      </c>
      <c r="W99" s="36">
        <f t="shared" ref="W99:Y99" si="112">IF(W27=0,0,W27/W47)</f>
        <v>192.22468026251394</v>
      </c>
      <c r="X99" s="36">
        <f t="shared" si="112"/>
        <v>290.41375186453519</v>
      </c>
      <c r="Y99" s="36">
        <f t="shared" si="112"/>
        <v>317.52791466426766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996.74252231992136</v>
      </c>
      <c r="C100" s="13">
        <f t="shared" si="104"/>
        <v>862.4287954797602</v>
      </c>
      <c r="D100" s="13">
        <f t="shared" ref="D100:V100" si="113">IF(D28=0,0,D28/D48)</f>
        <v>903.52778648796141</v>
      </c>
      <c r="E100" s="13">
        <f t="shared" si="113"/>
        <v>864.48467807431143</v>
      </c>
      <c r="F100" s="13">
        <f t="shared" si="113"/>
        <v>912.76290287751692</v>
      </c>
      <c r="G100" s="13">
        <f t="shared" si="113"/>
        <v>827.02039487567401</v>
      </c>
      <c r="H100" s="13">
        <f t="shared" si="113"/>
        <v>840.46560405556465</v>
      </c>
      <c r="I100" s="13">
        <f t="shared" si="113"/>
        <v>843.37917240431557</v>
      </c>
      <c r="J100" s="13">
        <f t="shared" si="113"/>
        <v>835.19766660080984</v>
      </c>
      <c r="K100" s="13">
        <f t="shared" si="113"/>
        <v>680.20366246798369</v>
      </c>
      <c r="L100" s="13">
        <f t="shared" si="113"/>
        <v>708.74398796193293</v>
      </c>
      <c r="M100" s="13">
        <f t="shared" si="113"/>
        <v>599.43844877323636</v>
      </c>
      <c r="N100" s="13">
        <f t="shared" si="113"/>
        <v>539.94596174546234</v>
      </c>
      <c r="O100" s="13">
        <f t="shared" si="113"/>
        <v>514.49027099193984</v>
      </c>
      <c r="P100" s="13">
        <f t="shared" si="113"/>
        <v>505.85339049126969</v>
      </c>
      <c r="Q100" s="13">
        <f t="shared" si="113"/>
        <v>534.53063516453199</v>
      </c>
      <c r="R100" s="13">
        <f t="shared" si="113"/>
        <v>482.02425075325033</v>
      </c>
      <c r="S100" s="13">
        <f t="shared" si="113"/>
        <v>551.56318020827973</v>
      </c>
      <c r="T100" s="13">
        <f t="shared" si="113"/>
        <v>568.02252382769484</v>
      </c>
      <c r="U100" s="13">
        <f t="shared" si="113"/>
        <v>603.69777529067721</v>
      </c>
      <c r="V100" s="13">
        <f t="shared" si="113"/>
        <v>580.1586270024427</v>
      </c>
      <c r="W100" s="13">
        <f t="shared" ref="W100:Y100" si="114">IF(W28=0,0,W28/W48)</f>
        <v>643.15007609438135</v>
      </c>
      <c r="X100" s="13">
        <f t="shared" si="114"/>
        <v>588.00422349603275</v>
      </c>
      <c r="Y100" s="13">
        <f t="shared" si="114"/>
        <v>520.14277529328058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1408</v>
      </c>
      <c r="C101" s="34">
        <f t="shared" si="104"/>
        <v>1291.2536001212673</v>
      </c>
      <c r="D101" s="34">
        <f t="shared" ref="D101:V101" si="115">IF(D29=0,0,D29/D49)</f>
        <v>1408</v>
      </c>
      <c r="E101" s="34">
        <f t="shared" si="115"/>
        <v>1408</v>
      </c>
      <c r="F101" s="34">
        <f t="shared" si="115"/>
        <v>1408</v>
      </c>
      <c r="G101" s="34">
        <f t="shared" si="115"/>
        <v>1407</v>
      </c>
      <c r="H101" s="34">
        <f t="shared" si="115"/>
        <v>1402</v>
      </c>
      <c r="I101" s="34">
        <f t="shared" si="115"/>
        <v>1397</v>
      </c>
      <c r="J101" s="34">
        <f t="shared" si="115"/>
        <v>1389</v>
      </c>
      <c r="K101" s="34">
        <f t="shared" si="115"/>
        <v>1162.0382748984014</v>
      </c>
      <c r="L101" s="34">
        <f t="shared" si="115"/>
        <v>1023.8759390609869</v>
      </c>
      <c r="M101" s="34">
        <f t="shared" si="115"/>
        <v>950.68549026043468</v>
      </c>
      <c r="N101" s="34">
        <f t="shared" si="115"/>
        <v>967.26346234213736</v>
      </c>
      <c r="O101" s="34">
        <f t="shared" si="115"/>
        <v>967.54907101530341</v>
      </c>
      <c r="P101" s="34">
        <f t="shared" si="115"/>
        <v>937.66642602671573</v>
      </c>
      <c r="Q101" s="34">
        <f t="shared" si="115"/>
        <v>941.88878407188497</v>
      </c>
      <c r="R101" s="34">
        <f t="shared" si="115"/>
        <v>835.32258276719233</v>
      </c>
      <c r="S101" s="34">
        <f t="shared" si="115"/>
        <v>966.0831524251887</v>
      </c>
      <c r="T101" s="34">
        <f t="shared" si="115"/>
        <v>768.22785611220684</v>
      </c>
      <c r="U101" s="34">
        <f t="shared" si="115"/>
        <v>533.24842809235349</v>
      </c>
      <c r="V101" s="34">
        <f t="shared" si="115"/>
        <v>401.76886642639761</v>
      </c>
      <c r="W101" s="34">
        <f t="shared" ref="W101:Y101" si="116">IF(W29=0,0,W29/W49)</f>
        <v>526.15805776744003</v>
      </c>
      <c r="X101" s="34">
        <f t="shared" si="116"/>
        <v>597.23593098704418</v>
      </c>
      <c r="Y101" s="34">
        <f t="shared" si="116"/>
        <v>555.61993670844993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1140.6065946474146</v>
      </c>
      <c r="C102" s="34">
        <f t="shared" si="104"/>
        <v>1041.1752847419425</v>
      </c>
      <c r="D102" s="34">
        <f t="shared" ref="D102:V102" si="117">IF(D30=0,0,D30/D50)</f>
        <v>1141.5189628310236</v>
      </c>
      <c r="E102" s="34">
        <f t="shared" si="117"/>
        <v>1141.485127194494</v>
      </c>
      <c r="F102" s="34">
        <f t="shared" si="117"/>
        <v>1139.3138723221593</v>
      </c>
      <c r="G102" s="34">
        <f t="shared" si="117"/>
        <v>1053.538626186941</v>
      </c>
      <c r="H102" s="34">
        <f t="shared" si="117"/>
        <v>1062.8573344939459</v>
      </c>
      <c r="I102" s="34">
        <f t="shared" si="117"/>
        <v>1063.7363735492015</v>
      </c>
      <c r="J102" s="34">
        <f t="shared" si="117"/>
        <v>1064.6641055961004</v>
      </c>
      <c r="K102" s="34">
        <f t="shared" si="117"/>
        <v>886.9711294692097</v>
      </c>
      <c r="L102" s="34">
        <f t="shared" si="117"/>
        <v>967.86159205867318</v>
      </c>
      <c r="M102" s="34">
        <f t="shared" si="117"/>
        <v>745.9110182185118</v>
      </c>
      <c r="N102" s="34">
        <f t="shared" si="117"/>
        <v>646.70687725279163</v>
      </c>
      <c r="O102" s="34">
        <f t="shared" si="117"/>
        <v>630.60232650494117</v>
      </c>
      <c r="P102" s="34">
        <f t="shared" si="117"/>
        <v>625.9011933489021</v>
      </c>
      <c r="Q102" s="34">
        <f t="shared" si="117"/>
        <v>685.48068214630723</v>
      </c>
      <c r="R102" s="34">
        <f t="shared" si="117"/>
        <v>624.21778705578822</v>
      </c>
      <c r="S102" s="34">
        <f t="shared" si="117"/>
        <v>718.2421180866636</v>
      </c>
      <c r="T102" s="34">
        <f t="shared" si="117"/>
        <v>818.58249971150542</v>
      </c>
      <c r="U102" s="34">
        <f t="shared" si="117"/>
        <v>1059.0242312654241</v>
      </c>
      <c r="V102" s="34">
        <f t="shared" si="117"/>
        <v>1033.3216534456978</v>
      </c>
      <c r="W102" s="34">
        <f t="shared" ref="W102:Y102" si="118">IF(W30=0,0,W30/W50)</f>
        <v>1069.5001244769232</v>
      </c>
      <c r="X102" s="34">
        <f t="shared" si="118"/>
        <v>879.04531563805699</v>
      </c>
      <c r="Y102" s="34">
        <f t="shared" si="118"/>
        <v>797.55786084059605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409</v>
      </c>
      <c r="C103" s="35">
        <f t="shared" si="104"/>
        <v>409</v>
      </c>
      <c r="D103" s="35">
        <f t="shared" ref="D103:V103" si="119">IF(D31=0,0,D31/D51)</f>
        <v>409</v>
      </c>
      <c r="E103" s="35">
        <f t="shared" si="119"/>
        <v>409</v>
      </c>
      <c r="F103" s="35">
        <f t="shared" si="119"/>
        <v>409</v>
      </c>
      <c r="G103" s="35">
        <f t="shared" si="119"/>
        <v>397</v>
      </c>
      <c r="H103" s="35">
        <f t="shared" si="119"/>
        <v>372</v>
      </c>
      <c r="I103" s="35">
        <f t="shared" si="119"/>
        <v>352</v>
      </c>
      <c r="J103" s="35">
        <f t="shared" si="119"/>
        <v>345</v>
      </c>
      <c r="K103" s="35">
        <f t="shared" si="119"/>
        <v>253.44571468404729</v>
      </c>
      <c r="L103" s="35">
        <f t="shared" si="119"/>
        <v>314.03984681965721</v>
      </c>
      <c r="M103" s="35">
        <f t="shared" si="119"/>
        <v>300.29399146312204</v>
      </c>
      <c r="N103" s="35">
        <f t="shared" si="119"/>
        <v>248.18920284792725</v>
      </c>
      <c r="O103" s="35">
        <f t="shared" si="119"/>
        <v>208.38992453661837</v>
      </c>
      <c r="P103" s="35">
        <f t="shared" si="119"/>
        <v>211.73429482195615</v>
      </c>
      <c r="Q103" s="35">
        <f t="shared" si="119"/>
        <v>230.58390965595729</v>
      </c>
      <c r="R103" s="35">
        <f t="shared" si="119"/>
        <v>215.07453988230117</v>
      </c>
      <c r="S103" s="35">
        <f t="shared" si="119"/>
        <v>246.3347087763847</v>
      </c>
      <c r="T103" s="35">
        <f t="shared" si="119"/>
        <v>289.25525901055232</v>
      </c>
      <c r="U103" s="35">
        <f t="shared" si="119"/>
        <v>175.68110910928507</v>
      </c>
      <c r="V103" s="35">
        <f t="shared" si="119"/>
        <v>198.94324652831887</v>
      </c>
      <c r="W103" s="35">
        <f t="shared" ref="W103:Y103" si="120">IF(W31=0,0,W31/W51)</f>
        <v>244.89879802920103</v>
      </c>
      <c r="X103" s="35">
        <f t="shared" si="120"/>
        <v>285.6485372869497</v>
      </c>
      <c r="Y103" s="35">
        <f t="shared" si="120"/>
        <v>225.03324030375242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0.20185206198404451</v>
      </c>
      <c r="C107" s="43">
        <f t="shared" si="124"/>
        <v>0.20438152864334574</v>
      </c>
      <c r="D107" s="43">
        <f t="shared" ref="D107:V107" si="125">IF(D5=0,0,D5/D$4)</f>
        <v>0.21231087204608598</v>
      </c>
      <c r="E107" s="43">
        <f t="shared" si="125"/>
        <v>0.20968903816277526</v>
      </c>
      <c r="F107" s="43">
        <f t="shared" si="125"/>
        <v>0.19868246012361765</v>
      </c>
      <c r="G107" s="43">
        <f t="shared" si="125"/>
        <v>0.18825751224902998</v>
      </c>
      <c r="H107" s="43">
        <f t="shared" si="125"/>
        <v>0.1635794829513342</v>
      </c>
      <c r="I107" s="43">
        <f t="shared" si="125"/>
        <v>0.15203608649777239</v>
      </c>
      <c r="J107" s="43">
        <f t="shared" si="125"/>
        <v>0.14515133063494359</v>
      </c>
      <c r="K107" s="43">
        <f t="shared" si="125"/>
        <v>0.14355800132761676</v>
      </c>
      <c r="L107" s="43">
        <f t="shared" si="125"/>
        <v>0.13886146976281813</v>
      </c>
      <c r="M107" s="43">
        <f t="shared" si="125"/>
        <v>0.140901027177776</v>
      </c>
      <c r="N107" s="43">
        <f t="shared" si="125"/>
        <v>0.14454465587181728</v>
      </c>
      <c r="O107" s="43">
        <f t="shared" si="125"/>
        <v>0.13598724896619321</v>
      </c>
      <c r="P107" s="43">
        <f t="shared" si="125"/>
        <v>0.13326920846694726</v>
      </c>
      <c r="Q107" s="43">
        <f t="shared" si="125"/>
        <v>0.1300345729251362</v>
      </c>
      <c r="R107" s="43">
        <f t="shared" si="125"/>
        <v>0.12851237394232906</v>
      </c>
      <c r="S107" s="43">
        <f t="shared" si="125"/>
        <v>0.11986132335708063</v>
      </c>
      <c r="T107" s="43">
        <f t="shared" si="125"/>
        <v>0.11437175108893241</v>
      </c>
      <c r="U107" s="43">
        <f t="shared" si="125"/>
        <v>0.10875699740637718</v>
      </c>
      <c r="V107" s="43">
        <f t="shared" si="125"/>
        <v>0.13463584631969544</v>
      </c>
      <c r="W107" s="43">
        <f t="shared" ref="W107:Y107" si="126">IF(W5=0,0,W5/W$4)</f>
        <v>0.12901660206533366</v>
      </c>
      <c r="X107" s="43">
        <f t="shared" si="126"/>
        <v>0.10493722351971672</v>
      </c>
      <c r="Y107" s="43">
        <f t="shared" si="126"/>
        <v>9.4563539113520417E-2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0.57837067243686158</v>
      </c>
      <c r="C108" s="43">
        <f t="shared" si="127"/>
        <v>0.58985871854334193</v>
      </c>
      <c r="D108" s="43">
        <f t="shared" ref="D108:V108" si="128">IF(D6=0,0,D6/D$4)</f>
        <v>0.60128159633771516</v>
      </c>
      <c r="E108" s="43">
        <f t="shared" si="128"/>
        <v>0.58464358769197267</v>
      </c>
      <c r="F108" s="43">
        <f t="shared" si="128"/>
        <v>0.55683208758184333</v>
      </c>
      <c r="G108" s="43">
        <f t="shared" si="128"/>
        <v>0.5226212442283128</v>
      </c>
      <c r="H108" s="43">
        <f t="shared" si="128"/>
        <v>0.5654436700666069</v>
      </c>
      <c r="I108" s="43">
        <f t="shared" si="128"/>
        <v>0.54568431251431382</v>
      </c>
      <c r="J108" s="43">
        <f t="shared" si="128"/>
        <v>0.51988387704733152</v>
      </c>
      <c r="K108" s="43">
        <f t="shared" si="128"/>
        <v>0.51427198407458186</v>
      </c>
      <c r="L108" s="43">
        <f t="shared" si="128"/>
        <v>0.51867803772826793</v>
      </c>
      <c r="M108" s="43">
        <f t="shared" si="128"/>
        <v>0.53968718752932987</v>
      </c>
      <c r="N108" s="43">
        <f t="shared" si="128"/>
        <v>0.54276404280793267</v>
      </c>
      <c r="O108" s="43">
        <f t="shared" si="128"/>
        <v>0.55649888018892346</v>
      </c>
      <c r="P108" s="43">
        <f t="shared" si="128"/>
        <v>0.54628502079191699</v>
      </c>
      <c r="Q108" s="43">
        <f t="shared" si="128"/>
        <v>0.54593811841423534</v>
      </c>
      <c r="R108" s="43">
        <f t="shared" si="128"/>
        <v>0.56151688858084237</v>
      </c>
      <c r="S108" s="43">
        <f t="shared" si="128"/>
        <v>0.57205119057211973</v>
      </c>
      <c r="T108" s="43">
        <f t="shared" si="128"/>
        <v>0.55548292902034924</v>
      </c>
      <c r="U108" s="43">
        <f t="shared" si="128"/>
        <v>0.5587933181347251</v>
      </c>
      <c r="V108" s="43">
        <f t="shared" si="128"/>
        <v>0.51952699023172599</v>
      </c>
      <c r="W108" s="43">
        <f t="shared" ref="W108:Y108" si="129">IF(W6=0,0,W6/W$4)</f>
        <v>0.61068599049953076</v>
      </c>
      <c r="X108" s="43">
        <f t="shared" si="129"/>
        <v>0.60915777024767237</v>
      </c>
      <c r="Y108" s="43">
        <f t="shared" si="129"/>
        <v>0.62232061707939001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0.21977726557909394</v>
      </c>
      <c r="C109" s="43">
        <f t="shared" si="130"/>
        <v>0.20575975281331246</v>
      </c>
      <c r="D109" s="43">
        <f t="shared" ref="D109:V109" si="131">IF(D7=0,0,D7/D$4)</f>
        <v>0.18640753161619866</v>
      </c>
      <c r="E109" s="43">
        <f t="shared" si="131"/>
        <v>0.20566737414525202</v>
      </c>
      <c r="F109" s="43">
        <f t="shared" si="131"/>
        <v>0.244485452294539</v>
      </c>
      <c r="G109" s="43">
        <f t="shared" si="131"/>
        <v>0.28912124352265733</v>
      </c>
      <c r="H109" s="43">
        <f t="shared" si="131"/>
        <v>0.27097684698205898</v>
      </c>
      <c r="I109" s="43">
        <f t="shared" si="131"/>
        <v>0.30227960098791368</v>
      </c>
      <c r="J109" s="43">
        <f t="shared" si="131"/>
        <v>0.33496479231772491</v>
      </c>
      <c r="K109" s="43">
        <f t="shared" si="131"/>
        <v>0.34217001459780139</v>
      </c>
      <c r="L109" s="43">
        <f t="shared" si="131"/>
        <v>0.34246049250891408</v>
      </c>
      <c r="M109" s="43">
        <f t="shared" si="131"/>
        <v>0.31941178529289421</v>
      </c>
      <c r="N109" s="43">
        <f t="shared" si="131"/>
        <v>0.31269130132025008</v>
      </c>
      <c r="O109" s="43">
        <f t="shared" si="131"/>
        <v>0.30751387084488324</v>
      </c>
      <c r="P109" s="43">
        <f t="shared" si="131"/>
        <v>0.32044577074113567</v>
      </c>
      <c r="Q109" s="43">
        <f t="shared" si="131"/>
        <v>0.32402730866062857</v>
      </c>
      <c r="R109" s="43">
        <f t="shared" si="131"/>
        <v>0.30997073747682852</v>
      </c>
      <c r="S109" s="43">
        <f t="shared" si="131"/>
        <v>0.30808748607079972</v>
      </c>
      <c r="T109" s="43">
        <f t="shared" si="131"/>
        <v>0.33014531989071821</v>
      </c>
      <c r="U109" s="43">
        <f t="shared" si="131"/>
        <v>0.33244968445889767</v>
      </c>
      <c r="V109" s="43">
        <f t="shared" si="131"/>
        <v>0.34583716344857851</v>
      </c>
      <c r="W109" s="43">
        <f t="shared" ref="W109:Y109" si="132">IF(W7=0,0,W7/W$4)</f>
        <v>0.26029740743513569</v>
      </c>
      <c r="X109" s="43">
        <f t="shared" si="132"/>
        <v>0.28590500623261089</v>
      </c>
      <c r="Y109" s="43">
        <f t="shared" si="132"/>
        <v>0.28311584380708965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2.5001131472211165E-2</v>
      </c>
      <c r="C111" s="44">
        <f t="shared" si="136"/>
        <v>1.6010676572242061E-2</v>
      </c>
      <c r="D111" s="44">
        <f t="shared" ref="D111:V111" si="137">IF(D9=0,0,D9/D$8)</f>
        <v>1.6456614670826219E-2</v>
      </c>
      <c r="E111" s="44">
        <f t="shared" si="137"/>
        <v>1.5817489454735826E-2</v>
      </c>
      <c r="F111" s="44">
        <f t="shared" si="137"/>
        <v>2.070004357359603E-2</v>
      </c>
      <c r="G111" s="44">
        <f t="shared" si="137"/>
        <v>1.7190817484145249E-2</v>
      </c>
      <c r="H111" s="44">
        <f t="shared" si="137"/>
        <v>1.8718644750932358E-2</v>
      </c>
      <c r="I111" s="44">
        <f t="shared" si="137"/>
        <v>1.9900596599049213E-2</v>
      </c>
      <c r="J111" s="44">
        <f t="shared" si="137"/>
        <v>1.9963557227324871E-2</v>
      </c>
      <c r="K111" s="44">
        <f t="shared" si="137"/>
        <v>2.0376646771652143E-2</v>
      </c>
      <c r="L111" s="44">
        <f t="shared" si="137"/>
        <v>1.5834998762713444E-2</v>
      </c>
      <c r="M111" s="44">
        <f t="shared" si="137"/>
        <v>1.6285472944463093E-2</v>
      </c>
      <c r="N111" s="44">
        <f t="shared" si="137"/>
        <v>1.9180751847808219E-2</v>
      </c>
      <c r="O111" s="44">
        <f t="shared" si="137"/>
        <v>2.5645451400775038E-2</v>
      </c>
      <c r="P111" s="44">
        <f t="shared" si="137"/>
        <v>2.5961438907852158E-2</v>
      </c>
      <c r="Q111" s="44">
        <f t="shared" si="137"/>
        <v>2.7076851378226706E-2</v>
      </c>
      <c r="R111" s="44">
        <f t="shared" si="137"/>
        <v>2.9411058334451786E-2</v>
      </c>
      <c r="S111" s="44">
        <f t="shared" si="137"/>
        <v>3.2342268782298712E-2</v>
      </c>
      <c r="T111" s="44">
        <f t="shared" si="137"/>
        <v>2.8431348772523908E-2</v>
      </c>
      <c r="U111" s="44">
        <f t="shared" si="137"/>
        <v>2.2371498731424345E-2</v>
      </c>
      <c r="V111" s="44">
        <f t="shared" si="137"/>
        <v>2.1851152450833182E-2</v>
      </c>
      <c r="W111" s="44">
        <f t="shared" ref="W111:Y111" si="138">IF(W9=0,0,W9/W$8)</f>
        <v>2.4503531440514075E-2</v>
      </c>
      <c r="X111" s="44">
        <f t="shared" si="138"/>
        <v>1.2284543133191632E-2</v>
      </c>
      <c r="Y111" s="44">
        <f t="shared" si="138"/>
        <v>1.2298320458464471E-2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0.21439124328259646</v>
      </c>
      <c r="C112" s="44">
        <f t="shared" si="139"/>
        <v>0.14825393994915867</v>
      </c>
      <c r="D112" s="44">
        <f t="shared" ref="D112:V112" si="140">IF(D10=0,0,D10/D$8)</f>
        <v>0.1440802235031898</v>
      </c>
      <c r="E112" s="44">
        <f t="shared" si="140"/>
        <v>0.13562070463681578</v>
      </c>
      <c r="F112" s="44">
        <f t="shared" si="140"/>
        <v>0.14523577127551271</v>
      </c>
      <c r="G112" s="44">
        <f t="shared" si="140"/>
        <v>0.12099806023192573</v>
      </c>
      <c r="H112" s="44">
        <f t="shared" si="140"/>
        <v>0.12609865869970102</v>
      </c>
      <c r="I112" s="44">
        <f t="shared" si="140"/>
        <v>0.13316842298309184</v>
      </c>
      <c r="J112" s="44">
        <f t="shared" si="140"/>
        <v>0.12811449692820284</v>
      </c>
      <c r="K112" s="44">
        <f t="shared" si="140"/>
        <v>0.12667547149595909</v>
      </c>
      <c r="L112" s="44">
        <f t="shared" si="140"/>
        <v>0.11951739377369609</v>
      </c>
      <c r="M112" s="44">
        <f t="shared" si="140"/>
        <v>0.10336331584941573</v>
      </c>
      <c r="N112" s="44">
        <f t="shared" si="140"/>
        <v>0.10683760882529011</v>
      </c>
      <c r="O112" s="44">
        <f t="shared" si="140"/>
        <v>0.14356298422907099</v>
      </c>
      <c r="P112" s="44">
        <f t="shared" si="140"/>
        <v>0.15478535992274556</v>
      </c>
      <c r="Q112" s="44">
        <f t="shared" si="140"/>
        <v>0.16540453852986836</v>
      </c>
      <c r="R112" s="44">
        <f t="shared" si="140"/>
        <v>0.17262784464302178</v>
      </c>
      <c r="S112" s="44">
        <f t="shared" si="140"/>
        <v>0.19773051063404495</v>
      </c>
      <c r="T112" s="44">
        <f t="shared" si="140"/>
        <v>0.23347042397651027</v>
      </c>
      <c r="U112" s="44">
        <f t="shared" si="140"/>
        <v>0.4375017300883659</v>
      </c>
      <c r="V112" s="44">
        <f t="shared" si="140"/>
        <v>0.47972096334967973</v>
      </c>
      <c r="W112" s="44">
        <f t="shared" ref="W112:Y112" si="141">IF(W10=0,0,W10/W$8)</f>
        <v>0.44350311610109155</v>
      </c>
      <c r="X112" s="44">
        <f t="shared" si="141"/>
        <v>0.16351944185909592</v>
      </c>
      <c r="Y112" s="44">
        <f t="shared" si="141"/>
        <v>0.15478703656639267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0.76060762524519232</v>
      </c>
      <c r="C113" s="45">
        <f t="shared" si="142"/>
        <v>0.83573538347859933</v>
      </c>
      <c r="D113" s="45">
        <f t="shared" ref="D113:V113" si="143">IF(D11=0,0,D11/D$8)</f>
        <v>0.83946316182598391</v>
      </c>
      <c r="E113" s="45">
        <f t="shared" si="143"/>
        <v>0.84856180590844843</v>
      </c>
      <c r="F113" s="45">
        <f t="shared" si="143"/>
        <v>0.83406418515089131</v>
      </c>
      <c r="G113" s="45">
        <f t="shared" si="143"/>
        <v>0.86181112228392909</v>
      </c>
      <c r="H113" s="45">
        <f t="shared" si="143"/>
        <v>0.85518269654936663</v>
      </c>
      <c r="I113" s="45">
        <f t="shared" si="143"/>
        <v>0.84693098041785897</v>
      </c>
      <c r="J113" s="45">
        <f t="shared" si="143"/>
        <v>0.85192194584447223</v>
      </c>
      <c r="K113" s="45">
        <f t="shared" si="143"/>
        <v>0.85294788173238878</v>
      </c>
      <c r="L113" s="45">
        <f t="shared" si="143"/>
        <v>0.86464760746359048</v>
      </c>
      <c r="M113" s="45">
        <f t="shared" si="143"/>
        <v>0.88035121120612114</v>
      </c>
      <c r="N113" s="45">
        <f t="shared" si="143"/>
        <v>0.87398163932690165</v>
      </c>
      <c r="O113" s="45">
        <f t="shared" si="143"/>
        <v>0.830791564370154</v>
      </c>
      <c r="P113" s="45">
        <f t="shared" si="143"/>
        <v>0.81925320116940226</v>
      </c>
      <c r="Q113" s="45">
        <f t="shared" si="143"/>
        <v>0.80751861009190484</v>
      </c>
      <c r="R113" s="45">
        <f t="shared" si="143"/>
        <v>0.79796109702252649</v>
      </c>
      <c r="S113" s="45">
        <f t="shared" si="143"/>
        <v>0.76992722058365626</v>
      </c>
      <c r="T113" s="45">
        <f t="shared" si="143"/>
        <v>0.73809822725096574</v>
      </c>
      <c r="U113" s="45">
        <f t="shared" si="143"/>
        <v>0.5401267711802098</v>
      </c>
      <c r="V113" s="45">
        <f t="shared" si="143"/>
        <v>0.49842788419948719</v>
      </c>
      <c r="W113" s="45">
        <f t="shared" ref="W113:Y113" si="144">IF(W11=0,0,W11/W$8)</f>
        <v>0.53199335245839441</v>
      </c>
      <c r="X113" s="45">
        <f t="shared" si="144"/>
        <v>0.82419601500771245</v>
      </c>
      <c r="Y113" s="45">
        <f t="shared" si="144"/>
        <v>0.83291464297514284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0.30498261875649685</v>
      </c>
      <c r="C117" s="43">
        <f t="shared" si="148"/>
        <v>0.30585116006446489</v>
      </c>
      <c r="D117" s="43">
        <f t="shared" ref="D117:V117" si="149">IF(D15=0,0,D15/D$14)</f>
        <v>0.31766704580286659</v>
      </c>
      <c r="E117" s="43">
        <f t="shared" si="149"/>
        <v>0.31245963054452031</v>
      </c>
      <c r="F117" s="43">
        <f t="shared" si="149"/>
        <v>0.30639226655075713</v>
      </c>
      <c r="G117" s="43">
        <f t="shared" si="149"/>
        <v>0.29507463161770386</v>
      </c>
      <c r="H117" s="43">
        <f t="shared" si="149"/>
        <v>0.2660660778764436</v>
      </c>
      <c r="I117" s="43">
        <f t="shared" si="149"/>
        <v>0.24841596756798703</v>
      </c>
      <c r="J117" s="43">
        <f t="shared" si="149"/>
        <v>0.23495559439171795</v>
      </c>
      <c r="K117" s="43">
        <f t="shared" si="149"/>
        <v>0.24742628718501553</v>
      </c>
      <c r="L117" s="43">
        <f t="shared" si="149"/>
        <v>0.23460435878278599</v>
      </c>
      <c r="M117" s="43">
        <f t="shared" si="149"/>
        <v>0.23318846496618534</v>
      </c>
      <c r="N117" s="43">
        <f t="shared" si="149"/>
        <v>0.23359569934300484</v>
      </c>
      <c r="O117" s="43">
        <f t="shared" si="149"/>
        <v>0.22415263347703424</v>
      </c>
      <c r="P117" s="43">
        <f t="shared" si="149"/>
        <v>0.22237695365683061</v>
      </c>
      <c r="Q117" s="43">
        <f t="shared" si="149"/>
        <v>0.21811683106200433</v>
      </c>
      <c r="R117" s="43">
        <f t="shared" si="149"/>
        <v>0.21303580116773163</v>
      </c>
      <c r="S117" s="43">
        <f t="shared" si="149"/>
        <v>0.20068797787959058</v>
      </c>
      <c r="T117" s="43">
        <f t="shared" si="149"/>
        <v>0.19297042884893104</v>
      </c>
      <c r="U117" s="43">
        <f t="shared" si="149"/>
        <v>0.18568880112145097</v>
      </c>
      <c r="V117" s="43">
        <f t="shared" si="149"/>
        <v>0.21987790049504141</v>
      </c>
      <c r="W117" s="43">
        <f t="shared" ref="W117:Y117" si="150">IF(W15=0,0,W15/W$14)</f>
        <v>0.20438578369576521</v>
      </c>
      <c r="X117" s="43">
        <f t="shared" si="150"/>
        <v>0.17214646531036129</v>
      </c>
      <c r="Y117" s="43">
        <f t="shared" si="150"/>
        <v>0.16627877158521231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0.58153531552838944</v>
      </c>
      <c r="C118" s="43">
        <f t="shared" si="151"/>
        <v>0.59156286515314938</v>
      </c>
      <c r="D118" s="43">
        <f t="shared" ref="D118:V118" si="152">IF(D16=0,0,D16/D$14)</f>
        <v>0.58381208287856301</v>
      </c>
      <c r="E118" s="43">
        <f t="shared" si="152"/>
        <v>0.58348283158893577</v>
      </c>
      <c r="F118" s="43">
        <f t="shared" si="152"/>
        <v>0.57350501827266454</v>
      </c>
      <c r="G118" s="43">
        <f t="shared" si="152"/>
        <v>0.55398154324186411</v>
      </c>
      <c r="H118" s="43">
        <f t="shared" si="152"/>
        <v>0.58385137097346873</v>
      </c>
      <c r="I118" s="43">
        <f t="shared" si="152"/>
        <v>0.58819753725023871</v>
      </c>
      <c r="J118" s="43">
        <f t="shared" si="152"/>
        <v>0.58249781656497646</v>
      </c>
      <c r="K118" s="43">
        <f t="shared" si="152"/>
        <v>0.5580920090699929</v>
      </c>
      <c r="L118" s="43">
        <f t="shared" si="152"/>
        <v>0.56852232624068944</v>
      </c>
      <c r="M118" s="43">
        <f t="shared" si="152"/>
        <v>0.57548896776746616</v>
      </c>
      <c r="N118" s="43">
        <f t="shared" si="152"/>
        <v>0.57316988519858181</v>
      </c>
      <c r="O118" s="43">
        <f t="shared" si="152"/>
        <v>0.57267325478111797</v>
      </c>
      <c r="P118" s="43">
        <f t="shared" si="152"/>
        <v>0.56037529365427685</v>
      </c>
      <c r="Q118" s="43">
        <f t="shared" si="152"/>
        <v>0.56399583636341166</v>
      </c>
      <c r="R118" s="43">
        <f t="shared" si="152"/>
        <v>0.57413745082255563</v>
      </c>
      <c r="S118" s="43">
        <f t="shared" si="152"/>
        <v>0.58332863304365767</v>
      </c>
      <c r="T118" s="43">
        <f t="shared" si="152"/>
        <v>0.5773447425770134</v>
      </c>
      <c r="U118" s="43">
        <f t="shared" si="152"/>
        <v>0.5787681587303547</v>
      </c>
      <c r="V118" s="43">
        <f t="shared" si="152"/>
        <v>0.53618864100867414</v>
      </c>
      <c r="W118" s="43">
        <f t="shared" ref="W118:Y118" si="153">IF(W16=0,0,W16/W$14)</f>
        <v>0.58084029247249136</v>
      </c>
      <c r="X118" s="43">
        <f t="shared" si="153"/>
        <v>0.61286424910931558</v>
      </c>
      <c r="Y118" s="43">
        <f t="shared" si="153"/>
        <v>0.63182307225043854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0.11348206571511377</v>
      </c>
      <c r="C119" s="43">
        <f t="shared" si="154"/>
        <v>0.10258597478238569</v>
      </c>
      <c r="D119" s="43">
        <f t="shared" ref="D119:V119" si="155">IF(D17=0,0,D17/D$14)</f>
        <v>9.8520871318570402E-2</v>
      </c>
      <c r="E119" s="43">
        <f t="shared" si="155"/>
        <v>0.10405753786654369</v>
      </c>
      <c r="F119" s="43">
        <f t="shared" si="155"/>
        <v>0.12010271517657828</v>
      </c>
      <c r="G119" s="43">
        <f t="shared" si="155"/>
        <v>0.15094382514043209</v>
      </c>
      <c r="H119" s="43">
        <f t="shared" si="155"/>
        <v>0.15008255115008753</v>
      </c>
      <c r="I119" s="43">
        <f t="shared" si="155"/>
        <v>0.16338649518177431</v>
      </c>
      <c r="J119" s="43">
        <f t="shared" si="155"/>
        <v>0.18254658904330556</v>
      </c>
      <c r="K119" s="43">
        <f t="shared" si="155"/>
        <v>0.19448170374499155</v>
      </c>
      <c r="L119" s="43">
        <f t="shared" si="155"/>
        <v>0.19687331497652455</v>
      </c>
      <c r="M119" s="43">
        <f t="shared" si="155"/>
        <v>0.19132256726634844</v>
      </c>
      <c r="N119" s="43">
        <f t="shared" si="155"/>
        <v>0.19323441545841341</v>
      </c>
      <c r="O119" s="43">
        <f t="shared" si="155"/>
        <v>0.20317411174184771</v>
      </c>
      <c r="P119" s="43">
        <f t="shared" si="155"/>
        <v>0.21724775268889271</v>
      </c>
      <c r="Q119" s="43">
        <f t="shared" si="155"/>
        <v>0.21788733257458398</v>
      </c>
      <c r="R119" s="43">
        <f t="shared" si="155"/>
        <v>0.2128267480097128</v>
      </c>
      <c r="S119" s="43">
        <f t="shared" si="155"/>
        <v>0.2159833890767516</v>
      </c>
      <c r="T119" s="43">
        <f t="shared" si="155"/>
        <v>0.22968482857405553</v>
      </c>
      <c r="U119" s="43">
        <f t="shared" si="155"/>
        <v>0.23554304014819424</v>
      </c>
      <c r="V119" s="43">
        <f t="shared" si="155"/>
        <v>0.24393345849628445</v>
      </c>
      <c r="W119" s="43">
        <f t="shared" ref="W119:Y119" si="156">IF(W17=0,0,W17/W$14)</f>
        <v>0.21477392383174329</v>
      </c>
      <c r="X119" s="43">
        <f t="shared" si="156"/>
        <v>0.2149892855803231</v>
      </c>
      <c r="Y119" s="43">
        <f t="shared" si="156"/>
        <v>0.20189815616434917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0.11166392171693343</v>
      </c>
      <c r="C121" s="44">
        <f t="shared" si="160"/>
        <v>8.6018090659143162E-2</v>
      </c>
      <c r="D121" s="44">
        <f t="shared" ref="D121:V121" si="161">IF(D19=0,0,D19/D$18)</f>
        <v>8.2184906538607716E-2</v>
      </c>
      <c r="E121" s="44">
        <f t="shared" si="161"/>
        <v>7.2093823291701567E-2</v>
      </c>
      <c r="F121" s="44">
        <f t="shared" si="161"/>
        <v>9.3058636862499336E-2</v>
      </c>
      <c r="G121" s="44">
        <f t="shared" si="161"/>
        <v>7.8867258387759431E-2</v>
      </c>
      <c r="H121" s="44">
        <f t="shared" si="161"/>
        <v>8.2293430744416821E-2</v>
      </c>
      <c r="I121" s="44">
        <f t="shared" si="161"/>
        <v>8.4699383975443771E-2</v>
      </c>
      <c r="J121" s="44">
        <f t="shared" si="161"/>
        <v>8.7008546258404471E-2</v>
      </c>
      <c r="K121" s="44">
        <f t="shared" si="161"/>
        <v>9.5855084459485193E-2</v>
      </c>
      <c r="L121" s="44">
        <f t="shared" si="161"/>
        <v>7.3565280005352562E-2</v>
      </c>
      <c r="M121" s="44">
        <f t="shared" si="161"/>
        <v>7.5427192320620992E-2</v>
      </c>
      <c r="N121" s="44">
        <f t="shared" si="161"/>
        <v>9.0896260779652197E-2</v>
      </c>
      <c r="O121" s="44">
        <f t="shared" si="161"/>
        <v>0.10739658789510345</v>
      </c>
      <c r="P121" s="44">
        <f t="shared" si="161"/>
        <v>0.10970208958431187</v>
      </c>
      <c r="Q121" s="44">
        <f t="shared" si="161"/>
        <v>0.10947176026961281</v>
      </c>
      <c r="R121" s="44">
        <f t="shared" si="161"/>
        <v>0.11044533290864958</v>
      </c>
      <c r="S121" s="44">
        <f t="shared" si="161"/>
        <v>0.12076843053910963</v>
      </c>
      <c r="T121" s="44">
        <f t="shared" si="161"/>
        <v>0.10078457037650458</v>
      </c>
      <c r="U121" s="44">
        <f t="shared" si="161"/>
        <v>5.9442979402882595E-2</v>
      </c>
      <c r="V121" s="44">
        <f t="shared" si="161"/>
        <v>4.5944138015358155E-2</v>
      </c>
      <c r="W121" s="44">
        <f t="shared" ref="W121:Y121" si="162">IF(W19=0,0,W19/W$18)</f>
        <v>4.9255396383709571E-2</v>
      </c>
      <c r="X121" s="44">
        <f t="shared" si="162"/>
        <v>3.7960188354198988E-2</v>
      </c>
      <c r="Y121" s="44">
        <f t="shared" si="162"/>
        <v>4.1820555928859318E-2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0.43640121776998481</v>
      </c>
      <c r="C122" s="44">
        <f t="shared" si="163"/>
        <v>0.3483189294617427</v>
      </c>
      <c r="D122" s="44">
        <f t="shared" ref="D122:V122" si="164">IF(D20=0,0,D20/D$18)</f>
        <v>0.34258777943110758</v>
      </c>
      <c r="E122" s="44">
        <f t="shared" si="164"/>
        <v>0.30666402189527775</v>
      </c>
      <c r="F122" s="44">
        <f t="shared" si="164"/>
        <v>0.32260550522397219</v>
      </c>
      <c r="G122" s="44">
        <f t="shared" si="164"/>
        <v>0.2799432236963168</v>
      </c>
      <c r="H122" s="44">
        <f t="shared" si="164"/>
        <v>0.31103419048603886</v>
      </c>
      <c r="I122" s="44">
        <f t="shared" si="164"/>
        <v>0.32597241437458002</v>
      </c>
      <c r="J122" s="44">
        <f t="shared" si="164"/>
        <v>0.31695161949084005</v>
      </c>
      <c r="K122" s="44">
        <f t="shared" si="164"/>
        <v>0.32809669737745861</v>
      </c>
      <c r="L122" s="44">
        <f t="shared" si="164"/>
        <v>0.31968525490339145</v>
      </c>
      <c r="M122" s="44">
        <f t="shared" si="164"/>
        <v>0.28194230461842318</v>
      </c>
      <c r="N122" s="44">
        <f t="shared" si="164"/>
        <v>0.28430227909026651</v>
      </c>
      <c r="O122" s="44">
        <f t="shared" si="164"/>
        <v>0.33495029484516309</v>
      </c>
      <c r="P122" s="44">
        <f t="shared" si="164"/>
        <v>0.34822760190616708</v>
      </c>
      <c r="Q122" s="44">
        <f t="shared" si="164"/>
        <v>0.3668512400307895</v>
      </c>
      <c r="R122" s="44">
        <f t="shared" si="164"/>
        <v>0.37832805882482307</v>
      </c>
      <c r="S122" s="44">
        <f t="shared" si="164"/>
        <v>0.42043905670866721</v>
      </c>
      <c r="T122" s="44">
        <f t="shared" si="164"/>
        <v>0.47836294833443233</v>
      </c>
      <c r="U122" s="44">
        <f t="shared" si="164"/>
        <v>0.69127227375954048</v>
      </c>
      <c r="V122" s="44">
        <f t="shared" si="164"/>
        <v>0.68023464114570664</v>
      </c>
      <c r="W122" s="44">
        <f t="shared" ref="W122:Y122" si="165">IF(W20=0,0,W20/W$18)</f>
        <v>0.6557009392939922</v>
      </c>
      <c r="X122" s="44">
        <f t="shared" si="165"/>
        <v>0.3702254186559763</v>
      </c>
      <c r="Y122" s="44">
        <f t="shared" si="165"/>
        <v>0.37219645407207413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0.45193486051308163</v>
      </c>
      <c r="C123" s="45">
        <f t="shared" si="166"/>
        <v>0.56566297987911429</v>
      </c>
      <c r="D123" s="45">
        <f t="shared" ref="D123:V123" si="167">IF(D21=0,0,D21/D$18)</f>
        <v>0.57522731403028482</v>
      </c>
      <c r="E123" s="45">
        <f t="shared" si="167"/>
        <v>0.6212421548130207</v>
      </c>
      <c r="F123" s="45">
        <f t="shared" si="167"/>
        <v>0.58433585791352838</v>
      </c>
      <c r="G123" s="45">
        <f t="shared" si="167"/>
        <v>0.64118951791592371</v>
      </c>
      <c r="H123" s="45">
        <f t="shared" si="167"/>
        <v>0.60667237876954438</v>
      </c>
      <c r="I123" s="45">
        <f t="shared" si="167"/>
        <v>0.58932820164997624</v>
      </c>
      <c r="J123" s="45">
        <f t="shared" si="167"/>
        <v>0.59603983425075535</v>
      </c>
      <c r="K123" s="45">
        <f t="shared" si="167"/>
        <v>0.57604821816305618</v>
      </c>
      <c r="L123" s="45">
        <f t="shared" si="167"/>
        <v>0.60674946509125605</v>
      </c>
      <c r="M123" s="45">
        <f t="shared" si="167"/>
        <v>0.64263050306095582</v>
      </c>
      <c r="N123" s="45">
        <f t="shared" si="167"/>
        <v>0.62480146013008131</v>
      </c>
      <c r="O123" s="45">
        <f t="shared" si="167"/>
        <v>0.55765311725973354</v>
      </c>
      <c r="P123" s="45">
        <f t="shared" si="167"/>
        <v>0.54207030850952098</v>
      </c>
      <c r="Q123" s="45">
        <f t="shared" si="167"/>
        <v>0.52367699969959758</v>
      </c>
      <c r="R123" s="45">
        <f t="shared" si="167"/>
        <v>0.51122660826652744</v>
      </c>
      <c r="S123" s="45">
        <f t="shared" si="167"/>
        <v>0.45879251275222316</v>
      </c>
      <c r="T123" s="45">
        <f t="shared" si="167"/>
        <v>0.42085248128906316</v>
      </c>
      <c r="U123" s="45">
        <f t="shared" si="167"/>
        <v>0.24928474683757681</v>
      </c>
      <c r="V123" s="45">
        <f t="shared" si="167"/>
        <v>0.27382122083893523</v>
      </c>
      <c r="W123" s="45">
        <f t="shared" ref="W123:Y123" si="168">IF(W21=0,0,W21/W$18)</f>
        <v>0.29504366432229834</v>
      </c>
      <c r="X123" s="45">
        <f t="shared" si="168"/>
        <v>0.59181439298982474</v>
      </c>
      <c r="Y123" s="45">
        <f t="shared" si="168"/>
        <v>0.58598298999906673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957.48306104901121</v>
      </c>
      <c r="C3" s="79">
        <f t="shared" si="0"/>
        <v>974.33121238177137</v>
      </c>
      <c r="D3" s="79">
        <f t="shared" ref="D3" si="1">SUM(D4:D5)</f>
        <v>743.65623387790197</v>
      </c>
      <c r="E3" s="79">
        <f t="shared" ref="E3" si="2">SUM(E4:E5)</f>
        <v>722.5900257953565</v>
      </c>
      <c r="F3" s="79">
        <f t="shared" ref="F3" si="3">SUM(F4:F5)</f>
        <v>869.00017196904537</v>
      </c>
      <c r="G3" s="79">
        <f t="shared" ref="G3" si="4">SUM(G4:G5)</f>
        <v>881.08744625967324</v>
      </c>
      <c r="H3" s="79">
        <f t="shared" ref="H3" si="5">SUM(H4:H5)</f>
        <v>898.85606190885653</v>
      </c>
      <c r="I3" s="79">
        <f t="shared" ref="I3" si="6">SUM(I4:I5)</f>
        <v>884.37936371453134</v>
      </c>
      <c r="J3" s="79">
        <f t="shared" ref="J3" si="7">SUM(J4:J5)</f>
        <v>1004.3902837489252</v>
      </c>
      <c r="K3" s="79">
        <f t="shared" ref="K3" si="8">SUM(K4:K5)</f>
        <v>908.69415305245047</v>
      </c>
      <c r="L3" s="79">
        <f t="shared" ref="L3" si="9">SUM(L4:L5)</f>
        <v>873.77841788478088</v>
      </c>
      <c r="M3" s="79">
        <f t="shared" ref="M3" si="10">SUM(M4:M5)</f>
        <v>942.93817712811665</v>
      </c>
      <c r="N3" s="79">
        <f t="shared" ref="N3" si="11">SUM(N4:N5)</f>
        <v>902.88443680137561</v>
      </c>
      <c r="O3" s="79">
        <f t="shared" ref="O3" si="12">SUM(O4:O5)</f>
        <v>996.78340498710259</v>
      </c>
      <c r="P3" s="79">
        <f t="shared" ref="P3" si="13">SUM(P4:P5)</f>
        <v>920.99544282029206</v>
      </c>
      <c r="Q3" s="79">
        <f t="shared" ref="Q3" si="14">SUM(Q4:Q5)</f>
        <v>936.74428202923445</v>
      </c>
      <c r="R3" s="79">
        <f t="shared" ref="R3" si="15">SUM(R4:R5)</f>
        <v>1032.6109200343935</v>
      </c>
      <c r="S3" s="79">
        <f t="shared" ref="S3" si="16">SUM(S4:S5)</f>
        <v>1082.961994840929</v>
      </c>
      <c r="T3" s="79">
        <f t="shared" ref="T3" si="17">SUM(T4:T5)</f>
        <v>1119.6196044711953</v>
      </c>
      <c r="U3" s="79">
        <f t="shared" ref="U3" si="18">SUM(U4:U5)</f>
        <v>1054.3428202923474</v>
      </c>
      <c r="V3" s="79">
        <f t="shared" ref="V3:W3" si="19">SUM(V4:V5)</f>
        <v>405.86852966466046</v>
      </c>
      <c r="W3" s="79">
        <f t="shared" si="19"/>
        <v>429.5740326741186</v>
      </c>
      <c r="X3" s="79">
        <f t="shared" ref="X3:Y3" si="20">SUM(X4:X5)</f>
        <v>734.71607910576097</v>
      </c>
      <c r="Y3" s="79">
        <f t="shared" si="20"/>
        <v>691.74135855546001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244.39191745485806</v>
      </c>
      <c r="C4" s="96">
        <f t="shared" si="21"/>
        <v>247.54703353396388</v>
      </c>
      <c r="D4" s="96">
        <f t="shared" ref="D4:V4" si="22">SUM(D7,D11)</f>
        <v>205.41461736887359</v>
      </c>
      <c r="E4" s="96">
        <f t="shared" si="22"/>
        <v>199.09475494410998</v>
      </c>
      <c r="F4" s="96">
        <f t="shared" si="22"/>
        <v>227.534135855546</v>
      </c>
      <c r="G4" s="96">
        <f t="shared" si="22"/>
        <v>234.35485812553742</v>
      </c>
      <c r="H4" s="96">
        <f t="shared" si="22"/>
        <v>221.57747205503009</v>
      </c>
      <c r="I4" s="96">
        <f t="shared" si="22"/>
        <v>216.58056749785035</v>
      </c>
      <c r="J4" s="96">
        <f t="shared" si="22"/>
        <v>202.82106620808256</v>
      </c>
      <c r="K4" s="96">
        <f t="shared" si="22"/>
        <v>177.69673258813413</v>
      </c>
      <c r="L4" s="96">
        <f t="shared" si="22"/>
        <v>167.00713671539123</v>
      </c>
      <c r="M4" s="96">
        <f t="shared" si="22"/>
        <v>183.50137575236454</v>
      </c>
      <c r="N4" s="96">
        <f t="shared" si="22"/>
        <v>180.31349957007734</v>
      </c>
      <c r="O4" s="96">
        <f t="shared" si="22"/>
        <v>181.52115219260534</v>
      </c>
      <c r="P4" s="96">
        <f t="shared" si="22"/>
        <v>180.51822871883058</v>
      </c>
      <c r="Q4" s="96">
        <f t="shared" si="22"/>
        <v>178.36079105760956</v>
      </c>
      <c r="R4" s="96">
        <f t="shared" si="22"/>
        <v>189.96259673258811</v>
      </c>
      <c r="S4" s="96">
        <f t="shared" si="22"/>
        <v>188.37901977644023</v>
      </c>
      <c r="T4" s="96">
        <f t="shared" si="22"/>
        <v>177.77850386930351</v>
      </c>
      <c r="U4" s="96">
        <f t="shared" si="22"/>
        <v>159.79079965606189</v>
      </c>
      <c r="V4" s="96">
        <f t="shared" si="22"/>
        <v>61.785296646603605</v>
      </c>
      <c r="W4" s="96">
        <f t="shared" ref="W4:Y4" si="23">SUM(W7,W11)</f>
        <v>70.674978503869298</v>
      </c>
      <c r="X4" s="96">
        <f t="shared" si="23"/>
        <v>106.52691315563195</v>
      </c>
      <c r="Y4" s="96">
        <f t="shared" si="23"/>
        <v>109.70937231298365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713.0911435941531</v>
      </c>
      <c r="C5" s="96">
        <f t="shared" si="24"/>
        <v>726.78417884780754</v>
      </c>
      <c r="D5" s="96">
        <f t="shared" ref="D5:V5" si="25">SUM(D8:D9,D12:D13)</f>
        <v>538.2416165090284</v>
      </c>
      <c r="E5" s="96">
        <f t="shared" si="25"/>
        <v>523.49527085124657</v>
      </c>
      <c r="F5" s="96">
        <f t="shared" si="25"/>
        <v>641.4660361134994</v>
      </c>
      <c r="G5" s="96">
        <f t="shared" si="25"/>
        <v>646.73258813413577</v>
      </c>
      <c r="H5" s="96">
        <f t="shared" si="25"/>
        <v>677.27858985382647</v>
      </c>
      <c r="I5" s="96">
        <f t="shared" si="25"/>
        <v>667.79879621668101</v>
      </c>
      <c r="J5" s="96">
        <f t="shared" si="25"/>
        <v>801.5692175408426</v>
      </c>
      <c r="K5" s="96">
        <f t="shared" si="25"/>
        <v>730.99742046431629</v>
      </c>
      <c r="L5" s="96">
        <f t="shared" si="25"/>
        <v>706.77128116938968</v>
      </c>
      <c r="M5" s="96">
        <f t="shared" si="25"/>
        <v>759.43680137575211</v>
      </c>
      <c r="N5" s="96">
        <f t="shared" si="25"/>
        <v>722.57093723129833</v>
      </c>
      <c r="O5" s="96">
        <f t="shared" si="25"/>
        <v>815.26225279449727</v>
      </c>
      <c r="P5" s="96">
        <f t="shared" si="25"/>
        <v>740.47721410146141</v>
      </c>
      <c r="Q5" s="96">
        <f t="shared" si="25"/>
        <v>758.38349097162495</v>
      </c>
      <c r="R5" s="96">
        <f t="shared" si="25"/>
        <v>842.64832330180536</v>
      </c>
      <c r="S5" s="96">
        <f t="shared" si="25"/>
        <v>894.58297506448878</v>
      </c>
      <c r="T5" s="96">
        <f t="shared" si="25"/>
        <v>941.84110060189175</v>
      </c>
      <c r="U5" s="96">
        <f t="shared" si="25"/>
        <v>894.55202063628553</v>
      </c>
      <c r="V5" s="96">
        <f t="shared" si="25"/>
        <v>344.08323301805683</v>
      </c>
      <c r="W5" s="96">
        <f t="shared" ref="W5:Y5" si="26">SUM(W8:W9,W12:W13)</f>
        <v>358.89905417024931</v>
      </c>
      <c r="X5" s="96">
        <f t="shared" si="26"/>
        <v>628.189165950129</v>
      </c>
      <c r="Y5" s="96">
        <f t="shared" si="26"/>
        <v>582.03198624247636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943.99507078917725</v>
      </c>
      <c r="C6" s="21">
        <f t="shared" si="27"/>
        <v>958.566438061241</v>
      </c>
      <c r="D6" s="21">
        <f t="shared" ref="D6:V6" si="28">SUM(D7:D9)</f>
        <v>726.27385427014838</v>
      </c>
      <c r="E6" s="21">
        <f t="shared" si="28"/>
        <v>700.40230463350247</v>
      </c>
      <c r="F6" s="21">
        <f t="shared" si="28"/>
        <v>839.57503292173715</v>
      </c>
      <c r="G6" s="21">
        <f t="shared" si="28"/>
        <v>847.62557552904195</v>
      </c>
      <c r="H6" s="21">
        <f t="shared" si="28"/>
        <v>861.88934057506492</v>
      </c>
      <c r="I6" s="21">
        <f t="shared" si="28"/>
        <v>846.7776235751478</v>
      </c>
      <c r="J6" s="21">
        <f t="shared" si="28"/>
        <v>962.07139713038794</v>
      </c>
      <c r="K6" s="21">
        <f t="shared" si="28"/>
        <v>875.61041140992677</v>
      </c>
      <c r="L6" s="21">
        <f t="shared" si="28"/>
        <v>837.53405667738184</v>
      </c>
      <c r="M6" s="21">
        <f t="shared" si="28"/>
        <v>912.00250211617913</v>
      </c>
      <c r="N6" s="21">
        <f t="shared" si="28"/>
        <v>878.07642057853263</v>
      </c>
      <c r="O6" s="21">
        <f t="shared" si="28"/>
        <v>977.29533559279957</v>
      </c>
      <c r="P6" s="21">
        <f t="shared" si="28"/>
        <v>906.87234097796068</v>
      </c>
      <c r="Q6" s="21">
        <f t="shared" si="28"/>
        <v>923.76245244573727</v>
      </c>
      <c r="R6" s="21">
        <f t="shared" si="28"/>
        <v>1021.6773604904608</v>
      </c>
      <c r="S6" s="21">
        <f t="shared" si="28"/>
        <v>1072.3982666229235</v>
      </c>
      <c r="T6" s="21">
        <f t="shared" si="28"/>
        <v>1109.640006157593</v>
      </c>
      <c r="U6" s="21">
        <f t="shared" si="28"/>
        <v>1042.4476779862512</v>
      </c>
      <c r="V6" s="21">
        <f t="shared" si="28"/>
        <v>391.79903767380154</v>
      </c>
      <c r="W6" s="21">
        <f t="shared" ref="W6:Y6" si="29">SUM(W7:W9)</f>
        <v>415.26363519501376</v>
      </c>
      <c r="X6" s="21">
        <f t="shared" si="29"/>
        <v>712.208651235562</v>
      </c>
      <c r="Y6" s="21">
        <f t="shared" si="29"/>
        <v>675.08674074543228</v>
      </c>
      <c r="DA6" s="189" t="s">
        <v>280</v>
      </c>
    </row>
    <row r="7" spans="1:105" ht="11.45" customHeight="1" x14ac:dyDescent="0.25">
      <c r="A7" s="83" t="s">
        <v>27</v>
      </c>
      <c r="B7" s="96">
        <v>243.12907724753327</v>
      </c>
      <c r="C7" s="96">
        <v>246.46845462909079</v>
      </c>
      <c r="D7" s="96">
        <v>204.20905236578014</v>
      </c>
      <c r="E7" s="96">
        <v>197.71902651633701</v>
      </c>
      <c r="F7" s="96">
        <v>225.20565389853633</v>
      </c>
      <c r="G7" s="96">
        <v>231.67042355775573</v>
      </c>
      <c r="H7" s="96">
        <v>218.37515175487957</v>
      </c>
      <c r="I7" s="96">
        <v>212.71921587524065</v>
      </c>
      <c r="J7" s="96">
        <v>198.95123713975275</v>
      </c>
      <c r="K7" s="96">
        <v>174.76676139809558</v>
      </c>
      <c r="L7" s="96">
        <v>164.60810198351476</v>
      </c>
      <c r="M7" s="96">
        <v>181.35926972033675</v>
      </c>
      <c r="N7" s="96">
        <v>178.18700242999819</v>
      </c>
      <c r="O7" s="96">
        <v>179.47774824142019</v>
      </c>
      <c r="P7" s="96">
        <v>178.66435960348784</v>
      </c>
      <c r="Q7" s="96">
        <v>176.57362453433865</v>
      </c>
      <c r="R7" s="96">
        <v>188.37399115528578</v>
      </c>
      <c r="S7" s="96">
        <v>186.67284483087289</v>
      </c>
      <c r="T7" s="96">
        <v>176.53485705831486</v>
      </c>
      <c r="U7" s="96">
        <v>158.99431411642624</v>
      </c>
      <c r="V7" s="96">
        <v>61.184856703748778</v>
      </c>
      <c r="W7" s="96">
        <v>69.8591273825119</v>
      </c>
      <c r="X7" s="96">
        <v>105.59555361830616</v>
      </c>
      <c r="Y7" s="96">
        <v>108.93336275691748</v>
      </c>
      <c r="DA7" s="171" t="s">
        <v>281</v>
      </c>
    </row>
    <row r="8" spans="1:105" ht="11.45" customHeight="1" x14ac:dyDescent="0.25">
      <c r="A8" s="83" t="s">
        <v>181</v>
      </c>
      <c r="B8" s="96">
        <v>536.73199009770235</v>
      </c>
      <c r="C8" s="96">
        <v>559.54984849407981</v>
      </c>
      <c r="D8" s="96">
        <v>412.74281858077308</v>
      </c>
      <c r="E8" s="96">
        <v>392.94719785135794</v>
      </c>
      <c r="F8" s="96">
        <v>462.88780950989599</v>
      </c>
      <c r="G8" s="96">
        <v>463.99430933877682</v>
      </c>
      <c r="H8" s="96">
        <v>488.0731457124399</v>
      </c>
      <c r="I8" s="96">
        <v>483.59424789953988</v>
      </c>
      <c r="J8" s="96">
        <v>579.41746188135858</v>
      </c>
      <c r="K8" s="96">
        <v>522.66883274597649</v>
      </c>
      <c r="L8" s="96">
        <v>502.43959575619391</v>
      </c>
      <c r="M8" s="96">
        <v>549.72550937979611</v>
      </c>
      <c r="N8" s="96">
        <v>521.72502664613933</v>
      </c>
      <c r="O8" s="96">
        <v>595.09843090571871</v>
      </c>
      <c r="P8" s="96">
        <v>544.75604335594255</v>
      </c>
      <c r="Q8" s="96">
        <v>559.32536510080581</v>
      </c>
      <c r="R8" s="96">
        <v>632.82495031429505</v>
      </c>
      <c r="S8" s="96">
        <v>679.2671890819754</v>
      </c>
      <c r="T8" s="96">
        <v>710.63911732826057</v>
      </c>
      <c r="U8" s="96">
        <v>663.52192972638943</v>
      </c>
      <c r="V8" s="96">
        <v>229.6449216961251</v>
      </c>
      <c r="W8" s="96">
        <v>250.13647632360656</v>
      </c>
      <c r="X8" s="96">
        <v>464.18555481769255</v>
      </c>
      <c r="Y8" s="96">
        <v>430.06388974168806</v>
      </c>
      <c r="DA8" s="171" t="s">
        <v>282</v>
      </c>
    </row>
    <row r="9" spans="1:105" ht="11.45" customHeight="1" x14ac:dyDescent="0.25">
      <c r="A9" s="83" t="s">
        <v>182</v>
      </c>
      <c r="B9" s="96">
        <v>164.13400344394162</v>
      </c>
      <c r="C9" s="96">
        <v>152.54813493807038</v>
      </c>
      <c r="D9" s="96">
        <v>109.32198332359519</v>
      </c>
      <c r="E9" s="96">
        <v>109.7360802658076</v>
      </c>
      <c r="F9" s="96">
        <v>151.48156951330481</v>
      </c>
      <c r="G9" s="96">
        <v>151.96084263250941</v>
      </c>
      <c r="H9" s="96">
        <v>155.44104310774546</v>
      </c>
      <c r="I9" s="96">
        <v>150.4641598003673</v>
      </c>
      <c r="J9" s="96">
        <v>183.70269810927664</v>
      </c>
      <c r="K9" s="96">
        <v>178.17481726585467</v>
      </c>
      <c r="L9" s="96">
        <v>170.48635893767326</v>
      </c>
      <c r="M9" s="96">
        <v>180.91772301604624</v>
      </c>
      <c r="N9" s="96">
        <v>178.16439150239509</v>
      </c>
      <c r="O9" s="96">
        <v>202.71915644566064</v>
      </c>
      <c r="P9" s="96">
        <v>183.45193801853034</v>
      </c>
      <c r="Q9" s="96">
        <v>187.86346281059275</v>
      </c>
      <c r="R9" s="96">
        <v>200.47841902087993</v>
      </c>
      <c r="S9" s="96">
        <v>206.45823271007527</v>
      </c>
      <c r="T9" s="96">
        <v>222.46603177101753</v>
      </c>
      <c r="U9" s="96">
        <v>219.93143414343538</v>
      </c>
      <c r="V9" s="96">
        <v>100.96925927392766</v>
      </c>
      <c r="W9" s="96">
        <v>95.268031488895275</v>
      </c>
      <c r="X9" s="96">
        <v>142.42754279956333</v>
      </c>
      <c r="Y9" s="96">
        <v>136.0894882468267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13.487990259833865</v>
      </c>
      <c r="C10" s="22">
        <f t="shared" si="30"/>
        <v>15.764774320530469</v>
      </c>
      <c r="D10" s="22">
        <f t="shared" ref="D10:V10" si="31">SUM(D11:D13)</f>
        <v>17.382379607753506</v>
      </c>
      <c r="E10" s="22">
        <f t="shared" si="31"/>
        <v>22.187721161853986</v>
      </c>
      <c r="F10" s="22">
        <f t="shared" si="31"/>
        <v>29.425139047308356</v>
      </c>
      <c r="G10" s="22">
        <f t="shared" si="31"/>
        <v>33.461870730631247</v>
      </c>
      <c r="H10" s="22">
        <f t="shared" si="31"/>
        <v>36.96672133379159</v>
      </c>
      <c r="I10" s="22">
        <f t="shared" si="31"/>
        <v>37.601740139383502</v>
      </c>
      <c r="J10" s="22">
        <f t="shared" si="31"/>
        <v>42.318886618537235</v>
      </c>
      <c r="K10" s="22">
        <f t="shared" si="31"/>
        <v>33.083741642523677</v>
      </c>
      <c r="L10" s="22">
        <f t="shared" si="31"/>
        <v>36.244361207398953</v>
      </c>
      <c r="M10" s="22">
        <f t="shared" si="31"/>
        <v>30.935675011937569</v>
      </c>
      <c r="N10" s="22">
        <f t="shared" si="31"/>
        <v>24.808016222843037</v>
      </c>
      <c r="O10" s="22">
        <f t="shared" si="31"/>
        <v>19.488069394303047</v>
      </c>
      <c r="P10" s="22">
        <f t="shared" si="31"/>
        <v>14.12310184233128</v>
      </c>
      <c r="Q10" s="22">
        <f t="shared" si="31"/>
        <v>12.981829583497195</v>
      </c>
      <c r="R10" s="22">
        <f t="shared" si="31"/>
        <v>10.93355954393277</v>
      </c>
      <c r="S10" s="22">
        <f t="shared" si="31"/>
        <v>10.563728218005451</v>
      </c>
      <c r="T10" s="22">
        <f t="shared" si="31"/>
        <v>9.9795983136022848</v>
      </c>
      <c r="U10" s="22">
        <f t="shared" si="31"/>
        <v>11.895142306096426</v>
      </c>
      <c r="V10" s="22">
        <f t="shared" si="31"/>
        <v>14.069491990858909</v>
      </c>
      <c r="W10" s="22">
        <f t="shared" ref="W10:Y10" si="32">SUM(W11:W13)</f>
        <v>14.310397479104884</v>
      </c>
      <c r="X10" s="22">
        <f t="shared" si="32"/>
        <v>22.507427870198942</v>
      </c>
      <c r="Y10" s="22">
        <f t="shared" si="32"/>
        <v>16.654617810027666</v>
      </c>
      <c r="DA10" s="193" t="s">
        <v>284</v>
      </c>
    </row>
    <row r="11" spans="1:105" ht="11.45" customHeight="1" x14ac:dyDescent="0.25">
      <c r="A11" s="92" t="s">
        <v>27</v>
      </c>
      <c r="B11" s="97">
        <v>1.2628402073247793</v>
      </c>
      <c r="C11" s="97">
        <v>1.0785789048731036</v>
      </c>
      <c r="D11" s="97">
        <v>1.2055650030934626</v>
      </c>
      <c r="E11" s="97">
        <v>1.3757284277729698</v>
      </c>
      <c r="F11" s="97">
        <v>2.3284819570096826</v>
      </c>
      <c r="G11" s="97">
        <v>2.684434567781695</v>
      </c>
      <c r="H11" s="97">
        <v>3.2023203001505083</v>
      </c>
      <c r="I11" s="97">
        <v>3.8613516226096962</v>
      </c>
      <c r="J11" s="97">
        <v>3.8698290683298167</v>
      </c>
      <c r="K11" s="97">
        <v>2.9299711900385357</v>
      </c>
      <c r="L11" s="97">
        <v>2.3990347318764691</v>
      </c>
      <c r="M11" s="97">
        <v>2.1421060320277818</v>
      </c>
      <c r="N11" s="97">
        <v>2.1264971400791577</v>
      </c>
      <c r="O11" s="97">
        <v>2.0434039511851663</v>
      </c>
      <c r="P11" s="97">
        <v>1.8538691153427511</v>
      </c>
      <c r="Q11" s="97">
        <v>1.787166523270902</v>
      </c>
      <c r="R11" s="97">
        <v>1.5886055773023449</v>
      </c>
      <c r="S11" s="97">
        <v>1.7061749455673527</v>
      </c>
      <c r="T11" s="97">
        <v>1.2436468109886434</v>
      </c>
      <c r="U11" s="97">
        <v>0.79648553963565771</v>
      </c>
      <c r="V11" s="97">
        <v>0.60043994285482727</v>
      </c>
      <c r="W11" s="97">
        <v>0.81585112135739479</v>
      </c>
      <c r="X11" s="97">
        <v>0.93135953732579668</v>
      </c>
      <c r="Y11" s="97">
        <v>0.77600955606616828</v>
      </c>
      <c r="DA11" s="175" t="s">
        <v>285</v>
      </c>
    </row>
    <row r="12" spans="1:105" ht="11.45" customHeight="1" x14ac:dyDescent="0.25">
      <c r="A12" s="92" t="s">
        <v>181</v>
      </c>
      <c r="B12" s="97">
        <v>5.0303443597018465</v>
      </c>
      <c r="C12" s="97">
        <v>4.5310588299722196</v>
      </c>
      <c r="D12" s="97">
        <v>4.8759236548274858</v>
      </c>
      <c r="E12" s="97">
        <v>5.4829475032977095</v>
      </c>
      <c r="F12" s="97">
        <v>7.6304027250192359</v>
      </c>
      <c r="G12" s="97">
        <v>8.9421216555020333</v>
      </c>
      <c r="H12" s="97">
        <v>10.385235871515107</v>
      </c>
      <c r="I12" s="97">
        <v>11.975483956931608</v>
      </c>
      <c r="J12" s="97">
        <v>14.04042338431514</v>
      </c>
      <c r="K12" s="97">
        <v>11.265864949190833</v>
      </c>
      <c r="L12" s="97">
        <v>10.993063150966101</v>
      </c>
      <c r="M12" s="97">
        <v>8.1047104305201589</v>
      </c>
      <c r="N12" s="97">
        <v>6.5139479493981476</v>
      </c>
      <c r="O12" s="97">
        <v>6.7121697771078903</v>
      </c>
      <c r="P12" s="97">
        <v>5.7788051601492771</v>
      </c>
      <c r="Q12" s="97">
        <v>6.0230790398588381</v>
      </c>
      <c r="R12" s="97">
        <v>5.5713900452799638</v>
      </c>
      <c r="S12" s="97">
        <v>6.0049526617426441</v>
      </c>
      <c r="T12" s="97">
        <v>6.4470800637770145</v>
      </c>
      <c r="U12" s="97">
        <v>9.5348269652159576</v>
      </c>
      <c r="V12" s="97">
        <v>11.127947812791895</v>
      </c>
      <c r="W12" s="97">
        <v>10.659990422738264</v>
      </c>
      <c r="X12" s="97">
        <v>8.7890551741811862</v>
      </c>
      <c r="Y12" s="97">
        <v>6.1389967019466116</v>
      </c>
      <c r="DA12" s="175" t="s">
        <v>286</v>
      </c>
    </row>
    <row r="13" spans="1:105" ht="11.45" customHeight="1" x14ac:dyDescent="0.25">
      <c r="A13" s="85" t="s">
        <v>182</v>
      </c>
      <c r="B13" s="98">
        <v>7.1948056928072388</v>
      </c>
      <c r="C13" s="98">
        <v>10.155136585685145</v>
      </c>
      <c r="D13" s="98">
        <v>11.300890949832556</v>
      </c>
      <c r="E13" s="98">
        <v>15.329045230783308</v>
      </c>
      <c r="F13" s="98">
        <v>19.466254365279436</v>
      </c>
      <c r="G13" s="98">
        <v>21.835314507347515</v>
      </c>
      <c r="H13" s="98">
        <v>23.379165162125975</v>
      </c>
      <c r="I13" s="98">
        <v>21.764904559842197</v>
      </c>
      <c r="J13" s="98">
        <v>24.408634165892273</v>
      </c>
      <c r="K13" s="98">
        <v>18.887905503294306</v>
      </c>
      <c r="L13" s="98">
        <v>22.852263324556379</v>
      </c>
      <c r="M13" s="98">
        <v>20.688858549389629</v>
      </c>
      <c r="N13" s="98">
        <v>16.167571133365733</v>
      </c>
      <c r="O13" s="98">
        <v>10.732495666009989</v>
      </c>
      <c r="P13" s="98">
        <v>6.4904275668392533</v>
      </c>
      <c r="Q13" s="98">
        <v>5.1715840203674537</v>
      </c>
      <c r="R13" s="98">
        <v>3.7735639213504601</v>
      </c>
      <c r="S13" s="98">
        <v>2.8526006106954536</v>
      </c>
      <c r="T13" s="98">
        <v>2.2888714388366278</v>
      </c>
      <c r="U13" s="98">
        <v>1.5638298012448113</v>
      </c>
      <c r="V13" s="98">
        <v>2.3411042352121876</v>
      </c>
      <c r="W13" s="98">
        <v>2.8345559350092233</v>
      </c>
      <c r="X13" s="98">
        <v>12.787013158691959</v>
      </c>
      <c r="Y13" s="98">
        <v>9.7396115520148854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484.83812378997584</v>
      </c>
      <c r="C17" s="62">
        <f>IF(C3=0,0,C3/TrAvia_act!C13*100)</f>
        <v>504.46456079817528</v>
      </c>
      <c r="D17" s="62">
        <f>IF(D3=0,0,D3/TrAvia_act!D13*100)</f>
        <v>427.40678891145387</v>
      </c>
      <c r="E17" s="62">
        <f>IF(E3=0,0,E3/TrAvia_act!E13*100)</f>
        <v>433.39248556225112</v>
      </c>
      <c r="F17" s="62">
        <f>IF(F3=0,0,F3/TrAvia_act!F13*100)</f>
        <v>487.22478848060621</v>
      </c>
      <c r="G17" s="62">
        <f>IF(G3=0,0,G3/TrAvia_act!G13*100)</f>
        <v>490.8898849291848</v>
      </c>
      <c r="H17" s="62">
        <f>IF(H3=0,0,H3/TrAvia_act!H13*100)</f>
        <v>467.81508114407353</v>
      </c>
      <c r="I17" s="62">
        <f>IF(I3=0,0,I3/TrAvia_act!I13*100)</f>
        <v>448.18221329418827</v>
      </c>
      <c r="J17" s="62">
        <f>IF(J3=0,0,J3/TrAvia_act!J13*100)</f>
        <v>476.28976118312033</v>
      </c>
      <c r="K17" s="62">
        <f>IF(K3=0,0,K3/TrAvia_act!K13*100)</f>
        <v>482.53232426244625</v>
      </c>
      <c r="L17" s="62">
        <f>IF(L3=0,0,L3/TrAvia_act!L13*100)</f>
        <v>449.29855679636847</v>
      </c>
      <c r="M17" s="62">
        <f>IF(M3=0,0,M3/TrAvia_act!M13*100)</f>
        <v>445.77266804289468</v>
      </c>
      <c r="N17" s="62">
        <f>IF(N3=0,0,N3/TrAvia_act!N13*100)</f>
        <v>440.22379081400135</v>
      </c>
      <c r="O17" s="62">
        <f>IF(O3=0,0,O3/TrAvia_act!O13*100)</f>
        <v>467.44789325807233</v>
      </c>
      <c r="P17" s="62">
        <f>IF(P3=0,0,P3/TrAvia_act!P13*100)</f>
        <v>419.62093839068456</v>
      </c>
      <c r="Q17" s="62">
        <f>IF(Q3=0,0,Q3/TrAvia_act!Q13*100)</f>
        <v>425.96705408850039</v>
      </c>
      <c r="R17" s="62">
        <f>IF(R3=0,0,R3/TrAvia_act!R13*100)</f>
        <v>446.62756285981101</v>
      </c>
      <c r="S17" s="62">
        <f>IF(S3=0,0,S3/TrAvia_act!S13*100)</f>
        <v>434.25800049044534</v>
      </c>
      <c r="T17" s="62">
        <f>IF(T3=0,0,T3/TrAvia_act!T13*100)</f>
        <v>441.74842648782624</v>
      </c>
      <c r="U17" s="62">
        <f>IF(U3=0,0,U3/TrAvia_act!U13*100)</f>
        <v>438.8667738399522</v>
      </c>
      <c r="V17" s="62">
        <f>IF(V3=0,0,V3/TrAvia_act!V13*100)</f>
        <v>516.17226459593553</v>
      </c>
      <c r="W17" s="62">
        <f>IF(W3=0,0,W3/TrAvia_act!W13*100)</f>
        <v>480.61573528235459</v>
      </c>
      <c r="X17" s="62">
        <f>IF(X3=0,0,X3/TrAvia_act!X13*100)</f>
        <v>463.29443395028329</v>
      </c>
      <c r="Y17" s="62">
        <f>IF(Y3=0,0,Y3/TrAvia_act!Y13*100)</f>
        <v>378.48025122627769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483.81433424766317</v>
      </c>
      <c r="C18" s="14">
        <f>IF(C6=0,0,C6/TrAvia_act!C14*100)</f>
        <v>502.91425712399518</v>
      </c>
      <c r="D18" s="14">
        <f>IF(D6=0,0,D6/TrAvia_act!D14*100)</f>
        <v>425.57178953658763</v>
      </c>
      <c r="E18" s="14">
        <f>IF(E6=0,0,E6/TrAvia_act!E14*100)</f>
        <v>430.93136187224673</v>
      </c>
      <c r="F18" s="14">
        <f>IF(F6=0,0,F6/TrAvia_act!F14*100)</f>
        <v>484.44704248946522</v>
      </c>
      <c r="G18" s="14">
        <f>IF(G6=0,0,G6/TrAvia_act!G14*100)</f>
        <v>489.78865431180071</v>
      </c>
      <c r="H18" s="14">
        <f>IF(H6=0,0,H6/TrAvia_act!H14*100)</f>
        <v>466.96447459592451</v>
      </c>
      <c r="I18" s="14">
        <f>IF(I6=0,0,I6/TrAvia_act!I14*100)</f>
        <v>449.0634075279263</v>
      </c>
      <c r="J18" s="14">
        <f>IF(J6=0,0,J6/TrAvia_act!J14*100)</f>
        <v>477.36420302902525</v>
      </c>
      <c r="K18" s="14">
        <f>IF(K6=0,0,K6/TrAvia_act!K14*100)</f>
        <v>482.868148654614</v>
      </c>
      <c r="L18" s="14">
        <f>IF(L6=0,0,L6/TrAvia_act!L14*100)</f>
        <v>448.58380584845781</v>
      </c>
      <c r="M18" s="14">
        <f>IF(M6=0,0,M6/TrAvia_act!M14*100)</f>
        <v>445.0726505094928</v>
      </c>
      <c r="N18" s="14">
        <f>IF(N6=0,0,N6/TrAvia_act!N14*100)</f>
        <v>439.63882931983028</v>
      </c>
      <c r="O18" s="14">
        <f>IF(O6=0,0,O6/TrAvia_act!O14*100)</f>
        <v>467.77857183217793</v>
      </c>
      <c r="P18" s="14">
        <f>IF(P6=0,0,P6/TrAvia_act!P14*100)</f>
        <v>420.69294182385806</v>
      </c>
      <c r="Q18" s="14">
        <f>IF(Q6=0,0,Q6/TrAvia_act!Q14*100)</f>
        <v>427.32268345170314</v>
      </c>
      <c r="R18" s="14">
        <f>IF(R6=0,0,R6/TrAvia_act!R14*100)</f>
        <v>448.03178943386592</v>
      </c>
      <c r="S18" s="14">
        <f>IF(S6=0,0,S6/TrAvia_act!S14*100)</f>
        <v>435.55401294176789</v>
      </c>
      <c r="T18" s="14">
        <f>IF(T6=0,0,T6/TrAvia_act!T14*100)</f>
        <v>442.77315399534461</v>
      </c>
      <c r="U18" s="14">
        <f>IF(U6=0,0,U6/TrAvia_act!U14*100)</f>
        <v>439.41181288585403</v>
      </c>
      <c r="V18" s="14">
        <f>IF(V6=0,0,V6/TrAvia_act!V14*100)</f>
        <v>518.37898833854013</v>
      </c>
      <c r="W18" s="14">
        <f>IF(W6=0,0,W6/TrAvia_act!W14*100)</f>
        <v>483.17385700688186</v>
      </c>
      <c r="X18" s="14">
        <f>IF(X6=0,0,X6/TrAvia_act!X14*100)</f>
        <v>463.60566973934436</v>
      </c>
      <c r="Y18" s="14">
        <f>IF(Y6=0,0,Y6/TrAvia_act!Y14*100)</f>
        <v>378.20979669142969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408.57408552400472</v>
      </c>
      <c r="C19" s="87">
        <f>IF(C7=0,0,C7/TrAvia_act!C15*100)</f>
        <v>422.78827865191647</v>
      </c>
      <c r="D19" s="87">
        <f>IF(D7=0,0,D7/TrAvia_act!D15*100)</f>
        <v>376.68232935466983</v>
      </c>
      <c r="E19" s="87">
        <f>IF(E7=0,0,E7/TrAvia_act!E15*100)</f>
        <v>389.32750269496967</v>
      </c>
      <c r="F19" s="87">
        <f>IF(F7=0,0,F7/TrAvia_act!F15*100)</f>
        <v>424.11954214701632</v>
      </c>
      <c r="G19" s="87">
        <f>IF(G7=0,0,G7/TrAvia_act!G15*100)</f>
        <v>453.6734744475915</v>
      </c>
      <c r="H19" s="87">
        <f>IF(H7=0,0,H7/TrAvia_act!H15*100)</f>
        <v>444.67841028219055</v>
      </c>
      <c r="I19" s="87">
        <f>IF(I7=0,0,I7/TrAvia_act!I15*100)</f>
        <v>454.11464720503528</v>
      </c>
      <c r="J19" s="87">
        <f>IF(J7=0,0,J7/TrAvia_act!J15*100)</f>
        <v>420.14906313438479</v>
      </c>
      <c r="K19" s="87">
        <f>IF(K7=0,0,K7/TrAvia_act!K15*100)</f>
        <v>389.52078995705784</v>
      </c>
      <c r="L19" s="87">
        <f>IF(L7=0,0,L7/TrAvia_act!L15*100)</f>
        <v>375.79954158747569</v>
      </c>
      <c r="M19" s="87">
        <f>IF(M7=0,0,M7/TrAvia_act!M15*100)</f>
        <v>379.54875647870352</v>
      </c>
      <c r="N19" s="87">
        <f>IF(N7=0,0,N7/TrAvia_act!N15*100)</f>
        <v>381.9222030653213</v>
      </c>
      <c r="O19" s="87">
        <f>IF(O7=0,0,O7/TrAvia_act!O15*100)</f>
        <v>383.24920638355002</v>
      </c>
      <c r="P19" s="87">
        <f>IF(P7=0,0,P7/TrAvia_act!P15*100)</f>
        <v>372.70671703119177</v>
      </c>
      <c r="Q19" s="87">
        <f>IF(Q7=0,0,Q7/TrAvia_act!Q15*100)</f>
        <v>374.48316074139001</v>
      </c>
      <c r="R19" s="87">
        <f>IF(R7=0,0,R7/TrAvia_act!R15*100)</f>
        <v>387.76035613807596</v>
      </c>
      <c r="S19" s="87">
        <f>IF(S7=0,0,S7/TrAvia_act!S15*100)</f>
        <v>377.78586540490886</v>
      </c>
      <c r="T19" s="87">
        <f>IF(T7=0,0,T7/TrAvia_act!T15*100)</f>
        <v>365.03867823744758</v>
      </c>
      <c r="U19" s="87">
        <f>IF(U7=0,0,U7/TrAvia_act!U15*100)</f>
        <v>360.92198982993347</v>
      </c>
      <c r="V19" s="87">
        <f>IF(V7=0,0,V7/TrAvia_act!V15*100)</f>
        <v>368.16829867815915</v>
      </c>
      <c r="W19" s="87">
        <f>IF(W7=0,0,W7/TrAvia_act!W15*100)</f>
        <v>397.69671016695702</v>
      </c>
      <c r="X19" s="87">
        <f>IF(X7=0,0,X7/TrAvia_act!X15*100)</f>
        <v>399.29053497821627</v>
      </c>
      <c r="Y19" s="87">
        <f>IF(Y7=0,0,Y7/TrAvia_act!Y15*100)</f>
        <v>367.02639579264138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473.03185897783322</v>
      </c>
      <c r="C20" s="87">
        <f>IF(C8=0,0,C8/TrAvia_act!C16*100)</f>
        <v>496.26038399209216</v>
      </c>
      <c r="D20" s="87">
        <f>IF(D8=0,0,D8/TrAvia_act!D16*100)</f>
        <v>414.265596649933</v>
      </c>
      <c r="E20" s="87">
        <f>IF(E8=0,0,E8/TrAvia_act!E16*100)</f>
        <v>414.34933834332907</v>
      </c>
      <c r="F20" s="87">
        <f>IF(F8=0,0,F8/TrAvia_act!F16*100)</f>
        <v>465.72045685883739</v>
      </c>
      <c r="G20" s="87">
        <f>IF(G8=0,0,G8/TrAvia_act!G16*100)</f>
        <v>483.97399520996328</v>
      </c>
      <c r="H20" s="87">
        <f>IF(H8=0,0,H8/TrAvia_act!H16*100)</f>
        <v>452.91316107700277</v>
      </c>
      <c r="I20" s="87">
        <f>IF(I8=0,0,I8/TrAvia_act!I16*100)</f>
        <v>436.00976815235566</v>
      </c>
      <c r="J20" s="87">
        <f>IF(J8=0,0,J8/TrAvia_act!J16*100)</f>
        <v>493.55984959456941</v>
      </c>
      <c r="K20" s="87">
        <f>IF(K8=0,0,K8/TrAvia_act!K16*100)</f>
        <v>516.4620817184225</v>
      </c>
      <c r="L20" s="87">
        <f>IF(L8=0,0,L8/TrAvia_act!L16*100)</f>
        <v>473.34462353863194</v>
      </c>
      <c r="M20" s="87">
        <f>IF(M8=0,0,M8/TrAvia_act!M16*100)</f>
        <v>466.16940374362298</v>
      </c>
      <c r="N20" s="87">
        <f>IF(N8=0,0,N8/TrAvia_act!N16*100)</f>
        <v>455.74512680486345</v>
      </c>
      <c r="O20" s="87">
        <f>IF(O8=0,0,O8/TrAvia_act!O16*100)</f>
        <v>497.38925813786369</v>
      </c>
      <c r="P20" s="87">
        <f>IF(P8=0,0,P8/TrAvia_act!P16*100)</f>
        <v>450.96428321754979</v>
      </c>
      <c r="Q20" s="87">
        <f>IF(Q8=0,0,Q8/TrAvia_act!Q16*100)</f>
        <v>458.75864159126525</v>
      </c>
      <c r="R20" s="87">
        <f>IF(R8=0,0,R8/TrAvia_act!R16*100)</f>
        <v>483.35117306140177</v>
      </c>
      <c r="S20" s="87">
        <f>IF(S8=0,0,S8/TrAvia_act!S16*100)</f>
        <v>472.94785348521475</v>
      </c>
      <c r="T20" s="87">
        <f>IF(T8=0,0,T8/TrAvia_act!T16*100)</f>
        <v>491.14877961647824</v>
      </c>
      <c r="U20" s="87">
        <f>IF(U8=0,0,U8/TrAvia_act!U16*100)</f>
        <v>483.24582730208238</v>
      </c>
      <c r="V20" s="87">
        <f>IF(V8=0,0,V8/TrAvia_act!V16*100)</f>
        <v>566.66091881920386</v>
      </c>
      <c r="W20" s="87">
        <f>IF(W8=0,0,W8/TrAvia_act!W16*100)</f>
        <v>501.07163515554402</v>
      </c>
      <c r="X20" s="87">
        <f>IF(X8=0,0,X8/TrAvia_act!X16*100)</f>
        <v>493.02487001108358</v>
      </c>
      <c r="Y20" s="87">
        <f>IF(Y8=0,0,Y8/TrAvia_act!Y16*100)</f>
        <v>381.33853479535389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741.27667480107311</v>
      </c>
      <c r="C21" s="87">
        <f>IF(C9=0,0,C9/TrAvia_act!C17*100)</f>
        <v>780.17250594012296</v>
      </c>
      <c r="D21" s="87">
        <f>IF(D9=0,0,D9/TrAvia_act!D17*100)</f>
        <v>650.20705827988934</v>
      </c>
      <c r="E21" s="87">
        <f>IF(E9=0,0,E9/TrAvia_act!E17*100)</f>
        <v>648.83823315500388</v>
      </c>
      <c r="F21" s="87">
        <f>IF(F9=0,0,F9/TrAvia_act!F17*100)</f>
        <v>727.76935503316497</v>
      </c>
      <c r="G21" s="87">
        <f>IF(G9=0,0,G9/TrAvia_act!G17*100)</f>
        <v>581.72939586905579</v>
      </c>
      <c r="H21" s="87">
        <f>IF(H9=0,0,H9/TrAvia_act!H17*100)</f>
        <v>561.13561092691612</v>
      </c>
      <c r="I21" s="87">
        <f>IF(I9=0,0,I9/TrAvia_act!I17*100)</f>
        <v>488.37699910665731</v>
      </c>
      <c r="J21" s="87">
        <f>IF(J9=0,0,J9/TrAvia_act!J17*100)</f>
        <v>499.32620440562704</v>
      </c>
      <c r="K21" s="87">
        <f>IF(K9=0,0,K9/TrAvia_act!K17*100)</f>
        <v>505.22544346020516</v>
      </c>
      <c r="L21" s="87">
        <f>IF(L9=0,0,L9/TrAvia_act!L17*100)</f>
        <v>463.81404654381464</v>
      </c>
      <c r="M21" s="87">
        <f>IF(M9=0,0,M9/TrAvia_act!M17*100)</f>
        <v>461.47671392205956</v>
      </c>
      <c r="N21" s="87">
        <f>IF(N9=0,0,N9/TrAvia_act!N17*100)</f>
        <v>461.63652048207035</v>
      </c>
      <c r="O21" s="87">
        <f>IF(O9=0,0,O9/TrAvia_act!O17*100)</f>
        <v>477.57426751117072</v>
      </c>
      <c r="P21" s="87">
        <f>IF(P9=0,0,P9/TrAvia_act!P17*100)</f>
        <v>391.72932191049262</v>
      </c>
      <c r="Q21" s="87">
        <f>IF(Q9=0,0,Q9/TrAvia_act!Q17*100)</f>
        <v>398.846680826441</v>
      </c>
      <c r="R21" s="87">
        <f>IF(R9=0,0,R9/TrAvia_act!R17*100)</f>
        <v>413.08219841487494</v>
      </c>
      <c r="S21" s="87">
        <f>IF(S9=0,0,S9/TrAvia_act!S17*100)</f>
        <v>388.23775766341583</v>
      </c>
      <c r="T21" s="87">
        <f>IF(T9=0,0,T9/TrAvia_act!T17*100)</f>
        <v>386.48315836022363</v>
      </c>
      <c r="U21" s="87">
        <f>IF(U9=0,0,U9/TrAvia_act!U17*100)</f>
        <v>393.58133254918272</v>
      </c>
      <c r="V21" s="87">
        <f>IF(V9=0,0,V9/TrAvia_act!V17*100)</f>
        <v>547.64839823723696</v>
      </c>
      <c r="W21" s="87">
        <f>IF(W9=0,0,W9/TrAvia_act!W17*100)</f>
        <v>516.11343749348509</v>
      </c>
      <c r="X21" s="87">
        <f>IF(X9=0,0,X9/TrAvia_act!X17*100)</f>
        <v>431.23962438008158</v>
      </c>
      <c r="Y21" s="87">
        <f>IF(Y9=0,0,Y9/TrAvia_act!Y17*100)</f>
        <v>377.62907441183881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569.12548876049289</v>
      </c>
      <c r="C22" s="15">
        <f>IF(C10=0,0,C10/TrAvia_act!C18*100)</f>
        <v>620.8319691683879</v>
      </c>
      <c r="D22" s="15">
        <f>IF(D10=0,0,D10/TrAvia_act!D18*100)</f>
        <v>521.32843152978603</v>
      </c>
      <c r="E22" s="15">
        <f>IF(E10=0,0,E10/TrAvia_act!E18*100)</f>
        <v>528.71134459933739</v>
      </c>
      <c r="F22" s="15">
        <f>IF(F10=0,0,F10/TrAvia_act!F18*100)</f>
        <v>582.52707684339077</v>
      </c>
      <c r="G22" s="15">
        <f>IF(G10=0,0,G10/TrAvia_act!G18*100)</f>
        <v>520.53646127527861</v>
      </c>
      <c r="H22" s="15">
        <f>IF(H10=0,0,H10/TrAvia_act!H18*100)</f>
        <v>488.56457111621171</v>
      </c>
      <c r="I22" s="15">
        <f>IF(I10=0,0,I10/TrAvia_act!I18*100)</f>
        <v>429.21513503325093</v>
      </c>
      <c r="J22" s="15">
        <f>IF(J10=0,0,J10/TrAvia_act!J18*100)</f>
        <v>453.10487997313186</v>
      </c>
      <c r="K22" s="15">
        <f>IF(K10=0,0,K10/TrAvia_act!K18*100)</f>
        <v>473.81094716242512</v>
      </c>
      <c r="L22" s="15">
        <f>IF(L10=0,0,L10/TrAvia_act!L18*100)</f>
        <v>466.47369880537457</v>
      </c>
      <c r="M22" s="15">
        <f>IF(M10=0,0,M10/TrAvia_act!M18*100)</f>
        <v>467.4470575391104</v>
      </c>
      <c r="N22" s="15">
        <f>IF(N10=0,0,N10/TrAvia_act!N18*100)</f>
        <v>461.98060261573505</v>
      </c>
      <c r="O22" s="15">
        <f>IF(O10=0,0,O10/TrAvia_act!O18*100)</f>
        <v>451.44396510623636</v>
      </c>
      <c r="P22" s="15">
        <f>IF(P10=0,0,P10/TrAvia_act!P18*100)</f>
        <v>360.61557421723859</v>
      </c>
      <c r="Q22" s="15">
        <f>IF(Q10=0,0,Q10/TrAvia_act!Q18*100)</f>
        <v>347.51814514637408</v>
      </c>
      <c r="R22" s="15">
        <f>IF(R10=0,0,R10/TrAvia_act!R18*100)</f>
        <v>345.45332703339375</v>
      </c>
      <c r="S22" s="15">
        <f>IF(S10=0,0,S10/TrAvia_act!S18*100)</f>
        <v>333.51383692527151</v>
      </c>
      <c r="T22" s="15">
        <f>IF(T10=0,0,T10/TrAvia_act!T18*100)</f>
        <v>351.33754214210364</v>
      </c>
      <c r="U22" s="15">
        <f>IF(U10=0,0,U10/TrAvia_act!U18*100)</f>
        <v>395.83808712257616</v>
      </c>
      <c r="V22" s="15">
        <f>IF(V10=0,0,V10/TrAvia_act!V18*100)</f>
        <v>461.46733187783775</v>
      </c>
      <c r="W22" s="15">
        <f>IF(W10=0,0,W10/TrAvia_act!W18*100)</f>
        <v>416.60990011177574</v>
      </c>
      <c r="X22" s="15">
        <f>IF(X10=0,0,X10/TrAvia_act!X18*100)</f>
        <v>453.65725267097537</v>
      </c>
      <c r="Y22" s="15">
        <f>IF(Y10=0,0,Y10/TrAvia_act!Y18*100)</f>
        <v>389.77831641931925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477.19547515461898</v>
      </c>
      <c r="C23" s="101">
        <f>IF(C11=0,0,C11/TrAvia_act!C19*100)</f>
        <v>493.79698974875674</v>
      </c>
      <c r="D23" s="101">
        <f>IF(D11=0,0,D11/TrAvia_act!D19*100)</f>
        <v>439.94739144607217</v>
      </c>
      <c r="E23" s="101">
        <f>IF(E11=0,0,E11/TrAvia_act!E19*100)</f>
        <v>454.71636411059615</v>
      </c>
      <c r="F23" s="101">
        <f>IF(F11=0,0,F11/TrAvia_act!F19*100)</f>
        <v>495.35184341816017</v>
      </c>
      <c r="G23" s="101">
        <f>IF(G11=0,0,G11/TrAvia_act!G19*100)</f>
        <v>529.48909104423785</v>
      </c>
      <c r="H23" s="101">
        <f>IF(H11=0,0,H11/TrAvia_act!H19*100)</f>
        <v>514.29302823004969</v>
      </c>
      <c r="I23" s="101">
        <f>IF(I11=0,0,I11/TrAvia_act!I19*100)</f>
        <v>520.38669410255227</v>
      </c>
      <c r="J23" s="101">
        <f>IF(J11=0,0,J11/TrAvia_act!J19*100)</f>
        <v>476.20546640595256</v>
      </c>
      <c r="K23" s="101">
        <f>IF(K11=0,0,K11/TrAvia_act!K19*100)</f>
        <v>437.76261078744375</v>
      </c>
      <c r="L23" s="101">
        <f>IF(L11=0,0,L11/TrAvia_act!L19*100)</f>
        <v>419.71100351461558</v>
      </c>
      <c r="M23" s="101">
        <f>IF(M11=0,0,M11/TrAvia_act!M19*100)</f>
        <v>429.12701513153479</v>
      </c>
      <c r="N23" s="101">
        <f>IF(N11=0,0,N11/TrAvia_act!N19*100)</f>
        <v>435.66281052275997</v>
      </c>
      <c r="O23" s="101">
        <f>IF(O11=0,0,O11/TrAvia_act!O19*100)</f>
        <v>440.75655465038733</v>
      </c>
      <c r="P23" s="101">
        <f>IF(P11=0,0,P11/TrAvia_act!P19*100)</f>
        <v>431.49777192354026</v>
      </c>
      <c r="Q23" s="101">
        <f>IF(Q11=0,0,Q11/TrAvia_act!Q19*100)</f>
        <v>437.02320848397449</v>
      </c>
      <c r="R23" s="101">
        <f>IF(R11=0,0,R11/TrAvia_act!R19*100)</f>
        <v>454.46089517110818</v>
      </c>
      <c r="S23" s="101">
        <f>IF(S11=0,0,S11/TrAvia_act!S19*100)</f>
        <v>446.03277812721672</v>
      </c>
      <c r="T23" s="101">
        <f>IF(T11=0,0,T11/TrAvia_act!T19*100)</f>
        <v>434.42469965695983</v>
      </c>
      <c r="U23" s="101">
        <f>IF(U11=0,0,U11/TrAvia_act!U19*100)</f>
        <v>445.88746526171707</v>
      </c>
      <c r="V23" s="101">
        <f>IF(V11=0,0,V11/TrAvia_act!V19*100)</f>
        <v>428.64919496063527</v>
      </c>
      <c r="W23" s="101">
        <f>IF(W11=0,0,W11/TrAvia_act!W19*100)</f>
        <v>482.20863797217544</v>
      </c>
      <c r="X23" s="101">
        <f>IF(X11=0,0,X11/TrAvia_act!X19*100)</f>
        <v>494.52812826179991</v>
      </c>
      <c r="Y23" s="101">
        <f>IF(Y11=0,0,Y11/TrAvia_act!Y19*100)</f>
        <v>434.27044339616759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486.37646861034784</v>
      </c>
      <c r="C24" s="101">
        <f>IF(C12=0,0,C12/TrAvia_act!C20*100)</f>
        <v>512.28181370849359</v>
      </c>
      <c r="D24" s="101">
        <f>IF(D12=0,0,D12/TrAvia_act!D20*100)</f>
        <v>426.8617204205645</v>
      </c>
      <c r="E24" s="101">
        <f>IF(E12=0,0,E12/TrAvia_act!E20*100)</f>
        <v>426.04668494145511</v>
      </c>
      <c r="F24" s="101">
        <f>IF(F12=0,0,F12/TrAvia_act!F20*100)</f>
        <v>468.24514063164378</v>
      </c>
      <c r="G24" s="101">
        <f>IF(G12=0,0,G12/TrAvia_act!G20*100)</f>
        <v>496.90292455140866</v>
      </c>
      <c r="H24" s="101">
        <f>IF(H12=0,0,H12/TrAvia_act!H20*100)</f>
        <v>441.28510627249062</v>
      </c>
      <c r="I24" s="101">
        <f>IF(I12=0,0,I12/TrAvia_act!I20*100)</f>
        <v>419.35256916977835</v>
      </c>
      <c r="J24" s="101">
        <f>IF(J12=0,0,J12/TrAvia_act!J20*100)</f>
        <v>474.29848258845465</v>
      </c>
      <c r="K24" s="101">
        <f>IF(K12=0,0,K12/TrAvia_act!K20*100)</f>
        <v>491.75994547659946</v>
      </c>
      <c r="L24" s="101">
        <f>IF(L12=0,0,L12/TrAvia_act!L20*100)</f>
        <v>442.57087425774711</v>
      </c>
      <c r="M24" s="101">
        <f>IF(M12=0,0,M12/TrAvia_act!M20*100)</f>
        <v>434.36026660954082</v>
      </c>
      <c r="N24" s="101">
        <f>IF(N12=0,0,N12/TrAvia_act!N20*100)</f>
        <v>426.67347659751556</v>
      </c>
      <c r="O24" s="101">
        <f>IF(O12=0,0,O12/TrAvia_act!O20*100)</f>
        <v>464.21332542284813</v>
      </c>
      <c r="P24" s="101">
        <f>IF(P12=0,0,P12/TrAvia_act!P20*100)</f>
        <v>423.73003415753681</v>
      </c>
      <c r="Q24" s="101">
        <f>IF(Q12=0,0,Q12/TrAvia_act!Q20*100)</f>
        <v>439.51140867758409</v>
      </c>
      <c r="R24" s="101">
        <f>IF(R12=0,0,R12/TrAvia_act!R20*100)</f>
        <v>465.28903389865593</v>
      </c>
      <c r="S24" s="101">
        <f>IF(S12=0,0,S12/TrAvia_act!S20*100)</f>
        <v>450.92381498110603</v>
      </c>
      <c r="T24" s="101">
        <f>IF(T12=0,0,T12/TrAvia_act!T20*100)</f>
        <v>474.47903466300528</v>
      </c>
      <c r="U24" s="101">
        <f>IF(U12=0,0,U12/TrAvia_act!U20*100)</f>
        <v>458.99886868646183</v>
      </c>
      <c r="V24" s="101">
        <f>IF(V12=0,0,V12/TrAvia_act!V20*100)</f>
        <v>536.56072590838266</v>
      </c>
      <c r="W24" s="101">
        <f>IF(W12=0,0,W12/TrAvia_act!W20*100)</f>
        <v>473.29171056291443</v>
      </c>
      <c r="X24" s="101">
        <f>IF(X12=0,0,X12/TrAvia_act!X20*100)</f>
        <v>478.49560074808875</v>
      </c>
      <c r="Y24" s="101">
        <f>IF(Y12=0,0,Y12/TrAvia_act!Y20*100)</f>
        <v>386.01854838871594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671.74434616146311</v>
      </c>
      <c r="C25" s="88">
        <f>IF(C13=0,0,C13/TrAvia_act!C21*100)</f>
        <v>706.99171808763276</v>
      </c>
      <c r="D25" s="88">
        <f>IF(D13=0,0,D13/TrAvia_act!D21*100)</f>
        <v>589.21713050124481</v>
      </c>
      <c r="E25" s="88">
        <f>IF(E13=0,0,E13/TrAvia_act!E21*100)</f>
        <v>587.97670223770558</v>
      </c>
      <c r="F25" s="88">
        <f>IF(F13=0,0,F13/TrAvia_act!F21*100)</f>
        <v>659.50402349338219</v>
      </c>
      <c r="G25" s="88">
        <f>IF(G13=0,0,G13/TrAvia_act!G21*100)</f>
        <v>529.75367229862229</v>
      </c>
      <c r="H25" s="88">
        <f>IF(H13=0,0,H13/TrAvia_act!H21*100)</f>
        <v>509.31423355535736</v>
      </c>
      <c r="I25" s="88">
        <f>IF(I13=0,0,I13/TrAvia_act!I21*100)</f>
        <v>421.56701897468292</v>
      </c>
      <c r="J25" s="88">
        <f>IF(J13=0,0,J13/TrAvia_act!J21*100)</f>
        <v>438.46274598559603</v>
      </c>
      <c r="K25" s="88">
        <f>IF(K13=0,0,K13/TrAvia_act!K21*100)</f>
        <v>469.58631689097513</v>
      </c>
      <c r="L25" s="88">
        <f>IF(L13=0,0,L13/TrAvia_act!L21*100)</f>
        <v>484.73740066067376</v>
      </c>
      <c r="M25" s="88">
        <f>IF(M13=0,0,M13/TrAvia_act!M21*100)</f>
        <v>486.46099982370561</v>
      </c>
      <c r="N25" s="88">
        <f>IF(N13=0,0,N13/TrAvia_act!N21*100)</f>
        <v>481.87505882546759</v>
      </c>
      <c r="O25" s="88">
        <f>IF(O13=0,0,O13/TrAvia_act!O21*100)</f>
        <v>445.832394956646</v>
      </c>
      <c r="P25" s="88">
        <f>IF(P13=0,0,P13/TrAvia_act!P21*100)</f>
        <v>305.72579005781006</v>
      </c>
      <c r="Q25" s="88">
        <f>IF(Q13=0,0,Q13/TrAvia_act!Q21*100)</f>
        <v>264.36360587408655</v>
      </c>
      <c r="R25" s="88">
        <f>IF(R13=0,0,R13/TrAvia_act!R21*100)</f>
        <v>233.2201478893729</v>
      </c>
      <c r="S25" s="88">
        <f>IF(S13=0,0,S13/TrAvia_act!S21*100)</f>
        <v>196.30044610679496</v>
      </c>
      <c r="T25" s="88">
        <f>IF(T13=0,0,T13/TrAvia_act!T21*100)</f>
        <v>191.47100008807411</v>
      </c>
      <c r="U25" s="88">
        <f>IF(U13=0,0,U13/TrAvia_act!U21*100)</f>
        <v>208.75732173449109</v>
      </c>
      <c r="V25" s="88">
        <f>IF(V13=0,0,V13/TrAvia_act!V21*100)</f>
        <v>280.42465455368142</v>
      </c>
      <c r="W25" s="88">
        <f>IF(W13=0,0,W13/TrAvia_act!W21*100)</f>
        <v>279.6897995494682</v>
      </c>
      <c r="X25" s="88">
        <f>IF(X13=0,0,X13/TrAvia_act!X21*100)</f>
        <v>435.49741391324216</v>
      </c>
      <c r="Y25" s="88">
        <f>IF(Y13=0,0,Y13/TrAvia_act!Y21*100)</f>
        <v>388.99106975281467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50.129006907190615</v>
      </c>
      <c r="C28" s="14">
        <f>IF(C6=0,0,C6/TrAvia_act!C4*1000)</f>
        <v>51.46121333617635</v>
      </c>
      <c r="D28" s="14">
        <f>IF(D6=0,0,D6/TrAvia_act!D4*1000)</f>
        <v>43.53324057543022</v>
      </c>
      <c r="E28" s="14">
        <f>IF(E6=0,0,E6/TrAvia_act!E4*1000)</f>
        <v>45.244584041866453</v>
      </c>
      <c r="F28" s="14">
        <f>IF(F6=0,0,F6/TrAvia_act!F4*1000)</f>
        <v>50.091574513629823</v>
      </c>
      <c r="G28" s="14">
        <f>IF(G6=0,0,G6/TrAvia_act!G4*1000)</f>
        <v>45.795167542072868</v>
      </c>
      <c r="H28" s="14">
        <f>IF(H6=0,0,H6/TrAvia_act!H4*1000)</f>
        <v>40.77778903661968</v>
      </c>
      <c r="I28" s="14">
        <f>IF(I6=0,0,I6/TrAvia_act!I4*1000)</f>
        <v>37.843444005443743</v>
      </c>
      <c r="J28" s="14">
        <f>IF(J6=0,0,J6/TrAvia_act!J4*1000)</f>
        <v>41.261861221989236</v>
      </c>
      <c r="K28" s="14">
        <f>IF(K6=0,0,K6/TrAvia_act!K4*1000)</f>
        <v>41.3472090391409</v>
      </c>
      <c r="L28" s="14">
        <f>IF(L6=0,0,L6/TrAvia_act!L4*1000)</f>
        <v>37.409510941657707</v>
      </c>
      <c r="M28" s="14">
        <f>IF(M6=0,0,M6/TrAvia_act!M4*1000)</f>
        <v>37.3031099688071</v>
      </c>
      <c r="N28" s="14">
        <f>IF(N6=0,0,N6/TrAvia_act!N4*1000)</f>
        <v>35.017923246252202</v>
      </c>
      <c r="O28" s="14">
        <f>IF(O6=0,0,O6/TrAvia_act!O4*1000)</f>
        <v>36.567643591346062</v>
      </c>
      <c r="P28" s="14">
        <f>IF(P6=0,0,P6/TrAvia_act!P4*1000)</f>
        <v>31.857597231268041</v>
      </c>
      <c r="Q28" s="14">
        <f>IF(Q6=0,0,Q6/TrAvia_act!Q4*1000)</f>
        <v>31.631316292308519</v>
      </c>
      <c r="R28" s="14">
        <f>IF(R6=0,0,R6/TrAvia_act!R4*1000)</f>
        <v>32.887245193811005</v>
      </c>
      <c r="S28" s="14">
        <f>IF(S6=0,0,S6/TrAvia_act!S4*1000)</f>
        <v>31.293189797856787</v>
      </c>
      <c r="T28" s="14">
        <f>IF(T6=0,0,T6/TrAvia_act!T4*1000)</f>
        <v>31.914932475319013</v>
      </c>
      <c r="U28" s="14">
        <f>IF(U6=0,0,U6/TrAvia_act!U4*1000)</f>
        <v>31.631449318462117</v>
      </c>
      <c r="V28" s="14">
        <f>IF(V6=0,0,V6/TrAvia_act!V4*1000)</f>
        <v>48.262982360049577</v>
      </c>
      <c r="W28" s="14">
        <f>IF(W6=0,0,W6/TrAvia_act!W4*1000)</f>
        <v>44.740714795442948</v>
      </c>
      <c r="X28" s="14">
        <f>IF(X6=0,0,X6/TrAvia_act!X4*1000)</f>
        <v>32.28440284188045</v>
      </c>
      <c r="Y28" s="14">
        <f>IF(Y6=0,0,Y6/TrAvia_act!Y4*1000)</f>
        <v>25.996666891998515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63.962154782411673</v>
      </c>
      <c r="C29" s="87">
        <f>IF(C7=0,0,C7/TrAvia_act!C5*1000)</f>
        <v>64.740716495137761</v>
      </c>
      <c r="D29" s="87">
        <f>IF(D7=0,0,D7/TrAvia_act!D5*1000)</f>
        <v>57.653190077840087</v>
      </c>
      <c r="E29" s="87">
        <f>IF(E7=0,0,E7/TrAvia_act!E5*1000)</f>
        <v>60.910444572408444</v>
      </c>
      <c r="F29" s="87">
        <f>IF(F7=0,0,F7/TrAvia_act!F5*1000)</f>
        <v>67.627748425045567</v>
      </c>
      <c r="G29" s="87">
        <f>IF(G7=0,0,G7/TrAvia_act!G5*1000)</f>
        <v>66.486562151452901</v>
      </c>
      <c r="H29" s="87">
        <f>IF(H7=0,0,H7/TrAvia_act!H5*1000)</f>
        <v>63.160644620948837</v>
      </c>
      <c r="I29" s="87">
        <f>IF(I7=0,0,I7/TrAvia_act!I5*1000)</f>
        <v>62.528976709328482</v>
      </c>
      <c r="J29" s="87">
        <f>IF(J7=0,0,J7/TrAvia_act!J5*1000)</f>
        <v>58.785082713100024</v>
      </c>
      <c r="K29" s="87">
        <f>IF(K7=0,0,K7/TrAvia_act!K5*1000)</f>
        <v>57.48661251948495</v>
      </c>
      <c r="L29" s="87">
        <f>IF(L7=0,0,L7/TrAvia_act!L5*1000)</f>
        <v>52.947932249806954</v>
      </c>
      <c r="M29" s="87">
        <f>IF(M7=0,0,M7/TrAvia_act!M5*1000)</f>
        <v>52.64711894687531</v>
      </c>
      <c r="N29" s="87">
        <f>IF(N7=0,0,N7/TrAvia_act!N5*1000)</f>
        <v>49.162284297350972</v>
      </c>
      <c r="O29" s="87">
        <f>IF(O7=0,0,O7/TrAvia_act!O5*1000)</f>
        <v>49.383694072053366</v>
      </c>
      <c r="P29" s="87">
        <f>IF(P7=0,0,P7/TrAvia_act!P5*1000)</f>
        <v>47.095018259193232</v>
      </c>
      <c r="Q29" s="87">
        <f>IF(Q7=0,0,Q7/TrAvia_act!Q5*1000)</f>
        <v>46.496895324332357</v>
      </c>
      <c r="R29" s="87">
        <f>IF(R7=0,0,R7/TrAvia_act!R5*1000)</f>
        <v>47.183452913982123</v>
      </c>
      <c r="S29" s="87">
        <f>IF(S7=0,0,S7/TrAvia_act!S5*1000)</f>
        <v>45.446015113082758</v>
      </c>
      <c r="T29" s="87">
        <f>IF(T7=0,0,T7/TrAvia_act!T5*1000)</f>
        <v>44.393922918813452</v>
      </c>
      <c r="U29" s="87">
        <f>IF(U7=0,0,U7/TrAvia_act!U5*1000)</f>
        <v>44.359762221497888</v>
      </c>
      <c r="V29" s="87">
        <f>IF(V7=0,0,V7/TrAvia_act!V5*1000)</f>
        <v>55.980146773414234</v>
      </c>
      <c r="W29" s="87">
        <f>IF(W7=0,0,W7/TrAvia_act!W5*1000)</f>
        <v>58.338676697978933</v>
      </c>
      <c r="X29" s="87">
        <f>IF(X7=0,0,X7/TrAvia_act!X5*1000)</f>
        <v>45.614358887658867</v>
      </c>
      <c r="Y29" s="87">
        <f>IF(Y7=0,0,Y7/TrAvia_act!Y5*1000)</f>
        <v>44.360382682534699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49.279987859301706</v>
      </c>
      <c r="C30" s="87">
        <f>IF(C8=0,0,C8/TrAvia_act!C6*1000)</f>
        <v>50.927057276804675</v>
      </c>
      <c r="D30" s="87">
        <f>IF(D8=0,0,D8/TrAvia_act!D6*1000)</f>
        <v>41.145486439550446</v>
      </c>
      <c r="E30" s="87">
        <f>IF(E8=0,0,E8/TrAvia_act!E6*1000)</f>
        <v>43.417222661174314</v>
      </c>
      <c r="F30" s="87">
        <f>IF(F8=0,0,F8/TrAvia_act!F6*1000)</f>
        <v>49.597142721443511</v>
      </c>
      <c r="G30" s="87">
        <f>IF(G8=0,0,G8/TrAvia_act!G6*1000)</f>
        <v>47.966849498638119</v>
      </c>
      <c r="H30" s="87">
        <f>IF(H8=0,0,H8/TrAvia_act!H6*1000)</f>
        <v>40.838307172718629</v>
      </c>
      <c r="I30" s="87">
        <f>IF(I8=0,0,I8/TrAvia_act!I6*1000)</f>
        <v>39.605995873757308</v>
      </c>
      <c r="J30" s="87">
        <f>IF(J8=0,0,J8/TrAvia_act!J6*1000)</f>
        <v>47.799872846827647</v>
      </c>
      <c r="K30" s="87">
        <f>IF(K8=0,0,K8/TrAvia_act!K6*1000)</f>
        <v>47.992018943995369</v>
      </c>
      <c r="L30" s="87">
        <f>IF(L8=0,0,L8/TrAvia_act!L6*1000)</f>
        <v>43.26787369149762</v>
      </c>
      <c r="M30" s="87">
        <f>IF(M8=0,0,M8/TrAvia_act!M6*1000)</f>
        <v>41.663216289504497</v>
      </c>
      <c r="N30" s="87">
        <f>IF(N8=0,0,N8/TrAvia_act!N6*1000)</f>
        <v>38.334400225197619</v>
      </c>
      <c r="O30" s="87">
        <f>IF(O8=0,0,O8/TrAvia_act!O6*1000)</f>
        <v>40.012497483342457</v>
      </c>
      <c r="P30" s="87">
        <f>IF(P8=0,0,P8/TrAvia_act!P6*1000)</f>
        <v>35.03076531970126</v>
      </c>
      <c r="Q30" s="87">
        <f>IF(Q8=0,0,Q8/TrAvia_act!Q6*1000)</f>
        <v>35.081491983321612</v>
      </c>
      <c r="R30" s="87">
        <f>IF(R8=0,0,R8/TrAvia_act!R6*1000)</f>
        <v>36.277261628887537</v>
      </c>
      <c r="S30" s="87">
        <f>IF(S8=0,0,S8/TrAvia_act!S6*1000)</f>
        <v>34.649699635852194</v>
      </c>
      <c r="T30" s="87">
        <f>IF(T8=0,0,T8/TrAvia_act!T6*1000)</f>
        <v>36.795119408283632</v>
      </c>
      <c r="U30" s="87">
        <f>IF(U8=0,0,U8/TrAvia_act!U6*1000)</f>
        <v>36.030384913816086</v>
      </c>
      <c r="V30" s="87">
        <f>IF(V8=0,0,V8/TrAvia_act!V6*1000)</f>
        <v>54.450205286168703</v>
      </c>
      <c r="W30" s="87">
        <f>IF(W8=0,0,W8/TrAvia_act!W6*1000)</f>
        <v>44.130422702589023</v>
      </c>
      <c r="X30" s="87">
        <f>IF(X8=0,0,X8/TrAvia_act!X6*1000)</f>
        <v>34.541989355793127</v>
      </c>
      <c r="Y30" s="87">
        <f>IF(Y8=0,0,Y8/TrAvia_act!Y6*1000)</f>
        <v>26.611961146195103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39.658398408896247</v>
      </c>
      <c r="C31" s="87">
        <f>IF(C9=0,0,C9/TrAvia_act!C7*1000)</f>
        <v>39.801943173919803</v>
      </c>
      <c r="D31" s="87">
        <f>IF(D9=0,0,D9/TrAvia_act!D7*1000)</f>
        <v>35.153181250167336</v>
      </c>
      <c r="E31" s="87">
        <f>IF(E9=0,0,E9/TrAvia_act!E7*1000)</f>
        <v>34.466967406092017</v>
      </c>
      <c r="F31" s="87">
        <f>IF(F9=0,0,F9/TrAvia_act!F7*1000)</f>
        <v>36.966807143013469</v>
      </c>
      <c r="G31" s="87">
        <f>IF(G9=0,0,G9/TrAvia_act!G7*1000)</f>
        <v>28.396661852749574</v>
      </c>
      <c r="H31" s="87">
        <f>IF(H9=0,0,H9/TrAvia_act!H7*1000)</f>
        <v>27.139739950141781</v>
      </c>
      <c r="I31" s="87">
        <f>IF(I9=0,0,I9/TrAvia_act!I7*1000)</f>
        <v>22.245670703726859</v>
      </c>
      <c r="J31" s="87">
        <f>IF(J9=0,0,J9/TrAvia_act!J7*1000)</f>
        <v>23.521113882458671</v>
      </c>
      <c r="K31" s="87">
        <f>IF(K9=0,0,K9/TrAvia_act!K7*1000)</f>
        <v>24.588931471872872</v>
      </c>
      <c r="L31" s="87">
        <f>IF(L9=0,0,L9/TrAvia_act!L7*1000)</f>
        <v>22.236104870895886</v>
      </c>
      <c r="M31" s="87">
        <f>IF(M9=0,0,M9/TrAvia_act!M7*1000)</f>
        <v>23.167500853944198</v>
      </c>
      <c r="N31" s="87">
        <f>IF(N9=0,0,N9/TrAvia_act!N7*1000)</f>
        <v>22.722869826482867</v>
      </c>
      <c r="O31" s="87">
        <f>IF(O9=0,0,O9/TrAvia_act!O7*1000)</f>
        <v>24.666142137969949</v>
      </c>
      <c r="P31" s="87">
        <f>IF(P9=0,0,P9/TrAvia_act!P7*1000)</f>
        <v>20.111044215669178</v>
      </c>
      <c r="Q31" s="87">
        <f>IF(Q9=0,0,Q9/TrAvia_act!Q7*1000)</f>
        <v>19.852612634766921</v>
      </c>
      <c r="R31" s="87">
        <f>IF(R9=0,0,R9/TrAvia_act!R7*1000)</f>
        <v>20.819038033986534</v>
      </c>
      <c r="S31" s="87">
        <f>IF(S9=0,0,S9/TrAvia_act!S7*1000)</f>
        <v>19.554732430958715</v>
      </c>
      <c r="T31" s="87">
        <f>IF(T9=0,0,T9/TrAvia_act!T7*1000)</f>
        <v>19.380741404840453</v>
      </c>
      <c r="U31" s="87">
        <f>IF(U9=0,0,U9/TrAvia_act!U7*1000)</f>
        <v>20.073643459131048</v>
      </c>
      <c r="V31" s="87">
        <f>IF(V9=0,0,V9/TrAvia_act!V7*1000)</f>
        <v>35.964025752069482</v>
      </c>
      <c r="W31" s="87">
        <f>IF(W9=0,0,W9/TrAvia_act!W7*1000)</f>
        <v>39.432686482464725</v>
      </c>
      <c r="X31" s="87">
        <f>IF(X9=0,0,X9/TrAvia_act!X7*1000)</f>
        <v>22.581757265317279</v>
      </c>
      <c r="Y31" s="87">
        <f>IF(Y9=0,0,Y9/TrAvia_act!Y7*1000)</f>
        <v>18.510514835354432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113.42267526555644</v>
      </c>
      <c r="C32" s="15">
        <f>IF(C10=0,0,C10/TrAvia_act!C8*1000)</f>
        <v>103.64867545332578</v>
      </c>
      <c r="D32" s="15">
        <f>IF(D10=0,0,D10/TrAvia_act!D8*1000)</f>
        <v>91.053778733029716</v>
      </c>
      <c r="E32" s="15">
        <f>IF(E10=0,0,E10/TrAvia_act!E8*1000)</f>
        <v>95.121775055008428</v>
      </c>
      <c r="F32" s="15">
        <f>IF(F10=0,0,F10/TrAvia_act!F8*1000)</f>
        <v>112.83959165120991</v>
      </c>
      <c r="G32" s="15">
        <f>IF(G10=0,0,G10/TrAvia_act!G8*1000)</f>
        <v>100.96285416993942</v>
      </c>
      <c r="H32" s="15">
        <f>IF(H10=0,0,H10/TrAvia_act!H8*1000)</f>
        <v>102.80537402823882</v>
      </c>
      <c r="I32" s="15">
        <f>IF(I10=0,0,I10/TrAvia_act!I8*1000)</f>
        <v>93.639914587820002</v>
      </c>
      <c r="J32" s="15">
        <f>IF(J10=0,0,J10/TrAvia_act!J8*1000)</f>
        <v>100.33628106421575</v>
      </c>
      <c r="K32" s="15">
        <f>IF(K10=0,0,K10/TrAvia_act!K8*1000)</f>
        <v>96.376435929183401</v>
      </c>
      <c r="L32" s="15">
        <f>IF(L10=0,0,L10/TrAvia_act!L8*1000)</f>
        <v>89.828669206840758</v>
      </c>
      <c r="M32" s="15">
        <f>IF(M10=0,0,M10/TrAvia_act!M8*1000)</f>
        <v>83.976803362776693</v>
      </c>
      <c r="N32" s="15">
        <f>IF(N10=0,0,N10/TrAvia_act!N8*1000)</f>
        <v>77.31357785103333</v>
      </c>
      <c r="O32" s="15">
        <f>IF(O10=0,0,O10/TrAvia_act!O8*1000)</f>
        <v>83.538792602557791</v>
      </c>
      <c r="P32" s="15">
        <f>IF(P10=0,0,P10/TrAvia_act!P8*1000)</f>
        <v>59.264899407191059</v>
      </c>
      <c r="Q32" s="15">
        <f>IF(Q10=0,0,Q10/TrAvia_act!Q8*1000)</f>
        <v>58.644243236838982</v>
      </c>
      <c r="R32" s="15">
        <f>IF(R10=0,0,R10/TrAvia_act!R8*1000)</f>
        <v>54.220898647120556</v>
      </c>
      <c r="S32" s="15">
        <f>IF(S10=0,0,S10/TrAvia_act!S8*1000)</f>
        <v>57.487550453306532</v>
      </c>
      <c r="T32" s="15">
        <f>IF(T10=0,0,T10/TrAvia_act!T8*1000)</f>
        <v>62.741819634570653</v>
      </c>
      <c r="U32" s="15">
        <f>IF(U10=0,0,U10/TrAvia_act!U8*1000)</f>
        <v>85.436914240022219</v>
      </c>
      <c r="V32" s="15">
        <f>IF(V10=0,0,V10/TrAvia_act!V8*1000)</f>
        <v>130.73999155130107</v>
      </c>
      <c r="W32" s="15">
        <f>IF(W10=0,0,W10/TrAvia_act!W8*1000)</f>
        <v>120.76735075789649</v>
      </c>
      <c r="X32" s="15">
        <f>IF(X10=0,0,X10/TrAvia_act!X8*1000)</f>
        <v>86.865040011323842</v>
      </c>
      <c r="Y32" s="15">
        <f>IF(Y10=0,0,Y10/TrAvia_act!Y8*1000)</f>
        <v>70.234466526445459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424.75781680719609</v>
      </c>
      <c r="C33" s="101">
        <f>IF(C11=0,0,C11/TrAvia_act!C9*1000)</f>
        <v>442.91280465945999</v>
      </c>
      <c r="D33" s="101">
        <f>IF(D11=0,0,D11/TrAvia_act!D9*1000)</f>
        <v>383.74159422959849</v>
      </c>
      <c r="E33" s="101">
        <f>IF(E11=0,0,E11/TrAvia_act!E9*1000)</f>
        <v>372.87426009330329</v>
      </c>
      <c r="F33" s="101">
        <f>IF(F11=0,0,F11/TrAvia_act!F9*1000)</f>
        <v>431.36469699831429</v>
      </c>
      <c r="G33" s="101">
        <f>IF(G11=0,0,G11/TrAvia_act!G9*1000)</f>
        <v>471.15922144316892</v>
      </c>
      <c r="H33" s="101">
        <f>IF(H11=0,0,H11/TrAvia_act!H9*1000)</f>
        <v>475.76802398487229</v>
      </c>
      <c r="I33" s="101">
        <f>IF(I11=0,0,I11/TrAvia_act!I9*1000)</f>
        <v>483.19932621299745</v>
      </c>
      <c r="J33" s="101">
        <f>IF(J11=0,0,J11/TrAvia_act!J9*1000)</f>
        <v>459.5974604117439</v>
      </c>
      <c r="K33" s="101">
        <f>IF(K11=0,0,K11/TrAvia_act!K9*1000)</f>
        <v>418.87734681630872</v>
      </c>
      <c r="L33" s="101">
        <f>IF(L11=0,0,L11/TrAvia_act!L9*1000)</f>
        <v>375.48536764329475</v>
      </c>
      <c r="M33" s="101">
        <f>IF(M11=0,0,M11/TrAvia_act!M9*1000)</f>
        <v>357.0592849771063</v>
      </c>
      <c r="N33" s="101">
        <f>IF(N11=0,0,N11/TrAvia_act!N9*1000)</f>
        <v>345.5118211861074</v>
      </c>
      <c r="O33" s="101">
        <f>IF(O11=0,0,O11/TrAvia_act!O9*1000)</f>
        <v>341.5570529662325</v>
      </c>
      <c r="P33" s="101">
        <f>IF(P11=0,0,P11/TrAvia_act!P9*1000)</f>
        <v>299.65240702468623</v>
      </c>
      <c r="Q33" s="101">
        <f>IF(Q11=0,0,Q11/TrAvia_act!Q9*1000)</f>
        <v>298.16478007383188</v>
      </c>
      <c r="R33" s="101">
        <f>IF(R11=0,0,R11/TrAvia_act!R9*1000)</f>
        <v>267.86166693391954</v>
      </c>
      <c r="S33" s="101">
        <f>IF(S11=0,0,S11/TrAvia_act!S9*1000)</f>
        <v>287.08444555356232</v>
      </c>
      <c r="T33" s="101">
        <f>IF(T11=0,0,T11/TrAvia_act!T9*1000)</f>
        <v>275.00693549422363</v>
      </c>
      <c r="U33" s="101">
        <f>IF(U11=0,0,U11/TrAvia_act!U9*1000)</f>
        <v>255.71648617918612</v>
      </c>
      <c r="V33" s="101">
        <f>IF(V11=0,0,V11/TrAvia_act!V9*1000)</f>
        <v>255.34376865666857</v>
      </c>
      <c r="W33" s="101">
        <f>IF(W11=0,0,W11/TrAvia_act!W9*1000)</f>
        <v>280.98302147055585</v>
      </c>
      <c r="X33" s="101">
        <f>IF(X11=0,0,X11/TrAvia_act!X9*1000)</f>
        <v>292.60215048462152</v>
      </c>
      <c r="Y33" s="101">
        <f>IF(Y11=0,0,Y11/TrAvia_act!Y9*1000)</f>
        <v>266.09510233122774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197.30737400079667</v>
      </c>
      <c r="C34" s="101">
        <f>IF(C12=0,0,C12/TrAvia_act!C10*1000)</f>
        <v>200.94141474640722</v>
      </c>
      <c r="D34" s="101">
        <f>IF(D12=0,0,D12/TrAvia_act!D10*1000)</f>
        <v>177.27245824633246</v>
      </c>
      <c r="E34" s="101">
        <f>IF(E12=0,0,E12/TrAvia_act!E10*1000)</f>
        <v>173.32265693051181</v>
      </c>
      <c r="F34" s="101">
        <f>IF(F12=0,0,F12/TrAvia_act!F10*1000)</f>
        <v>201.47299703491058</v>
      </c>
      <c r="G34" s="101">
        <f>IF(G12=0,0,G12/TrAvia_act!G10*1000)</f>
        <v>222.98393144592106</v>
      </c>
      <c r="H34" s="101">
        <f>IF(H12=0,0,H12/TrAvia_act!H10*1000)</f>
        <v>229.03970809867133</v>
      </c>
      <c r="I34" s="101">
        <f>IF(I12=0,0,I12/TrAvia_act!I10*1000)</f>
        <v>223.94681059394864</v>
      </c>
      <c r="J34" s="101">
        <f>IF(J12=0,0,J12/TrAvia_act!J10*1000)</f>
        <v>259.83981313621194</v>
      </c>
      <c r="K34" s="101">
        <f>IF(K12=0,0,K12/TrAvia_act!K10*1000)</f>
        <v>259.07663785224094</v>
      </c>
      <c r="L34" s="101">
        <f>IF(L12=0,0,L12/TrAvia_act!L10*1000)</f>
        <v>227.9618246294489</v>
      </c>
      <c r="M34" s="101">
        <f>IF(M12=0,0,M12/TrAvia_act!M10*1000)</f>
        <v>212.84860691713851</v>
      </c>
      <c r="N34" s="101">
        <f>IF(N12=0,0,N12/TrAvia_act!N10*1000)</f>
        <v>190.01323809903121</v>
      </c>
      <c r="O34" s="101">
        <f>IF(O12=0,0,O12/TrAvia_act!O10*1000)</f>
        <v>200.41943441772219</v>
      </c>
      <c r="P34" s="101">
        <f>IF(P12=0,0,P12/TrAvia_act!P10*1000)</f>
        <v>156.66631605569978</v>
      </c>
      <c r="Q34" s="101">
        <f>IF(Q12=0,0,Q12/TrAvia_act!Q10*1000)</f>
        <v>164.49800038108171</v>
      </c>
      <c r="R34" s="101">
        <f>IF(R12=0,0,R12/TrAvia_act!R10*1000)</f>
        <v>160.05080118843117</v>
      </c>
      <c r="S34" s="101">
        <f>IF(S12=0,0,S12/TrAvia_act!S10*1000)</f>
        <v>165.26941305565848</v>
      </c>
      <c r="T34" s="101">
        <f>IF(T12=0,0,T12/TrAvia_act!T10*1000)</f>
        <v>173.61020126955145</v>
      </c>
      <c r="U34" s="101">
        <f>IF(U12=0,0,U12/TrAvia_act!U10*1000)</f>
        <v>156.53409747878246</v>
      </c>
      <c r="V34" s="101">
        <f>IF(V12=0,0,V12/TrAvia_act!V10*1000)</f>
        <v>215.55416513301586</v>
      </c>
      <c r="W34" s="101">
        <f>IF(W12=0,0,W12/TrAvia_act!W10*1000)</f>
        <v>202.8420456043367</v>
      </c>
      <c r="X34" s="101">
        <f>IF(X12=0,0,X12/TrAvia_act!X10*1000)</f>
        <v>207.43973632314481</v>
      </c>
      <c r="Y34" s="101">
        <f>IF(Y12=0,0,Y12/TrAvia_act!Y10*1000)</f>
        <v>167.25473883384774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79.544661419022134</v>
      </c>
      <c r="C35" s="88">
        <f>IF(C13=0,0,C13/TrAvia_act!C11*1000)</f>
        <v>79.890102385278965</v>
      </c>
      <c r="D35" s="88">
        <f>IF(D13=0,0,D13/TrAvia_act!D11*1000)</f>
        <v>70.517967280146664</v>
      </c>
      <c r="E35" s="88">
        <f>IF(E13=0,0,E13/TrAvia_act!E11*1000)</f>
        <v>77.445978664150971</v>
      </c>
      <c r="F35" s="88">
        <f>IF(F13=0,0,F13/TrAvia_act!F11*1000)</f>
        <v>89.500591010480292</v>
      </c>
      <c r="G35" s="88">
        <f>IF(G13=0,0,G13/TrAvia_act!G11*1000)</f>
        <v>76.446702898999391</v>
      </c>
      <c r="H35" s="88">
        <f>IF(H13=0,0,H13/TrAvia_act!H11*1000)</f>
        <v>76.028247163495038</v>
      </c>
      <c r="I35" s="88">
        <f>IF(I13=0,0,I13/TrAvia_act!I11*1000)</f>
        <v>63.997323718506067</v>
      </c>
      <c r="J35" s="88">
        <f>IF(J13=0,0,J13/TrAvia_act!J11*1000)</f>
        <v>67.930911044347994</v>
      </c>
      <c r="K35" s="88">
        <f>IF(K13=0,0,K13/TrAvia_act!K11*1000)</f>
        <v>64.508589700916104</v>
      </c>
      <c r="L35" s="88">
        <f>IF(L13=0,0,L13/TrAvia_act!L11*1000)</f>
        <v>65.503512906636971</v>
      </c>
      <c r="M35" s="88">
        <f>IF(M13=0,0,M13/TrAvia_act!M11*1000)</f>
        <v>63.794069387244882</v>
      </c>
      <c r="N35" s="88">
        <f>IF(N13=0,0,N13/TrAvia_act!N11*1000)</f>
        <v>57.650915165142443</v>
      </c>
      <c r="O35" s="88">
        <f>IF(O13=0,0,O13/TrAvia_act!O11*1000)</f>
        <v>55.376820938821666</v>
      </c>
      <c r="P35" s="88">
        <f>IF(P13=0,0,P13/TrAvia_act!P11*1000)</f>
        <v>33.244715542521256</v>
      </c>
      <c r="Q35" s="88">
        <f>IF(Q13=0,0,Q13/TrAvia_act!Q11*1000)</f>
        <v>28.930805638993718</v>
      </c>
      <c r="R35" s="88">
        <f>IF(R13=0,0,R13/TrAvia_act!R11*1000)</f>
        <v>23.451743152194805</v>
      </c>
      <c r="S35" s="88">
        <f>IF(S13=0,0,S13/TrAvia_act!S11*1000)</f>
        <v>20.162662523535275</v>
      </c>
      <c r="T35" s="88">
        <f>IF(T13=0,0,T13/TrAvia_act!T11*1000)</f>
        <v>19.49625904565281</v>
      </c>
      <c r="U35" s="88">
        <f>IF(U13=0,0,U13/TrAvia_act!U11*1000)</f>
        <v>20.795515661127006</v>
      </c>
      <c r="V35" s="88">
        <f>IF(V13=0,0,V13/TrAvia_act!V11*1000)</f>
        <v>43.646402765581868</v>
      </c>
      <c r="W35" s="88">
        <f>IF(W13=0,0,W13/TrAvia_act!W11*1000)</f>
        <v>44.965214404760509</v>
      </c>
      <c r="X35" s="88">
        <f>IF(X13=0,0,X13/TrAvia_act!X11*1000)</f>
        <v>59.876686457177797</v>
      </c>
      <c r="Y35" s="88">
        <f>IF(Y13=0,0,Y13/TrAvia_act!Y11*1000)</f>
        <v>49.312469958577296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3904.7472005587506</v>
      </c>
      <c r="C37" s="62">
        <f>IF(C3=0,0,C3/TrAvia_act!C23*1000000)</f>
        <v>4070.0751178281848</v>
      </c>
      <c r="D37" s="62">
        <f>IF(D3=0,0,D3/TrAvia_act!D23*1000000)</f>
        <v>3414.4623127968466</v>
      </c>
      <c r="E37" s="62">
        <f>IF(E3=0,0,E3/TrAvia_act!E23*1000000)</f>
        <v>3494.8926550879128</v>
      </c>
      <c r="F37" s="62">
        <f>IF(F3=0,0,F3/TrAvia_act!F23*1000000)</f>
        <v>3966.2624577542711</v>
      </c>
      <c r="G37" s="62">
        <f>IF(G3=0,0,G3/TrAvia_act!G23*1000000)</f>
        <v>4162.4539802039599</v>
      </c>
      <c r="H37" s="62">
        <f>IF(H3=0,0,H3/TrAvia_act!H23*1000000)</f>
        <v>4175.8314064856841</v>
      </c>
      <c r="I37" s="62">
        <f>IF(I3=0,0,I3/TrAvia_act!I23*1000000)</f>
        <v>4188.2550126897586</v>
      </c>
      <c r="J37" s="62">
        <f>IF(J3=0,0,J3/TrAvia_act!J23*1000000)</f>
        <v>4614.4917933884281</v>
      </c>
      <c r="K37" s="62">
        <f>IF(K3=0,0,K3/TrAvia_act!K23*1000000)</f>
        <v>4599.0270115619205</v>
      </c>
      <c r="L37" s="62">
        <f>IF(L3=0,0,L3/TrAvia_act!L23*1000000)</f>
        <v>4371.8430835052704</v>
      </c>
      <c r="M37" s="62">
        <f>IF(M3=0,0,M3/TrAvia_act!M23*1000000)</f>
        <v>4317.4429589844258</v>
      </c>
      <c r="N37" s="62">
        <f>IF(N3=0,0,N3/TrAvia_act!N23*1000000)</f>
        <v>4269.4618125138932</v>
      </c>
      <c r="O37" s="62">
        <f>IF(O3=0,0,O3/TrAvia_act!O23*1000000)</f>
        <v>4653.7780127136093</v>
      </c>
      <c r="P37" s="62">
        <f>IF(P3=0,0,P3/TrAvia_act!P23*1000000)</f>
        <v>4239.627329022911</v>
      </c>
      <c r="Q37" s="62">
        <f>IF(Q3=0,0,Q3/TrAvia_act!Q23*1000000)</f>
        <v>4309.1090176930284</v>
      </c>
      <c r="R37" s="62">
        <f>IF(R3=0,0,R3/TrAvia_act!R23*1000000)</f>
        <v>4630.3346039836488</v>
      </c>
      <c r="S37" s="62">
        <f>IF(S3=0,0,S3/TrAvia_act!S23*1000000)</f>
        <v>4670.7984837311151</v>
      </c>
      <c r="T37" s="62">
        <f>IF(T3=0,0,T3/TrAvia_act!T23*1000000)</f>
        <v>4828.5898076584826</v>
      </c>
      <c r="U37" s="62">
        <f>IF(U3=0,0,U3/TrAvia_act!U23*1000000)</f>
        <v>4799.579469087591</v>
      </c>
      <c r="V37" s="62">
        <f>IF(V3=0,0,V3/TrAvia_act!V23*1000000)</f>
        <v>5272.3893175456024</v>
      </c>
      <c r="W37" s="62">
        <f>IF(W3=0,0,W3/TrAvia_act!W23*1000000)</f>
        <v>5151.2619037092118</v>
      </c>
      <c r="X37" s="62">
        <f>IF(X3=0,0,X3/TrAvia_act!X23*1000000)</f>
        <v>5441.1724822501901</v>
      </c>
      <c r="Y37" s="62">
        <f>IF(Y3=0,0,Y3/TrAvia_act!Y23*1000000)</f>
        <v>4407.1468253203702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3885.1211052452586</v>
      </c>
      <c r="C38" s="14">
        <f>IF(C6=0,0,C6/TrAvia_act!C24*1000000)</f>
        <v>4038.2115904068728</v>
      </c>
      <c r="D38" s="14">
        <f>IF(D6=0,0,D6/TrAvia_act!D24*1000000)</f>
        <v>3374.8785049728085</v>
      </c>
      <c r="E38" s="14">
        <f>IF(E6=0,0,E6/TrAvia_act!E24*1000000)</f>
        <v>3437.7091730849579</v>
      </c>
      <c r="F38" s="14">
        <f>IF(F6=0,0,F6/TrAvia_act!F24*1000000)</f>
        <v>3905.2907794149196</v>
      </c>
      <c r="G38" s="14">
        <f>IF(G6=0,0,G6/TrAvia_act!G24*1000000)</f>
        <v>4091.014979000357</v>
      </c>
      <c r="H38" s="14">
        <f>IF(H6=0,0,H6/TrAvia_act!H24*1000000)</f>
        <v>4105.7208350406099</v>
      </c>
      <c r="I38" s="14">
        <f>IF(I6=0,0,I6/TrAvia_act!I24*1000000)</f>
        <v>4129.9577315610059</v>
      </c>
      <c r="J38" s="14">
        <f>IF(J6=0,0,J6/TrAvia_act!J24*1000000)</f>
        <v>4553.4943683342071</v>
      </c>
      <c r="K38" s="14">
        <f>IF(K6=0,0,K6/TrAvia_act!K24*1000000)</f>
        <v>4547.6333029153466</v>
      </c>
      <c r="L38" s="14">
        <f>IF(L6=0,0,L6/TrAvia_act!L24*1000000)</f>
        <v>4300.8249888433784</v>
      </c>
      <c r="M38" s="14">
        <f>IF(M6=0,0,M6/TrAvia_act!M24*1000000)</f>
        <v>4257.7147624471481</v>
      </c>
      <c r="N38" s="14">
        <f>IF(N6=0,0,N6/TrAvia_act!N24*1000000)</f>
        <v>4225.3606429810388</v>
      </c>
      <c r="O38" s="14">
        <f>IF(O6=0,0,O6/TrAvia_act!O24*1000000)</f>
        <v>4635.8619793598064</v>
      </c>
      <c r="P38" s="14">
        <f>IF(P6=0,0,P6/TrAvia_act!P24*1000000)</f>
        <v>4237.1470267018049</v>
      </c>
      <c r="Q38" s="14">
        <f>IF(Q6=0,0,Q6/TrAvia_act!Q24*1000000)</f>
        <v>4314.2479296360307</v>
      </c>
      <c r="R38" s="14">
        <f>IF(R6=0,0,R6/TrAvia_act!R24*1000000)</f>
        <v>4640.3811605091532</v>
      </c>
      <c r="S38" s="14">
        <f>IF(S6=0,0,S6/TrAvia_act!S24*1000000)</f>
        <v>4688.4282837322271</v>
      </c>
      <c r="T38" s="14">
        <f>IF(T6=0,0,T6/TrAvia_act!T24*1000000)</f>
        <v>4850.2067739489694</v>
      </c>
      <c r="U38" s="14">
        <f>IF(U6=0,0,U6/TrAvia_act!U24*1000000)</f>
        <v>4821.8828627752828</v>
      </c>
      <c r="V38" s="14">
        <f>IF(V6=0,0,V6/TrAvia_act!V24*1000000)</f>
        <v>5316.3498876996555</v>
      </c>
      <c r="W38" s="14">
        <f>IF(W6=0,0,W6/TrAvia_act!W24*1000000)</f>
        <v>5207.7205316655854</v>
      </c>
      <c r="X38" s="14">
        <f>IF(X6=0,0,X6/TrAvia_act!X24*1000000)</f>
        <v>5405.512092318847</v>
      </c>
      <c r="Y38" s="14">
        <f>IF(Y6=0,0,Y6/TrAvia_act!Y24*1000000)</f>
        <v>4380.210098139346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1824.7590964172148</v>
      </c>
      <c r="C39" s="87">
        <f>IF(C7=0,0,C7/TrAvia_act!C25*1000000)</f>
        <v>1888.2420218580748</v>
      </c>
      <c r="D39" s="87">
        <f>IF(D7=0,0,D7/TrAvia_act!D25*1000000)</f>
        <v>1682.3252656076133</v>
      </c>
      <c r="E39" s="87">
        <f>IF(E7=0,0,E7/TrAvia_act!E25*1000000)</f>
        <v>1738.8006904963243</v>
      </c>
      <c r="F39" s="87">
        <f>IF(F7=0,0,F7/TrAvia_act!F25*1000000)</f>
        <v>1894.1876636852994</v>
      </c>
      <c r="G39" s="87">
        <f>IF(G7=0,0,G7/TrAvia_act!G25*1000000)</f>
        <v>2032.3393181780805</v>
      </c>
      <c r="H39" s="87">
        <f>IF(H7=0,0,H7/TrAvia_act!H25*1000000)</f>
        <v>2001.3669476128377</v>
      </c>
      <c r="I39" s="87">
        <f>IF(I7=0,0,I7/TrAvia_act!I25*1000000)</f>
        <v>2057.5044819488007</v>
      </c>
      <c r="J39" s="87">
        <f>IF(J7=0,0,J7/TrAvia_act!J25*1000000)</f>
        <v>1937.8870601160361</v>
      </c>
      <c r="K39" s="87">
        <f>IF(K7=0,0,K7/TrAvia_act!K25*1000000)</f>
        <v>1809.4606967758511</v>
      </c>
      <c r="L39" s="87">
        <f>IF(L7=0,0,L7/TrAvia_act!L25*1000000)</f>
        <v>1737.0870081944552</v>
      </c>
      <c r="M39" s="87">
        <f>IF(M7=0,0,M7/TrAvia_act!M25*1000000)</f>
        <v>1742.5657185166299</v>
      </c>
      <c r="N39" s="87">
        <f>IF(N7=0,0,N7/TrAvia_act!N25*1000000)</f>
        <v>1776.2570520156125</v>
      </c>
      <c r="O39" s="87">
        <f>IF(O7=0,0,O7/TrAvia_act!O25*1000000)</f>
        <v>1782.8147951388205</v>
      </c>
      <c r="P39" s="87">
        <f>IF(P7=0,0,P7/TrAvia_act!P25*1000000)</f>
        <v>1746.8503451718634</v>
      </c>
      <c r="Q39" s="87">
        <f>IF(Q7=0,0,Q7/TrAvia_act!Q25*1000000)</f>
        <v>1758.0010407640248</v>
      </c>
      <c r="R39" s="87">
        <f>IF(R7=0,0,R7/TrAvia_act!R25*1000000)</f>
        <v>1851.6144016836465</v>
      </c>
      <c r="S39" s="87">
        <f>IF(S7=0,0,S7/TrAvia_act!S25*1000000)</f>
        <v>1811.0389990868093</v>
      </c>
      <c r="T39" s="87">
        <f>IF(T7=0,0,T7/TrAvia_act!T25*1000000)</f>
        <v>1752.8855542921315</v>
      </c>
      <c r="U39" s="87">
        <f>IF(U7=0,0,U7/TrAvia_act!U25*1000000)</f>
        <v>1725.9665662504613</v>
      </c>
      <c r="V39" s="87">
        <f>IF(V7=0,0,V7/TrAvia_act!V25*1000000)</f>
        <v>1744.4504962008548</v>
      </c>
      <c r="W39" s="87">
        <f>IF(W7=0,0,W7/TrAvia_act!W25*1000000)</f>
        <v>1887.1154645590616</v>
      </c>
      <c r="X39" s="87">
        <f>IF(X7=0,0,X7/TrAvia_act!X25*1000000)</f>
        <v>1989.7034843569211</v>
      </c>
      <c r="Y39" s="87">
        <f>IF(Y7=0,0,Y7/TrAvia_act!Y25*1000000)</f>
        <v>1802.0109304547068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5174.966399893</v>
      </c>
      <c r="C40" s="87">
        <f>IF(C8=0,0,C8/TrAvia_act!C26*1000000)</f>
        <v>5511.2317514609604</v>
      </c>
      <c r="D40" s="87">
        <f>IF(D8=0,0,D8/TrAvia_act!D26*1000000)</f>
        <v>4624.932135638348</v>
      </c>
      <c r="E40" s="87">
        <f>IF(E8=0,0,E8/TrAvia_act!E26*1000000)</f>
        <v>4599.5317662159141</v>
      </c>
      <c r="F40" s="87">
        <f>IF(F8=0,0,F8/TrAvia_act!F26*1000000)</f>
        <v>5118.6850693887709</v>
      </c>
      <c r="G40" s="87">
        <f>IF(G8=0,0,G8/TrAvia_act!G26*1000000)</f>
        <v>5370.2423506530804</v>
      </c>
      <c r="H40" s="87">
        <f>IF(H8=0,0,H8/TrAvia_act!H26*1000000)</f>
        <v>5191.9361074020799</v>
      </c>
      <c r="I40" s="87">
        <f>IF(I8=0,0,I8/TrAvia_act!I26*1000000)</f>
        <v>5120.2711351291191</v>
      </c>
      <c r="J40" s="87">
        <f>IF(J8=0,0,J8/TrAvia_act!J26*1000000)</f>
        <v>5793.2476991817166</v>
      </c>
      <c r="K40" s="87">
        <f>IF(K8=0,0,K8/TrAvia_act!K26*1000000)</f>
        <v>5975.7483878805979</v>
      </c>
      <c r="L40" s="87">
        <f>IF(L8=0,0,L8/TrAvia_act!L26*1000000)</f>
        <v>5559.0055182522583</v>
      </c>
      <c r="M40" s="87">
        <f>IF(M8=0,0,M8/TrAvia_act!M26*1000000)</f>
        <v>5533.4438163569348</v>
      </c>
      <c r="N40" s="87">
        <f>IF(N8=0,0,N8/TrAvia_act!N26*1000000)</f>
        <v>5406.9812381065522</v>
      </c>
      <c r="O40" s="87">
        <f>IF(O8=0,0,O8/TrAvia_act!O26*1000000)</f>
        <v>6074.0444496062091</v>
      </c>
      <c r="P40" s="87">
        <f>IF(P8=0,0,P8/TrAvia_act!P26*1000000)</f>
        <v>5516.1258782257719</v>
      </c>
      <c r="Q40" s="87">
        <f>IF(Q8=0,0,Q8/TrAvia_act!Q26*1000000)</f>
        <v>5542.3746517054024</v>
      </c>
      <c r="R40" s="87">
        <f>IF(R8=0,0,R8/TrAvia_act!R26*1000000)</f>
        <v>5956.8965709122785</v>
      </c>
      <c r="S40" s="87">
        <f>IF(S8=0,0,S8/TrAvia_act!S26*1000000)</f>
        <v>6047.283701742921</v>
      </c>
      <c r="T40" s="87">
        <f>IF(T8=0,0,T8/TrAvia_act!T26*1000000)</f>
        <v>6268.6489302447035</v>
      </c>
      <c r="U40" s="87">
        <f>IF(U8=0,0,U8/TrAvia_act!U26*1000000)</f>
        <v>6063.5479925283244</v>
      </c>
      <c r="V40" s="87">
        <f>IF(V8=0,0,V8/TrAvia_act!V26*1000000)</f>
        <v>6811.9637427659318</v>
      </c>
      <c r="W40" s="87">
        <f>IF(W8=0,0,W8/TrAvia_act!W26*1000000)</f>
        <v>6803.1025980093164</v>
      </c>
      <c r="X40" s="87">
        <f>IF(X8=0,0,X8/TrAvia_act!X26*1000000)</f>
        <v>6642.7996625217165</v>
      </c>
      <c r="Y40" s="87">
        <f>IF(Y8=0,0,Y8/TrAvia_act!Y26*1000000)</f>
        <v>5104.8582691366719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27260.256343454843</v>
      </c>
      <c r="C41" s="87">
        <f>IF(C9=0,0,C9/TrAvia_act!C27*1000000)</f>
        <v>28690.64038707361</v>
      </c>
      <c r="D41" s="87">
        <f>IF(D9=0,0,D9/TrAvia_act!D27*1000000)</f>
        <v>23911.194952667367</v>
      </c>
      <c r="E41" s="87">
        <f>IF(E9=0,0,E9/TrAvia_act!E27*1000000)</f>
        <v>23860.856765776822</v>
      </c>
      <c r="F41" s="87">
        <f>IF(F9=0,0,F9/TrAvia_act!F27*1000000)</f>
        <v>26763.528182562684</v>
      </c>
      <c r="G41" s="87">
        <f>IF(G9=0,0,G9/TrAvia_act!G27*1000000)</f>
        <v>22350.469573835773</v>
      </c>
      <c r="H41" s="87">
        <f>IF(H9=0,0,H9/TrAvia_act!H27*1000000)</f>
        <v>22842.181206134526</v>
      </c>
      <c r="I41" s="87">
        <f>IF(I9=0,0,I9/TrAvia_act!I27*1000000)</f>
        <v>20900.702847668745</v>
      </c>
      <c r="J41" s="87">
        <f>IF(J9=0,0,J9/TrAvia_act!J27*1000000)</f>
        <v>21355.812381920096</v>
      </c>
      <c r="K41" s="87">
        <f>IF(K9=0,0,K9/TrAvia_act!K27*1000000)</f>
        <v>20981.490492917415</v>
      </c>
      <c r="L41" s="87">
        <f>IF(L9=0,0,L9/TrAvia_act!L27*1000000)</f>
        <v>17770.102036447079</v>
      </c>
      <c r="M41" s="87">
        <f>IF(M9=0,0,M9/TrAvia_act!M27*1000000)</f>
        <v>16785.83438634684</v>
      </c>
      <c r="N41" s="87">
        <f>IF(N9=0,0,N9/TrAvia_act!N27*1000000)</f>
        <v>16190.875272845791</v>
      </c>
      <c r="O41" s="87">
        <f>IF(O9=0,0,O9/TrAvia_act!O27*1000000)</f>
        <v>16661.391998492694</v>
      </c>
      <c r="P41" s="87">
        <f>IF(P9=0,0,P9/TrAvia_act!P27*1000000)</f>
        <v>14118.203633871814</v>
      </c>
      <c r="Q41" s="87">
        <f>IF(Q9=0,0,Q9/TrAvia_act!Q27*1000000)</f>
        <v>14721.688175738011</v>
      </c>
      <c r="R41" s="87">
        <f>IF(R9=0,0,R9/TrAvia_act!R27*1000000)</f>
        <v>16429.96386009506</v>
      </c>
      <c r="S41" s="87">
        <f>IF(S9=0,0,S9/TrAvia_act!S27*1000000)</f>
        <v>15485.916044860131</v>
      </c>
      <c r="T41" s="87">
        <f>IF(T9=0,0,T9/TrAvia_act!T27*1000000)</f>
        <v>15126.540543347897</v>
      </c>
      <c r="U41" s="87">
        <f>IF(U9=0,0,U9/TrAvia_act!U27*1000000)</f>
        <v>15018.535519218476</v>
      </c>
      <c r="V41" s="87">
        <f>IF(V9=0,0,V9/TrAvia_act!V27*1000000)</f>
        <v>20559.816590089118</v>
      </c>
      <c r="W41" s="87">
        <f>IF(W9=0,0,W9/TrAvia_act!W27*1000000)</f>
        <v>16003.364940180627</v>
      </c>
      <c r="X41" s="87">
        <f>IF(X9=0,0,X9/TrAvia_act!X27*1000000)</f>
        <v>16172.083887766927</v>
      </c>
      <c r="Y41" s="87">
        <f>IF(Y9=0,0,Y9/TrAvia_act!Y27*1000000)</f>
        <v>14439.202997010792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6040.3001611436921</v>
      </c>
      <c r="C42" s="15">
        <f>IF(C10=0,0,C10/TrAvia_act!C28*1000000)</f>
        <v>7823.7093402136315</v>
      </c>
      <c r="D42" s="15">
        <f>IF(D10=0,0,D10/TrAvia_act!D28*1000000)</f>
        <v>6695.8318982101327</v>
      </c>
      <c r="E42" s="15">
        <f>IF(E10=0,0,E10/TrAvia_act!E28*1000000)</f>
        <v>7359.1114964689841</v>
      </c>
      <c r="F42" s="15">
        <f>IF(F10=0,0,F10/TrAvia_act!F28*1000000)</f>
        <v>7152.4402156802034</v>
      </c>
      <c r="G42" s="15">
        <f>IF(G10=0,0,G10/TrAvia_act!G28*1000000)</f>
        <v>7464.1692461814064</v>
      </c>
      <c r="H42" s="15">
        <f>IF(H10=0,0,H10/TrAvia_act!H28*1000000)</f>
        <v>6938.1984485344574</v>
      </c>
      <c r="I42" s="15">
        <f>IF(I10=0,0,I10/TrAvia_act!I28*1000000)</f>
        <v>6140.0620737072995</v>
      </c>
      <c r="J42" s="15">
        <f>IF(J10=0,0,J10/TrAvia_act!J28*1000000)</f>
        <v>6635.1343083313322</v>
      </c>
      <c r="K42" s="15">
        <f>IF(K10=0,0,K10/TrAvia_act!K28*1000000)</f>
        <v>6561.6306312026336</v>
      </c>
      <c r="L42" s="15">
        <f>IF(L10=0,0,L10/TrAvia_act!L28*1000000)</f>
        <v>7069.3117236978651</v>
      </c>
      <c r="M42" s="15">
        <f>IF(M10=0,0,M10/TrAvia_act!M28*1000000)</f>
        <v>7362.1311308751956</v>
      </c>
      <c r="N42" s="15">
        <f>IF(N10=0,0,N10/TrAvia_act!N28*1000000)</f>
        <v>6770.7467857104366</v>
      </c>
      <c r="O42" s="15">
        <f>IF(O10=0,0,O10/TrAvia_act!O28*1000000)</f>
        <v>5772.5324035257845</v>
      </c>
      <c r="P42" s="15">
        <f>IF(P10=0,0,P10/TrAvia_act!P28*1000000)</f>
        <v>4405.209557807636</v>
      </c>
      <c r="Q42" s="15">
        <f>IF(Q10=0,0,Q10/TrAvia_act!Q28*1000000)</f>
        <v>3972.4080732855559</v>
      </c>
      <c r="R42" s="15">
        <f>IF(R10=0,0,R10/TrAvia_act!R28*1000000)</f>
        <v>3851.2009665138326</v>
      </c>
      <c r="S42" s="15">
        <f>IF(S10=0,0,S10/TrAvia_act!S28*1000000)</f>
        <v>3380.3930297617444</v>
      </c>
      <c r="T42" s="15">
        <f>IF(T10=0,0,T10/TrAvia_act!T28*1000000)</f>
        <v>3228.5986132650551</v>
      </c>
      <c r="U42" s="15">
        <f>IF(U10=0,0,U10/TrAvia_act!U28*1000000)</f>
        <v>3415.2002027265075</v>
      </c>
      <c r="V42" s="15">
        <f>IF(V10=0,0,V10/TrAvia_act!V28*1000000)</f>
        <v>4285.5595464084399</v>
      </c>
      <c r="W42" s="15">
        <f>IF(W10=0,0,W10/TrAvia_act!W28*1000000)</f>
        <v>3918.5097149794315</v>
      </c>
      <c r="X42" s="15">
        <f>IF(X10=0,0,X10/TrAvia_act!X28*1000000)</f>
        <v>6876.6965689578192</v>
      </c>
      <c r="Y42" s="15">
        <f>IF(Y10=0,0,Y10/TrAvia_act!Y28*1000000)</f>
        <v>5870.5032816452822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1722.8379363230276</v>
      </c>
      <c r="C43" s="101">
        <f>IF(C11=0,0,C11/TrAvia_act!C29*1000000)</f>
        <v>1782.7750493770309</v>
      </c>
      <c r="D43" s="101">
        <f>IF(D11=0,0,D11/TrAvia_act!D29*1000000)</f>
        <v>1588.3596878701749</v>
      </c>
      <c r="E43" s="101">
        <f>IF(E11=0,0,E11/TrAvia_act!E29*1000000)</f>
        <v>1641.6807013997254</v>
      </c>
      <c r="F43" s="101">
        <f>IF(F11=0,0,F11/TrAvia_act!F29*1000000)</f>
        <v>1788.3885998538269</v>
      </c>
      <c r="G43" s="101">
        <f>IF(G11=0,0,G11/TrAvia_act!G29*1000000)</f>
        <v>1918.8238511663296</v>
      </c>
      <c r="H43" s="101">
        <f>IF(H11=0,0,H11/TrAvia_act!H29*1000000)</f>
        <v>1897.1091825536187</v>
      </c>
      <c r="I43" s="101">
        <f>IF(I11=0,0,I11/TrAvia_act!I29*1000000)</f>
        <v>1958.089058118507</v>
      </c>
      <c r="J43" s="101">
        <f>IF(J11=0,0,J11/TrAvia_act!J29*1000000)</f>
        <v>1851.5928556601993</v>
      </c>
      <c r="K43" s="101">
        <f>IF(K11=0,0,K11/TrAvia_act!K29*1000000)</f>
        <v>1735.7649230086113</v>
      </c>
      <c r="L43" s="101">
        <f>IF(L11=0,0,L11/TrAvia_act!L29*1000000)</f>
        <v>1672.9670375707594</v>
      </c>
      <c r="M43" s="101">
        <f>IF(M11=0,0,M11/TrAvia_act!M29*1000000)</f>
        <v>1670.9095413633243</v>
      </c>
      <c r="N43" s="101">
        <f>IF(N11=0,0,N11/TrAvia_act!N29*1000000)</f>
        <v>1695.7712440822629</v>
      </c>
      <c r="O43" s="101">
        <f>IF(O11=0,0,O11/TrAvia_act!O29*1000000)</f>
        <v>1697.1793614494736</v>
      </c>
      <c r="P43" s="101">
        <f>IF(P11=0,0,P11/TrAvia_act!P29*1000000)</f>
        <v>1658.2013554049652</v>
      </c>
      <c r="Q43" s="101">
        <f>IF(Q11=0,0,Q11/TrAvia_act!Q29*1000000)</f>
        <v>1664.0284201777486</v>
      </c>
      <c r="R43" s="101">
        <f>IF(R11=0,0,R11/TrAvia_act!R29*1000000)</f>
        <v>1747.6408991224916</v>
      </c>
      <c r="S43" s="101">
        <f>IF(S11=0,0,S11/TrAvia_act!S29*1000000)</f>
        <v>1704.4704750922606</v>
      </c>
      <c r="T43" s="101">
        <f>IF(T11=0,0,T11/TrAvia_act!T29*1000000)</f>
        <v>1645.0354642706925</v>
      </c>
      <c r="U43" s="101">
        <f>IF(U11=0,0,U11/TrAvia_act!U29*1000000)</f>
        <v>1602.5865988645025</v>
      </c>
      <c r="V43" s="101">
        <f>IF(V11=0,0,V11/TrAvia_act!V29*1000000)</f>
        <v>1649.5602825682067</v>
      </c>
      <c r="W43" s="101">
        <f>IF(W11=0,0,W11/TrAvia_act!W29*1000000)</f>
        <v>1762.097454335626</v>
      </c>
      <c r="X43" s="101">
        <f>IF(X11=0,0,X11/TrAvia_act!X29*1000000)</f>
        <v>1826.1951712270525</v>
      </c>
      <c r="Y43" s="101">
        <f>IF(Y11=0,0,Y11/TrAvia_act!Y29*1000000)</f>
        <v>1686.9772957960179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4050.1967469419055</v>
      </c>
      <c r="C44" s="101">
        <f>IF(C12=0,0,C12/TrAvia_act!C30*1000000)</f>
        <v>4258.513937943816</v>
      </c>
      <c r="D44" s="101">
        <f>IF(D12=0,0,D12/TrAvia_act!D30*1000000)</f>
        <v>3546.1262944199898</v>
      </c>
      <c r="E44" s="101">
        <f>IF(E12=0,0,E12/TrAvia_act!E30*1000000)</f>
        <v>3539.6691435104644</v>
      </c>
      <c r="F44" s="101">
        <f>IF(F12=0,0,F12/TrAvia_act!F30*1000000)</f>
        <v>3631.7956806374277</v>
      </c>
      <c r="G44" s="101">
        <f>IF(G12=0,0,G12/TrAvia_act!G30*1000000)</f>
        <v>4200.1510829037261</v>
      </c>
      <c r="H44" s="101">
        <f>IF(H12=0,0,H12/TrAvia_act!H30*1000000)</f>
        <v>3902.7568100394988</v>
      </c>
      <c r="I44" s="101">
        <f>IF(I12=0,0,I12/TrAvia_act!I30*1000000)</f>
        <v>3828.4795258732765</v>
      </c>
      <c r="J44" s="101">
        <f>IF(J12=0,0,J12/TrAvia_act!J30*1000000)</f>
        <v>4368.5200324564848</v>
      </c>
      <c r="K44" s="101">
        <f>IF(K12=0,0,K12/TrAvia_act!K30*1000000)</f>
        <v>4364.9224909689392</v>
      </c>
      <c r="L44" s="101">
        <f>IF(L12=0,0,L12/TrAvia_act!L30*1000000)</f>
        <v>3990.2225593343383</v>
      </c>
      <c r="M44" s="101">
        <f>IF(M12=0,0,M12/TrAvia_act!M30*1000000)</f>
        <v>3969.0060874241717</v>
      </c>
      <c r="N44" s="101">
        <f>IF(N12=0,0,N12/TrAvia_act!N30*1000000)</f>
        <v>3831.7340878812633</v>
      </c>
      <c r="O44" s="101">
        <f>IF(O12=0,0,O12/TrAvia_act!O30*1000000)</f>
        <v>4224.1471221572629</v>
      </c>
      <c r="P44" s="101">
        <f>IF(P12=0,0,P12/TrAvia_act!P30*1000000)</f>
        <v>3829.559416931264</v>
      </c>
      <c r="Q44" s="101">
        <f>IF(Q12=0,0,Q12/TrAvia_act!Q30*1000000)</f>
        <v>3816.9068693655499</v>
      </c>
      <c r="R44" s="101">
        <f>IF(R12=0,0,R12/TrAvia_act!R30*1000000)</f>
        <v>4069.6786305916457</v>
      </c>
      <c r="S44" s="101">
        <f>IF(S12=0,0,S12/TrAvia_act!S30*1000000)</f>
        <v>4011.3244233417795</v>
      </c>
      <c r="T44" s="101">
        <f>IF(T12=0,0,T12/TrAvia_act!T30*1000000)</f>
        <v>3987.0625007897434</v>
      </c>
      <c r="U44" s="101">
        <f>IF(U12=0,0,U12/TrAvia_act!U30*1000000)</f>
        <v>3723.0874522514478</v>
      </c>
      <c r="V44" s="101">
        <f>IF(V12=0,0,V12/TrAvia_act!V30*1000000)</f>
        <v>4553.1701361668966</v>
      </c>
      <c r="W44" s="101">
        <f>IF(W12=0,0,W12/TrAvia_act!W30*1000000)</f>
        <v>4081.1601924725364</v>
      </c>
      <c r="X44" s="101">
        <f>IF(X12=0,0,X12/TrAvia_act!X30*1000000)</f>
        <v>4187.2583011820807</v>
      </c>
      <c r="Y44" s="101">
        <f>IF(Y12=0,0,Y12/TrAvia_act!Y30*1000000)</f>
        <v>3298.7623331255299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27886.843770570693</v>
      </c>
      <c r="C45" s="88">
        <f>IF(C13=0,0,C13/TrAvia_act!C31*1000000)</f>
        <v>29350.105738974406</v>
      </c>
      <c r="D45" s="88">
        <f>IF(D13=0,0,D13/TrAvia_act!D31*1000000)</f>
        <v>24460.802921715487</v>
      </c>
      <c r="E45" s="88">
        <f>IF(E13=0,0,E13/TrAvia_act!E31*1000000)</f>
        <v>24409.307692330109</v>
      </c>
      <c r="F45" s="88">
        <f>IF(F13=0,0,F13/TrAvia_act!F31*1000000)</f>
        <v>27378.69812275589</v>
      </c>
      <c r="G45" s="88">
        <f>IF(G13=0,0,G13/TrAvia_act!G31*1000000)</f>
        <v>22864.2036726152</v>
      </c>
      <c r="H45" s="88">
        <f>IF(H13=0,0,H13/TrAvia_act!H31*1000000)</f>
        <v>23880.659001150128</v>
      </c>
      <c r="I45" s="88">
        <f>IF(I13=0,0,I13/TrAvia_act!I31*1000000)</f>
        <v>21254.789609220894</v>
      </c>
      <c r="J45" s="88">
        <f>IF(J13=0,0,J13/TrAvia_act!J31*1000000)</f>
        <v>22726.847454275863</v>
      </c>
      <c r="K45" s="88">
        <f>IF(K13=0,0,K13/TrAvia_act!K31*1000000)</f>
        <v>24434.547869720966</v>
      </c>
      <c r="L45" s="88">
        <f>IF(L13=0,0,L13/TrAvia_act!L31*1000000)</f>
        <v>24362.754077352216</v>
      </c>
      <c r="M45" s="88">
        <f>IF(M13=0,0,M13/TrAvia_act!M31*1000000)</f>
        <v>23563.620215705727</v>
      </c>
      <c r="N45" s="88">
        <f>IF(N13=0,0,N13/TrAvia_act!N31*1000000)</f>
        <v>22771.226948402444</v>
      </c>
      <c r="O45" s="88">
        <f>IF(O13=0,0,O13/TrAvia_act!O31*1000000)</f>
        <v>18409.083475145777</v>
      </c>
      <c r="P45" s="88">
        <f>IF(P13=0,0,P13/TrAvia_act!P31*1000000)</f>
        <v>11209.719459135151</v>
      </c>
      <c r="Q45" s="88">
        <f>IF(Q13=0,0,Q13/TrAvia_act!Q31*1000000)</f>
        <v>8395.4286044926193</v>
      </c>
      <c r="R45" s="88">
        <f>IF(R13=0,0,R13/TrAvia_act!R31*1000000)</f>
        <v>6726.4954034767561</v>
      </c>
      <c r="S45" s="88">
        <f>IF(S13=0,0,S13/TrAvia_act!S31*1000000)</f>
        <v>4549.602249913004</v>
      </c>
      <c r="T45" s="88">
        <f>IF(T13=0,0,T13/TrAvia_act!T31*1000000)</f>
        <v>3187.843229577476</v>
      </c>
      <c r="U45" s="88">
        <f>IF(U13=0,0,U13/TrAvia_act!U31*1000000)</f>
        <v>3679.5995323407328</v>
      </c>
      <c r="V45" s="88">
        <f>IF(V13=0,0,V13/TrAvia_act!V31*1000000)</f>
        <v>4928.640495183553</v>
      </c>
      <c r="W45" s="88">
        <f>IF(W13=0,0,W13/TrAvia_act!W31*1000000)</f>
        <v>4912.5752773123459</v>
      </c>
      <c r="X45" s="88">
        <f>IF(X13=0,0,X13/TrAvia_act!X31*1000000)</f>
        <v>19257.549937789096</v>
      </c>
      <c r="Y45" s="88">
        <f>IF(Y13=0,0,Y13/TrAvia_act!Y31*1000000)</f>
        <v>18875.216186075359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0.98591307689030383</v>
      </c>
      <c r="C48" s="16">
        <f t="shared" si="36"/>
        <v>0.98381990218501458</v>
      </c>
      <c r="D48" s="16">
        <f t="shared" ref="D48:V48" si="37">IF(D6=0,0,D6/D$3)</f>
        <v>0.97662578646438469</v>
      </c>
      <c r="E48" s="16">
        <f t="shared" si="37"/>
        <v>0.96929417737612422</v>
      </c>
      <c r="F48" s="16">
        <f t="shared" si="37"/>
        <v>0.96613908719875796</v>
      </c>
      <c r="G48" s="16">
        <f t="shared" si="37"/>
        <v>0.96202207752172486</v>
      </c>
      <c r="H48" s="16">
        <f t="shared" si="37"/>
        <v>0.95887359177921416</v>
      </c>
      <c r="I48" s="16">
        <f t="shared" si="37"/>
        <v>0.95748234108329899</v>
      </c>
      <c r="J48" s="16">
        <f t="shared" si="37"/>
        <v>0.95786609318781901</v>
      </c>
      <c r="K48" s="16">
        <f t="shared" si="37"/>
        <v>0.96359199458762879</v>
      </c>
      <c r="L48" s="16">
        <f t="shared" si="37"/>
        <v>0.95851996288127783</v>
      </c>
      <c r="M48" s="16">
        <f t="shared" si="37"/>
        <v>0.96719225526942021</v>
      </c>
      <c r="N48" s="16">
        <f t="shared" si="37"/>
        <v>0.97252359747086825</v>
      </c>
      <c r="O48" s="16">
        <f t="shared" si="37"/>
        <v>0.98044904309521974</v>
      </c>
      <c r="P48" s="16">
        <f t="shared" si="37"/>
        <v>0.98466539443552148</v>
      </c>
      <c r="Q48" s="16">
        <f t="shared" si="37"/>
        <v>0.98614154382092933</v>
      </c>
      <c r="R48" s="16">
        <f t="shared" si="37"/>
        <v>0.98941173356604784</v>
      </c>
      <c r="S48" s="16">
        <f t="shared" si="37"/>
        <v>0.99024552267916188</v>
      </c>
      <c r="T48" s="16">
        <f t="shared" si="37"/>
        <v>0.9910866170315803</v>
      </c>
      <c r="U48" s="16">
        <f t="shared" si="37"/>
        <v>0.98871795579468358</v>
      </c>
      <c r="V48" s="16">
        <f t="shared" si="37"/>
        <v>0.96533485362246851</v>
      </c>
      <c r="W48" s="16">
        <f t="shared" ref="W48:Y48" si="38">IF(W6=0,0,W6/W$3)</f>
        <v>0.9666870052874893</v>
      </c>
      <c r="X48" s="16">
        <f t="shared" si="38"/>
        <v>0.96936581557110713</v>
      </c>
      <c r="Y48" s="16">
        <f t="shared" si="38"/>
        <v>0.97592363445666019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0.25392519945069619</v>
      </c>
      <c r="C49" s="103">
        <f t="shared" si="39"/>
        <v>0.25296167411756615</v>
      </c>
      <c r="D49" s="103">
        <f t="shared" ref="D49:V49" si="40">IF(D7=0,0,D7/D$3)</f>
        <v>0.27460141267276517</v>
      </c>
      <c r="E49" s="103">
        <f t="shared" si="40"/>
        <v>0.27362545767042273</v>
      </c>
      <c r="F49" s="103">
        <f t="shared" si="40"/>
        <v>0.2591549014176241</v>
      </c>
      <c r="G49" s="103">
        <f t="shared" si="40"/>
        <v>0.26293692475273112</v>
      </c>
      <c r="H49" s="103">
        <f t="shared" si="40"/>
        <v>0.24294785451090686</v>
      </c>
      <c r="I49" s="103">
        <f t="shared" si="40"/>
        <v>0.24052937529182811</v>
      </c>
      <c r="J49" s="103">
        <f t="shared" si="40"/>
        <v>0.19808160269846461</v>
      </c>
      <c r="K49" s="103">
        <f t="shared" si="40"/>
        <v>0.19232737529016314</v>
      </c>
      <c r="L49" s="103">
        <f t="shared" si="40"/>
        <v>0.18838655042773153</v>
      </c>
      <c r="M49" s="103">
        <f t="shared" si="40"/>
        <v>0.19233421036435089</v>
      </c>
      <c r="N49" s="103">
        <f t="shared" si="40"/>
        <v>0.19735305557071786</v>
      </c>
      <c r="O49" s="103">
        <f t="shared" si="40"/>
        <v>0.18005691842727103</v>
      </c>
      <c r="P49" s="103">
        <f t="shared" si="40"/>
        <v>0.19399049256571563</v>
      </c>
      <c r="Q49" s="103">
        <f t="shared" si="40"/>
        <v>0.1884971468967323</v>
      </c>
      <c r="R49" s="103">
        <f t="shared" si="40"/>
        <v>0.18242494583440155</v>
      </c>
      <c r="S49" s="103">
        <f t="shared" si="40"/>
        <v>0.17237248003175989</v>
      </c>
      <c r="T49" s="103">
        <f t="shared" si="40"/>
        <v>0.15767396029269565</v>
      </c>
      <c r="U49" s="103">
        <f t="shared" si="40"/>
        <v>0.15079944687472754</v>
      </c>
      <c r="V49" s="103">
        <f t="shared" si="40"/>
        <v>0.15075043328513635</v>
      </c>
      <c r="W49" s="103">
        <f t="shared" ref="W49:Y49" si="41">IF(W7=0,0,W7/W$3)</f>
        <v>0.16262418598171668</v>
      </c>
      <c r="X49" s="103">
        <f t="shared" si="41"/>
        <v>0.14372293818154738</v>
      </c>
      <c r="Y49" s="103">
        <f t="shared" si="41"/>
        <v>0.15747701277309675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0.5605655200935491</v>
      </c>
      <c r="C50" s="103">
        <f t="shared" si="42"/>
        <v>0.57429120753121465</v>
      </c>
      <c r="D50" s="103">
        <f t="shared" ref="D50:V50" si="43">IF(D8=0,0,D8/D$3)</f>
        <v>0.55501829982445861</v>
      </c>
      <c r="E50" s="103">
        <f t="shared" si="43"/>
        <v>0.54380379443909432</v>
      </c>
      <c r="F50" s="103">
        <f t="shared" si="43"/>
        <v>0.53266710921477756</v>
      </c>
      <c r="G50" s="103">
        <f t="shared" si="43"/>
        <v>0.52661550372609534</v>
      </c>
      <c r="H50" s="103">
        <f t="shared" si="43"/>
        <v>0.54299366316331321</v>
      </c>
      <c r="I50" s="103">
        <f t="shared" si="43"/>
        <v>0.54681765285473027</v>
      </c>
      <c r="J50" s="103">
        <f t="shared" si="43"/>
        <v>0.57688477403291949</v>
      </c>
      <c r="K50" s="103">
        <f t="shared" si="43"/>
        <v>0.57518674571663897</v>
      </c>
      <c r="L50" s="103">
        <f t="shared" si="43"/>
        <v>0.57501946199642473</v>
      </c>
      <c r="M50" s="103">
        <f t="shared" si="43"/>
        <v>0.58299210140592828</v>
      </c>
      <c r="N50" s="103">
        <f t="shared" si="43"/>
        <v>0.57784252932129443</v>
      </c>
      <c r="O50" s="103">
        <f t="shared" si="43"/>
        <v>0.59701879859588824</v>
      </c>
      <c r="P50" s="103">
        <f t="shared" si="43"/>
        <v>0.59148614426123425</v>
      </c>
      <c r="Q50" s="103">
        <f t="shared" si="43"/>
        <v>0.59709504059011709</v>
      </c>
      <c r="R50" s="103">
        <f t="shared" si="43"/>
        <v>0.61283968437329461</v>
      </c>
      <c r="S50" s="103">
        <f t="shared" si="43"/>
        <v>0.62723086527311567</v>
      </c>
      <c r="T50" s="103">
        <f t="shared" si="43"/>
        <v>0.63471478570965245</v>
      </c>
      <c r="U50" s="103">
        <f t="shared" si="43"/>
        <v>0.62932275627618783</v>
      </c>
      <c r="V50" s="103">
        <f t="shared" si="43"/>
        <v>0.56581110608862417</v>
      </c>
      <c r="W50" s="103">
        <f t="shared" ref="W50:Y50" si="44">IF(W8=0,0,W8/W$3)</f>
        <v>0.58228956430744938</v>
      </c>
      <c r="X50" s="103">
        <f t="shared" si="44"/>
        <v>0.63178902438430773</v>
      </c>
      <c r="Y50" s="103">
        <f t="shared" si="44"/>
        <v>0.62171198009582063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0.17142235734605857</v>
      </c>
      <c r="C51" s="103">
        <f t="shared" si="45"/>
        <v>0.15656702053623381</v>
      </c>
      <c r="D51" s="103">
        <f t="shared" ref="D51:V51" si="46">IF(D9=0,0,D9/D$3)</f>
        <v>0.14700607396716095</v>
      </c>
      <c r="E51" s="103">
        <f t="shared" si="46"/>
        <v>0.15186492526660722</v>
      </c>
      <c r="F51" s="103">
        <f t="shared" si="46"/>
        <v>0.17431707656635623</v>
      </c>
      <c r="G51" s="103">
        <f t="shared" si="46"/>
        <v>0.17246964904289835</v>
      </c>
      <c r="H51" s="103">
        <f t="shared" si="46"/>
        <v>0.172932074104994</v>
      </c>
      <c r="I51" s="103">
        <f t="shared" si="46"/>
        <v>0.17013531293674058</v>
      </c>
      <c r="J51" s="103">
        <f t="shared" si="46"/>
        <v>0.18289971645643494</v>
      </c>
      <c r="K51" s="103">
        <f t="shared" si="46"/>
        <v>0.19607787358082659</v>
      </c>
      <c r="L51" s="103">
        <f t="shared" si="46"/>
        <v>0.19511395045712163</v>
      </c>
      <c r="M51" s="103">
        <f t="shared" si="46"/>
        <v>0.19186594349914099</v>
      </c>
      <c r="N51" s="103">
        <f t="shared" si="46"/>
        <v>0.19732801257885593</v>
      </c>
      <c r="O51" s="103">
        <f t="shared" si="46"/>
        <v>0.20337332607206041</v>
      </c>
      <c r="P51" s="103">
        <f t="shared" si="46"/>
        <v>0.19918875760857174</v>
      </c>
      <c r="Q51" s="103">
        <f t="shared" si="46"/>
        <v>0.20054935633407986</v>
      </c>
      <c r="R51" s="103">
        <f t="shared" si="46"/>
        <v>0.19414710335835159</v>
      </c>
      <c r="S51" s="103">
        <f t="shared" si="46"/>
        <v>0.19064217737428624</v>
      </c>
      <c r="T51" s="103">
        <f t="shared" si="46"/>
        <v>0.1986978710292322</v>
      </c>
      <c r="U51" s="103">
        <f t="shared" si="46"/>
        <v>0.20859575264376815</v>
      </c>
      <c r="V51" s="103">
        <f t="shared" si="46"/>
        <v>0.24877331424870805</v>
      </c>
      <c r="W51" s="103">
        <f t="shared" ref="W51:Y51" si="47">IF(W9=0,0,W9/W$3)</f>
        <v>0.22177325499832309</v>
      </c>
      <c r="X51" s="103">
        <f t="shared" si="47"/>
        <v>0.19385385300525204</v>
      </c>
      <c r="Y51" s="103">
        <f t="shared" si="47"/>
        <v>0.19673464158774279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1.4086923109696087E-2</v>
      </c>
      <c r="C52" s="17">
        <f t="shared" si="48"/>
        <v>1.6180097814985497E-2</v>
      </c>
      <c r="D52" s="17">
        <f t="shared" ref="D52:V52" si="49">IF(D10=0,0,D10/D$3)</f>
        <v>2.3374213535615238E-2</v>
      </c>
      <c r="E52" s="17">
        <f t="shared" si="49"/>
        <v>3.0705822623875705E-2</v>
      </c>
      <c r="F52" s="17">
        <f t="shared" si="49"/>
        <v>3.3860912801242239E-2</v>
      </c>
      <c r="G52" s="17">
        <f t="shared" si="49"/>
        <v>3.7977922478275097E-2</v>
      </c>
      <c r="H52" s="17">
        <f t="shared" si="49"/>
        <v>4.1126408220785844E-2</v>
      </c>
      <c r="I52" s="17">
        <f t="shared" si="49"/>
        <v>4.2517658916701E-2</v>
      </c>
      <c r="J52" s="17">
        <f t="shared" si="49"/>
        <v>4.2133906812180988E-2</v>
      </c>
      <c r="K52" s="17">
        <f t="shared" si="49"/>
        <v>3.6408005412371193E-2</v>
      </c>
      <c r="L52" s="17">
        <f t="shared" si="49"/>
        <v>4.1480037118722064E-2</v>
      </c>
      <c r="M52" s="17">
        <f t="shared" si="49"/>
        <v>3.2807744730579881E-2</v>
      </c>
      <c r="N52" s="17">
        <f t="shared" si="49"/>
        <v>2.7476402529131777E-2</v>
      </c>
      <c r="O52" s="17">
        <f t="shared" si="49"/>
        <v>1.9550956904780335E-2</v>
      </c>
      <c r="P52" s="17">
        <f t="shared" si="49"/>
        <v>1.533460556447838E-2</v>
      </c>
      <c r="Q52" s="17">
        <f t="shared" si="49"/>
        <v>1.3858456179070704E-2</v>
      </c>
      <c r="R52" s="17">
        <f t="shared" si="49"/>
        <v>1.0588266433952298E-2</v>
      </c>
      <c r="S52" s="17">
        <f t="shared" si="49"/>
        <v>9.7544773208381192E-3</v>
      </c>
      <c r="T52" s="17">
        <f t="shared" si="49"/>
        <v>8.9133829684196388E-3</v>
      </c>
      <c r="U52" s="17">
        <f t="shared" si="49"/>
        <v>1.1282044205316588E-2</v>
      </c>
      <c r="V52" s="17">
        <f t="shared" si="49"/>
        <v>3.4665146377531424E-2</v>
      </c>
      <c r="W52" s="17">
        <f t="shared" ref="W52:Y52" si="50">IF(W10=0,0,W10/W$3)</f>
        <v>3.3312994712510868E-2</v>
      </c>
      <c r="X52" s="17">
        <f t="shared" si="50"/>
        <v>3.0634184428892895E-2</v>
      </c>
      <c r="Y52" s="17">
        <f t="shared" si="50"/>
        <v>2.4076365543339695E-2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1.3189164996206002E-3</v>
      </c>
      <c r="C53" s="104">
        <f t="shared" si="51"/>
        <v>1.106994101355428E-3</v>
      </c>
      <c r="D53" s="104">
        <f t="shared" ref="D53:V53" si="52">IF(D11=0,0,D11/D$3)</f>
        <v>1.6211321147768388E-3</v>
      </c>
      <c r="E53" s="104">
        <f t="shared" si="52"/>
        <v>1.9038851612416076E-3</v>
      </c>
      <c r="F53" s="104">
        <f t="shared" si="52"/>
        <v>2.679495392657558E-3</v>
      </c>
      <c r="G53" s="104">
        <f t="shared" si="52"/>
        <v>3.0467288793836031E-3</v>
      </c>
      <c r="H53" s="104">
        <f t="shared" si="52"/>
        <v>3.5626619609705895E-3</v>
      </c>
      <c r="I53" s="104">
        <f t="shared" si="52"/>
        <v>4.3661711037573476E-3</v>
      </c>
      <c r="J53" s="104">
        <f t="shared" si="52"/>
        <v>3.8529136839969532E-3</v>
      </c>
      <c r="K53" s="104">
        <f t="shared" si="52"/>
        <v>3.2243755285497207E-3</v>
      </c>
      <c r="L53" s="104">
        <f t="shared" si="52"/>
        <v>2.745587076508467E-3</v>
      </c>
      <c r="M53" s="104">
        <f t="shared" si="52"/>
        <v>2.271735394733874E-3</v>
      </c>
      <c r="N53" s="104">
        <f t="shared" si="52"/>
        <v>2.3552262652933101E-3</v>
      </c>
      <c r="O53" s="104">
        <f t="shared" si="52"/>
        <v>2.0499979644139502E-3</v>
      </c>
      <c r="P53" s="104">
        <f t="shared" si="52"/>
        <v>2.0128971644699928E-3</v>
      </c>
      <c r="Q53" s="104">
        <f t="shared" si="52"/>
        <v>1.9078488735468225E-3</v>
      </c>
      <c r="R53" s="104">
        <f t="shared" si="52"/>
        <v>1.5384357713837005E-3</v>
      </c>
      <c r="S53" s="104">
        <f t="shared" si="52"/>
        <v>1.575470749384852E-3</v>
      </c>
      <c r="T53" s="104">
        <f t="shared" si="52"/>
        <v>1.1107762011509498E-3</v>
      </c>
      <c r="U53" s="104">
        <f t="shared" si="52"/>
        <v>7.5543317060271611E-4</v>
      </c>
      <c r="V53" s="104">
        <f t="shared" si="52"/>
        <v>1.4793951710198546E-3</v>
      </c>
      <c r="W53" s="104">
        <f t="shared" ref="W53:Y53" si="53">IF(W11=0,0,W11/W$3)</f>
        <v>1.8992095874107732E-3</v>
      </c>
      <c r="X53" s="104">
        <f t="shared" si="53"/>
        <v>1.2676455079891197E-3</v>
      </c>
      <c r="Y53" s="104">
        <f t="shared" si="53"/>
        <v>1.1218203833968851E-3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5.2537162946680637E-3</v>
      </c>
      <c r="C54" s="104">
        <f t="shared" si="54"/>
        <v>4.6504297228618582E-3</v>
      </c>
      <c r="D54" s="104">
        <f t="shared" ref="D54:V54" si="55">IF(D12=0,0,D12/D$3)</f>
        <v>6.5566903532849894E-3</v>
      </c>
      <c r="E54" s="104">
        <f t="shared" si="55"/>
        <v>7.5879091982519638E-3</v>
      </c>
      <c r="F54" s="104">
        <f t="shared" si="55"/>
        <v>8.7806688320092047E-3</v>
      </c>
      <c r="G54" s="104">
        <f t="shared" si="55"/>
        <v>1.0148960461827554E-2</v>
      </c>
      <c r="H54" s="104">
        <f t="shared" si="55"/>
        <v>1.155383638339212E-2</v>
      </c>
      <c r="I54" s="104">
        <f t="shared" si="55"/>
        <v>1.3541116457797825E-2</v>
      </c>
      <c r="J54" s="104">
        <f t="shared" si="55"/>
        <v>1.397905138220645E-2</v>
      </c>
      <c r="K54" s="104">
        <f t="shared" si="55"/>
        <v>1.239786226349864E-2</v>
      </c>
      <c r="L54" s="104">
        <f t="shared" si="55"/>
        <v>1.2581065091511199E-2</v>
      </c>
      <c r="M54" s="104">
        <f t="shared" si="55"/>
        <v>8.5951662867278043E-3</v>
      </c>
      <c r="N54" s="104">
        <f t="shared" si="55"/>
        <v>7.2145976648738518E-3</v>
      </c>
      <c r="O54" s="104">
        <f t="shared" si="55"/>
        <v>6.7338297803972158E-3</v>
      </c>
      <c r="P54" s="104">
        <f t="shared" si="55"/>
        <v>6.2745209058291274E-3</v>
      </c>
      <c r="Q54" s="104">
        <f t="shared" si="55"/>
        <v>6.4298006995156297E-3</v>
      </c>
      <c r="R54" s="104">
        <f t="shared" si="55"/>
        <v>5.3954397897461662E-3</v>
      </c>
      <c r="S54" s="104">
        <f t="shared" si="55"/>
        <v>5.5449338853527192E-3</v>
      </c>
      <c r="T54" s="104">
        <f t="shared" si="55"/>
        <v>5.7582772202546583E-3</v>
      </c>
      <c r="U54" s="104">
        <f t="shared" si="55"/>
        <v>9.0433839750264037E-3</v>
      </c>
      <c r="V54" s="104">
        <f t="shared" si="55"/>
        <v>2.7417616788338102E-2</v>
      </c>
      <c r="W54" s="104">
        <f t="shared" ref="W54:Y54" si="56">IF(W12=0,0,W12/W$3)</f>
        <v>2.4815257934422436E-2</v>
      </c>
      <c r="X54" s="104">
        <f t="shared" si="56"/>
        <v>1.1962519160977854E-2</v>
      </c>
      <c r="Y54" s="104">
        <f t="shared" si="56"/>
        <v>8.8746995188584213E-3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7.5142903154074223E-3</v>
      </c>
      <c r="C55" s="105">
        <f t="shared" si="57"/>
        <v>1.0422673990768211E-2</v>
      </c>
      <c r="D55" s="105">
        <f t="shared" ref="D55:V55" si="58">IF(D13=0,0,D13/D$3)</f>
        <v>1.5196391067553407E-2</v>
      </c>
      <c r="E55" s="105">
        <f t="shared" si="58"/>
        <v>2.1214028264382134E-2</v>
      </c>
      <c r="F55" s="105">
        <f t="shared" si="58"/>
        <v>2.2400748576575476E-2</v>
      </c>
      <c r="G55" s="105">
        <f t="shared" si="58"/>
        <v>2.4782233137063937E-2</v>
      </c>
      <c r="H55" s="105">
        <f t="shared" si="58"/>
        <v>2.6009909876423137E-2</v>
      </c>
      <c r="I55" s="105">
        <f t="shared" si="58"/>
        <v>2.4610371355145828E-2</v>
      </c>
      <c r="J55" s="105">
        <f t="shared" si="58"/>
        <v>2.4301941745977582E-2</v>
      </c>
      <c r="K55" s="105">
        <f t="shared" si="58"/>
        <v>2.0785767620322831E-2</v>
      </c>
      <c r="L55" s="105">
        <f t="shared" si="58"/>
        <v>2.6153384950702397E-2</v>
      </c>
      <c r="M55" s="105">
        <f t="shared" si="58"/>
        <v>2.1940843049118204E-2</v>
      </c>
      <c r="N55" s="105">
        <f t="shared" si="58"/>
        <v>1.7906578598964617E-2</v>
      </c>
      <c r="O55" s="105">
        <f t="shared" si="58"/>
        <v>1.0767129159969168E-2</v>
      </c>
      <c r="P55" s="105">
        <f t="shared" si="58"/>
        <v>7.0471874941792616E-3</v>
      </c>
      <c r="Q55" s="105">
        <f t="shared" si="58"/>
        <v>5.520806606008251E-3</v>
      </c>
      <c r="R55" s="105">
        <f t="shared" si="58"/>
        <v>3.6543908728224302E-3</v>
      </c>
      <c r="S55" s="105">
        <f t="shared" si="58"/>
        <v>2.6340726861005478E-3</v>
      </c>
      <c r="T55" s="105">
        <f t="shared" si="58"/>
        <v>2.0443295470140314E-3</v>
      </c>
      <c r="U55" s="105">
        <f t="shared" si="58"/>
        <v>1.4832270596874684E-3</v>
      </c>
      <c r="V55" s="105">
        <f t="shared" si="58"/>
        <v>5.7681344181734692E-3</v>
      </c>
      <c r="W55" s="105">
        <f t="shared" ref="W55:Y55" si="59">IF(W13=0,0,W13/W$3)</f>
        <v>6.5985271906776558E-3</v>
      </c>
      <c r="X55" s="105">
        <f t="shared" si="59"/>
        <v>1.7404019759925921E-2</v>
      </c>
      <c r="Y55" s="105">
        <f t="shared" si="59"/>
        <v>1.4079845641084386E-2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440.50612890458132</v>
      </c>
      <c r="C57" s="62">
        <v>437.48298883749351</v>
      </c>
      <c r="D57" s="62">
        <v>438.38940425012646</v>
      </c>
      <c r="E57" s="62">
        <v>440.83935181081193</v>
      </c>
      <c r="F57" s="62">
        <v>445.33863854598667</v>
      </c>
      <c r="G57" s="62">
        <v>457.5196643790735</v>
      </c>
      <c r="H57" s="62">
        <v>460.66953620588743</v>
      </c>
      <c r="I57" s="62">
        <v>471.65851377069771</v>
      </c>
      <c r="J57" s="62">
        <v>476.02678933568205</v>
      </c>
      <c r="K57" s="62">
        <v>473.89780852776772</v>
      </c>
      <c r="L57" s="62">
        <v>456.53161297967716</v>
      </c>
      <c r="M57" s="62">
        <v>452.63245807398857</v>
      </c>
      <c r="N57" s="62">
        <v>453.53085046246446</v>
      </c>
      <c r="O57" s="62">
        <v>448.80572881380192</v>
      </c>
      <c r="P57" s="62">
        <v>454.1860859422319</v>
      </c>
      <c r="Q57" s="62">
        <v>456.27329939479131</v>
      </c>
      <c r="R57" s="62">
        <v>465.95625402256121</v>
      </c>
      <c r="S57" s="62">
        <v>462.75027277801377</v>
      </c>
      <c r="T57" s="62">
        <v>459.59958086802561</v>
      </c>
      <c r="U57" s="62">
        <v>458.21253903811407</v>
      </c>
      <c r="V57" s="62">
        <v>467.1121248122999</v>
      </c>
      <c r="W57" s="62">
        <v>430.59290807702303</v>
      </c>
      <c r="X57" s="62">
        <v>441.65155168144196</v>
      </c>
      <c r="Y57" s="62">
        <v>439.72734811230907</v>
      </c>
      <c r="DA57" s="172" t="s">
        <v>314</v>
      </c>
    </row>
    <row r="58" spans="1:105" ht="11.45" customHeight="1" x14ac:dyDescent="0.25">
      <c r="A58" s="10" t="s">
        <v>33</v>
      </c>
      <c r="B58" s="14">
        <v>439.96063554818625</v>
      </c>
      <c r="C58" s="14">
        <v>436.48642553876454</v>
      </c>
      <c r="D58" s="14">
        <v>436.90208519896106</v>
      </c>
      <c r="E58" s="14">
        <v>438.65524283788341</v>
      </c>
      <c r="F58" s="14">
        <v>443.13110367381188</v>
      </c>
      <c r="G58" s="14">
        <v>453.7810953677332</v>
      </c>
      <c r="H58" s="14">
        <v>455.74785252103356</v>
      </c>
      <c r="I58" s="14">
        <v>466.27839072792261</v>
      </c>
      <c r="J58" s="14">
        <v>470.47295688323976</v>
      </c>
      <c r="K58" s="14">
        <v>469.37264404441919</v>
      </c>
      <c r="L58" s="14">
        <v>450.88224029970377</v>
      </c>
      <c r="M58" s="14">
        <v>447.94357767017743</v>
      </c>
      <c r="N58" s="14">
        <v>449.92226205911356</v>
      </c>
      <c r="O58" s="14">
        <v>447.45661300375986</v>
      </c>
      <c r="P58" s="14">
        <v>454.03212405751304</v>
      </c>
      <c r="Q58" s="14">
        <v>456.8487229021307</v>
      </c>
      <c r="R58" s="14">
        <v>466.77731485031757</v>
      </c>
      <c r="S58" s="14">
        <v>463.82748647613516</v>
      </c>
      <c r="T58" s="14">
        <v>460.62676406224904</v>
      </c>
      <c r="U58" s="14">
        <v>459.28671751564593</v>
      </c>
      <c r="V58" s="14">
        <v>471.21796425138928</v>
      </c>
      <c r="W58" s="14">
        <v>433.68083843469287</v>
      </c>
      <c r="X58" s="14">
        <v>437.94723179539085</v>
      </c>
      <c r="Y58" s="14">
        <v>436.60569902804127</v>
      </c>
      <c r="DA58" s="189" t="s">
        <v>315</v>
      </c>
    </row>
    <row r="59" spans="1:105" ht="11.45" customHeight="1" x14ac:dyDescent="0.25">
      <c r="A59" s="83" t="s">
        <v>27</v>
      </c>
      <c r="B59" s="87">
        <v>506.89418001199573</v>
      </c>
      <c r="C59" s="87">
        <v>506.89418001199579</v>
      </c>
      <c r="D59" s="87">
        <v>506.89418001199579</v>
      </c>
      <c r="E59" s="87">
        <v>506.89418001199579</v>
      </c>
      <c r="F59" s="87">
        <v>506.89418001199573</v>
      </c>
      <c r="G59" s="87">
        <v>505.80278161039922</v>
      </c>
      <c r="H59" s="87">
        <v>504.18763756778333</v>
      </c>
      <c r="I59" s="87">
        <v>501.87247247498141</v>
      </c>
      <c r="J59" s="87">
        <v>495.66467075497218</v>
      </c>
      <c r="K59" s="87">
        <v>493.25459807978353</v>
      </c>
      <c r="L59" s="87">
        <v>495.02445239527032</v>
      </c>
      <c r="M59" s="87">
        <v>497.10914865780228</v>
      </c>
      <c r="N59" s="87">
        <v>492.35897709139431</v>
      </c>
      <c r="O59" s="87">
        <v>492.25204058194214</v>
      </c>
      <c r="P59" s="87">
        <v>489.64662003628007</v>
      </c>
      <c r="Q59" s="87">
        <v>489.06662926573296</v>
      </c>
      <c r="R59" s="87">
        <v>483.29175317085202</v>
      </c>
      <c r="S59" s="87">
        <v>481.96028203430683</v>
      </c>
      <c r="T59" s="87">
        <v>481.36862061293152</v>
      </c>
      <c r="U59" s="87">
        <v>482.68786278633473</v>
      </c>
      <c r="V59" s="87">
        <v>486.24649749476021</v>
      </c>
      <c r="W59" s="87">
        <v>486.19267099233065</v>
      </c>
      <c r="X59" s="87">
        <v>471.19928011616804</v>
      </c>
      <c r="Y59" s="87">
        <v>474.6572431037381</v>
      </c>
      <c r="DA59" s="171" t="s">
        <v>316</v>
      </c>
    </row>
    <row r="60" spans="1:105" ht="11.45" customHeight="1" x14ac:dyDescent="0.25">
      <c r="A60" s="83" t="s">
        <v>181</v>
      </c>
      <c r="B60" s="87">
        <v>371.79547717770043</v>
      </c>
      <c r="C60" s="87">
        <v>370.10042903008457</v>
      </c>
      <c r="D60" s="87">
        <v>369.7099710384494</v>
      </c>
      <c r="E60" s="87">
        <v>371.66464681158504</v>
      </c>
      <c r="F60" s="87">
        <v>374.24883821873198</v>
      </c>
      <c r="G60" s="87">
        <v>372.90060893661166</v>
      </c>
      <c r="H60" s="87">
        <v>368.8827065043007</v>
      </c>
      <c r="I60" s="87">
        <v>367.39795274155739</v>
      </c>
      <c r="J60" s="87">
        <v>368.14404797934196</v>
      </c>
      <c r="K60" s="87">
        <v>370.0391508573519</v>
      </c>
      <c r="L60" s="87">
        <v>368.93163049375374</v>
      </c>
      <c r="M60" s="87">
        <v>371.18226116578853</v>
      </c>
      <c r="N60" s="87">
        <v>376.06330775325313</v>
      </c>
      <c r="O60" s="87">
        <v>374.35480797997866</v>
      </c>
      <c r="P60" s="87">
        <v>375.46986546804857</v>
      </c>
      <c r="Q60" s="87">
        <v>377.30416747336034</v>
      </c>
      <c r="R60" s="87">
        <v>376.80509546624523</v>
      </c>
      <c r="S60" s="87">
        <v>375.83866694552199</v>
      </c>
      <c r="T60" s="87">
        <v>376.95030108391904</v>
      </c>
      <c r="U60" s="87">
        <v>376.01175705333674</v>
      </c>
      <c r="V60" s="87">
        <v>386.24253814936043</v>
      </c>
      <c r="W60" s="87">
        <v>370.02554563538308</v>
      </c>
      <c r="X60" s="87">
        <v>366.56470857780295</v>
      </c>
      <c r="Y60" s="87">
        <v>368.55096116537567</v>
      </c>
      <c r="DA60" s="171" t="s">
        <v>317</v>
      </c>
    </row>
    <row r="61" spans="1:105" ht="11.45" customHeight="1" x14ac:dyDescent="0.25">
      <c r="A61" s="83" t="s">
        <v>182</v>
      </c>
      <c r="B61" s="87">
        <v>609.38722367589401</v>
      </c>
      <c r="C61" s="87">
        <v>609.38722367589401</v>
      </c>
      <c r="D61" s="87">
        <v>609.38722367589401</v>
      </c>
      <c r="E61" s="87">
        <v>609.38722367589389</v>
      </c>
      <c r="F61" s="87">
        <v>609.38722367589389</v>
      </c>
      <c r="G61" s="87">
        <v>648.92665206522815</v>
      </c>
      <c r="H61" s="87">
        <v>707.7968127848012</v>
      </c>
      <c r="I61" s="87">
        <v>768.13376619237408</v>
      </c>
      <c r="J61" s="87">
        <v>764.57558669891637</v>
      </c>
      <c r="K61" s="87">
        <v>724.0403305634544</v>
      </c>
      <c r="L61" s="87">
        <v>634.93357282340514</v>
      </c>
      <c r="M61" s="87">
        <v>618.91372112562567</v>
      </c>
      <c r="N61" s="87">
        <v>617.7013512947434</v>
      </c>
      <c r="O61" s="87">
        <v>604.08304183932728</v>
      </c>
      <c r="P61" s="87">
        <v>620.22259166219249</v>
      </c>
      <c r="Q61" s="87">
        <v>630.49594681668543</v>
      </c>
      <c r="R61" s="87">
        <v>692.96248440133604</v>
      </c>
      <c r="S61" s="87">
        <v>684.61929805891441</v>
      </c>
      <c r="T61" s="87">
        <v>653.53284888876567</v>
      </c>
      <c r="U61" s="87">
        <v>645.45891304025599</v>
      </c>
      <c r="V61" s="87">
        <v>644.45543714341238</v>
      </c>
      <c r="W61" s="87">
        <v>555.85994830157335</v>
      </c>
      <c r="X61" s="87">
        <v>614.809877791384</v>
      </c>
      <c r="Y61" s="87">
        <v>618.23880677127909</v>
      </c>
      <c r="DA61" s="171" t="s">
        <v>318</v>
      </c>
    </row>
    <row r="62" spans="1:105" ht="11.45" customHeight="1" x14ac:dyDescent="0.25">
      <c r="A62" s="12" t="s">
        <v>34</v>
      </c>
      <c r="B62" s="15">
        <v>491.06111006987192</v>
      </c>
      <c r="C62" s="15">
        <v>519.3260519478257</v>
      </c>
      <c r="D62" s="15">
        <v>521.33220654809463</v>
      </c>
      <c r="E62" s="15">
        <v>532.00172696267146</v>
      </c>
      <c r="F62" s="15">
        <v>528.84876914198856</v>
      </c>
      <c r="G62" s="15">
        <v>566.78425729109176</v>
      </c>
      <c r="H62" s="15">
        <v>591.49387913965074</v>
      </c>
      <c r="I62" s="15">
        <v>598.17794852107329</v>
      </c>
      <c r="J62" s="15">
        <v>607.29151111447447</v>
      </c>
      <c r="K62" s="15">
        <v>603.87559997067308</v>
      </c>
      <c r="L62" s="15">
        <v>603.06311429109303</v>
      </c>
      <c r="M62" s="15">
        <v>609.65644306331319</v>
      </c>
      <c r="N62" s="15">
        <v>601.1667182401834</v>
      </c>
      <c r="O62" s="15">
        <v>521.95520588312195</v>
      </c>
      <c r="P62" s="15">
        <v>463.70468828384554</v>
      </c>
      <c r="Q62" s="15">
        <v>418.88068383652433</v>
      </c>
      <c r="R62" s="15">
        <v>399.4541424098656</v>
      </c>
      <c r="S62" s="15">
        <v>367.51248136171296</v>
      </c>
      <c r="T62" s="15">
        <v>358.81444682305545</v>
      </c>
      <c r="U62" s="15">
        <v>368.05090116638439</v>
      </c>
      <c r="V62" s="15">
        <v>360.42631004937908</v>
      </c>
      <c r="W62" s="15">
        <v>349.32819788396841</v>
      </c>
      <c r="X62" s="15">
        <v>560.87891396406576</v>
      </c>
      <c r="Y62" s="15">
        <v>575.8238741788083</v>
      </c>
      <c r="DA62" s="193" t="s">
        <v>319</v>
      </c>
    </row>
    <row r="63" spans="1:105" ht="11.45" customHeight="1" x14ac:dyDescent="0.25">
      <c r="A63" s="92" t="s">
        <v>27</v>
      </c>
      <c r="B63" s="101">
        <v>592.02875966474778</v>
      </c>
      <c r="C63" s="101">
        <v>592.02875966474789</v>
      </c>
      <c r="D63" s="101">
        <v>592.02875966474778</v>
      </c>
      <c r="E63" s="101">
        <v>592.02875966474778</v>
      </c>
      <c r="F63" s="101">
        <v>592.02875966474789</v>
      </c>
      <c r="G63" s="101">
        <v>590.32998437618767</v>
      </c>
      <c r="H63" s="101">
        <v>583.1184535276617</v>
      </c>
      <c r="I63" s="101">
        <v>575.11414445614889</v>
      </c>
      <c r="J63" s="101">
        <v>561.79638711303653</v>
      </c>
      <c r="K63" s="101">
        <v>554.34376342819075</v>
      </c>
      <c r="L63" s="101">
        <v>552.86711846807702</v>
      </c>
      <c r="M63" s="101">
        <v>562.04364134195407</v>
      </c>
      <c r="N63" s="101">
        <v>561.63923967798507</v>
      </c>
      <c r="O63" s="101">
        <v>566.11549303349591</v>
      </c>
      <c r="P63" s="101">
        <v>566.88386852406813</v>
      </c>
      <c r="Q63" s="101">
        <v>570.74253235048081</v>
      </c>
      <c r="R63" s="101">
        <v>566.42511102045205</v>
      </c>
      <c r="S63" s="101">
        <v>569.02627448047849</v>
      </c>
      <c r="T63" s="101">
        <v>572.86646840758101</v>
      </c>
      <c r="U63" s="101">
        <v>596.31852232613494</v>
      </c>
      <c r="V63" s="101">
        <v>566.12470560850647</v>
      </c>
      <c r="W63" s="101">
        <v>589.51029686125105</v>
      </c>
      <c r="X63" s="101">
        <v>583.58833386037782</v>
      </c>
      <c r="Y63" s="101">
        <v>561.62067302734204</v>
      </c>
      <c r="DA63" s="175" t="s">
        <v>320</v>
      </c>
    </row>
    <row r="64" spans="1:105" ht="11.45" customHeight="1" x14ac:dyDescent="0.25">
      <c r="A64" s="92" t="s">
        <v>181</v>
      </c>
      <c r="B64" s="101">
        <v>364.17631155954695</v>
      </c>
      <c r="C64" s="101">
        <v>366.25189475335264</v>
      </c>
      <c r="D64" s="101">
        <v>366.43423291089078</v>
      </c>
      <c r="E64" s="101">
        <v>366.73036463326855</v>
      </c>
      <c r="F64" s="101">
        <v>375.36644835349426</v>
      </c>
      <c r="G64" s="101">
        <v>361.04988466134409</v>
      </c>
      <c r="H64" s="101">
        <v>352.91156889757866</v>
      </c>
      <c r="I64" s="101">
        <v>347.6964798441943</v>
      </c>
      <c r="J64" s="101">
        <v>346.4854095611575</v>
      </c>
      <c r="K64" s="101">
        <v>351.28943270119925</v>
      </c>
      <c r="L64" s="101">
        <v>348.27355523488393</v>
      </c>
      <c r="M64" s="101">
        <v>346.95260479964844</v>
      </c>
      <c r="N64" s="101">
        <v>347.86896153890626</v>
      </c>
      <c r="O64" s="101">
        <v>347.74718349079996</v>
      </c>
      <c r="P64" s="101">
        <v>348.30548505442061</v>
      </c>
      <c r="Q64" s="101">
        <v>353.98885025689896</v>
      </c>
      <c r="R64" s="101">
        <v>351.81748444899347</v>
      </c>
      <c r="S64" s="101">
        <v>348.84603570474559</v>
      </c>
      <c r="T64" s="101">
        <v>357.99388938834704</v>
      </c>
      <c r="U64" s="101">
        <v>363.59987369019046</v>
      </c>
      <c r="V64" s="101">
        <v>357.91658972349256</v>
      </c>
      <c r="W64" s="101">
        <v>355.91087934200721</v>
      </c>
      <c r="X64" s="101">
        <v>354.68861253795342</v>
      </c>
      <c r="Y64" s="101">
        <v>368.35629411438578</v>
      </c>
      <c r="DA64" s="175" t="s">
        <v>321</v>
      </c>
    </row>
    <row r="65" spans="1:105" ht="11.45" customHeight="1" x14ac:dyDescent="0.25">
      <c r="A65" s="85" t="s">
        <v>182</v>
      </c>
      <c r="B65" s="88">
        <v>613.58469792397193</v>
      </c>
      <c r="C65" s="88">
        <v>613.58469792397193</v>
      </c>
      <c r="D65" s="88">
        <v>613.58469792397204</v>
      </c>
      <c r="E65" s="88">
        <v>613.58469792397193</v>
      </c>
      <c r="F65" s="88">
        <v>613.58469792397204</v>
      </c>
      <c r="G65" s="88">
        <v>656.60784593351082</v>
      </c>
      <c r="H65" s="88">
        <v>713.81237974608905</v>
      </c>
      <c r="I65" s="88">
        <v>736.72561834595626</v>
      </c>
      <c r="J65" s="88">
        <v>745.97841006029194</v>
      </c>
      <c r="K65" s="88">
        <v>747.73975000418091</v>
      </c>
      <c r="L65" s="88">
        <v>737.30709771406362</v>
      </c>
      <c r="M65" s="88">
        <v>724.91291663462403</v>
      </c>
      <c r="N65" s="88">
        <v>716.4243386427222</v>
      </c>
      <c r="O65" s="88">
        <v>626.59198932196227</v>
      </c>
      <c r="P65" s="88">
        <v>537.83748466031273</v>
      </c>
      <c r="Q65" s="88">
        <v>464.33933416910173</v>
      </c>
      <c r="R65" s="88">
        <v>434.70716727950008</v>
      </c>
      <c r="S65" s="88">
        <v>384.61847717894938</v>
      </c>
      <c r="T65" s="88">
        <v>359.74713533315406</v>
      </c>
      <c r="U65" s="88">
        <v>380.39370161072731</v>
      </c>
      <c r="V65" s="88">
        <v>366.66103028042988</v>
      </c>
      <c r="W65" s="88">
        <v>334.69893809280006</v>
      </c>
      <c r="X65" s="88">
        <v>689.86680539170266</v>
      </c>
      <c r="Y65" s="88">
        <v>707.60022085231014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1.1006387697615834</v>
      </c>
      <c r="C67" s="59">
        <f t="shared" ref="C67:W67" si="61">IF(C3=0,0,C17/C57)</f>
        <v>1.1531066891050308</v>
      </c>
      <c r="D67" s="59">
        <f t="shared" si="61"/>
        <v>0.97494780842739903</v>
      </c>
      <c r="E67" s="59">
        <f t="shared" si="61"/>
        <v>0.98310752835931792</v>
      </c>
      <c r="F67" s="59">
        <f t="shared" si="61"/>
        <v>1.094054605437732</v>
      </c>
      <c r="G67" s="59">
        <f t="shared" si="61"/>
        <v>1.0729372377805879</v>
      </c>
      <c r="H67" s="59">
        <f t="shared" si="61"/>
        <v>1.0155112165589186</v>
      </c>
      <c r="I67" s="59">
        <f t="shared" si="61"/>
        <v>0.9502260644277849</v>
      </c>
      <c r="J67" s="59">
        <f t="shared" si="61"/>
        <v>1.0005524307734976</v>
      </c>
      <c r="K67" s="59">
        <f t="shared" si="61"/>
        <v>1.0182202060851535</v>
      </c>
      <c r="L67" s="59">
        <f t="shared" si="61"/>
        <v>0.98415650531602794</v>
      </c>
      <c r="M67" s="59">
        <f t="shared" si="61"/>
        <v>0.98484467936682396</v>
      </c>
      <c r="N67" s="59">
        <f t="shared" si="61"/>
        <v>0.97065897582293703</v>
      </c>
      <c r="O67" s="59">
        <f t="shared" si="61"/>
        <v>1.0415372693515785</v>
      </c>
      <c r="P67" s="59">
        <f t="shared" si="61"/>
        <v>0.92389650713354587</v>
      </c>
      <c r="Q67" s="59">
        <f t="shared" si="61"/>
        <v>0.93357874469864965</v>
      </c>
      <c r="R67" s="59">
        <f t="shared" si="61"/>
        <v>0.95851822784674046</v>
      </c>
      <c r="S67" s="59">
        <f t="shared" si="61"/>
        <v>0.93842840520326076</v>
      </c>
      <c r="T67" s="59">
        <f t="shared" si="61"/>
        <v>0.96115933276857068</v>
      </c>
      <c r="U67" s="59">
        <f t="shared" si="61"/>
        <v>0.95777993059995092</v>
      </c>
      <c r="V67" s="59">
        <f t="shared" si="61"/>
        <v>1.1050286155670859</v>
      </c>
      <c r="W67" s="59">
        <f t="shared" si="61"/>
        <v>1.1161719718718257</v>
      </c>
      <c r="X67" s="59">
        <f t="shared" ref="X67:Y67" si="62">IF(X3=0,0,X17/X57)</f>
        <v>1.0490044293661898</v>
      </c>
      <c r="Y67" s="59">
        <f t="shared" si="62"/>
        <v>0.86071574317822852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1.0996764145611246</v>
      </c>
      <c r="C68" s="23">
        <f t="shared" ref="C68:W68" si="64">IF(C6=0,0,C18/C58)</f>
        <v>1.1521876230245589</v>
      </c>
      <c r="D68" s="23">
        <f t="shared" si="64"/>
        <v>0.97406673933081889</v>
      </c>
      <c r="E68" s="23">
        <f t="shared" si="64"/>
        <v>0.98239191006662319</v>
      </c>
      <c r="F68" s="23">
        <f t="shared" si="64"/>
        <v>1.0932363773906197</v>
      </c>
      <c r="G68" s="23">
        <f t="shared" si="64"/>
        <v>1.0793500639661682</v>
      </c>
      <c r="H68" s="23">
        <f t="shared" si="64"/>
        <v>1.0246114644596669</v>
      </c>
      <c r="I68" s="23">
        <f t="shared" si="64"/>
        <v>0.96308003213890858</v>
      </c>
      <c r="J68" s="23">
        <f t="shared" si="64"/>
        <v>1.014647486205027</v>
      </c>
      <c r="K68" s="23">
        <f t="shared" si="64"/>
        <v>1.0287522180541004</v>
      </c>
      <c r="L68" s="23">
        <f t="shared" si="64"/>
        <v>0.99490236197877702</v>
      </c>
      <c r="M68" s="23">
        <f t="shared" si="64"/>
        <v>0.99359087326217121</v>
      </c>
      <c r="N68" s="23">
        <f t="shared" si="64"/>
        <v>0.97714397884598969</v>
      </c>
      <c r="O68" s="23">
        <f t="shared" si="64"/>
        <v>1.045416601828717</v>
      </c>
      <c r="P68" s="23">
        <f t="shared" si="64"/>
        <v>0.92657087358551782</v>
      </c>
      <c r="Q68" s="23">
        <f t="shared" si="64"/>
        <v>0.93537020468643661</v>
      </c>
      <c r="R68" s="23">
        <f t="shared" si="64"/>
        <v>0.95984053890351806</v>
      </c>
      <c r="S68" s="23">
        <f t="shared" si="64"/>
        <v>0.9390431262511606</v>
      </c>
      <c r="T68" s="23">
        <f t="shared" si="64"/>
        <v>0.96124061504925562</v>
      </c>
      <c r="U68" s="23">
        <f t="shared" si="64"/>
        <v>0.9567265852204514</v>
      </c>
      <c r="V68" s="23">
        <f t="shared" si="64"/>
        <v>1.1000832473822899</v>
      </c>
      <c r="W68" s="23">
        <f t="shared" si="64"/>
        <v>1.1141231389213015</v>
      </c>
      <c r="X68" s="23">
        <f t="shared" ref="X68:Y68" si="65">IF(X6=0,0,X18/X58)</f>
        <v>1.0585879669538387</v>
      </c>
      <c r="Y68" s="23">
        <f t="shared" si="65"/>
        <v>0.86625025173374781</v>
      </c>
      <c r="DA68" s="189"/>
    </row>
    <row r="69" spans="1:105" ht="11.45" customHeight="1" x14ac:dyDescent="0.25">
      <c r="A69" s="83" t="s">
        <v>27</v>
      </c>
      <c r="B69" s="91">
        <f t="shared" si="63"/>
        <v>0.80603428020092038</v>
      </c>
      <c r="C69" s="91">
        <f t="shared" ref="C69:W69" si="66">IF(C7=0,0,C19/C59)</f>
        <v>0.83407601689550093</v>
      </c>
      <c r="D69" s="91">
        <f t="shared" si="66"/>
        <v>0.74311827637428296</v>
      </c>
      <c r="E69" s="91">
        <f t="shared" si="66"/>
        <v>0.76806465342678842</v>
      </c>
      <c r="F69" s="91">
        <f t="shared" si="66"/>
        <v>0.83670233131692195</v>
      </c>
      <c r="G69" s="91">
        <f t="shared" si="66"/>
        <v>0.8969374842169987</v>
      </c>
      <c r="H69" s="91">
        <f t="shared" si="66"/>
        <v>0.8819700784956428</v>
      </c>
      <c r="I69" s="91">
        <f t="shared" si="66"/>
        <v>0.90484071574113512</v>
      </c>
      <c r="J69" s="91">
        <f t="shared" si="66"/>
        <v>0.84764779078249475</v>
      </c>
      <c r="K69" s="91">
        <f t="shared" si="66"/>
        <v>0.78969520299140361</v>
      </c>
      <c r="L69" s="91">
        <f t="shared" si="66"/>
        <v>0.75915349185095371</v>
      </c>
      <c r="M69" s="91">
        <f t="shared" si="66"/>
        <v>0.76351191182758849</v>
      </c>
      <c r="N69" s="91">
        <f t="shared" si="66"/>
        <v>0.77569866872647042</v>
      </c>
      <c r="O69" s="91">
        <f t="shared" si="66"/>
        <v>0.77856296122301782</v>
      </c>
      <c r="P69" s="91">
        <f t="shared" si="66"/>
        <v>0.76117489997904264</v>
      </c>
      <c r="Q69" s="91">
        <f t="shared" si="66"/>
        <v>0.76570990194858635</v>
      </c>
      <c r="R69" s="91">
        <f t="shared" si="66"/>
        <v>0.80233182874319797</v>
      </c>
      <c r="S69" s="91">
        <f t="shared" si="66"/>
        <v>0.78385269385749379</v>
      </c>
      <c r="T69" s="91">
        <f t="shared" si="66"/>
        <v>0.75833501106208412</v>
      </c>
      <c r="U69" s="91">
        <f t="shared" si="66"/>
        <v>0.74773371707856306</v>
      </c>
      <c r="V69" s="91">
        <f t="shared" si="66"/>
        <v>0.75716390878913531</v>
      </c>
      <c r="W69" s="91">
        <f t="shared" si="66"/>
        <v>0.81798170539109261</v>
      </c>
      <c r="X69" s="91">
        <f t="shared" ref="X69:Y69" si="67">IF(X7=0,0,X19/X59)</f>
        <v>0.84739207343393308</v>
      </c>
      <c r="Y69" s="91">
        <f t="shared" si="67"/>
        <v>0.77324511766151727</v>
      </c>
      <c r="DA69" s="171"/>
    </row>
    <row r="70" spans="1:105" ht="11.45" customHeight="1" x14ac:dyDescent="0.25">
      <c r="A70" s="83" t="s">
        <v>181</v>
      </c>
      <c r="B70" s="91">
        <f t="shared" si="63"/>
        <v>1.272290514582421</v>
      </c>
      <c r="C70" s="91">
        <f t="shared" ref="C70:W70" si="68">IF(C8=0,0,C20/C60)</f>
        <v>1.3408803261661508</v>
      </c>
      <c r="D70" s="91">
        <f t="shared" si="68"/>
        <v>1.1205150769570396</v>
      </c>
      <c r="E70" s="91">
        <f t="shared" si="68"/>
        <v>1.1148473278207249</v>
      </c>
      <c r="F70" s="91">
        <f t="shared" si="68"/>
        <v>1.2444139013910427</v>
      </c>
      <c r="G70" s="91">
        <f t="shared" si="68"/>
        <v>1.2978632472338834</v>
      </c>
      <c r="H70" s="91">
        <f t="shared" si="68"/>
        <v>1.2277972187121826</v>
      </c>
      <c r="I70" s="91">
        <f t="shared" si="68"/>
        <v>1.1867506742996541</v>
      </c>
      <c r="J70" s="91">
        <f t="shared" si="68"/>
        <v>1.340670458489295</v>
      </c>
      <c r="K70" s="91">
        <f t="shared" si="68"/>
        <v>1.3956957811675335</v>
      </c>
      <c r="L70" s="91">
        <f t="shared" si="68"/>
        <v>1.2830144786044468</v>
      </c>
      <c r="M70" s="91">
        <f t="shared" si="68"/>
        <v>1.2559043157922045</v>
      </c>
      <c r="N70" s="91">
        <f t="shared" si="68"/>
        <v>1.2118840562448385</v>
      </c>
      <c r="O70" s="91">
        <f t="shared" si="68"/>
        <v>1.3286573259784744</v>
      </c>
      <c r="P70" s="91">
        <f t="shared" si="68"/>
        <v>1.2010665160981491</v>
      </c>
      <c r="Q70" s="91">
        <f t="shared" si="68"/>
        <v>1.215885434458277</v>
      </c>
      <c r="R70" s="91">
        <f t="shared" si="68"/>
        <v>1.2827617749258942</v>
      </c>
      <c r="S70" s="91">
        <f t="shared" si="68"/>
        <v>1.2583799781137708</v>
      </c>
      <c r="T70" s="91">
        <f t="shared" si="68"/>
        <v>1.3029536737447402</v>
      </c>
      <c r="U70" s="91">
        <f t="shared" si="68"/>
        <v>1.2851880778651681</v>
      </c>
      <c r="V70" s="91">
        <f t="shared" si="68"/>
        <v>1.4671116276687148</v>
      </c>
      <c r="W70" s="91">
        <f t="shared" si="68"/>
        <v>1.3541541687213443</v>
      </c>
      <c r="X70" s="91">
        <f t="shared" ref="X70:Y70" si="69">IF(X8=0,0,X20/X60)</f>
        <v>1.3449872791189323</v>
      </c>
      <c r="Y70" s="91">
        <f t="shared" si="69"/>
        <v>1.0346968939913854</v>
      </c>
      <c r="DA70" s="171"/>
    </row>
    <row r="71" spans="1:105" ht="11.45" customHeight="1" x14ac:dyDescent="0.25">
      <c r="A71" s="83" t="s">
        <v>182</v>
      </c>
      <c r="B71" s="91">
        <f t="shared" si="63"/>
        <v>1.2164296296361561</v>
      </c>
      <c r="C71" s="91">
        <f t="shared" ref="C71:W71" si="70">IF(C9=0,0,C21/C61)</f>
        <v>1.2802574055196505</v>
      </c>
      <c r="D71" s="91">
        <f t="shared" si="70"/>
        <v>1.0669850515699448</v>
      </c>
      <c r="E71" s="91">
        <f t="shared" si="70"/>
        <v>1.0647388194999181</v>
      </c>
      <c r="F71" s="91">
        <f t="shared" si="70"/>
        <v>1.194264216179618</v>
      </c>
      <c r="G71" s="91">
        <f t="shared" si="70"/>
        <v>0.89644861097580886</v>
      </c>
      <c r="H71" s="91">
        <f t="shared" si="70"/>
        <v>0.79279194366409778</v>
      </c>
      <c r="I71" s="91">
        <f t="shared" si="70"/>
        <v>0.63579681118242426</v>
      </c>
      <c r="J71" s="91">
        <f t="shared" si="70"/>
        <v>0.65307631199877381</v>
      </c>
      <c r="K71" s="91">
        <f t="shared" si="70"/>
        <v>0.69778632782380279</v>
      </c>
      <c r="L71" s="91">
        <f t="shared" si="70"/>
        <v>0.73049223792236895</v>
      </c>
      <c r="M71" s="91">
        <f t="shared" si="70"/>
        <v>0.74562365992268909</v>
      </c>
      <c r="N71" s="91">
        <f t="shared" si="70"/>
        <v>0.74734581608806472</v>
      </c>
      <c r="O71" s="91">
        <f t="shared" si="70"/>
        <v>0.79057717968218499</v>
      </c>
      <c r="P71" s="91">
        <f t="shared" si="70"/>
        <v>0.63159473256312804</v>
      </c>
      <c r="Q71" s="91">
        <f t="shared" si="70"/>
        <v>0.63259198229612779</v>
      </c>
      <c r="R71" s="91">
        <f t="shared" si="70"/>
        <v>0.59611047886920576</v>
      </c>
      <c r="S71" s="91">
        <f t="shared" si="70"/>
        <v>0.56708561789621992</v>
      </c>
      <c r="T71" s="91">
        <f t="shared" si="70"/>
        <v>0.5913752598930262</v>
      </c>
      <c r="U71" s="91">
        <f t="shared" si="70"/>
        <v>0.60976976938055827</v>
      </c>
      <c r="V71" s="91">
        <f t="shared" si="70"/>
        <v>0.8497847433248783</v>
      </c>
      <c r="W71" s="91">
        <f t="shared" si="70"/>
        <v>0.92849545838023861</v>
      </c>
      <c r="X71" s="91">
        <f t="shared" ref="X71:Y71" si="71">IF(X9=0,0,X21/X61)</f>
        <v>0.70141947935066995</v>
      </c>
      <c r="Y71" s="91">
        <f t="shared" si="71"/>
        <v>0.61081425215603591</v>
      </c>
      <c r="DA71" s="171"/>
    </row>
    <row r="72" spans="1:105" ht="11.45" customHeight="1" x14ac:dyDescent="0.25">
      <c r="A72" s="12" t="s">
        <v>34</v>
      </c>
      <c r="B72" s="24">
        <f t="shared" si="63"/>
        <v>1.1589708023905891</v>
      </c>
      <c r="C72" s="24">
        <f t="shared" ref="C72:W72" si="72">IF(C10=0,0,C22/C62)</f>
        <v>1.1954570097915289</v>
      </c>
      <c r="D72" s="24">
        <f t="shared" si="72"/>
        <v>0.99999275890063732</v>
      </c>
      <c r="E72" s="24">
        <f t="shared" si="72"/>
        <v>0.993815090822882</v>
      </c>
      <c r="F72" s="24">
        <f t="shared" si="72"/>
        <v>1.101500298069126</v>
      </c>
      <c r="G72" s="24">
        <f t="shared" si="72"/>
        <v>0.9184031747161584</v>
      </c>
      <c r="H72" s="24">
        <f t="shared" si="72"/>
        <v>0.82598415359233568</v>
      </c>
      <c r="I72" s="24">
        <f t="shared" si="72"/>
        <v>0.71753754228893984</v>
      </c>
      <c r="J72" s="24">
        <f t="shared" si="72"/>
        <v>0.74610771216217708</v>
      </c>
      <c r="K72" s="24">
        <f t="shared" si="72"/>
        <v>0.78461681045804055</v>
      </c>
      <c r="L72" s="24">
        <f t="shared" si="72"/>
        <v>0.77350726275759585</v>
      </c>
      <c r="M72" s="24">
        <f t="shared" si="72"/>
        <v>0.76673848502338515</v>
      </c>
      <c r="N72" s="24">
        <f t="shared" si="72"/>
        <v>0.76847335123292793</v>
      </c>
      <c r="O72" s="24">
        <f t="shared" si="72"/>
        <v>0.86490940222047574</v>
      </c>
      <c r="P72" s="24">
        <f t="shared" si="72"/>
        <v>0.7776836925066769</v>
      </c>
      <c r="Q72" s="24">
        <f t="shared" si="72"/>
        <v>0.82963516475254617</v>
      </c>
      <c r="R72" s="24">
        <f t="shared" si="72"/>
        <v>0.86481348008887704</v>
      </c>
      <c r="S72" s="24">
        <f t="shared" si="72"/>
        <v>0.90748982371845133</v>
      </c>
      <c r="T72" s="24">
        <f t="shared" si="72"/>
        <v>0.97916219721041797</v>
      </c>
      <c r="U72" s="24">
        <f t="shared" si="72"/>
        <v>1.0754982146983796</v>
      </c>
      <c r="V72" s="24">
        <f t="shared" si="72"/>
        <v>1.2803375308939458</v>
      </c>
      <c r="W72" s="24">
        <f t="shared" si="72"/>
        <v>1.1926031240402626</v>
      </c>
      <c r="X72" s="24">
        <f t="shared" ref="X72:Y72" si="73">IF(X10=0,0,X22/X62)</f>
        <v>0.80883278257816649</v>
      </c>
      <c r="Y72" s="24">
        <f t="shared" si="73"/>
        <v>0.67690544608833458</v>
      </c>
      <c r="DA72" s="193"/>
    </row>
    <row r="73" spans="1:105" ht="11.45" customHeight="1" x14ac:dyDescent="0.25">
      <c r="A73" s="92" t="s">
        <v>27</v>
      </c>
      <c r="B73" s="93">
        <f t="shared" si="63"/>
        <v>0.80603428020092094</v>
      </c>
      <c r="C73" s="93">
        <f t="shared" ref="C73:W73" si="74">IF(C11=0,0,C23/C63)</f>
        <v>0.83407601689550093</v>
      </c>
      <c r="D73" s="93">
        <f t="shared" si="74"/>
        <v>0.74311827637428329</v>
      </c>
      <c r="E73" s="93">
        <f t="shared" si="74"/>
        <v>0.76806465342678876</v>
      </c>
      <c r="F73" s="93">
        <f t="shared" si="74"/>
        <v>0.83670233131692184</v>
      </c>
      <c r="G73" s="93">
        <f t="shared" si="74"/>
        <v>0.89693748421699859</v>
      </c>
      <c r="H73" s="93">
        <f t="shared" si="74"/>
        <v>0.88197007849564291</v>
      </c>
      <c r="I73" s="93">
        <f t="shared" si="74"/>
        <v>0.904840715741135</v>
      </c>
      <c r="J73" s="93">
        <f t="shared" si="74"/>
        <v>0.84764779078249464</v>
      </c>
      <c r="K73" s="93">
        <f t="shared" si="74"/>
        <v>0.78969520299140361</v>
      </c>
      <c r="L73" s="93">
        <f t="shared" si="74"/>
        <v>0.75915349185095371</v>
      </c>
      <c r="M73" s="93">
        <f t="shared" si="74"/>
        <v>0.76351191182758849</v>
      </c>
      <c r="N73" s="93">
        <f t="shared" si="74"/>
        <v>0.7756986687264702</v>
      </c>
      <c r="O73" s="93">
        <f t="shared" si="74"/>
        <v>0.77856296122301794</v>
      </c>
      <c r="P73" s="93">
        <f t="shared" si="74"/>
        <v>0.76117489997904253</v>
      </c>
      <c r="Q73" s="93">
        <f t="shared" si="74"/>
        <v>0.76570990194858624</v>
      </c>
      <c r="R73" s="93">
        <f t="shared" si="74"/>
        <v>0.80233182874319786</v>
      </c>
      <c r="S73" s="93">
        <f t="shared" si="74"/>
        <v>0.78385269385749379</v>
      </c>
      <c r="T73" s="93">
        <f t="shared" si="74"/>
        <v>0.75833501106208379</v>
      </c>
      <c r="U73" s="93">
        <f t="shared" si="74"/>
        <v>0.74773371707856318</v>
      </c>
      <c r="V73" s="93">
        <f t="shared" si="74"/>
        <v>0.75716390878913531</v>
      </c>
      <c r="W73" s="93">
        <f t="shared" si="74"/>
        <v>0.81798170539109272</v>
      </c>
      <c r="X73" s="93">
        <f t="shared" ref="X73:Y73" si="75">IF(X11=0,0,X23/X63)</f>
        <v>0.84739207343393308</v>
      </c>
      <c r="Y73" s="93">
        <f t="shared" si="75"/>
        <v>0.77324511766151727</v>
      </c>
      <c r="DA73" s="175"/>
    </row>
    <row r="74" spans="1:105" ht="11.45" customHeight="1" x14ac:dyDescent="0.25">
      <c r="A74" s="92" t="s">
        <v>181</v>
      </c>
      <c r="B74" s="93">
        <f t="shared" si="63"/>
        <v>1.3355521849498984</v>
      </c>
      <c r="C74" s="93">
        <f t="shared" ref="C74:W74" si="76">IF(C12=0,0,C24/C64)</f>
        <v>1.3987144395621018</v>
      </c>
      <c r="D74" s="93">
        <f t="shared" si="76"/>
        <v>1.1649067747564088</v>
      </c>
      <c r="E74" s="93">
        <f t="shared" si="76"/>
        <v>1.161743684266513</v>
      </c>
      <c r="F74" s="93">
        <f t="shared" si="76"/>
        <v>1.2474347206191501</v>
      </c>
      <c r="G74" s="93">
        <f t="shared" si="76"/>
        <v>1.3762722151746187</v>
      </c>
      <c r="H74" s="93">
        <f t="shared" si="76"/>
        <v>1.2504126958800821</v>
      </c>
      <c r="I74" s="93">
        <f t="shared" si="76"/>
        <v>1.2060880494323489</v>
      </c>
      <c r="J74" s="93">
        <f t="shared" si="76"/>
        <v>1.3688844306292127</v>
      </c>
      <c r="K74" s="93">
        <f t="shared" si="76"/>
        <v>1.3998711595030586</v>
      </c>
      <c r="L74" s="93">
        <f t="shared" si="76"/>
        <v>1.2707564717604436</v>
      </c>
      <c r="M74" s="93">
        <f t="shared" si="76"/>
        <v>1.2519296889567002</v>
      </c>
      <c r="N74" s="93">
        <f t="shared" si="76"/>
        <v>1.2265350570800944</v>
      </c>
      <c r="O74" s="93">
        <f t="shared" si="76"/>
        <v>1.3349161329300296</v>
      </c>
      <c r="P74" s="93">
        <f t="shared" si="76"/>
        <v>1.2165471183760761</v>
      </c>
      <c r="Q74" s="93">
        <f t="shared" si="76"/>
        <v>1.2415967575210891</v>
      </c>
      <c r="R74" s="93">
        <f t="shared" si="76"/>
        <v>1.3225295912378499</v>
      </c>
      <c r="S74" s="93">
        <f t="shared" si="76"/>
        <v>1.2926155633964449</v>
      </c>
      <c r="T74" s="93">
        <f t="shared" si="76"/>
        <v>1.325383054648446</v>
      </c>
      <c r="U74" s="93">
        <f t="shared" si="76"/>
        <v>1.2623735647321956</v>
      </c>
      <c r="V74" s="93">
        <f t="shared" si="76"/>
        <v>1.4991222572915692</v>
      </c>
      <c r="W74" s="93">
        <f t="shared" si="76"/>
        <v>1.3298039987929446</v>
      </c>
      <c r="X74" s="93">
        <f t="shared" ref="X74:Y74" si="77">IF(X12=0,0,X24/X64)</f>
        <v>1.3490582551388999</v>
      </c>
      <c r="Y74" s="93">
        <f t="shared" si="77"/>
        <v>1.0479488325747068</v>
      </c>
      <c r="DA74" s="175"/>
    </row>
    <row r="75" spans="1:105" ht="11.45" customHeight="1" x14ac:dyDescent="0.25">
      <c r="A75" s="85" t="s">
        <v>182</v>
      </c>
      <c r="B75" s="94">
        <f t="shared" si="63"/>
        <v>1.0947866666725408</v>
      </c>
      <c r="C75" s="94">
        <f t="shared" ref="C75:W75" si="78">IF(C13=0,0,C25/C65)</f>
        <v>1.1522316649676858</v>
      </c>
      <c r="D75" s="94">
        <f t="shared" si="78"/>
        <v>0.96028654641295086</v>
      </c>
      <c r="E75" s="94">
        <f t="shared" si="78"/>
        <v>0.9582649375499267</v>
      </c>
      <c r="F75" s="94">
        <f t="shared" si="78"/>
        <v>1.0748377945616563</v>
      </c>
      <c r="G75" s="94">
        <f t="shared" si="78"/>
        <v>0.80680374987822789</v>
      </c>
      <c r="H75" s="94">
        <f t="shared" si="78"/>
        <v>0.71351274929768804</v>
      </c>
      <c r="I75" s="94">
        <f t="shared" si="78"/>
        <v>0.57221713006418196</v>
      </c>
      <c r="J75" s="94">
        <f t="shared" si="78"/>
        <v>0.58776868079889644</v>
      </c>
      <c r="K75" s="94">
        <f t="shared" si="78"/>
        <v>0.62800769504142251</v>
      </c>
      <c r="L75" s="94">
        <f t="shared" si="78"/>
        <v>0.65744301413013206</v>
      </c>
      <c r="M75" s="94">
        <f t="shared" si="78"/>
        <v>0.67106129393042013</v>
      </c>
      <c r="N75" s="94">
        <f t="shared" si="78"/>
        <v>0.6726112344792583</v>
      </c>
      <c r="O75" s="94">
        <f t="shared" si="78"/>
        <v>0.71151946171396641</v>
      </c>
      <c r="P75" s="94">
        <f t="shared" si="78"/>
        <v>0.56843525930681515</v>
      </c>
      <c r="Q75" s="94">
        <f t="shared" si="78"/>
        <v>0.569332784066515</v>
      </c>
      <c r="R75" s="94">
        <f t="shared" si="78"/>
        <v>0.53649943098228525</v>
      </c>
      <c r="S75" s="94">
        <f t="shared" si="78"/>
        <v>0.51037705610659811</v>
      </c>
      <c r="T75" s="94">
        <f t="shared" si="78"/>
        <v>0.53223773390372364</v>
      </c>
      <c r="U75" s="94">
        <f t="shared" si="78"/>
        <v>0.54879279244250245</v>
      </c>
      <c r="V75" s="94">
        <f t="shared" si="78"/>
        <v>0.76480626899239035</v>
      </c>
      <c r="W75" s="94">
        <f t="shared" si="78"/>
        <v>0.83564591254221487</v>
      </c>
      <c r="X75" s="94">
        <f t="shared" ref="X75:Y75" si="79">IF(X13=0,0,X25/X65)</f>
        <v>0.63127753141560283</v>
      </c>
      <c r="Y75" s="94">
        <f t="shared" si="79"/>
        <v>0.54973282694043224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2881.8992160000003</v>
      </c>
      <c r="C3" s="79">
        <f t="shared" si="0"/>
        <v>2932.7015339999994</v>
      </c>
      <c r="D3" s="79">
        <f t="shared" ref="D3" si="1">SUM(D4:D5)</f>
        <v>2238.2985239999998</v>
      </c>
      <c r="E3" s="79">
        <f t="shared" ref="E3" si="2">SUM(E4:E5)</f>
        <v>2174.8827240000001</v>
      </c>
      <c r="F3" s="79">
        <f t="shared" ref="F3" si="3">SUM(F4:F5)</f>
        <v>2615.622534000001</v>
      </c>
      <c r="G3" s="79">
        <f t="shared" ref="G3" si="4">SUM(G4:G5)</f>
        <v>2652.0731056799996</v>
      </c>
      <c r="H3" s="79">
        <f t="shared" ref="H3" si="5">SUM(H4:H5)</f>
        <v>2705.5759359600002</v>
      </c>
      <c r="I3" s="79">
        <f t="shared" ref="I3" si="6">SUM(I4:I5)</f>
        <v>2662.0160374800003</v>
      </c>
      <c r="J3" s="79">
        <f t="shared" ref="J3" si="7">SUM(J4:J5)</f>
        <v>3023.3063836800002</v>
      </c>
      <c r="K3" s="79">
        <f t="shared" ref="K3" si="8">SUM(K4:K5)</f>
        <v>2735.2252166400003</v>
      </c>
      <c r="L3" s="79">
        <f t="shared" ref="L3" si="9">SUM(L4:L5)</f>
        <v>2630.1288308400003</v>
      </c>
      <c r="M3" s="79">
        <f t="shared" ref="M3" si="10">SUM(M4:M5)</f>
        <v>2838.3134295600003</v>
      </c>
      <c r="N3" s="79">
        <f t="shared" ref="N3" si="11">SUM(N4:N5)</f>
        <v>2717.7866740800005</v>
      </c>
      <c r="O3" s="79">
        <f t="shared" ref="O3" si="12">SUM(O4:O5)</f>
        <v>3000.4429287599996</v>
      </c>
      <c r="P3" s="79">
        <f t="shared" ref="P3" si="13">SUM(P4:P5)</f>
        <v>2772.3373736400008</v>
      </c>
      <c r="Q3" s="79">
        <f t="shared" ref="Q3" si="14">SUM(Q4:Q5)</f>
        <v>2819.7682192800003</v>
      </c>
      <c r="R3" s="79">
        <f t="shared" ref="R3" si="15">SUM(R4:R5)</f>
        <v>3108.3643555199997</v>
      </c>
      <c r="S3" s="79">
        <f t="shared" ref="S3" si="16">SUM(S4:S5)</f>
        <v>3259.9382803199996</v>
      </c>
      <c r="T3" s="79">
        <f t="shared" ref="T3" si="17">SUM(T4:T5)</f>
        <v>3370.3110719999995</v>
      </c>
      <c r="U3" s="79">
        <f t="shared" ref="U3" si="18">SUM(U4:U5)</f>
        <v>3173.8273099200005</v>
      </c>
      <c r="V3" s="79">
        <f t="shared" ref="V3:W3" si="19">SUM(V4:V5)</f>
        <v>1221.7173537599999</v>
      </c>
      <c r="W3" s="79">
        <f t="shared" si="19"/>
        <v>1293.01885584</v>
      </c>
      <c r="X3" s="79">
        <f t="shared" ref="X3:Y3" si="20">SUM(X4:X5)</f>
        <v>2211.592940640001</v>
      </c>
      <c r="Y3" s="79">
        <f t="shared" si="20"/>
        <v>2044.2644769600001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735.27438599999994</v>
      </c>
      <c r="C4" s="96">
        <f t="shared" si="21"/>
        <v>744.85643400000015</v>
      </c>
      <c r="D4" s="96">
        <f t="shared" ref="D4:V4" si="22">SUM(D7,D11)</f>
        <v>618.02483400000017</v>
      </c>
      <c r="E4" s="96">
        <f t="shared" si="22"/>
        <v>599.00009399999988</v>
      </c>
      <c r="F4" s="96">
        <f t="shared" si="22"/>
        <v>684.61142400000028</v>
      </c>
      <c r="G4" s="96">
        <f t="shared" si="22"/>
        <v>705.20804568000005</v>
      </c>
      <c r="H4" s="96">
        <f t="shared" si="22"/>
        <v>666.75796596000009</v>
      </c>
      <c r="I4" s="96">
        <f t="shared" si="22"/>
        <v>651.73517748000006</v>
      </c>
      <c r="J4" s="96">
        <f t="shared" si="22"/>
        <v>610.33519368000009</v>
      </c>
      <c r="K4" s="96">
        <f t="shared" si="22"/>
        <v>534.69695664000005</v>
      </c>
      <c r="L4" s="96">
        <f t="shared" si="22"/>
        <v>502.52874084000007</v>
      </c>
      <c r="M4" s="96">
        <f t="shared" si="22"/>
        <v>552.17383955999992</v>
      </c>
      <c r="N4" s="96">
        <f t="shared" si="22"/>
        <v>542.62473407999994</v>
      </c>
      <c r="O4" s="96">
        <f t="shared" si="22"/>
        <v>546.25146876000008</v>
      </c>
      <c r="P4" s="96">
        <f t="shared" si="22"/>
        <v>543.27200363999998</v>
      </c>
      <c r="Q4" s="96">
        <f t="shared" si="22"/>
        <v>536.79941927999994</v>
      </c>
      <c r="R4" s="96">
        <f t="shared" si="22"/>
        <v>571.73235552000006</v>
      </c>
      <c r="S4" s="96">
        <f t="shared" si="22"/>
        <v>566.9669203200001</v>
      </c>
      <c r="T4" s="96">
        <f t="shared" si="22"/>
        <v>535.07814192000001</v>
      </c>
      <c r="U4" s="96">
        <f t="shared" si="22"/>
        <v>480.9491323200001</v>
      </c>
      <c r="V4" s="96">
        <f t="shared" si="22"/>
        <v>185.92043183999999</v>
      </c>
      <c r="W4" s="96">
        <f t="shared" ref="W4:Y4" si="23">SUM(W7,W11)</f>
        <v>212.6217312</v>
      </c>
      <c r="X4" s="96">
        <f t="shared" si="23"/>
        <v>320.54931504000001</v>
      </c>
      <c r="Y4" s="96">
        <f t="shared" si="23"/>
        <v>292.16823407999999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2146.6248300000002</v>
      </c>
      <c r="C5" s="96">
        <f t="shared" si="24"/>
        <v>2187.8450999999991</v>
      </c>
      <c r="D5" s="96">
        <f t="shared" ref="D5:V5" si="25">SUM(D8:D9,D12:D13)</f>
        <v>1620.2736899999998</v>
      </c>
      <c r="E5" s="96">
        <f t="shared" si="25"/>
        <v>1575.8826300000001</v>
      </c>
      <c r="F5" s="96">
        <f t="shared" si="25"/>
        <v>1931.0111100000008</v>
      </c>
      <c r="G5" s="96">
        <f t="shared" si="25"/>
        <v>1946.8650599999996</v>
      </c>
      <c r="H5" s="96">
        <f t="shared" si="25"/>
        <v>2038.8179700000001</v>
      </c>
      <c r="I5" s="96">
        <f t="shared" si="25"/>
        <v>2010.2808600000001</v>
      </c>
      <c r="J5" s="96">
        <f t="shared" si="25"/>
        <v>2412.9711900000002</v>
      </c>
      <c r="K5" s="96">
        <f t="shared" si="25"/>
        <v>2200.52826</v>
      </c>
      <c r="L5" s="96">
        <f t="shared" si="25"/>
        <v>2127.6000900000004</v>
      </c>
      <c r="M5" s="96">
        <f t="shared" si="25"/>
        <v>2286.1395900000002</v>
      </c>
      <c r="N5" s="96">
        <f t="shared" si="25"/>
        <v>2175.1619400000004</v>
      </c>
      <c r="O5" s="96">
        <f t="shared" si="25"/>
        <v>2454.1914599999996</v>
      </c>
      <c r="P5" s="96">
        <f t="shared" si="25"/>
        <v>2229.0653700000007</v>
      </c>
      <c r="Q5" s="96">
        <f t="shared" si="25"/>
        <v>2282.9688000000006</v>
      </c>
      <c r="R5" s="96">
        <f t="shared" si="25"/>
        <v>2536.6319999999996</v>
      </c>
      <c r="S5" s="96">
        <f t="shared" si="25"/>
        <v>2692.9713599999995</v>
      </c>
      <c r="T5" s="96">
        <f t="shared" si="25"/>
        <v>2835.2329300799997</v>
      </c>
      <c r="U5" s="96">
        <f t="shared" si="25"/>
        <v>2692.8781776000005</v>
      </c>
      <c r="V5" s="96">
        <f t="shared" si="25"/>
        <v>1035.7969219199999</v>
      </c>
      <c r="W5" s="96">
        <f t="shared" ref="W5:Y5" si="26">SUM(W8:W9,W12:W13)</f>
        <v>1080.3971246400001</v>
      </c>
      <c r="X5" s="96">
        <f t="shared" si="26"/>
        <v>1891.0436256000007</v>
      </c>
      <c r="Y5" s="96">
        <f t="shared" si="26"/>
        <v>1752.0962428800001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2841.2983694867848</v>
      </c>
      <c r="C6" s="21">
        <f t="shared" si="27"/>
        <v>2885.2461557575339</v>
      </c>
      <c r="D6" s="21">
        <f t="shared" ref="D6:V6" si="28">SUM(D7:D9)</f>
        <v>2185.9741626929458</v>
      </c>
      <c r="E6" s="21">
        <f t="shared" si="28"/>
        <v>2108.0931492801201</v>
      </c>
      <c r="F6" s="21">
        <f t="shared" si="28"/>
        <v>2527.0472126306699</v>
      </c>
      <c r="G6" s="21">
        <f t="shared" si="28"/>
        <v>2551.3456501970991</v>
      </c>
      <c r="H6" s="21">
        <f t="shared" si="28"/>
        <v>2594.2984139940886</v>
      </c>
      <c r="I6" s="21">
        <f t="shared" si="28"/>
        <v>2548.8274395657932</v>
      </c>
      <c r="J6" s="21">
        <f t="shared" si="28"/>
        <v>2895.917627105784</v>
      </c>
      <c r="K6" s="21">
        <f t="shared" si="28"/>
        <v>2635.6366372500433</v>
      </c>
      <c r="L6" s="21">
        <f t="shared" si="28"/>
        <v>2521.0251763783508</v>
      </c>
      <c r="M6" s="21">
        <f t="shared" si="28"/>
        <v>2745.1900744515224</v>
      </c>
      <c r="N6" s="21">
        <f t="shared" si="28"/>
        <v>2643.1089343464214</v>
      </c>
      <c r="O6" s="21">
        <f t="shared" si="28"/>
        <v>2941.7798778898136</v>
      </c>
      <c r="P6" s="21">
        <f t="shared" si="28"/>
        <v>2729.8239457935156</v>
      </c>
      <c r="Q6" s="21">
        <f t="shared" si="28"/>
        <v>2780.6901177899153</v>
      </c>
      <c r="R6" s="21">
        <f t="shared" si="28"/>
        <v>3075.4519122902084</v>
      </c>
      <c r="S6" s="21">
        <f t="shared" si="28"/>
        <v>3228.1392080726505</v>
      </c>
      <c r="T6" s="21">
        <f t="shared" si="28"/>
        <v>3340.270025844206</v>
      </c>
      <c r="U6" s="21">
        <f t="shared" si="28"/>
        <v>3138.0196054200946</v>
      </c>
      <c r="V6" s="21">
        <f t="shared" si="28"/>
        <v>1179.364536322563</v>
      </c>
      <c r="W6" s="21">
        <f t="shared" ref="W6:Y6" si="29">SUM(W7:W9)</f>
        <v>1249.9416561918447</v>
      </c>
      <c r="X6" s="21">
        <f t="shared" si="29"/>
        <v>2143.8397568173764</v>
      </c>
      <c r="Y6" s="21">
        <f t="shared" si="29"/>
        <v>1994.3983568801038</v>
      </c>
      <c r="DA6" s="189" t="s">
        <v>327</v>
      </c>
    </row>
    <row r="7" spans="1:105" ht="11.45" customHeight="1" x14ac:dyDescent="0.25">
      <c r="A7" s="83" t="s">
        <v>27</v>
      </c>
      <c r="B7" s="96">
        <v>731.47502116123292</v>
      </c>
      <c r="C7" s="96">
        <v>741.61104493028552</v>
      </c>
      <c r="D7" s="96">
        <v>614.39768652404871</v>
      </c>
      <c r="E7" s="96">
        <v>594.86105247785724</v>
      </c>
      <c r="F7" s="96">
        <v>677.60541875884053</v>
      </c>
      <c r="G7" s="96">
        <v>697.13018943053805</v>
      </c>
      <c r="H7" s="96">
        <v>657.12173105814827</v>
      </c>
      <c r="I7" s="96">
        <v>640.11558152941143</v>
      </c>
      <c r="J7" s="96">
        <v>598.68998878050309</v>
      </c>
      <c r="K7" s="96">
        <v>525.88054985784686</v>
      </c>
      <c r="L7" s="96">
        <v>495.30998404461934</v>
      </c>
      <c r="M7" s="96">
        <v>545.72803005257902</v>
      </c>
      <c r="N7" s="96">
        <v>536.22537991124079</v>
      </c>
      <c r="O7" s="96">
        <v>540.10225476415394</v>
      </c>
      <c r="P7" s="96">
        <v>537.69275994850955</v>
      </c>
      <c r="Q7" s="96">
        <v>531.42071499101405</v>
      </c>
      <c r="R7" s="96">
        <v>566.95111318953309</v>
      </c>
      <c r="S7" s="96">
        <v>561.83182217816102</v>
      </c>
      <c r="T7" s="96">
        <v>531.33501094327767</v>
      </c>
      <c r="U7" s="96">
        <v>478.55181639181319</v>
      </c>
      <c r="V7" s="96">
        <v>184.11362569794855</v>
      </c>
      <c r="W7" s="96">
        <v>210.16728860239846</v>
      </c>
      <c r="X7" s="96">
        <v>317.74676821965244</v>
      </c>
      <c r="Y7" s="96">
        <v>290.10163451019986</v>
      </c>
      <c r="DA7" s="171" t="s">
        <v>328</v>
      </c>
    </row>
    <row r="8" spans="1:105" ht="11.45" customHeight="1" x14ac:dyDescent="0.25">
      <c r="A8" s="83" t="s">
        <v>181</v>
      </c>
      <c r="B8" s="96">
        <v>1615.7292477254225</v>
      </c>
      <c r="C8" s="96">
        <v>1684.4180567803339</v>
      </c>
      <c r="D8" s="96">
        <v>1242.4835040076321</v>
      </c>
      <c r="E8" s="96">
        <v>1182.8925648061636</v>
      </c>
      <c r="F8" s="96">
        <v>1393.4354315354881</v>
      </c>
      <c r="G8" s="96">
        <v>1396.7663381501657</v>
      </c>
      <c r="H8" s="96">
        <v>1469.2510808110981</v>
      </c>
      <c r="I8" s="96">
        <v>1455.7682135190657</v>
      </c>
      <c r="J8" s="96">
        <v>1744.225716142103</v>
      </c>
      <c r="K8" s="96">
        <v>1573.3947957684748</v>
      </c>
      <c r="L8" s="96">
        <v>1512.4985375491515</v>
      </c>
      <c r="M8" s="96">
        <v>1654.8437583606874</v>
      </c>
      <c r="N8" s="96">
        <v>1570.5536475831188</v>
      </c>
      <c r="O8" s="96">
        <v>1791.4302814610485</v>
      </c>
      <c r="P8" s="96">
        <v>1639.8841290699938</v>
      </c>
      <c r="Q8" s="96">
        <v>1683.7422923563156</v>
      </c>
      <c r="R8" s="96">
        <v>1904.9987699206656</v>
      </c>
      <c r="S8" s="96">
        <v>2044.8042685516091</v>
      </c>
      <c r="T8" s="96">
        <v>2139.243472773142</v>
      </c>
      <c r="U8" s="96">
        <v>1997.4061694571039</v>
      </c>
      <c r="V8" s="96">
        <v>691.30222051512476</v>
      </c>
      <c r="W8" s="96">
        <v>752.9881359325351</v>
      </c>
      <c r="X8" s="96">
        <v>1397.3420461748044</v>
      </c>
      <c r="Y8" s="96">
        <v>1294.6252838771895</v>
      </c>
      <c r="DA8" s="171" t="s">
        <v>329</v>
      </c>
    </row>
    <row r="9" spans="1:105" ht="11.45" customHeight="1" x14ac:dyDescent="0.25">
      <c r="A9" s="83" t="s">
        <v>182</v>
      </c>
      <c r="B9" s="96">
        <v>494.09410060012925</v>
      </c>
      <c r="C9" s="96">
        <v>459.2170540469146</v>
      </c>
      <c r="D9" s="96">
        <v>329.09297216126515</v>
      </c>
      <c r="E9" s="96">
        <v>330.3395319960992</v>
      </c>
      <c r="F9" s="96">
        <v>456.00636233634123</v>
      </c>
      <c r="G9" s="96">
        <v>457.4491226163953</v>
      </c>
      <c r="H9" s="96">
        <v>467.92560212484267</v>
      </c>
      <c r="I9" s="96">
        <v>452.94364451731582</v>
      </c>
      <c r="J9" s="96">
        <v>553.00192218317807</v>
      </c>
      <c r="K9" s="96">
        <v>536.3612916237214</v>
      </c>
      <c r="L9" s="96">
        <v>513.21665478457999</v>
      </c>
      <c r="M9" s="96">
        <v>544.61828603825597</v>
      </c>
      <c r="N9" s="96">
        <v>536.32990685206187</v>
      </c>
      <c r="O9" s="96">
        <v>610.24734166461133</v>
      </c>
      <c r="P9" s="96">
        <v>552.24705677501197</v>
      </c>
      <c r="Q9" s="96">
        <v>565.52711044258547</v>
      </c>
      <c r="R9" s="96">
        <v>603.50202918000991</v>
      </c>
      <c r="S9" s="96">
        <v>621.50311734288016</v>
      </c>
      <c r="T9" s="96">
        <v>669.69154212778642</v>
      </c>
      <c r="U9" s="96">
        <v>662.06161957117763</v>
      </c>
      <c r="V9" s="96">
        <v>303.94869010948969</v>
      </c>
      <c r="W9" s="96">
        <v>286.78623165691124</v>
      </c>
      <c r="X9" s="96">
        <v>428.75094242291937</v>
      </c>
      <c r="Y9" s="96">
        <v>409.67143849271446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40.600846513215608</v>
      </c>
      <c r="C10" s="22">
        <f t="shared" si="30"/>
        <v>47.455378242465798</v>
      </c>
      <c r="D10" s="22">
        <f t="shared" ref="D10:V10" si="31">SUM(D11:D13)</f>
        <v>52.324361307053962</v>
      </c>
      <c r="E10" s="22">
        <f t="shared" si="31"/>
        <v>66.78957471987988</v>
      </c>
      <c r="F10" s="22">
        <f t="shared" si="31"/>
        <v>88.575321369331107</v>
      </c>
      <c r="G10" s="22">
        <f t="shared" si="31"/>
        <v>100.72745548290074</v>
      </c>
      <c r="H10" s="22">
        <f t="shared" si="31"/>
        <v>111.27752196591103</v>
      </c>
      <c r="I10" s="22">
        <f t="shared" si="31"/>
        <v>113.18859791420721</v>
      </c>
      <c r="J10" s="22">
        <f t="shared" si="31"/>
        <v>127.38875657421586</v>
      </c>
      <c r="K10" s="22">
        <f t="shared" si="31"/>
        <v>99.588579389957388</v>
      </c>
      <c r="L10" s="22">
        <f t="shared" si="31"/>
        <v>109.10365446164963</v>
      </c>
      <c r="M10" s="22">
        <f t="shared" si="31"/>
        <v>93.123355108478052</v>
      </c>
      <c r="N10" s="22">
        <f t="shared" si="31"/>
        <v>74.677739733578889</v>
      </c>
      <c r="O10" s="22">
        <f t="shared" si="31"/>
        <v>58.663050870185941</v>
      </c>
      <c r="P10" s="22">
        <f t="shared" si="31"/>
        <v>42.513427846485158</v>
      </c>
      <c r="Q10" s="22">
        <f t="shared" si="31"/>
        <v>39.078101490085245</v>
      </c>
      <c r="R10" s="22">
        <f t="shared" si="31"/>
        <v>32.912443229791045</v>
      </c>
      <c r="S10" s="22">
        <f t="shared" si="31"/>
        <v>31.799072247349581</v>
      </c>
      <c r="T10" s="22">
        <f t="shared" si="31"/>
        <v>30.041046155793982</v>
      </c>
      <c r="U10" s="22">
        <f t="shared" si="31"/>
        <v>35.807704499905995</v>
      </c>
      <c r="V10" s="22">
        <f t="shared" si="31"/>
        <v>42.352817437436968</v>
      </c>
      <c r="W10" s="22">
        <f t="shared" ref="W10:Y10" si="32">SUM(W11:W13)</f>
        <v>43.077199648155315</v>
      </c>
      <c r="X10" s="22">
        <f t="shared" si="32"/>
        <v>67.753183822624251</v>
      </c>
      <c r="Y10" s="22">
        <f t="shared" si="32"/>
        <v>49.866120079896405</v>
      </c>
      <c r="DA10" s="193" t="s">
        <v>331</v>
      </c>
    </row>
    <row r="11" spans="1:105" ht="11.45" customHeight="1" x14ac:dyDescent="0.25">
      <c r="A11" s="92" t="s">
        <v>27</v>
      </c>
      <c r="B11" s="97">
        <v>3.7993648387670205</v>
      </c>
      <c r="C11" s="97">
        <v>3.2453890697146215</v>
      </c>
      <c r="D11" s="97">
        <v>3.6271474759514701</v>
      </c>
      <c r="E11" s="97">
        <v>4.1390415221426204</v>
      </c>
      <c r="F11" s="97">
        <v>7.0060052411597331</v>
      </c>
      <c r="G11" s="97">
        <v>8.0778562494620534</v>
      </c>
      <c r="H11" s="97">
        <v>9.6362349018517861</v>
      </c>
      <c r="I11" s="97">
        <v>11.619595950588662</v>
      </c>
      <c r="J11" s="97">
        <v>11.645204899497022</v>
      </c>
      <c r="K11" s="97">
        <v>8.8164067821531713</v>
      </c>
      <c r="L11" s="97">
        <v>7.218756795380731</v>
      </c>
      <c r="M11" s="97">
        <v>6.4458095074209556</v>
      </c>
      <c r="N11" s="97">
        <v>6.3993541687591931</v>
      </c>
      <c r="O11" s="97">
        <v>6.1492139958461323</v>
      </c>
      <c r="P11" s="97">
        <v>5.5792436914904773</v>
      </c>
      <c r="Q11" s="97">
        <v>5.3787042889858672</v>
      </c>
      <c r="R11" s="97">
        <v>4.7812423304669824</v>
      </c>
      <c r="S11" s="97">
        <v>5.1350981418390811</v>
      </c>
      <c r="T11" s="97">
        <v>3.7431309767223082</v>
      </c>
      <c r="U11" s="97">
        <v>2.397315928186885</v>
      </c>
      <c r="V11" s="97">
        <v>1.8068061420514527</v>
      </c>
      <c r="W11" s="97">
        <v>2.4544425976015489</v>
      </c>
      <c r="X11" s="97">
        <v>2.802546820347545</v>
      </c>
      <c r="Y11" s="97">
        <v>2.0665995698001556</v>
      </c>
      <c r="DA11" s="175" t="s">
        <v>332</v>
      </c>
    </row>
    <row r="12" spans="1:105" ht="11.45" customHeight="1" x14ac:dyDescent="0.25">
      <c r="A12" s="92" t="s">
        <v>181</v>
      </c>
      <c r="B12" s="97">
        <v>15.14289190517858</v>
      </c>
      <c r="C12" s="97">
        <v>13.639888081606605</v>
      </c>
      <c r="D12" s="97">
        <v>14.678037836624803</v>
      </c>
      <c r="E12" s="97">
        <v>16.505367312294133</v>
      </c>
      <c r="F12" s="97">
        <v>22.969871522830491</v>
      </c>
      <c r="G12" s="97">
        <v>26.918551087076999</v>
      </c>
      <c r="H12" s="97">
        <v>31.26277108819194</v>
      </c>
      <c r="I12" s="97">
        <v>36.049909530003632</v>
      </c>
      <c r="J12" s="97">
        <v>42.266015685698996</v>
      </c>
      <c r="K12" s="97">
        <v>33.913736902506713</v>
      </c>
      <c r="L12" s="97">
        <v>33.09251913953424</v>
      </c>
      <c r="M12" s="97">
        <v>24.397684372330804</v>
      </c>
      <c r="N12" s="97">
        <v>19.608997440394383</v>
      </c>
      <c r="O12" s="97">
        <v>20.205706431989821</v>
      </c>
      <c r="P12" s="97">
        <v>17.39599033860485</v>
      </c>
      <c r="Q12" s="97">
        <v>18.131330246014233</v>
      </c>
      <c r="R12" s="97">
        <v>16.771606710094694</v>
      </c>
      <c r="S12" s="97">
        <v>18.076764243208363</v>
      </c>
      <c r="T12" s="97">
        <v>19.407704429124536</v>
      </c>
      <c r="U12" s="97">
        <v>28.702777333797684</v>
      </c>
      <c r="V12" s="97">
        <v>33.498563677967311</v>
      </c>
      <c r="W12" s="97">
        <v>32.089867241480896</v>
      </c>
      <c r="X12" s="97">
        <v>26.457773650145231</v>
      </c>
      <c r="Y12" s="97">
        <v>18.480278250639547</v>
      </c>
      <c r="DA12" s="175" t="s">
        <v>333</v>
      </c>
    </row>
    <row r="13" spans="1:105" ht="11.45" customHeight="1" x14ac:dyDescent="0.25">
      <c r="A13" s="85" t="s">
        <v>182</v>
      </c>
      <c r="B13" s="98">
        <v>21.658589769270009</v>
      </c>
      <c r="C13" s="98">
        <v>30.570101091144576</v>
      </c>
      <c r="D13" s="98">
        <v>34.019175994477685</v>
      </c>
      <c r="E13" s="98">
        <v>46.145165885443134</v>
      </c>
      <c r="F13" s="98">
        <v>58.599444605340878</v>
      </c>
      <c r="G13" s="98">
        <v>65.731048146361687</v>
      </c>
      <c r="H13" s="98">
        <v>70.378515975867302</v>
      </c>
      <c r="I13" s="98">
        <v>65.519092433614915</v>
      </c>
      <c r="J13" s="98">
        <v>73.477535989019842</v>
      </c>
      <c r="K13" s="98">
        <v>56.858435705297502</v>
      </c>
      <c r="L13" s="98">
        <v>68.792378526734652</v>
      </c>
      <c r="M13" s="98">
        <v>62.279861228726283</v>
      </c>
      <c r="N13" s="98">
        <v>48.669388124425311</v>
      </c>
      <c r="O13" s="98">
        <v>32.308130442349984</v>
      </c>
      <c r="P13" s="98">
        <v>19.538193816389832</v>
      </c>
      <c r="Q13" s="98">
        <v>15.56806695508514</v>
      </c>
      <c r="R13" s="98">
        <v>11.359594189229369</v>
      </c>
      <c r="S13" s="98">
        <v>8.5872098623021387</v>
      </c>
      <c r="T13" s="98">
        <v>6.890210749947137</v>
      </c>
      <c r="U13" s="98">
        <v>4.7076112379214274</v>
      </c>
      <c r="V13" s="98">
        <v>7.0474476174182108</v>
      </c>
      <c r="W13" s="98">
        <v>8.53288980907287</v>
      </c>
      <c r="X13" s="98">
        <v>38.492863352131479</v>
      </c>
      <c r="Y13" s="98">
        <v>29.319242259456697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3.0085871646545486</v>
      </c>
      <c r="C18" s="97">
        <f>IF(C4=0,0,C4/TrAvia_ene!C4)</f>
        <v>3.0089491413671277</v>
      </c>
      <c r="D18" s="97">
        <f>IF(D4=0,0,D4/TrAvia_ene!D4)</f>
        <v>3.008670180906265</v>
      </c>
      <c r="E18" s="97">
        <f>IF(E4=0,0,E4/TrAvia_ene!E4)</f>
        <v>3.0086181535427774</v>
      </c>
      <c r="F18" s="97">
        <f>IF(F4=0,0,F4/TrAvia_ene!F4)</f>
        <v>3.0088295166165211</v>
      </c>
      <c r="G18" s="97">
        <f>IF(G4=0,0,G4/TrAvia_ene!G4)</f>
        <v>3.0091462635787973</v>
      </c>
      <c r="H18" s="97">
        <f>IF(H4=0,0,H4/TrAvia_ene!H4)</f>
        <v>3.0091414969948151</v>
      </c>
      <c r="I18" s="97">
        <f>IF(I4=0,0,I4/TrAvia_ene!I4)</f>
        <v>3.0092043114000466</v>
      </c>
      <c r="J18" s="97">
        <f>IF(J4=0,0,J4/TrAvia_ene!J4)</f>
        <v>3.0092297860905233</v>
      </c>
      <c r="K18" s="97">
        <f>IF(K4=0,0,K4/TrAvia_ene!K4)</f>
        <v>3.0090421407990759</v>
      </c>
      <c r="L18" s="97">
        <f>IF(L4=0,0,L4/TrAvia_ene!L4)</f>
        <v>3.0090255465932283</v>
      </c>
      <c r="M18" s="97">
        <f>IF(M4=0,0,M4/TrAvia_ene!M4)</f>
        <v>3.0090991813879344</v>
      </c>
      <c r="N18" s="97">
        <f>IF(N4=0,0,N4/TrAvia_ene!N4)</f>
        <v>3.0093405949847551</v>
      </c>
      <c r="O18" s="97">
        <f>IF(O4=0,0,O4/TrAvia_ene!O4)</f>
        <v>3.0092992588565819</v>
      </c>
      <c r="P18" s="97">
        <f>IF(P4=0,0,P4/TrAvia_ene!P4)</f>
        <v>3.0095132635396231</v>
      </c>
      <c r="Q18" s="97">
        <f>IF(Q4=0,0,Q4/TrAvia_ene!Q4)</f>
        <v>3.0096268137015421</v>
      </c>
      <c r="R18" s="97">
        <f>IF(R4=0,0,R4/TrAvia_ene!R4)</f>
        <v>3.0097101500714496</v>
      </c>
      <c r="S18" s="97">
        <f>IF(S4=0,0,S4/TrAvia_ene!S4)</f>
        <v>3.0097137196745742</v>
      </c>
      <c r="T18" s="97">
        <f>IF(T4=0,0,T4/TrAvia_ene!T4)</f>
        <v>3.009802255470496</v>
      </c>
      <c r="U18" s="97">
        <f>IF(U4=0,0,U4/TrAvia_ene!U4)</f>
        <v>3.0098674852069593</v>
      </c>
      <c r="V18" s="97">
        <f>IF(V4=0,0,V4/TrAvia_ene!V4)</f>
        <v>3.0091371561007176</v>
      </c>
      <c r="W18" s="97">
        <f>IF(W4=0,0,W4/TrAvia_ene!W4)</f>
        <v>3.0084442287925057</v>
      </c>
      <c r="X18" s="97">
        <f>IF(X4=0,0,X4/TrAvia_ene!X4)</f>
        <v>3.0090923086421282</v>
      </c>
      <c r="Y18" s="97">
        <f>IF(Y4=0,0,Y4/TrAvia_ene!Y4)</f>
        <v>2.6631109805868709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</v>
      </c>
      <c r="C19" s="98">
        <f>IF(C5=0,0,C5/TrAvia_ene!C5)</f>
        <v>3.0103091999999982</v>
      </c>
      <c r="D19" s="98">
        <f>IF(D5=0,0,D5/TrAvia_ene!D5)</f>
        <v>3.0103091999999996</v>
      </c>
      <c r="E19" s="98">
        <f>IF(E5=0,0,E5/TrAvia_ene!E5)</f>
        <v>3.0103092000000014</v>
      </c>
      <c r="F19" s="98">
        <f>IF(F5=0,0,F5/TrAvia_ene!F5)</f>
        <v>3.0103092000000022</v>
      </c>
      <c r="G19" s="98">
        <f>IF(G5=0,0,G5/TrAvia_ene!G5)</f>
        <v>3.0103092</v>
      </c>
      <c r="H19" s="98">
        <f>IF(H5=0,0,H5/TrAvia_ene!H5)</f>
        <v>3.0103091999999996</v>
      </c>
      <c r="I19" s="98">
        <f>IF(I5=0,0,I5/TrAvia_ene!I5)</f>
        <v>3.0103092</v>
      </c>
      <c r="J19" s="98">
        <f>IF(J5=0,0,J5/TrAvia_ene!J5)</f>
        <v>3.0103092000000005</v>
      </c>
      <c r="K19" s="98">
        <f>IF(K5=0,0,K5/TrAvia_ene!K5)</f>
        <v>3.0103092000000005</v>
      </c>
      <c r="L19" s="98">
        <f>IF(L5=0,0,L5/TrAvia_ene!L5)</f>
        <v>3.0103091999999996</v>
      </c>
      <c r="M19" s="98">
        <f>IF(M5=0,0,M5/TrAvia_ene!M5)</f>
        <v>3.0103092000000014</v>
      </c>
      <c r="N19" s="98">
        <f>IF(N5=0,0,N5/TrAvia_ene!N5)</f>
        <v>3.0103092000000009</v>
      </c>
      <c r="O19" s="98">
        <f>IF(O5=0,0,O5/TrAvia_ene!O5)</f>
        <v>3.0103091999999982</v>
      </c>
      <c r="P19" s="98">
        <f>IF(P5=0,0,P5/TrAvia_ene!P5)</f>
        <v>3.0103092000000022</v>
      </c>
      <c r="Q19" s="98">
        <f>IF(Q5=0,0,Q5/TrAvia_ene!Q5)</f>
        <v>3.0103092000000014</v>
      </c>
      <c r="R19" s="98">
        <f>IF(R5=0,0,R5/TrAvia_ene!R5)</f>
        <v>3.0103092000000005</v>
      </c>
      <c r="S19" s="98">
        <f>IF(S5=0,0,S5/TrAvia_ene!S5)</f>
        <v>3.0103091999999982</v>
      </c>
      <c r="T19" s="98">
        <f>IF(T5=0,0,T5/TrAvia_ene!T5)</f>
        <v>3.0103091999999996</v>
      </c>
      <c r="U19" s="98">
        <f>IF(U5=0,0,U5/TrAvia_ene!U5)</f>
        <v>3.0103092000000005</v>
      </c>
      <c r="V19" s="98">
        <f>IF(V5=0,0,V5/TrAvia_ene!V5)</f>
        <v>3.0103091999999991</v>
      </c>
      <c r="W19" s="98">
        <f>IF(W5=0,0,W5/TrAvia_ene!W5)</f>
        <v>3.0103092000000009</v>
      </c>
      <c r="X19" s="98">
        <f>IF(X5=0,0,X5/TrAvia_ene!X5)</f>
        <v>3.0103092000000009</v>
      </c>
      <c r="Y19" s="98">
        <f>IF(Y5=0,0,Y5/TrAvia_ene!Y5)</f>
        <v>3.0103092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14592.995591028221</v>
      </c>
      <c r="C21" s="54">
        <f>IF(C3=0,0,C3/TrAvia_act!C13*1000)</f>
        <v>15184.199915805993</v>
      </c>
      <c r="D21" s="54">
        <f>IF(D3=0,0,D3/TrAvia_act!D13*1000)</f>
        <v>12864.330872067399</v>
      </c>
      <c r="E21" s="54">
        <f>IF(E3=0,0,E3/TrAvia_act!E13*1000)</f>
        <v>13044.434546730172</v>
      </c>
      <c r="F21" s="54">
        <f>IF(F3=0,0,F3/TrAvia_act!F13*1000)</f>
        <v>14665.084967539602</v>
      </c>
      <c r="G21" s="54">
        <f>IF(G3=0,0,G3/TrAvia_act!G13*1000)</f>
        <v>14775.784937098664</v>
      </c>
      <c r="H21" s="54">
        <f>IF(H3=0,0,H3/TrAvia_act!H13*1000)</f>
        <v>14081.333815946633</v>
      </c>
      <c r="I21" s="54">
        <f>IF(I3=0,0,I3/TrAvia_act!I13*1000)</f>
        <v>13490.457697829339</v>
      </c>
      <c r="J21" s="54">
        <f>IF(J3=0,0,J3/TrAvia_act!J13*1000)</f>
        <v>14336.756326351622</v>
      </c>
      <c r="K21" s="54">
        <f>IF(K3=0,0,K3/TrAvia_act!K13*1000)</f>
        <v>14524.519352666846</v>
      </c>
      <c r="L21" s="54">
        <f>IF(L3=0,0,L3/TrAvia_act!L13*1000)</f>
        <v>13524.173448293574</v>
      </c>
      <c r="M21" s="54">
        <f>IF(M3=0,0,M3/TrAvia_act!M13*1000)</f>
        <v>13418.085945893694</v>
      </c>
      <c r="N21" s="54">
        <f>IF(N3=0,0,N3/TrAvia_act!N13*1000)</f>
        <v>13251.245713414335</v>
      </c>
      <c r="O21" s="54">
        <f>IF(O3=0,0,O3/TrAvia_act!O13*1000)</f>
        <v>14070.767218562292</v>
      </c>
      <c r="P21" s="54">
        <f>IF(P3=0,0,P3/TrAvia_act!P13*1000)</f>
        <v>12631.233078635074</v>
      </c>
      <c r="Q21" s="54">
        <f>IF(Q3=0,0,Q3/TrAvia_act!Q13*1000)</f>
        <v>12822.371960222898</v>
      </c>
      <c r="R21" s="54">
        <f>IF(R3=0,0,R3/TrAvia_act!R13*1000)</f>
        <v>13444.378416412299</v>
      </c>
      <c r="S21" s="54">
        <f>IF(S3=0,0,S3/TrAvia_act!S13*1000)</f>
        <v>13072.058724848997</v>
      </c>
      <c r="T21" s="54">
        <f>IF(T3=0,0,T3/TrAvia_act!T13*1000)</f>
        <v>13297.637937785879</v>
      </c>
      <c r="U21" s="54">
        <f>IF(U3=0,0,U3/TrAvia_act!U13*1000)</f>
        <v>13210.95307353168</v>
      </c>
      <c r="V21" s="54">
        <f>IF(V3=0,0,V3/TrAvia_act!V13*1000)</f>
        <v>15537.46021420989</v>
      </c>
      <c r="W21" s="54">
        <f>IF(W3=0,0,W3/TrAvia_act!W13*1000)</f>
        <v>14466.545015883868</v>
      </c>
      <c r="X21" s="54">
        <f>IF(X3=0,0,X3/TrAvia_act!X13*1000)</f>
        <v>13945.777541840893</v>
      </c>
      <c r="Y21" s="54">
        <f>IF(Y3=0,0,Y3/TrAvia_act!Y13*1000)</f>
        <v>11185.014792645856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14562.161621066592</v>
      </c>
      <c r="C22" s="11">
        <f>IF(C6=0,0,C6/TrAvia_act!C14*1000)</f>
        <v>15137.515454614313</v>
      </c>
      <c r="D22" s="11">
        <f>IF(D6=0,0,D6/TrAvia_act!D14*1000)</f>
        <v>12809.065489943217</v>
      </c>
      <c r="E22" s="11">
        <f>IF(E6=0,0,E6/TrAvia_act!E14*1000)</f>
        <v>12970.309288862123</v>
      </c>
      <c r="F22" s="11">
        <f>IF(F6=0,0,F6/TrAvia_act!F14*1000)</f>
        <v>14581.431085794249</v>
      </c>
      <c r="G22" s="11">
        <f>IF(G6=0,0,G6/TrAvia_act!G14*1000)</f>
        <v>14742.596127002873</v>
      </c>
      <c r="H22" s="11">
        <f>IF(H6=0,0,H6/TrAvia_act!H14*1000)</f>
        <v>14055.692985221238</v>
      </c>
      <c r="I22" s="11">
        <f>IF(I6=0,0,I6/TrAvia_act!I14*1000)</f>
        <v>13516.950653225636</v>
      </c>
      <c r="J22" s="11">
        <f>IF(J6=0,0,J6/TrAvia_act!J14*1000)</f>
        <v>14369.072963029825</v>
      </c>
      <c r="K22" s="11">
        <f>IF(K6=0,0,K6/TrAvia_act!K14*1000)</f>
        <v>14534.60314052146</v>
      </c>
      <c r="L22" s="11">
        <f>IF(L6=0,0,L6/TrAvia_act!L14*1000)</f>
        <v>13502.627854274822</v>
      </c>
      <c r="M22" s="11">
        <f>IF(M6=0,0,M6/TrAvia_act!M14*1000)</f>
        <v>13396.992001156219</v>
      </c>
      <c r="N22" s="11">
        <f>IF(N6=0,0,N6/TrAvia_act!N14*1000)</f>
        <v>13233.623981102197</v>
      </c>
      <c r="O22" s="11">
        <f>IF(O6=0,0,O6/TrAvia_act!O14*1000)</f>
        <v>14080.713780233398</v>
      </c>
      <c r="P22" s="11">
        <f>IF(P6=0,0,P6/TrAvia_act!P14*1000)</f>
        <v>12663.49864831742</v>
      </c>
      <c r="Q22" s="11">
        <f>IF(Q6=0,0,Q6/TrAvia_act!Q14*1000)</f>
        <v>12863.176673133055</v>
      </c>
      <c r="R22" s="11">
        <f>IF(R6=0,0,R6/TrAvia_act!R14*1000)</f>
        <v>13486.647320047492</v>
      </c>
      <c r="S22" s="11">
        <f>IF(S6=0,0,S6/TrAvia_act!S14*1000)</f>
        <v>13111.071046752179</v>
      </c>
      <c r="T22" s="11">
        <f>IF(T6=0,0,T6/TrAvia_act!T14*1000)</f>
        <v>13328.48388965802</v>
      </c>
      <c r="U22" s="11">
        <f>IF(U6=0,0,U6/TrAvia_act!U14*1000)</f>
        <v>13227.358195594563</v>
      </c>
      <c r="V22" s="11">
        <f>IF(V6=0,0,V6/TrAvia_act!V14*1000)</f>
        <v>15603.861582994425</v>
      </c>
      <c r="W22" s="11">
        <f>IF(W6=0,0,W6/TrAvia_act!W14*1000)</f>
        <v>14543.511154598571</v>
      </c>
      <c r="X22" s="11">
        <f>IF(X6=0,0,X6/TrAvia_act!X14*1000)</f>
        <v>13955.12767991389</v>
      </c>
      <c r="Y22" s="11">
        <f>IF(Y6=0,0,Y6/TrAvia_act!Y14*1000)</f>
        <v>11173.393751511763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12292.307495179904</v>
      </c>
      <c r="C23" s="84">
        <f>IF(C7=0,0,C7/TrAvia_act!C15*1000)</f>
        <v>12721.4842802977</v>
      </c>
      <c r="D23" s="84">
        <f>IF(D7=0,0,D7/TrAvia_act!D15*1000)</f>
        <v>11333.128920037079</v>
      </c>
      <c r="E23" s="84">
        <f>IF(E7=0,0,E7/TrAvia_act!E15*1000)</f>
        <v>11713.377922815604</v>
      </c>
      <c r="F23" s="84">
        <f>IF(F7=0,0,F7/TrAvia_act!F15*1000)</f>
        <v>12761.033969858272</v>
      </c>
      <c r="G23" s="84">
        <f>IF(G7=0,0,G7/TrAvia_act!G15*1000)</f>
        <v>13651.69840518781</v>
      </c>
      <c r="H23" s="84">
        <f>IF(H7=0,0,H7/TrAvia_act!H15*1000)</f>
        <v>13381.002571978255</v>
      </c>
      <c r="I23" s="84">
        <f>IF(I7=0,0,I7/TrAvia_act!I15*1000)</f>
        <v>13665.237542393033</v>
      </c>
      <c r="J23" s="84">
        <f>IF(J7=0,0,J7/TrAvia_act!J15*1000)</f>
        <v>12643.250753820184</v>
      </c>
      <c r="K23" s="84">
        <f>IF(K7=0,0,K7/TrAvia_act!K15*1000)</f>
        <v>11720.844716981326</v>
      </c>
      <c r="L23" s="84">
        <f>IF(L7=0,0,L7/TrAvia_act!L15*1000)</f>
        <v>11307.904210347386</v>
      </c>
      <c r="M23" s="84">
        <f>IF(M7=0,0,M7/TrAvia_act!M15*1000)</f>
        <v>11420.998524168754</v>
      </c>
      <c r="N23" s="84">
        <f>IF(N7=0,0,N7/TrAvia_act!N15*1000)</f>
        <v>11493.339898104825</v>
      </c>
      <c r="O23" s="84">
        <f>IF(O7=0,0,O7/TrAvia_act!O15*1000)</f>
        <v>11533.115527273903</v>
      </c>
      <c r="P23" s="84">
        <f>IF(P7=0,0,P7/TrAvia_act!P15*1000)</f>
        <v>11216.65808315681</v>
      </c>
      <c r="Q23" s="84">
        <f>IF(Q7=0,0,Q7/TrAvia_act!Q15*1000)</f>
        <v>11270.54561846992</v>
      </c>
      <c r="R23" s="84">
        <f>IF(R7=0,0,R7/TrAvia_act!R15*1000)</f>
        <v>11670.462796640873</v>
      </c>
      <c r="S23" s="84">
        <f>IF(S7=0,0,S7/TrAvia_act!S15*1000)</f>
        <v>11370.273022082863</v>
      </c>
      <c r="T23" s="84">
        <f>IF(T7=0,0,T7/TrAvia_act!T15*1000)</f>
        <v>10986.942370930383</v>
      </c>
      <c r="U23" s="84">
        <f>IF(U7=0,0,U7/TrAvia_act!U15*1000)</f>
        <v>10863.273618853138</v>
      </c>
      <c r="V23" s="84">
        <f>IF(V7=0,0,V7/TrAvia_act!V15*1000)</f>
        <v>11078.689072508356</v>
      </c>
      <c r="W23" s="84">
        <f>IF(W7=0,0,W7/TrAvia_act!W15*1000)</f>
        <v>11964.483725115479</v>
      </c>
      <c r="X23" s="84">
        <f>IF(X7=0,0,X7/TrAvia_act!X15*1000)</f>
        <v>12015.02077716551</v>
      </c>
      <c r="Y23" s="84">
        <f>IF(Y7=0,0,Y7/TrAvia_act!Y15*1000)</f>
        <v>9774.3202480060627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14239.721569740743</v>
      </c>
      <c r="C24" s="84">
        <f>IF(C8=0,0,C8/TrAvia_act!C16*1000)</f>
        <v>14938.971995269272</v>
      </c>
      <c r="D24" s="84">
        <f>IF(D8=0,0,D8/TrAvia_act!D16*1000)</f>
        <v>12470.675368387825</v>
      </c>
      <c r="E24" s="84">
        <f>IF(E8=0,0,E8/TrAvia_act!E16*1000)</f>
        <v>12473.19625228837</v>
      </c>
      <c r="F24" s="84">
        <f>IF(F8=0,0,F8/TrAvia_act!F16*1000)</f>
        <v>14019.625759103621</v>
      </c>
      <c r="G24" s="84">
        <f>IF(G8=0,0,G8/TrAvia_act!G16*1000)</f>
        <v>14569.113703413082</v>
      </c>
      <c r="H24" s="84">
        <f>IF(H8=0,0,H8/TrAvia_act!H16*1000)</f>
        <v>13634.086555911832</v>
      </c>
      <c r="I24" s="84">
        <f>IF(I8=0,0,I8/TrAvia_act!I16*1000)</f>
        <v>13125.242163589031</v>
      </c>
      <c r="J24" s="84">
        <f>IF(J8=0,0,J8/TrAvia_act!J16*1000)</f>
        <v>14857.677559851485</v>
      </c>
      <c r="K24" s="84">
        <f>IF(K8=0,0,K8/TrAvia_act!K16*1000)</f>
        <v>15547.105560481197</v>
      </c>
      <c r="L24" s="84">
        <f>IF(L8=0,0,L8/TrAvia_act!L16*1000)</f>
        <v>14249.136750088801</v>
      </c>
      <c r="M24" s="84">
        <f>IF(M8=0,0,M8/TrAvia_act!M16*1000)</f>
        <v>14033.140448479435</v>
      </c>
      <c r="N24" s="84">
        <f>IF(N8=0,0,N8/TrAvia_act!N16*1000)</f>
        <v>13719.337480758475</v>
      </c>
      <c r="O24" s="84">
        <f>IF(O8=0,0,O8/TrAvia_act!O16*1000)</f>
        <v>14972.954597535854</v>
      </c>
      <c r="P24" s="84">
        <f>IF(P8=0,0,P8/TrAvia_act!P16*1000)</f>
        <v>13575.419306411964</v>
      </c>
      <c r="Q24" s="84">
        <f>IF(Q8=0,0,Q8/TrAvia_act!Q16*1000)</f>
        <v>13810.053593616893</v>
      </c>
      <c r="R24" s="84">
        <f>IF(R8=0,0,R8/TrAvia_act!R16*1000)</f>
        <v>14550.364830975301</v>
      </c>
      <c r="S24" s="84">
        <f>IF(S8=0,0,S8/TrAvia_act!S16*1000)</f>
        <v>14237.192744667933</v>
      </c>
      <c r="T24" s="84">
        <f>IF(T8=0,0,T8/TrAvia_act!T16*1000)</f>
        <v>14785.096898482569</v>
      </c>
      <c r="U24" s="84">
        <f>IF(U8=0,0,U8/TrAvia_act!U16*1000)</f>
        <v>14547.1935978907</v>
      </c>
      <c r="V24" s="84">
        <f>IF(V8=0,0,V8/TrAvia_act!V16*1000)</f>
        <v>17058.245772019021</v>
      </c>
      <c r="W24" s="84">
        <f>IF(W8=0,0,W8/TrAvia_act!W16*1000)</f>
        <v>15083.805531677779</v>
      </c>
      <c r="X24" s="84">
        <f>IF(X8=0,0,X8/TrAvia_act!X16*1000)</f>
        <v>14841.57302023169</v>
      </c>
      <c r="Y24" s="84">
        <f>IF(Y8=0,0,Y8/TrAvia_act!Y16*1000)</f>
        <v>11479.468996089743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22314.719938990791</v>
      </c>
      <c r="C25" s="84">
        <f>IF(C9=0,0,C9/TrAvia_act!C17*1000)</f>
        <v>23485.604722186061</v>
      </c>
      <c r="D25" s="84">
        <f>IF(D9=0,0,D9/TrAvia_act!D17*1000)</f>
        <v>19573.242894448867</v>
      </c>
      <c r="E25" s="84">
        <f>IF(E9=0,0,E9/TrAvia_act!E17*1000)</f>
        <v>19532.037025782538</v>
      </c>
      <c r="F25" s="84">
        <f>IF(F9=0,0,F9/TrAvia_act!F17*1000)</f>
        <v>21908.107849344036</v>
      </c>
      <c r="G25" s="84">
        <f>IF(G9=0,0,G9/TrAvia_act!G17*1000)</f>
        <v>17511.853522950605</v>
      </c>
      <c r="H25" s="84">
        <f>IF(H9=0,0,H9/TrAvia_act!H17*1000)</f>
        <v>16891.916920209158</v>
      </c>
      <c r="I25" s="84">
        <f>IF(I9=0,0,I9/TrAvia_act!I17*1000)</f>
        <v>14701.657734791623</v>
      </c>
      <c r="J25" s="84">
        <f>IF(J9=0,0,J9/TrAvia_act!J17*1000)</f>
        <v>15031.262669233396</v>
      </c>
      <c r="K25" s="84">
        <f>IF(K9=0,0,K9/TrAvia_act!K17*1000)</f>
        <v>15208.848005223361</v>
      </c>
      <c r="L25" s="84">
        <f>IF(L9=0,0,L9/TrAvia_act!L17*1000)</f>
        <v>13962.236914000732</v>
      </c>
      <c r="M25" s="84">
        <f>IF(M9=0,0,M9/TrAvia_act!M17*1000)</f>
        <v>13891.875975053445</v>
      </c>
      <c r="N25" s="84">
        <f>IF(N9=0,0,N9/TrAvia_act!N17*1000)</f>
        <v>13896.68664663165</v>
      </c>
      <c r="O25" s="84">
        <f>IF(O9=0,0,O9/TrAvia_act!O17*1000)</f>
        <v>14376.462111721379</v>
      </c>
      <c r="P25" s="84">
        <f>IF(P9=0,0,P9/TrAvia_act!P17*1000)</f>
        <v>11792.263816569181</v>
      </c>
      <c r="Q25" s="84">
        <f>IF(Q9=0,0,Q9/TrAvia_act!Q17*1000)</f>
        <v>12006.518326812995</v>
      </c>
      <c r="R25" s="84">
        <f>IF(R9=0,0,R9/TrAvia_act!R17*1000)</f>
        <v>12435.051422445238</v>
      </c>
      <c r="S25" s="84">
        <f>IF(S9=0,0,S9/TrAvia_act!S17*1000)</f>
        <v>11687.156936815507</v>
      </c>
      <c r="T25" s="84">
        <f>IF(T9=0,0,T9/TrAvia_act!T17*1000)</f>
        <v>11634.338072568382</v>
      </c>
      <c r="U25" s="84">
        <f>IF(U9=0,0,U9/TrAvia_act!U17*1000)</f>
        <v>11848.015063210642</v>
      </c>
      <c r="V25" s="84">
        <f>IF(V9=0,0,V9/TrAvia_act!V17*1000)</f>
        <v>16485.910115788178</v>
      </c>
      <c r="W25" s="84">
        <f>IF(W9=0,0,W9/TrAvia_act!W17*1000)</f>
        <v>15536.610291302637</v>
      </c>
      <c r="X25" s="84">
        <f>IF(X9=0,0,X9/TrAvia_act!X17*1000)</f>
        <v>12981.646086759043</v>
      </c>
      <c r="Y25" s="84">
        <f>IF(Y9=0,0,Y9/TrAvia_act!Y17*1000)</f>
        <v>11367.802768894433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17131.519352244995</v>
      </c>
      <c r="C26" s="13">
        <f>IF(C10=0,0,C10/TrAvia_act!C18*1000)</f>
        <v>18688.384193063001</v>
      </c>
      <c r="D26" s="13">
        <f>IF(D10=0,0,D10/TrAvia_act!D18*1000)</f>
        <v>15693.00511584541</v>
      </c>
      <c r="E26" s="13">
        <f>IF(E10=0,0,E10/TrAvia_act!E18*1000)</f>
        <v>15915.291884989114</v>
      </c>
      <c r="F26" s="13">
        <f>IF(F10=0,0,F10/TrAvia_act!F18*1000)</f>
        <v>17535.184100501378</v>
      </c>
      <c r="G26" s="13">
        <f>IF(G10=0,0,G10/TrAvia_act!G18*1000)</f>
        <v>15669.271348399354</v>
      </c>
      <c r="H26" s="13">
        <f>IF(H10=0,0,H10/TrAvia_act!H18*1000)</f>
        <v>14706.810026036444</v>
      </c>
      <c r="I26" s="13">
        <f>IF(I10=0,0,I10/TrAvia_act!I18*1000)</f>
        <v>12920.215702221307</v>
      </c>
      <c r="J26" s="13">
        <f>IF(J10=0,0,J10/TrAvia_act!J18*1000)</f>
        <v>13639.410643710768</v>
      </c>
      <c r="K26" s="13">
        <f>IF(K10=0,0,K10/TrAvia_act!K18*1000)</f>
        <v>14262.642852544248</v>
      </c>
      <c r="L26" s="13">
        <f>IF(L10=0,0,L10/TrAvia_act!L18*1000)</f>
        <v>14041.904327870916</v>
      </c>
      <c r="M26" s="13">
        <f>IF(M10=0,0,M10/TrAvia_act!M18*1000)</f>
        <v>14071.210121269423</v>
      </c>
      <c r="N26" s="13">
        <f>IF(N10=0,0,N10/TrAvia_act!N18*1000)</f>
        <v>13906.661014004321</v>
      </c>
      <c r="O26" s="13">
        <f>IF(O10=0,0,O10/TrAvia_act!O18*1000)</f>
        <v>13589.381151222397</v>
      </c>
      <c r="P26" s="13">
        <f>IF(P10=0,0,P10/TrAvia_act!P18*1000)</f>
        <v>10855.267041162057</v>
      </c>
      <c r="Q26" s="13">
        <f>IF(Q10=0,0,Q10/TrAvia_act!Q18*1000)</f>
        <v>10461.044229805511</v>
      </c>
      <c r="R26" s="13">
        <f>IF(R10=0,0,R10/TrAvia_act!R18*1000)</f>
        <v>10398.912603753342</v>
      </c>
      <c r="S26" s="13">
        <f>IF(S10=0,0,S10/TrAvia_act!S18*1000)</f>
        <v>10039.476950761516</v>
      </c>
      <c r="T26" s="13">
        <f>IF(T10=0,0,T10/TrAvia_act!T18*1000)</f>
        <v>10576.124397079391</v>
      </c>
      <c r="U26" s="13">
        <f>IF(U10=0,0,U10/TrAvia_act!U18*1000)</f>
        <v>11915.833277781679</v>
      </c>
      <c r="V26" s="13">
        <f>IF(V10=0,0,V10/TrAvia_act!V18*1000)</f>
        <v>13891.362725151286</v>
      </c>
      <c r="W26" s="13">
        <f>IF(W10=0,0,W10/TrAvia_act!W18*1000)</f>
        <v>12540.80319482192</v>
      </c>
      <c r="X26" s="13">
        <f>IF(X10=0,0,X10/TrAvia_act!X18*1000)</f>
        <v>13656.257574140838</v>
      </c>
      <c r="Y26" s="13">
        <f>IF(Y10=0,0,Y10/TrAvia_act!Y18*1000)</f>
        <v>11670.476352452151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14356.841815814152</v>
      </c>
      <c r="C27" s="102">
        <f>IF(C11=0,0,C11/TrAvia_act!C19*1000)</f>
        <v>14858.100283141939</v>
      </c>
      <c r="D27" s="102">
        <f>IF(D11=0,0,D11/TrAvia_act!D19*1000)</f>
        <v>13236.565978112934</v>
      </c>
      <c r="E27" s="102">
        <f>IF(E11=0,0,E11/TrAvia_act!E19*1000)</f>
        <v>13680.679077761069</v>
      </c>
      <c r="F27" s="102">
        <f>IF(F11=0,0,F11/TrAvia_act!F19*1000)</f>
        <v>14904.292475869654</v>
      </c>
      <c r="G27" s="102">
        <f>IF(G11=0,0,G11/TrAvia_act!G19*1000)</f>
        <v>15933.101199215022</v>
      </c>
      <c r="H27" s="102">
        <f>IF(H11=0,0,H11/TrAvia_act!H19*1000)</f>
        <v>15475.804928621683</v>
      </c>
      <c r="I27" s="102">
        <f>IF(I11=0,0,I11/TrAvia_act!I19*1000)</f>
        <v>15659.498834886175</v>
      </c>
      <c r="J27" s="102">
        <f>IF(J11=0,0,J11/TrAvia_act!J19*1000)</f>
        <v>14330.116738079225</v>
      </c>
      <c r="K27" s="102">
        <f>IF(K11=0,0,K11/TrAvia_act!K19*1000)</f>
        <v>13172.461435256424</v>
      </c>
      <c r="L27" s="102">
        <f>IF(L11=0,0,L11/TrAvia_act!L19*1000)</f>
        <v>12629.211317617584</v>
      </c>
      <c r="M27" s="102">
        <f>IF(M11=0,0,M11/TrAvia_act!M19*1000)</f>
        <v>12912.85749943749</v>
      </c>
      <c r="N27" s="102">
        <f>IF(N11=0,0,N11/TrAvia_act!N19*1000)</f>
        <v>13110.577814312932</v>
      </c>
      <c r="O27" s="102">
        <f>IF(O11=0,0,O11/TrAvia_act!O19*1000)</f>
        <v>13263.683732455911</v>
      </c>
      <c r="P27" s="102">
        <f>IF(P11=0,0,P11/TrAvia_act!P19*1000)</f>
        <v>12985.982677916896</v>
      </c>
      <c r="Q27" s="102">
        <f>IF(Q11=0,0,Q11/TrAvia_act!Q19*1000)</f>
        <v>13152.767664632487</v>
      </c>
      <c r="R27" s="102">
        <f>IF(R11=0,0,R11/TrAvia_act!R19*1000)</f>
        <v>13677.955690070412</v>
      </c>
      <c r="S27" s="102">
        <f>IF(S11=0,0,S11/TrAvia_act!S19*1000)</f>
        <v>13424.309717540495</v>
      </c>
      <c r="T27" s="102">
        <f>IF(T11=0,0,T11/TrAvia_act!T19*1000)</f>
        <v>13075.324408596107</v>
      </c>
      <c r="U27" s="102">
        <f>IF(U11=0,0,U11/TrAvia_act!U19*1000)</f>
        <v>13420.621837525898</v>
      </c>
      <c r="V27" s="102">
        <f>IF(V11=0,0,V11/TrAvia_act!V19*1000)</f>
        <v>12898.642194887083</v>
      </c>
      <c r="W27" s="102">
        <f>IF(W11=0,0,W11/TrAvia_act!W19*1000)</f>
        <v>14506.977939812861</v>
      </c>
      <c r="X27" s="102">
        <f>IF(X11=0,0,X11/TrAvia_act!X19*1000)</f>
        <v>14880.807871597694</v>
      </c>
      <c r="Y27" s="102">
        <f>IF(Y11=0,0,Y11/TrAvia_act!Y19*1000)</f>
        <v>11565.10386352663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14641.435581212416</v>
      </c>
      <c r="C28" s="102">
        <f>IF(C12=0,0,C12/TrAvia_act!C20*1000)</f>
        <v>15421.26656799364</v>
      </c>
      <c r="D28" s="102">
        <f>IF(D12=0,0,D12/TrAvia_act!D20*1000)</f>
        <v>12849.857641098532</v>
      </c>
      <c r="E28" s="102">
        <f>IF(E12=0,0,E12/TrAvia_act!E20*1000)</f>
        <v>12825.322553087643</v>
      </c>
      <c r="F28" s="102">
        <f>IF(F12=0,0,F12/TrAvia_act!F20*1000)</f>
        <v>14095.62654698732</v>
      </c>
      <c r="G28" s="102">
        <f>IF(G12=0,0,G12/TrAvia_act!G20*1000)</f>
        <v>14958.31445284011</v>
      </c>
      <c r="H28" s="102">
        <f>IF(H12=0,0,H12/TrAvia_act!H20*1000)</f>
        <v>13284.046152350558</v>
      </c>
      <c r="I28" s="102">
        <f>IF(I12=0,0,I12/TrAvia_act!I20*1000)</f>
        <v>12623.808970154207</v>
      </c>
      <c r="J28" s="102">
        <f>IF(J12=0,0,J12/TrAvia_act!J20*1000)</f>
        <v>14277.850856820647</v>
      </c>
      <c r="K28" s="102">
        <f>IF(K12=0,0,K12/TrAvia_act!K20*1000)</f>
        <v>14803.494880597063</v>
      </c>
      <c r="L28" s="102">
        <f>IF(L12=0,0,L12/TrAvia_act!L20*1000)</f>
        <v>13322.751744301391</v>
      </c>
      <c r="M28" s="102">
        <f>IF(M12=0,0,M12/TrAvia_act!M20*1000)</f>
        <v>13075.58706689154</v>
      </c>
      <c r="N28" s="102">
        <f>IF(N12=0,0,N12/TrAvia_act!N20*1000)</f>
        <v>12844.190919974862</v>
      </c>
      <c r="O28" s="102">
        <f>IF(O12=0,0,O12/TrAvia_act!O20*1000)</f>
        <v>13974.25644282993</v>
      </c>
      <c r="P28" s="102">
        <f>IF(P12=0,0,P12/TrAvia_act!P20*1000)</f>
        <v>12755.584201407479</v>
      </c>
      <c r="Q28" s="102">
        <f>IF(Q12=0,0,Q12/TrAvia_act!Q20*1000)</f>
        <v>13230.652370470918</v>
      </c>
      <c r="R28" s="102">
        <f>IF(R12=0,0,R12/TrAvia_act!R20*1000)</f>
        <v>14006.638594042359</v>
      </c>
      <c r="S28" s="102">
        <f>IF(S12=0,0,S12/TrAvia_act!S20*1000)</f>
        <v>13574.20108736721</v>
      </c>
      <c r="T28" s="102">
        <f>IF(T12=0,0,T12/TrAvia_act!T20*1000)</f>
        <v>14283.286032531638</v>
      </c>
      <c r="U28" s="102">
        <f>IF(U12=0,0,U12/TrAvia_act!U20*1000)</f>
        <v>13817.285171964484</v>
      </c>
      <c r="V28" s="102">
        <f>IF(V12=0,0,V12/TrAvia_act!V20*1000)</f>
        <v>16152.136895606824</v>
      </c>
      <c r="W28" s="102">
        <f>IF(W12=0,0,W12/TrAvia_act!W20*1000)</f>
        <v>14247.543905912789</v>
      </c>
      <c r="X28" s="102">
        <f>IF(X12=0,0,X12/TrAvia_act!X20*1000)</f>
        <v>14404.197090914988</v>
      </c>
      <c r="Y28" s="102">
        <f>IF(Y12=0,0,Y12/TrAvia_act!Y20*1000)</f>
        <v>11620.351875851969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20221.581852978376</v>
      </c>
      <c r="C29" s="86">
        <f>IF(C13=0,0,C13/TrAvia_act!C21*1000)</f>
        <v>21282.636732830066</v>
      </c>
      <c r="D29" s="86">
        <f>IF(D13=0,0,D13/TrAvia_act!D21*1000)</f>
        <v>17737.257487454979</v>
      </c>
      <c r="E29" s="86">
        <f>IF(E13=0,0,E13/TrAvia_act!E21*1000)</f>
        <v>17699.916761318265</v>
      </c>
      <c r="F29" s="86">
        <f>IF(F13=0,0,F13/TrAvia_act!F21*1000)</f>
        <v>19853.110293591457</v>
      </c>
      <c r="G29" s="86">
        <f>IF(G13=0,0,G13/TrAvia_act!G21*1000)</f>
        <v>15947.223534543276</v>
      </c>
      <c r="H29" s="86">
        <f>IF(H13=0,0,H13/TrAvia_act!H21*1000)</f>
        <v>15331.933229626407</v>
      </c>
      <c r="I29" s="86">
        <f>IF(I13=0,0,I13/TrAvia_act!I21*1000)</f>
        <v>12690.470756360626</v>
      </c>
      <c r="J29" s="86">
        <f>IF(J13=0,0,J13/TrAvia_act!J21*1000)</f>
        <v>13199.084380977029</v>
      </c>
      <c r="K29" s="86">
        <f>IF(K13=0,0,K13/TrAvia_act!K21*1000)</f>
        <v>14136.000099310184</v>
      </c>
      <c r="L29" s="86">
        <f>IF(L13=0,0,L13/TrAvia_act!L21*1000)</f>
        <v>14592.094567929122</v>
      </c>
      <c r="M29" s="86">
        <f>IF(M13=0,0,M13/TrAvia_act!M21*1000)</f>
        <v>14643.980232105001</v>
      </c>
      <c r="N29" s="86">
        <f>IF(N13=0,0,N13/TrAvia_act!N21*1000)</f>
        <v>14505.929228328469</v>
      </c>
      <c r="O29" s="86">
        <f>IF(O13=0,0,O13/TrAvia_act!O21*1000)</f>
        <v>13420.933601960247</v>
      </c>
      <c r="P29" s="86">
        <f>IF(P13=0,0,P13/TrAvia_act!P21*1000)</f>
        <v>9203.2915848829471</v>
      </c>
      <c r="Q29" s="86">
        <f>IF(Q13=0,0,Q13/TrAvia_act!Q21*1000)</f>
        <v>7958.161949079371</v>
      </c>
      <c r="R29" s="86">
        <f>IF(R13=0,0,R13/TrAvia_act!R21*1000)</f>
        <v>7020.6475681674001</v>
      </c>
      <c r="S29" s="86">
        <f>IF(S13=0,0,S13/TrAvia_act!S21*1000)</f>
        <v>5909.2503887938883</v>
      </c>
      <c r="T29" s="86">
        <f>IF(T13=0,0,T13/TrAvia_act!T21*1000)</f>
        <v>5763.8691309833011</v>
      </c>
      <c r="U29" s="86">
        <f>IF(U13=0,0,U13/TrAvia_act!U21*1000)</f>
        <v>6284.2408618469854</v>
      </c>
      <c r="V29" s="86">
        <f>IF(V13=0,0,V13/TrAvia_act!V21*1000)</f>
        <v>8441.6491750976875</v>
      </c>
      <c r="W29" s="86">
        <f>IF(W13=0,0,W13/TrAvia_act!W21*1000)</f>
        <v>8419.5277672992015</v>
      </c>
      <c r="X29" s="86">
        <f>IF(X13=0,0,X13/TrAvia_act!X21*1000)</f>
        <v>13109.818716792413</v>
      </c>
      <c r="Y29" s="86">
        <f>IF(Y13=0,0,Y13/TrAvia_act!Y21*1000)</f>
        <v>11709.833959947402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150.88157766578183</v>
      </c>
      <c r="C32" s="14">
        <f>IF(C6=0,0,C6/TrAvia_act!C4*1000)</f>
        <v>154.89616791625573</v>
      </c>
      <c r="D32" s="14">
        <f>IF(D6=0,0,D6/TrAvia_act!D4*1000)</f>
        <v>131.02845236225386</v>
      </c>
      <c r="E32" s="14">
        <f>IF(E6=0,0,E6/TrAvia_act!E4*1000)</f>
        <v>136.17858911900129</v>
      </c>
      <c r="F32" s="14">
        <f>IF(F6=0,0,F6/TrAvia_act!F4*1000)</f>
        <v>150.77124591287071</v>
      </c>
      <c r="G32" s="14">
        <f>IF(G6=0,0,G6/TrAvia_act!G4*1000)</f>
        <v>137.84305816349425</v>
      </c>
      <c r="H32" s="14">
        <f>IF(H6=0,0,H6/TrAvia_act!H4*1000)</f>
        <v>122.74168903551299</v>
      </c>
      <c r="I32" s="14">
        <f>IF(I6=0,0,I6/TrAvia_act!I4*1000)</f>
        <v>113.90996384800732</v>
      </c>
      <c r="J32" s="14">
        <f>IF(J6=0,0,J6/TrAvia_act!J4*1000)</f>
        <v>124.2017500950159</v>
      </c>
      <c r="K32" s="14">
        <f>IF(K6=0,0,K6/TrAvia_act!K4*1000)</f>
        <v>124.45742715201395</v>
      </c>
      <c r="L32" s="14">
        <f>IF(L6=0,0,L6/TrAvia_act!L4*1000)</f>
        <v>112.60475698631657</v>
      </c>
      <c r="M32" s="14">
        <f>IF(M6=0,0,M6/TrAvia_act!M4*1000)</f>
        <v>112.28491916955038</v>
      </c>
      <c r="N32" s="14">
        <f>IF(N6=0,0,N6/TrAvia_act!N4*1000)</f>
        <v>105.40789346494984</v>
      </c>
      <c r="O32" s="14">
        <f>IF(O6=0,0,O6/TrAvia_act!O4*1000)</f>
        <v>110.07313161237687</v>
      </c>
      <c r="P32" s="14">
        <f>IF(P6=0,0,P6/TrAvia_act!P4*1000)</f>
        <v>95.896222486593842</v>
      </c>
      <c r="Q32" s="14">
        <f>IF(Q6=0,0,Q6/TrAvia_act!Q4*1000)</f>
        <v>95.215916596129588</v>
      </c>
      <c r="R32" s="14">
        <f>IF(R6=0,0,R6/TrAvia_act!R4*1000)</f>
        <v>98.997144335966112</v>
      </c>
      <c r="S32" s="14">
        <f>IF(S6=0,0,S6/TrAvia_act!S4*1000)</f>
        <v>94.198933433786266</v>
      </c>
      <c r="T32" s="14">
        <f>IF(T6=0,0,T6/TrAvia_act!T4*1000)</f>
        <v>96.071240882252198</v>
      </c>
      <c r="U32" s="14">
        <f>IF(U6=0,0,U6/TrAvia_act!U4*1000)</f>
        <v>95.218311868593716</v>
      </c>
      <c r="V32" s="14">
        <f>IF(V6=0,0,V6/TrAvia_act!V4*1000)</f>
        <v>145.27766619986764</v>
      </c>
      <c r="W32" s="14">
        <f>IF(W6=0,0,W6/TrAvia_act!W4*1000)</f>
        <v>134.66934836314417</v>
      </c>
      <c r="X32" s="14">
        <f>IF(X6=0,0,X6/TrAvia_act!X4*1000)</f>
        <v>97.180210065489973</v>
      </c>
      <c r="Y32" s="14">
        <f>IF(Y6=0,0,Y6/TrAvia_act!Y4*1000)</f>
        <v>76.801552459037893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192.43571790201133</v>
      </c>
      <c r="C33" s="87">
        <f>IF(C7=0,0,C7/TrAvia_act!C5*1000)</f>
        <v>194.80152330953734</v>
      </c>
      <c r="D33" s="87">
        <f>IF(D7=0,0,D7/TrAvia_act!D5*1000)</f>
        <v>173.45943382131841</v>
      </c>
      <c r="E33" s="87">
        <f>IF(E7=0,0,E7/TrAvia_act!E5*1000)</f>
        <v>183.25626928090915</v>
      </c>
      <c r="F33" s="87">
        <f>IF(F7=0,0,F7/TrAvia_act!F5*1000)</f>
        <v>203.48036560359355</v>
      </c>
      <c r="G33" s="87">
        <f>IF(G7=0,0,G7/TrAvia_act!G5*1000)</f>
        <v>200.06779007624397</v>
      </c>
      <c r="H33" s="87">
        <f>IF(H7=0,0,H7/TrAvia_act!H5*1000)</f>
        <v>190.05931670583951</v>
      </c>
      <c r="I33" s="87">
        <f>IF(I7=0,0,I7/TrAvia_act!I5*1000)</f>
        <v>188.16246630114438</v>
      </c>
      <c r="J33" s="87">
        <f>IF(J7=0,0,J7/TrAvia_act!J5*1000)</f>
        <v>176.89782187805571</v>
      </c>
      <c r="K33" s="87">
        <f>IF(K7=0,0,K7/TrAvia_act!K5*1000)</f>
        <v>172.97963960291796</v>
      </c>
      <c r="L33" s="87">
        <f>IF(L7=0,0,L7/TrAvia_act!L5*1000)</f>
        <v>159.32168077895659</v>
      </c>
      <c r="M33" s="87">
        <f>IF(M7=0,0,M7/TrAvia_act!M5*1000)</f>
        <v>158.42040252547571</v>
      </c>
      <c r="N33" s="87">
        <f>IF(N7=0,0,N7/TrAvia_act!N5*1000)</f>
        <v>147.94605787819987</v>
      </c>
      <c r="O33" s="87">
        <f>IF(O7=0,0,O7/TrAvia_act!O5*1000)</f>
        <v>148.61031397063039</v>
      </c>
      <c r="P33" s="87">
        <f>IF(P7=0,0,P7/TrAvia_act!P5*1000)</f>
        <v>141.7330820976828</v>
      </c>
      <c r="Q33" s="87">
        <f>IF(Q7=0,0,Q7/TrAvia_act!Q5*1000)</f>
        <v>139.9383029219845</v>
      </c>
      <c r="R33" s="87">
        <f>IF(R7=0,0,R7/TrAvia_act!R5*1000)</f>
        <v>142.00851715063033</v>
      </c>
      <c r="S33" s="87">
        <f>IF(S7=0,0,S7/TrAvia_act!S5*1000)</f>
        <v>136.77949519038322</v>
      </c>
      <c r="T33" s="87">
        <f>IF(T7=0,0,T7/TrAvia_act!T5*1000)</f>
        <v>133.61692933022806</v>
      </c>
      <c r="U33" s="87">
        <f>IF(U7=0,0,U7/TrAvia_act!U5*1000)</f>
        <v>133.51700596199854</v>
      </c>
      <c r="V33" s="87">
        <f>IF(V7=0,0,V7/TrAvia_act!V5*1000)</f>
        <v>168.45193965985251</v>
      </c>
      <c r="W33" s="87">
        <f>IF(W7=0,0,W7/TrAvia_act!W5*1000)</f>
        <v>175.50865522742657</v>
      </c>
      <c r="X33" s="87">
        <f>IF(X7=0,0,X7/TrAvia_act!X5*1000)</f>
        <v>137.25781649249595</v>
      </c>
      <c r="Y33" s="87">
        <f>IF(Y7=0,0,Y7/TrAvia_act!Y5*1000)</f>
        <v>118.13662222489384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148.34800082874426</v>
      </c>
      <c r="C34" s="87">
        <f>IF(C8=0,0,C8/TrAvia_act!C6*1000)</f>
        <v>153.30618904929199</v>
      </c>
      <c r="D34" s="87">
        <f>IF(D8=0,0,D8/TrAvia_act!D6*1000)</f>
        <v>123.86063636745394</v>
      </c>
      <c r="E34" s="87">
        <f>IF(E8=0,0,E8/TrAvia_act!E6*1000)</f>
        <v>130.69926481538158</v>
      </c>
      <c r="F34" s="87">
        <f>IF(F8=0,0,F8/TrAvia_act!F6*1000)</f>
        <v>149.30273502807452</v>
      </c>
      <c r="G34" s="87">
        <f>IF(G8=0,0,G8/TrAvia_act!G6*1000)</f>
        <v>144.3950483407657</v>
      </c>
      <c r="H34" s="87">
        <f>IF(H8=0,0,H8/TrAvia_act!H6*1000)</f>
        <v>122.93593179446086</v>
      </c>
      <c r="I34" s="87">
        <f>IF(I8=0,0,I8/TrAvia_act!I6*1000)</f>
        <v>119.22629375393366</v>
      </c>
      <c r="J34" s="87">
        <f>IF(J8=0,0,J8/TrAvia_act!J6*1000)</f>
        <v>143.89239698963547</v>
      </c>
      <c r="K34" s="87">
        <f>IF(K8=0,0,K8/TrAvia_act!K6*1000)</f>
        <v>144.47081615368356</v>
      </c>
      <c r="L34" s="87">
        <f>IF(L8=0,0,L8/TrAvia_act!L6*1000)</f>
        <v>130.24967823795325</v>
      </c>
      <c r="M34" s="87">
        <f>IF(M8=0,0,M8/TrAvia_act!M6*1000)</f>
        <v>125.41916329788533</v>
      </c>
      <c r="N34" s="87">
        <f>IF(N8=0,0,N8/TrAvia_act!N6*1000)</f>
        <v>115.39839767439452</v>
      </c>
      <c r="O34" s="87">
        <f>IF(O8=0,0,O8/TrAvia_act!O6*1000)</f>
        <v>120.44998928908258</v>
      </c>
      <c r="P34" s="87">
        <f>IF(P8=0,0,P8/TrAvia_act!P6*1000)</f>
        <v>105.4534351249377</v>
      </c>
      <c r="Q34" s="87">
        <f>IF(Q8=0,0,Q8/TrAvia_act!Q6*1000)</f>
        <v>105.60613806711937</v>
      </c>
      <c r="R34" s="87">
        <f>IF(R8=0,0,R8/TrAvia_act!R6*1000)</f>
        <v>109.20577443224715</v>
      </c>
      <c r="S34" s="87">
        <f>IF(S8=0,0,S8/TrAvia_act!S6*1000)</f>
        <v>104.30630959104246</v>
      </c>
      <c r="T34" s="87">
        <f>IF(T8=0,0,T8/TrAvia_act!T6*1000)</f>
        <v>110.76468646985475</v>
      </c>
      <c r="U34" s="87">
        <f>IF(U8=0,0,U8/TrAvia_act!U6*1000)</f>
        <v>108.46259918560177</v>
      </c>
      <c r="V34" s="87">
        <f>IF(V8=0,0,V8/TrAvia_act!V6*1000)</f>
        <v>163.91195391484223</v>
      </c>
      <c r="W34" s="87">
        <f>IF(W8=0,0,W8/TrAvia_act!W6*1000)</f>
        <v>132.84621746149264</v>
      </c>
      <c r="X34" s="87">
        <f>IF(X8=0,0,X8/TrAvia_act!X6*1000)</f>
        <v>103.98206834404613</v>
      </c>
      <c r="Y34" s="87">
        <f>IF(Y8=0,0,Y8/TrAvia_act!Y6*1000)</f>
        <v>80.110231468433696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119.38404158756576</v>
      </c>
      <c r="C35" s="87">
        <f>IF(C9=0,0,C9/TrAvia_act!C7*1000)</f>
        <v>119.81615571432795</v>
      </c>
      <c r="D35" s="87">
        <f>IF(D9=0,0,D9/TrAvia_act!D7*1000)</f>
        <v>105.82194492664622</v>
      </c>
      <c r="E35" s="87">
        <f>IF(E9=0,0,E9/TrAvia_act!E7*1000)</f>
        <v>103.75622907865898</v>
      </c>
      <c r="F35" s="87">
        <f>IF(F9=0,0,F9/TrAvia_act!F7*1000)</f>
        <v>111.2815196372392</v>
      </c>
      <c r="G35" s="87">
        <f>IF(G9=0,0,G9/TrAvia_act!G7*1000)</f>
        <v>85.482732424621076</v>
      </c>
      <c r="H35" s="87">
        <f>IF(H9=0,0,H9/TrAvia_act!H7*1000)</f>
        <v>81.699008857519317</v>
      </c>
      <c r="I35" s="87">
        <f>IF(I9=0,0,I9/TrAvia_act!I7*1000)</f>
        <v>66.966347179599438</v>
      </c>
      <c r="J35" s="87">
        <f>IF(J9=0,0,J9/TrAvia_act!J7*1000)</f>
        <v>70.805825514613062</v>
      </c>
      <c r="K35" s="87">
        <f>IF(K9=0,0,K9/TrAvia_act!K7*1000)</f>
        <v>74.020286627948479</v>
      </c>
      <c r="L35" s="87">
        <f>IF(L9=0,0,L9/TrAvia_act!L7*1000)</f>
        <v>66.937551065022689</v>
      </c>
      <c r="M35" s="87">
        <f>IF(M9=0,0,M9/TrAvia_act!M7*1000)</f>
        <v>69.741340961636098</v>
      </c>
      <c r="N35" s="87">
        <f>IF(N9=0,0,N9/TrAvia_act!N7*1000)</f>
        <v>68.402864089063797</v>
      </c>
      <c r="O35" s="87">
        <f>IF(O9=0,0,O9/TrAvia_act!O7*1000)</f>
        <v>74.252714606438587</v>
      </c>
      <c r="P35" s="87">
        <f>IF(P9=0,0,P9/TrAvia_act!P7*1000)</f>
        <v>60.540461424035747</v>
      </c>
      <c r="Q35" s="87">
        <f>IF(Q9=0,0,Q9/TrAvia_act!Q7*1000)</f>
        <v>59.762502458475126</v>
      </c>
      <c r="R35" s="87">
        <f>IF(R9=0,0,R9/TrAvia_act!R7*1000)</f>
        <v>62.671741728859587</v>
      </c>
      <c r="S35" s="87">
        <f>IF(S9=0,0,S9/TrAvia_act!S7*1000)</f>
        <v>58.865790940453358</v>
      </c>
      <c r="T35" s="87">
        <f>IF(T9=0,0,T9/TrAvia_act!T7*1000)</f>
        <v>58.34202415381214</v>
      </c>
      <c r="U35" s="87">
        <f>IF(U9=0,0,U9/TrAvia_act!U7*1000)</f>
        <v>60.427873582542013</v>
      </c>
      <c r="V35" s="87">
        <f>IF(V9=0,0,V9/TrAvia_act!V7*1000)</f>
        <v>108.26283759049166</v>
      </c>
      <c r="W35" s="87">
        <f>IF(W9=0,0,W9/TrAvia_act!W7*1000)</f>
        <v>118.70457889887923</v>
      </c>
      <c r="X35" s="87">
        <f>IF(X9=0,0,X9/TrAvia_act!X7*1000)</f>
        <v>67.978071647951467</v>
      </c>
      <c r="Y35" s="87">
        <f>IF(Y9=0,0,Y9/TrAvia_act!Y7*1000)</f>
        <v>55.72237310560395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341.41903581355899</v>
      </c>
      <c r="C36" s="15">
        <f>IF(C10=0,0,C10/TrAvia_act!C8*1000)</f>
        <v>312.00491665539084</v>
      </c>
      <c r="D36" s="15">
        <f>IF(D10=0,0,D10/TrAvia_act!D8*1000)</f>
        <v>274.08967726573161</v>
      </c>
      <c r="E36" s="15">
        <f>IF(E10=0,0,E10/TrAvia_act!E8*1000)</f>
        <v>286.33598088688211</v>
      </c>
      <c r="F36" s="15">
        <f>IF(F10=0,0,F10/TrAvia_act!F8*1000)</f>
        <v>339.66884838235882</v>
      </c>
      <c r="G36" s="15">
        <f>IF(G10=0,0,G10/TrAvia_act!G8*1000)</f>
        <v>303.9199894320231</v>
      </c>
      <c r="H36" s="15">
        <f>IF(H10=0,0,H10/TrAvia_act!H8*1000)</f>
        <v>309.46556399589895</v>
      </c>
      <c r="I36" s="15">
        <f>IF(I10=0,0,I10/TrAvia_act!I8*1000)</f>
        <v>281.87447181201759</v>
      </c>
      <c r="J36" s="15">
        <f>IF(J10=0,0,J10/TrAvia_act!J8*1000)</f>
        <v>302.03332614267367</v>
      </c>
      <c r="K36" s="15">
        <f>IF(K10=0,0,K10/TrAvia_act!K8*1000)</f>
        <v>290.11205699049447</v>
      </c>
      <c r="L36" s="15">
        <f>IF(L10=0,0,L10/TrAvia_act!L8*1000)</f>
        <v>270.40443697742069</v>
      </c>
      <c r="M36" s="15">
        <f>IF(M10=0,0,M10/TrAvia_act!M8*1000)</f>
        <v>252.78910763734746</v>
      </c>
      <c r="N36" s="15">
        <f>IF(N10=0,0,N10/TrAvia_act!N8*1000)</f>
        <v>232.73135557348459</v>
      </c>
      <c r="O36" s="15">
        <f>IF(O10=0,0,O10/TrAvia_act!O8*1000)</f>
        <v>251.46874946526859</v>
      </c>
      <c r="P36" s="15">
        <f>IF(P10=0,0,P10/TrAvia_act!P8*1000)</f>
        <v>178.39948000834633</v>
      </c>
      <c r="Q36" s="15">
        <f>IF(Q10=0,0,Q10/TrAvia_act!Q8*1000)</f>
        <v>176.53179579030285</v>
      </c>
      <c r="R36" s="15">
        <f>IF(R10=0,0,R10/TrAvia_act!R8*1000)</f>
        <v>163.21695065738075</v>
      </c>
      <c r="S36" s="15">
        <f>IF(S10=0,0,S10/TrAvia_act!S8*1000)</f>
        <v>173.04977300267998</v>
      </c>
      <c r="T36" s="15">
        <f>IF(T10=0,0,T10/TrAvia_act!T8*1000)</f>
        <v>188.86831316362679</v>
      </c>
      <c r="U36" s="15">
        <f>IF(U10=0,0,U10/TrAvia_act!U8*1000)</f>
        <v>257.18900201156839</v>
      </c>
      <c r="V36" s="15">
        <f>IF(V10=0,0,V10/TrAvia_act!V8*1000)</f>
        <v>393.561259890683</v>
      </c>
      <c r="W36" s="15">
        <f>IF(W10=0,0,W10/TrAvia_act!W8*1000)</f>
        <v>363.53422657706034</v>
      </c>
      <c r="X36" s="15">
        <f>IF(X10=0,0,X10/TrAvia_act!X8*1000)</f>
        <v>261.48625500825892</v>
      </c>
      <c r="Y36" s="15">
        <f>IF(Y10=0,0,Y10/TrAvia_act!Y8*1000)</f>
        <v>210.29124663830251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1277.9209157328185</v>
      </c>
      <c r="C37" s="101">
        <f>IF(C11=0,0,C11/TrAvia_act!C9*1000)</f>
        <v>1332.7021032805883</v>
      </c>
      <c r="D37" s="101">
        <f>IF(D11=0,0,D11/TrAvia_act!D9*1000)</f>
        <v>1154.5518917320246</v>
      </c>
      <c r="E37" s="101">
        <f>IF(E11=0,0,E11/TrAvia_act!E9*1000)</f>
        <v>1121.8362679055433</v>
      </c>
      <c r="F37" s="101">
        <f>IF(F11=0,0,F11/TrAvia_act!F9*1000)</f>
        <v>1297.9028327548699</v>
      </c>
      <c r="G37" s="101">
        <f>IF(G11=0,0,G11/TrAvia_act!G9*1000)</f>
        <v>1417.7870107564072</v>
      </c>
      <c r="H37" s="101">
        <f>IF(H11=0,0,H11/TrAvia_act!H9*1000)</f>
        <v>1431.6533039161036</v>
      </c>
      <c r="I37" s="101">
        <f>IF(I11=0,0,I11/TrAvia_act!I9*1000)</f>
        <v>1454.0454957057493</v>
      </c>
      <c r="J37" s="101">
        <f>IF(J11=0,0,J11/TrAvia_act!J9*1000)</f>
        <v>1383.0343674825799</v>
      </c>
      <c r="K37" s="101">
        <f>IF(K11=0,0,K11/TrAvia_act!K9*1000)</f>
        <v>1260.4195883963828</v>
      </c>
      <c r="L37" s="101">
        <f>IF(L11=0,0,L11/TrAvia_act!L9*1000)</f>
        <v>1129.8450636106243</v>
      </c>
      <c r="M37" s="101">
        <f>IF(M11=0,0,M11/TrAvia_act!M9*1000)</f>
        <v>1074.426802131572</v>
      </c>
      <c r="N37" s="101">
        <f>IF(N11=0,0,N11/TrAvia_act!N9*1000)</f>
        <v>1039.7627495424667</v>
      </c>
      <c r="O37" s="101">
        <f>IF(O11=0,0,O11/TrAvia_act!O9*1000)</f>
        <v>1027.8473863485219</v>
      </c>
      <c r="P37" s="101">
        <f>IF(P11=0,0,P11/TrAvia_act!P9*1000)</f>
        <v>901.80789339236685</v>
      </c>
      <c r="Q37" s="101">
        <f>IF(Q11=0,0,Q11/TrAvia_act!Q9*1000)</f>
        <v>897.3647170116277</v>
      </c>
      <c r="R37" s="101">
        <f>IF(R11=0,0,R11/TrAvia_act!R9*1000)</f>
        <v>806.18597778607557</v>
      </c>
      <c r="S37" s="101">
        <f>IF(S11=0,0,S11/TrAvia_act!S9*1000)</f>
        <v>864.04199448772476</v>
      </c>
      <c r="T37" s="101">
        <f>IF(T11=0,0,T11/TrAvia_act!T9*1000)</f>
        <v>827.71649472054344</v>
      </c>
      <c r="U37" s="101">
        <f>IF(U11=0,0,U11/TrAvia_act!U9*1000)</f>
        <v>769.6727371821072</v>
      </c>
      <c r="V37" s="101">
        <f>IF(V11=0,0,V11/TrAvia_act!V9*1000)</f>
        <v>768.36442184356736</v>
      </c>
      <c r="W37" s="101">
        <f>IF(W11=0,0,W11/TrAvia_act!W9*1000)</f>
        <v>845.32174933177464</v>
      </c>
      <c r="X37" s="101">
        <f>IF(X11=0,0,X11/TrAvia_act!X9*1000)</f>
        <v>880.46688051542083</v>
      </c>
      <c r="Y37" s="101">
        <f>IF(Y11=0,0,Y11/TrAvia_act!Y9*1000)</f>
        <v>708.6407888986796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593.95620318243914</v>
      </c>
      <c r="C38" s="101">
        <f>IF(C12=0,0,C12/TrAvia_act!C10*1000)</f>
        <v>604.89578947212522</v>
      </c>
      <c r="D38" s="101">
        <f>IF(D12=0,0,D12/TrAvia_act!D10*1000)</f>
        <v>533.64491196555048</v>
      </c>
      <c r="E38" s="101">
        <f>IF(E12=0,0,E12/TrAvia_act!E10*1000)</f>
        <v>521.7547887263637</v>
      </c>
      <c r="F38" s="101">
        <f>IF(F12=0,0,F12/TrAvia_act!F10*1000)</f>
        <v>606.4960165257645</v>
      </c>
      <c r="G38" s="101">
        <f>IF(G12=0,0,G12/TrAvia_act!G10*1000)</f>
        <v>671.25058028382534</v>
      </c>
      <c r="H38" s="101">
        <f>IF(H12=0,0,H12/TrAvia_act!H10*1000)</f>
        <v>689.48034045474469</v>
      </c>
      <c r="I38" s="101">
        <f>IF(I12=0,0,I12/TrAvia_act!I10*1000)</f>
        <v>674.14914424162123</v>
      </c>
      <c r="J38" s="101">
        <f>IF(J12=0,0,J12/TrAvia_act!J10*1000)</f>
        <v>782.19818001021952</v>
      </c>
      <c r="K38" s="101">
        <f>IF(K12=0,0,K12/TrAvia_act!K10*1000)</f>
        <v>779.90078643166953</v>
      </c>
      <c r="L38" s="101">
        <f>IF(L12=0,0,L12/TrAvia_act!L10*1000)</f>
        <v>686.23557793081648</v>
      </c>
      <c r="M38" s="101">
        <f>IF(M12=0,0,M12/TrAvia_act!M10*1000)</f>
        <v>640.74011960984592</v>
      </c>
      <c r="N38" s="101">
        <f>IF(N12=0,0,N12/TrAvia_act!N10*1000)</f>
        <v>571.99859877130416</v>
      </c>
      <c r="O38" s="101">
        <f>IF(O12=0,0,O12/TrAvia_act!O10*1000)</f>
        <v>603.32446728646551</v>
      </c>
      <c r="P38" s="101">
        <f>IF(P12=0,0,P12/TrAvia_act!P10*1000)</f>
        <v>471.61405255258097</v>
      </c>
      <c r="Q38" s="101">
        <f>IF(Q12=0,0,Q12/TrAvia_act!Q10*1000)</f>
        <v>495.18984392877388</v>
      </c>
      <c r="R38" s="101">
        <f>IF(R12=0,0,R12/TrAvia_act!R10*1000)</f>
        <v>481.80239928490533</v>
      </c>
      <c r="S38" s="101">
        <f>IF(S12=0,0,S12/TrAvia_act!S10*1000)</f>
        <v>497.51203460004865</v>
      </c>
      <c r="T38" s="101">
        <f>IF(T12=0,0,T12/TrAvia_act!T10*1000)</f>
        <v>522.62038609558249</v>
      </c>
      <c r="U38" s="101">
        <f>IF(U12=0,0,U12/TrAvia_act!U10*1000)</f>
        <v>471.21603375407585</v>
      </c>
      <c r="V38" s="101">
        <f>IF(V12=0,0,V12/TrAvia_act!V10*1000)</f>
        <v>648.88468639823679</v>
      </c>
      <c r="W38" s="101">
        <f>IF(W12=0,0,W12/TrAvia_act!W10*1000)</f>
        <v>610.61727602955455</v>
      </c>
      <c r="X38" s="101">
        <f>IF(X12=0,0,X12/TrAvia_act!X10*1000)</f>
        <v>624.45774669913703</v>
      </c>
      <c r="Y38" s="101">
        <f>IF(Y12=0,0,Y12/TrAvia_act!Y10*1000)</f>
        <v>503.48847905512918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239.45402608056742</v>
      </c>
      <c r="C39" s="88">
        <f>IF(C13=0,0,C13/TrAvia_act!C11*1000)</f>
        <v>240.49391019934714</v>
      </c>
      <c r="D39" s="88">
        <f>IF(D13=0,0,D13/TrAvia_act!D11*1000)</f>
        <v>212.28088566872447</v>
      </c>
      <c r="E39" s="88">
        <f>IF(E13=0,0,E13/TrAvia_act!E11*1000)</f>
        <v>233.13634207569746</v>
      </c>
      <c r="F39" s="88">
        <f>IF(F13=0,0,F13/TrAvia_act!F11*1000)</f>
        <v>269.42445252428621</v>
      </c>
      <c r="G39" s="88">
        <f>IF(G13=0,0,G13/TrAvia_act!G11*1000)</f>
        <v>230.12821304652454</v>
      </c>
      <c r="H39" s="88">
        <f>IF(H13=0,0,H13/TrAvia_act!H11*1000)</f>
        <v>228.86853189614297</v>
      </c>
      <c r="I39" s="88">
        <f>IF(I13=0,0,I13/TrAvia_act!I11*1000)</f>
        <v>192.65173236519703</v>
      </c>
      <c r="J39" s="88">
        <f>IF(J13=0,0,J13/TrAvia_act!J11*1000)</f>
        <v>204.49304648118238</v>
      </c>
      <c r="K39" s="88">
        <f>IF(K13=0,0,K13/TrAvia_act!K11*1000)</f>
        <v>194.19080105569307</v>
      </c>
      <c r="L39" s="88">
        <f>IF(L13=0,0,L13/TrAvia_act!L11*1000)</f>
        <v>197.18582753516802</v>
      </c>
      <c r="M39" s="88">
        <f>IF(M13=0,0,M13/TrAvia_act!M11*1000)</f>
        <v>192.03987398186172</v>
      </c>
      <c r="N39" s="88">
        <f>IF(N13=0,0,N13/TrAvia_act!N11*1000)</f>
        <v>173.54708031004787</v>
      </c>
      <c r="O39" s="88">
        <f>IF(O13=0,0,O13/TrAvia_act!O11*1000)</f>
        <v>166.70135353888742</v>
      </c>
      <c r="P39" s="88">
        <f>IF(P13=0,0,P13/TrAvia_act!P11*1000)</f>
        <v>100.0768730490348</v>
      </c>
      <c r="Q39" s="88">
        <f>IF(Q13=0,0,Q13/TrAvia_act!Q11*1000)</f>
        <v>87.090670378474698</v>
      </c>
      <c r="R39" s="88">
        <f>IF(R13=0,0,R13/TrAvia_act!R11*1000)</f>
        <v>70.596998167089041</v>
      </c>
      <c r="S39" s="88">
        <f>IF(S13=0,0,S13/TrAvia_act!S11*1000)</f>
        <v>60.695848491093436</v>
      </c>
      <c r="T39" s="88">
        <f>IF(T13=0,0,T13/TrAvia_act!T11*1000)</f>
        <v>58.689767970711863</v>
      </c>
      <c r="U39" s="88">
        <f>IF(U13=0,0,U13/TrAvia_act!U11*1000)</f>
        <v>62.600932113434702</v>
      </c>
      <c r="V39" s="88">
        <f>IF(V13=0,0,V13/TrAvia_act!V11*1000)</f>
        <v>131.38916779213653</v>
      </c>
      <c r="W39" s="88">
        <f>IF(W13=0,0,W13/TrAvia_act!W11*1000)</f>
        <v>135.35919860262314</v>
      </c>
      <c r="X39" s="88">
        <f>IF(X13=0,0,X13/TrAvia_act!X11*1000)</f>
        <v>180.24734010755776</v>
      </c>
      <c r="Y39" s="88">
        <f>IF(Y13=0,0,Y13/TrAvia_act!Y11*1000)</f>
        <v>148.44578199102892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11752.780131316016</v>
      </c>
      <c r="C41" s="54">
        <f>IF(C3=0,0,C3/TrAvia_act!C23*1000000)</f>
        <v>12250.778164410225</v>
      </c>
      <c r="D41" s="54">
        <f>IF(D3=0,0,D3/TrAvia_act!D23*1000000)</f>
        <v>10277.041469999447</v>
      </c>
      <c r="E41" s="54">
        <f>IF(E3=0,0,E3/TrAvia_act!E23*1000000)</f>
        <v>10519.079127087001</v>
      </c>
      <c r="F41" s="54">
        <f>IF(F3=0,0,F3/TrAvia_act!F23*1000000)</f>
        <v>11938.139709171242</v>
      </c>
      <c r="G41" s="54">
        <f>IF(G3=0,0,G3/TrAvia_act!G23*1000000)</f>
        <v>12528.985972268807</v>
      </c>
      <c r="H41" s="54">
        <f>IF(H3=0,0,H3/TrAvia_act!H23*1000000)</f>
        <v>12569.341683050565</v>
      </c>
      <c r="I41" s="54">
        <f>IF(I3=0,0,I3/TrAvia_act!I23*1000000)</f>
        <v>12606.809328982701</v>
      </c>
      <c r="J41" s="54">
        <f>IF(J3=0,0,J3/TrAvia_act!J23*1000000)</f>
        <v>13890.041273913444</v>
      </c>
      <c r="K41" s="54">
        <f>IF(K3=0,0,K3/TrAvia_act!K23*1000000)</f>
        <v>13843.35379706859</v>
      </c>
      <c r="L41" s="54">
        <f>IF(L3=0,0,L3/TrAvia_act!L23*1000000)</f>
        <v>13159.526834813501</v>
      </c>
      <c r="M41" s="54">
        <f>IF(M3=0,0,M3/TrAvia_act!M23*1000000)</f>
        <v>12995.82160218313</v>
      </c>
      <c r="N41" s="54">
        <f>IF(N3=0,0,N3/TrAvia_act!N23*1000000)</f>
        <v>12851.574295212204</v>
      </c>
      <c r="O41" s="54">
        <f>IF(O3=0,0,O3/TrAvia_act!O23*1000000)</f>
        <v>14008.454856294469</v>
      </c>
      <c r="P41" s="54">
        <f>IF(P3=0,0,P3/TrAvia_act!P23*1000000)</f>
        <v>12761.927744792511</v>
      </c>
      <c r="Q41" s="54">
        <f>IF(Q3=0,0,Q3/TrAvia_act!Q23*1000000)</f>
        <v>12971.19063826264</v>
      </c>
      <c r="R41" s="54">
        <f>IF(R3=0,0,R3/TrAvia_act!R23*1000000)</f>
        <v>13938.228579525581</v>
      </c>
      <c r="S41" s="54">
        <f>IF(S3=0,0,S3/TrAvia_act!S23*1000000)</f>
        <v>14060.063833553293</v>
      </c>
      <c r="T41" s="54">
        <f>IF(T3=0,0,T3/TrAvia_act!T23*1000000)</f>
        <v>14535.159643425493</v>
      </c>
      <c r="U41" s="54">
        <f>IF(U3=0,0,U3/TrAvia_act!U23*1000000)</f>
        <v>14447.896928721653</v>
      </c>
      <c r="V41" s="54">
        <f>IF(V3=0,0,V3/TrAvia_act!V23*1000000)</f>
        <v>15870.581368667185</v>
      </c>
      <c r="W41" s="54">
        <f>IF(W3=0,0,W3/TrAvia_act!W23*1000000)</f>
        <v>15505.310531465848</v>
      </c>
      <c r="X41" s="54">
        <f>IF(X3=0,0,X3/TrAvia_act!X23*1000000)</f>
        <v>16378.651553666255</v>
      </c>
      <c r="Y41" s="54">
        <f>IF(Y3=0,0,Y3/TrAvia_act!Y23*1000000)</f>
        <v>13024.194069534084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11693.692693081177</v>
      </c>
      <c r="C42" s="11">
        <f>IF(C6=0,0,C6/TrAvia_act!C24*1000000)</f>
        <v>12154.853335906771</v>
      </c>
      <c r="D42" s="11">
        <f>IF(D6=0,0,D6/TrAvia_act!D24*1000000)</f>
        <v>10157.872503220009</v>
      </c>
      <c r="E42" s="11">
        <f>IF(E6=0,0,E6/TrAvia_act!E24*1000000)</f>
        <v>10346.926486471159</v>
      </c>
      <c r="F42" s="11">
        <f>IF(F6=0,0,F6/TrAvia_act!F24*1000000)</f>
        <v>11754.582725368724</v>
      </c>
      <c r="G42" s="11">
        <f>IF(G6=0,0,G6/TrAvia_act!G24*1000000)</f>
        <v>12313.919698623011</v>
      </c>
      <c r="H42" s="11">
        <f>IF(H6=0,0,H6/TrAvia_act!H24*1000000)</f>
        <v>12358.274489787203</v>
      </c>
      <c r="I42" s="11">
        <f>IF(I6=0,0,I6/TrAvia_act!I24*1000000)</f>
        <v>12431.303446595392</v>
      </c>
      <c r="J42" s="11">
        <f>IF(J6=0,0,J6/TrAvia_act!J24*1000000)</f>
        <v>13706.409571595234</v>
      </c>
      <c r="K42" s="11">
        <f>IF(K6=0,0,K6/TrAvia_act!K24*1000000)</f>
        <v>13688.632284125248</v>
      </c>
      <c r="L42" s="11">
        <f>IF(L6=0,0,L6/TrAvia_act!L24*1000000)</f>
        <v>12945.727985181889</v>
      </c>
      <c r="M42" s="11">
        <f>IF(M6=0,0,M6/TrAvia_act!M24*1000000)</f>
        <v>12816.013419474895</v>
      </c>
      <c r="N42" s="11">
        <f>IF(N6=0,0,N6/TrAvia_act!N24*1000000)</f>
        <v>12718.811489028114</v>
      </c>
      <c r="O42" s="11">
        <f>IF(O6=0,0,O6/TrAvia_act!O24*1000000)</f>
        <v>13954.51813886218</v>
      </c>
      <c r="P42" s="11">
        <f>IF(P6=0,0,P6/TrAvia_act!P24*1000000)</f>
        <v>12754.458254692194</v>
      </c>
      <c r="Q42" s="11">
        <f>IF(Q6=0,0,Q6/TrAvia_act!Q24*1000000)</f>
        <v>12986.657502556594</v>
      </c>
      <c r="R42" s="11">
        <f>IF(R6=0,0,R6/TrAvia_act!R24*1000000)</f>
        <v>13968.469563612865</v>
      </c>
      <c r="S42" s="11">
        <f>IF(S6=0,0,S6/TrAvia_act!S24*1000000)</f>
        <v>14113.132814559554</v>
      </c>
      <c r="T42" s="11">
        <f>IF(T6=0,0,T6/TrAvia_act!T24*1000000)</f>
        <v>14600.230900351451</v>
      </c>
      <c r="U42" s="11">
        <f>IF(U6=0,0,U6/TrAvia_act!U24*1000000)</f>
        <v>14515.033490848808</v>
      </c>
      <c r="V42" s="11">
        <f>IF(V6=0,0,V6/TrAvia_act!V24*1000000)</f>
        <v>16002.883920954218</v>
      </c>
      <c r="W42" s="11">
        <f>IF(W6=0,0,W6/TrAvia_act!W24*1000000)</f>
        <v>15675.21515164089</v>
      </c>
      <c r="X42" s="11">
        <f>IF(X6=0,0,X6/TrAvia_act!X24*1000000)</f>
        <v>16271.287507342182</v>
      </c>
      <c r="Y42" s="11">
        <f>IF(Y6=0,0,Y6/TrAvia_act!Y24*1000000)</f>
        <v>12940.387205461282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5489.9467960674647</v>
      </c>
      <c r="C43" s="84">
        <f>IF(C7=0,0,C7/TrAvia_act!C25*1000000)</f>
        <v>5681.6242103631821</v>
      </c>
      <c r="D43" s="84">
        <f>IF(D7=0,0,D7/TrAvia_act!D25*1000000)</f>
        <v>5061.5618612188382</v>
      </c>
      <c r="E43" s="84">
        <f>IF(E7=0,0,E7/TrAvia_act!E25*1000000)</f>
        <v>5231.3873228199564</v>
      </c>
      <c r="F43" s="84">
        <f>IF(F7=0,0,F7/TrAvia_act!F25*1000000)</f>
        <v>5699.2877525072172</v>
      </c>
      <c r="G43" s="84">
        <f>IF(G7=0,0,G7/TrAvia_act!G25*1000000)</f>
        <v>6115.606265619851</v>
      </c>
      <c r="H43" s="84">
        <f>IF(H7=0,0,H7/TrAvia_act!H25*1000000)</f>
        <v>6022.3963327756392</v>
      </c>
      <c r="I43" s="84">
        <f>IF(I7=0,0,I7/TrAvia_act!I25*1000000)</f>
        <v>6191.4513578052502</v>
      </c>
      <c r="J43" s="84">
        <f>IF(J7=0,0,J7/TrAvia_act!J25*1000000)</f>
        <v>5831.5474633805725</v>
      </c>
      <c r="K43" s="84">
        <f>IF(K7=0,0,K7/TrAvia_act!K25*1000000)</f>
        <v>5444.7434887181944</v>
      </c>
      <c r="L43" s="84">
        <f>IF(L7=0,0,L7/TrAvia_act!L25*1000000)</f>
        <v>5226.9391843123149</v>
      </c>
      <c r="M43" s="84">
        <f>IF(M7=0,0,M7/TrAvia_act!M25*1000000)</f>
        <v>5243.553077103069</v>
      </c>
      <c r="N43" s="84">
        <f>IF(N7=0,0,N7/TrAvia_act!N25*1000000)</f>
        <v>5345.362453758531</v>
      </c>
      <c r="O43" s="84">
        <f>IF(O7=0,0,O7/TrAvia_act!O25*1000000)</f>
        <v>5365.0232416898007</v>
      </c>
      <c r="P43" s="84">
        <f>IF(P7=0,0,P7/TrAvia_act!P25*1000000)</f>
        <v>5257.1692832134922</v>
      </c>
      <c r="Q43" s="84">
        <f>IF(Q7=0,0,Q7/TrAvia_act!Q25*1000000)</f>
        <v>5290.9270707986261</v>
      </c>
      <c r="R43" s="84">
        <f>IF(R7=0,0,R7/TrAvia_act!R25*1000000)</f>
        <v>5572.8226587657446</v>
      </c>
      <c r="S43" s="84">
        <f>IF(S7=0,0,S7/TrAvia_act!S25*1000000)</f>
        <v>5450.7089224172787</v>
      </c>
      <c r="T43" s="84">
        <f>IF(T7=0,0,T7/TrAvia_act!T25*1000000)</f>
        <v>5275.8388948901083</v>
      </c>
      <c r="U43" s="84">
        <f>IF(U7=0,0,U7/TrAvia_act!U25*1000000)</f>
        <v>5194.9306483115661</v>
      </c>
      <c r="V43" s="84">
        <f>IF(V7=0,0,V7/TrAvia_act!V25*1000000)</f>
        <v>5249.2908050963269</v>
      </c>
      <c r="W43" s="84">
        <f>IF(W7=0,0,W7/TrAvia_act!W25*1000000)</f>
        <v>5677.2816284177979</v>
      </c>
      <c r="X43" s="84">
        <f>IF(X7=0,0,X7/TrAvia_act!X25*1000000)</f>
        <v>5987.201451256853</v>
      </c>
      <c r="Y43" s="84">
        <f>IF(Y7=0,0,Y7/TrAvia_act!Y25*1000000)</f>
        <v>4798.9550960314937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15578.248963288781</v>
      </c>
      <c r="C44" s="84">
        <f>IF(C8=0,0,C8/TrAvia_act!C26*1000000)</f>
        <v>16590.511644755035</v>
      </c>
      <c r="D44" s="84">
        <f>IF(D8=0,0,D8/TrAvia_act!D26*1000000)</f>
        <v>13922.475757287766</v>
      </c>
      <c r="E44" s="84">
        <f>IF(E8=0,0,E8/TrAvia_act!E26*1000000)</f>
        <v>13846.012791532021</v>
      </c>
      <c r="F44" s="84">
        <f>IF(F8=0,0,F8/TrAvia_act!F26*1000000)</f>
        <v>15408.824756283664</v>
      </c>
      <c r="G44" s="84">
        <f>IF(G8=0,0,G8/TrAvia_act!G26*1000000)</f>
        <v>16166.089954400595</v>
      </c>
      <c r="H44" s="84">
        <f>IF(H8=0,0,H8/TrAvia_act!H26*1000000)</f>
        <v>15629.333029924666</v>
      </c>
      <c r="I44" s="84">
        <f>IF(I8=0,0,I8/TrAvia_act!I26*1000000)</f>
        <v>15413.599304573632</v>
      </c>
      <c r="J44" s="84">
        <f>IF(J8=0,0,J8/TrAvia_act!J26*1000000)</f>
        <v>17439.466846725554</v>
      </c>
      <c r="K44" s="84">
        <f>IF(K8=0,0,K8/TrAvia_act!K26*1000000)</f>
        <v>17988.850348922137</v>
      </c>
      <c r="L44" s="84">
        <f>IF(L8=0,0,L8/TrAvia_act!L26*1000000)</f>
        <v>16734.325454445541</v>
      </c>
      <c r="M44" s="84">
        <f>IF(M8=0,0,M8/TrAvia_act!M26*1000000)</f>
        <v>16657.376828062403</v>
      </c>
      <c r="N44" s="84">
        <f>IF(N8=0,0,N8/TrAvia_act!N26*1000000)</f>
        <v>16276.685365299551</v>
      </c>
      <c r="O44" s="84">
        <f>IF(O8=0,0,O8/TrAvia_act!O26*1000000)</f>
        <v>18284.751887858496</v>
      </c>
      <c r="P44" s="84">
        <f>IF(P8=0,0,P8/TrAvia_act!P26*1000000)</f>
        <v>16605.244479581132</v>
      </c>
      <c r="Q44" s="84">
        <f>IF(Q8=0,0,Q8/TrAvia_act!Q26*1000000)</f>
        <v>16684.261403875578</v>
      </c>
      <c r="R44" s="84">
        <f>IF(R8=0,0,R8/TrAvia_act!R26*1000000)</f>
        <v>17932.100550865689</v>
      </c>
      <c r="S44" s="84">
        <f>IF(S8=0,0,S8/TrAvia_act!S26*1000000)</f>
        <v>18204.193762366765</v>
      </c>
      <c r="T44" s="84">
        <f>IF(T8=0,0,T8/TrAvia_act!T26*1000000)</f>
        <v>18870.571546285788</v>
      </c>
      <c r="U44" s="84">
        <f>IF(U8=0,0,U8/TrAvia_act!U26*1000000)</f>
        <v>18253.154306549546</v>
      </c>
      <c r="V44" s="84">
        <f>IF(V8=0,0,V8/TrAvia_act!V26*1000000)</f>
        <v>20506.117124914712</v>
      </c>
      <c r="W44" s="84">
        <f>IF(W8=0,0,W8/TrAvia_act!W26*1000000)</f>
        <v>20479.442339331352</v>
      </c>
      <c r="X44" s="84">
        <f>IF(X8=0,0,X8/TrAvia_act!X26*1000000)</f>
        <v>19996.880937846025</v>
      </c>
      <c r="Y44" s="84">
        <f>IF(Y8=0,0,Y8/TrAvia_act!Y26*1000000)</f>
        <v>15367.201812278203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82061.8004650605</v>
      </c>
      <c r="C45" s="84">
        <f>IF(C9=0,0,C9/TrAvia_act!C27*1000000)</f>
        <v>86367.698711099234</v>
      </c>
      <c r="D45" s="84">
        <f>IF(D9=0,0,D9/TrAvia_act!D27*1000000)</f>
        <v>71980.090149008116</v>
      </c>
      <c r="E45" s="84">
        <f>IF(E9=0,0,E9/TrAvia_act!E27*1000000)</f>
        <v>71828.556641900243</v>
      </c>
      <c r="F45" s="84">
        <f>IF(F9=0,0,F9/TrAvia_act!F27*1000000)</f>
        <v>80566.495112427772</v>
      </c>
      <c r="G45" s="84">
        <f>IF(G9=0,0,G9/TrAvia_act!G27*1000000)</f>
        <v>67281.824182437907</v>
      </c>
      <c r="H45" s="84">
        <f>IF(H9=0,0,H9/TrAvia_act!H27*1000000)</f>
        <v>68762.028232893863</v>
      </c>
      <c r="I45" s="84">
        <f>IF(I9=0,0,I9/TrAvia_act!I27*1000000)</f>
        <v>62917.578068803421</v>
      </c>
      <c r="J45" s="84">
        <f>IF(J9=0,0,J9/TrAvia_act!J27*1000000)</f>
        <v>64287.598486767973</v>
      </c>
      <c r="K45" s="84">
        <f>IF(K9=0,0,K9/TrAvia_act!K27*1000000)</f>
        <v>63160.773860541849</v>
      </c>
      <c r="L45" s="84">
        <f>IF(L9=0,0,L9/TrAvia_act!L27*1000000)</f>
        <v>53493.501645255368</v>
      </c>
      <c r="M45" s="84">
        <f>IF(M9=0,0,M9/TrAvia_act!M27*1000000)</f>
        <v>50530.551682896265</v>
      </c>
      <c r="N45" s="84">
        <f>IF(N9=0,0,N9/TrAvia_act!N27*1000000)</f>
        <v>48739.540789900202</v>
      </c>
      <c r="O45" s="84">
        <f>IF(O9=0,0,O9/TrAvia_act!O27*1000000)</f>
        <v>50155.941617868935</v>
      </c>
      <c r="P45" s="84">
        <f>IF(P9=0,0,P9/TrAvia_act!P27*1000000)</f>
        <v>42500.158286517777</v>
      </c>
      <c r="Q45" s="84">
        <f>IF(Q9=0,0,Q9/TrAvia_act!Q27*1000000)</f>
        <v>44316.833354955372</v>
      </c>
      <c r="R45" s="84">
        <f>IF(R9=0,0,R9/TrAvia_act!R27*1000000)</f>
        <v>49459.271363711676</v>
      </c>
      <c r="S45" s="84">
        <f>IF(S9=0,0,S9/TrAvia_act!S27*1000000)</f>
        <v>46617.395540270038</v>
      </c>
      <c r="T45" s="84">
        <f>IF(T9=0,0,T9/TrAvia_act!T27*1000000)</f>
        <v>45535.564161813185</v>
      </c>
      <c r="U45" s="84">
        <f>IF(U9=0,0,U9/TrAvia_act!U27*1000000)</f>
        <v>45210.435644030156</v>
      </c>
      <c r="V45" s="84">
        <f>IF(V9=0,0,V9/TrAvia_act!V27*1000000)</f>
        <v>61891.405031457885</v>
      </c>
      <c r="W45" s="84">
        <f>IF(W9=0,0,W9/TrAvia_act!W27*1000000)</f>
        <v>48175.076710383211</v>
      </c>
      <c r="X45" s="84">
        <f>IF(X9=0,0,X9/TrAvia_act!X27*1000000)</f>
        <v>48682.972910516561</v>
      </c>
      <c r="Y45" s="84">
        <f>IF(Y9=0,0,Y9/TrAvia_act!Y27*1000000)</f>
        <v>43466.465622569172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18182.197274167313</v>
      </c>
      <c r="C46" s="13">
        <f>IF(C10=0,0,C10/TrAvia_act!C28*1000000)</f>
        <v>23551.056199734889</v>
      </c>
      <c r="D46" s="13">
        <f>IF(D10=0,0,D10/TrAvia_act!D28*1000000)</f>
        <v>20155.763215352064</v>
      </c>
      <c r="E46" s="13">
        <f>IF(E10=0,0,E10/TrAvia_act!E28*1000000)</f>
        <v>22152.429426162482</v>
      </c>
      <c r="F46" s="13">
        <f>IF(F10=0,0,F10/TrAvia_act!F28*1000000)</f>
        <v>21530.219098038673</v>
      </c>
      <c r="G46" s="13">
        <f>IF(G10=0,0,G10/TrAvia_act!G28*1000000)</f>
        <v>22468.760982132666</v>
      </c>
      <c r="H46" s="13">
        <f>IF(H10=0,0,H10/TrAvia_act!H28*1000000)</f>
        <v>20885.420789397715</v>
      </c>
      <c r="I46" s="13">
        <f>IF(I10=0,0,I10/TrAvia_act!I28*1000000)</f>
        <v>18482.788686186675</v>
      </c>
      <c r="J46" s="13">
        <f>IF(J10=0,0,J10/TrAvia_act!J28*1000000)</f>
        <v>19973.150921012209</v>
      </c>
      <c r="K46" s="13">
        <f>IF(K10=0,0,K10/TrAvia_act!K28*1000000)</f>
        <v>19751.800751677387</v>
      </c>
      <c r="L46" s="13">
        <f>IF(L10=0,0,L10/TrAvia_act!L28*1000000)</f>
        <v>21280.213470187169</v>
      </c>
      <c r="M46" s="13">
        <f>IF(M10=0,0,M10/TrAvia_act!M28*1000000)</f>
        <v>22161.674228576405</v>
      </c>
      <c r="N46" s="13">
        <f>IF(N10=0,0,N10/TrAvia_act!N28*1000000)</f>
        <v>20381.479184928736</v>
      </c>
      <c r="O46" s="13">
        <f>IF(O10=0,0,O10/TrAvia_act!O28*1000000)</f>
        <v>17376.496110837066</v>
      </c>
      <c r="P46" s="13">
        <f>IF(P10=0,0,P10/TrAvia_act!P28*1000000)</f>
        <v>13260.582609633548</v>
      </c>
      <c r="Q46" s="13">
        <f>IF(Q10=0,0,Q10/TrAvia_act!Q28*1000000)</f>
        <v>11957.803393538938</v>
      </c>
      <c r="R46" s="13">
        <f>IF(R10=0,0,R10/TrAvia_act!R28*1000000)</f>
        <v>11592.970493057783</v>
      </c>
      <c r="S46" s="13">
        <f>IF(S10=0,0,S10/TrAvia_act!S28*1000000)</f>
        <v>10175.703119151867</v>
      </c>
      <c r="T46" s="13">
        <f>IF(T10=0,0,T10/TrAvia_act!T28*1000000)</f>
        <v>9718.8761422821044</v>
      </c>
      <c r="U46" s="13">
        <f>IF(U10=0,0,U10/TrAvia_act!U28*1000000)</f>
        <v>10280.707579645707</v>
      </c>
      <c r="V46" s="13">
        <f>IF(V10=0,0,V10/TrAvia_act!V28*1000000)</f>
        <v>12900.644970282354</v>
      </c>
      <c r="W46" s="13">
        <f>IF(W10=0,0,W10/TrAvia_act!W28*1000000)</f>
        <v>11795.509213624127</v>
      </c>
      <c r="X46" s="13">
        <f>IF(X10=0,0,X10/TrAvia_act!X28*1000000)</f>
        <v>20700.636670523756</v>
      </c>
      <c r="Y46" s="13">
        <f>IF(Y10=0,0,Y10/TrAvia_act!Y28*1000000)</f>
        <v>17577.060303100603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5183.3081020013915</v>
      </c>
      <c r="C47" s="102">
        <f>IF(C11=0,0,C11/TrAvia_act!C29*1000000)</f>
        <v>5364.279454073755</v>
      </c>
      <c r="D47" s="102">
        <f>IF(D11=0,0,D11/TrAvia_act!D29*1000000)</f>
        <v>4778.8504294485774</v>
      </c>
      <c r="E47" s="102">
        <f>IF(E11=0,0,E11/TrAvia_act!E29*1000000)</f>
        <v>4939.1903605520529</v>
      </c>
      <c r="F47" s="102">
        <f>IF(F11=0,0,F11/TrAvia_act!F29*1000000)</f>
        <v>5380.9564064206861</v>
      </c>
      <c r="G47" s="102">
        <f>IF(G11=0,0,G11/TrAvia_act!G29*1000000)</f>
        <v>5774.0216222030404</v>
      </c>
      <c r="H47" s="102">
        <f>IF(H11=0,0,H11/TrAvia_act!H29*1000000)</f>
        <v>5708.669965552006</v>
      </c>
      <c r="I47" s="102">
        <f>IF(I11=0,0,I11/TrAvia_act!I29*1000000)</f>
        <v>5892.2900357954677</v>
      </c>
      <c r="J47" s="102">
        <f>IF(J11=0,0,J11/TrAvia_act!J29*1000000)</f>
        <v>5571.868372965082</v>
      </c>
      <c r="K47" s="102">
        <f>IF(K11=0,0,K11/TrAvia_act!K29*1000000)</f>
        <v>5222.9897998537745</v>
      </c>
      <c r="L47" s="102">
        <f>IF(L11=0,0,L11/TrAvia_act!L29*1000000)</f>
        <v>5034.0005546588081</v>
      </c>
      <c r="M47" s="102">
        <f>IF(M11=0,0,M11/TrAvia_act!M29*1000000)</f>
        <v>5027.9325330896691</v>
      </c>
      <c r="N47" s="102">
        <f>IF(N11=0,0,N11/TrAvia_act!N29*1000000)</f>
        <v>5103.1532446245556</v>
      </c>
      <c r="O47" s="102">
        <f>IF(O11=0,0,O11/TrAvia_act!O29*1000000)</f>
        <v>5107.3205945565878</v>
      </c>
      <c r="P47" s="102">
        <f>IF(P11=0,0,P11/TrAvia_act!P29*1000000)</f>
        <v>4990.3789727106241</v>
      </c>
      <c r="Q47" s="102">
        <f>IF(Q11=0,0,Q11/TrAvia_act!Q29*1000000)</f>
        <v>5008.1045521283677</v>
      </c>
      <c r="R47" s="102">
        <f>IF(R11=0,0,R11/TrAvia_act!R29*1000000)</f>
        <v>5259.892552768958</v>
      </c>
      <c r="S47" s="102">
        <f>IF(S11=0,0,S11/TrAvia_act!S29*1000000)</f>
        <v>5129.9681736654156</v>
      </c>
      <c r="T47" s="102">
        <f>IF(T11=0,0,T11/TrAvia_act!T29*1000000)</f>
        <v>4951.2314506908842</v>
      </c>
      <c r="U47" s="102">
        <f>IF(U11=0,0,U11/TrAvia_act!U29*1000000)</f>
        <v>4823.5732961506737</v>
      </c>
      <c r="V47" s="102">
        <f>IF(V11=0,0,V11/TrAvia_act!V29*1000000)</f>
        <v>4963.7531375039916</v>
      </c>
      <c r="W47" s="102">
        <f>IF(W11=0,0,W11/TrAvia_act!W29*1000000)</f>
        <v>5301.1719170659808</v>
      </c>
      <c r="X47" s="102">
        <f>IF(X11=0,0,X11/TrAvia_act!X29*1000000)</f>
        <v>5495.1898438187154</v>
      </c>
      <c r="Y47" s="102">
        <f>IF(Y11=0,0,Y11/TrAvia_act!Y29*1000000)</f>
        <v>4492.6077604351212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12192.344529129292</v>
      </c>
      <c r="C48" s="102">
        <f>IF(C12=0,0,C12/TrAvia_act!C30*1000000)</f>
        <v>12819.443685720495</v>
      </c>
      <c r="D48" s="102">
        <f>IF(D12=0,0,D12/TrAvia_act!D30*1000000)</f>
        <v>10674.936608454404</v>
      </c>
      <c r="E48" s="102">
        <f>IF(E12=0,0,E12/TrAvia_act!E30*1000000)</f>
        <v>10655.498587665677</v>
      </c>
      <c r="F48" s="102">
        <f>IF(F12=0,0,F12/TrAvia_act!F30*1000000)</f>
        <v>10932.827949943117</v>
      </c>
      <c r="G48" s="102">
        <f>IF(G12=0,0,G12/TrAvia_act!G30*1000000)</f>
        <v>12643.753446255048</v>
      </c>
      <c r="H48" s="102">
        <f>IF(H12=0,0,H12/TrAvia_act!H30*1000000)</f>
        <v>11748.504730624554</v>
      </c>
      <c r="I48" s="102">
        <f>IF(I12=0,0,I12/TrAvia_act!I30*1000000)</f>
        <v>11524.907138747963</v>
      </c>
      <c r="J48" s="102">
        <f>IF(J12=0,0,J12/TrAvia_act!J30*1000000)</f>
        <v>13150.596044088052</v>
      </c>
      <c r="K48" s="102">
        <f>IF(K12=0,0,K12/TrAvia_act!K30*1000000)</f>
        <v>13139.766331850722</v>
      </c>
      <c r="L48" s="102">
        <f>IF(L12=0,0,L12/TrAvia_act!L30*1000000)</f>
        <v>12011.803680411702</v>
      </c>
      <c r="M48" s="102">
        <f>IF(M12=0,0,M12/TrAvia_act!M30*1000000)</f>
        <v>11947.935539828994</v>
      </c>
      <c r="N48" s="102">
        <f>IF(N12=0,0,N12/TrAvia_act!N30*1000000)</f>
        <v>11534.704376702579</v>
      </c>
      <c r="O48" s="102">
        <f>IF(O12=0,0,O12/TrAvia_act!O30*1000000)</f>
        <v>12715.988943983524</v>
      </c>
      <c r="P48" s="102">
        <f>IF(P12=0,0,P12/TrAvia_act!P30*1000000)</f>
        <v>11528.157944734825</v>
      </c>
      <c r="Q48" s="102">
        <f>IF(Q12=0,0,Q12/TrAvia_act!Q30*1000000)</f>
        <v>11490.069864394316</v>
      </c>
      <c r="R48" s="102">
        <f>IF(R12=0,0,R12/TrAvia_act!R30*1000000)</f>
        <v>12250.991022713437</v>
      </c>
      <c r="S48" s="102">
        <f>IF(S12=0,0,S12/TrAvia_act!S30*1000000)</f>
        <v>12075.326815770448</v>
      </c>
      <c r="T48" s="102">
        <f>IF(T12=0,0,T12/TrAvia_act!T30*1000000)</f>
        <v>12002.290927102373</v>
      </c>
      <c r="U48" s="102">
        <f>IF(U12=0,0,U12/TrAvia_act!U30*1000000)</f>
        <v>11207.644409917097</v>
      </c>
      <c r="V48" s="102">
        <f>IF(V12=0,0,V12/TrAvia_act!V30*1000000)</f>
        <v>13706.449950068458</v>
      </c>
      <c r="W48" s="102">
        <f>IF(W12=0,0,W12/TrAvia_act!W30*1000000)</f>
        <v>12285.554074073851</v>
      </c>
      <c r="X48" s="102">
        <f>IF(X12=0,0,X12/TrAvia_act!X30*1000000)</f>
        <v>12604.94218682479</v>
      </c>
      <c r="Y48" s="102">
        <f>IF(Y12=0,0,Y12/TrAvia_act!Y30*1000000)</f>
        <v>9930.2946000212505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83948.02236151167</v>
      </c>
      <c r="C49" s="86">
        <f>IF(C13=0,0,C13/TrAvia_act!C31*1000000)</f>
        <v>88352.893327007449</v>
      </c>
      <c r="D49" s="86">
        <f>IF(D13=0,0,D13/TrAvia_act!D31*1000000)</f>
        <v>73634.580074627025</v>
      </c>
      <c r="E49" s="86">
        <f>IF(E13=0,0,E13/TrAvia_act!E31*1000000)</f>
        <v>73479.563511852131</v>
      </c>
      <c r="F49" s="86">
        <f>IF(F13=0,0,F13/TrAvia_act!F31*1000000)</f>
        <v>82418.346842954823</v>
      </c>
      <c r="G49" s="86">
        <f>IF(G13=0,0,G13/TrAvia_act!G31*1000000)</f>
        <v>68828.322666347318</v>
      </c>
      <c r="H49" s="86">
        <f>IF(H13=0,0,H13/TrAvia_act!H31*1000000)</f>
        <v>71888.167493225032</v>
      </c>
      <c r="I49" s="86">
        <f>IF(I13=0,0,I13/TrAvia_act!I31*1000000)</f>
        <v>63983.488704702067</v>
      </c>
      <c r="J49" s="86">
        <f>IF(J13=0,0,J13/TrAvia_act!J31*1000000)</f>
        <v>68414.837978603202</v>
      </c>
      <c r="K49" s="86">
        <f>IF(K13=0,0,K13/TrAvia_act!K31*1000000)</f>
        <v>73555.544250061459</v>
      </c>
      <c r="L49" s="86">
        <f>IF(L13=0,0,L13/TrAvia_act!L31*1000000)</f>
        <v>73339.422736390887</v>
      </c>
      <c r="M49" s="86">
        <f>IF(M13=0,0,M13/TrAvia_act!M31*1000000)</f>
        <v>70933.782720644973</v>
      </c>
      <c r="N49" s="86">
        <f>IF(N13=0,0,N13/TrAvia_act!N31*1000000)</f>
        <v>68548.433978063811</v>
      </c>
      <c r="O49" s="86">
        <f>IF(O13=0,0,O13/TrAvia_act!O31*1000000)</f>
        <v>55417.033348799283</v>
      </c>
      <c r="P49" s="86">
        <f>IF(P13=0,0,P13/TrAvia_act!P31*1000000)</f>
        <v>33744.721617253592</v>
      </c>
      <c r="Q49" s="86">
        <f>IF(Q13=0,0,Q13/TrAvia_act!Q31*1000000)</f>
        <v>25272.835966047303</v>
      </c>
      <c r="R49" s="86">
        <f>IF(R13=0,0,R13/TrAvia_act!R31*1000000)</f>
        <v>20248.830996843797</v>
      </c>
      <c r="S49" s="86">
        <f>IF(S13=0,0,S13/TrAvia_act!S31*1000000)</f>
        <v>13695.709509253809</v>
      </c>
      <c r="T49" s="86">
        <f>IF(T13=0,0,T13/TrAvia_act!T31*1000000)</f>
        <v>9596.3938021547874</v>
      </c>
      <c r="U49" s="86">
        <f>IF(U13=0,0,U13/TrAvia_act!U31*1000000)</f>
        <v>11076.732324521006</v>
      </c>
      <c r="V49" s="86">
        <f>IF(V13=0,0,V13/TrAvia_act!V31*1000000)</f>
        <v>14836.731826143601</v>
      </c>
      <c r="W49" s="86">
        <f>IF(W13=0,0,W13/TrAvia_act!W31*1000000)</f>
        <v>14788.370552985909</v>
      </c>
      <c r="X49" s="86">
        <f>IF(X13=0,0,X13/TrAvia_act!X31*1000000)</f>
        <v>57971.179747185961</v>
      </c>
      <c r="Y49" s="86">
        <f>IF(Y13=0,0,Y13/TrAvia_act!Y31*1000000)</f>
        <v>56820.236936931586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0.9859117743299961</v>
      </c>
      <c r="C52" s="16">
        <f t="shared" si="36"/>
        <v>0.98381854488351572</v>
      </c>
      <c r="D52" s="16">
        <f t="shared" ref="D52:V52" si="37">IF(D6=0,0,D6/D$3)</f>
        <v>0.97662315337029015</v>
      </c>
      <c r="E52" s="16">
        <f t="shared" si="37"/>
        <v>0.96929049369749831</v>
      </c>
      <c r="F52" s="16">
        <f t="shared" si="37"/>
        <v>0.96613604592483948</v>
      </c>
      <c r="G52" s="16">
        <f t="shared" si="37"/>
        <v>0.96201935185452825</v>
      </c>
      <c r="H52" s="16">
        <f t="shared" si="37"/>
        <v>0.95887104091705055</v>
      </c>
      <c r="I52" s="16">
        <f t="shared" si="37"/>
        <v>0.9574801217120551</v>
      </c>
      <c r="J52" s="16">
        <f t="shared" si="37"/>
        <v>0.95786442377726955</v>
      </c>
      <c r="K52" s="16">
        <f t="shared" si="37"/>
        <v>0.96359035490602363</v>
      </c>
      <c r="L52" s="16">
        <f t="shared" si="37"/>
        <v>0.95851775274947104</v>
      </c>
      <c r="M52" s="16">
        <f t="shared" si="37"/>
        <v>0.9671906019473987</v>
      </c>
      <c r="N52" s="16">
        <f t="shared" si="37"/>
        <v>0.97252258963302984</v>
      </c>
      <c r="O52" s="16">
        <f t="shared" si="37"/>
        <v>0.9804485363451223</v>
      </c>
      <c r="P52" s="16">
        <f t="shared" si="37"/>
        <v>0.98466513193859007</v>
      </c>
      <c r="Q52" s="16">
        <f t="shared" si="37"/>
        <v>0.98614137813778779</v>
      </c>
      <c r="R52" s="16">
        <f t="shared" si="37"/>
        <v>0.9894116520891949</v>
      </c>
      <c r="S52" s="16">
        <f t="shared" si="37"/>
        <v>0.9902454986834206</v>
      </c>
      <c r="T52" s="16">
        <f t="shared" si="37"/>
        <v>0.99108656574600196</v>
      </c>
      <c r="U52" s="16">
        <f t="shared" si="37"/>
        <v>0.98871781574631157</v>
      </c>
      <c r="V52" s="16">
        <f t="shared" si="37"/>
        <v>0.96533337493562621</v>
      </c>
      <c r="W52" s="16">
        <f t="shared" ref="W52:Y52" si="38">IF(W6=0,0,W6/W$3)</f>
        <v>0.96668478618575859</v>
      </c>
      <c r="X52" s="16">
        <f t="shared" si="38"/>
        <v>0.96936453242475185</v>
      </c>
      <c r="Y52" s="16">
        <f t="shared" si="38"/>
        <v>0.97560681573156738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0.25381700272520313</v>
      </c>
      <c r="C53" s="103">
        <f t="shared" si="39"/>
        <v>0.25287641320894322</v>
      </c>
      <c r="D53" s="103">
        <f t="shared" ref="D53:V53" si="40">IF(D7=0,0,D7/D$3)</f>
        <v>0.27449318307464904</v>
      </c>
      <c r="E53" s="103">
        <f t="shared" si="40"/>
        <v>0.27351408235189845</v>
      </c>
      <c r="F53" s="103">
        <f t="shared" si="40"/>
        <v>0.25906085834281173</v>
      </c>
      <c r="G53" s="103">
        <f t="shared" si="40"/>
        <v>0.26286235772968702</v>
      </c>
      <c r="H53" s="103">
        <f t="shared" si="40"/>
        <v>0.24287683902133261</v>
      </c>
      <c r="I53" s="103">
        <f t="shared" si="40"/>
        <v>0.24046270665423089</v>
      </c>
      <c r="J53" s="103">
        <f t="shared" si="40"/>
        <v>0.19802491471333161</v>
      </c>
      <c r="K53" s="103">
        <f t="shared" si="40"/>
        <v>0.19226224833648176</v>
      </c>
      <c r="L53" s="103">
        <f t="shared" si="40"/>
        <v>0.18832156745965525</v>
      </c>
      <c r="M53" s="103">
        <f t="shared" si="40"/>
        <v>0.19227194021950514</v>
      </c>
      <c r="N53" s="103">
        <f t="shared" si="40"/>
        <v>0.19730223310950581</v>
      </c>
      <c r="O53" s="103">
        <f t="shared" si="40"/>
        <v>0.18000750808726873</v>
      </c>
      <c r="P53" s="103">
        <f t="shared" si="40"/>
        <v>0.1939492520142071</v>
      </c>
      <c r="Q53" s="103">
        <f t="shared" si="40"/>
        <v>0.18846255211951676</v>
      </c>
      <c r="R53" s="103">
        <f t="shared" si="40"/>
        <v>0.18239532060735125</v>
      </c>
      <c r="S53" s="103">
        <f t="shared" si="40"/>
        <v>0.17234431264232736</v>
      </c>
      <c r="T53" s="103">
        <f t="shared" si="40"/>
        <v>0.15765162312687489</v>
      </c>
      <c r="U53" s="103">
        <f t="shared" si="40"/>
        <v>0.15078067256402666</v>
      </c>
      <c r="V53" s="103">
        <f t="shared" si="40"/>
        <v>0.15070067158440045</v>
      </c>
      <c r="W53" s="103">
        <f t="shared" ref="W53:Y53" si="41">IF(W7=0,0,W7/W$3)</f>
        <v>0.16254000291887843</v>
      </c>
      <c r="X53" s="103">
        <f t="shared" si="41"/>
        <v>0.14367326029160746</v>
      </c>
      <c r="Y53" s="103">
        <f t="shared" si="41"/>
        <v>0.14191003061482843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0.56064738098926714</v>
      </c>
      <c r="C54" s="103">
        <f t="shared" si="42"/>
        <v>0.57435713701247526</v>
      </c>
      <c r="D54" s="103">
        <f t="shared" ref="D54:V54" si="43">IF(D8=0,0,D8/D$3)</f>
        <v>0.55510178409411848</v>
      </c>
      <c r="E54" s="103">
        <f t="shared" si="43"/>
        <v>0.54388797692530821</v>
      </c>
      <c r="F54" s="103">
        <f t="shared" si="43"/>
        <v>0.53273567321831594</v>
      </c>
      <c r="G54" s="103">
        <f t="shared" si="43"/>
        <v>0.52666962127050054</v>
      </c>
      <c r="H54" s="103">
        <f t="shared" si="43"/>
        <v>0.54304559013967357</v>
      </c>
      <c r="I54" s="103">
        <f t="shared" si="43"/>
        <v>0.54686680809675736</v>
      </c>
      <c r="J54" s="103">
        <f t="shared" si="43"/>
        <v>0.57692654821805167</v>
      </c>
      <c r="K54" s="103">
        <f t="shared" si="43"/>
        <v>0.57523409267967374</v>
      </c>
      <c r="L54" s="103">
        <f t="shared" si="43"/>
        <v>0.57506633128161089</v>
      </c>
      <c r="M54" s="103">
        <f t="shared" si="43"/>
        <v>0.58303770863573157</v>
      </c>
      <c r="N54" s="103">
        <f t="shared" si="43"/>
        <v>0.577879663095621</v>
      </c>
      <c r="O54" s="103">
        <f t="shared" si="43"/>
        <v>0.59705527616930787</v>
      </c>
      <c r="P54" s="103">
        <f t="shared" si="43"/>
        <v>0.5915167990239486</v>
      </c>
      <c r="Q54" s="103">
        <f t="shared" si="43"/>
        <v>0.59712081327955469</v>
      </c>
      <c r="R54" s="103">
        <f t="shared" si="43"/>
        <v>0.6128621204067235</v>
      </c>
      <c r="S54" s="103">
        <f t="shared" si="43"/>
        <v>0.62725244858037266</v>
      </c>
      <c r="T54" s="103">
        <f t="shared" si="43"/>
        <v>0.63473175830730633</v>
      </c>
      <c r="U54" s="103">
        <f t="shared" si="43"/>
        <v>0.62933675162920266</v>
      </c>
      <c r="V54" s="103">
        <f t="shared" si="43"/>
        <v>0.56584464351557984</v>
      </c>
      <c r="W54" s="103">
        <f t="shared" ref="W54:Y54" si="44">IF(W8=0,0,W8/W$3)</f>
        <v>0.58234892131047999</v>
      </c>
      <c r="X54" s="103">
        <f t="shared" si="44"/>
        <v>0.63182605645794621</v>
      </c>
      <c r="Y54" s="103">
        <f t="shared" si="44"/>
        <v>0.63329637552691342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0.17144739061552569</v>
      </c>
      <c r="C55" s="103">
        <f t="shared" si="45"/>
        <v>0.15658499466209735</v>
      </c>
      <c r="D55" s="103">
        <f t="shared" ref="D55:V55" si="46">IF(D9=0,0,D9/D$3)</f>
        <v>0.14702818620152258</v>
      </c>
      <c r="E55" s="103">
        <f t="shared" si="46"/>
        <v>0.15188843442029162</v>
      </c>
      <c r="F55" s="103">
        <f t="shared" si="46"/>
        <v>0.17433951436371173</v>
      </c>
      <c r="G55" s="103">
        <f t="shared" si="46"/>
        <v>0.17248737285434065</v>
      </c>
      <c r="H55" s="103">
        <f t="shared" si="46"/>
        <v>0.17294861175604445</v>
      </c>
      <c r="I55" s="103">
        <f t="shared" si="46"/>
        <v>0.17015060696106674</v>
      </c>
      <c r="J55" s="103">
        <f t="shared" si="46"/>
        <v>0.18291296084588632</v>
      </c>
      <c r="K55" s="103">
        <f t="shared" si="46"/>
        <v>0.196094013889868</v>
      </c>
      <c r="L55" s="103">
        <f t="shared" si="46"/>
        <v>0.19512985400820493</v>
      </c>
      <c r="M55" s="103">
        <f t="shared" si="46"/>
        <v>0.19188095309216205</v>
      </c>
      <c r="N55" s="103">
        <f t="shared" si="46"/>
        <v>0.19734069342790314</v>
      </c>
      <c r="O55" s="103">
        <f t="shared" si="46"/>
        <v>0.20338575208854573</v>
      </c>
      <c r="P55" s="103">
        <f t="shared" si="46"/>
        <v>0.19919908090043426</v>
      </c>
      <c r="Q55" s="103">
        <f t="shared" si="46"/>
        <v>0.20055801273871623</v>
      </c>
      <c r="R55" s="103">
        <f t="shared" si="46"/>
        <v>0.19415421107512018</v>
      </c>
      <c r="S55" s="103">
        <f t="shared" si="46"/>
        <v>0.19064873746072047</v>
      </c>
      <c r="T55" s="103">
        <f t="shared" si="46"/>
        <v>0.19870318431182085</v>
      </c>
      <c r="U55" s="103">
        <f t="shared" si="46"/>
        <v>0.20860039155308219</v>
      </c>
      <c r="V55" s="103">
        <f t="shared" si="46"/>
        <v>0.24878805983564578</v>
      </c>
      <c r="W55" s="103">
        <f t="shared" ref="W55:Y55" si="47">IF(W9=0,0,W9/W$3)</f>
        <v>0.22179586195640025</v>
      </c>
      <c r="X55" s="103">
        <f t="shared" si="47"/>
        <v>0.1938652156751981</v>
      </c>
      <c r="Y55" s="103">
        <f t="shared" si="47"/>
        <v>0.20040040958982552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1.4088225670004001E-2</v>
      </c>
      <c r="C56" s="17">
        <f t="shared" si="48"/>
        <v>1.6181455116484351E-2</v>
      </c>
      <c r="D56" s="17">
        <f t="shared" ref="D56:V56" si="49">IF(D10=0,0,D10/D$3)</f>
        <v>2.3376846629709864E-2</v>
      </c>
      <c r="E56" s="17">
        <f t="shared" si="49"/>
        <v>3.0709506302501615E-2</v>
      </c>
      <c r="F56" s="17">
        <f t="shared" si="49"/>
        <v>3.3863954075160553E-2</v>
      </c>
      <c r="G56" s="17">
        <f t="shared" si="49"/>
        <v>3.7980648145471807E-2</v>
      </c>
      <c r="H56" s="17">
        <f t="shared" si="49"/>
        <v>4.1128959082949272E-2</v>
      </c>
      <c r="I56" s="17">
        <f t="shared" si="49"/>
        <v>4.2519878287944984E-2</v>
      </c>
      <c r="J56" s="17">
        <f t="shared" si="49"/>
        <v>4.2135576222730335E-2</v>
      </c>
      <c r="K56" s="17">
        <f t="shared" si="49"/>
        <v>3.6409645093976498E-2</v>
      </c>
      <c r="L56" s="17">
        <f t="shared" si="49"/>
        <v>4.1482247250528986E-2</v>
      </c>
      <c r="M56" s="17">
        <f t="shared" si="49"/>
        <v>3.2809398052601323E-2</v>
      </c>
      <c r="N56" s="17">
        <f t="shared" si="49"/>
        <v>2.7477410366970063E-2</v>
      </c>
      <c r="O56" s="17">
        <f t="shared" si="49"/>
        <v>1.9551463654877702E-2</v>
      </c>
      <c r="P56" s="17">
        <f t="shared" si="49"/>
        <v>1.5334868061409938E-2</v>
      </c>
      <c r="Q56" s="17">
        <f t="shared" si="49"/>
        <v>1.3858621862212296E-2</v>
      </c>
      <c r="R56" s="17">
        <f t="shared" si="49"/>
        <v>1.058834791080504E-2</v>
      </c>
      <c r="S56" s="17">
        <f t="shared" si="49"/>
        <v>9.7545013165795721E-3</v>
      </c>
      <c r="T56" s="17">
        <f t="shared" si="49"/>
        <v>8.9134342539981381E-3</v>
      </c>
      <c r="U56" s="17">
        <f t="shared" si="49"/>
        <v>1.128218425368851E-2</v>
      </c>
      <c r="V56" s="17">
        <f t="shared" si="49"/>
        <v>3.4666625064373902E-2</v>
      </c>
      <c r="W56" s="17">
        <f t="shared" ref="W56:Y56" si="50">IF(W10=0,0,W10/W$3)</f>
        <v>3.3315213814241351E-2</v>
      </c>
      <c r="X56" s="17">
        <f t="shared" si="50"/>
        <v>3.0635467575248057E-2</v>
      </c>
      <c r="Y56" s="17">
        <f t="shared" si="50"/>
        <v>2.4393184268432663E-2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1.3183545134657548E-3</v>
      </c>
      <c r="C57" s="104">
        <f t="shared" si="51"/>
        <v>1.1066209882217841E-3</v>
      </c>
      <c r="D57" s="104">
        <f t="shared" ref="D57:V57" si="52">IF(D11=0,0,D11/D$3)</f>
        <v>1.6204931724073596E-3</v>
      </c>
      <c r="E57" s="104">
        <f t="shared" si="52"/>
        <v>1.9031102120900475E-3</v>
      </c>
      <c r="F57" s="104">
        <f t="shared" si="52"/>
        <v>2.6785230476071937E-3</v>
      </c>
      <c r="G57" s="104">
        <f t="shared" si="52"/>
        <v>3.0458648489596844E-3</v>
      </c>
      <c r="H57" s="104">
        <f t="shared" si="52"/>
        <v>3.5616205680187754E-3</v>
      </c>
      <c r="I57" s="104">
        <f t="shared" si="52"/>
        <v>4.3649609119516663E-3</v>
      </c>
      <c r="J57" s="104">
        <f t="shared" si="52"/>
        <v>3.8518110378619177E-3</v>
      </c>
      <c r="K57" s="104">
        <f t="shared" si="52"/>
        <v>3.2232836727731705E-3</v>
      </c>
      <c r="L57" s="104">
        <f t="shared" si="52"/>
        <v>2.7446400004197636E-3</v>
      </c>
      <c r="M57" s="104">
        <f t="shared" si="52"/>
        <v>2.2709998974356385E-3</v>
      </c>
      <c r="N57" s="104">
        <f t="shared" si="52"/>
        <v>2.3546197462041211E-3</v>
      </c>
      <c r="O57" s="104">
        <f t="shared" si="52"/>
        <v>2.0494354139865053E-3</v>
      </c>
      <c r="P57" s="104">
        <f t="shared" si="52"/>
        <v>2.0124692414924552E-3</v>
      </c>
      <c r="Q57" s="104">
        <f t="shared" si="52"/>
        <v>1.9074987270972456E-3</v>
      </c>
      <c r="R57" s="104">
        <f t="shared" si="52"/>
        <v>1.5381859343407398E-3</v>
      </c>
      <c r="S57" s="104">
        <f t="shared" si="52"/>
        <v>1.5752133016871145E-3</v>
      </c>
      <c r="T57" s="104">
        <f t="shared" si="52"/>
        <v>1.1106188410380383E-3</v>
      </c>
      <c r="U57" s="104">
        <f t="shared" si="52"/>
        <v>7.5533912027725024E-4</v>
      </c>
      <c r="V57" s="104">
        <f t="shared" si="52"/>
        <v>1.4789068326571306E-3</v>
      </c>
      <c r="W57" s="104">
        <f t="shared" ref="W57:Y57" si="53">IF(W11=0,0,W11/W$3)</f>
        <v>1.8982264539421883E-3</v>
      </c>
      <c r="X57" s="104">
        <f t="shared" si="53"/>
        <v>1.2672073458222068E-3</v>
      </c>
      <c r="Y57" s="104">
        <f t="shared" si="53"/>
        <v>1.010925735437799E-3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5.2544835090369722E-3</v>
      </c>
      <c r="C58" s="104">
        <f t="shared" si="54"/>
        <v>4.6509635990822267E-3</v>
      </c>
      <c r="D58" s="104">
        <f t="shared" ref="D58:V58" si="55">IF(D12=0,0,D12/D$3)</f>
        <v>6.5576765919472162E-3</v>
      </c>
      <c r="E58" s="104">
        <f t="shared" si="55"/>
        <v>7.5890838297422297E-3</v>
      </c>
      <c r="F58" s="104">
        <f t="shared" si="55"/>
        <v>8.7817990647539208E-3</v>
      </c>
      <c r="G58" s="104">
        <f t="shared" si="55"/>
        <v>1.0150003417863929E-2</v>
      </c>
      <c r="H58" s="104">
        <f t="shared" si="55"/>
        <v>1.1554941287241747E-2</v>
      </c>
      <c r="I58" s="104">
        <f t="shared" si="55"/>
        <v>1.3542333713410048E-2</v>
      </c>
      <c r="J58" s="104">
        <f t="shared" si="55"/>
        <v>1.3980063652778835E-2</v>
      </c>
      <c r="K58" s="104">
        <f t="shared" si="55"/>
        <v>1.2398882803576575E-2</v>
      </c>
      <c r="L58" s="104">
        <f t="shared" si="55"/>
        <v>1.2582090562067745E-2</v>
      </c>
      <c r="M58" s="104">
        <f t="shared" si="55"/>
        <v>8.595838683014289E-3</v>
      </c>
      <c r="N58" s="104">
        <f t="shared" si="55"/>
        <v>7.2150612950636515E-3</v>
      </c>
      <c r="O58" s="104">
        <f t="shared" si="55"/>
        <v>6.7342412142930783E-3</v>
      </c>
      <c r="P58" s="104">
        <f t="shared" si="55"/>
        <v>6.2748460934119307E-3</v>
      </c>
      <c r="Q58" s="104">
        <f t="shared" si="55"/>
        <v>6.4300782319774803E-3</v>
      </c>
      <c r="R58" s="104">
        <f t="shared" si="55"/>
        <v>5.3956373165554988E-3</v>
      </c>
      <c r="S58" s="104">
        <f t="shared" si="55"/>
        <v>5.5451246891195516E-3</v>
      </c>
      <c r="T58" s="104">
        <f t="shared" si="55"/>
        <v>5.7584311995295071E-3</v>
      </c>
      <c r="U58" s="104">
        <f t="shared" si="55"/>
        <v>9.0435850886043216E-3</v>
      </c>
      <c r="V58" s="104">
        <f t="shared" si="55"/>
        <v>2.7419241917838823E-2</v>
      </c>
      <c r="W58" s="104">
        <f t="shared" ref="W58:Y58" si="56">IF(W12=0,0,W12/W$3)</f>
        <v>2.4817787533836042E-2</v>
      </c>
      <c r="X58" s="104">
        <f t="shared" si="56"/>
        <v>1.1963220339493741E-2</v>
      </c>
      <c r="Y58" s="104">
        <f t="shared" si="56"/>
        <v>9.0400623103921145E-3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7.5153876475012741E-3</v>
      </c>
      <c r="C59" s="105">
        <f t="shared" si="57"/>
        <v>1.0423870529180342E-2</v>
      </c>
      <c r="D59" s="105">
        <f t="shared" ref="D59:V59" si="58">IF(D13=0,0,D13/D$3)</f>
        <v>1.5198676865355289E-2</v>
      </c>
      <c r="E59" s="105">
        <f t="shared" si="58"/>
        <v>2.1217312260669339E-2</v>
      </c>
      <c r="F59" s="105">
        <f t="shared" si="58"/>
        <v>2.2403631962799438E-2</v>
      </c>
      <c r="G59" s="105">
        <f t="shared" si="58"/>
        <v>2.4784779878648196E-2</v>
      </c>
      <c r="H59" s="105">
        <f t="shared" si="58"/>
        <v>2.6012397227688749E-2</v>
      </c>
      <c r="I59" s="105">
        <f t="shared" si="58"/>
        <v>2.4612583662583273E-2</v>
      </c>
      <c r="J59" s="105">
        <f t="shared" si="58"/>
        <v>2.4303701532089585E-2</v>
      </c>
      <c r="K59" s="105">
        <f t="shared" si="58"/>
        <v>2.078747861762675E-2</v>
      </c>
      <c r="L59" s="105">
        <f t="shared" si="58"/>
        <v>2.6155516688041478E-2</v>
      </c>
      <c r="M59" s="105">
        <f t="shared" si="58"/>
        <v>2.1942559472151391E-2</v>
      </c>
      <c r="N59" s="105">
        <f t="shared" si="58"/>
        <v>1.7907729325702289E-2</v>
      </c>
      <c r="O59" s="105">
        <f t="shared" si="58"/>
        <v>1.0767787026598117E-2</v>
      </c>
      <c r="P59" s="105">
        <f t="shared" si="58"/>
        <v>7.0475527265055531E-3</v>
      </c>
      <c r="Q59" s="105">
        <f t="shared" si="58"/>
        <v>5.5210449031375675E-3</v>
      </c>
      <c r="R59" s="105">
        <f t="shared" si="58"/>
        <v>3.6545246599088022E-3</v>
      </c>
      <c r="S59" s="105">
        <f t="shared" si="58"/>
        <v>2.6341633257729062E-3</v>
      </c>
      <c r="T59" s="105">
        <f t="shared" si="58"/>
        <v>2.0443842134305929E-3</v>
      </c>
      <c r="U59" s="105">
        <f t="shared" si="58"/>
        <v>1.4832600448069393E-3</v>
      </c>
      <c r="V59" s="105">
        <f t="shared" si="58"/>
        <v>5.7684763138779521E-3</v>
      </c>
      <c r="W59" s="105">
        <f t="shared" ref="W59:Y59" si="59">IF(W13=0,0,W13/W$3)</f>
        <v>6.5991998264631202E-3</v>
      </c>
      <c r="X59" s="105">
        <f t="shared" si="59"/>
        <v>1.7405039889932111E-2</v>
      </c>
      <c r="Y59" s="105">
        <f t="shared" si="59"/>
        <v>1.4342196222602748E-2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26016381</v>
      </c>
      <c r="C4" s="11">
        <f t="shared" si="0"/>
        <v>25962577</v>
      </c>
      <c r="D4" s="11">
        <f t="shared" ref="D4" si="1">SUM(D5:D7)</f>
        <v>23193270</v>
      </c>
      <c r="E4" s="11">
        <f t="shared" ref="E4" si="2">SUM(E5:E7)</f>
        <v>21402696</v>
      </c>
      <c r="F4" s="11">
        <f t="shared" ref="F4" si="3">SUM(F5:F7)</f>
        <v>23078438</v>
      </c>
      <c r="G4" s="11">
        <f t="shared" ref="G4" si="4">SUM(G5:G7)</f>
        <v>24041304</v>
      </c>
      <c r="H4" s="11">
        <f t="shared" ref="H4" si="5">SUM(H5:H7)</f>
        <v>25189836</v>
      </c>
      <c r="I4" s="11">
        <f t="shared" ref="I4" si="6">SUM(I5:I7)</f>
        <v>25775610</v>
      </c>
      <c r="J4" s="11">
        <f t="shared" ref="J4" si="7">SUM(J5:J7)</f>
        <v>27366493</v>
      </c>
      <c r="K4" s="11">
        <f t="shared" ref="K4" si="8">SUM(K5:K7)</f>
        <v>23999552</v>
      </c>
      <c r="L4" s="11">
        <f t="shared" ref="L4" si="9">SUM(L5:L7)</f>
        <v>24618322</v>
      </c>
      <c r="M4" s="11">
        <f t="shared" ref="M4" si="10">SUM(M5:M7)</f>
        <v>27380602</v>
      </c>
      <c r="N4" s="11">
        <f t="shared" ref="N4" si="11">SUM(N5:N7)</f>
        <v>27402213</v>
      </c>
      <c r="O4" s="11">
        <f t="shared" ref="O4" si="12">SUM(O5:O7)</f>
        <v>29123675</v>
      </c>
      <c r="P4" s="11">
        <f t="shared" ref="P4" si="13">SUM(P5:P7)</f>
        <v>30046025</v>
      </c>
      <c r="Q4" s="11">
        <f t="shared" ref="Q4" si="14">SUM(Q5:Q7)</f>
        <v>30536899</v>
      </c>
      <c r="R4" s="11">
        <f t="shared" ref="R4" si="15">SUM(R5:R7)</f>
        <v>31585019</v>
      </c>
      <c r="S4" s="11">
        <f t="shared" ref="S4" si="16">SUM(S5:S7)</f>
        <v>33291107</v>
      </c>
      <c r="T4" s="11">
        <f t="shared" ref="T4" si="17">SUM(T5:T7)</f>
        <v>33605031</v>
      </c>
      <c r="U4" s="11">
        <f t="shared" ref="U4" si="18">SUM(U5:U7)</f>
        <v>32374029</v>
      </c>
      <c r="V4" s="11">
        <f t="shared" ref="V4:W4" si="19">SUM(V5:V7)</f>
        <v>10863507</v>
      </c>
      <c r="W4" s="11">
        <f t="shared" si="19"/>
        <v>11470919</v>
      </c>
      <c r="X4" s="11">
        <f t="shared" ref="X4:Y4" si="20">SUM(X5:X7)</f>
        <v>19653123</v>
      </c>
      <c r="Y4" s="11">
        <f t="shared" si="20"/>
        <v>23783727</v>
      </c>
      <c r="DA4" s="189" t="s">
        <v>362</v>
      </c>
    </row>
    <row r="5" spans="1:105" ht="11.45" customHeight="1" x14ac:dyDescent="0.25">
      <c r="A5" s="83" t="s">
        <v>27</v>
      </c>
      <c r="B5" s="84">
        <v>13441144</v>
      </c>
      <c r="C5" s="84">
        <v>13387375</v>
      </c>
      <c r="D5" s="84">
        <v>12394133</v>
      </c>
      <c r="E5" s="84">
        <v>11333454</v>
      </c>
      <c r="F5" s="84">
        <v>11931329</v>
      </c>
      <c r="G5" s="84">
        <v>11926860</v>
      </c>
      <c r="H5" s="84">
        <v>11204126</v>
      </c>
      <c r="I5" s="84">
        <v>10985543</v>
      </c>
      <c r="J5" s="84">
        <v>11109877</v>
      </c>
      <c r="K5" s="84">
        <v>9686154</v>
      </c>
      <c r="L5" s="84">
        <v>9609732</v>
      </c>
      <c r="M5" s="84">
        <v>10829811</v>
      </c>
      <c r="N5" s="84">
        <v>10841524</v>
      </c>
      <c r="O5" s="84">
        <v>11432433</v>
      </c>
      <c r="P5" s="84">
        <v>12034407</v>
      </c>
      <c r="Q5" s="84">
        <v>12113533</v>
      </c>
      <c r="R5" s="84">
        <v>12216524</v>
      </c>
      <c r="S5" s="84">
        <v>12555514</v>
      </c>
      <c r="T5" s="84">
        <v>12304793</v>
      </c>
      <c r="U5" s="84">
        <v>11359110</v>
      </c>
      <c r="V5" s="84">
        <v>4210082</v>
      </c>
      <c r="W5" s="84">
        <v>4109946</v>
      </c>
      <c r="X5" s="84">
        <v>6114692</v>
      </c>
      <c r="Y5" s="84">
        <v>7397571</v>
      </c>
      <c r="DA5" s="171" t="s">
        <v>363</v>
      </c>
    </row>
    <row r="6" spans="1:105" ht="11.45" customHeight="1" x14ac:dyDescent="0.25">
      <c r="A6" s="83" t="s">
        <v>181</v>
      </c>
      <c r="B6" s="84">
        <v>11576652</v>
      </c>
      <c r="C6" s="84">
        <v>11609272</v>
      </c>
      <c r="D6" s="84">
        <v>10048869</v>
      </c>
      <c r="E6" s="84">
        <v>9228455</v>
      </c>
      <c r="F6" s="84">
        <v>10099624</v>
      </c>
      <c r="G6" s="84">
        <v>10568835</v>
      </c>
      <c r="H6" s="84">
        <v>12421928</v>
      </c>
      <c r="I6" s="84">
        <v>12965013</v>
      </c>
      <c r="J6" s="84">
        <v>14187798</v>
      </c>
      <c r="K6" s="84">
        <v>12291219</v>
      </c>
      <c r="L6" s="84">
        <v>12819297</v>
      </c>
      <c r="M6" s="84">
        <v>14227578</v>
      </c>
      <c r="N6" s="84">
        <v>14153668</v>
      </c>
      <c r="O6" s="84">
        <v>14884833</v>
      </c>
      <c r="P6" s="84">
        <v>14963617</v>
      </c>
      <c r="Q6" s="84">
        <v>15359504</v>
      </c>
      <c r="R6" s="84">
        <v>16575635</v>
      </c>
      <c r="S6" s="84">
        <v>17693437</v>
      </c>
      <c r="T6" s="84">
        <v>17883938</v>
      </c>
      <c r="U6" s="84">
        <v>17607421</v>
      </c>
      <c r="V6" s="84">
        <v>5453547</v>
      </c>
      <c r="W6" s="84">
        <v>6071047</v>
      </c>
      <c r="X6" s="84">
        <v>11593379</v>
      </c>
      <c r="Y6" s="84">
        <v>14112026</v>
      </c>
      <c r="DA6" s="171" t="s">
        <v>364</v>
      </c>
    </row>
    <row r="7" spans="1:105" ht="11.45" customHeight="1" x14ac:dyDescent="0.25">
      <c r="A7" s="85" t="s">
        <v>182</v>
      </c>
      <c r="B7" s="86">
        <v>998585</v>
      </c>
      <c r="C7" s="86">
        <v>965930</v>
      </c>
      <c r="D7" s="86">
        <v>750268</v>
      </c>
      <c r="E7" s="86">
        <v>840787</v>
      </c>
      <c r="F7" s="86">
        <v>1047485</v>
      </c>
      <c r="G7" s="86">
        <v>1545609</v>
      </c>
      <c r="H7" s="86">
        <v>1563782</v>
      </c>
      <c r="I7" s="86">
        <v>1825054</v>
      </c>
      <c r="J7" s="86">
        <v>2068818</v>
      </c>
      <c r="K7" s="86">
        <v>2022179</v>
      </c>
      <c r="L7" s="86">
        <v>2189293</v>
      </c>
      <c r="M7" s="86">
        <v>2323213</v>
      </c>
      <c r="N7" s="86">
        <v>2407021</v>
      </c>
      <c r="O7" s="86">
        <v>2806409</v>
      </c>
      <c r="P7" s="86">
        <v>3048001</v>
      </c>
      <c r="Q7" s="86">
        <v>3063862</v>
      </c>
      <c r="R7" s="86">
        <v>2792860</v>
      </c>
      <c r="S7" s="86">
        <v>3042156</v>
      </c>
      <c r="T7" s="86">
        <v>3416300</v>
      </c>
      <c r="U7" s="86">
        <v>3407498</v>
      </c>
      <c r="V7" s="86">
        <v>1199878</v>
      </c>
      <c r="W7" s="86">
        <v>1289926</v>
      </c>
      <c r="X7" s="86">
        <v>1945052</v>
      </c>
      <c r="Y7" s="86">
        <v>2274130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107.07343081855484</v>
      </c>
      <c r="C12" s="14">
        <f>IF(C4=0,0,C4/TrAvia_act!C24)</f>
        <v>109.37413954350518</v>
      </c>
      <c r="D12" s="14">
        <f>IF(D4=0,0,D4/TrAvia_act!D24)</f>
        <v>107.77541821561339</v>
      </c>
      <c r="E12" s="14">
        <f>IF(E4=0,0,E4/TrAvia_act!E24)</f>
        <v>105.04854692968033</v>
      </c>
      <c r="F12" s="14">
        <f>IF(F4=0,0,F4/TrAvia_act!F24)</f>
        <v>107.34956089755516</v>
      </c>
      <c r="G12" s="14">
        <f>IF(G4=0,0,G4/TrAvia_act!G24)</f>
        <v>116.03393953434495</v>
      </c>
      <c r="H12" s="14">
        <f>IF(H4=0,0,H4/TrAvia_act!H24)</f>
        <v>119.99502677159353</v>
      </c>
      <c r="I12" s="14">
        <f>IF(I4=0,0,I4/TrAvia_act!I24)</f>
        <v>125.71444596723454</v>
      </c>
      <c r="J12" s="14">
        <f>IF(J4=0,0,J4/TrAvia_act!J24)</f>
        <v>129.52590850143409</v>
      </c>
      <c r="K12" s="14">
        <f>IF(K4=0,0,K4/TrAvia_act!K24)</f>
        <v>124.64580195489815</v>
      </c>
      <c r="L12" s="14">
        <f>IF(L4=0,0,L4/TrAvia_act!L24)</f>
        <v>126.41765859770564</v>
      </c>
      <c r="M12" s="14">
        <f>IF(M4=0,0,M4/TrAvia_act!M24)</f>
        <v>127.8272735760971</v>
      </c>
      <c r="N12" s="14">
        <f>IF(N4=0,0,N4/TrAvia_act!N24)</f>
        <v>131.86122486297646</v>
      </c>
      <c r="O12" s="14">
        <f>IF(O4=0,0,O4/TrAvia_act!O24)</f>
        <v>138.14998671802365</v>
      </c>
      <c r="P12" s="14">
        <f>IF(P4=0,0,P4/TrAvia_act!P24)</f>
        <v>140.38296212195544</v>
      </c>
      <c r="Q12" s="14">
        <f>IF(Q4=0,0,Q4/TrAvia_act!Q24)</f>
        <v>142.6164842914454</v>
      </c>
      <c r="R12" s="14">
        <f>IF(R4=0,0,R4/TrAvia_act!R24)</f>
        <v>143.45676315227709</v>
      </c>
      <c r="S12" s="14">
        <f>IF(S4=0,0,S4/TrAvia_act!S24)</f>
        <v>145.5457105008897</v>
      </c>
      <c r="T12" s="14">
        <f>IF(T4=0,0,T4/TrAvia_act!T24)</f>
        <v>146.88669126067612</v>
      </c>
      <c r="U12" s="14">
        <f>IF(U4=0,0,U4/TrAvia_act!U24)</f>
        <v>149.74734840950825</v>
      </c>
      <c r="V12" s="14">
        <f>IF(V4=0,0,V4/TrAvia_act!V24)</f>
        <v>147.40772351656105</v>
      </c>
      <c r="W12" s="14">
        <f>IF(W4=0,0,W4/TrAvia_act!W24)</f>
        <v>143.85401304238775</v>
      </c>
      <c r="X12" s="14">
        <f>IF(X4=0,0,X4/TrAvia_act!X24)</f>
        <v>149.16302103889007</v>
      </c>
      <c r="Y12" s="14">
        <f>IF(Y4=0,0,Y4/TrAvia_act!Y24)</f>
        <v>154.31753416124889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100.87995256644076</v>
      </c>
      <c r="C13" s="87">
        <f>IF(C5=0,0,C5/TrAvia_act!C25)</f>
        <v>102.56324313557245</v>
      </c>
      <c r="D13" s="87">
        <f>IF(D5=0,0,D5/TrAvia_act!D25)</f>
        <v>102.10596861226675</v>
      </c>
      <c r="E13" s="87">
        <f>IF(E5=0,0,E5/TrAvia_act!E25)</f>
        <v>99.669809163661952</v>
      </c>
      <c r="F13" s="87">
        <f>IF(F5=0,0,F5/TrAvia_act!F25)</f>
        <v>100.35350272934487</v>
      </c>
      <c r="G13" s="87">
        <f>IF(G5=0,0,G5/TrAvia_act!G25)</f>
        <v>104.62892132781248</v>
      </c>
      <c r="H13" s="87">
        <f>IF(H5=0,0,H5/TrAvia_act!H25)</f>
        <v>102.6836948851191</v>
      </c>
      <c r="I13" s="87">
        <f>IF(I5=0,0,I5/TrAvia_act!I25)</f>
        <v>106.25652161296875</v>
      </c>
      <c r="J13" s="87">
        <f>IF(J5=0,0,J5/TrAvia_act!J25)</f>
        <v>108.21589846489519</v>
      </c>
      <c r="K13" s="87">
        <f>IF(K5=0,0,K5/TrAvia_act!K25)</f>
        <v>100.2863177512036</v>
      </c>
      <c r="L13" s="87">
        <f>IF(L5=0,0,L5/TrAvia_act!L25)</f>
        <v>101.41020039889828</v>
      </c>
      <c r="M13" s="87">
        <f>IF(M5=0,0,M5/TrAvia_act!M25)</f>
        <v>104.05675660094546</v>
      </c>
      <c r="N13" s="87">
        <f>IF(N5=0,0,N5/TrAvia_act!N25)</f>
        <v>108.07372702260855</v>
      </c>
      <c r="O13" s="87">
        <f>IF(O5=0,0,O5/TrAvia_act!O25)</f>
        <v>113.5623267872575</v>
      </c>
      <c r="P13" s="87">
        <f>IF(P5=0,0,P5/TrAvia_act!P25)</f>
        <v>117.66369111636911</v>
      </c>
      <c r="Q13" s="87">
        <f>IF(Q5=0,0,Q5/TrAvia_act!Q25)</f>
        <v>120.60466945440064</v>
      </c>
      <c r="R13" s="87">
        <f>IF(R5=0,0,R5/TrAvia_act!R25)</f>
        <v>120.08182041578611</v>
      </c>
      <c r="S13" s="87">
        <f>IF(S5=0,0,S5/TrAvia_act!S25)</f>
        <v>121.80949793839437</v>
      </c>
      <c r="T13" s="87">
        <f>IF(T5=0,0,T5/TrAvia_act!T25)</f>
        <v>122.17923563463772</v>
      </c>
      <c r="U13" s="87">
        <f>IF(U5=0,0,U5/TrAvia_act!U25)</f>
        <v>123.30908933010562</v>
      </c>
      <c r="V13" s="87">
        <f>IF(V5=0,0,V5/TrAvia_act!V25)</f>
        <v>120.0342703997263</v>
      </c>
      <c r="W13" s="87">
        <f>IF(W5=0,0,W5/TrAvia_act!W25)</f>
        <v>111.0226100110754</v>
      </c>
      <c r="X13" s="87">
        <f>IF(X5=0,0,X5/TrAvia_act!X25)</f>
        <v>115.21719960053514</v>
      </c>
      <c r="Y13" s="87">
        <f>IF(Y5=0,0,Y5/TrAvia_act!Y25)</f>
        <v>122.37301285338539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111.61769044611781</v>
      </c>
      <c r="C14" s="87">
        <f>IF(C6=0,0,C6/TrAvia_act!C26)</f>
        <v>114.34439421249101</v>
      </c>
      <c r="D14" s="87">
        <f>IF(D6=0,0,D6/TrAvia_act!D26)</f>
        <v>112.60120121466109</v>
      </c>
      <c r="E14" s="87">
        <f>IF(E6=0,0,E6/TrAvia_act!E26)</f>
        <v>108.02105768330368</v>
      </c>
      <c r="F14" s="87">
        <f>IF(F6=0,0,F6/TrAvia_act!F26)</f>
        <v>111.68320598025014</v>
      </c>
      <c r="G14" s="87">
        <f>IF(G6=0,0,G6/TrAvia_act!G26)</f>
        <v>122.32306339047001</v>
      </c>
      <c r="H14" s="87">
        <f>IF(H6=0,0,H6/TrAvia_act!H26)</f>
        <v>132.13973576154714</v>
      </c>
      <c r="I14" s="87">
        <f>IF(I6=0,0,I6/TrAvia_act!I26)</f>
        <v>137.27289379228563</v>
      </c>
      <c r="J14" s="87">
        <f>IF(J6=0,0,J6/TrAvia_act!J26)</f>
        <v>141.85528315469526</v>
      </c>
      <c r="K14" s="87">
        <f>IF(K6=0,0,K6/TrAvia_act!K26)</f>
        <v>140.52728519979419</v>
      </c>
      <c r="L14" s="87">
        <f>IF(L6=0,0,L6/TrAvia_act!L26)</f>
        <v>141.83305488864056</v>
      </c>
      <c r="M14" s="87">
        <f>IF(M6=0,0,M6/TrAvia_act!M26)</f>
        <v>143.2123890242184</v>
      </c>
      <c r="N14" s="87">
        <f>IF(N6=0,0,N6/TrAvia_act!N26)</f>
        <v>146.68381507083564</v>
      </c>
      <c r="O14" s="87">
        <f>IF(O6=0,0,O6/TrAvia_act!O26)</f>
        <v>151.92635801335049</v>
      </c>
      <c r="P14" s="87">
        <f>IF(P6=0,0,P6/TrAvia_act!P26)</f>
        <v>151.51955810727341</v>
      </c>
      <c r="Q14" s="87">
        <f>IF(Q6=0,0,Q6/TrAvia_act!Q26)</f>
        <v>152.19786361204146</v>
      </c>
      <c r="R14" s="87">
        <f>IF(R6=0,0,R6/TrAvia_act!R26)</f>
        <v>156.02947267353201</v>
      </c>
      <c r="S14" s="87">
        <f>IF(S6=0,0,S6/TrAvia_act!S26)</f>
        <v>157.51862436123426</v>
      </c>
      <c r="T14" s="87">
        <f>IF(T6=0,0,T6/TrAvia_act!T26)</f>
        <v>157.75676581630853</v>
      </c>
      <c r="U14" s="87">
        <f>IF(U6=0,0,U6/TrAvia_act!U26)</f>
        <v>160.90416529590232</v>
      </c>
      <c r="V14" s="87">
        <f>IF(V6=0,0,V6/TrAvia_act!V26)</f>
        <v>161.76871737066921</v>
      </c>
      <c r="W14" s="87">
        <f>IF(W6=0,0,W6/TrAvia_act!W26)</f>
        <v>165.11768385552654</v>
      </c>
      <c r="X14" s="87">
        <f>IF(X6=0,0,X6/TrAvia_act!X26)</f>
        <v>165.90885543375597</v>
      </c>
      <c r="Y14" s="87">
        <f>IF(Y6=0,0,Y6/TrAvia_act!Y26)</f>
        <v>167.50974526980511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165.85035708354093</v>
      </c>
      <c r="C15" s="88">
        <f>IF(C7=0,0,C7/TrAvia_act!C27)</f>
        <v>181.66823396652248</v>
      </c>
      <c r="D15" s="88">
        <f>IF(D7=0,0,D7/TrAvia_act!D27)</f>
        <v>164.10061242344707</v>
      </c>
      <c r="E15" s="88">
        <f>IF(E7=0,0,E7/TrAvia_act!E27)</f>
        <v>182.81952598390956</v>
      </c>
      <c r="F15" s="88">
        <f>IF(F7=0,0,F7/TrAvia_act!F27)</f>
        <v>185.06802120141342</v>
      </c>
      <c r="G15" s="88">
        <f>IF(G7=0,0,G7/TrAvia_act!G27)</f>
        <v>227.32887189292543</v>
      </c>
      <c r="H15" s="88">
        <f>IF(H7=0,0,H7/TrAvia_act!H27)</f>
        <v>229.79897134459955</v>
      </c>
      <c r="I15" s="88">
        <f>IF(I7=0,0,I7/TrAvia_act!I27)</f>
        <v>253.51493262953187</v>
      </c>
      <c r="J15" s="88">
        <f>IF(J7=0,0,J7/TrAvia_act!J27)</f>
        <v>240.50430132527319</v>
      </c>
      <c r="K15" s="88">
        <f>IF(K7=0,0,K7/TrAvia_act!K27)</f>
        <v>238.12753179463024</v>
      </c>
      <c r="L15" s="88">
        <f>IF(L7=0,0,L7/TrAvia_act!L27)</f>
        <v>228.19397540129248</v>
      </c>
      <c r="M15" s="88">
        <f>IF(M7=0,0,M7/TrAvia_act!M27)</f>
        <v>215.55140100204119</v>
      </c>
      <c r="N15" s="88">
        <f>IF(N7=0,0,N7/TrAvia_act!N27)</f>
        <v>218.74054889131224</v>
      </c>
      <c r="O15" s="88">
        <f>IF(O7=0,0,O7/TrAvia_act!O27)</f>
        <v>230.65743404290293</v>
      </c>
      <c r="P15" s="88">
        <f>IF(P7=0,0,P7/TrAvia_act!P27)</f>
        <v>234.56987840541788</v>
      </c>
      <c r="Q15" s="88">
        <f>IF(Q7=0,0,Q7/TrAvia_act!Q27)</f>
        <v>240.0957605203354</v>
      </c>
      <c r="R15" s="88">
        <f>IF(R7=0,0,R7/TrAvia_act!R27)</f>
        <v>228.88542861825931</v>
      </c>
      <c r="S15" s="88">
        <f>IF(S7=0,0,S7/TrAvia_act!S27)</f>
        <v>228.18451845184518</v>
      </c>
      <c r="T15" s="88">
        <f>IF(T7=0,0,T7/TrAvia_act!T27)</f>
        <v>232.29074590331135</v>
      </c>
      <c r="U15" s="88">
        <f>IF(U7=0,0,U7/TrAvia_act!U27)</f>
        <v>232.68901939360831</v>
      </c>
      <c r="V15" s="88">
        <f>IF(V7=0,0,V7/TrAvia_act!V27)</f>
        <v>244.32457747912849</v>
      </c>
      <c r="W15" s="88">
        <f>IF(W7=0,0,W7/TrAvia_act!W27)</f>
        <v>216.6850327565933</v>
      </c>
      <c r="X15" s="88">
        <f>IF(X7=0,0,X7/TrAvia_act!X27)</f>
        <v>220.85295787441808</v>
      </c>
      <c r="Y15" s="88">
        <f>IF(Y7=0,0,Y7/TrAvia_act!Y27)</f>
        <v>241.2870026525199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0.60330378002997431</v>
      </c>
      <c r="C18" s="25">
        <f>IF(TrAvia_act!C34=0,0,(TrAvia_act!C34/TrAvia_act!C24)/TrAvia_png!C12)</f>
        <v>0.60255505453098901</v>
      </c>
      <c r="D18" s="25">
        <f>IF(TrAvia_act!D34=0,0,(TrAvia_act!D34/TrAvia_act!D24)/TrAvia_png!D12)</f>
        <v>0.6200659070497605</v>
      </c>
      <c r="E18" s="25">
        <f>IF(TrAvia_act!E34=0,0,(TrAvia_act!E34/TrAvia_act!E24)/TrAvia_png!E12)</f>
        <v>0.62023116153217339</v>
      </c>
      <c r="F18" s="25">
        <f>IF(TrAvia_act!F34=0,0,(TrAvia_act!F34/TrAvia_act!F24)/TrAvia_png!F12)</f>
        <v>0.60666428117882165</v>
      </c>
      <c r="G18" s="25">
        <f>IF(TrAvia_act!G34=0,0,(TrAvia_act!G34/TrAvia_act!G24)/TrAvia_png!G12)</f>
        <v>0.61367145475969187</v>
      </c>
      <c r="H18" s="25">
        <f>IF(TrAvia_act!H34=0,0,(TrAvia_act!H34/TrAvia_act!H24)/TrAvia_png!H12)</f>
        <v>0.65072972289299547</v>
      </c>
      <c r="I18" s="25">
        <f>IF(TrAvia_act!I34=0,0,(TrAvia_act!I34/TrAvia_act!I24)/TrAvia_png!I12)</f>
        <v>0.65326112553689319</v>
      </c>
      <c r="J18" s="25">
        <f>IF(TrAvia_act!J34=0,0,(TrAvia_act!J34/TrAvia_act!J24)/TrAvia_png!J12)</f>
        <v>0.62649532769873006</v>
      </c>
      <c r="K18" s="25">
        <f>IF(TrAvia_act!K34=0,0,(TrAvia_act!K34/TrAvia_act!K24)/TrAvia_png!K12)</f>
        <v>0.64659073636041209</v>
      </c>
      <c r="L18" s="25">
        <f>IF(TrAvia_act!L34=0,0,(TrAvia_act!L34/TrAvia_act!L24)/TrAvia_png!L12)</f>
        <v>0.66332559140302094</v>
      </c>
      <c r="M18" s="25">
        <f>IF(TrAvia_act!M34=0,0,(TrAvia_act!M34/TrAvia_act!M24)/TrAvia_png!M12)</f>
        <v>0.66677321411706003</v>
      </c>
      <c r="N18" s="25">
        <f>IF(TrAvia_act!N34=0,0,(TrAvia_act!N34/TrAvia_act!N24)/TrAvia_png!N12)</f>
        <v>0.67966375562440884</v>
      </c>
      <c r="O18" s="25">
        <f>IF(TrAvia_act!O34=0,0,(TrAvia_act!O34/TrAvia_act!O24)/TrAvia_png!O12)</f>
        <v>0.65844595505203229</v>
      </c>
      <c r="P18" s="25">
        <f>IF(TrAvia_act!P34=0,0,(TrAvia_act!P34/TrAvia_act!P24)/TrAvia_png!P12)</f>
        <v>0.66439187879261896</v>
      </c>
      <c r="Q18" s="25">
        <f>IF(TrAvia_act!Q34=0,0,(TrAvia_act!Q34/TrAvia_act!Q24)/TrAvia_png!Q12)</f>
        <v>0.67561526139245509</v>
      </c>
      <c r="R18" s="25">
        <f>IF(TrAvia_act!R34=0,0,(TrAvia_act!R34/TrAvia_act!R24)/TrAvia_png!R12)</f>
        <v>0.68605119408033277</v>
      </c>
      <c r="S18" s="25">
        <f>IF(TrAvia_act!S34=0,0,(TrAvia_act!S34/TrAvia_act!S24)/TrAvia_png!S12)</f>
        <v>0.6925788019004594</v>
      </c>
      <c r="T18" s="25">
        <f>IF(TrAvia_act!T34=0,0,(TrAvia_act!T34/TrAvia_act!T24)/TrAvia_png!T12)</f>
        <v>0.69078546602144175</v>
      </c>
      <c r="U18" s="25">
        <f>IF(TrAvia_act!U34=0,0,(TrAvia_act!U34/TrAvia_act!U24)/TrAvia_png!U12)</f>
        <v>0.68521996443507238</v>
      </c>
      <c r="V18" s="25">
        <f>IF(TrAvia_act!V34=0,0,(TrAvia_act!V34/TrAvia_act!V24)/TrAvia_png!V12)</f>
        <v>0.51027223529197341</v>
      </c>
      <c r="W18" s="25">
        <f>IF(TrAvia_act!W34=0,0,(TrAvia_act!W34/TrAvia_act!W24)/TrAvia_png!W12)</f>
        <v>0.56814471447318216</v>
      </c>
      <c r="X18" s="25">
        <f>IF(TrAvia_act!X34=0,0,(TrAvia_act!X34/TrAvia_act!X24)/TrAvia_png!X12)</f>
        <v>0.74180739620873493</v>
      </c>
      <c r="Y18" s="25">
        <f>IF(TrAvia_act!Y34=0,0,(TrAvia_act!Y34/TrAvia_act!Y24)/TrAvia_png!Y12)</f>
        <v>0.71448919675204814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0.5649343538020275</v>
      </c>
      <c r="C19" s="89">
        <f>IF(TrAvia_act!C35=0,0,(TrAvia_act!C35/TrAvia_act!C25)/TrAvia_png!C13)</f>
        <v>0.5680791043800596</v>
      </c>
      <c r="D19" s="89">
        <f>IF(TrAvia_act!D35=0,0,(TrAvia_act!D35/TrAvia_act!D25)/TrAvia_png!D13)</f>
        <v>0.57089455147851009</v>
      </c>
      <c r="E19" s="89">
        <f>IF(TrAvia_act!E35=0,0,(TrAvia_act!E35/TrAvia_act!E25)/TrAvia_png!E13)</f>
        <v>0.57215646703996859</v>
      </c>
      <c r="F19" s="89">
        <f>IF(TrAvia_act!F35=0,0,(TrAvia_act!F35/TrAvia_act!F25)/TrAvia_png!F13)</f>
        <v>0.55755272526639743</v>
      </c>
      <c r="G19" s="89">
        <f>IF(TrAvia_act!G35=0,0,(TrAvia_act!G35/TrAvia_act!G25)/TrAvia_png!G13)</f>
        <v>0.58185247416335906</v>
      </c>
      <c r="H19" s="89">
        <f>IF(TrAvia_act!H35=0,0,(TrAvia_act!H35/TrAvia_act!H25)/TrAvia_png!H13)</f>
        <v>0.61172062863270193</v>
      </c>
      <c r="I19" s="89">
        <f>IF(TrAvia_act!I35=0,0,(TrAvia_act!I35/TrAvia_act!I25)/TrAvia_png!I13)</f>
        <v>0.60979480031164601</v>
      </c>
      <c r="J19" s="89">
        <f>IF(TrAvia_act!J35=0,0,(TrAvia_act!J35/TrAvia_act!J25)/TrAvia_png!J13)</f>
        <v>0.58925098810724907</v>
      </c>
      <c r="K19" s="89">
        <f>IF(TrAvia_act!K35=0,0,(TrAvia_act!K35/TrAvia_act!K25)/TrAvia_png!K13)</f>
        <v>0.60280571628326374</v>
      </c>
      <c r="L19" s="89">
        <f>IF(TrAvia_act!L35=0,0,(TrAvia_act!L35/TrAvia_act!L25)/TrAvia_png!L13)</f>
        <v>0.62442563434651455</v>
      </c>
      <c r="M19" s="89">
        <f>IF(TrAvia_act!M35=0,0,(TrAvia_act!M35/TrAvia_act!M25)/TrAvia_png!M13)</f>
        <v>0.62808990849424795</v>
      </c>
      <c r="N19" s="89">
        <f>IF(TrAvia_act!N35=0,0,(TrAvia_act!N35/TrAvia_act!N25)/TrAvia_png!N13)</f>
        <v>0.63799443694447389</v>
      </c>
      <c r="O19" s="89">
        <f>IF(TrAvia_act!O35=0,0,(TrAvia_act!O35/TrAvia_act!O25)/TrAvia_png!O13)</f>
        <v>0.6075611376860901</v>
      </c>
      <c r="P19" s="89">
        <f>IF(TrAvia_act!P35=0,0,(TrAvia_act!P35/TrAvia_act!P25)/TrAvia_png!P13)</f>
        <v>0.60099321885989065</v>
      </c>
      <c r="Q19" s="89">
        <f>IF(TrAvia_act!Q35=0,0,(TrAvia_act!Q35/TrAvia_act!Q25)/TrAvia_png!Q13)</f>
        <v>0.60324514739011315</v>
      </c>
      <c r="R19" s="89">
        <f>IF(TrAvia_act!R35=0,0,(TrAvia_act!R35/TrAvia_act!R25)/TrAvia_png!R13)</f>
        <v>0.61560178656383768</v>
      </c>
      <c r="S19" s="89">
        <f>IF(TrAvia_act!S35=0,0,(TrAvia_act!S35/TrAvia_act!S25)/TrAvia_png!S13)</f>
        <v>0.61659291686505224</v>
      </c>
      <c r="T19" s="89">
        <f>IF(TrAvia_act!T35=0,0,(TrAvia_act!T35/TrAvia_act!T25)/TrAvia_png!T13)</f>
        <v>0.60871158092622935</v>
      </c>
      <c r="U19" s="89">
        <f>IF(TrAvia_act!U35=0,0,(TrAvia_act!U35/TrAvia_act!U25)/TrAvia_png!U13)</f>
        <v>0.59801665799521264</v>
      </c>
      <c r="V19" s="89">
        <f>IF(TrAvia_act!V35=0,0,(TrAvia_act!V35/TrAvia_act!V25)/TrAvia_png!V13)</f>
        <v>0.4753978663598476</v>
      </c>
      <c r="W19" s="89">
        <f>IF(TrAvia_act!W35=0,0,(TrAvia_act!W35/TrAvia_act!W25)/TrAvia_png!W13)</f>
        <v>0.52716483379586976</v>
      </c>
      <c r="X19" s="89">
        <f>IF(TrAvia_act!X35=0,0,(TrAvia_act!X35/TrAvia_act!X25)/TrAvia_png!X13)</f>
        <v>0.66993742284975266</v>
      </c>
      <c r="Y19" s="89">
        <f>IF(TrAvia_act!Y35=0,0,(TrAvia_act!Y35/TrAvia_act!Y25)/TrAvia_png!Y13)</f>
        <v>0.61277438229386372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0.62495382948368838</v>
      </c>
      <c r="C20" s="89">
        <f>IF(TrAvia_act!C36=0,0,(TrAvia_act!C36/TrAvia_act!C26)/TrAvia_png!C14)</f>
        <v>0.62324287000942002</v>
      </c>
      <c r="D20" s="89">
        <f>IF(TrAvia_act!D36=0,0,(TrAvia_act!D36/TrAvia_act!D26)/TrAvia_png!D14)</f>
        <v>0.66213700268159537</v>
      </c>
      <c r="E20" s="89">
        <f>IF(TrAvia_act!E36=0,0,(TrAvia_act!E36/TrAvia_act!E26)/TrAvia_png!E14)</f>
        <v>0.66346186875267854</v>
      </c>
      <c r="F20" s="89">
        <f>IF(TrAvia_act!F36=0,0,(TrAvia_act!F36/TrAvia_act!F26)/TrAvia_png!F14)</f>
        <v>0.64255392081923046</v>
      </c>
      <c r="G20" s="89">
        <f>IF(TrAvia_act!G36=0,0,(TrAvia_act!G36/TrAvia_act!G26)/TrAvia_png!G14)</f>
        <v>0.63773396027092866</v>
      </c>
      <c r="H20" s="89">
        <f>IF(TrAvia_act!H36=0,0,(TrAvia_act!H36/TrAvia_act!H26)/TrAvia_png!H14)</f>
        <v>0.68052109141189676</v>
      </c>
      <c r="I20" s="89">
        <f>IF(TrAvia_act!I36=0,0,(TrAvia_act!I36/TrAvia_act!I26)/TrAvia_png!I14)</f>
        <v>0.68807968029033206</v>
      </c>
      <c r="J20" s="89">
        <f>IF(TrAvia_act!J36=0,0,(TrAvia_act!J36/TrAvia_act!J26)/TrAvia_png!J14)</f>
        <v>0.64779573264293722</v>
      </c>
      <c r="K20" s="89">
        <f>IF(TrAvia_act!K36=0,0,(TrAvia_act!K36/TrAvia_act!K26)/TrAvia_png!K14)</f>
        <v>0.67804381322959106</v>
      </c>
      <c r="L20" s="89">
        <f>IF(TrAvia_act!L36=0,0,(TrAvia_act!L36/TrAvia_act!L26)/TrAvia_png!L14)</f>
        <v>0.68543282833684249</v>
      </c>
      <c r="M20" s="89">
        <f>IF(TrAvia_act!M36=0,0,(TrAvia_act!M36/TrAvia_act!M26)/TrAvia_png!M14)</f>
        <v>0.6873774299462635</v>
      </c>
      <c r="N20" s="89">
        <f>IF(TrAvia_act!N36=0,0,(TrAvia_act!N36/TrAvia_act!N26)/TrAvia_png!N14)</f>
        <v>0.70459120561539235</v>
      </c>
      <c r="O20" s="89">
        <f>IF(TrAvia_act!O36=0,0,(TrAvia_act!O36/TrAvia_act!O26)/TrAvia_png!O14)</f>
        <v>0.69298708289169242</v>
      </c>
      <c r="P20" s="89">
        <f>IF(TrAvia_act!P36=0,0,(TrAvia_act!P36/TrAvia_act!P26)/TrAvia_png!P14)</f>
        <v>0.71239440303771473</v>
      </c>
      <c r="Q20" s="89">
        <f>IF(TrAvia_act!Q36=0,0,(TrAvia_act!Q36/TrAvia_act!Q26)/TrAvia_png!Q14)</f>
        <v>0.73038680155296676</v>
      </c>
      <c r="R20" s="89">
        <f>IF(TrAvia_act!R36=0,0,(TrAvia_act!R36/TrAvia_act!R26)/TrAvia_png!R14)</f>
        <v>0.7336106278884641</v>
      </c>
      <c r="S20" s="89">
        <f>IF(TrAvia_act!S36=0,0,(TrAvia_act!S36/TrAvia_act!S26)/TrAvia_png!S14)</f>
        <v>0.74072821464817717</v>
      </c>
      <c r="T20" s="89">
        <f>IF(TrAvia_act!T36=0,0,(TrAvia_act!T36/TrAvia_act!T26)/TrAvia_png!T14)</f>
        <v>0.74108006860681352</v>
      </c>
      <c r="U20" s="89">
        <f>IF(TrAvia_act!U36=0,0,(TrAvia_act!U36/TrAvia_act!U26)/TrAvia_png!U14)</f>
        <v>0.73395677879230581</v>
      </c>
      <c r="V20" s="89">
        <f>IF(TrAvia_act!V36=0,0,(TrAvia_act!V36/TrAvia_act!V26)/TrAvia_png!V14)</f>
        <v>0.52887982811920387</v>
      </c>
      <c r="W20" s="89">
        <f>IF(TrAvia_act!W36=0,0,(TrAvia_act!W36/TrAvia_act!W26)/TrAvia_png!W14)</f>
        <v>0.59577351320126493</v>
      </c>
      <c r="X20" s="89">
        <f>IF(TrAvia_act!X36=0,0,(TrAvia_act!X36/TrAvia_act!X26)/TrAvia_png!X14)</f>
        <v>0.7738196948447903</v>
      </c>
      <c r="Y20" s="89">
        <f>IF(TrAvia_act!Y36=0,0,(TrAvia_act!Y36/TrAvia_act!Y26)/TrAvia_png!Y14)</f>
        <v>0.76586409350436291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0.86877331423964921</v>
      </c>
      <c r="C21" s="90">
        <f>IF(TrAvia_act!C37=0,0,(TrAvia_act!C37/TrAvia_act!C27)/TrAvia_png!C15)</f>
        <v>0.83173521890820246</v>
      </c>
      <c r="D21" s="90">
        <f>IF(TrAvia_act!D37=0,0,(TrAvia_act!D37/TrAvia_act!D27)/TrAvia_png!D15)</f>
        <v>0.86886952395677286</v>
      </c>
      <c r="E21" s="90">
        <f>IF(TrAvia_act!E37=0,0,(TrAvia_act!E37/TrAvia_act!E27)/TrAvia_png!E15)</f>
        <v>0.79375870464219833</v>
      </c>
      <c r="F21" s="90">
        <f>IF(TrAvia_act!F37=0,0,(TrAvia_act!F37/TrAvia_act!F27)/TrAvia_png!F15)</f>
        <v>0.8200270170933236</v>
      </c>
      <c r="G21" s="90">
        <f>IF(TrAvia_act!G37=0,0,(TrAvia_act!G37/TrAvia_act!G27)/TrAvia_png!G15)</f>
        <v>0.6946672800171324</v>
      </c>
      <c r="H21" s="90">
        <f>IF(TrAvia_act!H37=0,0,(TrAvia_act!H37/TrAvia_act!H27)/TrAvia_png!H15)</f>
        <v>0.69357237773551561</v>
      </c>
      <c r="I21" s="90">
        <f>IF(TrAvia_act!I37=0,0,(TrAvia_act!I37/TrAvia_act!I27)/TrAvia_png!I15)</f>
        <v>0.66755011084603522</v>
      </c>
      <c r="J21" s="90">
        <f>IF(TrAvia_act!J37=0,0,(TrAvia_act!J37/TrAvia_act!J27)/TrAvia_png!J15)</f>
        <v>0.68042669775688336</v>
      </c>
      <c r="K21" s="90">
        <f>IF(TrAvia_act!K37=0,0,(TrAvia_act!K37/TrAvia_act!K27)/TrAvia_png!K15)</f>
        <v>0.66514091977020828</v>
      </c>
      <c r="L21" s="90">
        <f>IF(TrAvia_act!L37=0,0,(TrAvia_act!L37/TrAvia_act!L27)/TrAvia_png!L15)</f>
        <v>0.70462610532258585</v>
      </c>
      <c r="M21" s="90">
        <f>IF(TrAvia_act!M37=0,0,(TrAvia_act!M37/TrAvia_act!M27)/TrAvia_png!M15)</f>
        <v>0.72091581787808523</v>
      </c>
      <c r="N21" s="90">
        <f>IF(TrAvia_act!N37=0,0,(TrAvia_act!N37/TrAvia_act!N27)/TrAvia_png!N15)</f>
        <v>0.7207701968532888</v>
      </c>
      <c r="O21" s="90">
        <f>IF(TrAvia_act!O37=0,0,(TrAvia_act!O37/TrAvia_act!O27)/TrAvia_png!O15)</f>
        <v>0.68253308765757237</v>
      </c>
      <c r="P21" s="90">
        <f>IF(TrAvia_act!P37=0,0,(TrAvia_act!P37/TrAvia_act!P27)/TrAvia_png!P15)</f>
        <v>0.67904866172944178</v>
      </c>
      <c r="Q21" s="90">
        <f>IF(TrAvia_act!Q37=0,0,(TrAvia_act!Q37/TrAvia_act!Q27)/TrAvia_png!Q15)</f>
        <v>0.6871673724208206</v>
      </c>
      <c r="R21" s="90">
        <f>IF(TrAvia_act!R37=0,0,(TrAvia_act!R37/TrAvia_act!R27)/TrAvia_png!R15)</f>
        <v>0.71194546092535971</v>
      </c>
      <c r="S21" s="90">
        <f>IF(TrAvia_act!S37=0,0,(TrAvia_act!S37/TrAvia_act!S27)/TrAvia_png!S15)</f>
        <v>0.72614487882935652</v>
      </c>
      <c r="T21" s="90">
        <f>IF(TrAvia_act!T37=0,0,(TrAvia_act!T37/TrAvia_act!T27)/TrAvia_png!T15)</f>
        <v>0.72311184614934287</v>
      </c>
      <c r="U21" s="90">
        <f>IF(TrAvia_act!U37=0,0,(TrAvia_act!U37/TrAvia_act!U27)/TrAvia_png!U15)</f>
        <v>0.72408200973265424</v>
      </c>
      <c r="V21" s="90">
        <f>IF(TrAvia_act!V37=0,0,(TrAvia_act!V37/TrAvia_act!V27)/TrAvia_png!V15)</f>
        <v>0.54806488659680408</v>
      </c>
      <c r="W21" s="90">
        <f>IF(TrAvia_act!W37=0,0,(TrAvia_act!W37/TrAvia_act!W27)/TrAvia_png!W15)</f>
        <v>0.56867913353169097</v>
      </c>
      <c r="X21" s="90">
        <f>IF(TrAvia_act!X37=0,0,(TrAvia_act!X37/TrAvia_act!X27)/TrAvia_png!X15)</f>
        <v>0.77693861140987497</v>
      </c>
      <c r="Y21" s="90">
        <f>IF(TrAvia_act!Y37=0,0,(TrAvia_act!Y37/TrAvia_act!Y27)/TrAvia_png!Y15)</f>
        <v>0.72655477039571181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4.5185283645905419E-2</v>
      </c>
      <c r="C24" s="23">
        <f>IF(TrAvia_ene!C6=0,0,TrAvia_ene!C6/(C12*TrAvia_act!C14))</f>
        <v>4.5981093814589834E-2</v>
      </c>
      <c r="D24" s="23">
        <f>IF(TrAvia_ene!D6=0,0,TrAvia_ene!D6/(D12*TrAvia_act!D14))</f>
        <v>3.9486906808860356E-2</v>
      </c>
      <c r="E24" s="23">
        <f>IF(TrAvia_ene!E6=0,0,TrAvia_ene!E6/(E12*TrAvia_act!E14))</f>
        <v>4.1022115437799711E-2</v>
      </c>
      <c r="F24" s="23">
        <f>IF(TrAvia_ene!F6=0,0,TrAvia_ene!F6/(F12*TrAvia_act!F14))</f>
        <v>4.5127994790009264E-2</v>
      </c>
      <c r="G24" s="23">
        <f>IF(TrAvia_ene!G6=0,0,TrAvia_ene!G6/(G12*TrAvia_act!G14))</f>
        <v>4.221080972320413E-2</v>
      </c>
      <c r="H24" s="23">
        <f>IF(TrAvia_ene!H6=0,0,TrAvia_ene!H6/(H12*TrAvia_act!H14))</f>
        <v>3.8915319006076449E-2</v>
      </c>
      <c r="I24" s="23">
        <f>IF(TrAvia_ene!I6=0,0,TrAvia_ene!I6/(I12*TrAvia_act!I14))</f>
        <v>3.5720907336692836E-2</v>
      </c>
      <c r="J24" s="23">
        <f>IF(TrAvia_ene!J6=0,0,TrAvia_ene!J6/(J12*TrAvia_act!J14))</f>
        <v>3.6854727255106648E-2</v>
      </c>
      <c r="K24" s="23">
        <f>IF(TrAvia_ene!K6=0,0,TrAvia_ene!K6/(K12*TrAvia_act!K14))</f>
        <v>3.8739222748098254E-2</v>
      </c>
      <c r="L24" s="23">
        <f>IF(TrAvia_ene!L6=0,0,TrAvia_ene!L6/(L12*TrAvia_act!L14))</f>
        <v>3.548426784868481E-2</v>
      </c>
      <c r="M24" s="23">
        <f>IF(TrAvia_ene!M6=0,0,TrAvia_ene!M6/(M12*TrAvia_act!M14))</f>
        <v>3.4818285492456802E-2</v>
      </c>
      <c r="N24" s="23">
        <f>IF(TrAvia_ene!N6=0,0,TrAvia_ene!N6/(N12*TrAvia_act!N14))</f>
        <v>3.3341024230336157E-2</v>
      </c>
      <c r="O24" s="23">
        <f>IF(TrAvia_ene!O6=0,0,TrAvia_ene!O6/(O12*TrAvia_act!O14))</f>
        <v>3.3860196656186101E-2</v>
      </c>
      <c r="P24" s="23">
        <f>IF(TrAvia_ene!P6=0,0,TrAvia_ene!P6/(P12*TrAvia_act!P14))</f>
        <v>2.9967521376161571E-2</v>
      </c>
      <c r="Q24" s="23">
        <f>IF(TrAvia_ene!Q6=0,0,TrAvia_ene!Q6/(Q12*TrAvia_act!Q14))</f>
        <v>2.9963063917523267E-2</v>
      </c>
      <c r="R24" s="23">
        <f>IF(TrAvia_ene!R6=0,0,TrAvia_ene!R6/(R12*TrAvia_act!R14))</f>
        <v>3.1231137493203248E-2</v>
      </c>
      <c r="S24" s="23">
        <f>IF(TrAvia_ene!S6=0,0,TrAvia_ene!S6/(S12*TrAvia_act!S14))</f>
        <v>2.9925582240989877E-2</v>
      </c>
      <c r="T24" s="23">
        <f>IF(TrAvia_ene!T6=0,0,TrAvia_ene!T6/(T12*TrAvia_act!T14))</f>
        <v>3.0143857840024883E-2</v>
      </c>
      <c r="U24" s="23">
        <f>IF(TrAvia_ene!U6=0,0,TrAvia_ene!U6/(U12*TrAvia_act!U14))</f>
        <v>2.9343545481968183E-2</v>
      </c>
      <c r="V24" s="23">
        <f>IF(TrAvia_ene!V6=0,0,TrAvia_ene!V6/(V12*TrAvia_act!V14))</f>
        <v>3.5166338368986548E-2</v>
      </c>
      <c r="W24" s="23">
        <f>IF(TrAvia_ene!W6=0,0,TrAvia_ene!W6/(W12*TrAvia_act!W14))</f>
        <v>3.3587791316222144E-2</v>
      </c>
      <c r="X24" s="23">
        <f>IF(TrAvia_ene!X6=0,0,TrAvia_ene!X6/(X12*TrAvia_act!X14))</f>
        <v>3.1080469308708367E-2</v>
      </c>
      <c r="Y24" s="23">
        <f>IF(TrAvia_ene!Y6=0,0,TrAvia_ene!Y6/(Y12*TrAvia_act!Y14))</f>
        <v>2.4508543293352017E-2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4.0501018798052353E-2</v>
      </c>
      <c r="C25" s="91">
        <f>IF(TrAvia_ene!C7=0,0,TrAvia_ene!C7/(C13*TrAvia_act!C15))</f>
        <v>4.1222202587047389E-2</v>
      </c>
      <c r="D25" s="91">
        <f>IF(TrAvia_ene!D7=0,0,TrAvia_ene!D7/(D13*TrAvia_act!D15))</f>
        <v>3.6891313453483676E-2</v>
      </c>
      <c r="E25" s="91">
        <f>IF(TrAvia_ene!E7=0,0,TrAvia_ene!E7/(E13*TrAvia_act!E15))</f>
        <v>3.9061728517577256E-2</v>
      </c>
      <c r="F25" s="91">
        <f>IF(TrAvia_ene!F7=0,0,TrAvia_ene!F7/(F13*TrAvia_act!F15))</f>
        <v>4.2262554929534846E-2</v>
      </c>
      <c r="G25" s="91">
        <f>IF(TrAvia_ene!G7=0,0,TrAvia_ene!G7/(G13*TrAvia_act!G15))</f>
        <v>4.3360236222467485E-2</v>
      </c>
      <c r="H25" s="91">
        <f>IF(TrAvia_ene!H7=0,0,TrAvia_ene!H7/(H13*TrAvia_act!H15))</f>
        <v>4.3305649526898082E-2</v>
      </c>
      <c r="I25" s="91">
        <f>IF(TrAvia_ene!I7=0,0,TrAvia_ene!I7/(I13*TrAvia_act!I15))</f>
        <v>4.2737578862134522E-2</v>
      </c>
      <c r="J25" s="91">
        <f>IF(TrAvia_ene!J7=0,0,TrAvia_ene!J7/(J13*TrAvia_act!J15))</f>
        <v>3.8825077377209923E-2</v>
      </c>
      <c r="K25" s="91">
        <f>IF(TrAvia_ene!K7=0,0,TrAvia_ene!K7/(K13*TrAvia_act!K15))</f>
        <v>3.8840870688203417E-2</v>
      </c>
      <c r="L25" s="91">
        <f>IF(TrAvia_ene!L7=0,0,TrAvia_ene!L7/(L13*TrAvia_act!L15))</f>
        <v>3.7057370965569887E-2</v>
      </c>
      <c r="M25" s="91">
        <f>IF(TrAvia_ene!M7=0,0,TrAvia_ene!M7/(M13*TrAvia_act!M15))</f>
        <v>3.6475166906677826E-2</v>
      </c>
      <c r="N25" s="91">
        <f>IF(TrAvia_ene!N7=0,0,TrAvia_ene!N7/(N13*TrAvia_act!N15))</f>
        <v>3.5339042483972523E-2</v>
      </c>
      <c r="O25" s="91">
        <f>IF(TrAvia_ene!O7=0,0,TrAvia_ene!O7/(O13*TrAvia_act!O15))</f>
        <v>3.3747917749300055E-2</v>
      </c>
      <c r="P25" s="91">
        <f>IF(TrAvia_ene!P7=0,0,TrAvia_ene!P7/(P13*TrAvia_act!P15))</f>
        <v>3.1675592826897275E-2</v>
      </c>
      <c r="Q25" s="91">
        <f>IF(TrAvia_ene!Q7=0,0,TrAvia_ene!Q7/(Q13*TrAvia_act!Q15))</f>
        <v>3.1050469474814005E-2</v>
      </c>
      <c r="R25" s="91">
        <f>IF(TrAvia_ene!R7=0,0,TrAvia_ene!R7/(R13*TrAvia_act!R15))</f>
        <v>3.2291345583823315E-2</v>
      </c>
      <c r="S25" s="91">
        <f>IF(TrAvia_ene!S7=0,0,TrAvia_ene!S7/(S13*TrAvia_act!S15))</f>
        <v>3.1014483418688382E-2</v>
      </c>
      <c r="T25" s="91">
        <f>IF(TrAvia_ene!T7=0,0,TrAvia_ene!T7/(T13*TrAvia_act!T15))</f>
        <v>2.9877309048572845E-2</v>
      </c>
      <c r="U25" s="91">
        <f>IF(TrAvia_ene!U7=0,0,TrAvia_ene!U7/(U13*TrAvia_act!U15))</f>
        <v>2.9269698753814029E-2</v>
      </c>
      <c r="V25" s="91">
        <f>IF(TrAvia_ene!V7=0,0,TrAvia_ene!V7/(V13*TrAvia_act!V15))</f>
        <v>3.0671932061745479E-2</v>
      </c>
      <c r="W25" s="91">
        <f>IF(TrAvia_ene!W7=0,0,TrAvia_ene!W7/(W13*TrAvia_act!W15))</f>
        <v>3.5821235884049528E-2</v>
      </c>
      <c r="X25" s="91">
        <f>IF(TrAvia_ene!X7=0,0,TrAvia_ene!X7/(X13*TrAvia_act!X15))</f>
        <v>3.4655462583935405E-2</v>
      </c>
      <c r="Y25" s="91">
        <f>IF(TrAvia_ene!Y7=0,0,TrAvia_ene!Y7/(Y13*TrAvia_act!Y15))</f>
        <v>2.9992429477271612E-2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4.2379649416432255E-2</v>
      </c>
      <c r="C26" s="93">
        <f>IF(TrAvia_ene!C8=0,0,TrAvia_ene!C8/(C14*TrAvia_act!C16))</f>
        <v>4.3400499640574471E-2</v>
      </c>
      <c r="D26" s="93">
        <f>IF(TrAvia_ene!D8=0,0,TrAvia_ene!D8/(D14*TrAvia_act!D16))</f>
        <v>3.67905130834425E-2</v>
      </c>
      <c r="E26" s="93">
        <f>IF(TrAvia_ene!E8=0,0,TrAvia_ene!E8/(E14*TrAvia_act!E16))</f>
        <v>3.835820044996404E-2</v>
      </c>
      <c r="F26" s="93">
        <f>IF(TrAvia_ene!F8=0,0,TrAvia_ene!F8/(F14*TrAvia_act!F16))</f>
        <v>4.1700133226941438E-2</v>
      </c>
      <c r="G26" s="93">
        <f>IF(TrAvia_ene!G8=0,0,TrAvia_ene!G8/(G14*TrAvia_act!G16))</f>
        <v>3.9565228485576732E-2</v>
      </c>
      <c r="H26" s="93">
        <f>IF(TrAvia_ene!H8=0,0,TrAvia_ene!H8/(H14*TrAvia_act!H16))</f>
        <v>3.4275319113268671E-2</v>
      </c>
      <c r="I26" s="93">
        <f>IF(TrAvia_ene!I8=0,0,TrAvia_ene!I8/(I14*TrAvia_act!I16))</f>
        <v>3.1762262461815911E-2</v>
      </c>
      <c r="J26" s="93">
        <f>IF(TrAvia_ene!J8=0,0,TrAvia_ene!J8/(J14*TrAvia_act!J16))</f>
        <v>3.4793194769935719E-2</v>
      </c>
      <c r="K26" s="93">
        <f>IF(TrAvia_ene!K8=0,0,TrAvia_ene!K8/(K14*TrAvia_act!K16))</f>
        <v>3.6751729814188352E-2</v>
      </c>
      <c r="L26" s="93">
        <f>IF(TrAvia_ene!L8=0,0,TrAvia_ene!L8/(L14*TrAvia_act!L16))</f>
        <v>3.3373364474894501E-2</v>
      </c>
      <c r="M26" s="93">
        <f>IF(TrAvia_ene!M8=0,0,TrAvia_ene!M8/(M14*TrAvia_act!M16))</f>
        <v>3.2550913152128894E-2</v>
      </c>
      <c r="N26" s="93">
        <f>IF(TrAvia_ene!N8=0,0,TrAvia_ene!N8/(N14*TrAvia_act!N16))</f>
        <v>3.1069898651380028E-2</v>
      </c>
      <c r="O26" s="93">
        <f>IF(TrAvia_ene!O8=0,0,TrAvia_ene!O8/(O14*TrAvia_act!O16))</f>
        <v>3.2738839042936563E-2</v>
      </c>
      <c r="P26" s="93">
        <f>IF(TrAvia_ene!P8=0,0,TrAvia_ene!P8/(P14*TrAvia_act!P16))</f>
        <v>2.9762777086392658E-2</v>
      </c>
      <c r="Q26" s="93">
        <f>IF(TrAvia_ene!Q8=0,0,TrAvia_ene!Q8/(Q14*TrAvia_act!Q16))</f>
        <v>3.014225237488613E-2</v>
      </c>
      <c r="R26" s="93">
        <f>IF(TrAvia_ene!R8=0,0,TrAvia_ene!R8/(R14*TrAvia_act!R16))</f>
        <v>3.0978196925188658E-2</v>
      </c>
      <c r="S26" s="93">
        <f>IF(TrAvia_ene!S8=0,0,TrAvia_ene!S8/(S14*TrAvia_act!S16))</f>
        <v>3.0024884701926616E-2</v>
      </c>
      <c r="T26" s="93">
        <f>IF(TrAvia_ene!T8=0,0,TrAvia_ene!T8/(T14*TrAvia_act!T16))</f>
        <v>3.1133294161745827E-2</v>
      </c>
      <c r="U26" s="93">
        <f>IF(TrAvia_ene!U8=0,0,TrAvia_ene!U8/(U14*TrAvia_act!U16))</f>
        <v>3.0033145904793369E-2</v>
      </c>
      <c r="V26" s="93">
        <f>IF(TrAvia_ene!V8=0,0,TrAvia_ene!V8/(V14*TrAvia_act!V16))</f>
        <v>3.5029079047513484E-2</v>
      </c>
      <c r="W26" s="93">
        <f>IF(TrAvia_ene!W8=0,0,TrAvia_ene!W8/(W14*TrAvia_act!W16))</f>
        <v>3.0346333806012444E-2</v>
      </c>
      <c r="X26" s="93">
        <f>IF(TrAvia_ene!X8=0,0,TrAvia_ene!X8/(X14*TrAvia_act!X16))</f>
        <v>2.9716609684402189E-2</v>
      </c>
      <c r="Y26" s="93">
        <f>IF(TrAvia_ene!Y8=0,0,TrAvia_ene!Y8/(Y14*TrAvia_act!Y16))</f>
        <v>2.2765155196262665E-2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4.469551274030014E-2</v>
      </c>
      <c r="C27" s="94">
        <f>IF(TrAvia_ene!C9=0,0,TrAvia_ene!C9/(C15*TrAvia_act!C17))</f>
        <v>4.2944905056097576E-2</v>
      </c>
      <c r="D27" s="94">
        <f>IF(TrAvia_ene!D9=0,0,TrAvia_ene!D9/(D15*TrAvia_act!D17))</f>
        <v>3.9622463845661204E-2</v>
      </c>
      <c r="E27" s="94">
        <f>IF(TrAvia_ene!E9=0,0,TrAvia_ene!E9/(E15*TrAvia_act!E17))</f>
        <v>3.5490641913824339E-2</v>
      </c>
      <c r="F27" s="94">
        <f>IF(TrAvia_ene!F9=0,0,TrAvia_ene!F9/(F15*TrAvia_act!F17))</f>
        <v>3.9324425165875539E-2</v>
      </c>
      <c r="G27" s="94">
        <f>IF(TrAvia_ene!G9=0,0,TrAvia_ene!G9/(G15*TrAvia_act!G17))</f>
        <v>2.5589771814952617E-2</v>
      </c>
      <c r="H27" s="94">
        <f>IF(TrAvia_ene!H9=0,0,TrAvia_ene!H9/(H15*TrAvia_act!H17))</f>
        <v>2.4418543200763688E-2</v>
      </c>
      <c r="I27" s="94">
        <f>IF(TrAvia_ene!I9=0,0,TrAvia_ene!I9/(I15*TrAvia_act!I17))</f>
        <v>1.926423008069255E-2</v>
      </c>
      <c r="J27" s="94">
        <f>IF(TrAvia_ene!J9=0,0,TrAvia_ene!J9/(J15*TrAvia_act!J17))</f>
        <v>2.0761633020870873E-2</v>
      </c>
      <c r="K27" s="94">
        <f>IF(TrAvia_ene!K9=0,0,TrAvia_ene!K9/(K15*TrAvia_act!K17))</f>
        <v>2.1216590944046307E-2</v>
      </c>
      <c r="L27" s="94">
        <f>IF(TrAvia_ene!L9=0,0,TrAvia_ene!L9/(L15*TrAvia_act!L17))</f>
        <v>2.0325429088483626E-2</v>
      </c>
      <c r="M27" s="94">
        <f>IF(TrAvia_ene!M9=0,0,TrAvia_ene!M9/(M15*TrAvia_act!M17))</f>
        <v>2.1409126165581709E-2</v>
      </c>
      <c r="N27" s="94">
        <f>IF(TrAvia_ene!N9=0,0,TrAvia_ene!N9/(N15*TrAvia_act!N17))</f>
        <v>2.1104295605998875E-2</v>
      </c>
      <c r="O27" s="94">
        <f>IF(TrAvia_ene!O9=0,0,TrAvia_ene!O9/(O15*TrAvia_act!O17))</f>
        <v>2.070491547314883E-2</v>
      </c>
      <c r="P27" s="94">
        <f>IF(TrAvia_ene!P9=0,0,TrAvia_ene!P9/(P15*TrAvia_act!P17))</f>
        <v>1.6699898749721345E-2</v>
      </c>
      <c r="Q27" s="94">
        <f>IF(TrAvia_ene!Q9=0,0,TrAvia_ene!Q9/(Q15*TrAvia_act!Q17))</f>
        <v>1.6611983483675874E-2</v>
      </c>
      <c r="R27" s="94">
        <f>IF(TrAvia_ene!R9=0,0,TrAvia_ene!R9/(R15*TrAvia_act!R17))</f>
        <v>1.8047553350537815E-2</v>
      </c>
      <c r="S27" s="94">
        <f>IF(TrAvia_ene!S9=0,0,TrAvia_ene!S9/(S15*TrAvia_act!S17))</f>
        <v>1.7014202378736201E-2</v>
      </c>
      <c r="T27" s="94">
        <f>IF(TrAvia_ene!T9=0,0,TrAvia_ene!T9/(T15*TrAvia_act!T17))</f>
        <v>1.6637905950893681E-2</v>
      </c>
      <c r="U27" s="94">
        <f>IF(TrAvia_ene!U9=0,0,TrAvia_ene!U9/(U15*TrAvia_act!U17))</f>
        <v>1.6914478112240217E-2</v>
      </c>
      <c r="V27" s="94">
        <f>IF(TrAvia_ene!V9=0,0,TrAvia_ene!V9/(V15*TrAvia_act!V17))</f>
        <v>2.2414789534794959E-2</v>
      </c>
      <c r="W27" s="94">
        <f>IF(TrAvia_ene!W9=0,0,TrAvia_ene!W9/(W15*TrAvia_act!W17))</f>
        <v>2.3818601170909937E-2</v>
      </c>
      <c r="X27" s="94">
        <f>IF(TrAvia_ene!X9=0,0,TrAvia_ene!X9/(X15*TrAvia_act!X17))</f>
        <v>1.9526096844276544E-2</v>
      </c>
      <c r="Y27" s="94">
        <f>IF(TrAvia_ene!Y9=0,0,TrAvia_ene!Y9/(Y15*TrAvia_act!Y17))</f>
        <v>1.5650618154334099E-2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2075.9059999999999</v>
      </c>
      <c r="C3" s="54">
        <f t="shared" si="0"/>
        <v>2036.365</v>
      </c>
      <c r="D3" s="54">
        <f t="shared" si="0"/>
        <v>1956.1279999999999</v>
      </c>
      <c r="E3" s="54">
        <f t="shared" si="0"/>
        <v>1997.61</v>
      </c>
      <c r="F3" s="54">
        <f t="shared" si="0"/>
        <v>1933.3589999999999</v>
      </c>
      <c r="G3" s="54">
        <f t="shared" si="0"/>
        <v>2238.433</v>
      </c>
      <c r="H3" s="54">
        <f t="shared" si="0"/>
        <v>3361.8429999999998</v>
      </c>
      <c r="I3" s="54">
        <f t="shared" si="0"/>
        <v>2127.4699999999998</v>
      </c>
      <c r="J3" s="54">
        <f t="shared" si="0"/>
        <v>2232.3620000000001</v>
      </c>
      <c r="K3" s="54">
        <f t="shared" si="0"/>
        <v>2173.7730000000001</v>
      </c>
      <c r="L3" s="54">
        <f t="shared" si="0"/>
        <v>3237.5949999999998</v>
      </c>
      <c r="M3" s="54">
        <f t="shared" si="0"/>
        <v>3178.3670000000002</v>
      </c>
      <c r="N3" s="54">
        <f t="shared" si="0"/>
        <v>2963.6149999999998</v>
      </c>
      <c r="O3" s="54">
        <f t="shared" si="0"/>
        <v>3292.2069999999999</v>
      </c>
      <c r="P3" s="54">
        <f t="shared" si="0"/>
        <v>3164.7820000000002</v>
      </c>
      <c r="Q3" s="54">
        <f t="shared" si="0"/>
        <v>3094.471</v>
      </c>
      <c r="R3" s="54">
        <f t="shared" ref="R3:V3" si="1">SUM(R4:R5)</f>
        <v>3140.5030000000002</v>
      </c>
      <c r="S3" s="54">
        <f t="shared" si="1"/>
        <v>3542.739</v>
      </c>
      <c r="T3" s="54">
        <f t="shared" si="1"/>
        <v>3763.0329999999999</v>
      </c>
      <c r="U3" s="54">
        <f t="shared" si="1"/>
        <v>3564.067</v>
      </c>
      <c r="V3" s="54">
        <f t="shared" si="1"/>
        <v>3632.2739999999999</v>
      </c>
      <c r="W3" s="54">
        <f t="shared" ref="W3:Y3" si="2">SUM(W4:W5)</f>
        <v>4328.5810000000001</v>
      </c>
      <c r="X3" s="54">
        <f t="shared" si="2"/>
        <v>4408.2190000000001</v>
      </c>
      <c r="Y3" s="54">
        <f t="shared" si="2"/>
        <v>3185.8359999999998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2075.9059999999999</v>
      </c>
      <c r="C4" s="56">
        <v>2036.365</v>
      </c>
      <c r="D4" s="56">
        <v>1956.1279999999999</v>
      </c>
      <c r="E4" s="56">
        <v>1997.61</v>
      </c>
      <c r="F4" s="56">
        <v>1933.3589999999999</v>
      </c>
      <c r="G4" s="56">
        <v>2238.433</v>
      </c>
      <c r="H4" s="56">
        <v>3361.8429999999998</v>
      </c>
      <c r="I4" s="56">
        <v>2127.4699999999998</v>
      </c>
      <c r="J4" s="56">
        <v>2232.3620000000001</v>
      </c>
      <c r="K4" s="56">
        <v>2173.7730000000001</v>
      </c>
      <c r="L4" s="56">
        <v>3237.5949999999998</v>
      </c>
      <c r="M4" s="56">
        <v>3178.3670000000002</v>
      </c>
      <c r="N4" s="56">
        <v>2963.6149999999998</v>
      </c>
      <c r="O4" s="56">
        <v>3292.2069999999999</v>
      </c>
      <c r="P4" s="56">
        <v>3164.7820000000002</v>
      </c>
      <c r="Q4" s="56">
        <v>3094.471</v>
      </c>
      <c r="R4" s="56">
        <v>3124.5030000000002</v>
      </c>
      <c r="S4" s="56">
        <v>3537.739</v>
      </c>
      <c r="T4" s="56">
        <v>3720.0329999999999</v>
      </c>
      <c r="U4" s="56">
        <v>3515.067</v>
      </c>
      <c r="V4" s="56">
        <v>3553.2739999999999</v>
      </c>
      <c r="W4" s="56">
        <v>4186.5810000000001</v>
      </c>
      <c r="X4" s="56">
        <v>4274.2190000000001</v>
      </c>
      <c r="Y4" s="56">
        <v>3051.8359999999998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16</v>
      </c>
      <c r="S5" s="58">
        <v>5</v>
      </c>
      <c r="T5" s="58">
        <v>43</v>
      </c>
      <c r="U5" s="58">
        <v>49</v>
      </c>
      <c r="V5" s="58">
        <v>79</v>
      </c>
      <c r="W5" s="58">
        <v>142</v>
      </c>
      <c r="X5" s="58">
        <v>134</v>
      </c>
      <c r="Y5" s="58">
        <v>134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1.0209999999999999</v>
      </c>
      <c r="C7" s="59">
        <f t="shared" si="3"/>
        <v>1.0049999999999999</v>
      </c>
      <c r="D7" s="59">
        <f t="shared" si="3"/>
        <v>0.91300000000000003</v>
      </c>
      <c r="E7" s="59">
        <f t="shared" si="3"/>
        <v>0.93700000000000006</v>
      </c>
      <c r="F7" s="59">
        <f t="shared" si="3"/>
        <v>0.92800000000000005</v>
      </c>
      <c r="G7" s="59">
        <f t="shared" si="3"/>
        <v>1.0580000000000001</v>
      </c>
      <c r="H7" s="59">
        <f t="shared" si="3"/>
        <v>1.5069999999999999</v>
      </c>
      <c r="I7" s="59">
        <f t="shared" si="3"/>
        <v>1.1279999999999999</v>
      </c>
      <c r="J7" s="59">
        <f t="shared" si="3"/>
        <v>1.095</v>
      </c>
      <c r="K7" s="59">
        <f t="shared" si="3"/>
        <v>1.0209999999999999</v>
      </c>
      <c r="L7" s="59">
        <f t="shared" si="3"/>
        <v>1.5109999999999999</v>
      </c>
      <c r="M7" s="59">
        <f t="shared" si="3"/>
        <v>1.5580000000000001</v>
      </c>
      <c r="N7" s="59">
        <f t="shared" si="3"/>
        <v>1.391</v>
      </c>
      <c r="O7" s="59">
        <f t="shared" si="3"/>
        <v>1.6619999999999999</v>
      </c>
      <c r="P7" s="59">
        <f t="shared" si="3"/>
        <v>1.5449999999999999</v>
      </c>
      <c r="Q7" s="59">
        <f t="shared" si="3"/>
        <v>1.417</v>
      </c>
      <c r="R7" s="59">
        <f t="shared" ref="R7:V7" si="4">SUM(R8:R9)</f>
        <v>1.351</v>
      </c>
      <c r="S7" s="59">
        <f t="shared" si="4"/>
        <v>1.5329999999999999</v>
      </c>
      <c r="T7" s="59">
        <f t="shared" si="4"/>
        <v>1.7370000000000001</v>
      </c>
      <c r="U7" s="59">
        <f t="shared" si="4"/>
        <v>1.659</v>
      </c>
      <c r="V7" s="59">
        <f t="shared" si="4"/>
        <v>1.5209999999999999</v>
      </c>
      <c r="W7" s="59">
        <f t="shared" ref="W7:Y7" si="5">SUM(W8:W9)</f>
        <v>1.853</v>
      </c>
      <c r="X7" s="59">
        <f t="shared" si="5"/>
        <v>1.9609999999999999</v>
      </c>
      <c r="Y7" s="59">
        <f t="shared" si="5"/>
        <v>1.3920000000000001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1.0209999999999999</v>
      </c>
      <c r="C8" s="60">
        <v>1.0049999999999999</v>
      </c>
      <c r="D8" s="60">
        <v>0.91300000000000003</v>
      </c>
      <c r="E8" s="60">
        <v>0.93700000000000006</v>
      </c>
      <c r="F8" s="60">
        <v>0.92800000000000005</v>
      </c>
      <c r="G8" s="60">
        <v>1.0580000000000001</v>
      </c>
      <c r="H8" s="60">
        <v>1.5069999999999999</v>
      </c>
      <c r="I8" s="60">
        <v>1.1279999999999999</v>
      </c>
      <c r="J8" s="60">
        <v>1.095</v>
      </c>
      <c r="K8" s="60">
        <v>1.0209999999999999</v>
      </c>
      <c r="L8" s="60">
        <v>1.5109999999999999</v>
      </c>
      <c r="M8" s="60">
        <v>1.5580000000000001</v>
      </c>
      <c r="N8" s="60">
        <v>1.391</v>
      </c>
      <c r="O8" s="60">
        <v>1.6619999999999999</v>
      </c>
      <c r="P8" s="60">
        <v>1.5449999999999999</v>
      </c>
      <c r="Q8" s="60">
        <v>1.417</v>
      </c>
      <c r="R8" s="60">
        <v>1.329</v>
      </c>
      <c r="S8" s="60">
        <v>1.526</v>
      </c>
      <c r="T8" s="60">
        <v>1.675</v>
      </c>
      <c r="U8" s="60">
        <v>1.5920000000000001</v>
      </c>
      <c r="V8" s="60">
        <v>1.43</v>
      </c>
      <c r="W8" s="60">
        <v>1.6839999999999999</v>
      </c>
      <c r="X8" s="60">
        <v>1.7909999999999999</v>
      </c>
      <c r="Y8" s="60">
        <v>1.2150000000000001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2.1999999999999999E-2</v>
      </c>
      <c r="S9" s="61">
        <v>7.0000000000000001E-3</v>
      </c>
      <c r="T9" s="61">
        <v>6.2E-2</v>
      </c>
      <c r="U9" s="61">
        <v>6.7000000000000004E-2</v>
      </c>
      <c r="V9" s="61">
        <v>9.0999999999999998E-2</v>
      </c>
      <c r="W9" s="61">
        <v>0.16900000000000001</v>
      </c>
      <c r="X9" s="61">
        <v>0.17</v>
      </c>
      <c r="Y9" s="61">
        <v>0.17699999999999999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2033.2086190009795</v>
      </c>
      <c r="C13" s="62">
        <f t="shared" si="6"/>
        <v>2026.2338308457713</v>
      </c>
      <c r="D13" s="62">
        <f t="shared" si="6"/>
        <v>2142.5279299014237</v>
      </c>
      <c r="E13" s="62">
        <f t="shared" si="6"/>
        <v>2131.9210245464246</v>
      </c>
      <c r="F13" s="62">
        <f t="shared" ref="F13:V13" si="7">IF(F3=0,0,F3/F7)</f>
        <v>2083.3609913793102</v>
      </c>
      <c r="G13" s="62">
        <f t="shared" si="7"/>
        <v>2115.7211720226842</v>
      </c>
      <c r="H13" s="62">
        <f t="shared" si="7"/>
        <v>2230.818181818182</v>
      </c>
      <c r="I13" s="62">
        <f t="shared" si="7"/>
        <v>1886.0549645390072</v>
      </c>
      <c r="J13" s="62">
        <f t="shared" si="7"/>
        <v>2038.6867579908676</v>
      </c>
      <c r="K13" s="62">
        <f t="shared" si="7"/>
        <v>2129.0626836434872</v>
      </c>
      <c r="L13" s="62">
        <f t="shared" si="7"/>
        <v>2142.683653209795</v>
      </c>
      <c r="M13" s="62">
        <f t="shared" si="7"/>
        <v>2040.0301668806162</v>
      </c>
      <c r="N13" s="62">
        <f t="shared" si="7"/>
        <v>2130.5643421998561</v>
      </c>
      <c r="O13" s="62">
        <f t="shared" si="7"/>
        <v>1980.8706377858002</v>
      </c>
      <c r="P13" s="62">
        <f t="shared" si="7"/>
        <v>2048.4025889967638</v>
      </c>
      <c r="Q13" s="62">
        <f t="shared" si="7"/>
        <v>2183.8186309103739</v>
      </c>
      <c r="R13" s="62">
        <f t="shared" si="7"/>
        <v>2324.5766099185789</v>
      </c>
      <c r="S13" s="62">
        <f t="shared" si="7"/>
        <v>2310.9843444227008</v>
      </c>
      <c r="T13" s="62">
        <f t="shared" si="7"/>
        <v>2166.3978123200918</v>
      </c>
      <c r="U13" s="62">
        <f t="shared" si="7"/>
        <v>2148.3224834237494</v>
      </c>
      <c r="V13" s="62">
        <f t="shared" si="7"/>
        <v>2388.0828402366865</v>
      </c>
      <c r="W13" s="62">
        <f t="shared" ref="W13:Y13" si="8">IF(W3=0,0,W3/W7)</f>
        <v>2335.985429033999</v>
      </c>
      <c r="X13" s="62">
        <f t="shared" si="8"/>
        <v>2247.9444161142278</v>
      </c>
      <c r="Y13" s="62">
        <f t="shared" si="8"/>
        <v>2288.6752873563214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2033.2086190009795</v>
      </c>
      <c r="C14" s="63">
        <f t="shared" si="6"/>
        <v>2026.2338308457713</v>
      </c>
      <c r="D14" s="63">
        <f t="shared" si="6"/>
        <v>2142.5279299014237</v>
      </c>
      <c r="E14" s="63">
        <f t="shared" si="6"/>
        <v>2131.9210245464246</v>
      </c>
      <c r="F14" s="63">
        <f t="shared" ref="F14:V14" si="9">IF(F4=0,0,F4/F8)</f>
        <v>2083.3609913793102</v>
      </c>
      <c r="G14" s="63">
        <f t="shared" si="9"/>
        <v>2115.7211720226842</v>
      </c>
      <c r="H14" s="63">
        <f t="shared" si="9"/>
        <v>2230.818181818182</v>
      </c>
      <c r="I14" s="63">
        <f t="shared" si="9"/>
        <v>1886.0549645390072</v>
      </c>
      <c r="J14" s="63">
        <f t="shared" si="9"/>
        <v>2038.6867579908676</v>
      </c>
      <c r="K14" s="63">
        <f t="shared" si="9"/>
        <v>2129.0626836434872</v>
      </c>
      <c r="L14" s="63">
        <f t="shared" si="9"/>
        <v>2142.683653209795</v>
      </c>
      <c r="M14" s="63">
        <f t="shared" si="9"/>
        <v>2040.0301668806162</v>
      </c>
      <c r="N14" s="63">
        <f t="shared" si="9"/>
        <v>2130.5643421998561</v>
      </c>
      <c r="O14" s="63">
        <f t="shared" si="9"/>
        <v>1980.8706377858002</v>
      </c>
      <c r="P14" s="63">
        <f t="shared" si="9"/>
        <v>2048.4025889967638</v>
      </c>
      <c r="Q14" s="63">
        <f t="shared" si="9"/>
        <v>2183.8186309103739</v>
      </c>
      <c r="R14" s="63">
        <f t="shared" si="9"/>
        <v>2351.018058690745</v>
      </c>
      <c r="S14" s="63">
        <f t="shared" si="9"/>
        <v>2318.3086500655309</v>
      </c>
      <c r="T14" s="63">
        <f t="shared" si="9"/>
        <v>2220.9152238805968</v>
      </c>
      <c r="U14" s="63">
        <f t="shared" si="9"/>
        <v>2207.9566582914572</v>
      </c>
      <c r="V14" s="63">
        <f t="shared" si="9"/>
        <v>2484.8069930069933</v>
      </c>
      <c r="W14" s="63">
        <f t="shared" ref="W14:Y14" si="10">IF(W4=0,0,W4/W8)</f>
        <v>2486.0932304038006</v>
      </c>
      <c r="X14" s="63">
        <f t="shared" si="10"/>
        <v>2386.4986041317702</v>
      </c>
      <c r="Y14" s="63">
        <f t="shared" si="10"/>
        <v>2511.799176954732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727.27272727272737</v>
      </c>
      <c r="S15" s="64">
        <f t="shared" si="11"/>
        <v>714.28571428571422</v>
      </c>
      <c r="T15" s="64">
        <f t="shared" si="11"/>
        <v>693.54838709677415</v>
      </c>
      <c r="U15" s="64">
        <f t="shared" si="11"/>
        <v>731.3432835820895</v>
      </c>
      <c r="V15" s="64">
        <f t="shared" si="11"/>
        <v>868.13186813186815</v>
      </c>
      <c r="W15" s="64">
        <f t="shared" ref="W15:Y15" si="12">IF(W5=0,0,W5/W9)</f>
        <v>840.23668639053244</v>
      </c>
      <c r="X15" s="64">
        <f t="shared" si="12"/>
        <v>788.23529411764696</v>
      </c>
      <c r="Y15" s="64">
        <f t="shared" si="12"/>
        <v>757.06214689265539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0.99490527472828394</v>
      </c>
      <c r="S18" s="66">
        <f t="shared" si="17"/>
        <v>0.99858866261387025</v>
      </c>
      <c r="T18" s="66">
        <f t="shared" si="17"/>
        <v>0.98857304732645179</v>
      </c>
      <c r="U18" s="66">
        <f t="shared" si="17"/>
        <v>0.98625166137449161</v>
      </c>
      <c r="V18" s="66">
        <f t="shared" si="17"/>
        <v>0.97825053946921403</v>
      </c>
      <c r="W18" s="66">
        <f t="shared" ref="W18:Y18" si="18">IF(W4=0,0,W4/W$3)</f>
        <v>0.96719479201151604</v>
      </c>
      <c r="X18" s="66">
        <f t="shared" si="18"/>
        <v>0.96960223618654151</v>
      </c>
      <c r="Y18" s="66">
        <f t="shared" si="18"/>
        <v>0.95793882673182174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5.0947252717160278E-3</v>
      </c>
      <c r="S19" s="67">
        <f t="shared" si="20"/>
        <v>1.4113373861297713E-3</v>
      </c>
      <c r="T19" s="67">
        <f t="shared" si="20"/>
        <v>1.1426952673548173E-2</v>
      </c>
      <c r="U19" s="67">
        <f t="shared" si="20"/>
        <v>1.3748338625508442E-2</v>
      </c>
      <c r="V19" s="67">
        <f t="shared" si="20"/>
        <v>2.1749460530785948E-2</v>
      </c>
      <c r="W19" s="67">
        <f t="shared" ref="W19:Y19" si="21">IF(W5=0,0,W5/W$3)</f>
        <v>3.2805207988483985E-2</v>
      </c>
      <c r="X19" s="67">
        <f t="shared" si="21"/>
        <v>3.0397763813458451E-2</v>
      </c>
      <c r="Y19" s="67">
        <f t="shared" si="21"/>
        <v>4.2061173268178279E-2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0.98371576609918576</v>
      </c>
      <c r="S22" s="66">
        <f t="shared" si="26"/>
        <v>0.99543378995433796</v>
      </c>
      <c r="T22" s="66">
        <f t="shared" si="26"/>
        <v>0.96430627518710421</v>
      </c>
      <c r="U22" s="66">
        <f t="shared" si="26"/>
        <v>0.95961422543701025</v>
      </c>
      <c r="V22" s="66">
        <f t="shared" si="26"/>
        <v>0.94017094017094016</v>
      </c>
      <c r="W22" s="66">
        <f t="shared" ref="W22:Y22" si="27">IF(W8=0,0,W8/W$7)</f>
        <v>0.90879654614139227</v>
      </c>
      <c r="X22" s="66">
        <f t="shared" si="27"/>
        <v>0.91330953595104547</v>
      </c>
      <c r="Y22" s="66">
        <f t="shared" si="27"/>
        <v>0.87284482758620685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1.628423390081421E-2</v>
      </c>
      <c r="S23" s="67">
        <f t="shared" si="29"/>
        <v>4.5662100456621011E-3</v>
      </c>
      <c r="T23" s="67">
        <f t="shared" si="29"/>
        <v>3.5693724812895795E-2</v>
      </c>
      <c r="U23" s="67">
        <f t="shared" si="29"/>
        <v>4.0385774562989751E-2</v>
      </c>
      <c r="V23" s="67">
        <f t="shared" si="29"/>
        <v>5.9829059829059832E-2</v>
      </c>
      <c r="W23" s="67">
        <f t="shared" ref="W23:Y23" si="30">IF(W9=0,0,W9/W$7)</f>
        <v>9.1203453858607675E-2</v>
      </c>
      <c r="X23" s="67">
        <f t="shared" si="30"/>
        <v>8.6690464048954627E-2</v>
      </c>
      <c r="Y23" s="67">
        <f t="shared" si="30"/>
        <v>0.12715517241379309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156.76895958727425</v>
      </c>
      <c r="C3" s="62">
        <f t="shared" ref="C3:V3" si="0">SUM(C4,C10)</f>
        <v>156.52055030094584</v>
      </c>
      <c r="D3" s="62">
        <f t="shared" si="0"/>
        <v>148.24213241616508</v>
      </c>
      <c r="E3" s="62">
        <f t="shared" si="0"/>
        <v>174.48168529664662</v>
      </c>
      <c r="F3" s="62">
        <f t="shared" si="0"/>
        <v>148.74368013757521</v>
      </c>
      <c r="G3" s="62">
        <f t="shared" si="0"/>
        <v>138.06130696474634</v>
      </c>
      <c r="H3" s="62">
        <f t="shared" si="0"/>
        <v>138.99079965606188</v>
      </c>
      <c r="I3" s="62">
        <f t="shared" si="0"/>
        <v>135.94858125537405</v>
      </c>
      <c r="J3" s="62">
        <f t="shared" si="0"/>
        <v>134.15236457437661</v>
      </c>
      <c r="K3" s="62">
        <f t="shared" si="0"/>
        <v>136.81427343078246</v>
      </c>
      <c r="L3" s="62">
        <f t="shared" si="0"/>
        <v>148.17661220980222</v>
      </c>
      <c r="M3" s="62">
        <f t="shared" si="0"/>
        <v>151.4312983662941</v>
      </c>
      <c r="N3" s="62">
        <f t="shared" si="0"/>
        <v>139.38125537403266</v>
      </c>
      <c r="O3" s="62">
        <f t="shared" si="0"/>
        <v>146.2905417024935</v>
      </c>
      <c r="P3" s="62">
        <f t="shared" si="0"/>
        <v>141.7225279449699</v>
      </c>
      <c r="Q3" s="62">
        <f t="shared" si="0"/>
        <v>138.92467755803955</v>
      </c>
      <c r="R3" s="62">
        <f t="shared" si="0"/>
        <v>146.55726569217541</v>
      </c>
      <c r="S3" s="62">
        <f t="shared" si="0"/>
        <v>144.8463456577816</v>
      </c>
      <c r="T3" s="62">
        <f t="shared" si="0"/>
        <v>146.02648323301804</v>
      </c>
      <c r="U3" s="62">
        <f t="shared" si="0"/>
        <v>144.90937231298363</v>
      </c>
      <c r="V3" s="62">
        <f t="shared" si="0"/>
        <v>116.09019776440239</v>
      </c>
      <c r="W3" s="62">
        <f t="shared" ref="W3:Y3" si="1">SUM(W4,W10)</f>
        <v>109.96440240756665</v>
      </c>
      <c r="X3" s="62">
        <f t="shared" si="1"/>
        <v>140.72493551160792</v>
      </c>
      <c r="Y3" s="62">
        <f t="shared" si="1"/>
        <v>130.27420464316424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156.76895958727425</v>
      </c>
      <c r="C4" s="71">
        <f t="shared" ref="C4:V4" si="2">SUM(C5:C9)</f>
        <v>156.52055030094584</v>
      </c>
      <c r="D4" s="71">
        <f t="shared" si="2"/>
        <v>148.24213241616508</v>
      </c>
      <c r="E4" s="71">
        <f t="shared" si="2"/>
        <v>174.48168529664662</v>
      </c>
      <c r="F4" s="71">
        <f t="shared" si="2"/>
        <v>148.74368013757521</v>
      </c>
      <c r="G4" s="71">
        <f t="shared" si="2"/>
        <v>138.06130696474634</v>
      </c>
      <c r="H4" s="71">
        <f t="shared" si="2"/>
        <v>138.99079965606188</v>
      </c>
      <c r="I4" s="71">
        <f t="shared" si="2"/>
        <v>135.94858125537405</v>
      </c>
      <c r="J4" s="71">
        <f t="shared" si="2"/>
        <v>134.15236457437661</v>
      </c>
      <c r="K4" s="71">
        <f t="shared" si="2"/>
        <v>136.81427343078246</v>
      </c>
      <c r="L4" s="71">
        <f t="shared" si="2"/>
        <v>148.17661220980222</v>
      </c>
      <c r="M4" s="71">
        <f t="shared" si="2"/>
        <v>151.4312983662941</v>
      </c>
      <c r="N4" s="71">
        <f t="shared" si="2"/>
        <v>139.38125537403266</v>
      </c>
      <c r="O4" s="71">
        <f t="shared" si="2"/>
        <v>146.2905417024935</v>
      </c>
      <c r="P4" s="71">
        <f t="shared" si="2"/>
        <v>141.7225279449699</v>
      </c>
      <c r="Q4" s="71">
        <f t="shared" si="2"/>
        <v>138.92467755803955</v>
      </c>
      <c r="R4" s="71">
        <f t="shared" si="2"/>
        <v>146.32510387964712</v>
      </c>
      <c r="S4" s="71">
        <f t="shared" si="2"/>
        <v>144.78708506937809</v>
      </c>
      <c r="T4" s="71">
        <f t="shared" si="2"/>
        <v>145.53260670683977</v>
      </c>
      <c r="U4" s="71">
        <f t="shared" si="2"/>
        <v>144.33654957049313</v>
      </c>
      <c r="V4" s="71">
        <f t="shared" si="2"/>
        <v>115.34636543221148</v>
      </c>
      <c r="W4" s="71">
        <f t="shared" ref="W4:Y4" si="3">SUM(W5:W9)</f>
        <v>108.87778579665512</v>
      </c>
      <c r="X4" s="71">
        <f t="shared" si="3"/>
        <v>139.49283865646225</v>
      </c>
      <c r="Y4" s="71">
        <f t="shared" si="3"/>
        <v>128.55158950743237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119.13637145313839</v>
      </c>
      <c r="C5" s="73">
        <v>115.0282029234738</v>
      </c>
      <c r="D5" s="73">
        <v>105.78486672398969</v>
      </c>
      <c r="E5" s="73">
        <v>108.86595012897681</v>
      </c>
      <c r="F5" s="73">
        <v>82.16302665520206</v>
      </c>
      <c r="G5" s="73">
        <v>40.869905417024931</v>
      </c>
      <c r="H5" s="73">
        <v>42.438177128116934</v>
      </c>
      <c r="I5" s="73">
        <v>41.467669819432501</v>
      </c>
      <c r="J5" s="73">
        <v>41.301289767841787</v>
      </c>
      <c r="K5" s="73">
        <v>40.944883920894242</v>
      </c>
      <c r="L5" s="73">
        <v>47.49019776440241</v>
      </c>
      <c r="M5" s="73">
        <v>47.584694754944103</v>
      </c>
      <c r="N5" s="73">
        <v>42.99079965606191</v>
      </c>
      <c r="O5" s="73">
        <v>44.464574376612212</v>
      </c>
      <c r="P5" s="73">
        <v>44.512811693895102</v>
      </c>
      <c r="Q5" s="73">
        <v>85.789423903697326</v>
      </c>
      <c r="R5" s="73">
        <v>89.857774118177034</v>
      </c>
      <c r="S5" s="73">
        <v>86.533198068730215</v>
      </c>
      <c r="T5" s="73">
        <v>49.032829316209337</v>
      </c>
      <c r="U5" s="73">
        <v>60.030032899235536</v>
      </c>
      <c r="V5" s="73">
        <v>43.631531691259454</v>
      </c>
      <c r="W5" s="73">
        <v>50.073773011838924</v>
      </c>
      <c r="X5" s="73">
        <v>84.850456327145139</v>
      </c>
      <c r="Y5" s="73">
        <v>73.944639724615058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37.632588134135858</v>
      </c>
      <c r="C6" s="73">
        <v>41.492347377472043</v>
      </c>
      <c r="D6" s="73">
        <v>42.457265692175383</v>
      </c>
      <c r="E6" s="73">
        <v>65.615735167669811</v>
      </c>
      <c r="F6" s="73">
        <v>66.580653482373151</v>
      </c>
      <c r="G6" s="73">
        <v>97.191401547721398</v>
      </c>
      <c r="H6" s="73">
        <v>96.552622527944948</v>
      </c>
      <c r="I6" s="73">
        <v>94.48091143594155</v>
      </c>
      <c r="J6" s="73">
        <v>92.851074806534825</v>
      </c>
      <c r="K6" s="73">
        <v>95.869389509888222</v>
      </c>
      <c r="L6" s="73">
        <v>100.68641444539981</v>
      </c>
      <c r="M6" s="73">
        <v>103.84660361134999</v>
      </c>
      <c r="N6" s="73">
        <v>96.390455717970752</v>
      </c>
      <c r="O6" s="73">
        <v>101.82596732588129</v>
      </c>
      <c r="P6" s="73">
        <v>97.209716251074795</v>
      </c>
      <c r="Q6" s="73">
        <v>53.135253654342222</v>
      </c>
      <c r="R6" s="73">
        <v>56.46732976147009</v>
      </c>
      <c r="S6" s="73">
        <v>58.253887000647879</v>
      </c>
      <c r="T6" s="73">
        <v>96.499777390630427</v>
      </c>
      <c r="U6" s="73">
        <v>80.304942701116957</v>
      </c>
      <c r="V6" s="73">
        <v>64.729270942189686</v>
      </c>
      <c r="W6" s="73">
        <v>51.842875487629975</v>
      </c>
      <c r="X6" s="73">
        <v>47.673327334278937</v>
      </c>
      <c r="Y6" s="73">
        <v>47.669305018935631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4.0015739701406465</v>
      </c>
      <c r="V7" s="73">
        <v>6.985562798762345</v>
      </c>
      <c r="W7" s="73">
        <v>6.9611372971862249</v>
      </c>
      <c r="X7" s="73">
        <v>6.9690549950381548</v>
      </c>
      <c r="Y7" s="73">
        <v>6.9376447638816696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0.23216181252828549</v>
      </c>
      <c r="S10" s="71">
        <f t="shared" si="4"/>
        <v>5.9260588403505447E-2</v>
      </c>
      <c r="T10" s="71">
        <f t="shared" si="4"/>
        <v>0.49387652617826272</v>
      </c>
      <c r="U10" s="71">
        <f t="shared" si="4"/>
        <v>0.57282274249049892</v>
      </c>
      <c r="V10" s="71">
        <f t="shared" si="4"/>
        <v>0.74383233219090505</v>
      </c>
      <c r="W10" s="71">
        <f t="shared" ref="W10:Y10" si="5">SUM(W11:W15)</f>
        <v>1.0866166109115343</v>
      </c>
      <c r="X10" s="71">
        <f t="shared" si="5"/>
        <v>1.2320968551456699</v>
      </c>
      <c r="Y10" s="71">
        <f t="shared" si="5"/>
        <v>1.7226151357318746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0.14256981991409984</v>
      </c>
      <c r="S11" s="73">
        <v>3.5417580452930794E-2</v>
      </c>
      <c r="T11" s="73">
        <v>0.1663968230855789</v>
      </c>
      <c r="U11" s="73">
        <v>0.23823881185645754</v>
      </c>
      <c r="V11" s="73">
        <v>0.28136598715842748</v>
      </c>
      <c r="W11" s="73">
        <v>0.49974375514302061</v>
      </c>
      <c r="X11" s="73">
        <v>0.7494576883320696</v>
      </c>
      <c r="Y11" s="73">
        <v>0.99087188329552167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8.959199261418567E-2</v>
      </c>
      <c r="S12" s="73">
        <v>2.3843007950574653E-2</v>
      </c>
      <c r="T12" s="73">
        <v>0.32747970309268382</v>
      </c>
      <c r="U12" s="73">
        <v>0.31870304264915111</v>
      </c>
      <c r="V12" s="73">
        <v>0.41741865368304237</v>
      </c>
      <c r="W12" s="73">
        <v>0.5173996628429578</v>
      </c>
      <c r="X12" s="73">
        <v>0.42108367173997607</v>
      </c>
      <c r="Y12" s="73">
        <v>0.63877752620624195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1.5880887984890239E-2</v>
      </c>
      <c r="V13" s="73">
        <v>4.5047691349435169E-2</v>
      </c>
      <c r="W13" s="73">
        <v>6.9473192925555913E-2</v>
      </c>
      <c r="X13" s="73">
        <v>6.1555495073624324E-2</v>
      </c>
      <c r="Y13" s="73">
        <v>9.2965726230110873E-2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15354.452457127743</v>
      </c>
      <c r="C19" s="62">
        <f>IF(C3=0,0,C3/TrNavi_act!C7*100)</f>
        <v>15574.184109546852</v>
      </c>
      <c r="D19" s="62">
        <f>IF(D3=0,0,D3/TrNavi_act!D7*100)</f>
        <v>16236.816255877884</v>
      </c>
      <c r="E19" s="62">
        <f>IF(E3=0,0,E3/TrNavi_act!E7*100)</f>
        <v>18621.311130912123</v>
      </c>
      <c r="F19" s="62">
        <f>IF(F3=0,0,F3/TrNavi_act!F7*100)</f>
        <v>16028.413807928362</v>
      </c>
      <c r="G19" s="62">
        <f>IF(G3=0,0,G3/TrNavi_act!G7*100)</f>
        <v>13049.272870013832</v>
      </c>
      <c r="H19" s="62">
        <f>IF(H3=0,0,H3/TrNavi_act!H7*100)</f>
        <v>9223.0125850074237</v>
      </c>
      <c r="I19" s="62">
        <f>IF(I3=0,0,I3/TrNavi_act!I7*100)</f>
        <v>12052.179189306211</v>
      </c>
      <c r="J19" s="62">
        <f>IF(J3=0,0,J3/TrNavi_act!J7*100)</f>
        <v>12251.35749537686</v>
      </c>
      <c r="K19" s="62">
        <f>IF(K3=0,0,K3/TrNavi_act!K7*100)</f>
        <v>13400.026780683886</v>
      </c>
      <c r="L19" s="62">
        <f>IF(L3=0,0,L3/TrNavi_act!L7*100)</f>
        <v>9806.5262878757276</v>
      </c>
      <c r="M19" s="62">
        <f>IF(M3=0,0,M3/TrNavi_act!M7*100)</f>
        <v>9719.5955305708667</v>
      </c>
      <c r="N19" s="62">
        <f>IF(N3=0,0,N3/TrNavi_act!N7*100)</f>
        <v>10020.219653057704</v>
      </c>
      <c r="O19" s="62">
        <f>IF(O3=0,0,O3/TrNavi_act!O7*100)</f>
        <v>8802.0783214496696</v>
      </c>
      <c r="P19" s="62">
        <f>IF(P3=0,0,P3/TrNavi_act!P7*100)</f>
        <v>9172.9791550142345</v>
      </c>
      <c r="Q19" s="62">
        <f>IF(Q3=0,0,Q3/TrNavi_act!Q7*100)</f>
        <v>9804.1409709272775</v>
      </c>
      <c r="R19" s="62">
        <f>IF(R3=0,0,R3/TrNavi_act!R7*100)</f>
        <v>10848.058156341629</v>
      </c>
      <c r="S19" s="62">
        <f>IF(S3=0,0,S3/TrNavi_act!S7*100)</f>
        <v>9448.5548374286773</v>
      </c>
      <c r="T19" s="62">
        <f>IF(T3=0,0,T3/TrNavi_act!T7*100)</f>
        <v>8406.8211417972379</v>
      </c>
      <c r="U19" s="62">
        <f>IF(U3=0,0,U3/TrNavi_act!U7*100)</f>
        <v>8734.7421526813523</v>
      </c>
      <c r="V19" s="62">
        <f>IF(V3=0,0,V3/TrNavi_act!V7*100)</f>
        <v>7632.4916347404596</v>
      </c>
      <c r="W19" s="62">
        <f>IF(W3=0,0,W3/TrNavi_act!W7*100)</f>
        <v>5934.3984029987405</v>
      </c>
      <c r="X19" s="62">
        <f>IF(X3=0,0,X3/TrNavi_act!X7*100)</f>
        <v>7176.1823310355903</v>
      </c>
      <c r="Y19" s="62">
        <f>IF(Y3=0,0,Y3/TrNavi_act!Y7*100)</f>
        <v>9358.7790691928312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15354.452457127743</v>
      </c>
      <c r="C20" s="63">
        <f>IF(C4=0,0,C4/TrNavi_act!C8*100)</f>
        <v>15574.184109546852</v>
      </c>
      <c r="D20" s="63">
        <f>IF(D4=0,0,D4/TrNavi_act!D8*100)</f>
        <v>16236.816255877884</v>
      </c>
      <c r="E20" s="63">
        <f>IF(E4=0,0,E4/TrNavi_act!E8*100)</f>
        <v>18621.311130912123</v>
      </c>
      <c r="F20" s="63">
        <f>IF(F4=0,0,F4/TrNavi_act!F8*100)</f>
        <v>16028.413807928362</v>
      </c>
      <c r="G20" s="63">
        <f>IF(G4=0,0,G4/TrNavi_act!G8*100)</f>
        <v>13049.272870013832</v>
      </c>
      <c r="H20" s="63">
        <f>IF(H4=0,0,H4/TrNavi_act!H8*100)</f>
        <v>9223.0125850074237</v>
      </c>
      <c r="I20" s="63">
        <f>IF(I4=0,0,I4/TrNavi_act!I8*100)</f>
        <v>12052.179189306211</v>
      </c>
      <c r="J20" s="63">
        <f>IF(J4=0,0,J4/TrNavi_act!J8*100)</f>
        <v>12251.35749537686</v>
      </c>
      <c r="K20" s="63">
        <f>IF(K4=0,0,K4/TrNavi_act!K8*100)</f>
        <v>13400.026780683886</v>
      </c>
      <c r="L20" s="63">
        <f>IF(L4=0,0,L4/TrNavi_act!L8*100)</f>
        <v>9806.5262878757276</v>
      </c>
      <c r="M20" s="63">
        <f>IF(M4=0,0,M4/TrNavi_act!M8*100)</f>
        <v>9719.5955305708667</v>
      </c>
      <c r="N20" s="63">
        <f>IF(N4=0,0,N4/TrNavi_act!N8*100)</f>
        <v>10020.219653057704</v>
      </c>
      <c r="O20" s="63">
        <f>IF(O4=0,0,O4/TrNavi_act!O8*100)</f>
        <v>8802.0783214496696</v>
      </c>
      <c r="P20" s="63">
        <f>IF(P4=0,0,P4/TrNavi_act!P8*100)</f>
        <v>9172.9791550142345</v>
      </c>
      <c r="Q20" s="63">
        <f>IF(Q4=0,0,Q4/TrNavi_act!Q8*100)</f>
        <v>9804.1409709272775</v>
      </c>
      <c r="R20" s="63">
        <f>IF(R4=0,0,R4/TrNavi_act!R8*100)</f>
        <v>11010.165829920777</v>
      </c>
      <c r="S20" s="63">
        <f>IF(S4=0,0,S4/TrNavi_act!S8*100)</f>
        <v>9488.0134383602945</v>
      </c>
      <c r="T20" s="63">
        <f>IF(T4=0,0,T4/TrNavi_act!T8*100)</f>
        <v>8688.5138332441657</v>
      </c>
      <c r="U20" s="63">
        <f>IF(U4=0,0,U4/TrNavi_act!U8*100)</f>
        <v>9066.366179051076</v>
      </c>
      <c r="V20" s="63">
        <f>IF(V4=0,0,V4/TrNavi_act!V8*100)</f>
        <v>8066.17940085395</v>
      </c>
      <c r="W20" s="63">
        <f>IF(W4=0,0,W4/TrNavi_act!W8*100)</f>
        <v>6465.4267100151501</v>
      </c>
      <c r="X20" s="63">
        <f>IF(X4=0,0,X4/TrNavi_act!X8*100)</f>
        <v>7788.5448719409414</v>
      </c>
      <c r="Y20" s="63">
        <f>IF(Y4=0,0,Y4/TrNavi_act!Y8*100)</f>
        <v>10580.377737237231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1055.2809660376613</v>
      </c>
      <c r="S21" s="64">
        <f>IF(S10=0,0,S10/TrNavi_act!S9*100)</f>
        <v>846.57983433579216</v>
      </c>
      <c r="T21" s="64">
        <f>IF(T10=0,0,T10/TrNavi_act!T9*100)</f>
        <v>796.5750422230044</v>
      </c>
      <c r="U21" s="64">
        <f>IF(U10=0,0,U10/TrNavi_act!U9*100)</f>
        <v>854.95931714999836</v>
      </c>
      <c r="V21" s="64">
        <f>IF(V10=0,0,V10/TrNavi_act!V9*100)</f>
        <v>817.39816724275283</v>
      </c>
      <c r="W21" s="64">
        <f>IF(W10=0,0,W10/TrNavi_act!W9*100)</f>
        <v>642.96840882339302</v>
      </c>
      <c r="X21" s="64">
        <f>IF(X10=0,0,X10/TrNavi_act!X9*100)</f>
        <v>724.76285596804109</v>
      </c>
      <c r="Y21" s="64">
        <f>IF(Y10=0,0,Y10/TrNavi_act!Y9*100)</f>
        <v>973.22889024399706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75.518332519523653</v>
      </c>
      <c r="C23" s="62">
        <f>IF(C3=0,0,C3/TrNavi_act!C3*1000)</f>
        <v>76.862718766501018</v>
      </c>
      <c r="D23" s="62">
        <f>IF(D3=0,0,D3/TrNavi_act!D3*1000)</f>
        <v>75.783452011404705</v>
      </c>
      <c r="E23" s="62">
        <f>IF(E3=0,0,E3/TrNavi_act!E3*1000)</f>
        <v>87.345220186446113</v>
      </c>
      <c r="F23" s="62">
        <f>IF(F3=0,0,F3/TrNavi_act!F3*1000)</f>
        <v>76.93536489476358</v>
      </c>
      <c r="G23" s="62">
        <f>IF(G3=0,0,G3/TrNavi_act!G3*1000)</f>
        <v>61.677658864369107</v>
      </c>
      <c r="H23" s="62">
        <f>IF(H3=0,0,H3/TrNavi_act!H3*1000)</f>
        <v>41.343631947137887</v>
      </c>
      <c r="I23" s="62">
        <f>IF(I3=0,0,I3/TrNavi_act!I3*1000)</f>
        <v>63.901526816065122</v>
      </c>
      <c r="J23" s="62">
        <f>IF(J3=0,0,J3/TrNavi_act!J3*1000)</f>
        <v>60.094359505481904</v>
      </c>
      <c r="K23" s="62">
        <f>IF(K3=0,0,K3/TrNavi_act!K3*1000)</f>
        <v>62.938620284078638</v>
      </c>
      <c r="L23" s="62">
        <f>IF(L3=0,0,L3/TrNavi_act!L3*1000)</f>
        <v>45.767494763799128</v>
      </c>
      <c r="M23" s="62">
        <f>IF(M3=0,0,M3/TrNavi_act!M3*1000)</f>
        <v>47.644371580215278</v>
      </c>
      <c r="N23" s="62">
        <f>IF(N3=0,0,N3/TrNavi_act!N3*1000)</f>
        <v>47.030823968036557</v>
      </c>
      <c r="O23" s="62">
        <f>IF(O3=0,0,O3/TrNavi_act!O3*1000)</f>
        <v>44.435402057796949</v>
      </c>
      <c r="P23" s="62">
        <f>IF(P3=0,0,P3/TrNavi_act!P3*1000)</f>
        <v>44.781134354584267</v>
      </c>
      <c r="Q23" s="62">
        <f>IF(Q3=0,0,Q3/TrNavi_act!Q3*1000)</f>
        <v>44.894483599309716</v>
      </c>
      <c r="R23" s="62">
        <f>IF(R3=0,0,R3/TrNavi_act!R3*1000)</f>
        <v>46.666812829720399</v>
      </c>
      <c r="S23" s="62">
        <f>IF(S3=0,0,S3/TrNavi_act!S3*1000)</f>
        <v>40.885412574220567</v>
      </c>
      <c r="T23" s="62">
        <f>IF(T3=0,0,T3/TrNavi_act!T3*1000)</f>
        <v>38.805528209031927</v>
      </c>
      <c r="U23" s="62">
        <f>IF(U3=0,0,U3/TrNavi_act!U3*1000)</f>
        <v>40.658431032015848</v>
      </c>
      <c r="V23" s="62">
        <f>IF(V3=0,0,V3/TrNavi_act!V3*1000)</f>
        <v>31.960749041620314</v>
      </c>
      <c r="W23" s="62">
        <f>IF(W3=0,0,W3/TrNavi_act!W3*1000)</f>
        <v>25.404261213447697</v>
      </c>
      <c r="X23" s="62">
        <f>IF(X3=0,0,X3/TrNavi_act!X3*1000)</f>
        <v>31.923308599597238</v>
      </c>
      <c r="Y23" s="62">
        <f>IF(Y3=0,0,Y3/TrNavi_act!Y3*1000)</f>
        <v>40.891685775151096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75.518332519523653</v>
      </c>
      <c r="C24" s="63">
        <f>IF(C4=0,0,C4/TrNavi_act!C4*1000)</f>
        <v>76.862718766501018</v>
      </c>
      <c r="D24" s="63">
        <f>IF(D4=0,0,D4/TrNavi_act!D4*1000)</f>
        <v>75.783452011404705</v>
      </c>
      <c r="E24" s="63">
        <f>IF(E4=0,0,E4/TrNavi_act!E4*1000)</f>
        <v>87.345220186446113</v>
      </c>
      <c r="F24" s="63">
        <f>IF(F4=0,0,F4/TrNavi_act!F4*1000)</f>
        <v>76.93536489476358</v>
      </c>
      <c r="G24" s="63">
        <f>IF(G4=0,0,G4/TrNavi_act!G4*1000)</f>
        <v>61.677658864369107</v>
      </c>
      <c r="H24" s="63">
        <f>IF(H4=0,0,H4/TrNavi_act!H4*1000)</f>
        <v>41.343631947137887</v>
      </c>
      <c r="I24" s="63">
        <f>IF(I4=0,0,I4/TrNavi_act!I4*1000)</f>
        <v>63.901526816065122</v>
      </c>
      <c r="J24" s="63">
        <f>IF(J4=0,0,J4/TrNavi_act!J4*1000)</f>
        <v>60.094359505481904</v>
      </c>
      <c r="K24" s="63">
        <f>IF(K4=0,0,K4/TrNavi_act!K4*1000)</f>
        <v>62.938620284078638</v>
      </c>
      <c r="L24" s="63">
        <f>IF(L4=0,0,L4/TrNavi_act!L4*1000)</f>
        <v>45.767494763799128</v>
      </c>
      <c r="M24" s="63">
        <f>IF(M4=0,0,M4/TrNavi_act!M4*1000)</f>
        <v>47.644371580215278</v>
      </c>
      <c r="N24" s="63">
        <f>IF(N4=0,0,N4/TrNavi_act!N4*1000)</f>
        <v>47.030823968036557</v>
      </c>
      <c r="O24" s="63">
        <f>IF(O4=0,0,O4/TrNavi_act!O4*1000)</f>
        <v>44.435402057796949</v>
      </c>
      <c r="P24" s="63">
        <f>IF(P4=0,0,P4/TrNavi_act!P4*1000)</f>
        <v>44.781134354584267</v>
      </c>
      <c r="Q24" s="63">
        <f>IF(Q4=0,0,Q4/TrNavi_act!Q4*1000)</f>
        <v>44.894483599309716</v>
      </c>
      <c r="R24" s="63">
        <f>IF(R4=0,0,R4/TrNavi_act!R4*1000)</f>
        <v>46.831481320276254</v>
      </c>
      <c r="S24" s="63">
        <f>IF(S4=0,0,S4/TrNavi_act!S4*1000)</f>
        <v>40.926446261122742</v>
      </c>
      <c r="T24" s="63">
        <f>IF(T4=0,0,T4/TrNavi_act!T4*1000)</f>
        <v>39.121321425600193</v>
      </c>
      <c r="U24" s="63">
        <f>IF(U4=0,0,U4/TrNavi_act!U4*1000)</f>
        <v>41.062247055459579</v>
      </c>
      <c r="V24" s="63">
        <f>IF(V4=0,0,V4/TrNavi_act!V4*1000)</f>
        <v>32.461995734697489</v>
      </c>
      <c r="W24" s="63">
        <f>IF(W4=0,0,W4/TrNavi_act!W4*1000)</f>
        <v>26.006372693292001</v>
      </c>
      <c r="X24" s="63">
        <f>IF(X4=0,0,X4/TrNavi_act!X4*1000)</f>
        <v>32.635866027562521</v>
      </c>
      <c r="Y24" s="63">
        <f>IF(Y4=0,0,Y4/TrNavi_act!Y4*1000)</f>
        <v>42.122705645857899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14.510113283017843</v>
      </c>
      <c r="S25" s="64">
        <f>IF(S10=0,0,S10/TrNavi_act!S5*1000)</f>
        <v>11.85211768070109</v>
      </c>
      <c r="T25" s="64">
        <f>IF(T10=0,0,T10/TrNavi_act!T5*1000)</f>
        <v>11.485500608796807</v>
      </c>
      <c r="U25" s="64">
        <f>IF(U10=0,0,U10/TrNavi_act!U5*1000)</f>
        <v>11.69026005082651</v>
      </c>
      <c r="V25" s="64">
        <f>IF(V10=0,0,V10/TrNavi_act!V5*1000)</f>
        <v>9.4155991416570259</v>
      </c>
      <c r="W25" s="64">
        <f>IF(W10=0,0,W10/TrNavi_act!W5*1000)</f>
        <v>7.6522296543065798</v>
      </c>
      <c r="X25" s="64">
        <f>IF(X10=0,0,X10/TrNavi_act!X5*1000)</f>
        <v>9.1947526503408206</v>
      </c>
      <c r="Y25" s="64">
        <f>IF(Y10=0,0,Y10/TrNavi_act!Y5*1000)</f>
        <v>12.85533683381996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1</v>
      </c>
      <c r="C28" s="77">
        <f t="shared" si="9"/>
        <v>1</v>
      </c>
      <c r="D28" s="77">
        <f t="shared" si="9"/>
        <v>1</v>
      </c>
      <c r="E28" s="77">
        <f t="shared" si="9"/>
        <v>1</v>
      </c>
      <c r="F28" s="77">
        <f t="shared" si="9"/>
        <v>1</v>
      </c>
      <c r="G28" s="77">
        <f t="shared" si="9"/>
        <v>1</v>
      </c>
      <c r="H28" s="77">
        <f t="shared" si="9"/>
        <v>1</v>
      </c>
      <c r="I28" s="77">
        <f t="shared" si="9"/>
        <v>1</v>
      </c>
      <c r="J28" s="77">
        <f t="shared" si="9"/>
        <v>1</v>
      </c>
      <c r="K28" s="77">
        <f t="shared" si="9"/>
        <v>1</v>
      </c>
      <c r="L28" s="77">
        <f t="shared" si="9"/>
        <v>1</v>
      </c>
      <c r="M28" s="77">
        <f t="shared" si="9"/>
        <v>1</v>
      </c>
      <c r="N28" s="77">
        <f t="shared" si="9"/>
        <v>1</v>
      </c>
      <c r="O28" s="77">
        <f t="shared" si="9"/>
        <v>1</v>
      </c>
      <c r="P28" s="77">
        <f t="shared" si="9"/>
        <v>1</v>
      </c>
      <c r="Q28" s="77">
        <f t="shared" si="9"/>
        <v>1</v>
      </c>
      <c r="R28" s="77">
        <f t="shared" si="9"/>
        <v>0.9984158969435476</v>
      </c>
      <c r="S28" s="77">
        <f t="shared" si="9"/>
        <v>0.99959087274080416</v>
      </c>
      <c r="T28" s="77">
        <f t="shared" si="9"/>
        <v>0.99661789755362262</v>
      </c>
      <c r="U28" s="77">
        <f t="shared" si="9"/>
        <v>0.99604702764667774</v>
      </c>
      <c r="V28" s="77">
        <f t="shared" ref="V28:W28" si="10">IF(V4=0,0,V4/V$3)</f>
        <v>0.99359263446427692</v>
      </c>
      <c r="W28" s="77">
        <f t="shared" si="10"/>
        <v>0.99011846936716708</v>
      </c>
      <c r="X28" s="77">
        <f t="shared" ref="X28:Y28" si="11">IF(X4=0,0,X4/X$3)</f>
        <v>0.99124464437900528</v>
      </c>
      <c r="Y28" s="77">
        <f t="shared" si="11"/>
        <v>0.98677700516038225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1.5841030564524271E-3</v>
      </c>
      <c r="S29" s="78">
        <f t="shared" si="12"/>
        <v>4.0912725919586764E-4</v>
      </c>
      <c r="T29" s="78">
        <f t="shared" si="12"/>
        <v>3.3821024463772907E-3</v>
      </c>
      <c r="U29" s="78">
        <f t="shared" si="12"/>
        <v>3.9529723533222082E-3</v>
      </c>
      <c r="V29" s="78">
        <f t="shared" ref="V29:W29" si="13">IF(V10=0,0,V10/V$3)</f>
        <v>6.4073655357230509E-3</v>
      </c>
      <c r="W29" s="78">
        <f t="shared" si="13"/>
        <v>9.8815306328329054E-3</v>
      </c>
      <c r="X29" s="78">
        <f t="shared" ref="X29:Y29" si="14">IF(X10=0,0,X10/X$3)</f>
        <v>8.7553556209946769E-3</v>
      </c>
      <c r="Y29" s="78">
        <f t="shared" si="14"/>
        <v>1.3222994839617806E-2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491.5624514399999</v>
      </c>
      <c r="C3" s="54">
        <f t="shared" ref="C3:V3" si="1">SUM(C4:C5)</f>
        <v>491.3250631200001</v>
      </c>
      <c r="D3" s="54">
        <f t="shared" si="1"/>
        <v>465.77526120000005</v>
      </c>
      <c r="E3" s="54">
        <f t="shared" si="1"/>
        <v>550.38101940000001</v>
      </c>
      <c r="F3" s="54">
        <f t="shared" si="1"/>
        <v>470.66426567999997</v>
      </c>
      <c r="G3" s="54">
        <f t="shared" si="1"/>
        <v>441.75238596000003</v>
      </c>
      <c r="H3" s="54">
        <f t="shared" si="1"/>
        <v>444.54780504000001</v>
      </c>
      <c r="I3" s="54">
        <f t="shared" si="1"/>
        <v>434.82333276000008</v>
      </c>
      <c r="J3" s="54">
        <f t="shared" si="1"/>
        <v>429.02553095999997</v>
      </c>
      <c r="K3" s="54">
        <f t="shared" si="1"/>
        <v>437.70091068000005</v>
      </c>
      <c r="L3" s="54">
        <f t="shared" si="1"/>
        <v>473.61718547999999</v>
      </c>
      <c r="M3" s="54">
        <f t="shared" si="1"/>
        <v>484.15121064000022</v>
      </c>
      <c r="N3" s="54">
        <f t="shared" si="1"/>
        <v>445.73675651999997</v>
      </c>
      <c r="O3" s="54">
        <f t="shared" si="1"/>
        <v>467.9232505199999</v>
      </c>
      <c r="P3" s="54">
        <f t="shared" si="1"/>
        <v>453.11355720000006</v>
      </c>
      <c r="Q3" s="54">
        <f t="shared" si="1"/>
        <v>438.34393188000001</v>
      </c>
      <c r="R3" s="54">
        <f t="shared" si="1"/>
        <v>462.49616951999997</v>
      </c>
      <c r="S3" s="54">
        <f t="shared" si="1"/>
        <v>457.42593348000003</v>
      </c>
      <c r="T3" s="54">
        <f t="shared" si="1"/>
        <v>466.41338676000004</v>
      </c>
      <c r="U3" s="54">
        <f t="shared" si="1"/>
        <v>448.24505112000003</v>
      </c>
      <c r="V3" s="54">
        <f t="shared" si="1"/>
        <v>347.34946716000002</v>
      </c>
      <c r="W3" s="54">
        <f t="shared" ref="W3:Y3" si="2">SUM(W4:W5)</f>
        <v>326.5780572000001</v>
      </c>
      <c r="X3" s="54">
        <f t="shared" si="2"/>
        <v>421.42072283999994</v>
      </c>
      <c r="Y3" s="54">
        <f t="shared" si="2"/>
        <v>389.02770071999993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491.5624514399999</v>
      </c>
      <c r="C4" s="56">
        <v>491.3250631200001</v>
      </c>
      <c r="D4" s="56">
        <v>465.77526120000005</v>
      </c>
      <c r="E4" s="56">
        <v>550.38101940000001</v>
      </c>
      <c r="F4" s="56">
        <v>470.66426567999997</v>
      </c>
      <c r="G4" s="56">
        <v>441.75238596000003</v>
      </c>
      <c r="H4" s="56">
        <v>444.54780504000001</v>
      </c>
      <c r="I4" s="56">
        <v>434.82333276000008</v>
      </c>
      <c r="J4" s="56">
        <v>429.02553095999997</v>
      </c>
      <c r="K4" s="56">
        <v>437.70091068000005</v>
      </c>
      <c r="L4" s="56">
        <v>473.61718547999999</v>
      </c>
      <c r="M4" s="56">
        <v>484.15121064000022</v>
      </c>
      <c r="N4" s="56">
        <v>445.73675651999997</v>
      </c>
      <c r="O4" s="56">
        <v>467.9232505199999</v>
      </c>
      <c r="P4" s="56">
        <v>453.11355720000006</v>
      </c>
      <c r="Q4" s="56">
        <v>438.34393188000001</v>
      </c>
      <c r="R4" s="56">
        <v>461.76352792426582</v>
      </c>
      <c r="S4" s="56">
        <v>457.23878806155022</v>
      </c>
      <c r="T4" s="56">
        <v>464.83592890361592</v>
      </c>
      <c r="U4" s="56">
        <v>446.47315082540916</v>
      </c>
      <c r="V4" s="56">
        <v>345.12387215526729</v>
      </c>
      <c r="W4" s="56">
        <v>323.35096612376725</v>
      </c>
      <c r="X4" s="56">
        <v>417.73103454547913</v>
      </c>
      <c r="Y4" s="56">
        <v>383.88358944091101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0.73264159573417198</v>
      </c>
      <c r="S5" s="58">
        <v>0.18714541844978366</v>
      </c>
      <c r="T5" s="58">
        <v>1.5774578563841137</v>
      </c>
      <c r="U5" s="58">
        <v>1.7719002945908597</v>
      </c>
      <c r="V5" s="58">
        <v>2.2255950047327495</v>
      </c>
      <c r="W5" s="58">
        <v>3.2270910762328571</v>
      </c>
      <c r="X5" s="58">
        <v>3.6896882945208347</v>
      </c>
      <c r="Y5" s="58">
        <v>5.1441112790889401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3.1355853399431668</v>
      </c>
      <c r="C9" s="79">
        <f>IF(C3=0,0,C3/TrNavi_ene!C3)</f>
        <v>3.1390450785875563</v>
      </c>
      <c r="D9" s="79">
        <f>IF(D3=0,0,D3/TrNavi_ene!D3)</f>
        <v>3.1419897542516027</v>
      </c>
      <c r="E9" s="79">
        <f>IF(E3=0,0,E3/TrNavi_ene!E3)</f>
        <v>3.1543770250973031</v>
      </c>
      <c r="F9" s="79">
        <f>IF(F3=0,0,F3/TrNavi_ene!F3)</f>
        <v>3.1642639555823528</v>
      </c>
      <c r="G9" s="79">
        <f>IF(G3=0,0,G3/TrNavi_ene!G3)</f>
        <v>3.1996827762379545</v>
      </c>
      <c r="H9" s="79">
        <f>IF(H3=0,0,H3/TrNavi_ene!H3)</f>
        <v>3.1983973481701722</v>
      </c>
      <c r="I9" s="79">
        <f>IF(I3=0,0,I3/TrNavi_ene!I3)</f>
        <v>3.1984396508206405</v>
      </c>
      <c r="J9" s="79">
        <f>IF(J3=0,0,J3/TrNavi_ene!J3)</f>
        <v>3.1980467308285134</v>
      </c>
      <c r="K9" s="79">
        <f>IF(K3=0,0,K3/TrNavi_ene!K3)</f>
        <v>3.1992342590003457</v>
      </c>
      <c r="L9" s="79">
        <f>IF(L3=0,0,L3/TrNavi_ene!L3)</f>
        <v>3.1963018887853152</v>
      </c>
      <c r="M9" s="79">
        <f>IF(M3=0,0,M3/TrNavi_ene!M3)</f>
        <v>3.1971674010804336</v>
      </c>
      <c r="N9" s="79">
        <f>IF(N3=0,0,N3/TrNavi_ene!N3)</f>
        <v>3.1979677276105427</v>
      </c>
      <c r="O9" s="79">
        <f>IF(O3=0,0,O3/TrNavi_ene!O3)</f>
        <v>3.1985885421875104</v>
      </c>
      <c r="P9" s="79">
        <f>IF(P3=0,0,P3/TrNavi_ene!P3)</f>
        <v>3.1971879401977761</v>
      </c>
      <c r="Q9" s="79">
        <f>IF(Q3=0,0,Q3/TrNavi_ene!Q3)</f>
        <v>3.1552632662895328</v>
      </c>
      <c r="R9" s="79">
        <f>IF(R3=0,0,R3/TrNavi_ene!R3)</f>
        <v>3.1557368878006593</v>
      </c>
      <c r="S9" s="79">
        <f>IF(S3=0,0,S3/TrNavi_ene!S3)</f>
        <v>3.1580081044000137</v>
      </c>
      <c r="T9" s="79">
        <f>IF(T3=0,0,T3/TrNavi_ene!T3)</f>
        <v>3.1940328660502817</v>
      </c>
      <c r="U9" s="79">
        <f>IF(U3=0,0,U3/TrNavi_ene!U3)</f>
        <v>3.0932785365452724</v>
      </c>
      <c r="V9" s="79">
        <f>IF(V3=0,0,V3/TrNavi_ene!V3)</f>
        <v>2.992065427133852</v>
      </c>
      <c r="W9" s="79">
        <f>IF(W3=0,0,W3/TrNavi_ene!W3)</f>
        <v>2.969852516358769</v>
      </c>
      <c r="X9" s="79">
        <f>IF(X3=0,0,X3/TrNavi_ene!X3)</f>
        <v>2.9946414351366917</v>
      </c>
      <c r="Y9" s="79">
        <f>IF(Y3=0,0,Y3/TrNavi_ene!Y3)</f>
        <v>2.9862220367078098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3.1355853399431668</v>
      </c>
      <c r="C10" s="80">
        <f>IF(C4=0,0,C4/TrNavi_ene!C4)</f>
        <v>3.1390450785875563</v>
      </c>
      <c r="D10" s="80">
        <f>IF(D4=0,0,D4/TrNavi_ene!D4)</f>
        <v>3.1419897542516027</v>
      </c>
      <c r="E10" s="80">
        <f>IF(E4=0,0,E4/TrNavi_ene!E4)</f>
        <v>3.1543770250973031</v>
      </c>
      <c r="F10" s="80">
        <f>IF(F4=0,0,F4/TrNavi_ene!F4)</f>
        <v>3.1642639555823528</v>
      </c>
      <c r="G10" s="80">
        <f>IF(G4=0,0,G4/TrNavi_ene!G4)</f>
        <v>3.1996827762379545</v>
      </c>
      <c r="H10" s="80">
        <f>IF(H4=0,0,H4/TrNavi_ene!H4)</f>
        <v>3.1983973481701722</v>
      </c>
      <c r="I10" s="80">
        <f>IF(I4=0,0,I4/TrNavi_ene!I4)</f>
        <v>3.1984396508206405</v>
      </c>
      <c r="J10" s="80">
        <f>IF(J4=0,0,J4/TrNavi_ene!J4)</f>
        <v>3.1980467308285134</v>
      </c>
      <c r="K10" s="80">
        <f>IF(K4=0,0,K4/TrNavi_ene!K4)</f>
        <v>3.1992342590003457</v>
      </c>
      <c r="L10" s="80">
        <f>IF(L4=0,0,L4/TrNavi_ene!L4)</f>
        <v>3.1963018887853152</v>
      </c>
      <c r="M10" s="80">
        <f>IF(M4=0,0,M4/TrNavi_ene!M4)</f>
        <v>3.1971674010804336</v>
      </c>
      <c r="N10" s="80">
        <f>IF(N4=0,0,N4/TrNavi_ene!N4)</f>
        <v>3.1979677276105427</v>
      </c>
      <c r="O10" s="80">
        <f>IF(O4=0,0,O4/TrNavi_ene!O4)</f>
        <v>3.1985885421875104</v>
      </c>
      <c r="P10" s="80">
        <f>IF(P4=0,0,P4/TrNavi_ene!P4)</f>
        <v>3.1971879401977761</v>
      </c>
      <c r="Q10" s="80">
        <f>IF(Q4=0,0,Q4/TrNavi_ene!Q4)</f>
        <v>3.1552632662895328</v>
      </c>
      <c r="R10" s="80">
        <f>IF(R4=0,0,R4/TrNavi_ene!R4)</f>
        <v>3.1557368878006598</v>
      </c>
      <c r="S10" s="80">
        <f>IF(S4=0,0,S4/TrNavi_ene!S4)</f>
        <v>3.1580081044000137</v>
      </c>
      <c r="T10" s="80">
        <f>IF(T4=0,0,T4/TrNavi_ene!T4)</f>
        <v>3.1940328660502821</v>
      </c>
      <c r="U10" s="80">
        <f>IF(U4=0,0,U4/TrNavi_ene!U4)</f>
        <v>3.0932785365452724</v>
      </c>
      <c r="V10" s="80">
        <f>IF(V4=0,0,V4/TrNavi_ene!V4)</f>
        <v>2.9920654271338525</v>
      </c>
      <c r="W10" s="80">
        <f>IF(W4=0,0,W4/TrNavi_ene!W4)</f>
        <v>2.969852516358769</v>
      </c>
      <c r="X10" s="80">
        <f>IF(X4=0,0,X4/TrNavi_ene!X4)</f>
        <v>2.9946414351366917</v>
      </c>
      <c r="Y10" s="80">
        <f>IF(Y4=0,0,Y4/TrNavi_ene!Y4)</f>
        <v>2.9862220367078098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3.1557368878006602</v>
      </c>
      <c r="S11" s="81">
        <f>IF(S5=0,0,S5/TrNavi_ene!S10)</f>
        <v>3.1580081044000137</v>
      </c>
      <c r="T11" s="81">
        <f>IF(T5=0,0,T5/TrNavi_ene!T10)</f>
        <v>3.1940328660502821</v>
      </c>
      <c r="U11" s="81">
        <f>IF(U5=0,0,U5/TrNavi_ene!U10)</f>
        <v>3.093278536545272</v>
      </c>
      <c r="V11" s="81">
        <f>IF(V5=0,0,V5/TrNavi_ene!V10)</f>
        <v>2.992065427133852</v>
      </c>
      <c r="W11" s="81">
        <f>IF(W5=0,0,W5/TrNavi_ene!W10)</f>
        <v>2.9698525163587686</v>
      </c>
      <c r="X11" s="81">
        <f>IF(X5=0,0,X5/TrNavi_ene!X10)</f>
        <v>2.9946414351366926</v>
      </c>
      <c r="Y11" s="81">
        <f>IF(Y5=0,0,Y5/TrNavi_ene!Y10)</f>
        <v>2.9862220367078103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481451.96027424088</v>
      </c>
      <c r="C13" s="54">
        <f>IF(C3=0,0,C3/TrNavi_act!C7*1000)</f>
        <v>488880.6598208957</v>
      </c>
      <c r="D13" s="54">
        <f>IF(D3=0,0,D3/TrNavi_act!D7*1000)</f>
        <v>510159.1031763418</v>
      </c>
      <c r="E13" s="54">
        <f>IF(E3=0,0,E3/TrNavi_act!E7*1000)</f>
        <v>587386.36008537887</v>
      </c>
      <c r="F13" s="54">
        <f>IF(F3=0,0,F3/TrNavi_act!F7*1000)</f>
        <v>507181.32077586197</v>
      </c>
      <c r="G13" s="54">
        <f>IF(G3=0,0,G3/TrNavi_act!G7*1000)</f>
        <v>417535.33644612477</v>
      </c>
      <c r="H13" s="54">
        <f>IF(H3=0,0,H3/TrNavi_act!H7*1000)</f>
        <v>294988.58994027873</v>
      </c>
      <c r="I13" s="54">
        <f>IF(I3=0,0,I3/TrNavi_act!I7*1000)</f>
        <v>385481.67797872348</v>
      </c>
      <c r="J13" s="54">
        <f>IF(J3=0,0,J3/TrNavi_act!J7*1000)</f>
        <v>391804.13786301372</v>
      </c>
      <c r="K13" s="54">
        <f>IF(K3=0,0,K3/TrNavi_act!K7*1000)</f>
        <v>428698.24748286005</v>
      </c>
      <c r="L13" s="54">
        <f>IF(L3=0,0,L3/TrNavi_act!L7*1000)</f>
        <v>313446.1849636003</v>
      </c>
      <c r="M13" s="54">
        <f>IF(M3=0,0,M3/TrNavi_act!M7*1000)</f>
        <v>310751.7398202825</v>
      </c>
      <c r="N13" s="54">
        <f>IF(N3=0,0,N3/TrNavi_act!N7*1000)</f>
        <v>320443.39074047445</v>
      </c>
      <c r="O13" s="54">
        <f>IF(O3=0,0,O3/TrNavi_act!O7*1000)</f>
        <v>281542.26866425987</v>
      </c>
      <c r="P13" s="54">
        <f>IF(P3=0,0,P3/TrNavi_act!P7*1000)</f>
        <v>293277.38330097095</v>
      </c>
      <c r="Q13" s="54">
        <f>IF(Q3=0,0,Q3/TrNavi_act!Q7*1000)</f>
        <v>309346.45863091038</v>
      </c>
      <c r="R13" s="54">
        <f>IF(R3=0,0,R3/TrNavi_act!R7*1000)</f>
        <v>342336.17284974095</v>
      </c>
      <c r="S13" s="54">
        <f>IF(S3=0,0,S3/TrNavi_act!S7*1000)</f>
        <v>298386.12751467712</v>
      </c>
      <c r="T13" s="54">
        <f>IF(T3=0,0,T3/TrNavi_act!T7*1000)</f>
        <v>268516.63025906734</v>
      </c>
      <c r="U13" s="54">
        <f>IF(U3=0,0,U3/TrNavi_act!U7*1000)</f>
        <v>270189.90423146478</v>
      </c>
      <c r="V13" s="54">
        <f>IF(V3=0,0,V3/TrNavi_act!V7*1000)</f>
        <v>228369.14343195269</v>
      </c>
      <c r="W13" s="54">
        <f>IF(W3=0,0,W3/TrNavi_act!W7*1000)</f>
        <v>176242.8803022127</v>
      </c>
      <c r="X13" s="54">
        <f>IF(X3=0,0,X3/TrNavi_act!X7*1000)</f>
        <v>214900.92954614991</v>
      </c>
      <c r="Y13" s="54">
        <f>IF(Y3=0,0,Y3/TrNavi_act!Y7*1000)</f>
        <v>279473.92293103441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481451.96027424088</v>
      </c>
      <c r="C14" s="56">
        <f>IF(C4=0,0,C4/TrNavi_act!C8*1000)</f>
        <v>488880.6598208957</v>
      </c>
      <c r="D14" s="56">
        <f>IF(D4=0,0,D4/TrNavi_act!D8*1000)</f>
        <v>510159.1031763418</v>
      </c>
      <c r="E14" s="56">
        <f>IF(E4=0,0,E4/TrNavi_act!E8*1000)</f>
        <v>587386.36008537887</v>
      </c>
      <c r="F14" s="56">
        <f>IF(F4=0,0,F4/TrNavi_act!F8*1000)</f>
        <v>507181.32077586197</v>
      </c>
      <c r="G14" s="56">
        <f>IF(G4=0,0,G4/TrNavi_act!G8*1000)</f>
        <v>417535.33644612477</v>
      </c>
      <c r="H14" s="56">
        <f>IF(H4=0,0,H4/TrNavi_act!H8*1000)</f>
        <v>294988.58994027873</v>
      </c>
      <c r="I14" s="56">
        <f>IF(I4=0,0,I4/TrNavi_act!I8*1000)</f>
        <v>385481.67797872348</v>
      </c>
      <c r="J14" s="56">
        <f>IF(J4=0,0,J4/TrNavi_act!J8*1000)</f>
        <v>391804.13786301372</v>
      </c>
      <c r="K14" s="56">
        <f>IF(K4=0,0,K4/TrNavi_act!K8*1000)</f>
        <v>428698.24748286005</v>
      </c>
      <c r="L14" s="56">
        <f>IF(L4=0,0,L4/TrNavi_act!L8*1000)</f>
        <v>313446.1849636003</v>
      </c>
      <c r="M14" s="56">
        <f>IF(M4=0,0,M4/TrNavi_act!M8*1000)</f>
        <v>310751.7398202825</v>
      </c>
      <c r="N14" s="56">
        <f>IF(N4=0,0,N4/TrNavi_act!N8*1000)</f>
        <v>320443.39074047445</v>
      </c>
      <c r="O14" s="56">
        <f>IF(O4=0,0,O4/TrNavi_act!O8*1000)</f>
        <v>281542.26866425987</v>
      </c>
      <c r="P14" s="56">
        <f>IF(P4=0,0,P4/TrNavi_act!P8*1000)</f>
        <v>293277.38330097095</v>
      </c>
      <c r="Q14" s="56">
        <f>IF(Q4=0,0,Q4/TrNavi_act!Q8*1000)</f>
        <v>309346.45863091038</v>
      </c>
      <c r="R14" s="56">
        <f>IF(R4=0,0,R4/TrNavi_act!R8*1000)</f>
        <v>347451.86450283357</v>
      </c>
      <c r="S14" s="56">
        <f>IF(S4=0,0,S4/TrNavi_act!S8*1000)</f>
        <v>299632.23332998046</v>
      </c>
      <c r="T14" s="56">
        <f>IF(T4=0,0,T4/TrNavi_act!T8*1000)</f>
        <v>277513.98740514385</v>
      </c>
      <c r="U14" s="56">
        <f>IF(U4=0,0,U4/TrNavi_act!U8*1000)</f>
        <v>280447.95906118664</v>
      </c>
      <c r="V14" s="56">
        <f>IF(V4=0,0,V4/TrNavi_act!V8*1000)</f>
        <v>241345.36514354357</v>
      </c>
      <c r="W14" s="56">
        <f>IF(W4=0,0,W4/TrNavi_act!W8*1000)</f>
        <v>192013.63784071692</v>
      </c>
      <c r="X14" s="56">
        <f>IF(X4=0,0,X4/TrNavi_act!X8*1000)</f>
        <v>233238.99192935743</v>
      </c>
      <c r="Y14" s="56">
        <f>IF(Y4=0,0,Y4/TrNavi_act!Y8*1000)</f>
        <v>315953.57155630534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33301.890715189635</v>
      </c>
      <c r="S15" s="58">
        <f>IF(S5=0,0,S5/TrNavi_act!S9*1000)</f>
        <v>26735.059778540523</v>
      </c>
      <c r="T15" s="58">
        <f>IF(T5=0,0,T5/TrNavi_act!T9*1000)</f>
        <v>25442.868651356672</v>
      </c>
      <c r="U15" s="58">
        <f>IF(U5=0,0,U5/TrNavi_act!U9*1000)</f>
        <v>26446.273053594919</v>
      </c>
      <c r="V15" s="58">
        <f>IF(V5=0,0,V5/TrNavi_act!V9*1000)</f>
        <v>24457.08796409615</v>
      </c>
      <c r="W15" s="58">
        <f>IF(W5=0,0,W5/TrNavi_act!W9*1000)</f>
        <v>19095.21346883347</v>
      </c>
      <c r="X15" s="58">
        <f>IF(X5=0,0,X5/TrNavi_act!X9*1000)</f>
        <v>21704.048791299025</v>
      </c>
      <c r="Y15" s="58">
        <f>IF(Y5=0,0,Y5/TrNavi_act!Y9*1000)</f>
        <v>29062.775588073109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236.79417634517168</v>
      </c>
      <c r="C17" s="62">
        <f>IF(C3=0,0,C3/TrNavi_act!C3*1000)</f>
        <v>241.27553907084442</v>
      </c>
      <c r="D17" s="62">
        <f>IF(D3=0,0,D3/TrNavi_act!D3*1000)</f>
        <v>238.11082976165162</v>
      </c>
      <c r="E17" s="62">
        <f>IF(E3=0,0,E3/TrNavi_act!E3*1000)</f>
        <v>275.51975580819084</v>
      </c>
      <c r="F17" s="62">
        <f>IF(F3=0,0,F3/TrNavi_act!F3*1000)</f>
        <v>243.44380204607626</v>
      </c>
      <c r="G17" s="62">
        <f>IF(G3=0,0,G3/TrNavi_act!G3*1000)</f>
        <v>197.34894274700204</v>
      </c>
      <c r="H17" s="62">
        <f>IF(H3=0,0,H3/TrNavi_act!H3*1000)</f>
        <v>132.23336278344945</v>
      </c>
      <c r="I17" s="62">
        <f>IF(I3=0,0,I3/TrNavi_act!I3*1000)</f>
        <v>204.38517711648115</v>
      </c>
      <c r="J17" s="62">
        <f>IF(J3=0,0,J3/TrNavi_act!J3*1000)</f>
        <v>192.1845699577398</v>
      </c>
      <c r="K17" s="62">
        <f>IF(K3=0,0,K3/TrNavi_act!K3*1000)</f>
        <v>201.35539022703844</v>
      </c>
      <c r="L17" s="62">
        <f>IF(L3=0,0,L3/TrNavi_act!L3*1000)</f>
        <v>146.28672995850314</v>
      </c>
      <c r="M17" s="62">
        <f>IF(M3=0,0,M3/TrNavi_act!M3*1000)</f>
        <v>152.32703166122735</v>
      </c>
      <c r="N17" s="62">
        <f>IF(N3=0,0,N3/TrNavi_act!N3*1000)</f>
        <v>150.40305725271332</v>
      </c>
      <c r="O17" s="62">
        <f>IF(O3=0,0,O3/TrNavi_act!O3*1000)</f>
        <v>142.13056788956462</v>
      </c>
      <c r="P17" s="62">
        <f>IF(P3=0,0,P3/TrNavi_act!P3*1000)</f>
        <v>143.17370270685311</v>
      </c>
      <c r="Q17" s="62">
        <f>IF(Q3=0,0,Q3/TrNavi_act!Q3*1000)</f>
        <v>141.65391495993984</v>
      </c>
      <c r="R17" s="62">
        <f>IF(R3=0,0,R3/TrNavi_act!R3*1000)</f>
        <v>147.26818268283773</v>
      </c>
      <c r="S17" s="62">
        <f>IF(S3=0,0,S3/TrNavi_act!S3*1000)</f>
        <v>129.11646426112677</v>
      </c>
      <c r="T17" s="62">
        <f>IF(T3=0,0,T3/TrNavi_act!T3*1000)</f>
        <v>123.9461324840893</v>
      </c>
      <c r="U17" s="62">
        <f>IF(U3=0,0,U3/TrNavi_act!U3*1000)</f>
        <v>125.76785204094088</v>
      </c>
      <c r="V17" s="62">
        <f>IF(V3=0,0,V3/TrNavi_act!V3*1000)</f>
        <v>95.628652232733543</v>
      </c>
      <c r="W17" s="62">
        <f>IF(W3=0,0,W3/TrNavi_act!W3*1000)</f>
        <v>75.446909090993117</v>
      </c>
      <c r="X17" s="62">
        <f>IF(X3=0,0,X3/TrNavi_act!X3*1000)</f>
        <v>95.598862679009358</v>
      </c>
      <c r="Y17" s="62">
        <f>IF(Y3=0,0,Y3/TrNavi_act!Y3*1000)</f>
        <v>122.11165317988747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236.79417634517168</v>
      </c>
      <c r="C18" s="63">
        <f>IF(C4=0,0,C4/TrNavi_act!C4*1000)</f>
        <v>241.27553907084442</v>
      </c>
      <c r="D18" s="63">
        <f>IF(D4=0,0,D4/TrNavi_act!D4*1000)</f>
        <v>238.11082976165162</v>
      </c>
      <c r="E18" s="63">
        <f>IF(E4=0,0,E4/TrNavi_act!E4*1000)</f>
        <v>275.51975580819084</v>
      </c>
      <c r="F18" s="63">
        <f>IF(F4=0,0,F4/TrNavi_act!F4*1000)</f>
        <v>243.44380204607626</v>
      </c>
      <c r="G18" s="63">
        <f>IF(G4=0,0,G4/TrNavi_act!G4*1000)</f>
        <v>197.34894274700204</v>
      </c>
      <c r="H18" s="63">
        <f>IF(H4=0,0,H4/TrNavi_act!H4*1000)</f>
        <v>132.23336278344945</v>
      </c>
      <c r="I18" s="63">
        <f>IF(I4=0,0,I4/TrNavi_act!I4*1000)</f>
        <v>204.38517711648115</v>
      </c>
      <c r="J18" s="63">
        <f>IF(J4=0,0,J4/TrNavi_act!J4*1000)</f>
        <v>192.1845699577398</v>
      </c>
      <c r="K18" s="63">
        <f>IF(K4=0,0,K4/TrNavi_act!K4*1000)</f>
        <v>201.35539022703844</v>
      </c>
      <c r="L18" s="63">
        <f>IF(L4=0,0,L4/TrNavi_act!L4*1000)</f>
        <v>146.28672995850314</v>
      </c>
      <c r="M18" s="63">
        <f>IF(M4=0,0,M4/TrNavi_act!M4*1000)</f>
        <v>152.32703166122735</v>
      </c>
      <c r="N18" s="63">
        <f>IF(N4=0,0,N4/TrNavi_act!N4*1000)</f>
        <v>150.40305725271332</v>
      </c>
      <c r="O18" s="63">
        <f>IF(O4=0,0,O4/TrNavi_act!O4*1000)</f>
        <v>142.13056788956462</v>
      </c>
      <c r="P18" s="63">
        <f>IF(P4=0,0,P4/TrNavi_act!P4*1000)</f>
        <v>143.17370270685311</v>
      </c>
      <c r="Q18" s="63">
        <f>IF(Q4=0,0,Q4/TrNavi_act!Q4*1000)</f>
        <v>141.65391495993984</v>
      </c>
      <c r="R18" s="63">
        <f>IF(R4=0,0,R4/TrNavi_act!R4*1000)</f>
        <v>147.7878331127433</v>
      </c>
      <c r="S18" s="63">
        <f>IF(S4=0,0,S4/TrNavi_act!S4*1000)</f>
        <v>129.24604897691725</v>
      </c>
      <c r="T18" s="63">
        <f>IF(T4=0,0,T4/TrNavi_act!T4*1000)</f>
        <v>124.9547863966841</v>
      </c>
      <c r="U18" s="63">
        <f>IF(U4=0,0,U4/TrNavi_act!U4*1000)</f>
        <v>127.01696747897243</v>
      </c>
      <c r="V18" s="63">
        <f>IF(V4=0,0,V4/TrNavi_act!V4*1000)</f>
        <v>97.128415133554938</v>
      </c>
      <c r="W18" s="63">
        <f>IF(W4=0,0,W4/TrNavi_act!W4*1000)</f>
        <v>77.235091384537228</v>
      </c>
      <c r="X18" s="63">
        <f>IF(X4=0,0,X4/TrNavi_act!X4*1000)</f>
        <v>97.732716677708638</v>
      </c>
      <c r="Y18" s="63">
        <f>IF(Y4=0,0,Y4/TrNavi_act!Y4*1000)</f>
        <v>125.78775184541732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45.790099733385752</v>
      </c>
      <c r="S19" s="64">
        <f>IF(S5=0,0,S5/TrNavi_act!S5*1000)</f>
        <v>37.429083689956734</v>
      </c>
      <c r="T19" s="64">
        <f>IF(T5=0,0,T5/TrNavi_act!T5*1000)</f>
        <v>36.685066427537528</v>
      </c>
      <c r="U19" s="64">
        <f>IF(U5=0,0,U5/TrNavi_act!U5*1000)</f>
        <v>36.161230501854284</v>
      </c>
      <c r="V19" s="64">
        <f>IF(V5=0,0,V5/TrNavi_act!V5*1000)</f>
        <v>28.172088667503157</v>
      </c>
      <c r="W19" s="64">
        <f>IF(W5=0,0,W5/TrNavi_act!W5*1000)</f>
        <v>22.725993494597585</v>
      </c>
      <c r="X19" s="64">
        <f>IF(X5=0,0,X5/TrNavi_act!X5*1000)</f>
        <v>27.534987272543543</v>
      </c>
      <c r="Y19" s="64">
        <f>IF(Y5=0,0,Y5/TrNavi_act!Y5*1000)</f>
        <v>38.388890142454777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1</v>
      </c>
      <c r="C22" s="77">
        <f t="shared" si="6"/>
        <v>1</v>
      </c>
      <c r="D22" s="77">
        <f t="shared" si="6"/>
        <v>1</v>
      </c>
      <c r="E22" s="77">
        <f t="shared" si="6"/>
        <v>1</v>
      </c>
      <c r="F22" s="77">
        <f t="shared" si="6"/>
        <v>1</v>
      </c>
      <c r="G22" s="77">
        <f t="shared" si="6"/>
        <v>1</v>
      </c>
      <c r="H22" s="77">
        <f t="shared" si="6"/>
        <v>1</v>
      </c>
      <c r="I22" s="77">
        <f t="shared" si="6"/>
        <v>1</v>
      </c>
      <c r="J22" s="77">
        <f t="shared" si="6"/>
        <v>1</v>
      </c>
      <c r="K22" s="77">
        <f t="shared" si="6"/>
        <v>1</v>
      </c>
      <c r="L22" s="77">
        <f t="shared" si="6"/>
        <v>1</v>
      </c>
      <c r="M22" s="77">
        <f t="shared" si="6"/>
        <v>1</v>
      </c>
      <c r="N22" s="77">
        <f t="shared" si="6"/>
        <v>1</v>
      </c>
      <c r="O22" s="77">
        <f t="shared" si="6"/>
        <v>1</v>
      </c>
      <c r="P22" s="77">
        <f t="shared" si="6"/>
        <v>1</v>
      </c>
      <c r="Q22" s="77">
        <f t="shared" si="6"/>
        <v>1</v>
      </c>
      <c r="R22" s="77">
        <f t="shared" si="6"/>
        <v>0.9984158969435476</v>
      </c>
      <c r="S22" s="77">
        <f t="shared" si="6"/>
        <v>0.99959087274080405</v>
      </c>
      <c r="T22" s="77">
        <f t="shared" si="6"/>
        <v>0.99661789755362273</v>
      </c>
      <c r="U22" s="77">
        <f t="shared" si="6"/>
        <v>0.99604702764667774</v>
      </c>
      <c r="V22" s="77">
        <f t="shared" ref="V22:W22" si="7">IF(V4=0,0,V4/V$3)</f>
        <v>0.99359263446427704</v>
      </c>
      <c r="W22" s="77">
        <f t="shared" si="7"/>
        <v>0.99011846936716708</v>
      </c>
      <c r="X22" s="77">
        <f t="shared" ref="X22:Y22" si="8">IF(X4=0,0,X4/X$3)</f>
        <v>0.99124464437900539</v>
      </c>
      <c r="Y22" s="77">
        <f t="shared" si="8"/>
        <v>0.98677700516038225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1.5841030564524275E-3</v>
      </c>
      <c r="S23" s="78">
        <f t="shared" si="9"/>
        <v>4.0912725919586758E-4</v>
      </c>
      <c r="T23" s="78">
        <f t="shared" si="9"/>
        <v>3.3821024463772911E-3</v>
      </c>
      <c r="U23" s="78">
        <f t="shared" si="9"/>
        <v>3.9529723533222073E-3</v>
      </c>
      <c r="V23" s="78">
        <f t="shared" ref="V23:W23" si="10">IF(V5=0,0,V5/V$3)</f>
        <v>6.4073655357230501E-3</v>
      </c>
      <c r="W23" s="78">
        <f t="shared" si="10"/>
        <v>9.8815306328329036E-3</v>
      </c>
      <c r="X23" s="78">
        <f t="shared" ref="X23:Y23" si="11">IF(X5=0,0,X5/X$3)</f>
        <v>8.7553556209946804E-3</v>
      </c>
      <c r="Y23" s="78">
        <f t="shared" si="11"/>
        <v>1.3222994839617808E-2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89816.344649000006</v>
      </c>
      <c r="C3" s="54">
        <f t="shared" si="0"/>
        <v>87235.793468000003</v>
      </c>
      <c r="D3" s="54">
        <f t="shared" si="0"/>
        <v>90113.444034999993</v>
      </c>
      <c r="E3" s="54">
        <f t="shared" si="0"/>
        <v>93056.359414000006</v>
      </c>
      <c r="F3" s="54">
        <f t="shared" si="0"/>
        <v>94731.369028999994</v>
      </c>
      <c r="G3" s="54">
        <f t="shared" si="0"/>
        <v>107572.43254099999</v>
      </c>
      <c r="H3" s="54">
        <f t="shared" si="0"/>
        <v>101158.43492</v>
      </c>
      <c r="I3" s="54">
        <f t="shared" si="0"/>
        <v>101381.31027799999</v>
      </c>
      <c r="J3" s="54">
        <f t="shared" si="0"/>
        <v>111220.82791299999</v>
      </c>
      <c r="K3" s="54">
        <f t="shared" si="0"/>
        <v>96066.949261000002</v>
      </c>
      <c r="L3" s="54">
        <f t="shared" si="0"/>
        <v>118127.351946</v>
      </c>
      <c r="M3" s="54">
        <f t="shared" si="0"/>
        <v>106437.979131</v>
      </c>
      <c r="N3" s="54">
        <f t="shared" si="0"/>
        <v>99053.801480000009</v>
      </c>
      <c r="O3" s="54">
        <f t="shared" si="0"/>
        <v>105367.96379600001</v>
      </c>
      <c r="P3" s="54">
        <f t="shared" si="0"/>
        <v>114924.18195299999</v>
      </c>
      <c r="Q3" s="54">
        <f t="shared" si="0"/>
        <v>119802.55320200001</v>
      </c>
      <c r="R3" s="54">
        <f t="shared" ref="R3:W3" si="1">SUM(R4:R5)</f>
        <v>117921.328945</v>
      </c>
      <c r="S3" s="54">
        <f t="shared" si="1"/>
        <v>105275.663073</v>
      </c>
      <c r="T3" s="54">
        <f t="shared" si="1"/>
        <v>101821.72800999999</v>
      </c>
      <c r="U3" s="54">
        <f t="shared" si="1"/>
        <v>105332.52288199999</v>
      </c>
      <c r="V3" s="54">
        <f t="shared" si="1"/>
        <v>111126.582868</v>
      </c>
      <c r="W3" s="54">
        <f t="shared" si="1"/>
        <v>93371.044144999993</v>
      </c>
      <c r="X3" s="54">
        <f t="shared" ref="X3:Y3" si="2">SUM(X4:X5)</f>
        <v>97501.538171000007</v>
      </c>
      <c r="Y3" s="54">
        <f t="shared" si="2"/>
        <v>98135.941747999997</v>
      </c>
      <c r="DA3" s="172" t="s">
        <v>388</v>
      </c>
    </row>
    <row r="4" spans="1:105" ht="11.45" customHeight="1" x14ac:dyDescent="0.25">
      <c r="A4" s="55" t="s">
        <v>166</v>
      </c>
      <c r="B4" s="56">
        <v>39462.719531000002</v>
      </c>
      <c r="C4" s="56">
        <v>36394.281114000005</v>
      </c>
      <c r="D4" s="56">
        <v>38799.212320999999</v>
      </c>
      <c r="E4" s="56">
        <v>40164.920035999996</v>
      </c>
      <c r="F4" s="56">
        <v>42387.706074000002</v>
      </c>
      <c r="G4" s="56">
        <v>44408.550412999997</v>
      </c>
      <c r="H4" s="56">
        <v>44184.977018999998</v>
      </c>
      <c r="I4" s="56">
        <v>46832.666888</v>
      </c>
      <c r="J4" s="56">
        <v>48780.631793999994</v>
      </c>
      <c r="K4" s="56">
        <v>43067.462741999996</v>
      </c>
      <c r="L4" s="56">
        <v>47554.659224999996</v>
      </c>
      <c r="M4" s="56">
        <v>47464.70263</v>
      </c>
      <c r="N4" s="56">
        <v>43223.329148000004</v>
      </c>
      <c r="O4" s="56">
        <v>47094.360276000007</v>
      </c>
      <c r="P4" s="56">
        <v>47241.184694999996</v>
      </c>
      <c r="Q4" s="56">
        <v>47024.223085000005</v>
      </c>
      <c r="R4" s="56">
        <v>50006.932348000002</v>
      </c>
      <c r="S4" s="56">
        <v>50727.973310999994</v>
      </c>
      <c r="T4" s="56">
        <v>50867.032173</v>
      </c>
      <c r="U4" s="56">
        <v>50182.785403000002</v>
      </c>
      <c r="V4" s="56">
        <v>50816.927985000002</v>
      </c>
      <c r="W4" s="56">
        <v>52294.386400999996</v>
      </c>
      <c r="X4" s="56">
        <v>52575.835399000003</v>
      </c>
      <c r="Y4" s="56">
        <v>54507.729935999996</v>
      </c>
      <c r="DA4" s="181" t="s">
        <v>389</v>
      </c>
    </row>
    <row r="5" spans="1:105" ht="11.45" customHeight="1" x14ac:dyDescent="0.25">
      <c r="A5" s="57" t="s">
        <v>167</v>
      </c>
      <c r="B5" s="58">
        <v>50353.625117999996</v>
      </c>
      <c r="C5" s="58">
        <v>50841.512353999999</v>
      </c>
      <c r="D5" s="58">
        <v>51314.231714000001</v>
      </c>
      <c r="E5" s="58">
        <v>52891.439378000003</v>
      </c>
      <c r="F5" s="58">
        <v>52343.662955</v>
      </c>
      <c r="G5" s="58">
        <v>63163.882127999997</v>
      </c>
      <c r="H5" s="58">
        <v>56973.457901000002</v>
      </c>
      <c r="I5" s="58">
        <v>54548.643389999997</v>
      </c>
      <c r="J5" s="58">
        <v>62440.196119</v>
      </c>
      <c r="K5" s="58">
        <v>52999.486518999998</v>
      </c>
      <c r="L5" s="58">
        <v>70572.692720999999</v>
      </c>
      <c r="M5" s="58">
        <v>58973.276501</v>
      </c>
      <c r="N5" s="58">
        <v>55830.472332000005</v>
      </c>
      <c r="O5" s="58">
        <v>58273.603520000004</v>
      </c>
      <c r="P5" s="58">
        <v>67682.997258000003</v>
      </c>
      <c r="Q5" s="58">
        <v>72778.330117000005</v>
      </c>
      <c r="R5" s="58">
        <v>67914.396596999999</v>
      </c>
      <c r="S5" s="58">
        <v>54547.689762000002</v>
      </c>
      <c r="T5" s="58">
        <v>50954.695836999999</v>
      </c>
      <c r="U5" s="58">
        <v>55149.737478999996</v>
      </c>
      <c r="V5" s="58">
        <v>60309.654882999996</v>
      </c>
      <c r="W5" s="58">
        <v>41076.657743999996</v>
      </c>
      <c r="X5" s="58">
        <v>44925.702772000004</v>
      </c>
      <c r="Y5" s="58">
        <v>43628.211812000001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10.173210000000001</v>
      </c>
      <c r="C7" s="59">
        <f t="shared" si="3"/>
        <v>9.534618</v>
      </c>
      <c r="D7" s="59">
        <f t="shared" si="3"/>
        <v>9.5553059999999999</v>
      </c>
      <c r="E7" s="59">
        <f t="shared" si="3"/>
        <v>9.9184380000000001</v>
      </c>
      <c r="F7" s="59">
        <f t="shared" si="3"/>
        <v>10.430084000000001</v>
      </c>
      <c r="G7" s="59">
        <f t="shared" si="3"/>
        <v>11.062446999999999</v>
      </c>
      <c r="H7" s="59">
        <f t="shared" si="3"/>
        <v>10.304864</v>
      </c>
      <c r="I7" s="59">
        <f t="shared" si="3"/>
        <v>12.325200000000001</v>
      </c>
      <c r="J7" s="59">
        <f t="shared" si="3"/>
        <v>12.133284</v>
      </c>
      <c r="K7" s="59">
        <f t="shared" si="3"/>
        <v>10.207484000000001</v>
      </c>
      <c r="L7" s="59">
        <f t="shared" si="3"/>
        <v>11.519779</v>
      </c>
      <c r="M7" s="59">
        <f t="shared" si="3"/>
        <v>11.538741</v>
      </c>
      <c r="N7" s="59">
        <f t="shared" si="3"/>
        <v>10.119555</v>
      </c>
      <c r="O7" s="59">
        <f t="shared" si="3"/>
        <v>11.695555000000001</v>
      </c>
      <c r="P7" s="59">
        <f t="shared" si="3"/>
        <v>11.775732</v>
      </c>
      <c r="Q7" s="59">
        <f t="shared" si="3"/>
        <v>11.113638999999999</v>
      </c>
      <c r="R7" s="59">
        <f t="shared" si="3"/>
        <v>10.903537</v>
      </c>
      <c r="S7" s="59">
        <f t="shared" si="3"/>
        <v>10.655618</v>
      </c>
      <c r="T7" s="59">
        <f t="shared" si="3"/>
        <v>10.968007</v>
      </c>
      <c r="U7" s="59">
        <f t="shared" si="3"/>
        <v>10.827567000000002</v>
      </c>
      <c r="V7" s="59">
        <f t="shared" si="3"/>
        <v>9.8544819999999991</v>
      </c>
      <c r="W7" s="59">
        <f t="shared" si="3"/>
        <v>9.1198130000000006</v>
      </c>
      <c r="X7" s="59">
        <f t="shared" ref="X7:Y7" si="4">SUM(X8:X9)</f>
        <v>9.6036280000000005</v>
      </c>
      <c r="Y7" s="59">
        <f t="shared" si="4"/>
        <v>9.2957269999999994</v>
      </c>
      <c r="DA7" s="172" t="s">
        <v>963</v>
      </c>
    </row>
    <row r="8" spans="1:105" ht="11.45" customHeight="1" x14ac:dyDescent="0.25">
      <c r="A8" s="55" t="s">
        <v>166</v>
      </c>
      <c r="B8" s="60">
        <v>7.2914700000000003</v>
      </c>
      <c r="C8" s="60">
        <v>6.7503229999999999</v>
      </c>
      <c r="D8" s="60">
        <v>6.8266390000000001</v>
      </c>
      <c r="E8" s="60">
        <v>7.0904730000000002</v>
      </c>
      <c r="F8" s="60">
        <v>7.6607050000000001</v>
      </c>
      <c r="G8" s="60">
        <v>7.9083329999999998</v>
      </c>
      <c r="H8" s="60">
        <v>7.4607250000000001</v>
      </c>
      <c r="I8" s="60">
        <v>9.3586380000000009</v>
      </c>
      <c r="J8" s="60">
        <v>9.0169389999999989</v>
      </c>
      <c r="K8" s="60">
        <v>7.6233040000000001</v>
      </c>
      <c r="L8" s="60">
        <v>8.3817710000000005</v>
      </c>
      <c r="M8" s="60">
        <v>8.7761040000000001</v>
      </c>
      <c r="N8" s="60">
        <v>7.6562850000000005</v>
      </c>
      <c r="O8" s="60">
        <v>8.9769810000000003</v>
      </c>
      <c r="P8" s="60">
        <v>8.7039369999999998</v>
      </c>
      <c r="Q8" s="60">
        <v>8.1195299999999992</v>
      </c>
      <c r="R8" s="60">
        <v>8.0295670000000001</v>
      </c>
      <c r="S8" s="60">
        <v>8.2410840000000007</v>
      </c>
      <c r="T8" s="60">
        <v>8.6245930000000008</v>
      </c>
      <c r="U8" s="60">
        <v>8.4666010000000007</v>
      </c>
      <c r="V8" s="60">
        <v>7.5030779999999995</v>
      </c>
      <c r="W8" s="60">
        <v>7.4385680000000001</v>
      </c>
      <c r="X8" s="60">
        <v>7.6249280000000006</v>
      </c>
      <c r="Y8" s="60">
        <v>7.4130380000000002</v>
      </c>
      <c r="DA8" s="181" t="s">
        <v>964</v>
      </c>
    </row>
    <row r="9" spans="1:105" ht="11.45" customHeight="1" x14ac:dyDescent="0.25">
      <c r="A9" s="57" t="s">
        <v>167</v>
      </c>
      <c r="B9" s="61">
        <v>2.8817400000000002</v>
      </c>
      <c r="C9" s="61">
        <v>2.7842950000000002</v>
      </c>
      <c r="D9" s="61">
        <v>2.7286669999999997</v>
      </c>
      <c r="E9" s="61">
        <v>2.8279649999999998</v>
      </c>
      <c r="F9" s="61">
        <v>2.7693789999999998</v>
      </c>
      <c r="G9" s="61">
        <v>3.1541139999999999</v>
      </c>
      <c r="H9" s="61">
        <v>2.8441390000000002</v>
      </c>
      <c r="I9" s="61">
        <v>2.9665619999999997</v>
      </c>
      <c r="J9" s="61">
        <v>3.1163449999999999</v>
      </c>
      <c r="K9" s="61">
        <v>2.5841799999999999</v>
      </c>
      <c r="L9" s="61">
        <v>3.1380079999999997</v>
      </c>
      <c r="M9" s="61">
        <v>2.7626369999999998</v>
      </c>
      <c r="N9" s="61">
        <v>2.4632700000000001</v>
      </c>
      <c r="O9" s="61">
        <v>2.7185740000000003</v>
      </c>
      <c r="P9" s="61">
        <v>3.0717949999999998</v>
      </c>
      <c r="Q9" s="61">
        <v>2.9941089999999999</v>
      </c>
      <c r="R9" s="61">
        <v>2.8739699999999999</v>
      </c>
      <c r="S9" s="61">
        <v>2.4145339999999997</v>
      </c>
      <c r="T9" s="61">
        <v>2.3434140000000001</v>
      </c>
      <c r="U9" s="61">
        <v>2.3609660000000003</v>
      </c>
      <c r="V9" s="61">
        <v>2.351404</v>
      </c>
      <c r="W9" s="61">
        <v>1.6812450000000001</v>
      </c>
      <c r="X9" s="61">
        <v>1.9786999999999999</v>
      </c>
      <c r="Y9" s="61">
        <v>1.8826890000000001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8828.7123384851002</v>
      </c>
      <c r="C13" s="62">
        <f t="shared" si="5"/>
        <v>9149.3747801957034</v>
      </c>
      <c r="D13" s="62">
        <f t="shared" si="5"/>
        <v>9430.7229967308213</v>
      </c>
      <c r="E13" s="62">
        <f t="shared" si="5"/>
        <v>9382.1587042233878</v>
      </c>
      <c r="F13" s="62">
        <f t="shared" si="5"/>
        <v>9082.512569313918</v>
      </c>
      <c r="G13" s="62">
        <f t="shared" si="5"/>
        <v>9724.1082864396994</v>
      </c>
      <c r="H13" s="62">
        <f t="shared" si="5"/>
        <v>9816.5715646514109</v>
      </c>
      <c r="I13" s="62">
        <f t="shared" si="5"/>
        <v>8225.5306427481901</v>
      </c>
      <c r="J13" s="62">
        <f t="shared" si="5"/>
        <v>9166.5890218179993</v>
      </c>
      <c r="K13" s="62">
        <f t="shared" si="5"/>
        <v>9411.4229579982675</v>
      </c>
      <c r="L13" s="62">
        <f t="shared" si="5"/>
        <v>10254.307130892008</v>
      </c>
      <c r="M13" s="62">
        <f t="shared" si="5"/>
        <v>9224.40144301705</v>
      </c>
      <c r="N13" s="62">
        <f t="shared" si="5"/>
        <v>9788.3554642471936</v>
      </c>
      <c r="O13" s="62">
        <f t="shared" si="5"/>
        <v>9009.2316094447851</v>
      </c>
      <c r="P13" s="62">
        <f t="shared" si="5"/>
        <v>9759.4087529335757</v>
      </c>
      <c r="Q13" s="62">
        <f t="shared" si="5"/>
        <v>10779.77728105079</v>
      </c>
      <c r="R13" s="62">
        <f t="shared" si="5"/>
        <v>10814.961140132784</v>
      </c>
      <c r="S13" s="62">
        <f t="shared" si="5"/>
        <v>9879.8270614618505</v>
      </c>
      <c r="T13" s="62">
        <f t="shared" si="5"/>
        <v>9283.521428277716</v>
      </c>
      <c r="U13" s="62">
        <f t="shared" si="5"/>
        <v>9728.1801980075452</v>
      </c>
      <c r="V13" s="62">
        <f t="shared" si="5"/>
        <v>11276.755375675759</v>
      </c>
      <c r="W13" s="62">
        <f t="shared" si="5"/>
        <v>10238.263015371038</v>
      </c>
      <c r="X13" s="62">
        <f t="shared" ref="X13:Y13" si="6">IF(X3=0,0,X3/X7)</f>
        <v>10152.573399448625</v>
      </c>
      <c r="Y13" s="62">
        <f t="shared" si="6"/>
        <v>10557.102392099079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5412.1760812291623</v>
      </c>
      <c r="C14" s="63">
        <f t="shared" si="5"/>
        <v>5391.4873575679276</v>
      </c>
      <c r="D14" s="63">
        <f t="shared" si="5"/>
        <v>5683.5014010554823</v>
      </c>
      <c r="E14" s="63">
        <f t="shared" si="5"/>
        <v>5664.6319696866476</v>
      </c>
      <c r="F14" s="63">
        <f t="shared" si="5"/>
        <v>5533.1338400316945</v>
      </c>
      <c r="G14" s="63">
        <f t="shared" si="5"/>
        <v>5615.4123015558398</v>
      </c>
      <c r="H14" s="63">
        <f t="shared" si="5"/>
        <v>5922.3436085635103</v>
      </c>
      <c r="I14" s="63">
        <f t="shared" si="5"/>
        <v>5004.2182300458671</v>
      </c>
      <c r="J14" s="63">
        <f t="shared" si="5"/>
        <v>5409.8881886635809</v>
      </c>
      <c r="K14" s="63">
        <f t="shared" si="5"/>
        <v>5649.448420527372</v>
      </c>
      <c r="L14" s="63">
        <f t="shared" si="5"/>
        <v>5673.5813022092816</v>
      </c>
      <c r="M14" s="63">
        <f t="shared" si="5"/>
        <v>5408.4024790499288</v>
      </c>
      <c r="N14" s="63">
        <f t="shared" si="5"/>
        <v>5645.4702441197005</v>
      </c>
      <c r="O14" s="63">
        <f t="shared" si="5"/>
        <v>5246.1245351861617</v>
      </c>
      <c r="P14" s="63">
        <f t="shared" si="5"/>
        <v>5427.5651001380174</v>
      </c>
      <c r="Q14" s="63">
        <f t="shared" si="5"/>
        <v>5791.4957004900543</v>
      </c>
      <c r="R14" s="63">
        <f t="shared" si="5"/>
        <v>6227.8491913698463</v>
      </c>
      <c r="S14" s="63">
        <f t="shared" si="5"/>
        <v>6155.497664020897</v>
      </c>
      <c r="T14" s="63">
        <f t="shared" si="5"/>
        <v>5897.9052313541051</v>
      </c>
      <c r="U14" s="63">
        <f t="shared" si="5"/>
        <v>5927.1466085386564</v>
      </c>
      <c r="V14" s="63">
        <f t="shared" si="5"/>
        <v>6772.810836432729</v>
      </c>
      <c r="W14" s="63">
        <f t="shared" si="5"/>
        <v>7030.1684949307446</v>
      </c>
      <c r="X14" s="63">
        <f t="shared" ref="X14:Y14" si="7">IF(X4=0,0,X4/X8)</f>
        <v>6895.2566370462773</v>
      </c>
      <c r="Y14" s="63">
        <f t="shared" si="7"/>
        <v>7352.9543401773999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17473.340800349786</v>
      </c>
      <c r="C15" s="64">
        <f t="shared" si="5"/>
        <v>18260.102594732238</v>
      </c>
      <c r="D15" s="64">
        <f t="shared" si="5"/>
        <v>18805.60424339064</v>
      </c>
      <c r="E15" s="64">
        <f t="shared" si="5"/>
        <v>18703.003530100268</v>
      </c>
      <c r="F15" s="64">
        <f t="shared" si="5"/>
        <v>18900.8665679201</v>
      </c>
      <c r="G15" s="64">
        <f t="shared" si="5"/>
        <v>20025.871648266359</v>
      </c>
      <c r="H15" s="64">
        <f t="shared" si="5"/>
        <v>20031.882373189215</v>
      </c>
      <c r="I15" s="64">
        <f t="shared" si="5"/>
        <v>18387.831904406517</v>
      </c>
      <c r="J15" s="64">
        <f t="shared" si="5"/>
        <v>20036.355448129139</v>
      </c>
      <c r="K15" s="64">
        <f t="shared" si="5"/>
        <v>20509.208537717961</v>
      </c>
      <c r="L15" s="64">
        <f t="shared" si="5"/>
        <v>22489.647165016791</v>
      </c>
      <c r="M15" s="64">
        <f t="shared" si="5"/>
        <v>21346.733755104273</v>
      </c>
      <c r="N15" s="64">
        <f t="shared" si="5"/>
        <v>22665.185843208419</v>
      </c>
      <c r="O15" s="64">
        <f t="shared" si="5"/>
        <v>21435.35674217439</v>
      </c>
      <c r="P15" s="64">
        <f t="shared" si="5"/>
        <v>22033.696017475126</v>
      </c>
      <c r="Q15" s="64">
        <f t="shared" si="5"/>
        <v>24307.174560779185</v>
      </c>
      <c r="R15" s="64">
        <f t="shared" si="5"/>
        <v>23630.864830530591</v>
      </c>
      <c r="S15" s="64">
        <f t="shared" si="5"/>
        <v>22591.394348557529</v>
      </c>
      <c r="T15" s="64">
        <f t="shared" si="5"/>
        <v>21743.787413150214</v>
      </c>
      <c r="U15" s="64">
        <f t="shared" si="5"/>
        <v>23358.971488365351</v>
      </c>
      <c r="V15" s="64">
        <f t="shared" si="5"/>
        <v>25648.359398470016</v>
      </c>
      <c r="W15" s="64">
        <f t="shared" si="5"/>
        <v>24432.285445607271</v>
      </c>
      <c r="X15" s="64">
        <f t="shared" ref="X15:Y15" si="8">IF(X5=0,0,X5/X9)</f>
        <v>22704.655972102901</v>
      </c>
      <c r="Y15" s="64">
        <f t="shared" si="8"/>
        <v>23173.350357918913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0.43937124902176</v>
      </c>
      <c r="C18" s="66">
        <f t="shared" si="9"/>
        <v>0.41719436102051644</v>
      </c>
      <c r="D18" s="66">
        <f t="shared" si="9"/>
        <v>0.4305596433083882</v>
      </c>
      <c r="E18" s="66">
        <f t="shared" si="9"/>
        <v>0.43161929274827532</v>
      </c>
      <c r="F18" s="66">
        <f t="shared" si="9"/>
        <v>0.44745163622647433</v>
      </c>
      <c r="G18" s="66">
        <f t="shared" si="9"/>
        <v>0.41282463698191629</v>
      </c>
      <c r="H18" s="66">
        <f t="shared" si="9"/>
        <v>0.43678984410882976</v>
      </c>
      <c r="I18" s="66">
        <f t="shared" si="9"/>
        <v>0.46194576455541048</v>
      </c>
      <c r="J18" s="66">
        <f t="shared" si="9"/>
        <v>0.43859259735197759</v>
      </c>
      <c r="K18" s="66">
        <f t="shared" si="9"/>
        <v>0.44830675974722517</v>
      </c>
      <c r="L18" s="66">
        <f t="shared" si="9"/>
        <v>0.4025711102602117</v>
      </c>
      <c r="M18" s="66">
        <f t="shared" si="9"/>
        <v>0.44593765324670592</v>
      </c>
      <c r="N18" s="66">
        <f t="shared" si="9"/>
        <v>0.43636214362481829</v>
      </c>
      <c r="O18" s="66">
        <f t="shared" si="9"/>
        <v>0.44695141273848749</v>
      </c>
      <c r="P18" s="66">
        <f t="shared" si="9"/>
        <v>0.41106391963981964</v>
      </c>
      <c r="Q18" s="66">
        <f t="shared" si="9"/>
        <v>0.39251436491267511</v>
      </c>
      <c r="R18" s="66">
        <f t="shared" si="9"/>
        <v>0.42407029156976228</v>
      </c>
      <c r="S18" s="66">
        <f t="shared" si="9"/>
        <v>0.4818585020530749</v>
      </c>
      <c r="T18" s="66">
        <f t="shared" si="9"/>
        <v>0.49956952378577102</v>
      </c>
      <c r="U18" s="66">
        <f t="shared" si="9"/>
        <v>0.47642251443286765</v>
      </c>
      <c r="V18" s="66">
        <f t="shared" si="9"/>
        <v>0.45728867633194575</v>
      </c>
      <c r="W18" s="66">
        <f t="shared" si="9"/>
        <v>0.5600707037161301</v>
      </c>
      <c r="X18" s="66">
        <f t="shared" ref="X18:Y18" si="11">IF(X4=0,0,X4/X$3)</f>
        <v>0.53923083045922338</v>
      </c>
      <c r="Y18" s="66">
        <f t="shared" si="11"/>
        <v>0.55543085402867554</v>
      </c>
      <c r="DA18" s="181"/>
    </row>
    <row r="19" spans="1:105" ht="11.45" customHeight="1" x14ac:dyDescent="0.25">
      <c r="A19" s="57" t="s">
        <v>167</v>
      </c>
      <c r="B19" s="67">
        <f t="shared" si="9"/>
        <v>0.56062875097823994</v>
      </c>
      <c r="C19" s="67">
        <f t="shared" si="9"/>
        <v>0.58280563897948356</v>
      </c>
      <c r="D19" s="67">
        <f t="shared" si="9"/>
        <v>0.56944035669161186</v>
      </c>
      <c r="E19" s="67">
        <f t="shared" si="9"/>
        <v>0.56838070725172463</v>
      </c>
      <c r="F19" s="67">
        <f t="shared" si="9"/>
        <v>0.55254836377352579</v>
      </c>
      <c r="G19" s="67">
        <f t="shared" si="9"/>
        <v>0.58717536301808382</v>
      </c>
      <c r="H19" s="67">
        <f t="shared" si="9"/>
        <v>0.56321015589117029</v>
      </c>
      <c r="I19" s="67">
        <f t="shared" si="9"/>
        <v>0.53805423544458963</v>
      </c>
      <c r="J19" s="67">
        <f t="shared" si="9"/>
        <v>0.56140740264802247</v>
      </c>
      <c r="K19" s="67">
        <f t="shared" si="9"/>
        <v>0.55169324025277477</v>
      </c>
      <c r="L19" s="67">
        <f t="shared" si="9"/>
        <v>0.59742888973978836</v>
      </c>
      <c r="M19" s="67">
        <f t="shared" si="9"/>
        <v>0.55406234675329402</v>
      </c>
      <c r="N19" s="67">
        <f t="shared" si="9"/>
        <v>0.56363785637518171</v>
      </c>
      <c r="O19" s="67">
        <f t="shared" si="9"/>
        <v>0.55304858726151251</v>
      </c>
      <c r="P19" s="67">
        <f t="shared" si="9"/>
        <v>0.58893608036018041</v>
      </c>
      <c r="Q19" s="67">
        <f t="shared" si="9"/>
        <v>0.60748563508732489</v>
      </c>
      <c r="R19" s="67">
        <f t="shared" si="9"/>
        <v>0.57592970843023772</v>
      </c>
      <c r="S19" s="67">
        <f t="shared" si="9"/>
        <v>0.51814149794692499</v>
      </c>
      <c r="T19" s="67">
        <f t="shared" si="9"/>
        <v>0.50043047621422909</v>
      </c>
      <c r="U19" s="67">
        <f t="shared" si="9"/>
        <v>0.52357748556713246</v>
      </c>
      <c r="V19" s="67">
        <f t="shared" si="9"/>
        <v>0.54271132366805419</v>
      </c>
      <c r="W19" s="67">
        <f t="shared" si="9"/>
        <v>0.4399292962838699</v>
      </c>
      <c r="X19" s="67">
        <f t="shared" ref="X19:Y19" si="12">IF(X5=0,0,X5/X$3)</f>
        <v>0.46076916954077662</v>
      </c>
      <c r="Y19" s="67">
        <f t="shared" si="12"/>
        <v>0.44456914597132441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0.71673247676986906</v>
      </c>
      <c r="C22" s="66">
        <f t="shared" si="13"/>
        <v>0.70798043508402742</v>
      </c>
      <c r="D22" s="66">
        <f t="shared" si="13"/>
        <v>0.71443436766964874</v>
      </c>
      <c r="E22" s="66">
        <f t="shared" si="13"/>
        <v>0.714877987844457</v>
      </c>
      <c r="F22" s="66">
        <f t="shared" si="13"/>
        <v>0.73448162066575873</v>
      </c>
      <c r="G22" s="66">
        <f t="shared" si="13"/>
        <v>0.71488098428855751</v>
      </c>
      <c r="H22" s="66">
        <f t="shared" si="13"/>
        <v>0.7240003361519376</v>
      </c>
      <c r="I22" s="66">
        <f t="shared" si="13"/>
        <v>0.75930922013435886</v>
      </c>
      <c r="J22" s="66">
        <f t="shared" si="13"/>
        <v>0.74315733481553714</v>
      </c>
      <c r="K22" s="66">
        <f t="shared" si="13"/>
        <v>0.74683477338783966</v>
      </c>
      <c r="L22" s="66">
        <f t="shared" si="13"/>
        <v>0.72759824645941562</v>
      </c>
      <c r="M22" s="66">
        <f t="shared" si="13"/>
        <v>0.76057725881879146</v>
      </c>
      <c r="N22" s="66">
        <f t="shared" si="13"/>
        <v>0.75658316991211572</v>
      </c>
      <c r="O22" s="66">
        <f t="shared" si="13"/>
        <v>0.76755493860701773</v>
      </c>
      <c r="P22" s="66">
        <f t="shared" si="13"/>
        <v>0.73914190642246269</v>
      </c>
      <c r="Q22" s="66">
        <f t="shared" si="13"/>
        <v>0.73059148313167266</v>
      </c>
      <c r="R22" s="66">
        <f t="shared" si="13"/>
        <v>0.73641855849161608</v>
      </c>
      <c r="S22" s="66">
        <f t="shared" si="13"/>
        <v>0.77340272521030695</v>
      </c>
      <c r="T22" s="66">
        <f t="shared" si="13"/>
        <v>0.78634094598954951</v>
      </c>
      <c r="U22" s="66">
        <f t="shared" si="13"/>
        <v>0.78194861320183928</v>
      </c>
      <c r="V22" s="66">
        <f t="shared" si="13"/>
        <v>0.76138735653482348</v>
      </c>
      <c r="W22" s="66">
        <f t="shared" si="13"/>
        <v>0.81564918052596025</v>
      </c>
      <c r="X22" s="66">
        <f t="shared" ref="X22:Y22" si="15">IF(X8=0,0,X8/X$7)</f>
        <v>0.79396328137657979</v>
      </c>
      <c r="Y22" s="66">
        <f t="shared" si="15"/>
        <v>0.79746726641176113</v>
      </c>
      <c r="DA22" s="181"/>
    </row>
    <row r="23" spans="1:105" ht="11.45" customHeight="1" x14ac:dyDescent="0.25">
      <c r="A23" s="57" t="s">
        <v>167</v>
      </c>
      <c r="B23" s="67">
        <f t="shared" si="13"/>
        <v>0.28326752323013088</v>
      </c>
      <c r="C23" s="67">
        <f t="shared" si="13"/>
        <v>0.29201956491597253</v>
      </c>
      <c r="D23" s="67">
        <f t="shared" si="13"/>
        <v>0.28556563233035132</v>
      </c>
      <c r="E23" s="67">
        <f t="shared" si="13"/>
        <v>0.285122012155543</v>
      </c>
      <c r="F23" s="67">
        <f t="shared" si="13"/>
        <v>0.26551837933424116</v>
      </c>
      <c r="G23" s="67">
        <f t="shared" si="13"/>
        <v>0.28511901571144255</v>
      </c>
      <c r="H23" s="67">
        <f t="shared" si="13"/>
        <v>0.27599966384806246</v>
      </c>
      <c r="I23" s="67">
        <f t="shared" si="13"/>
        <v>0.24069077986564108</v>
      </c>
      <c r="J23" s="67">
        <f t="shared" si="13"/>
        <v>0.25684266518446286</v>
      </c>
      <c r="K23" s="67">
        <f t="shared" si="13"/>
        <v>0.25316522661216023</v>
      </c>
      <c r="L23" s="67">
        <f t="shared" si="13"/>
        <v>0.27240175354058438</v>
      </c>
      <c r="M23" s="67">
        <f t="shared" si="13"/>
        <v>0.23942274118120857</v>
      </c>
      <c r="N23" s="67">
        <f t="shared" si="13"/>
        <v>0.24341683008788431</v>
      </c>
      <c r="O23" s="67">
        <f t="shared" si="13"/>
        <v>0.23244506139298221</v>
      </c>
      <c r="P23" s="67">
        <f t="shared" si="13"/>
        <v>0.26085809357753725</v>
      </c>
      <c r="Q23" s="67">
        <f t="shared" si="13"/>
        <v>0.26940851686832729</v>
      </c>
      <c r="R23" s="67">
        <f t="shared" si="13"/>
        <v>0.26358144150838392</v>
      </c>
      <c r="S23" s="67">
        <f t="shared" si="13"/>
        <v>0.22659727478969308</v>
      </c>
      <c r="T23" s="67">
        <f t="shared" si="13"/>
        <v>0.21365905401045057</v>
      </c>
      <c r="U23" s="67">
        <f t="shared" si="13"/>
        <v>0.21805138679816066</v>
      </c>
      <c r="V23" s="67">
        <f t="shared" si="13"/>
        <v>0.23861264346517658</v>
      </c>
      <c r="W23" s="67">
        <f t="shared" si="13"/>
        <v>0.18435081947403964</v>
      </c>
      <c r="X23" s="67">
        <f t="shared" ref="X23:Y23" si="16">IF(X9=0,0,X9/X$7)</f>
        <v>0.20603671862342021</v>
      </c>
      <c r="Y23" s="67">
        <f t="shared" si="16"/>
        <v>0.20253273358823901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1357.3469475494408</v>
      </c>
      <c r="C3" s="62">
        <f t="shared" ref="C3:W3" si="0">SUM(C4,C10)</f>
        <v>1388.1341358555455</v>
      </c>
      <c r="D3" s="62">
        <f t="shared" si="0"/>
        <v>1204.590627687016</v>
      </c>
      <c r="E3" s="62">
        <f t="shared" si="0"/>
        <v>1612.2098882201203</v>
      </c>
      <c r="F3" s="62">
        <f t="shared" si="0"/>
        <v>1894.3537403267414</v>
      </c>
      <c r="G3" s="62">
        <f t="shared" si="0"/>
        <v>1934.3508168529656</v>
      </c>
      <c r="H3" s="62">
        <f t="shared" si="0"/>
        <v>2077.6918314703353</v>
      </c>
      <c r="I3" s="62">
        <f t="shared" si="0"/>
        <v>2067.1730008598452</v>
      </c>
      <c r="J3" s="62">
        <f t="shared" si="0"/>
        <v>2031.6662080825447</v>
      </c>
      <c r="K3" s="62">
        <f t="shared" si="0"/>
        <v>2112.7018056749785</v>
      </c>
      <c r="L3" s="62">
        <f t="shared" si="0"/>
        <v>1957.3851246775575</v>
      </c>
      <c r="M3" s="62">
        <f t="shared" si="0"/>
        <v>1719.571023215821</v>
      </c>
      <c r="N3" s="62">
        <f t="shared" si="0"/>
        <v>1689.8442820292348</v>
      </c>
      <c r="O3" s="62">
        <f t="shared" si="0"/>
        <v>1597.463456577816</v>
      </c>
      <c r="P3" s="62">
        <f t="shared" si="0"/>
        <v>1718.692089423904</v>
      </c>
      <c r="Q3" s="62">
        <f t="shared" si="0"/>
        <v>1826.4450558899398</v>
      </c>
      <c r="R3" s="62">
        <f t="shared" si="0"/>
        <v>2003.229234737747</v>
      </c>
      <c r="S3" s="62">
        <f t="shared" si="0"/>
        <v>2381.9689595872742</v>
      </c>
      <c r="T3" s="62">
        <f t="shared" si="0"/>
        <v>1810.2397248495267</v>
      </c>
      <c r="U3" s="62">
        <f t="shared" si="0"/>
        <v>2063.4412725709376</v>
      </c>
      <c r="V3" s="62">
        <f t="shared" si="0"/>
        <v>2578.1041272570938</v>
      </c>
      <c r="W3" s="62">
        <f t="shared" si="0"/>
        <v>2561.7102321582115</v>
      </c>
      <c r="X3" s="62">
        <f t="shared" ref="X3:Y3" si="1">SUM(X4,X10)</f>
        <v>2087.8403267411859</v>
      </c>
      <c r="Y3" s="62">
        <f t="shared" si="1"/>
        <v>1848.9746345657782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811.15204414602601</v>
      </c>
      <c r="C4" s="71">
        <f t="shared" ref="C4:W4" si="2">SUM(C5:C9)</f>
        <v>818.19154956991724</v>
      </c>
      <c r="D4" s="71">
        <f t="shared" si="2"/>
        <v>713.12374748589684</v>
      </c>
      <c r="E4" s="71">
        <f t="shared" si="2"/>
        <v>955.09543177286696</v>
      </c>
      <c r="F4" s="71">
        <f t="shared" si="2"/>
        <v>1140.6048071769433</v>
      </c>
      <c r="G4" s="71">
        <f t="shared" si="2"/>
        <v>1142.8159044129936</v>
      </c>
      <c r="H4" s="71">
        <f t="shared" si="2"/>
        <v>1238.5551018624988</v>
      </c>
      <c r="I4" s="71">
        <f t="shared" si="2"/>
        <v>1264.2808195658567</v>
      </c>
      <c r="J4" s="71">
        <f t="shared" si="2"/>
        <v>1231.3052036848824</v>
      </c>
      <c r="K4" s="71">
        <f t="shared" si="2"/>
        <v>1296.8234308803603</v>
      </c>
      <c r="L4" s="71">
        <f t="shared" si="2"/>
        <v>1162.7767701822918</v>
      </c>
      <c r="M4" s="71">
        <f t="shared" si="2"/>
        <v>1052.0534263405154</v>
      </c>
      <c r="N4" s="71">
        <f t="shared" si="2"/>
        <v>1031.1180051561373</v>
      </c>
      <c r="O4" s="71">
        <f t="shared" si="2"/>
        <v>979.90777835432016</v>
      </c>
      <c r="P4" s="71">
        <f t="shared" si="2"/>
        <v>1018.8267332297419</v>
      </c>
      <c r="Q4" s="71">
        <f t="shared" si="2"/>
        <v>1075.3398113640114</v>
      </c>
      <c r="R4" s="71">
        <f t="shared" si="2"/>
        <v>1196.8108281710172</v>
      </c>
      <c r="S4" s="71">
        <f t="shared" si="2"/>
        <v>1482.5356186727547</v>
      </c>
      <c r="T4" s="71">
        <f t="shared" si="2"/>
        <v>1139.5652781848264</v>
      </c>
      <c r="U4" s="71">
        <f t="shared" si="2"/>
        <v>1295.0847740168658</v>
      </c>
      <c r="V4" s="71">
        <f t="shared" si="2"/>
        <v>1498.4607144199128</v>
      </c>
      <c r="W4" s="71">
        <f t="shared" si="2"/>
        <v>1524.0341900485334</v>
      </c>
      <c r="X4" s="71">
        <f t="shared" ref="X4:Y4" si="3">SUM(X5:X9)</f>
        <v>1328.2550917097033</v>
      </c>
      <c r="Y4" s="71">
        <f t="shared" si="3"/>
        <v>1197.3269951400368</v>
      </c>
      <c r="DA4" s="186" t="s">
        <v>971</v>
      </c>
    </row>
    <row r="5" spans="1:105" ht="11.45" customHeight="1" x14ac:dyDescent="0.25">
      <c r="A5" s="72" t="s">
        <v>144</v>
      </c>
      <c r="B5" s="73">
        <v>150.88528993579519</v>
      </c>
      <c r="C5" s="73">
        <v>135.05318710409719</v>
      </c>
      <c r="D5" s="73">
        <v>132.42541503564237</v>
      </c>
      <c r="E5" s="73">
        <v>152.46408139185155</v>
      </c>
      <c r="F5" s="73">
        <v>130.42532259683972</v>
      </c>
      <c r="G5" s="73">
        <v>136.11278146339632</v>
      </c>
      <c r="H5" s="73">
        <v>130.00455039144538</v>
      </c>
      <c r="I5" s="73">
        <v>118.10885204215784</v>
      </c>
      <c r="J5" s="73">
        <v>92.224818202194484</v>
      </c>
      <c r="K5" s="73">
        <v>77.839148943506075</v>
      </c>
      <c r="L5" s="73">
        <v>162.454523748556</v>
      </c>
      <c r="M5" s="73">
        <v>185.80300169793276</v>
      </c>
      <c r="N5" s="73">
        <v>216.97000629777489</v>
      </c>
      <c r="O5" s="73">
        <v>220.74331590822055</v>
      </c>
      <c r="P5" s="73">
        <v>283.81399333533062</v>
      </c>
      <c r="Q5" s="73">
        <v>701.01281324435536</v>
      </c>
      <c r="R5" s="73">
        <v>622.16302764695854</v>
      </c>
      <c r="S5" s="73">
        <v>654.05810448795808</v>
      </c>
      <c r="T5" s="73">
        <v>474.73934414176972</v>
      </c>
      <c r="U5" s="73">
        <v>432.38255969858233</v>
      </c>
      <c r="V5" s="73">
        <v>610.20086628626984</v>
      </c>
      <c r="W5" s="73">
        <v>718.75545792977323</v>
      </c>
      <c r="X5" s="73">
        <v>786.10460714391763</v>
      </c>
      <c r="Y5" s="73">
        <v>753.03678464104632</v>
      </c>
      <c r="DA5" s="187" t="s">
        <v>972</v>
      </c>
    </row>
    <row r="6" spans="1:105" ht="11.45" customHeight="1" x14ac:dyDescent="0.25">
      <c r="A6" s="72" t="s">
        <v>145</v>
      </c>
      <c r="B6" s="73">
        <v>660.26675421023083</v>
      </c>
      <c r="C6" s="73">
        <v>683.13836246582002</v>
      </c>
      <c r="D6" s="73">
        <v>580.6983324502545</v>
      </c>
      <c r="E6" s="73">
        <v>802.63135038101541</v>
      </c>
      <c r="F6" s="73">
        <v>1010.1794845801035</v>
      </c>
      <c r="G6" s="73">
        <v>1006.7031229495974</v>
      </c>
      <c r="H6" s="73">
        <v>1108.5505514710535</v>
      </c>
      <c r="I6" s="73">
        <v>1146.1719675236989</v>
      </c>
      <c r="J6" s="73">
        <v>1139.0803854826879</v>
      </c>
      <c r="K6" s="73">
        <v>1218.9842819368544</v>
      </c>
      <c r="L6" s="73">
        <v>1000.3222464337357</v>
      </c>
      <c r="M6" s="73">
        <v>866.25042464258263</v>
      </c>
      <c r="N6" s="73">
        <v>814.14799885836237</v>
      </c>
      <c r="O6" s="73">
        <v>759.16446244609961</v>
      </c>
      <c r="P6" s="73">
        <v>735.0127398944112</v>
      </c>
      <c r="Q6" s="73">
        <v>374.32699811965608</v>
      </c>
      <c r="R6" s="73">
        <v>574.64780052405865</v>
      </c>
      <c r="S6" s="73">
        <v>816.62377925133364</v>
      </c>
      <c r="T6" s="73">
        <v>651.36154996085111</v>
      </c>
      <c r="U6" s="73">
        <v>851.85036173356116</v>
      </c>
      <c r="V6" s="73">
        <v>876.6689156666888</v>
      </c>
      <c r="W6" s="73">
        <v>794.88948147278279</v>
      </c>
      <c r="X6" s="73">
        <v>541.94261634943007</v>
      </c>
      <c r="Y6" s="73">
        <v>420.83084598651328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11.853734933463121</v>
      </c>
      <c r="T8" s="73">
        <v>13.46438408220569</v>
      </c>
      <c r="U8" s="73">
        <v>10.851852584722371</v>
      </c>
      <c r="V8" s="73">
        <v>11.590932466954126</v>
      </c>
      <c r="W8" s="73">
        <v>9.9078643526682431</v>
      </c>
      <c r="X8" s="73">
        <v>0.19523708687706023</v>
      </c>
      <c r="Y8" s="73">
        <v>22.135028976765508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0.48138629330924321</v>
      </c>
      <c r="X9" s="75">
        <v>1.2631129478392044E-2</v>
      </c>
      <c r="Y9" s="75">
        <v>1.3243355357116322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546.19490340341486</v>
      </c>
      <c r="C10" s="71">
        <f t="shared" ref="C10:W10" si="4">SUM(C11:C15)</f>
        <v>569.94258628562841</v>
      </c>
      <c r="D10" s="71">
        <f t="shared" si="4"/>
        <v>491.46688020111924</v>
      </c>
      <c r="E10" s="71">
        <f t="shared" si="4"/>
        <v>657.11445644725347</v>
      </c>
      <c r="F10" s="71">
        <f t="shared" si="4"/>
        <v>753.74893314979818</v>
      </c>
      <c r="G10" s="71">
        <f t="shared" si="4"/>
        <v>791.53491243997212</v>
      </c>
      <c r="H10" s="71">
        <f t="shared" si="4"/>
        <v>839.13672960783629</v>
      </c>
      <c r="I10" s="71">
        <f t="shared" si="4"/>
        <v>802.89218129398853</v>
      </c>
      <c r="J10" s="71">
        <f t="shared" si="4"/>
        <v>800.36100439766233</v>
      </c>
      <c r="K10" s="71">
        <f t="shared" si="4"/>
        <v>815.87837479461803</v>
      </c>
      <c r="L10" s="71">
        <f t="shared" si="4"/>
        <v>794.60835449526587</v>
      </c>
      <c r="M10" s="71">
        <f t="shared" si="4"/>
        <v>667.51759687530557</v>
      </c>
      <c r="N10" s="71">
        <f t="shared" si="4"/>
        <v>658.72627687309739</v>
      </c>
      <c r="O10" s="71">
        <f t="shared" si="4"/>
        <v>617.55567822349599</v>
      </c>
      <c r="P10" s="71">
        <f t="shared" si="4"/>
        <v>699.86535619416213</v>
      </c>
      <c r="Q10" s="71">
        <f t="shared" si="4"/>
        <v>751.10524452592824</v>
      </c>
      <c r="R10" s="71">
        <f t="shared" si="4"/>
        <v>806.4184065667298</v>
      </c>
      <c r="S10" s="71">
        <f t="shared" si="4"/>
        <v>899.43334091451925</v>
      </c>
      <c r="T10" s="71">
        <f t="shared" si="4"/>
        <v>670.67444666470033</v>
      </c>
      <c r="U10" s="71">
        <f t="shared" si="4"/>
        <v>768.35649855407166</v>
      </c>
      <c r="V10" s="71">
        <f t="shared" si="4"/>
        <v>1079.6434128371807</v>
      </c>
      <c r="W10" s="71">
        <f t="shared" si="4"/>
        <v>1037.6760421096778</v>
      </c>
      <c r="X10" s="71">
        <f t="shared" ref="X10:Y10" si="5">SUM(X11:X15)</f>
        <v>759.58523503148274</v>
      </c>
      <c r="Y10" s="71">
        <f t="shared" si="5"/>
        <v>651.64763942574132</v>
      </c>
      <c r="DA10" s="186" t="s">
        <v>977</v>
      </c>
    </row>
    <row r="11" spans="1:105" ht="11.45" customHeight="1" x14ac:dyDescent="0.25">
      <c r="A11" s="72" t="s">
        <v>144</v>
      </c>
      <c r="B11" s="73">
        <v>19.602930184583098</v>
      </c>
      <c r="C11" s="73">
        <v>17.975359757467725</v>
      </c>
      <c r="D11" s="73">
        <v>17.52204842093542</v>
      </c>
      <c r="E11" s="73">
        <v>20.078222993359155</v>
      </c>
      <c r="F11" s="73">
        <v>16.441057454751</v>
      </c>
      <c r="G11" s="73">
        <v>17.942850522846062</v>
      </c>
      <c r="H11" s="73">
        <v>16.861829660145329</v>
      </c>
      <c r="I11" s="73">
        <v>14.378938155606575</v>
      </c>
      <c r="J11" s="73">
        <v>11.505964256962812</v>
      </c>
      <c r="K11" s="73">
        <v>9.459045381515427</v>
      </c>
      <c r="L11" s="73">
        <v>21.385201100971113</v>
      </c>
      <c r="M11" s="73">
        <v>22.685562360536743</v>
      </c>
      <c r="N11" s="73">
        <v>26.437818293798617</v>
      </c>
      <c r="O11" s="73">
        <v>26.772677213017673</v>
      </c>
      <c r="P11" s="73">
        <v>37.648689381780272</v>
      </c>
      <c r="Q11" s="73">
        <v>93.914099911276622</v>
      </c>
      <c r="R11" s="73">
        <v>80.330523513832432</v>
      </c>
      <c r="S11" s="73">
        <v>75.46941055933334</v>
      </c>
      <c r="T11" s="73">
        <v>52.982495927017823</v>
      </c>
      <c r="U11" s="73">
        <v>48.057251135467581</v>
      </c>
      <c r="V11" s="73">
        <v>79.698101899456631</v>
      </c>
      <c r="W11" s="73">
        <v>86.89922822671852</v>
      </c>
      <c r="X11" s="73">
        <v>79.587224326417555</v>
      </c>
      <c r="Y11" s="73">
        <v>72.765193002977668</v>
      </c>
      <c r="DA11" s="187" t="s">
        <v>978</v>
      </c>
    </row>
    <row r="12" spans="1:105" ht="11.45" customHeight="1" x14ac:dyDescent="0.25">
      <c r="A12" s="72" t="s">
        <v>145</v>
      </c>
      <c r="B12" s="73">
        <v>526.59197321883175</v>
      </c>
      <c r="C12" s="73">
        <v>551.96722652816072</v>
      </c>
      <c r="D12" s="73">
        <v>473.94483178018385</v>
      </c>
      <c r="E12" s="73">
        <v>637.03623345389428</v>
      </c>
      <c r="F12" s="73">
        <v>737.30787569504719</v>
      </c>
      <c r="G12" s="73">
        <v>773.5920619171261</v>
      </c>
      <c r="H12" s="73">
        <v>822.27489994769098</v>
      </c>
      <c r="I12" s="73">
        <v>788.51324313838199</v>
      </c>
      <c r="J12" s="73">
        <v>788.85504014069954</v>
      </c>
      <c r="K12" s="73">
        <v>806.41932941310256</v>
      </c>
      <c r="L12" s="73">
        <v>773.22315339429474</v>
      </c>
      <c r="M12" s="73">
        <v>644.83203451476879</v>
      </c>
      <c r="N12" s="73">
        <v>632.28845857929878</v>
      </c>
      <c r="O12" s="73">
        <v>590.7830010104783</v>
      </c>
      <c r="P12" s="73">
        <v>662.21666681238185</v>
      </c>
      <c r="Q12" s="73">
        <v>657.19114461465165</v>
      </c>
      <c r="R12" s="73">
        <v>726.08788305289738</v>
      </c>
      <c r="S12" s="73">
        <v>816.77243742966357</v>
      </c>
      <c r="T12" s="73">
        <v>609.76768477689598</v>
      </c>
      <c r="U12" s="73">
        <v>713.86098822344684</v>
      </c>
      <c r="V12" s="73">
        <v>991.59402500399028</v>
      </c>
      <c r="W12" s="73">
        <v>943.7030378737345</v>
      </c>
      <c r="X12" s="73">
        <v>679.87913773483422</v>
      </c>
      <c r="Y12" s="73">
        <v>566.11463982604039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7.1914929255222608</v>
      </c>
      <c r="T14" s="73">
        <v>7.9242659607865713</v>
      </c>
      <c r="U14" s="73">
        <v>6.4382591951572499</v>
      </c>
      <c r="V14" s="73">
        <v>8.3512859337337453</v>
      </c>
      <c r="W14" s="73">
        <v>6.746012349571326</v>
      </c>
      <c r="X14" s="73">
        <v>0.11164964429497207</v>
      </c>
      <c r="Y14" s="73">
        <v>12.047034302139485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0.32776365965324972</v>
      </c>
      <c r="X15" s="75">
        <v>7.2233259359900329E-3</v>
      </c>
      <c r="Y15" s="75">
        <v>0.72077229458371528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13342.366347981028</v>
      </c>
      <c r="C19" s="62">
        <f>IF(C3=0,0,C3/MBunk_act!C7*100)</f>
        <v>14558.885692699439</v>
      </c>
      <c r="D19" s="62">
        <f>IF(D3=0,0,D3/MBunk_act!D7*100)</f>
        <v>12606.510222561328</v>
      </c>
      <c r="E19" s="62">
        <f>IF(E3=0,0,E3/MBunk_act!E7*100)</f>
        <v>16254.675264594285</v>
      </c>
      <c r="F19" s="62">
        <f>IF(F3=0,0,F3/MBunk_act!F7*100)</f>
        <v>18162.401571518898</v>
      </c>
      <c r="G19" s="62">
        <f>IF(G3=0,0,G3/MBunk_act!G7*100)</f>
        <v>17485.74087498874</v>
      </c>
      <c r="H19" s="62">
        <f>IF(H3=0,0,H3/MBunk_act!H7*100)</f>
        <v>20162.244076878018</v>
      </c>
      <c r="I19" s="62">
        <f>IF(I3=0,0,I3/MBunk_act!I7*100)</f>
        <v>16771.922572127387</v>
      </c>
      <c r="J19" s="62">
        <f>IF(J3=0,0,J3/MBunk_act!J7*100)</f>
        <v>16744.569797282787</v>
      </c>
      <c r="K19" s="62">
        <f>IF(K3=0,0,K3/MBunk_act!K7*100)</f>
        <v>20697.576461300141</v>
      </c>
      <c r="L19" s="62">
        <f>IF(L3=0,0,L3/MBunk_act!L7*100)</f>
        <v>16991.516284101956</v>
      </c>
      <c r="M19" s="62">
        <f>IF(M3=0,0,M3/MBunk_act!M7*100)</f>
        <v>14902.587927190854</v>
      </c>
      <c r="N19" s="62">
        <f>IF(N3=0,0,N3/MBunk_act!N7*100)</f>
        <v>16698.800313148502</v>
      </c>
      <c r="O19" s="62">
        <f>IF(O3=0,0,O3/MBunk_act!O7*100)</f>
        <v>13658.722964218594</v>
      </c>
      <c r="P19" s="62">
        <f>IF(P3=0,0,P3/MBunk_act!P7*100)</f>
        <v>14595.203843157302</v>
      </c>
      <c r="Q19" s="62">
        <f>IF(Q3=0,0,Q3/MBunk_act!Q7*100)</f>
        <v>16434.266543028254</v>
      </c>
      <c r="R19" s="62">
        <f>IF(R3=0,0,R3/MBunk_act!R7*100)</f>
        <v>18372.288136755502</v>
      </c>
      <c r="S19" s="62">
        <f>IF(S3=0,0,S3/MBunk_act!S7*100)</f>
        <v>22354.113666492871</v>
      </c>
      <c r="T19" s="62">
        <f>IF(T3=0,0,T3/MBunk_act!T7*100)</f>
        <v>16504.728022598149</v>
      </c>
      <c r="U19" s="62">
        <f>IF(U3=0,0,U3/MBunk_act!U7*100)</f>
        <v>19057.293966141584</v>
      </c>
      <c r="V19" s="62">
        <f>IF(V3=0,0,V3/MBunk_act!V7*100)</f>
        <v>26161.741705521348</v>
      </c>
      <c r="W19" s="62">
        <f>IF(W3=0,0,W3/MBunk_act!W7*100)</f>
        <v>28089.503942221309</v>
      </c>
      <c r="X19" s="62">
        <f>IF(X3=0,0,X3/MBunk_act!X7*100)</f>
        <v>21740.120782908143</v>
      </c>
      <c r="Y19" s="62">
        <f>IF(Y3=0,0,Y3/MBunk_act!Y7*100)</f>
        <v>19890.586659502569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11124.670939413121</v>
      </c>
      <c r="C20" s="63">
        <f>IF(C4=0,0,C4/MBunk_act!C8*100)</f>
        <v>12120.776288333422</v>
      </c>
      <c r="D20" s="63">
        <f>IF(D4=0,0,D4/MBunk_act!D8*100)</f>
        <v>10446.190980450216</v>
      </c>
      <c r="E20" s="63">
        <f>IF(E4=0,0,E4/MBunk_act!E8*100)</f>
        <v>13470.122963205233</v>
      </c>
      <c r="F20" s="63">
        <f>IF(F4=0,0,F4/MBunk_act!F8*100)</f>
        <v>14889.031847290076</v>
      </c>
      <c r="G20" s="63">
        <f>IF(G4=0,0,G4/MBunk_act!G8*100)</f>
        <v>14450.781276066569</v>
      </c>
      <c r="H20" s="63">
        <f>IF(H4=0,0,H4/MBunk_act!H8*100)</f>
        <v>16601.001938316967</v>
      </c>
      <c r="I20" s="63">
        <f>IF(I4=0,0,I4/MBunk_act!I8*100)</f>
        <v>13509.239480850274</v>
      </c>
      <c r="J20" s="63">
        <f>IF(J4=0,0,J4/MBunk_act!J8*100)</f>
        <v>13655.467822116603</v>
      </c>
      <c r="K20" s="63">
        <f>IF(K4=0,0,K4/MBunk_act!K8*100)</f>
        <v>17011.304165232821</v>
      </c>
      <c r="L20" s="63">
        <f>IF(L4=0,0,L4/MBunk_act!L8*100)</f>
        <v>13872.685977489622</v>
      </c>
      <c r="M20" s="63">
        <f>IF(M4=0,0,M4/MBunk_act!M8*100)</f>
        <v>11987.704639103131</v>
      </c>
      <c r="N20" s="63">
        <f>IF(N4=0,0,N4/MBunk_act!N8*100)</f>
        <v>13467.602174633485</v>
      </c>
      <c r="O20" s="63">
        <f>IF(O4=0,0,O4/MBunk_act!O8*100)</f>
        <v>10915.783138611077</v>
      </c>
      <c r="P20" s="63">
        <f>IF(P4=0,0,P4/MBunk_act!P8*100)</f>
        <v>11705.35509654702</v>
      </c>
      <c r="Q20" s="63">
        <f>IF(Q4=0,0,Q4/MBunk_act!Q8*100)</f>
        <v>13243.867703721909</v>
      </c>
      <c r="R20" s="63">
        <f>IF(R4=0,0,R4/MBunk_act!R8*100)</f>
        <v>14905.048157279431</v>
      </c>
      <c r="S20" s="63">
        <f>IF(S4=0,0,S4/MBunk_act!S8*100)</f>
        <v>17989.57053068206</v>
      </c>
      <c r="T20" s="63">
        <f>IF(T4=0,0,T4/MBunk_act!T8*100)</f>
        <v>13212.974550623159</v>
      </c>
      <c r="U20" s="63">
        <f>IF(U4=0,0,U4/MBunk_act!U8*100)</f>
        <v>15296.395495865056</v>
      </c>
      <c r="V20" s="63">
        <f>IF(V4=0,0,V4/MBunk_act!V8*100)</f>
        <v>19971.279978962139</v>
      </c>
      <c r="W20" s="63">
        <f>IF(W4=0,0,W4/MBunk_act!W8*100)</f>
        <v>20488.273953380994</v>
      </c>
      <c r="X20" s="63">
        <f>IF(X4=0,0,X4/MBunk_act!X8*100)</f>
        <v>17419.903397247857</v>
      </c>
      <c r="Y20" s="63">
        <f>IF(Y4=0,0,Y4/MBunk_act!Y8*100)</f>
        <v>16151.637090488905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18953.649649288793</v>
      </c>
      <c r="C21" s="64">
        <f>IF(C10=0,0,C10/MBunk_act!C9*100)</f>
        <v>20469.906611390976</v>
      </c>
      <c r="D21" s="64">
        <f>IF(D10=0,0,D10/MBunk_act!D9*100)</f>
        <v>18011.244325567</v>
      </c>
      <c r="E21" s="64">
        <f>IF(E10=0,0,E10/MBunk_act!E9*100)</f>
        <v>23236.300889411767</v>
      </c>
      <c r="F21" s="64">
        <f>IF(F10=0,0,F10/MBunk_act!F9*100)</f>
        <v>27217.254595698101</v>
      </c>
      <c r="G21" s="64">
        <f>IF(G10=0,0,G10/MBunk_act!G9*100)</f>
        <v>25095.31717750126</v>
      </c>
      <c r="H21" s="64">
        <f>IF(H10=0,0,H10/MBunk_act!H9*100)</f>
        <v>29504.068880172035</v>
      </c>
      <c r="I21" s="64">
        <f>IF(I10=0,0,I10/MBunk_act!I9*100)</f>
        <v>27064.736260155314</v>
      </c>
      <c r="J21" s="64">
        <f>IF(J10=0,0,J10/MBunk_act!J9*100)</f>
        <v>25682.682899283049</v>
      </c>
      <c r="K21" s="64">
        <f>IF(K10=0,0,K10/MBunk_act!K9*100)</f>
        <v>31572.041219830582</v>
      </c>
      <c r="L21" s="64">
        <f>IF(L10=0,0,L10/MBunk_act!L9*100)</f>
        <v>25322.062738376255</v>
      </c>
      <c r="M21" s="64">
        <f>IF(M10=0,0,M10/MBunk_act!M9*100)</f>
        <v>24162.334641695801</v>
      </c>
      <c r="N21" s="64">
        <f>IF(N10=0,0,N10/MBunk_act!N9*100)</f>
        <v>26741.943711939712</v>
      </c>
      <c r="O21" s="64">
        <f>IF(O10=0,0,O10/MBunk_act!O9*100)</f>
        <v>22716.162157936327</v>
      </c>
      <c r="P21" s="64">
        <f>IF(P10=0,0,P10/MBunk_act!P9*100)</f>
        <v>22783.595786638176</v>
      </c>
      <c r="Q21" s="64">
        <f>IF(Q10=0,0,Q10/MBunk_act!Q9*100)</f>
        <v>25086.102226937237</v>
      </c>
      <c r="R21" s="64">
        <f>IF(R10=0,0,R10/MBunk_act!R9*100)</f>
        <v>28059.388461491591</v>
      </c>
      <c r="S21" s="64">
        <f>IF(S10=0,0,S10/MBunk_act!S9*100)</f>
        <v>37250.804540939134</v>
      </c>
      <c r="T21" s="64">
        <f>IF(T10=0,0,T10/MBunk_act!T9*100)</f>
        <v>28619.545955802103</v>
      </c>
      <c r="U21" s="64">
        <f>IF(U10=0,0,U10/MBunk_act!U9*100)</f>
        <v>32544.157711465203</v>
      </c>
      <c r="V21" s="64">
        <f>IF(V10=0,0,V10/MBunk_act!V9*100)</f>
        <v>45914.841211343548</v>
      </c>
      <c r="W21" s="64">
        <f>IF(W10=0,0,W10/MBunk_act!W9*100)</f>
        <v>61720.691636833282</v>
      </c>
      <c r="X21" s="64">
        <f>IF(X10=0,0,X10/MBunk_act!X9*100)</f>
        <v>38388.094962929332</v>
      </c>
      <c r="Y21" s="64">
        <f>IF(Y10=0,0,Y10/MBunk_act!Y9*100)</f>
        <v>34612.601413496399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15.11247148672013</v>
      </c>
      <c r="C23" s="62">
        <f>IF(C3=0,0,C3/MBunk_act!C3*1000)</f>
        <v>15.912437781227307</v>
      </c>
      <c r="D23" s="62">
        <f>IF(D3=0,0,D3/MBunk_act!D3*1000)</f>
        <v>13.367490728898941</v>
      </c>
      <c r="E23" s="62">
        <f>IF(E3=0,0,E3/MBunk_act!E3*1000)</f>
        <v>17.325090927397369</v>
      </c>
      <c r="F23" s="62">
        <f>IF(F3=0,0,F3/MBunk_act!F3*1000)</f>
        <v>19.997111408226615</v>
      </c>
      <c r="G23" s="62">
        <f>IF(G3=0,0,G3/MBunk_act!G3*1000)</f>
        <v>17.981845080204074</v>
      </c>
      <c r="H23" s="62">
        <f>IF(H3=0,0,H3/MBunk_act!H3*1000)</f>
        <v>20.53898751115964</v>
      </c>
      <c r="I23" s="62">
        <f>IF(I3=0,0,I3/MBunk_act!I3*1000)</f>
        <v>20.390079741437582</v>
      </c>
      <c r="J23" s="62">
        <f>IF(J3=0,0,J3/MBunk_act!J3*1000)</f>
        <v>18.266958142694012</v>
      </c>
      <c r="K23" s="62">
        <f>IF(K3=0,0,K3/MBunk_act!K3*1000)</f>
        <v>21.991973534363762</v>
      </c>
      <c r="L23" s="62">
        <f>IF(L3=0,0,L3/MBunk_act!L3*1000)</f>
        <v>16.570126159878232</v>
      </c>
      <c r="M23" s="62">
        <f>IF(M3=0,0,M3/MBunk_act!M3*1000)</f>
        <v>16.155615103321676</v>
      </c>
      <c r="N23" s="62">
        <f>IF(N3=0,0,N3/MBunk_act!N3*1000)</f>
        <v>17.059862991431295</v>
      </c>
      <c r="O23" s="62">
        <f>IF(O3=0,0,O3/MBunk_act!O3*1000)</f>
        <v>15.160807887211531</v>
      </c>
      <c r="P23" s="62">
        <f>IF(P3=0,0,P3/MBunk_act!P3*1000)</f>
        <v>14.955008251673172</v>
      </c>
      <c r="Q23" s="62">
        <f>IF(Q3=0,0,Q3/MBunk_act!Q3*1000)</f>
        <v>15.245460193242765</v>
      </c>
      <c r="R23" s="62">
        <f>IF(R3=0,0,R3/MBunk_act!R3*1000)</f>
        <v>16.987844800087679</v>
      </c>
      <c r="S23" s="62">
        <f>IF(S3=0,0,S3/MBunk_act!S3*1000)</f>
        <v>22.626017163487965</v>
      </c>
      <c r="T23" s="62">
        <f>IF(T3=0,0,T3/MBunk_act!T3*1000)</f>
        <v>17.778520952539143</v>
      </c>
      <c r="U23" s="62">
        <f>IF(U3=0,0,U3/MBunk_act!U3*1000)</f>
        <v>19.589783061424743</v>
      </c>
      <c r="V23" s="62">
        <f>IF(V3=0,0,V3/MBunk_act!V3*1000)</f>
        <v>23.199706683318567</v>
      </c>
      <c r="W23" s="62">
        <f>IF(W3=0,0,W3/MBunk_act!W3*1000)</f>
        <v>27.435810058844574</v>
      </c>
      <c r="X23" s="62">
        <f>IF(X3=0,0,X3/MBunk_act!X3*1000)</f>
        <v>21.413409120577082</v>
      </c>
      <c r="Y23" s="62">
        <f>IF(Y3=0,0,Y3/MBunk_act!Y3*1000)</f>
        <v>18.840952678822795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20.554894690134681</v>
      </c>
      <c r="C24" s="63">
        <f>IF(C4=0,0,C4/MBunk_act!C4*1000)</f>
        <v>22.481321914480091</v>
      </c>
      <c r="D24" s="63">
        <f>IF(D4=0,0,D4/MBunk_act!D4*1000)</f>
        <v>18.379851157440122</v>
      </c>
      <c r="E24" s="63">
        <f>IF(E4=0,0,E4/MBunk_act!E4*1000)</f>
        <v>23.779343539506883</v>
      </c>
      <c r="F24" s="63">
        <f>IF(F4=0,0,F4/MBunk_act!F4*1000)</f>
        <v>26.908859025909251</v>
      </c>
      <c r="G24" s="63">
        <f>IF(G4=0,0,G4/MBunk_act!G4*1000)</f>
        <v>25.734141145900811</v>
      </c>
      <c r="H24" s="63">
        <f>IF(H4=0,0,H4/MBunk_act!H4*1000)</f>
        <v>28.031136042684988</v>
      </c>
      <c r="I24" s="63">
        <f>IF(I4=0,0,I4/MBunk_act!I4*1000)</f>
        <v>26.995704143634946</v>
      </c>
      <c r="J24" s="63">
        <f>IF(J4=0,0,J4/MBunk_act!J4*1000)</f>
        <v>25.24168216772323</v>
      </c>
      <c r="K24" s="63">
        <f>IF(K4=0,0,K4/MBunk_act!K4*1000)</f>
        <v>30.111442567422944</v>
      </c>
      <c r="L24" s="63">
        <f>IF(L4=0,0,L4/MBunk_act!L4*1000)</f>
        <v>24.45137425295664</v>
      </c>
      <c r="M24" s="63">
        <f>IF(M4=0,0,M4/MBunk_act!M4*1000)</f>
        <v>22.164964026880188</v>
      </c>
      <c r="N24" s="63">
        <f>IF(N4=0,0,N4/MBunk_act!N4*1000)</f>
        <v>23.855589689204873</v>
      </c>
      <c r="O24" s="63">
        <f>IF(O4=0,0,O4/MBunk_act!O4*1000)</f>
        <v>20.807327514621658</v>
      </c>
      <c r="P24" s="63">
        <f>IF(P4=0,0,P4/MBunk_act!P4*1000)</f>
        <v>21.566494147162537</v>
      </c>
      <c r="Q24" s="63">
        <f>IF(Q4=0,0,Q4/MBunk_act!Q4*1000)</f>
        <v>22.867784746177509</v>
      </c>
      <c r="R24" s="63">
        <f>IF(R4=0,0,R4/MBunk_act!R4*1000)</f>
        <v>23.932898339821538</v>
      </c>
      <c r="S24" s="63">
        <f>IF(S4=0,0,S4/MBunk_act!S4*1000)</f>
        <v>29.225208931248147</v>
      </c>
      <c r="T24" s="63">
        <f>IF(T4=0,0,T4/MBunk_act!T4*1000)</f>
        <v>22.402826143053474</v>
      </c>
      <c r="U24" s="63">
        <f>IF(U4=0,0,U4/MBunk_act!U4*1000)</f>
        <v>25.807351338043578</v>
      </c>
      <c r="V24" s="63">
        <f>IF(V4=0,0,V4/MBunk_act!V4*1000)</f>
        <v>29.487432118333171</v>
      </c>
      <c r="W24" s="63">
        <f>IF(W4=0,0,W4/MBunk_act!W4*1000)</f>
        <v>29.143361170012508</v>
      </c>
      <c r="X24" s="63">
        <f>IF(X4=0,0,X4/MBunk_act!X4*1000)</f>
        <v>25.263604118308823</v>
      </c>
      <c r="Y24" s="63">
        <f>IF(Y4=0,0,Y4/MBunk_act!Y4*1000)</f>
        <v>21.966187117788117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10.847181352354422</v>
      </c>
      <c r="C25" s="64">
        <f>IF(C10=0,0,C10/MBunk_act!C5*1000)</f>
        <v>11.210181599579968</v>
      </c>
      <c r="D25" s="64">
        <f>IF(D10=0,0,D10/MBunk_act!D5*1000)</f>
        <v>9.5775940472091854</v>
      </c>
      <c r="E25" s="64">
        <f>IF(E10=0,0,E10/MBunk_act!E5*1000)</f>
        <v>12.423833878882444</v>
      </c>
      <c r="F25" s="64">
        <f>IF(F10=0,0,F10/MBunk_act!F5*1000)</f>
        <v>14.400003564859386</v>
      </c>
      <c r="G25" s="64">
        <f>IF(G10=0,0,G10/MBunk_act!G5*1000)</f>
        <v>12.531448127839052</v>
      </c>
      <c r="H25" s="64">
        <f>IF(H10=0,0,H10/MBunk_act!H5*1000)</f>
        <v>14.728555375135617</v>
      </c>
      <c r="I25" s="64">
        <f>IF(I10=0,0,I10/MBunk_act!I5*1000)</f>
        <v>14.718829495971972</v>
      </c>
      <c r="J25" s="64">
        <f>IF(J10=0,0,J10/MBunk_act!J5*1000)</f>
        <v>12.818041168101322</v>
      </c>
      <c r="K25" s="64">
        <f>IF(K10=0,0,K10/MBunk_act!K5*1000)</f>
        <v>15.394080742690413</v>
      </c>
      <c r="L25" s="64">
        <f>IF(L10=0,0,L10/MBunk_act!L5*1000)</f>
        <v>11.259430862821787</v>
      </c>
      <c r="M25" s="64">
        <f>IF(M10=0,0,M10/MBunk_act!M5*1000)</f>
        <v>11.318984402435001</v>
      </c>
      <c r="N25" s="64">
        <f>IF(N10=0,0,N10/MBunk_act!N5*1000)</f>
        <v>11.798687157005107</v>
      </c>
      <c r="O25" s="64">
        <f>IF(O10=0,0,O10/MBunk_act!O5*1000)</f>
        <v>10.597519990531314</v>
      </c>
      <c r="P25" s="64">
        <f>IF(P10=0,0,P10/MBunk_act!P5*1000)</f>
        <v>10.340342250600306</v>
      </c>
      <c r="Q25" s="64">
        <f>IF(Q10=0,0,Q10/MBunk_act!Q5*1000)</f>
        <v>10.320451751482004</v>
      </c>
      <c r="R25" s="64">
        <f>IF(R10=0,0,R10/MBunk_act!R5*1000)</f>
        <v>11.87404213206765</v>
      </c>
      <c r="S25" s="64">
        <f>IF(S10=0,0,S10/MBunk_act!S5*1000)</f>
        <v>16.488935550504262</v>
      </c>
      <c r="T25" s="64">
        <f>IF(T10=0,0,T10/MBunk_act!T5*1000)</f>
        <v>13.162171526057859</v>
      </c>
      <c r="U25" s="64">
        <f>IF(U10=0,0,U10/MBunk_act!U5*1000)</f>
        <v>13.932187779618129</v>
      </c>
      <c r="V25" s="64">
        <f>IF(V10=0,0,V10/MBunk_act!V5*1000)</f>
        <v>17.901667899305277</v>
      </c>
      <c r="W25" s="64">
        <f>IF(W10=0,0,W10/MBunk_act!W5*1000)</f>
        <v>25.261939483410124</v>
      </c>
      <c r="X25" s="64">
        <f>IF(X10=0,0,X10/MBunk_act!X5*1000)</f>
        <v>16.907587153091683</v>
      </c>
      <c r="Y25" s="64">
        <f>IF(Y10=0,0,Y10/MBunk_act!Y5*1000)</f>
        <v>14.93638204182608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0.59760111120482717</v>
      </c>
      <c r="C28" s="77">
        <f t="shared" si="6"/>
        <v>0.58941821862599975</v>
      </c>
      <c r="D28" s="77">
        <f t="shared" si="6"/>
        <v>0.59200506055338908</v>
      </c>
      <c r="E28" s="77">
        <f t="shared" si="6"/>
        <v>0.59241382821891275</v>
      </c>
      <c r="F28" s="77">
        <f t="shared" si="6"/>
        <v>0.60210761216129027</v>
      </c>
      <c r="G28" s="77">
        <f t="shared" si="6"/>
        <v>0.59080074537475258</v>
      </c>
      <c r="H28" s="77">
        <f t="shared" si="6"/>
        <v>0.59612069658376698</v>
      </c>
      <c r="I28" s="77">
        <f t="shared" si="6"/>
        <v>0.61159894166573203</v>
      </c>
      <c r="J28" s="77">
        <f t="shared" si="6"/>
        <v>0.60605684082670708</v>
      </c>
      <c r="K28" s="77">
        <f t="shared" si="6"/>
        <v>0.61382227600550732</v>
      </c>
      <c r="L28" s="77">
        <f t="shared" si="6"/>
        <v>0.5940459828383734</v>
      </c>
      <c r="M28" s="77">
        <f t="shared" si="6"/>
        <v>0.61181155772969409</v>
      </c>
      <c r="N28" s="77">
        <f t="shared" si="6"/>
        <v>0.61018522009491205</v>
      </c>
      <c r="O28" s="77">
        <f t="shared" si="6"/>
        <v>0.613414832320195</v>
      </c>
      <c r="P28" s="77">
        <f t="shared" si="6"/>
        <v>0.59279189070524374</v>
      </c>
      <c r="Q28" s="77">
        <f t="shared" si="6"/>
        <v>0.58876110611498766</v>
      </c>
      <c r="R28" s="77">
        <f t="shared" si="6"/>
        <v>0.59744077583197708</v>
      </c>
      <c r="S28" s="77">
        <f t="shared" si="6"/>
        <v>0.622399218388486</v>
      </c>
      <c r="T28" s="77">
        <f t="shared" si="6"/>
        <v>0.62951070100925499</v>
      </c>
      <c r="U28" s="77">
        <f t="shared" si="6"/>
        <v>0.62763345447833341</v>
      </c>
      <c r="V28" s="77">
        <f t="shared" si="6"/>
        <v>0.58122583125227023</v>
      </c>
      <c r="W28" s="77">
        <f t="shared" si="6"/>
        <v>0.59492840795055579</v>
      </c>
      <c r="X28" s="77">
        <f t="shared" ref="X28:Y28" si="8">IF(X4=0,0,X4/X$3)</f>
        <v>0.63618614637208182</v>
      </c>
      <c r="Y28" s="77">
        <f t="shared" si="8"/>
        <v>0.64756269380689624</v>
      </c>
      <c r="DA28" s="184"/>
    </row>
    <row r="29" spans="1:105" ht="11.45" customHeight="1" x14ac:dyDescent="0.25">
      <c r="A29" s="57" t="s">
        <v>167</v>
      </c>
      <c r="B29" s="78">
        <f>IF(B10=0,0,B10/B$3)</f>
        <v>0.40239888879517294</v>
      </c>
      <c r="C29" s="78">
        <f t="shared" ref="C29:W29" si="9">IF(C10=0,0,C10/C$3)</f>
        <v>0.41058178137400031</v>
      </c>
      <c r="D29" s="78">
        <f t="shared" si="9"/>
        <v>0.40799493944661103</v>
      </c>
      <c r="E29" s="78">
        <f t="shared" si="9"/>
        <v>0.40758617178108725</v>
      </c>
      <c r="F29" s="78">
        <f t="shared" si="9"/>
        <v>0.39789238783870973</v>
      </c>
      <c r="G29" s="78">
        <f t="shared" si="9"/>
        <v>0.40919925462524748</v>
      </c>
      <c r="H29" s="78">
        <f t="shared" si="9"/>
        <v>0.40387930341623296</v>
      </c>
      <c r="I29" s="78">
        <f t="shared" si="9"/>
        <v>0.38840105833426797</v>
      </c>
      <c r="J29" s="78">
        <f t="shared" si="9"/>
        <v>0.39394315917329292</v>
      </c>
      <c r="K29" s="78">
        <f t="shared" si="9"/>
        <v>0.38617772399449263</v>
      </c>
      <c r="L29" s="78">
        <f t="shared" si="9"/>
        <v>0.4059540171616266</v>
      </c>
      <c r="M29" s="78">
        <f t="shared" si="9"/>
        <v>0.38818844227030591</v>
      </c>
      <c r="N29" s="78">
        <f t="shared" si="9"/>
        <v>0.38981477990508784</v>
      </c>
      <c r="O29" s="78">
        <f t="shared" si="9"/>
        <v>0.38658516767980505</v>
      </c>
      <c r="P29" s="78">
        <f t="shared" si="9"/>
        <v>0.40720810929475626</v>
      </c>
      <c r="Q29" s="78">
        <f t="shared" si="9"/>
        <v>0.41123889388501228</v>
      </c>
      <c r="R29" s="78">
        <f t="shared" si="9"/>
        <v>0.40255922416802298</v>
      </c>
      <c r="S29" s="78">
        <f t="shared" si="9"/>
        <v>0.37760078161151389</v>
      </c>
      <c r="T29" s="78">
        <f t="shared" si="9"/>
        <v>0.37048929899074501</v>
      </c>
      <c r="U29" s="78">
        <f t="shared" si="9"/>
        <v>0.37236654552166659</v>
      </c>
      <c r="V29" s="78">
        <f t="shared" si="9"/>
        <v>0.41877416874772971</v>
      </c>
      <c r="W29" s="78">
        <f t="shared" si="9"/>
        <v>0.4050715920494441</v>
      </c>
      <c r="X29" s="78">
        <f t="shared" ref="X29:Y29" si="10">IF(X10=0,0,X10/X$3)</f>
        <v>0.36381385362791824</v>
      </c>
      <c r="Y29" s="78">
        <f t="shared" si="10"/>
        <v>0.35243730619310376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4374.5458521599994</v>
      </c>
      <c r="C3" s="62">
        <f t="shared" ref="C3:W3" si="1">SUM(C4:C5)</f>
        <v>4476.7266026399984</v>
      </c>
      <c r="D3" s="62">
        <f t="shared" si="1"/>
        <v>3881.70500472</v>
      </c>
      <c r="E3" s="62">
        <f t="shared" si="1"/>
        <v>5200.001789760001</v>
      </c>
      <c r="F3" s="62">
        <f t="shared" si="1"/>
        <v>6118.0247404800011</v>
      </c>
      <c r="G3" s="62">
        <f t="shared" si="1"/>
        <v>6246.6452960399984</v>
      </c>
      <c r="H3" s="62">
        <f t="shared" si="1"/>
        <v>6712.1470785600013</v>
      </c>
      <c r="I3" s="62">
        <f t="shared" si="1"/>
        <v>6680.0465420399996</v>
      </c>
      <c r="J3" s="62">
        <f t="shared" si="1"/>
        <v>6569.1218455199996</v>
      </c>
      <c r="K3" s="62">
        <f t="shared" si="1"/>
        <v>6834.3244754400021</v>
      </c>
      <c r="L3" s="62">
        <f t="shared" si="1"/>
        <v>6317.3396105999991</v>
      </c>
      <c r="M3" s="62">
        <f t="shared" si="1"/>
        <v>5543.2776365999998</v>
      </c>
      <c r="N3" s="62">
        <f t="shared" si="1"/>
        <v>5442.2858699999997</v>
      </c>
      <c r="O3" s="62">
        <f t="shared" si="1"/>
        <v>5142.5153413200005</v>
      </c>
      <c r="P3" s="62">
        <f t="shared" si="1"/>
        <v>5525.1500122800016</v>
      </c>
      <c r="Q3" s="62">
        <f t="shared" si="1"/>
        <v>5808.9165638400009</v>
      </c>
      <c r="R3" s="62">
        <f t="shared" si="1"/>
        <v>6394.5714038400001</v>
      </c>
      <c r="S3" s="62">
        <f t="shared" si="1"/>
        <v>7601.1895486799986</v>
      </c>
      <c r="T3" s="62">
        <f t="shared" si="1"/>
        <v>5774.2459189199999</v>
      </c>
      <c r="U3" s="62">
        <f t="shared" si="1"/>
        <v>6604.9543227600025</v>
      </c>
      <c r="V3" s="62">
        <f t="shared" si="1"/>
        <v>8241.4572066000001</v>
      </c>
      <c r="W3" s="62">
        <f t="shared" si="1"/>
        <v>8172.6484934780601</v>
      </c>
      <c r="X3" s="62">
        <f t="shared" ref="X3:Y3" si="2">SUM(X4:X5)</f>
        <v>6643.9517245183652</v>
      </c>
      <c r="Y3" s="62">
        <f t="shared" si="2"/>
        <v>5838.8975420827628</v>
      </c>
      <c r="DA3" s="172" t="s">
        <v>987</v>
      </c>
    </row>
    <row r="4" spans="1:105" ht="11.45" customHeight="1" x14ac:dyDescent="0.25">
      <c r="A4" s="55" t="s">
        <v>166</v>
      </c>
      <c r="B4" s="63">
        <v>2607.483636070343</v>
      </c>
      <c r="C4" s="63">
        <v>2632.4847609429439</v>
      </c>
      <c r="D4" s="63">
        <v>2292.0050927421157</v>
      </c>
      <c r="E4" s="63">
        <v>3073.6335432949463</v>
      </c>
      <c r="F4" s="63">
        <v>3677.9188043647291</v>
      </c>
      <c r="G4" s="63">
        <v>3684.3044775639055</v>
      </c>
      <c r="H4" s="63">
        <v>3995.3949688793268</v>
      </c>
      <c r="I4" s="63">
        <v>4080.3958107146755</v>
      </c>
      <c r="J4" s="63">
        <v>3977.2100124584886</v>
      </c>
      <c r="K4" s="63">
        <v>4191.7096241669688</v>
      </c>
      <c r="L4" s="63">
        <v>3745.4435128915329</v>
      </c>
      <c r="M4" s="63">
        <v>3383.4063304565848</v>
      </c>
      <c r="N4" s="63">
        <v>3311.3533798619305</v>
      </c>
      <c r="O4" s="63">
        <v>3144.9738162878639</v>
      </c>
      <c r="P4" s="63">
        <v>3262.3798053144037</v>
      </c>
      <c r="Q4" s="63">
        <v>3387.8731122631666</v>
      </c>
      <c r="R4" s="63">
        <v>3792.4042819320598</v>
      </c>
      <c r="S4" s="63">
        <v>4703.3414503904824</v>
      </c>
      <c r="T4" s="63">
        <v>3615.2566376116788</v>
      </c>
      <c r="U4" s="63">
        <v>4127.4125280700682</v>
      </c>
      <c r="V4" s="63">
        <v>4761.2419213200319</v>
      </c>
      <c r="W4" s="63">
        <v>4829.0574850720013</v>
      </c>
      <c r="X4" s="63">
        <v>4194.641579415701</v>
      </c>
      <c r="Y4" s="63">
        <v>3751.2592285746891</v>
      </c>
      <c r="DA4" s="181" t="s">
        <v>988</v>
      </c>
    </row>
    <row r="5" spans="1:105" ht="11.45" customHeight="1" x14ac:dyDescent="0.25">
      <c r="A5" s="57" t="s">
        <v>167</v>
      </c>
      <c r="B5" s="64">
        <v>1767.0622160896564</v>
      </c>
      <c r="C5" s="64">
        <v>1844.2418416970545</v>
      </c>
      <c r="D5" s="64">
        <v>1589.6999119778843</v>
      </c>
      <c r="E5" s="64">
        <v>2126.3682464650547</v>
      </c>
      <c r="F5" s="64">
        <v>2440.1059361152725</v>
      </c>
      <c r="G5" s="64">
        <v>2562.3408184760933</v>
      </c>
      <c r="H5" s="64">
        <v>2716.7521096806749</v>
      </c>
      <c r="I5" s="64">
        <v>2599.6507313253246</v>
      </c>
      <c r="J5" s="64">
        <v>2591.9118330615115</v>
      </c>
      <c r="K5" s="64">
        <v>2642.6148512730333</v>
      </c>
      <c r="L5" s="64">
        <v>2571.8960977084662</v>
      </c>
      <c r="M5" s="64">
        <v>2159.871306143415</v>
      </c>
      <c r="N5" s="64">
        <v>2130.9324901380696</v>
      </c>
      <c r="O5" s="64">
        <v>1997.5415250321369</v>
      </c>
      <c r="P5" s="64">
        <v>2262.7702069655979</v>
      </c>
      <c r="Q5" s="64">
        <v>2421.0434515768347</v>
      </c>
      <c r="R5" s="64">
        <v>2602.1671219079399</v>
      </c>
      <c r="S5" s="64">
        <v>2897.8480982895167</v>
      </c>
      <c r="T5" s="64">
        <v>2158.9892813083211</v>
      </c>
      <c r="U5" s="64">
        <v>2477.5417946899338</v>
      </c>
      <c r="V5" s="64">
        <v>3480.2152852799677</v>
      </c>
      <c r="W5" s="64">
        <v>3343.5910084060588</v>
      </c>
      <c r="X5" s="64">
        <v>2449.3101451026637</v>
      </c>
      <c r="Y5" s="64">
        <v>2087.6383135080737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3.222864913099647</v>
      </c>
      <c r="C9" s="79">
        <f>IF(C3=0,0,C3/MBunk_ene!C3)</f>
        <v>3.2249956881010404</v>
      </c>
      <c r="D9" s="79">
        <f>IF(D3=0,0,D3/MBunk_ene!D3)</f>
        <v>3.2224267028985785</v>
      </c>
      <c r="E9" s="79">
        <f>IF(E3=0,0,E3/MBunk_ene!E3)</f>
        <v>3.2253876047744643</v>
      </c>
      <c r="F9" s="79">
        <f>IF(F3=0,0,F3/MBunk_ene!F3)</f>
        <v>3.2296105052822677</v>
      </c>
      <c r="G9" s="79">
        <f>IF(G3=0,0,G3/MBunk_ene!G3)</f>
        <v>3.2293238856242175</v>
      </c>
      <c r="H9" s="79">
        <f>IF(H3=0,0,H3/MBunk_ene!H3)</f>
        <v>3.2305787494047986</v>
      </c>
      <c r="I9" s="79">
        <f>IF(I3=0,0,I3/MBunk_ene!I3)</f>
        <v>3.2314888687407488</v>
      </c>
      <c r="J9" s="79">
        <f>IF(J3=0,0,J3/MBunk_ene!J3)</f>
        <v>3.2333666915294299</v>
      </c>
      <c r="K9" s="79">
        <f>IF(K3=0,0,K3/MBunk_ene!K3)</f>
        <v>3.2348741583323122</v>
      </c>
      <c r="L9" s="79">
        <f>IF(L3=0,0,L3/MBunk_ene!L3)</f>
        <v>3.2274382445001275</v>
      </c>
      <c r="M9" s="79">
        <f>IF(M3=0,0,M3/MBunk_ene!M3)</f>
        <v>3.2236398274689178</v>
      </c>
      <c r="N9" s="79">
        <f>IF(N3=0,0,N3/MBunk_ene!N3)</f>
        <v>3.2205842442859161</v>
      </c>
      <c r="O9" s="79">
        <f>IF(O3=0,0,O3/MBunk_ene!O3)</f>
        <v>3.2191755749684638</v>
      </c>
      <c r="P9" s="79">
        <f>IF(P3=0,0,P3/MBunk_ene!P3)</f>
        <v>3.2147410500574312</v>
      </c>
      <c r="Q9" s="79">
        <f>IF(Q3=0,0,Q3/MBunk_ene!Q3)</f>
        <v>3.1804496637374027</v>
      </c>
      <c r="R9" s="79">
        <f>IF(R3=0,0,R3/MBunk_ene!R3)</f>
        <v>3.1921316307452683</v>
      </c>
      <c r="S9" s="79">
        <f>IF(S3=0,0,S3/MBunk_ene!S3)</f>
        <v>3.1911371128854102</v>
      </c>
      <c r="T9" s="79">
        <f>IF(T3=0,0,T3/MBunk_ene!T3)</f>
        <v>3.1897686475751019</v>
      </c>
      <c r="U9" s="79">
        <f>IF(U3=0,0,U3/MBunk_ene!U3)</f>
        <v>3.2009412676574907</v>
      </c>
      <c r="V9" s="79">
        <f>IF(V3=0,0,V3/MBunk_ene!V3)</f>
        <v>3.1967123125349799</v>
      </c>
      <c r="W9" s="79">
        <f>IF(W3=0,0,W3/MBunk_ene!W3)</f>
        <v>3.1903095013961424</v>
      </c>
      <c r="X9" s="79">
        <f>IF(X3=0,0,X3/MBunk_ene!X3)</f>
        <v>3.1822125664602927</v>
      </c>
      <c r="Y9" s="79">
        <f>IF(Y3=0,0,Y3/MBunk_ene!Y3)</f>
        <v>3.1579111108000659</v>
      </c>
      <c r="DA9" s="172"/>
    </row>
    <row r="10" spans="1:105" ht="11.45" customHeight="1" x14ac:dyDescent="0.25">
      <c r="A10" s="55" t="s">
        <v>166</v>
      </c>
      <c r="B10" s="80">
        <f>IF(B4=0,0,B4/MBunk_ene!B4)</f>
        <v>3.2145436295059575</v>
      </c>
      <c r="C10" s="80">
        <f>IF(C4=0,0,C4/MBunk_ene!C4)</f>
        <v>3.2174431064788078</v>
      </c>
      <c r="D10" s="80">
        <f>IF(D4=0,0,D4/MBunk_ene!D4)</f>
        <v>3.2140355735207708</v>
      </c>
      <c r="E10" s="80">
        <f>IF(E4=0,0,E4/MBunk_ene!E4)</f>
        <v>3.2181428588655345</v>
      </c>
      <c r="F10" s="80">
        <f>IF(F4=0,0,F4/MBunk_ene!F4)</f>
        <v>3.2245338448711007</v>
      </c>
      <c r="G10" s="80">
        <f>IF(G4=0,0,G4/MBunk_ene!G4)</f>
        <v>3.2238827472884579</v>
      </c>
      <c r="H10" s="80">
        <f>IF(H4=0,0,H4/MBunk_ene!H4)</f>
        <v>3.2258516095660035</v>
      </c>
      <c r="I10" s="80">
        <f>IF(I4=0,0,I4/MBunk_ene!I4)</f>
        <v>3.2274442098361096</v>
      </c>
      <c r="J10" s="80">
        <f>IF(J4=0,0,J4/MBunk_ene!J4)</f>
        <v>3.2300765078845086</v>
      </c>
      <c r="K10" s="80">
        <f>IF(K4=0,0,K4/MBunk_ene!K4)</f>
        <v>3.2322901671520454</v>
      </c>
      <c r="L10" s="80">
        <f>IF(L4=0,0,L4/MBunk_ene!L4)</f>
        <v>3.2211200025129063</v>
      </c>
      <c r="M10" s="80">
        <f>IF(M4=0,0,M4/MBunk_ene!M4)</f>
        <v>3.2160023870893095</v>
      </c>
      <c r="N10" s="80">
        <f>IF(N4=0,0,N4/MBunk_ene!N4)</f>
        <v>3.2114203838003079</v>
      </c>
      <c r="O10" s="80">
        <f>IF(O4=0,0,O4/MBunk_ene!O4)</f>
        <v>3.2094589774250042</v>
      </c>
      <c r="P10" s="80">
        <f>IF(P4=0,0,P4/MBunk_ene!P4)</f>
        <v>3.2020948203552373</v>
      </c>
      <c r="Q10" s="80">
        <f>IF(Q4=0,0,Q4/MBunk_ene!Q4)</f>
        <v>3.1505139830783624</v>
      </c>
      <c r="R10" s="80">
        <f>IF(R4=0,0,R4/MBunk_ene!R4)</f>
        <v>3.1687583306107485</v>
      </c>
      <c r="S10" s="80">
        <f>IF(S4=0,0,S4/MBunk_ene!S4)</f>
        <v>3.1724981114458251</v>
      </c>
      <c r="T10" s="80">
        <f>IF(T4=0,0,T4/MBunk_ene!T4)</f>
        <v>3.1724875325881237</v>
      </c>
      <c r="U10" s="80">
        <f>IF(U4=0,0,U4/MBunk_ene!U4)</f>
        <v>3.1869825133287506</v>
      </c>
      <c r="V10" s="80">
        <f>IF(V4=0,0,V4/MBunk_ene!V4)</f>
        <v>3.1774219207096221</v>
      </c>
      <c r="W10" s="80">
        <f>IF(W4=0,0,W4/MBunk_ene!W4)</f>
        <v>3.1686018047391826</v>
      </c>
      <c r="X10" s="80">
        <f>IF(X4=0,0,X4/MBunk_ene!X4)</f>
        <v>3.1580090342559446</v>
      </c>
      <c r="Y10" s="80">
        <f>IF(Y4=0,0,Y4/MBunk_ene!Y4)</f>
        <v>3.1330281901277517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3.2352228207895224</v>
      </c>
      <c r="C11" s="81">
        <f>IF(C5=0,0,C5/MBunk_ene!C10)</f>
        <v>3.2358379353895259</v>
      </c>
      <c r="D11" s="81">
        <f>IF(D5=0,0,D5/MBunk_ene!D10)</f>
        <v>3.2346023221897346</v>
      </c>
      <c r="E11" s="81">
        <f>IF(E5=0,0,E5/MBunk_ene!E10)</f>
        <v>3.2359176177030857</v>
      </c>
      <c r="F11" s="81">
        <f>IF(F5=0,0,F5/MBunk_ene!F10)</f>
        <v>3.2372927228148156</v>
      </c>
      <c r="G11" s="81">
        <f>IF(G5=0,0,G5/MBunk_ene!G10)</f>
        <v>3.2371797860153317</v>
      </c>
      <c r="H11" s="81">
        <f>IF(H5=0,0,H5/MBunk_ene!H10)</f>
        <v>3.2375559474679734</v>
      </c>
      <c r="I11" s="81">
        <f>IF(I5=0,0,I5/MBunk_ene!I10)</f>
        <v>3.237857824366372</v>
      </c>
      <c r="J11" s="81">
        <f>IF(J5=0,0,J5/MBunk_ene!J10)</f>
        <v>3.2384284326947426</v>
      </c>
      <c r="K11" s="81">
        <f>IF(K5=0,0,K5/MBunk_ene!K10)</f>
        <v>3.2389813640277714</v>
      </c>
      <c r="L11" s="81">
        <f>IF(L5=0,0,L5/MBunk_ene!L10)</f>
        <v>3.2366839376388525</v>
      </c>
      <c r="M11" s="81">
        <f>IF(M5=0,0,M5/MBunk_ene!M10)</f>
        <v>3.2356769563138363</v>
      </c>
      <c r="N11" s="81">
        <f>IF(N5=0,0,N5/MBunk_ene!N10)</f>
        <v>3.2349286265812509</v>
      </c>
      <c r="O11" s="81">
        <f>IF(O5=0,0,O5/MBunk_ene!O10)</f>
        <v>3.2345934066680515</v>
      </c>
      <c r="P11" s="81">
        <f>IF(P5=0,0,P5/MBunk_ene!P10)</f>
        <v>3.2331507581264565</v>
      </c>
      <c r="Q11" s="81">
        <f>IF(Q5=0,0,Q5/MBunk_ene!Q10)</f>
        <v>3.2233078775863349</v>
      </c>
      <c r="R11" s="81">
        <f>IF(R5=0,0,R5/MBunk_ene!R10)</f>
        <v>3.2268200982495987</v>
      </c>
      <c r="S11" s="81">
        <f>IF(S5=0,0,S5/MBunk_ene!S10)</f>
        <v>3.2218597715569048</v>
      </c>
      <c r="T11" s="81">
        <f>IF(T5=0,0,T5/MBunk_ene!T10)</f>
        <v>3.2191315653147208</v>
      </c>
      <c r="U11" s="81">
        <f>IF(U5=0,0,U5/MBunk_ene!U10)</f>
        <v>3.2244691095244007</v>
      </c>
      <c r="V11" s="81">
        <f>IF(V5=0,0,V5/MBunk_ene!V10)</f>
        <v>3.2234858694078965</v>
      </c>
      <c r="W11" s="81">
        <f>IF(W5=0,0,W5/MBunk_ene!W10)</f>
        <v>3.2221915826525902</v>
      </c>
      <c r="X11" s="81">
        <f>IF(X5=0,0,X5/MBunk_ene!X10)</f>
        <v>3.2245362760390499</v>
      </c>
      <c r="Y11" s="81">
        <f>IF(Y5=0,0,Y5/MBunk_ene!Y10)</f>
        <v>3.2036305929808728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43000.644360629522</v>
      </c>
      <c r="C13" s="62">
        <f>IF(C3=0,0,C3/MBunk_act!C7*100)</f>
        <v>46952.343582511625</v>
      </c>
      <c r="D13" s="62">
        <f>IF(D3=0,0,D3/MBunk_act!D7*100)</f>
        <v>40623.555171545529</v>
      </c>
      <c r="E13" s="62">
        <f>IF(E3=0,0,E3/MBunk_act!E7*100)</f>
        <v>52427.628118056498</v>
      </c>
      <c r="F13" s="62">
        <f>IF(F3=0,0,F3/MBunk_act!F7*100)</f>
        <v>58657.482916532601</v>
      </c>
      <c r="G13" s="62">
        <f>IF(G3=0,0,G3/MBunk_act!G7*100)</f>
        <v>56467.120665436843</v>
      </c>
      <c r="H13" s="62">
        <f>IF(H3=0,0,H3/MBunk_act!H7*100)</f>
        <v>65135.717255074895</v>
      </c>
      <c r="I13" s="62">
        <f>IF(I3=0,0,I3/MBunk_act!I7*100)</f>
        <v>54198.281099211366</v>
      </c>
      <c r="J13" s="62">
        <f>IF(J3=0,0,J3/MBunk_act!J7*100)</f>
        <v>54141.334246523853</v>
      </c>
      <c r="K13" s="62">
        <f>IF(K3=0,0,K3/MBunk_act!K7*100)</f>
        <v>66954.055234766973</v>
      </c>
      <c r="L13" s="62">
        <f>IF(L3=0,0,L3/MBunk_act!L7*100)</f>
        <v>54839.069487357345</v>
      </c>
      <c r="M13" s="62">
        <f>IF(M3=0,0,M3/MBunk_act!M7*100)</f>
        <v>48040.575974449901</v>
      </c>
      <c r="N13" s="62">
        <f>IF(N3=0,0,N3/MBunk_act!N7*100)</f>
        <v>53779.893187002788</v>
      </c>
      <c r="O13" s="62">
        <f>IF(O3=0,0,O3/MBunk_act!O7*100)</f>
        <v>43969.827351673353</v>
      </c>
      <c r="P13" s="62">
        <f>IF(P3=0,0,P3/MBunk_act!P7*100)</f>
        <v>46919.800928553756</v>
      </c>
      <c r="Q13" s="62">
        <f>IF(Q3=0,0,Q3/MBunk_act!Q7*100)</f>
        <v>52268.357500545062</v>
      </c>
      <c r="R13" s="62">
        <f>IF(R3=0,0,R3/MBunk_act!R7*100)</f>
        <v>58646.762090503296</v>
      </c>
      <c r="S13" s="62">
        <f>IF(S3=0,0,S3/MBunk_act!S7*100)</f>
        <v>71335.041746804345</v>
      </c>
      <c r="T13" s="62">
        <f>IF(T3=0,0,T3/MBunk_act!T7*100)</f>
        <v>52646.26398323779</v>
      </c>
      <c r="U13" s="62">
        <f>IF(U3=0,0,U3/MBunk_act!U7*100)</f>
        <v>61001.27870610269</v>
      </c>
      <c r="V13" s="62">
        <f>IF(V3=0,0,V3/MBunk_act!V7*100)</f>
        <v>83631.561827399972</v>
      </c>
      <c r="W13" s="62">
        <f>IF(W3=0,0,W3/MBunk_act!W7*100)</f>
        <v>89614.211316373039</v>
      </c>
      <c r="X13" s="62">
        <f>IF(X3=0,0,X3/MBunk_act!X7*100)</f>
        <v>69181.685551734874</v>
      </c>
      <c r="Y13" s="62">
        <f>IF(Y3=0,0,Y3/MBunk_act!Y7*100)</f>
        <v>62812.704612374728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35760.740098640512</v>
      </c>
      <c r="C14" s="63">
        <f>IF(C4=0,0,C4/MBunk_act!C8*100)</f>
        <v>38997.90811407016</v>
      </c>
      <c r="D14" s="63">
        <f>IF(D4=0,0,D4/MBunk_act!D8*100)</f>
        <v>33574.429418958811</v>
      </c>
      <c r="E14" s="63">
        <f>IF(E4=0,0,E4/MBunk_act!E8*100)</f>
        <v>43348.780022079576</v>
      </c>
      <c r="F14" s="63">
        <f>IF(F4=0,0,F4/MBunk_act!F8*100)</f>
        <v>48010.187108950529</v>
      </c>
      <c r="G14" s="63">
        <f>IF(G4=0,0,G4/MBunk_act!G8*100)</f>
        <v>46587.6244407501</v>
      </c>
      <c r="H14" s="63">
        <f>IF(H4=0,0,H4/MBunk_act!H8*100)</f>
        <v>53552.368823128141</v>
      </c>
      <c r="I14" s="63">
        <f>IF(I4=0,0,I4/MBunk_act!I8*100)</f>
        <v>43600.316741759591</v>
      </c>
      <c r="J14" s="63">
        <f>IF(J4=0,0,J4/MBunk_act!J8*100)</f>
        <v>44108.205816391674</v>
      </c>
      <c r="K14" s="63">
        <f>IF(K4=0,0,K4/MBunk_act!K8*100)</f>
        <v>54985.471183714682</v>
      </c>
      <c r="L14" s="63">
        <f>IF(L4=0,0,L4/MBunk_act!L8*100)</f>
        <v>44685.586290672138</v>
      </c>
      <c r="M14" s="63">
        <f>IF(M4=0,0,M4/MBunk_act!M8*100)</f>
        <v>38552.486735077255</v>
      </c>
      <c r="N14" s="63">
        <f>IF(N4=0,0,N4/MBunk_act!N8*100)</f>
        <v>43250.13214453133</v>
      </c>
      <c r="O14" s="63">
        <f>IF(O4=0,0,O4/MBunk_act!O8*100)</f>
        <v>35033.758189839813</v>
      </c>
      <c r="P14" s="63">
        <f>IF(P4=0,0,P4/MBunk_act!P8*100)</f>
        <v>37481.656925071999</v>
      </c>
      <c r="Q14" s="63">
        <f>IF(Q4=0,0,Q4/MBunk_act!Q8*100)</f>
        <v>41724.990390615792</v>
      </c>
      <c r="R14" s="63">
        <f>IF(R4=0,0,R4/MBunk_act!R8*100)</f>
        <v>47230.495516533578</v>
      </c>
      <c r="S14" s="63">
        <f>IF(S4=0,0,S4/MBunk_act!S8*100)</f>
        <v>57071.878534310315</v>
      </c>
      <c r="T14" s="63">
        <f>IF(T4=0,0,T4/MBunk_act!T8*100)</f>
        <v>41917.997030256134</v>
      </c>
      <c r="U14" s="63">
        <f>IF(U4=0,0,U4/MBunk_act!U8*100)</f>
        <v>48749.344962282594</v>
      </c>
      <c r="V14" s="63">
        <f>IF(V4=0,0,V4/MBunk_act!V8*100)</f>
        <v>63457.18278978351</v>
      </c>
      <c r="W14" s="63">
        <f>IF(W4=0,0,W4/MBunk_act!W8*100)</f>
        <v>64919.181824673797</v>
      </c>
      <c r="X14" s="63">
        <f>IF(X4=0,0,X4/MBunk_act!X8*100)</f>
        <v>55012.212304374552</v>
      </c>
      <c r="Y14" s="63">
        <f>IF(Y4=0,0,Y4/MBunk_act!Y8*100)</f>
        <v>50603.534321214713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61319.279882628427</v>
      </c>
      <c r="C15" s="64">
        <f>IF(C5=0,0,C5/MBunk_act!C9*100)</f>
        <v>66237.300347019773</v>
      </c>
      <c r="D15" s="64">
        <f>IF(D5=0,0,D5/MBunk_act!D9*100)</f>
        <v>58259.212721005693</v>
      </c>
      <c r="E15" s="64">
        <f>IF(E5=0,0,E5/MBunk_act!E9*100)</f>
        <v>75190.755418297413</v>
      </c>
      <c r="F15" s="64">
        <f>IF(F5=0,0,F5/MBunk_act!F9*100)</f>
        <v>88110.220237651578</v>
      </c>
      <c r="G15" s="64">
        <f>IF(G5=0,0,G5/MBunk_act!G9*100)</f>
        <v>81238.053490650418</v>
      </c>
      <c r="H15" s="64">
        <f>IF(H5=0,0,H5/MBunk_act!H9*100)</f>
        <v>95521.07367750573</v>
      </c>
      <c r="I15" s="64">
        <f>IF(I5=0,0,I5/MBunk_act!I9*100)</f>
        <v>87631.768064356147</v>
      </c>
      <c r="J15" s="64">
        <f>IF(J5=0,0,J5/MBunk_act!J9*100)</f>
        <v>83171.53052892127</v>
      </c>
      <c r="K15" s="64">
        <f>IF(K5=0,0,K5/MBunk_act!K9*100)</f>
        <v>102261.2531353479</v>
      </c>
      <c r="L15" s="64">
        <f>IF(L5=0,0,L5/MBunk_act!L9*100)</f>
        <v>81959.513733185711</v>
      </c>
      <c r="M15" s="64">
        <f>IF(M5=0,0,M5/MBunk_act!M9*100)</f>
        <v>78181.509410878629</v>
      </c>
      <c r="N15" s="64">
        <f>IF(N5=0,0,N5/MBunk_act!N9*100)</f>
        <v>86508.279244178251</v>
      </c>
      <c r="O15" s="64">
        <f>IF(O5=0,0,O5/MBunk_act!O9*100)</f>
        <v>73477.548340863141</v>
      </c>
      <c r="P15" s="64">
        <f>IF(P5=0,0,P5/MBunk_act!P9*100)</f>
        <v>73662.799990415966</v>
      </c>
      <c r="Q15" s="64">
        <f>IF(Q5=0,0,Q5/MBunk_act!Q9*100)</f>
        <v>80860.230926022894</v>
      </c>
      <c r="R15" s="64">
        <f>IF(R5=0,0,R5/MBunk_act!R9*100)</f>
        <v>90542.598632133944</v>
      </c>
      <c r="S15" s="64">
        <f>IF(S5=0,0,S5/MBunk_act!S9*100)</f>
        <v>120016.86860858108</v>
      </c>
      <c r="T15" s="64">
        <f>IF(T5=0,0,T5/MBunk_act!T9*100)</f>
        <v>92130.08377129781</v>
      </c>
      <c r="U15" s="64">
        <f>IF(U5=0,0,U5/MBunk_act!U9*100)</f>
        <v>104937.63123610985</v>
      </c>
      <c r="V15" s="64">
        <f>IF(V5=0,0,V5/MBunk_act!V9*100)</f>
        <v>148005.84184087327</v>
      </c>
      <c r="W15" s="64">
        <f>IF(W5=0,0,W5/MBunk_act!W9*100)</f>
        <v>198875.89306770035</v>
      </c>
      <c r="X15" s="64">
        <f>IF(X5=0,0,X5/MBunk_act!X9*100)</f>
        <v>123783.80477599756</v>
      </c>
      <c r="Y15" s="64">
        <f>IF(Y5=0,0,Y5/MBunk_act!Y9*100)</f>
        <v>110885.98879093009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48.705454104769167</v>
      </c>
      <c r="C17" s="62">
        <f>IF(C3=0,0,C3/MBunk_act!C3*1000)</f>
        <v>51.317543231634147</v>
      </c>
      <c r="D17" s="62">
        <f>IF(D3=0,0,D3/MBunk_act!D3*1000)</f>
        <v>43.07575907555313</v>
      </c>
      <c r="E17" s="62">
        <f>IF(E3=0,0,E3/MBunk_act!E3*1000)</f>
        <v>55.880133528818007</v>
      </c>
      <c r="F17" s="62">
        <f>IF(F3=0,0,F3/MBunk_act!F3*1000)</f>
        <v>64.582881079308564</v>
      </c>
      <c r="G17" s="62">
        <f>IF(G3=0,0,G3/MBunk_act!G3*1000)</f>
        <v>58.069201825097352</v>
      </c>
      <c r="H17" s="62">
        <f>IF(H3=0,0,H3/MBunk_act!H3*1000)</f>
        <v>66.352816587842895</v>
      </c>
      <c r="I17" s="62">
        <f>IF(I3=0,0,I3/MBunk_act!I3*1000)</f>
        <v>65.890315717191783</v>
      </c>
      <c r="J17" s="62">
        <f>IF(J3=0,0,J3/MBunk_act!J3*1000)</f>
        <v>59.063774014149118</v>
      </c>
      <c r="K17" s="62">
        <f>IF(K3=0,0,K3/MBunk_act!K3*1000)</f>
        <v>71.14126687704146</v>
      </c>
      <c r="L17" s="62">
        <f>IF(L3=0,0,L3/MBunk_act!L3*1000)</f>
        <v>53.47905888458304</v>
      </c>
      <c r="M17" s="62">
        <f>IF(M3=0,0,M3/MBunk_act!M3*1000)</f>
        <v>52.079884284326134</v>
      </c>
      <c r="N17" s="62">
        <f>IF(N3=0,0,N3/MBunk_act!N3*1000)</f>
        <v>54.942725959880036</v>
      </c>
      <c r="O17" s="62">
        <f>IF(O3=0,0,O3/MBunk_act!O3*1000)</f>
        <v>48.805302447300598</v>
      </c>
      <c r="P17" s="62">
        <f>IF(P3=0,0,P3/MBunk_act!P3*1000)</f>
        <v>48.076478930601368</v>
      </c>
      <c r="Q17" s="62">
        <f>IF(Q3=0,0,Q3/MBunk_act!Q3*1000)</f>
        <v>48.487418745120912</v>
      </c>
      <c r="R17" s="62">
        <f>IF(R3=0,0,R3/MBunk_act!R3*1000)</f>
        <v>54.22743672455141</v>
      </c>
      <c r="S17" s="62">
        <f>IF(S3=0,0,S3/MBunk_act!S3*1000)</f>
        <v>72.20272308718873</v>
      </c>
      <c r="T17" s="62">
        <f>IF(T3=0,0,T3/MBunk_act!T3*1000)</f>
        <v>56.709368734666398</v>
      </c>
      <c r="U17" s="62">
        <f>IF(U3=0,0,U3/MBunk_act!U3*1000)</f>
        <v>62.705745025772153</v>
      </c>
      <c r="V17" s="62">
        <f>IF(V3=0,0,V3/MBunk_act!V3*1000)</f>
        <v>74.162788001764511</v>
      </c>
      <c r="W17" s="62">
        <f>IF(W3=0,0,W3/MBunk_act!W3*1000)</f>
        <v>87.528725509231705</v>
      </c>
      <c r="X17" s="62">
        <f>IF(X3=0,0,X3/MBunk_act!X3*1000)</f>
        <v>68.142019594255828</v>
      </c>
      <c r="Y17" s="62">
        <f>IF(Y3=0,0,Y3/MBunk_act!Y3*1000)</f>
        <v>59.498053802512764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66.074605781338249</v>
      </c>
      <c r="C18" s="63">
        <f>IF(C4=0,0,C4/MBunk_act!C4*1000)</f>
        <v>72.332374218274921</v>
      </c>
      <c r="D18" s="63">
        <f>IF(D4=0,0,D4/MBunk_act!D4*1000)</f>
        <v>59.073495456029463</v>
      </c>
      <c r="E18" s="63">
        <f>IF(E4=0,0,E4/MBunk_act!E4*1000)</f>
        <v>76.525324600174358</v>
      </c>
      <c r="F18" s="63">
        <f>IF(F4=0,0,F4/MBunk_act!F4*1000)</f>
        <v>86.768526655909582</v>
      </c>
      <c r="G18" s="63">
        <f>IF(G4=0,0,G4/MBunk_act!G4*1000)</f>
        <v>82.963853656555642</v>
      </c>
      <c r="H18" s="63">
        <f>IF(H4=0,0,H4/MBunk_act!H4*1000)</f>
        <v>90.424285321258978</v>
      </c>
      <c r="I18" s="63">
        <f>IF(I4=0,0,I4/MBunk_act!I4*1000)</f>
        <v>87.127129028823276</v>
      </c>
      <c r="J18" s="63">
        <f>IF(J4=0,0,J4/MBunk_act!J4*1000)</f>
        <v>81.532564589450118</v>
      </c>
      <c r="K18" s="63">
        <f>IF(K4=0,0,K4/MBunk_act!K4*1000)</f>
        <v>97.328919729444706</v>
      </c>
      <c r="L18" s="63">
        <f>IF(L4=0,0,L4/MBunk_act!L4*1000)</f>
        <v>78.760810695127702</v>
      </c>
      <c r="M18" s="63">
        <f>IF(M4=0,0,M4/MBunk_act!M4*1000)</f>
        <v>71.282577220195364</v>
      </c>
      <c r="N18" s="63">
        <f>IF(N4=0,0,N4/MBunk_act!N4*1000)</f>
        <v>76.61032699548899</v>
      </c>
      <c r="O18" s="63">
        <f>IF(O4=0,0,O4/MBunk_act!O4*1000)</f>
        <v>66.780264088024779</v>
      </c>
      <c r="P18" s="63">
        <f>IF(P4=0,0,P4/MBunk_act!P4*1000)</f>
        <v>69.057959201850707</v>
      </c>
      <c r="Q18" s="63">
        <f>IF(Q4=0,0,Q4/MBunk_act!Q4*1000)</f>
        <v>72.045275604858318</v>
      </c>
      <c r="R18" s="63">
        <f>IF(R4=0,0,R4/MBunk_act!R4*1000)</f>
        <v>75.837570989969649</v>
      </c>
      <c r="S18" s="63">
        <f>IF(S4=0,0,S4/MBunk_act!S4*1000)</f>
        <v>92.716920140994404</v>
      </c>
      <c r="T18" s="63">
        <f>IF(T4=0,0,T4/MBunk_act!T4*1000)</f>
        <v>71.072686633576424</v>
      </c>
      <c r="U18" s="63">
        <f>IF(U4=0,0,U4/MBunk_act!U4*1000)</f>
        <v>82.247577429676213</v>
      </c>
      <c r="V18" s="63">
        <f>IF(V4=0,0,V4/MBunk_act!V4*1000)</f>
        <v>93.694013198228788</v>
      </c>
      <c r="W18" s="63">
        <f>IF(W4=0,0,W4/MBunk_act!W4*1000)</f>
        <v>92.343706799467455</v>
      </c>
      <c r="X18" s="63">
        <f>IF(X4=0,0,X4/MBunk_act!X4*1000)</f>
        <v>79.782690043484948</v>
      </c>
      <c r="Y18" s="63">
        <f>IF(Y4=0,0,Y4/MBunk_act!Y4*1000)</f>
        <v>68.820683469651243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35.093048652379579</v>
      </c>
      <c r="C19" s="64">
        <f>IF(C5=0,0,C5/MBunk_act!C5*1000)</f>
        <v>36.274330882526499</v>
      </c>
      <c r="D19" s="64">
        <f>IF(D5=0,0,D5/MBunk_act!D5*1000)</f>
        <v>30.979707946093409</v>
      </c>
      <c r="E19" s="64">
        <f>IF(E5=0,0,E5/MBunk_act!E5*1000)</f>
        <v>40.202502928092173</v>
      </c>
      <c r="F19" s="64">
        <f>IF(F5=0,0,F5/MBunk_act!F5*1000)</f>
        <v>46.617026749026692</v>
      </c>
      <c r="G19" s="64">
        <f>IF(G5=0,0,G5/MBunk_act!G5*1000)</f>
        <v>40.566550568940251</v>
      </c>
      <c r="H19" s="64">
        <f>IF(H5=0,0,H5/MBunk_act!H5*1000)</f>
        <v>47.684522052381695</v>
      </c>
      <c r="I19" s="64">
        <f>IF(I5=0,0,I5/MBunk_act!I5*1000)</f>
        <v>47.657477249047396</v>
      </c>
      <c r="J19" s="64">
        <f>IF(J5=0,0,J5/MBunk_act!J5*1000)</f>
        <v>41.510308970231044</v>
      </c>
      <c r="K19" s="64">
        <f>IF(K5=0,0,K5/MBunk_act!K5*1000)</f>
        <v>49.861140641913039</v>
      </c>
      <c r="L19" s="64">
        <f>IF(L5=0,0,L5/MBunk_act!L5*1000)</f>
        <v>36.443219020650446</v>
      </c>
      <c r="M19" s="64">
        <f>IF(M5=0,0,M5/MBunk_act!M5*1000)</f>
        <v>36.624576999834673</v>
      </c>
      <c r="N19" s="64">
        <f>IF(N5=0,0,N5/MBunk_act!N5*1000)</f>
        <v>38.16791084027237</v>
      </c>
      <c r="O19" s="64">
        <f>IF(O5=0,0,O5/MBunk_act!O5*1000)</f>
        <v>34.278668288405456</v>
      </c>
      <c r="P19" s="64">
        <f>IF(P5=0,0,P5/MBunk_act!P5*1000)</f>
        <v>33.431885386815416</v>
      </c>
      <c r="Q19" s="64">
        <f>IF(Q5=0,0,Q5/MBunk_act!Q5*1000)</f>
        <v>33.265993430801629</v>
      </c>
      <c r="R19" s="64">
        <f>IF(R5=0,0,R5/MBunk_act!R5*1000)</f>
        <v>38.31539779921841</v>
      </c>
      <c r="S19" s="64">
        <f>IF(S5=0,0,S5/MBunk_act!S5*1000)</f>
        <v>53.125038125964188</v>
      </c>
      <c r="T19" s="64">
        <f>IF(T5=0,0,T5/MBunk_act!T5*1000)</f>
        <v>42.370761827619489</v>
      </c>
      <c r="U19" s="64">
        <f>IF(U5=0,0,U5/MBunk_act!U5*1000)</f>
        <v>44.923909123472001</v>
      </c>
      <c r="V19" s="64">
        <f>IF(V5=0,0,V5/MBunk_act!V5*1000)</f>
        <v>57.705773512243489</v>
      </c>
      <c r="W19" s="64">
        <f>IF(W5=0,0,W5/MBunk_act!W5*1000)</f>
        <v>81.398808764923245</v>
      </c>
      <c r="X19" s="64">
        <f>IF(X5=0,0,X5/MBunk_act!X5*1000)</f>
        <v>54.51912811543594</v>
      </c>
      <c r="Y19" s="64">
        <f>IF(Y5=0,0,Y5/MBunk_act!Y5*1000)</f>
        <v>47.850650457644143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0.59605813361925508</v>
      </c>
      <c r="C22" s="77">
        <f t="shared" si="3"/>
        <v>0.58803786663910296</v>
      </c>
      <c r="D22" s="77">
        <f t="shared" si="3"/>
        <v>0.5904634921909645</v>
      </c>
      <c r="E22" s="77">
        <f t="shared" si="3"/>
        <v>0.59108317026883284</v>
      </c>
      <c r="F22" s="77">
        <f t="shared" si="3"/>
        <v>0.60116115255790403</v>
      </c>
      <c r="G22" s="77">
        <f t="shared" si="3"/>
        <v>0.58980529595614073</v>
      </c>
      <c r="H22" s="77">
        <f t="shared" si="3"/>
        <v>0.59524842380785314</v>
      </c>
      <c r="I22" s="77">
        <f t="shared" si="3"/>
        <v>0.61083344031141662</v>
      </c>
      <c r="J22" s="77">
        <f t="shared" si="3"/>
        <v>0.60544013431123378</v>
      </c>
      <c r="K22" s="77">
        <f t="shared" si="3"/>
        <v>0.61333195976140731</v>
      </c>
      <c r="L22" s="77">
        <f t="shared" si="3"/>
        <v>0.5928830399757159</v>
      </c>
      <c r="M22" s="77">
        <f t="shared" si="3"/>
        <v>0.61036205513455322</v>
      </c>
      <c r="N22" s="77">
        <f t="shared" si="3"/>
        <v>0.60844899716043965</v>
      </c>
      <c r="O22" s="77">
        <f t="shared" si="3"/>
        <v>0.61156333186175771</v>
      </c>
      <c r="P22" s="77">
        <f t="shared" si="3"/>
        <v>0.5904599509630607</v>
      </c>
      <c r="Q22" s="77">
        <f t="shared" si="3"/>
        <v>0.5832194480727062</v>
      </c>
      <c r="R22" s="77">
        <f t="shared" si="3"/>
        <v>0.59306621858263797</v>
      </c>
      <c r="S22" s="77">
        <f t="shared" si="3"/>
        <v>0.6187638685062461</v>
      </c>
      <c r="T22" s="77">
        <f t="shared" si="3"/>
        <v>0.62610021955695772</v>
      </c>
      <c r="U22" s="77">
        <f t="shared" si="3"/>
        <v>0.62489645293191864</v>
      </c>
      <c r="V22" s="77">
        <f t="shared" si="3"/>
        <v>0.57771845463288818</v>
      </c>
      <c r="W22" s="77">
        <f t="shared" si="3"/>
        <v>0.5908803601336442</v>
      </c>
      <c r="X22" s="77">
        <f t="shared" ref="X22:Y22" si="5">IF(X4=0,0,X4/X$3)</f>
        <v>0.63134738982766769</v>
      </c>
      <c r="Y22" s="77">
        <f t="shared" si="5"/>
        <v>0.64246019073604033</v>
      </c>
      <c r="DA22" s="184"/>
    </row>
    <row r="23" spans="1:105" ht="11.45" customHeight="1" x14ac:dyDescent="0.25">
      <c r="A23" s="57" t="s">
        <v>167</v>
      </c>
      <c r="B23" s="78">
        <f t="shared" si="3"/>
        <v>0.40394186638074492</v>
      </c>
      <c r="C23" s="78">
        <f t="shared" si="3"/>
        <v>0.41196213336089704</v>
      </c>
      <c r="D23" s="78">
        <f t="shared" si="3"/>
        <v>0.40953650780903544</v>
      </c>
      <c r="E23" s="78">
        <f t="shared" si="3"/>
        <v>0.40891682973116711</v>
      </c>
      <c r="F23" s="78">
        <f t="shared" si="3"/>
        <v>0.39883884744209608</v>
      </c>
      <c r="G23" s="78">
        <f t="shared" si="3"/>
        <v>0.41019470404385933</v>
      </c>
      <c r="H23" s="78">
        <f t="shared" si="3"/>
        <v>0.40475157619214697</v>
      </c>
      <c r="I23" s="78">
        <f t="shared" si="3"/>
        <v>0.38916655968858338</v>
      </c>
      <c r="J23" s="78">
        <f t="shared" si="3"/>
        <v>0.39455986568876628</v>
      </c>
      <c r="K23" s="78">
        <f t="shared" si="3"/>
        <v>0.38666804023859264</v>
      </c>
      <c r="L23" s="78">
        <f t="shared" si="3"/>
        <v>0.4071169600242841</v>
      </c>
      <c r="M23" s="78">
        <f t="shared" si="3"/>
        <v>0.38963794486544684</v>
      </c>
      <c r="N23" s="78">
        <f t="shared" si="3"/>
        <v>0.39155100283956046</v>
      </c>
      <c r="O23" s="78">
        <f t="shared" si="3"/>
        <v>0.38843666813824229</v>
      </c>
      <c r="P23" s="78">
        <f t="shared" si="3"/>
        <v>0.40954004903693936</v>
      </c>
      <c r="Q23" s="78">
        <f t="shared" si="3"/>
        <v>0.41678055192729385</v>
      </c>
      <c r="R23" s="78">
        <f t="shared" si="3"/>
        <v>0.40693378141736192</v>
      </c>
      <c r="S23" s="78">
        <f t="shared" si="3"/>
        <v>0.38123613149375402</v>
      </c>
      <c r="T23" s="78">
        <f t="shared" si="3"/>
        <v>0.37389978044304234</v>
      </c>
      <c r="U23" s="78">
        <f t="shared" si="3"/>
        <v>0.3751035470680813</v>
      </c>
      <c r="V23" s="78">
        <f t="shared" si="3"/>
        <v>0.42228154536711171</v>
      </c>
      <c r="W23" s="78">
        <f t="shared" si="3"/>
        <v>0.40911963986635574</v>
      </c>
      <c r="X23" s="78">
        <f t="shared" ref="X23:Y23" si="6">IF(X5=0,0,X5/X$3)</f>
        <v>0.36865261017233231</v>
      </c>
      <c r="Y23" s="78">
        <f t="shared" si="6"/>
        <v>0.35753980926395962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2025-11-06T10:30:57Z</dcterms:created>
  <dcterms:modified xsi:type="dcterms:W3CDTF">2025-11-06T10:30:57Z</dcterms:modified>
</cp:coreProperties>
</file>